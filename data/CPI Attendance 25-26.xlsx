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s List" sheetId="1" r:id="rId5"/>
    <sheet state="visible" name="Daily Attendance 25-26" sheetId="2" r:id="rId6"/>
    <sheet state="visible" name="Attendance Report" sheetId="3" r:id="rId7"/>
    <sheet state="visible" name="Advance Sheet" sheetId="4" r:id="rId8"/>
    <sheet state="visible" name="Advance Report" sheetId="5" r:id="rId9"/>
    <sheet state="visible" name="Salary Calculation" sheetId="6" r:id="rId10"/>
    <sheet state="visible" name="Salary Transaction Details" sheetId="7" r:id="rId11"/>
    <sheet state="visible" name="Salary Slip" sheetId="8" r:id="rId12"/>
  </sheets>
  <definedNames>
    <definedName hidden="1" localSheetId="0" name="_xlnm._FilterDatabase">'Employees List'!$A$1:$L$62</definedName>
    <definedName hidden="1" localSheetId="3" name="_xlnm._FilterDatabase">'Advance Sheet'!$A$1:$I$1001</definedName>
    <definedName hidden="1" localSheetId="5" name="_xlnm._FilterDatabase">'Salary Calculation'!$A$1:$T$999</definedName>
    <definedName hidden="1" localSheetId="6" name="_xlnm._FilterDatabase">'Salary Transaction Details'!$A$1:$I$999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tc={e7b473b4-3210-433d-931c-d7baa4801efe}</author>
  </authors>
  <commentList>
    <comment authorId="0" xr:uid="{e7b473b4-3210-433d-931c-d7baa4801efe}" ref="H11">
      <text>
        <t xml:space="preserve">[Threaded comment]
 Your version of Excel allows you to read this threaded comment; however, any edits to it will get removed if the file is opened in a newer version of Excel. Learn more: https://go.microsoft.com/fwlink/?linkid=870924
Comment:
	Loan prechana - adagu kadai
</t>
      </text>
    </comment>
  </commentList>
</comments>
</file>

<file path=xl/sharedStrings.xml><?xml version="1.0" encoding="utf-8"?>
<sst xmlns="http://schemas.openxmlformats.org/spreadsheetml/2006/main" count="3608" uniqueCount="1238">
  <si>
    <t>Months</t>
  </si>
  <si>
    <t>Employee Code</t>
  </si>
  <si>
    <t>Date Of Joining</t>
  </si>
  <si>
    <t>Date Of Rejoining</t>
  </si>
  <si>
    <t>Name</t>
  </si>
  <si>
    <t>ESI Number</t>
  </si>
  <si>
    <t>Bank Name</t>
  </si>
  <si>
    <t>Account Number</t>
  </si>
  <si>
    <t>Total Wages 24 - 25</t>
  </si>
  <si>
    <t>Total Wages 25 - 26</t>
  </si>
  <si>
    <t>No of Days in a Month 2025</t>
  </si>
  <si>
    <t>Status</t>
  </si>
  <si>
    <t>April</t>
  </si>
  <si>
    <t>AC 01</t>
  </si>
  <si>
    <t>BHUVANESHWARAN.V</t>
  </si>
  <si>
    <t>CUB</t>
  </si>
  <si>
    <t>May</t>
  </si>
  <si>
    <t>PR 01</t>
  </si>
  <si>
    <t>VASANTHA.E</t>
  </si>
  <si>
    <t>DBS</t>
  </si>
  <si>
    <t>8131010000016959</t>
  </si>
  <si>
    <t>June</t>
  </si>
  <si>
    <t>PR 02</t>
  </si>
  <si>
    <t>GANESH</t>
  </si>
  <si>
    <t>8811010012054879</t>
  </si>
  <si>
    <t>July</t>
  </si>
  <si>
    <t>PR 03</t>
  </si>
  <si>
    <t>ADHIKARI BALIA.A</t>
  </si>
  <si>
    <t>8131010000018948</t>
  </si>
  <si>
    <t>August</t>
  </si>
  <si>
    <t>PR 04</t>
  </si>
  <si>
    <t>RUPESH KISAN</t>
  </si>
  <si>
    <t>UBI</t>
  </si>
  <si>
    <t>September</t>
  </si>
  <si>
    <t>PR 05</t>
  </si>
  <si>
    <t>SANJAY BAGARTTI.K</t>
  </si>
  <si>
    <t>8131010000021225</t>
  </si>
  <si>
    <t>October</t>
  </si>
  <si>
    <t>PR 06</t>
  </si>
  <si>
    <t>ARUMUGAM.R</t>
  </si>
  <si>
    <t>IB</t>
  </si>
  <si>
    <t>November</t>
  </si>
  <si>
    <t>PR 07</t>
  </si>
  <si>
    <t>AMMU.S</t>
  </si>
  <si>
    <t>IOB</t>
  </si>
  <si>
    <t>December</t>
  </si>
  <si>
    <t>PR 08</t>
  </si>
  <si>
    <t>REVATHI.S</t>
  </si>
  <si>
    <t>8131010000016995</t>
  </si>
  <si>
    <t>January</t>
  </si>
  <si>
    <t>PR 09</t>
  </si>
  <si>
    <t>ABINAYA.V</t>
  </si>
  <si>
    <t>February</t>
  </si>
  <si>
    <t>PR 10</t>
  </si>
  <si>
    <t>ANITHA.P</t>
  </si>
  <si>
    <t>March</t>
  </si>
  <si>
    <t>PR 11</t>
  </si>
  <si>
    <t>All</t>
  </si>
  <si>
    <t>PR 12</t>
  </si>
  <si>
    <t xml:space="preserve">PINU </t>
  </si>
  <si>
    <t>8131010000018814</t>
  </si>
  <si>
    <t>PR 13</t>
  </si>
  <si>
    <t>SAMSON  BODRA.P</t>
  </si>
  <si>
    <t>PR 14</t>
  </si>
  <si>
    <t>REVATHI.V</t>
  </si>
  <si>
    <t>SBI</t>
  </si>
  <si>
    <t>PR 15</t>
  </si>
  <si>
    <t>BHAVANI.J</t>
  </si>
  <si>
    <t>KVB</t>
  </si>
  <si>
    <t>1616194000000849</t>
  </si>
  <si>
    <t>PR 16</t>
  </si>
  <si>
    <t>AC 02</t>
  </si>
  <si>
    <t>THIRIPURA SUNDARI.R</t>
  </si>
  <si>
    <t>8131010000016977</t>
  </si>
  <si>
    <t>AC 03</t>
  </si>
  <si>
    <t>LEELAVATHI.M</t>
  </si>
  <si>
    <t>8387010000017745</t>
  </si>
  <si>
    <t>DR 01</t>
  </si>
  <si>
    <t>ILAMATHIVANAN.S</t>
  </si>
  <si>
    <t>8131010000016986</t>
  </si>
  <si>
    <t>PR 17</t>
  </si>
  <si>
    <t>PR 18</t>
  </si>
  <si>
    <t>PR 19</t>
  </si>
  <si>
    <t>SIDHESWAR PRADHAN</t>
  </si>
  <si>
    <t>8131010000018939</t>
  </si>
  <si>
    <t>PR 20</t>
  </si>
  <si>
    <t>8131010000018920</t>
  </si>
  <si>
    <t>PR 21</t>
  </si>
  <si>
    <t>LIPAN</t>
  </si>
  <si>
    <t>8131010000018957</t>
  </si>
  <si>
    <t>PR 22</t>
  </si>
  <si>
    <t>PR 23</t>
  </si>
  <si>
    <t>PR 24</t>
  </si>
  <si>
    <t>NILAMANI KISAN.B</t>
  </si>
  <si>
    <t>PR 25</t>
  </si>
  <si>
    <t>PR 26</t>
  </si>
  <si>
    <t>PR 27</t>
  </si>
  <si>
    <t>PARSHU BAGH</t>
  </si>
  <si>
    <t>PR 28</t>
  </si>
  <si>
    <t>GANESH KISAN.B</t>
  </si>
  <si>
    <t>PR 29</t>
  </si>
  <si>
    <t>MADHAN</t>
  </si>
  <si>
    <t>PR 30</t>
  </si>
  <si>
    <t>PRAKASH</t>
  </si>
  <si>
    <t>PR 31</t>
  </si>
  <si>
    <t>RANJAN BAGH.A</t>
  </si>
  <si>
    <t>IFSC : UBIN0541109</t>
  </si>
  <si>
    <t>PR 32</t>
  </si>
  <si>
    <t>AMARNGTH KISAN.A</t>
  </si>
  <si>
    <t>IPOS</t>
  </si>
  <si>
    <t>PR 33</t>
  </si>
  <si>
    <t>SURUBABU ANGRIA.M</t>
  </si>
  <si>
    <t>PR 34</t>
  </si>
  <si>
    <t>PANKAJ BAGH.K</t>
  </si>
  <si>
    <t>PR 35</t>
  </si>
  <si>
    <t>PRINCE BADRA</t>
  </si>
  <si>
    <t>PR 36</t>
  </si>
  <si>
    <t>DILIP KUMAR.S</t>
  </si>
  <si>
    <t>OGB</t>
  </si>
  <si>
    <t>PR 37</t>
  </si>
  <si>
    <t>SURESH.S</t>
  </si>
  <si>
    <t>CB</t>
  </si>
  <si>
    <t>PR 38</t>
  </si>
  <si>
    <t>DURYODHAN</t>
  </si>
  <si>
    <t>PR 39</t>
  </si>
  <si>
    <t xml:space="preserve">UTTAM KISAN </t>
  </si>
  <si>
    <t>G-Pay</t>
  </si>
  <si>
    <t xml:space="preserve"> ADHI-8260139733</t>
  </si>
  <si>
    <t>PR 40</t>
  </si>
  <si>
    <t>BIDYADHAR BAG</t>
  </si>
  <si>
    <t>PR 41</t>
  </si>
  <si>
    <t>ANUBHAB DEHURY.D</t>
  </si>
  <si>
    <t>PR 42</t>
  </si>
  <si>
    <t>SENTHAMILSELVI</t>
  </si>
  <si>
    <t>PR 43</t>
  </si>
  <si>
    <t>PRABHU</t>
  </si>
  <si>
    <t>PR 44</t>
  </si>
  <si>
    <t>ASHOK RAJAHANS</t>
  </si>
  <si>
    <t>PR 45</t>
  </si>
  <si>
    <t>ANUVAB SANDHA</t>
  </si>
  <si>
    <t>PR 46</t>
  </si>
  <si>
    <t>LIPUN BANICHULA</t>
  </si>
  <si>
    <t>HDFC</t>
  </si>
  <si>
    <t>PR 47</t>
  </si>
  <si>
    <t>KISHOR SANDHA</t>
  </si>
  <si>
    <t>PR 48</t>
  </si>
  <si>
    <t xml:space="preserve">RANJIT MUNDA </t>
  </si>
  <si>
    <t>PR 49</t>
  </si>
  <si>
    <t>KRUSHNA MUNDA</t>
  </si>
  <si>
    <t>PR 50</t>
  </si>
  <si>
    <t>MADHAN MOHAN SINGH</t>
  </si>
  <si>
    <t>PR 51</t>
  </si>
  <si>
    <t>PRATAP DAS</t>
  </si>
  <si>
    <t>PR 52</t>
  </si>
  <si>
    <t>SIPUN MIRDHA</t>
  </si>
  <si>
    <t>PR 53</t>
  </si>
  <si>
    <t>DIPAN MIRDHA</t>
  </si>
  <si>
    <t>PR 54</t>
  </si>
  <si>
    <t>GAGAN MIRDHA</t>
  </si>
  <si>
    <t>PR 55</t>
  </si>
  <si>
    <t>NABA SANDHA</t>
  </si>
  <si>
    <t>PR 56</t>
  </si>
  <si>
    <t>SILU</t>
  </si>
  <si>
    <t>PR 57</t>
  </si>
  <si>
    <t>PITABAS PRADHAN</t>
  </si>
  <si>
    <t>Silu - 9827962745</t>
  </si>
  <si>
    <t>Days Present / OT Hours</t>
  </si>
  <si>
    <t>M</t>
  </si>
  <si>
    <t>A</t>
  </si>
  <si>
    <t>OT HOURS</t>
  </si>
  <si>
    <t xml:space="preserve"> </t>
  </si>
  <si>
    <t>Emp Id</t>
  </si>
  <si>
    <t>Total Present</t>
  </si>
  <si>
    <t>Date</t>
  </si>
  <si>
    <t>Emp id</t>
  </si>
  <si>
    <t>Month</t>
  </si>
  <si>
    <t>Advance Requested</t>
  </si>
  <si>
    <t>Advance Provided</t>
  </si>
  <si>
    <t>Advance Deducted</t>
  </si>
  <si>
    <t>Reason</t>
  </si>
  <si>
    <t>Opening Balance</t>
  </si>
  <si>
    <t>Paid</t>
  </si>
  <si>
    <t>Hospital Expenses</t>
  </si>
  <si>
    <t>Bike EMI</t>
  </si>
  <si>
    <t xml:space="preserve">Home </t>
  </si>
  <si>
    <t>Grandma Passed</t>
  </si>
  <si>
    <t>Loan EMI</t>
  </si>
  <si>
    <t>Gift purpose</t>
  </si>
  <si>
    <t>EMI For Loan</t>
  </si>
  <si>
    <t>Personal</t>
  </si>
  <si>
    <t>Not Paid</t>
  </si>
  <si>
    <t>Hospital</t>
  </si>
  <si>
    <t>Loan</t>
  </si>
  <si>
    <t>SBI AC - Food</t>
  </si>
  <si>
    <t>Request Apply</t>
  </si>
  <si>
    <t>FOOD</t>
  </si>
  <si>
    <t>Received</t>
  </si>
  <si>
    <t>Going To Native</t>
  </si>
  <si>
    <t>Food</t>
  </si>
  <si>
    <t>NAME</t>
  </si>
  <si>
    <t>MONTH</t>
  </si>
  <si>
    <t>BALANCE</t>
  </si>
  <si>
    <t>Salary Slip No</t>
  </si>
  <si>
    <t>No of Days Name</t>
  </si>
  <si>
    <t>No of OT Name</t>
  </si>
  <si>
    <t>SALARY</t>
  </si>
  <si>
    <t>Total Wages 25-26</t>
  </si>
  <si>
    <t>Basic Pay</t>
  </si>
  <si>
    <t>HRA</t>
  </si>
  <si>
    <t>No Of Days In a Month</t>
  </si>
  <si>
    <t>No Of Days Present</t>
  </si>
  <si>
    <t>OT Hours</t>
  </si>
  <si>
    <t>Bonus</t>
  </si>
  <si>
    <t>Advance</t>
  </si>
  <si>
    <t>Gross Wages</t>
  </si>
  <si>
    <t>OT Amount</t>
  </si>
  <si>
    <t>Netpay</t>
  </si>
  <si>
    <t>ESI</t>
  </si>
  <si>
    <t>Total Salary</t>
  </si>
  <si>
    <t>CPIEMP001</t>
  </si>
  <si>
    <t>CPIEMP002</t>
  </si>
  <si>
    <t>CPIEMP003</t>
  </si>
  <si>
    <t>CPIEMP004</t>
  </si>
  <si>
    <t>CPIEMP005</t>
  </si>
  <si>
    <t>CPIEMP006</t>
  </si>
  <si>
    <t>CPIEMP007</t>
  </si>
  <si>
    <t>CPIEMP008</t>
  </si>
  <si>
    <t>CPIEMP009</t>
  </si>
  <si>
    <t>CPIEMP010</t>
  </si>
  <si>
    <t>CPIEMP011</t>
  </si>
  <si>
    <t>CPIEMP012</t>
  </si>
  <si>
    <t>CPIEMP013</t>
  </si>
  <si>
    <t>CPIEMP014</t>
  </si>
  <si>
    <t>CPIEMP015</t>
  </si>
  <si>
    <t>CPIEMP016</t>
  </si>
  <si>
    <t>CPIEMP017</t>
  </si>
  <si>
    <t>CPIEMP018</t>
  </si>
  <si>
    <t>CPIEMP019</t>
  </si>
  <si>
    <t>CPIEMP020</t>
  </si>
  <si>
    <t>CPIEMP021</t>
  </si>
  <si>
    <t>CPIEMP022</t>
  </si>
  <si>
    <t>CPIEMP023</t>
  </si>
  <si>
    <t>CPIEMP024</t>
  </si>
  <si>
    <t>CPIEMP025</t>
  </si>
  <si>
    <t>CPIEMP026</t>
  </si>
  <si>
    <t>CPIEMP027</t>
  </si>
  <si>
    <t>CPIEMP028</t>
  </si>
  <si>
    <t>CPIEMP029</t>
  </si>
  <si>
    <t>CPIEMP030</t>
  </si>
  <si>
    <t>CPIEMP031</t>
  </si>
  <si>
    <t>CPIEMP032</t>
  </si>
  <si>
    <t>CPIEMP033</t>
  </si>
  <si>
    <t>CPIEMP034</t>
  </si>
  <si>
    <t>CPIEMP035</t>
  </si>
  <si>
    <t>CPIEMP036</t>
  </si>
  <si>
    <t>CPIEMP037</t>
  </si>
  <si>
    <t>CPIEMP038</t>
  </si>
  <si>
    <t>CPIEMP039</t>
  </si>
  <si>
    <t>CPIEMP040</t>
  </si>
  <si>
    <t>CPIEMP041</t>
  </si>
  <si>
    <t>CPIEMP042</t>
  </si>
  <si>
    <t>CPIEMP043</t>
  </si>
  <si>
    <t>CPIEMP044</t>
  </si>
  <si>
    <t>CPIEMP045</t>
  </si>
  <si>
    <t>CPIEMP046</t>
  </si>
  <si>
    <t>CPIEMP047</t>
  </si>
  <si>
    <t>CPIEMP048</t>
  </si>
  <si>
    <t>CPIEMP049</t>
  </si>
  <si>
    <t>CPIEMP050</t>
  </si>
  <si>
    <t>CPIEMP051</t>
  </si>
  <si>
    <t>CPIEMP052</t>
  </si>
  <si>
    <t>CPIEMP053</t>
  </si>
  <si>
    <t>CPIEMP054</t>
  </si>
  <si>
    <t>CPIEMP055</t>
  </si>
  <si>
    <t>CPIEMP056</t>
  </si>
  <si>
    <t>CPIEMP057</t>
  </si>
  <si>
    <t>CPIEMP058</t>
  </si>
  <si>
    <t>CPIEMP059</t>
  </si>
  <si>
    <t>CPIEMP060</t>
  </si>
  <si>
    <t>CPIEMP061</t>
  </si>
  <si>
    <t>CPIEMP062</t>
  </si>
  <si>
    <t>CPIEMP063</t>
  </si>
  <si>
    <t>CPIEMP064</t>
  </si>
  <si>
    <t>CPIEMP065</t>
  </si>
  <si>
    <t>CPIEMP066</t>
  </si>
  <si>
    <t>CPIEMP067</t>
  </si>
  <si>
    <t>CPIEMP068</t>
  </si>
  <si>
    <t>CPIEMP069</t>
  </si>
  <si>
    <t>CPIEMP070</t>
  </si>
  <si>
    <t>CPIEMP071</t>
  </si>
  <si>
    <t>CPIEMP072</t>
  </si>
  <si>
    <t>CPIEMP073</t>
  </si>
  <si>
    <t>CPIEMP074</t>
  </si>
  <si>
    <t>CPIEMP075</t>
  </si>
  <si>
    <t>CPIEMP076</t>
  </si>
  <si>
    <t>CPIEMP077</t>
  </si>
  <si>
    <t>CPIEMP078</t>
  </si>
  <si>
    <t>CPIEMP079</t>
  </si>
  <si>
    <t>CPIEMP080</t>
  </si>
  <si>
    <t>CPIEMP081</t>
  </si>
  <si>
    <t>CPIEMP082</t>
  </si>
  <si>
    <t>CPIEMP083</t>
  </si>
  <si>
    <t>CPIEMP084</t>
  </si>
  <si>
    <t>CPIEMP085</t>
  </si>
  <si>
    <t>CPIEMP086</t>
  </si>
  <si>
    <t>CPIEMP087</t>
  </si>
  <si>
    <t>CPIEMP088</t>
  </si>
  <si>
    <t>CPIEMP089</t>
  </si>
  <si>
    <t>CPIEMP090</t>
  </si>
  <si>
    <t>CPIEMP091</t>
  </si>
  <si>
    <t>CPIEMP092</t>
  </si>
  <si>
    <t>CPIEMP093</t>
  </si>
  <si>
    <t>CPIEMP094</t>
  </si>
  <si>
    <t>CPIEMP095</t>
  </si>
  <si>
    <t>CPIEMP096</t>
  </si>
  <si>
    <t>CPIEMP097</t>
  </si>
  <si>
    <t>CPIEMP098</t>
  </si>
  <si>
    <t>CPIEMP099</t>
  </si>
  <si>
    <t>CPIEMP100</t>
  </si>
  <si>
    <t>CPIEMP101</t>
  </si>
  <si>
    <t>CPIEMP102</t>
  </si>
  <si>
    <t>CPIEMP103</t>
  </si>
  <si>
    <t>CPIEMP104</t>
  </si>
  <si>
    <t>CPIEMP105</t>
  </si>
  <si>
    <t>CPIEMP106</t>
  </si>
  <si>
    <t>CPIEMP107</t>
  </si>
  <si>
    <t>CPIEMP108</t>
  </si>
  <si>
    <t>CPIEMP109</t>
  </si>
  <si>
    <t>CPIEMP110</t>
  </si>
  <si>
    <t>CPIEMP111</t>
  </si>
  <si>
    <t>CPIEMP112</t>
  </si>
  <si>
    <t>CPIEMP113</t>
  </si>
  <si>
    <t>CPIEMP114</t>
  </si>
  <si>
    <t>CPIEMP115</t>
  </si>
  <si>
    <t>CPIEMP116</t>
  </si>
  <si>
    <t>CPIEMP117</t>
  </si>
  <si>
    <t>CPIEMP118</t>
  </si>
  <si>
    <t>CPIEMP119</t>
  </si>
  <si>
    <t>CPIEMP120</t>
  </si>
  <si>
    <t>CPIEMP121</t>
  </si>
  <si>
    <t>CPIEMP122</t>
  </si>
  <si>
    <t>CPIEMP123</t>
  </si>
  <si>
    <t>CPIEMP124</t>
  </si>
  <si>
    <t>CPIEMP125</t>
  </si>
  <si>
    <t>CPIEMP126</t>
  </si>
  <si>
    <t>CPIEMP127</t>
  </si>
  <si>
    <t>CPIEMP128</t>
  </si>
  <si>
    <t>CPIEMP129</t>
  </si>
  <si>
    <t>CPIEMP130</t>
  </si>
  <si>
    <t>CPIEMP131</t>
  </si>
  <si>
    <t>CPIEMP132</t>
  </si>
  <si>
    <t>CPIEMP133</t>
  </si>
  <si>
    <t>CPIEMP134</t>
  </si>
  <si>
    <t>CPIEMP135</t>
  </si>
  <si>
    <t>CPIEMP136</t>
  </si>
  <si>
    <t>CPIEMP137</t>
  </si>
  <si>
    <t>CPIEMP138</t>
  </si>
  <si>
    <t>CPIEMP139</t>
  </si>
  <si>
    <t>CPIEMP140</t>
  </si>
  <si>
    <t>CPIEMP141</t>
  </si>
  <si>
    <t>CPIEMP142</t>
  </si>
  <si>
    <t>CPIEMP143</t>
  </si>
  <si>
    <t>CPIEMP144</t>
  </si>
  <si>
    <t>CPIEMP145</t>
  </si>
  <si>
    <t>CPIEMP146</t>
  </si>
  <si>
    <t>CPIEMP147</t>
  </si>
  <si>
    <t>CPIEMP148</t>
  </si>
  <si>
    <t>CPIEMP149</t>
  </si>
  <si>
    <t>CPIEMP150</t>
  </si>
  <si>
    <t>CPIEMP151</t>
  </si>
  <si>
    <t>CPIEMP152</t>
  </si>
  <si>
    <t>CPIEMP153</t>
  </si>
  <si>
    <t>CPIEMP154</t>
  </si>
  <si>
    <t>CPIEMP155</t>
  </si>
  <si>
    <t>CPIEMP156</t>
  </si>
  <si>
    <t>CPIEMP157</t>
  </si>
  <si>
    <t>CPIEMP158</t>
  </si>
  <si>
    <t>CPIEMP159</t>
  </si>
  <si>
    <t>CPIEMP160</t>
  </si>
  <si>
    <t>CPIEMP161</t>
  </si>
  <si>
    <t>CPIEMP162</t>
  </si>
  <si>
    <t>CPIEMP163</t>
  </si>
  <si>
    <t>CPIEMP164</t>
  </si>
  <si>
    <t>CPIEMP165</t>
  </si>
  <si>
    <t>CPIEMP166</t>
  </si>
  <si>
    <t>CPIEMP167</t>
  </si>
  <si>
    <t>CPIEMP168</t>
  </si>
  <si>
    <t>CPIEMP169</t>
  </si>
  <si>
    <t>CPIEMP170</t>
  </si>
  <si>
    <t>CPIEMP171</t>
  </si>
  <si>
    <t>CPIEMP172</t>
  </si>
  <si>
    <t>CPIEMP173</t>
  </si>
  <si>
    <t>CPIEMP174</t>
  </si>
  <si>
    <t>CPIEMP175</t>
  </si>
  <si>
    <t>CPIEMP176</t>
  </si>
  <si>
    <t>CPIEMP177</t>
  </si>
  <si>
    <t>CPIEMP178</t>
  </si>
  <si>
    <t>CPIEMP179</t>
  </si>
  <si>
    <t>CPIEMP180</t>
  </si>
  <si>
    <t>CPIEMP181</t>
  </si>
  <si>
    <t>CPIEMP182</t>
  </si>
  <si>
    <t>CPIEMP183</t>
  </si>
  <si>
    <t>CPIEMP184</t>
  </si>
  <si>
    <t>CPIEMP185</t>
  </si>
  <si>
    <t>CPIEMP186</t>
  </si>
  <si>
    <t>CPIEMP187</t>
  </si>
  <si>
    <t>CPIEMP188</t>
  </si>
  <si>
    <t>CPIEMP189</t>
  </si>
  <si>
    <t>CPIEMP190</t>
  </si>
  <si>
    <t>CPIEMP191</t>
  </si>
  <si>
    <t>CPIEMP192</t>
  </si>
  <si>
    <t>CPIEMP193</t>
  </si>
  <si>
    <t>CPIEMP194</t>
  </si>
  <si>
    <t>CPIEMP195</t>
  </si>
  <si>
    <t>CPIEMP196</t>
  </si>
  <si>
    <t>CPIEMP197</t>
  </si>
  <si>
    <t>CPIEMP198</t>
  </si>
  <si>
    <t>CPIEMP199</t>
  </si>
  <si>
    <t>CPIEMP200</t>
  </si>
  <si>
    <t>CPIEMP201</t>
  </si>
  <si>
    <t>CPIEMP202</t>
  </si>
  <si>
    <t>CPIEMP203</t>
  </si>
  <si>
    <t>CPIEMP204</t>
  </si>
  <si>
    <t>CPIEMP205</t>
  </si>
  <si>
    <t>CPIEMP206</t>
  </si>
  <si>
    <t>CPIEMP207</t>
  </si>
  <si>
    <t>CPIEMP208</t>
  </si>
  <si>
    <t>CPIEMP209</t>
  </si>
  <si>
    <t>CPIEMP210</t>
  </si>
  <si>
    <t>CPIEMP211</t>
  </si>
  <si>
    <t>CPIEMP212</t>
  </si>
  <si>
    <t>CPIEMP213</t>
  </si>
  <si>
    <t>CPIEMP214</t>
  </si>
  <si>
    <t>CPIEMP215</t>
  </si>
  <si>
    <t>CPIEMP216</t>
  </si>
  <si>
    <t>CPIEMP217</t>
  </si>
  <si>
    <t>CPIEMP218</t>
  </si>
  <si>
    <t>CPIEMP219</t>
  </si>
  <si>
    <t>CPIEMP220</t>
  </si>
  <si>
    <t>CPIEMP221</t>
  </si>
  <si>
    <t>CPIEMP222</t>
  </si>
  <si>
    <t>CPIEMP223</t>
  </si>
  <si>
    <t>CPIEMP224</t>
  </si>
  <si>
    <t>CPIEMP225</t>
  </si>
  <si>
    <t>CPIEMP226</t>
  </si>
  <si>
    <t>CPIEMP227</t>
  </si>
  <si>
    <t>CPIEMP228</t>
  </si>
  <si>
    <t>CPIEMP229</t>
  </si>
  <si>
    <t>CPIEMP230</t>
  </si>
  <si>
    <t>CPIEMP231</t>
  </si>
  <si>
    <t>CPIEMP232</t>
  </si>
  <si>
    <t>CPIEMP233</t>
  </si>
  <si>
    <t>CPIEMP234</t>
  </si>
  <si>
    <t>CPIEMP235</t>
  </si>
  <si>
    <t>CPIEMP236</t>
  </si>
  <si>
    <t>CPIEMP237</t>
  </si>
  <si>
    <t>CPIEMP238</t>
  </si>
  <si>
    <t>CPIEMP239</t>
  </si>
  <si>
    <t>CPIEMP240</t>
  </si>
  <si>
    <t>CPIEMP241</t>
  </si>
  <si>
    <t>CPIEMP242</t>
  </si>
  <si>
    <t>CPIEMP243</t>
  </si>
  <si>
    <t>CPIEMP244</t>
  </si>
  <si>
    <t>CPIEMP245</t>
  </si>
  <si>
    <t>CPIEMP246</t>
  </si>
  <si>
    <t>CPIEMP247</t>
  </si>
  <si>
    <t>CPIEMP248</t>
  </si>
  <si>
    <t>CPIEMP249</t>
  </si>
  <si>
    <t>CPIEMP250</t>
  </si>
  <si>
    <t>CPIEMP251</t>
  </si>
  <si>
    <t>CPIEMP252</t>
  </si>
  <si>
    <t>CPIEMP253</t>
  </si>
  <si>
    <t>CPIEMP254</t>
  </si>
  <si>
    <t>CPIEMP255</t>
  </si>
  <si>
    <t>CPIEMP256</t>
  </si>
  <si>
    <t>CPIEMP257</t>
  </si>
  <si>
    <t>CPIEMP258</t>
  </si>
  <si>
    <t>CPIEMP259</t>
  </si>
  <si>
    <t>CPIEMP260</t>
  </si>
  <si>
    <t>CPIEMP261</t>
  </si>
  <si>
    <t>CPIEMP262</t>
  </si>
  <si>
    <t>CPIEMP263</t>
  </si>
  <si>
    <t>CPIEMP264</t>
  </si>
  <si>
    <t>CPIEMP265</t>
  </si>
  <si>
    <t>CPIEMP266</t>
  </si>
  <si>
    <t>CPIEMP267</t>
  </si>
  <si>
    <t>CPIEMP268</t>
  </si>
  <si>
    <t>CPIEMP269</t>
  </si>
  <si>
    <t>CPIEMP270</t>
  </si>
  <si>
    <t>CPIEMP271</t>
  </si>
  <si>
    <t>CPIEMP272</t>
  </si>
  <si>
    <t>CPIEMP273</t>
  </si>
  <si>
    <t>CPIEMP274</t>
  </si>
  <si>
    <t>CPIEMP275</t>
  </si>
  <si>
    <t>CPIEMP276</t>
  </si>
  <si>
    <t>CPIEMP277</t>
  </si>
  <si>
    <t>CPIEMP278</t>
  </si>
  <si>
    <t>CPIEMP279</t>
  </si>
  <si>
    <t>CPIEMP280</t>
  </si>
  <si>
    <t>CPIEMP281</t>
  </si>
  <si>
    <t>CPIEMP282</t>
  </si>
  <si>
    <t>CPIEMP283</t>
  </si>
  <si>
    <t>CPIEMP284</t>
  </si>
  <si>
    <t>CPIEMP285</t>
  </si>
  <si>
    <t>CPIEMP286</t>
  </si>
  <si>
    <t>CPIEMP287</t>
  </si>
  <si>
    <t>CPIEMP288</t>
  </si>
  <si>
    <t>CPIEMP289</t>
  </si>
  <si>
    <t>CPIEMP290</t>
  </si>
  <si>
    <t>CPIEMP291</t>
  </si>
  <si>
    <t>CPIEMP292</t>
  </si>
  <si>
    <t>CPIEMP293</t>
  </si>
  <si>
    <t>CPIEMP294</t>
  </si>
  <si>
    <t>CPIEMP295</t>
  </si>
  <si>
    <t>CPIEMP296</t>
  </si>
  <si>
    <t>CPIEMP297</t>
  </si>
  <si>
    <t>CPIEMP298</t>
  </si>
  <si>
    <t>CPIEMP299</t>
  </si>
  <si>
    <t>CPIEMP300</t>
  </si>
  <si>
    <t>CPIEMP301</t>
  </si>
  <si>
    <t>CPIEMP302</t>
  </si>
  <si>
    <t>CPIEMP303</t>
  </si>
  <si>
    <t>CPIEMP304</t>
  </si>
  <si>
    <t>CPIEMP305</t>
  </si>
  <si>
    <t>CPIEMP306</t>
  </si>
  <si>
    <t>CPIEMP307</t>
  </si>
  <si>
    <t>CPIEMP308</t>
  </si>
  <si>
    <t>CPIEMP309</t>
  </si>
  <si>
    <t>CPIEMP310</t>
  </si>
  <si>
    <t>CPIEMP311</t>
  </si>
  <si>
    <t>CPIEMP312</t>
  </si>
  <si>
    <t>CPIEMP313</t>
  </si>
  <si>
    <t>CPIEMP314</t>
  </si>
  <si>
    <t>CPIEMP315</t>
  </si>
  <si>
    <t>CPIEMP316</t>
  </si>
  <si>
    <t>CPIEMP317</t>
  </si>
  <si>
    <t>CPIEMP318</t>
  </si>
  <si>
    <t>CPIEMP319</t>
  </si>
  <si>
    <t>CPIEMP320</t>
  </si>
  <si>
    <t>CPIEMP321</t>
  </si>
  <si>
    <t>CPIEMP322</t>
  </si>
  <si>
    <t>CPIEMP323</t>
  </si>
  <si>
    <t>CPIEMP324</t>
  </si>
  <si>
    <t>CPIEMP325</t>
  </si>
  <si>
    <t>CPIEMP326</t>
  </si>
  <si>
    <t>CPIEMP327</t>
  </si>
  <si>
    <t>CPIEMP328</t>
  </si>
  <si>
    <t>CPIEMP329</t>
  </si>
  <si>
    <t>CPIEMP330</t>
  </si>
  <si>
    <t>CPIEMP331</t>
  </si>
  <si>
    <t>CPIEMP332</t>
  </si>
  <si>
    <t>CPIEMP333</t>
  </si>
  <si>
    <t>CPIEMP334</t>
  </si>
  <si>
    <t>CPIEMP335</t>
  </si>
  <si>
    <t>CPIEMP336</t>
  </si>
  <si>
    <t>CPIEMP337</t>
  </si>
  <si>
    <t>CPIEMP338</t>
  </si>
  <si>
    <t>CPIEMP339</t>
  </si>
  <si>
    <t>CPIEMP340</t>
  </si>
  <si>
    <t>CPIEMP341</t>
  </si>
  <si>
    <t>CPIEMP342</t>
  </si>
  <si>
    <t>CPIEMP343</t>
  </si>
  <si>
    <t>CPIEMP344</t>
  </si>
  <si>
    <t>CPIEMP345</t>
  </si>
  <si>
    <t>CPIEMP346</t>
  </si>
  <si>
    <t>CPIEMP347</t>
  </si>
  <si>
    <t>CPIEMP348</t>
  </si>
  <si>
    <t>CPIEMP349</t>
  </si>
  <si>
    <t>CPIEMP350</t>
  </si>
  <si>
    <t>CPIEMP351</t>
  </si>
  <si>
    <t>CPIEMP352</t>
  </si>
  <si>
    <t>CPIEMP353</t>
  </si>
  <si>
    <t>CPIEMP354</t>
  </si>
  <si>
    <t>CPIEMP355</t>
  </si>
  <si>
    <t>CPIEMP356</t>
  </si>
  <si>
    <t>CPIEMP357</t>
  </si>
  <si>
    <t>CPIEMP358</t>
  </si>
  <si>
    <t>CPIEMP359</t>
  </si>
  <si>
    <t>CPIEMP360</t>
  </si>
  <si>
    <t>CPIEMP361</t>
  </si>
  <si>
    <t>CPIEMP362</t>
  </si>
  <si>
    <t>CPIEMP363</t>
  </si>
  <si>
    <t>CPIEMP364</t>
  </si>
  <si>
    <t>CPIEMP365</t>
  </si>
  <si>
    <t>CPIEMP366</t>
  </si>
  <si>
    <t>CPIEMP367</t>
  </si>
  <si>
    <t>CPIEMP368</t>
  </si>
  <si>
    <t>CPIEMP369</t>
  </si>
  <si>
    <t>CPIEMP370</t>
  </si>
  <si>
    <t>CPIEMP371</t>
  </si>
  <si>
    <t>CPIEMP372</t>
  </si>
  <si>
    <t>CPIEMP373</t>
  </si>
  <si>
    <t>CPIEMP374</t>
  </si>
  <si>
    <t>CPIEMP375</t>
  </si>
  <si>
    <t>CPIEMP376</t>
  </si>
  <si>
    <t>CPIEMP377</t>
  </si>
  <si>
    <t>CPIEMP378</t>
  </si>
  <si>
    <t>CPIEMP379</t>
  </si>
  <si>
    <t>CPIEMP380</t>
  </si>
  <si>
    <t>CPIEMP381</t>
  </si>
  <si>
    <t>CPIEMP382</t>
  </si>
  <si>
    <t>CPIEMP383</t>
  </si>
  <si>
    <t>CPIEMP384</t>
  </si>
  <si>
    <t>CPIEMP385</t>
  </si>
  <si>
    <t>CPIEMP386</t>
  </si>
  <si>
    <t>CPIEMP387</t>
  </si>
  <si>
    <t>CPIEMP388</t>
  </si>
  <si>
    <t>CPIEMP389</t>
  </si>
  <si>
    <t>CPIEMP390</t>
  </si>
  <si>
    <t>CPIEMP391</t>
  </si>
  <si>
    <t>CPIEMP392</t>
  </si>
  <si>
    <t>CPIEMP393</t>
  </si>
  <si>
    <t>CPIEMP394</t>
  </si>
  <si>
    <t>CPIEMP395</t>
  </si>
  <si>
    <t>CPIEMP396</t>
  </si>
  <si>
    <t>CPIEMP397</t>
  </si>
  <si>
    <t>CPIEMP398</t>
  </si>
  <si>
    <t>CPIEMP399</t>
  </si>
  <si>
    <t>CPIEMP400</t>
  </si>
  <si>
    <t>CPIEMP401</t>
  </si>
  <si>
    <t>CPIEMP402</t>
  </si>
  <si>
    <t>CPIEMP403</t>
  </si>
  <si>
    <t>CPIEMP404</t>
  </si>
  <si>
    <t>CPIEMP405</t>
  </si>
  <si>
    <t>CPIEMP406</t>
  </si>
  <si>
    <t>CPIEMP407</t>
  </si>
  <si>
    <t>CPIEMP408</t>
  </si>
  <si>
    <t>CPIEMP409</t>
  </si>
  <si>
    <t>CPIEMP410</t>
  </si>
  <si>
    <t>CPIEMP411</t>
  </si>
  <si>
    <t>CPIEMP412</t>
  </si>
  <si>
    <t>CPIEMP413</t>
  </si>
  <si>
    <t>CPIEMP414</t>
  </si>
  <si>
    <t>CPIEMP415</t>
  </si>
  <si>
    <t>CPIEMP416</t>
  </si>
  <si>
    <t>CPIEMP417</t>
  </si>
  <si>
    <t>CPIEMP418</t>
  </si>
  <si>
    <t>CPIEMP419</t>
  </si>
  <si>
    <t>CPIEMP420</t>
  </si>
  <si>
    <t>CPIEMP421</t>
  </si>
  <si>
    <t>CPIEMP422</t>
  </si>
  <si>
    <t>CPIEMP423</t>
  </si>
  <si>
    <t>CPIEMP424</t>
  </si>
  <si>
    <t>CPIEMP425</t>
  </si>
  <si>
    <t>CPIEMP426</t>
  </si>
  <si>
    <t>CPIEMP427</t>
  </si>
  <si>
    <t>CPIEMP428</t>
  </si>
  <si>
    <t>CPIEMP429</t>
  </si>
  <si>
    <t>CPIEMP430</t>
  </si>
  <si>
    <t>CPIEMP431</t>
  </si>
  <si>
    <t>CPIEMP432</t>
  </si>
  <si>
    <t>CPIEMP433</t>
  </si>
  <si>
    <t>CPIEMP434</t>
  </si>
  <si>
    <t>CPIEMP435</t>
  </si>
  <si>
    <t>CPIEMP436</t>
  </si>
  <si>
    <t>CPIEMP437</t>
  </si>
  <si>
    <t>CPIEMP438</t>
  </si>
  <si>
    <t>CPIEMP439</t>
  </si>
  <si>
    <t>CPIEMP440</t>
  </si>
  <si>
    <t>CPIEMP441</t>
  </si>
  <si>
    <t>CPIEMP442</t>
  </si>
  <si>
    <t>CPIEMP443</t>
  </si>
  <si>
    <t>CPIEMP444</t>
  </si>
  <si>
    <t>CPIEMP445</t>
  </si>
  <si>
    <t>CPIEMP446</t>
  </si>
  <si>
    <t>CPIEMP447</t>
  </si>
  <si>
    <t>CPIEMP448</t>
  </si>
  <si>
    <t>CPIEMP449</t>
  </si>
  <si>
    <t>CPIEMP450</t>
  </si>
  <si>
    <t>CPIEMP451</t>
  </si>
  <si>
    <t>CPIEMP452</t>
  </si>
  <si>
    <t>CPIEMP453</t>
  </si>
  <si>
    <t>CPIEMP454</t>
  </si>
  <si>
    <t>CPIEMP455</t>
  </si>
  <si>
    <t>CPIEMP456</t>
  </si>
  <si>
    <t>CPIEMP457</t>
  </si>
  <si>
    <t>CPIEMP458</t>
  </si>
  <si>
    <t>CPIEMP459</t>
  </si>
  <si>
    <t>CPIEMP460</t>
  </si>
  <si>
    <t>CPIEMP461</t>
  </si>
  <si>
    <t>CPIEMP462</t>
  </si>
  <si>
    <t>CPIEMP463</t>
  </si>
  <si>
    <t>CPIEMP464</t>
  </si>
  <si>
    <t>CPIEMP465</t>
  </si>
  <si>
    <t>CPIEMP466</t>
  </si>
  <si>
    <t>CPIEMP467</t>
  </si>
  <si>
    <t>CPIEMP468</t>
  </si>
  <si>
    <t>CPIEMP469</t>
  </si>
  <si>
    <t>CPIEMP470</t>
  </si>
  <si>
    <t>CPIEMP471</t>
  </si>
  <si>
    <t>CPIEMP472</t>
  </si>
  <si>
    <t>CPIEMP473</t>
  </si>
  <si>
    <t>CPIEMP474</t>
  </si>
  <si>
    <t>CPIEMP475</t>
  </si>
  <si>
    <t>CPIEMP476</t>
  </si>
  <si>
    <t>CPIEMP477</t>
  </si>
  <si>
    <t>CPIEMP478</t>
  </si>
  <si>
    <t>CPIEMP479</t>
  </si>
  <si>
    <t>CPIEMP480</t>
  </si>
  <si>
    <t>CPIEMP481</t>
  </si>
  <si>
    <t>CPIEMP482</t>
  </si>
  <si>
    <t>CPIEMP483</t>
  </si>
  <si>
    <t>CPIEMP484</t>
  </si>
  <si>
    <t>CPIEMP485</t>
  </si>
  <si>
    <t>CPIEMP486</t>
  </si>
  <si>
    <t>CPIEMP487</t>
  </si>
  <si>
    <t>CPIEMP488</t>
  </si>
  <si>
    <t>CPIEMP489</t>
  </si>
  <si>
    <t>CPIEMP490</t>
  </si>
  <si>
    <t>CPIEMP491</t>
  </si>
  <si>
    <t>CPIEMP492</t>
  </si>
  <si>
    <t>CPIEMP493</t>
  </si>
  <si>
    <t>CPIEMP494</t>
  </si>
  <si>
    <t>CPIEMP495</t>
  </si>
  <si>
    <t>CPIEMP496</t>
  </si>
  <si>
    <t>CPIEMP497</t>
  </si>
  <si>
    <t>CPIEMP498</t>
  </si>
  <si>
    <t>CPIEMP499</t>
  </si>
  <si>
    <t>CPIEMP500</t>
  </si>
  <si>
    <t>CPIEMP501</t>
  </si>
  <si>
    <t>CPIEMP502</t>
  </si>
  <si>
    <t>CPIEMP503</t>
  </si>
  <si>
    <t>CPIEMP504</t>
  </si>
  <si>
    <t>CPIEMP505</t>
  </si>
  <si>
    <t>CPIEMP506</t>
  </si>
  <si>
    <t>CPIEMP507</t>
  </si>
  <si>
    <t>CPIEMP508</t>
  </si>
  <si>
    <t>CPIEMP509</t>
  </si>
  <si>
    <t>CPIEMP510</t>
  </si>
  <si>
    <t>CPIEMP511</t>
  </si>
  <si>
    <t>CPIEMP512</t>
  </si>
  <si>
    <t>CPIEMP513</t>
  </si>
  <si>
    <t>CPIEMP514</t>
  </si>
  <si>
    <t>CPIEMP515</t>
  </si>
  <si>
    <t>CPIEMP516</t>
  </si>
  <si>
    <t>CPIEMP517</t>
  </si>
  <si>
    <t>CPIEMP518</t>
  </si>
  <si>
    <t>CPIEMP519</t>
  </si>
  <si>
    <t>CPIEMP520</t>
  </si>
  <si>
    <t>CPIEMP521</t>
  </si>
  <si>
    <t>CPIEMP522</t>
  </si>
  <si>
    <t>CPIEMP523</t>
  </si>
  <si>
    <t>CPIEMP524</t>
  </si>
  <si>
    <t>CPIEMP525</t>
  </si>
  <si>
    <t>CPIEMP526</t>
  </si>
  <si>
    <t>CPIEMP527</t>
  </si>
  <si>
    <t>CPIEMP528</t>
  </si>
  <si>
    <t>CPIEMP529</t>
  </si>
  <si>
    <t>CPIEMP530</t>
  </si>
  <si>
    <t>CPIEMP531</t>
  </si>
  <si>
    <t>CPIEMP532</t>
  </si>
  <si>
    <t>CPIEMP533</t>
  </si>
  <si>
    <t>CPIEMP534</t>
  </si>
  <si>
    <t>CPIEMP535</t>
  </si>
  <si>
    <t>CPIEMP536</t>
  </si>
  <si>
    <t>CPIEMP537</t>
  </si>
  <si>
    <t>CPIEMP538</t>
  </si>
  <si>
    <t>CPIEMP539</t>
  </si>
  <si>
    <t>CPIEMP540</t>
  </si>
  <si>
    <t>CPIEMP541</t>
  </si>
  <si>
    <t>CPIEMP542</t>
  </si>
  <si>
    <t>CPIEMP543</t>
  </si>
  <si>
    <t>CPIEMP544</t>
  </si>
  <si>
    <t>CPIEMP545</t>
  </si>
  <si>
    <t>CPIEMP546</t>
  </si>
  <si>
    <t>CPIEMP547</t>
  </si>
  <si>
    <t>CPIEMP548</t>
  </si>
  <si>
    <t>CPIEMP549</t>
  </si>
  <si>
    <t>CPIEMP550</t>
  </si>
  <si>
    <t>CPIEMP551</t>
  </si>
  <si>
    <t>CPIEMP552</t>
  </si>
  <si>
    <t>CPIEMP553</t>
  </si>
  <si>
    <t>CPIEMP554</t>
  </si>
  <si>
    <t>CPIEMP555</t>
  </si>
  <si>
    <t>CPIEMP556</t>
  </si>
  <si>
    <t>CPIEMP557</t>
  </si>
  <si>
    <t>CPIEMP558</t>
  </si>
  <si>
    <t>CPIEMP559</t>
  </si>
  <si>
    <t>CPIEMP560</t>
  </si>
  <si>
    <t>CPIEMP561</t>
  </si>
  <si>
    <t>CPIEMP562</t>
  </si>
  <si>
    <t>CPIEMP563</t>
  </si>
  <si>
    <t>CPIEMP564</t>
  </si>
  <si>
    <t>CPIEMP565</t>
  </si>
  <si>
    <t>CPIEMP566</t>
  </si>
  <si>
    <t>CPIEMP567</t>
  </si>
  <si>
    <t>CPIEMP568</t>
  </si>
  <si>
    <t>CPIEMP569</t>
  </si>
  <si>
    <t>CPIEMP570</t>
  </si>
  <si>
    <t>CPIEMP571</t>
  </si>
  <si>
    <t>CPIEMP572</t>
  </si>
  <si>
    <t>CPIEMP573</t>
  </si>
  <si>
    <t>CPIEMP574</t>
  </si>
  <si>
    <t>CPIEMP575</t>
  </si>
  <si>
    <t>CPIEMP576</t>
  </si>
  <si>
    <t>CPIEMP577</t>
  </si>
  <si>
    <t>CPIEMP578</t>
  </si>
  <si>
    <t>CPIEMP579</t>
  </si>
  <si>
    <t>CPIEMP580</t>
  </si>
  <si>
    <t>CPIEMP581</t>
  </si>
  <si>
    <t>CPIEMP582</t>
  </si>
  <si>
    <t>CPIEMP583</t>
  </si>
  <si>
    <t>CPIEMP584</t>
  </si>
  <si>
    <t>CPIEMP585</t>
  </si>
  <si>
    <t>CPIEMP586</t>
  </si>
  <si>
    <t>CPIEMP587</t>
  </si>
  <si>
    <t>CPIEMP588</t>
  </si>
  <si>
    <t>CPIEMP589</t>
  </si>
  <si>
    <t>CPIEMP590</t>
  </si>
  <si>
    <t>CPIEMP591</t>
  </si>
  <si>
    <t>CPIEMP592</t>
  </si>
  <si>
    <t>CPIEMP593</t>
  </si>
  <si>
    <t>CPIEMP594</t>
  </si>
  <si>
    <t>CPIEMP595</t>
  </si>
  <si>
    <t>CPIEMP596</t>
  </si>
  <si>
    <t>CPIEMP597</t>
  </si>
  <si>
    <t>CPIEMP598</t>
  </si>
  <si>
    <t>CPIEMP599</t>
  </si>
  <si>
    <t>CPIEMP600</t>
  </si>
  <si>
    <t>CPIEMP601</t>
  </si>
  <si>
    <t>CPIEMP602</t>
  </si>
  <si>
    <t>CPIEMP603</t>
  </si>
  <si>
    <t>CPIEMP604</t>
  </si>
  <si>
    <t>CPIEMP605</t>
  </si>
  <si>
    <t>CPIEMP606</t>
  </si>
  <si>
    <t>CPIEMP607</t>
  </si>
  <si>
    <t>CPIEMP608</t>
  </si>
  <si>
    <t>CPIEMP609</t>
  </si>
  <si>
    <t>CPIEMP610</t>
  </si>
  <si>
    <t>CPIEMP611</t>
  </si>
  <si>
    <t>CPIEMP612</t>
  </si>
  <si>
    <t>CPIEMP613</t>
  </si>
  <si>
    <t>CPIEMP614</t>
  </si>
  <si>
    <t>CPIEMP615</t>
  </si>
  <si>
    <t>CPIEMP616</t>
  </si>
  <si>
    <t>CPIEMP617</t>
  </si>
  <si>
    <t>CPIEMP618</t>
  </si>
  <si>
    <t>CPIEMP619</t>
  </si>
  <si>
    <t>CPIEMP620</t>
  </si>
  <si>
    <t>CPIEMP621</t>
  </si>
  <si>
    <t>CPIEMP622</t>
  </si>
  <si>
    <t>CPIEMP623</t>
  </si>
  <si>
    <t>CPIEMP624</t>
  </si>
  <si>
    <t>CPIEMP625</t>
  </si>
  <si>
    <t>CPIEMP626</t>
  </si>
  <si>
    <t>CPIEMP627</t>
  </si>
  <si>
    <t>CPIEMP628</t>
  </si>
  <si>
    <t>CPIEMP629</t>
  </si>
  <si>
    <t>CPIEMP630</t>
  </si>
  <si>
    <t>CPIEMP631</t>
  </si>
  <si>
    <t>CPIEMP632</t>
  </si>
  <si>
    <t>CPIEMP633</t>
  </si>
  <si>
    <t>CPIEMP634</t>
  </si>
  <si>
    <t>CPIEMP635</t>
  </si>
  <si>
    <t>CPIEMP636</t>
  </si>
  <si>
    <t>CPIEMP637</t>
  </si>
  <si>
    <t>CPIEMP638</t>
  </si>
  <si>
    <t>CPIEMP639</t>
  </si>
  <si>
    <t>CPIEMP640</t>
  </si>
  <si>
    <t>CPIEMP641</t>
  </si>
  <si>
    <t>CPIEMP642</t>
  </si>
  <si>
    <t>CPIEMP643</t>
  </si>
  <si>
    <t>CPIEMP644</t>
  </si>
  <si>
    <t>CPIEMP645</t>
  </si>
  <si>
    <t>CPIEMP646</t>
  </si>
  <si>
    <t>CPIEMP647</t>
  </si>
  <si>
    <t>CPIEMP648</t>
  </si>
  <si>
    <t>CPIEMP649</t>
  </si>
  <si>
    <t>CPIEMP650</t>
  </si>
  <si>
    <t>CPIEMP651</t>
  </si>
  <si>
    <t>CPIEMP652</t>
  </si>
  <si>
    <t>CPIEMP653</t>
  </si>
  <si>
    <t>CPIEMP654</t>
  </si>
  <si>
    <t>CPIEMP655</t>
  </si>
  <si>
    <t>CPIEMP656</t>
  </si>
  <si>
    <t>CPIEMP657</t>
  </si>
  <si>
    <t>CPIEMP658</t>
  </si>
  <si>
    <t>CPIEMP659</t>
  </si>
  <si>
    <t>CPIEMP660</t>
  </si>
  <si>
    <t>CPIEMP661</t>
  </si>
  <si>
    <t>CPIEMP662</t>
  </si>
  <si>
    <t>CPIEMP663</t>
  </si>
  <si>
    <t>CPIEMP664</t>
  </si>
  <si>
    <t>CPIEMP665</t>
  </si>
  <si>
    <t>CPIEMP666</t>
  </si>
  <si>
    <t>CPIEMP667</t>
  </si>
  <si>
    <t>CPIEMP668</t>
  </si>
  <si>
    <t>CPIEMP669</t>
  </si>
  <si>
    <t>CPIEMP670</t>
  </si>
  <si>
    <t>CPIEMP671</t>
  </si>
  <si>
    <t>CPIEMP672</t>
  </si>
  <si>
    <t>CPIEMP673</t>
  </si>
  <si>
    <t>CPIEMP674</t>
  </si>
  <si>
    <t>CPIEMP675</t>
  </si>
  <si>
    <t>CPIEMP676</t>
  </si>
  <si>
    <t>CPIEMP677</t>
  </si>
  <si>
    <t>CPIEMP678</t>
  </si>
  <si>
    <t>CPIEMP679</t>
  </si>
  <si>
    <t>CPIEMP680</t>
  </si>
  <si>
    <t>CPIEMP681</t>
  </si>
  <si>
    <t>CPIEMP682</t>
  </si>
  <si>
    <t>CPIEMP683</t>
  </si>
  <si>
    <t>CPIEMP684</t>
  </si>
  <si>
    <t>CPIEMP685</t>
  </si>
  <si>
    <t>CPIEMP686</t>
  </si>
  <si>
    <t>CPIEMP687</t>
  </si>
  <si>
    <t>CPIEMP688</t>
  </si>
  <si>
    <t>CPIEMP689</t>
  </si>
  <si>
    <t>CPIEMP690</t>
  </si>
  <si>
    <t>CPIEMP691</t>
  </si>
  <si>
    <t>CPIEMP692</t>
  </si>
  <si>
    <t>CPIEMP693</t>
  </si>
  <si>
    <t>CPIEMP694</t>
  </si>
  <si>
    <t>CPIEMP695</t>
  </si>
  <si>
    <t>CPIEMP696</t>
  </si>
  <si>
    <t>CPIEMP697</t>
  </si>
  <si>
    <t>CPIEMP698</t>
  </si>
  <si>
    <t>CPIEMP699</t>
  </si>
  <si>
    <t>CPIEMP700</t>
  </si>
  <si>
    <t>CPIEMP701</t>
  </si>
  <si>
    <t>CPIEMP702</t>
  </si>
  <si>
    <t>CPIEMP703</t>
  </si>
  <si>
    <t>CPIEMP704</t>
  </si>
  <si>
    <t>CPIEMP705</t>
  </si>
  <si>
    <t>CPIEMP706</t>
  </si>
  <si>
    <t>CPIEMP707</t>
  </si>
  <si>
    <t>CPIEMP708</t>
  </si>
  <si>
    <t>CPIEMP709</t>
  </si>
  <si>
    <t>CPIEMP710</t>
  </si>
  <si>
    <t>CPIEMP711</t>
  </si>
  <si>
    <t>CPIEMP712</t>
  </si>
  <si>
    <t>CPIEMP713</t>
  </si>
  <si>
    <t>CPIEMP714</t>
  </si>
  <si>
    <t>CPIEMP715</t>
  </si>
  <si>
    <t>CPIEMP716</t>
  </si>
  <si>
    <t>CPIEMP717</t>
  </si>
  <si>
    <t>CPIEMP718</t>
  </si>
  <si>
    <t>CPIEMP719</t>
  </si>
  <si>
    <t>CPIEMP720</t>
  </si>
  <si>
    <t>CPIEMP721</t>
  </si>
  <si>
    <t>CPIEMP722</t>
  </si>
  <si>
    <t>CPIEMP723</t>
  </si>
  <si>
    <t>CPIEMP724</t>
  </si>
  <si>
    <t>CPIEMP725</t>
  </si>
  <si>
    <t>CPIEMP726</t>
  </si>
  <si>
    <t>CPIEMP727</t>
  </si>
  <si>
    <t>CPIEMP728</t>
  </si>
  <si>
    <t>CPIEMP729</t>
  </si>
  <si>
    <t>CPIEMP730</t>
  </si>
  <si>
    <t>CPIEMP731</t>
  </si>
  <si>
    <t>CPIEMP732</t>
  </si>
  <si>
    <t>CPIEMP733</t>
  </si>
  <si>
    <t>CPIEMP734</t>
  </si>
  <si>
    <t>CPIEMP735</t>
  </si>
  <si>
    <t>CPIEMP736</t>
  </si>
  <si>
    <t>CPIEMP737</t>
  </si>
  <si>
    <t>CPIEMP738</t>
  </si>
  <si>
    <t>CPIEMP739</t>
  </si>
  <si>
    <t>CPIEMP740</t>
  </si>
  <si>
    <t>CPIEMP741</t>
  </si>
  <si>
    <t>CPIEMP742</t>
  </si>
  <si>
    <t>CPIEMP743</t>
  </si>
  <si>
    <t>CPIEMP744</t>
  </si>
  <si>
    <t>CPIEMP745</t>
  </si>
  <si>
    <t>CPIEMP746</t>
  </si>
  <si>
    <t>CPIEMP747</t>
  </si>
  <si>
    <t>CPIEMP748</t>
  </si>
  <si>
    <t>CPIEMP749</t>
  </si>
  <si>
    <t>CPIEMP750</t>
  </si>
  <si>
    <t>CPIEMP751</t>
  </si>
  <si>
    <t>CPIEMP752</t>
  </si>
  <si>
    <t>CPIEMP753</t>
  </si>
  <si>
    <t>CPIEMP754</t>
  </si>
  <si>
    <t>CPIEMP755</t>
  </si>
  <si>
    <t>CPIEMP756</t>
  </si>
  <si>
    <t>CPIEMP757</t>
  </si>
  <si>
    <t>CPIEMP758</t>
  </si>
  <si>
    <t>CPIEMP759</t>
  </si>
  <si>
    <t>CPIEMP760</t>
  </si>
  <si>
    <t>CPIEMP761</t>
  </si>
  <si>
    <t>CPIEMP762</t>
  </si>
  <si>
    <t>CPIEMP763</t>
  </si>
  <si>
    <t>CPIEMP764</t>
  </si>
  <si>
    <t>CPIEMP765</t>
  </si>
  <si>
    <t>CPIEMP766</t>
  </si>
  <si>
    <t>CPIEMP767</t>
  </si>
  <si>
    <t>CPIEMP768</t>
  </si>
  <si>
    <t>CPIEMP769</t>
  </si>
  <si>
    <t>CPIEMP770</t>
  </si>
  <si>
    <t>CPIEMP771</t>
  </si>
  <si>
    <t>CPIEMP772</t>
  </si>
  <si>
    <t>CPIEMP773</t>
  </si>
  <si>
    <t>CPIEMP774</t>
  </si>
  <si>
    <t>CPIEMP775</t>
  </si>
  <si>
    <t>CPIEMP776</t>
  </si>
  <si>
    <t>CPIEMP777</t>
  </si>
  <si>
    <t>CPIEMP778</t>
  </si>
  <si>
    <t>CPIEMP779</t>
  </si>
  <si>
    <t>CPIEMP780</t>
  </si>
  <si>
    <t>CPIEMP781</t>
  </si>
  <si>
    <t>CPIEMP782</t>
  </si>
  <si>
    <t>CPIEMP783</t>
  </si>
  <si>
    <t>CPIEMP784</t>
  </si>
  <si>
    <t>CPIEMP785</t>
  </si>
  <si>
    <t>CPIEMP786</t>
  </si>
  <si>
    <t>CPIEMP787</t>
  </si>
  <si>
    <t>CPIEMP788</t>
  </si>
  <si>
    <t>CPIEMP789</t>
  </si>
  <si>
    <t>CPIEMP790</t>
  </si>
  <si>
    <t>CPIEMP791</t>
  </si>
  <si>
    <t>CPIEMP792</t>
  </si>
  <si>
    <t>CPIEMP793</t>
  </si>
  <si>
    <t>CPIEMP794</t>
  </si>
  <si>
    <t>CPIEMP795</t>
  </si>
  <si>
    <t>CPIEMP796</t>
  </si>
  <si>
    <t>CPIEMP797</t>
  </si>
  <si>
    <t>CPIEMP798</t>
  </si>
  <si>
    <t>CPIEMP799</t>
  </si>
  <si>
    <t>CPIEMP800</t>
  </si>
  <si>
    <t>CPIEMP801</t>
  </si>
  <si>
    <t>CPIEMP802</t>
  </si>
  <si>
    <t>CPIEMP803</t>
  </si>
  <si>
    <t>CPIEMP804</t>
  </si>
  <si>
    <t>CPIEMP805</t>
  </si>
  <si>
    <t>CPIEMP806</t>
  </si>
  <si>
    <t>CPIEMP807</t>
  </si>
  <si>
    <t>CPIEMP808</t>
  </si>
  <si>
    <t>CPIEMP809</t>
  </si>
  <si>
    <t>CPIEMP810</t>
  </si>
  <si>
    <t>CPIEMP811</t>
  </si>
  <si>
    <t>CPIEMP812</t>
  </si>
  <si>
    <t>CPIEMP813</t>
  </si>
  <si>
    <t>CPIEMP814</t>
  </si>
  <si>
    <t>CPIEMP815</t>
  </si>
  <si>
    <t>CPIEMP816</t>
  </si>
  <si>
    <t>CPIEMP817</t>
  </si>
  <si>
    <t>CPIEMP818</t>
  </si>
  <si>
    <t>CPIEMP819</t>
  </si>
  <si>
    <t>CPIEMP820</t>
  </si>
  <si>
    <t>CPIEMP821</t>
  </si>
  <si>
    <t>CPIEMP822</t>
  </si>
  <si>
    <t>CPIEMP823</t>
  </si>
  <si>
    <t>CPIEMP824</t>
  </si>
  <si>
    <t>CPIEMP825</t>
  </si>
  <si>
    <t>CPIEMP826</t>
  </si>
  <si>
    <t>CPIEMP827</t>
  </si>
  <si>
    <t>CPIEMP828</t>
  </si>
  <si>
    <t>CPIEMP829</t>
  </si>
  <si>
    <t>CPIEMP830</t>
  </si>
  <si>
    <t>CPIEMP831</t>
  </si>
  <si>
    <t>CPIEMP832</t>
  </si>
  <si>
    <t>CPIEMP833</t>
  </si>
  <si>
    <t>CPIEMP834</t>
  </si>
  <si>
    <t>CPIEMP835</t>
  </si>
  <si>
    <t>CPIEMP836</t>
  </si>
  <si>
    <t>CPIEMP837</t>
  </si>
  <si>
    <t>CPIEMP838</t>
  </si>
  <si>
    <t>CPIEMP839</t>
  </si>
  <si>
    <t>CPIEMP840</t>
  </si>
  <si>
    <t>CPIEMP841</t>
  </si>
  <si>
    <t>CPIEMP842</t>
  </si>
  <si>
    <t>CPIEMP843</t>
  </si>
  <si>
    <t>CPIEMP844</t>
  </si>
  <si>
    <t>CPIEMP845</t>
  </si>
  <si>
    <t>CPIEMP846</t>
  </si>
  <si>
    <t>CPIEMP847</t>
  </si>
  <si>
    <t>CPIEMP848</t>
  </si>
  <si>
    <t>CPIEMP849</t>
  </si>
  <si>
    <t>CPIEMP850</t>
  </si>
  <si>
    <t>CPIEMP851</t>
  </si>
  <si>
    <t>CPIEMP852</t>
  </si>
  <si>
    <t>CPIEMP853</t>
  </si>
  <si>
    <t>CPIEMP854</t>
  </si>
  <si>
    <t>CPIEMP855</t>
  </si>
  <si>
    <t>CPIEMP856</t>
  </si>
  <si>
    <t>CPIEMP857</t>
  </si>
  <si>
    <t>CPIEMP858</t>
  </si>
  <si>
    <t>CPIEMP859</t>
  </si>
  <si>
    <t>CPIEMP860</t>
  </si>
  <si>
    <t>CPIEMP861</t>
  </si>
  <si>
    <t>CPIEMP862</t>
  </si>
  <si>
    <t>CPIEMP863</t>
  </si>
  <si>
    <t>CPIEMP864</t>
  </si>
  <si>
    <t>CPIEMP865</t>
  </si>
  <si>
    <t>CPIEMP866</t>
  </si>
  <si>
    <t>CPIEMP867</t>
  </si>
  <si>
    <t>CPIEMP868</t>
  </si>
  <si>
    <t>CPIEMP869</t>
  </si>
  <si>
    <t>CPIEMP870</t>
  </si>
  <si>
    <t>CPIEMP871</t>
  </si>
  <si>
    <t>CPIEMP872</t>
  </si>
  <si>
    <t>CPIEMP873</t>
  </si>
  <si>
    <t>CPIEMP874</t>
  </si>
  <si>
    <t>CPIEMP875</t>
  </si>
  <si>
    <t>CPIEMP876</t>
  </si>
  <si>
    <t>CPIEMP877</t>
  </si>
  <si>
    <t>CPIEMP878</t>
  </si>
  <si>
    <t>CPIEMP879</t>
  </si>
  <si>
    <t>CPIEMP880</t>
  </si>
  <si>
    <t>CPIEMP881</t>
  </si>
  <si>
    <t>CPIEMP882</t>
  </si>
  <si>
    <t>CPIEMP883</t>
  </si>
  <si>
    <t>CPIEMP884</t>
  </si>
  <si>
    <t>CPIEMP885</t>
  </si>
  <si>
    <t>CPIEMP886</t>
  </si>
  <si>
    <t>CPIEMP887</t>
  </si>
  <si>
    <t>CPIEMP888</t>
  </si>
  <si>
    <t>CPIEMP889</t>
  </si>
  <si>
    <t>CPIEMP890</t>
  </si>
  <si>
    <t>CPIEMP891</t>
  </si>
  <si>
    <t>CPIEMP892</t>
  </si>
  <si>
    <t>CPIEMP893</t>
  </si>
  <si>
    <t>CPIEMP894</t>
  </si>
  <si>
    <t>CPIEMP895</t>
  </si>
  <si>
    <t>CPIEMP896</t>
  </si>
  <si>
    <t>CPIEMP897</t>
  </si>
  <si>
    <t>CPIEMP898</t>
  </si>
  <si>
    <t>CPIEMP899</t>
  </si>
  <si>
    <t>CPIEMP900</t>
  </si>
  <si>
    <t>CPIEMP901</t>
  </si>
  <si>
    <t>CPIEMP902</t>
  </si>
  <si>
    <t>CPIEMP903</t>
  </si>
  <si>
    <t>CPIEMP904</t>
  </si>
  <si>
    <t>CPIEMP905</t>
  </si>
  <si>
    <t>CPIEMP906</t>
  </si>
  <si>
    <t>CPIEMP907</t>
  </si>
  <si>
    <t>CPIEMP908</t>
  </si>
  <si>
    <t>CPIEMP909</t>
  </si>
  <si>
    <t>CPIEMP910</t>
  </si>
  <si>
    <t>CPIEMP911</t>
  </si>
  <si>
    <t>CPIEMP912</t>
  </si>
  <si>
    <t>CPIEMP913</t>
  </si>
  <si>
    <t>CPIEMP914</t>
  </si>
  <si>
    <t>CPIEMP915</t>
  </si>
  <si>
    <t>CPIEMP916</t>
  </si>
  <si>
    <t>CPIEMP917</t>
  </si>
  <si>
    <t>CPIEMP918</t>
  </si>
  <si>
    <t>CPIEMP919</t>
  </si>
  <si>
    <t>CPIEMP920</t>
  </si>
  <si>
    <t>CPIEMP921</t>
  </si>
  <si>
    <t>CPIEMP922</t>
  </si>
  <si>
    <t>CPIEMP923</t>
  </si>
  <si>
    <t>CPIEMP924</t>
  </si>
  <si>
    <t>CPIEMP925</t>
  </si>
  <si>
    <t>CPIEMP926</t>
  </si>
  <si>
    <t>CPIEMP927</t>
  </si>
  <si>
    <t>CPIEMP928</t>
  </si>
  <si>
    <t>CPIEMP929</t>
  </si>
  <si>
    <t>CPIEMP930</t>
  </si>
  <si>
    <t>CPIEMP931</t>
  </si>
  <si>
    <t>CPIEMP932</t>
  </si>
  <si>
    <t>CPIEMP933</t>
  </si>
  <si>
    <t>CPIEMP934</t>
  </si>
  <si>
    <t>CPIEMP935</t>
  </si>
  <si>
    <t>CPIEMP936</t>
  </si>
  <si>
    <t>CPIEMP937</t>
  </si>
  <si>
    <t>CPIEMP938</t>
  </si>
  <si>
    <t>CPIEMP939</t>
  </si>
  <si>
    <t>CPIEMP940</t>
  </si>
  <si>
    <t>CPIEMP941</t>
  </si>
  <si>
    <t>CPIEMP942</t>
  </si>
  <si>
    <t>CPIEMP943</t>
  </si>
  <si>
    <t>CPIEMP944</t>
  </si>
  <si>
    <t>CPIEMP945</t>
  </si>
  <si>
    <t>CPIEMP946</t>
  </si>
  <si>
    <t>CPIEMP947</t>
  </si>
  <si>
    <t>CPIEMP948</t>
  </si>
  <si>
    <t>CPIEMP949</t>
  </si>
  <si>
    <t>CPIEMP950</t>
  </si>
  <si>
    <t>CPIEMP951</t>
  </si>
  <si>
    <t>CPIEMP952</t>
  </si>
  <si>
    <t>CPIEMP953</t>
  </si>
  <si>
    <t>CPIEMP954</t>
  </si>
  <si>
    <t>CPIEMP955</t>
  </si>
  <si>
    <t>CPIEMP956</t>
  </si>
  <si>
    <t>CPIEMP957</t>
  </si>
  <si>
    <t>CPIEMP958</t>
  </si>
  <si>
    <t>CPIEMP959</t>
  </si>
  <si>
    <t>CPIEMP960</t>
  </si>
  <si>
    <t>CPIEMP961</t>
  </si>
  <si>
    <t>CPIEMP962</t>
  </si>
  <si>
    <t>CPIEMP963</t>
  </si>
  <si>
    <t>CPIEMP964</t>
  </si>
  <si>
    <t>CPIEMP965</t>
  </si>
  <si>
    <t>CPIEMP966</t>
  </si>
  <si>
    <t>CPIEMP967</t>
  </si>
  <si>
    <t>CPIEMP968</t>
  </si>
  <si>
    <t>CPIEMP969</t>
  </si>
  <si>
    <t>CPIEMP970</t>
  </si>
  <si>
    <t>CPIEMP971</t>
  </si>
  <si>
    <t>CPIEMP972</t>
  </si>
  <si>
    <t>CPIEMP973</t>
  </si>
  <si>
    <t>CPIEMP974</t>
  </si>
  <si>
    <t>CPIEMP975</t>
  </si>
  <si>
    <t>CPIEMP976</t>
  </si>
  <si>
    <t>CPIEMP977</t>
  </si>
  <si>
    <t>CPIEMP978</t>
  </si>
  <si>
    <t>CPIEMP979</t>
  </si>
  <si>
    <t>CPIEMP980</t>
  </si>
  <si>
    <t>CPIEMP981</t>
  </si>
  <si>
    <t>CPIEMP982</t>
  </si>
  <si>
    <t>CPIEMP983</t>
  </si>
  <si>
    <t>CPIEMP984</t>
  </si>
  <si>
    <t>CPIEMP985</t>
  </si>
  <si>
    <t>CPIEMP986</t>
  </si>
  <si>
    <t>CPIEMP987</t>
  </si>
  <si>
    <t>CPIEMP988</t>
  </si>
  <si>
    <t>CPIEMP989</t>
  </si>
  <si>
    <t>CPIEMP990</t>
  </si>
  <si>
    <t>CPIEMP991</t>
  </si>
  <si>
    <t>CPIEMP992</t>
  </si>
  <si>
    <t>CPIEMP993</t>
  </si>
  <si>
    <t>CPIEMP994</t>
  </si>
  <si>
    <t>CPIEMP995</t>
  </si>
  <si>
    <t>CPIEMP996</t>
  </si>
  <si>
    <t>CPIEMP997</t>
  </si>
  <si>
    <t>CPIEMP998</t>
  </si>
  <si>
    <t>NetPay</t>
  </si>
  <si>
    <t>Link</t>
  </si>
  <si>
    <t>PAID</t>
  </si>
  <si>
    <t>ON HOLD</t>
  </si>
  <si>
    <t>NOT PAID</t>
  </si>
  <si>
    <t>Challenge Packaging Industries</t>
  </si>
  <si>
    <t xml:space="preserve">Payslip For the </t>
  </si>
  <si>
    <t>DAYS</t>
  </si>
  <si>
    <t>Employee Name</t>
  </si>
  <si>
    <t>Paid / Present Days</t>
  </si>
  <si>
    <t>Absent Days</t>
  </si>
  <si>
    <t xml:space="preserve">Earnigns </t>
  </si>
  <si>
    <t>Amount</t>
  </si>
  <si>
    <t>Deductions</t>
  </si>
  <si>
    <t>Basic</t>
  </si>
  <si>
    <t>Salary Advance</t>
  </si>
  <si>
    <t>OT Payment</t>
  </si>
  <si>
    <t>Total Payment</t>
  </si>
  <si>
    <t>Total Deduction</t>
  </si>
  <si>
    <t>NET PAY</t>
  </si>
  <si>
    <t>INR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</si>
</sst>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quot;/&quot;mm&quot;/&quot;yyyy"/>
    <numFmt numFmtId="165" formatCode="[$₹]#,##0.00"/>
    <numFmt numFmtId="166" formatCode="mmmmyy"/>
    <numFmt numFmtId="167" formatCode="mmmm yyyy"/>
    <numFmt numFmtId="168" formatCode="[$$]#,##0.00"/>
    <numFmt numFmtId="169" formatCode="[$₹]#,##0"/>
    <numFmt numFmtId="170" formatCode="[$INR ₹]#,##0.00"/>
    <numFmt numFmtId="171" formatCode="ddmmmm"/>
  </numFmts>
  <fonts count="37">
    <font>
      <sz val="10.0"/>
      <color rgb="FF000000"/>
      <name val="Arial"/>
      <scheme val="minor"/>
    </font>
    <font>
      <b/>
      <sz val="12.0"/>
      <color rgb="FF000000"/>
      <name val="Calibri"/>
    </font>
    <font>
      <sz val="10.0"/>
      <color rgb="FF000000"/>
      <name val="Calibri"/>
    </font>
    <font>
      <sz val="10.0"/>
      <color theme="1"/>
      <name val="Calibri"/>
    </font>
    <font>
      <sz val="12.0"/>
      <color theme="1"/>
      <name val="Calibri"/>
    </font>
    <font>
      <color theme="1"/>
      <name val="Nunito"/>
    </font>
    <font>
      <color theme="1"/>
      <name val="Calibri"/>
    </font>
    <font>
      <sz val="9.0"/>
      <color theme="1"/>
      <name val="Calibri"/>
    </font>
    <font>
      <sz val="11.0"/>
      <color theme="1"/>
      <name val="Calibri"/>
    </font>
    <font>
      <sz val="22.0"/>
      <color rgb="FFFFFFFF"/>
      <name val="Calibri"/>
    </font>
    <font/>
    <font>
      <sz val="11.0"/>
      <color rgb="FFFFFFFF"/>
      <name val="Calibri"/>
    </font>
    <font>
      <sz val="24.0"/>
      <color rgb="FFFFFFFF"/>
      <name val="Calibri"/>
    </font>
    <font>
      <b/>
      <sz val="12.0"/>
      <color theme="1"/>
      <name val="Calibri"/>
    </font>
    <font>
      <b/>
      <sz val="11.0"/>
      <color theme="1"/>
      <name val="Calibri"/>
    </font>
    <font>
      <b/>
      <sz val="10.0"/>
      <color rgb="FFFFFFFF"/>
      <name val="Calibri"/>
    </font>
    <font>
      <sz val="10.0"/>
      <color rgb="FFFFFFFF"/>
      <name val="Calibri"/>
    </font>
    <font>
      <color theme="0"/>
      <name val="Calibri"/>
    </font>
    <font>
      <sz val="10.0"/>
      <color theme="0"/>
      <name val="Calibri"/>
    </font>
    <font>
      <b/>
      <color rgb="FFFFFFFF"/>
      <name val="Arial"/>
      <scheme val="minor"/>
    </font>
    <font>
      <color theme="1"/>
      <name val="Arial"/>
      <scheme val="minor"/>
    </font>
    <font>
      <b/>
      <color rgb="FFFFFFFF"/>
      <name val="Nunito"/>
    </font>
    <font>
      <b/>
      <color theme="1"/>
      <name val="Nunito"/>
    </font>
    <font>
      <b/>
      <sz val="11.0"/>
      <color rgb="FFFFFFFF"/>
      <name val="Nunito"/>
    </font>
    <font>
      <sz val="11.0"/>
      <color theme="1"/>
      <name val="Nunito"/>
    </font>
    <font>
      <b/>
      <sz val="12.0"/>
      <color rgb="FFFFFFFF"/>
      <name val="Calibri"/>
    </font>
    <font>
      <sz val="9.0"/>
      <color rgb="FF000000"/>
      <name val="Calibri"/>
    </font>
    <font>
      <color theme="1"/>
      <name val="Arial"/>
    </font>
    <font>
      <u/>
      <color rgb="FF0000FF"/>
    </font>
    <font>
      <u/>
      <color rgb="FF0000FF"/>
    </font>
    <font>
      <b/>
      <sz val="28.0"/>
      <color theme="1"/>
      <name val="Arial"/>
    </font>
    <font>
      <sz val="15.0"/>
      <color theme="1"/>
      <name val="Arial"/>
    </font>
    <font>
      <b/>
      <sz val="26.0"/>
      <color theme="1"/>
      <name val="Arial"/>
    </font>
    <font>
      <b/>
      <sz val="21.0"/>
      <color theme="1"/>
      <name val="Arial"/>
    </font>
    <font>
      <b/>
      <sz val="17.0"/>
      <color theme="1"/>
      <name val="Arial"/>
    </font>
    <font>
      <b/>
      <sz val="13.0"/>
      <color theme="1"/>
      <name val="Arial"/>
    </font>
    <font>
      <sz val="13.0"/>
      <color theme="1"/>
      <name val="Arial"/>
    </font>
  </fonts>
  <fills count="12">
    <fill>
      <patternFill patternType="none"/>
    </fill>
    <fill>
      <patternFill patternType="lightGray"/>
    </fill>
    <fill>
      <patternFill patternType="solid">
        <fgColor rgb="FFF1C232"/>
        <bgColor rgb="FFF1C232"/>
      </patternFill>
    </fill>
    <fill>
      <patternFill patternType="solid">
        <fgColor theme="7"/>
        <bgColor theme="7"/>
      </patternFill>
    </fill>
    <fill>
      <patternFill patternType="solid">
        <fgColor rgb="FF34A853"/>
        <bgColor rgb="FF34A853"/>
      </patternFill>
    </fill>
    <fill>
      <patternFill patternType="solid">
        <fgColor rgb="FF3D85C6"/>
        <bgColor rgb="FF3D85C6"/>
      </patternFill>
    </fill>
    <fill>
      <patternFill patternType="solid">
        <fgColor theme="9"/>
        <bgColor theme="9"/>
      </patternFill>
    </fill>
    <fill>
      <patternFill patternType="solid">
        <fgColor rgb="FF666666"/>
        <bgColor rgb="FF666666"/>
      </patternFill>
    </fill>
    <fill>
      <patternFill patternType="solid">
        <fgColor rgb="FFFFFFFF"/>
        <bgColor rgb="FFFFFFFF"/>
      </patternFill>
    </fill>
    <fill>
      <patternFill patternType="solid">
        <fgColor rgb="FFE06666"/>
        <bgColor rgb="FFE06666"/>
      </patternFill>
    </fill>
    <fill>
      <patternFill patternType="solid">
        <fgColor theme="0"/>
        <bgColor theme="0"/>
      </patternFill>
    </fill>
    <fill>
      <patternFill patternType="solid">
        <fgColor rgb="FFD9D2E9"/>
        <bgColor rgb="FFD9D2E9"/>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34A853"/>
      </left>
      <right style="thin">
        <color rgb="FF000000"/>
      </right>
    </border>
    <border>
      <left style="thin">
        <color rgb="FF000000"/>
      </left>
      <right style="thin">
        <color rgb="FF000000"/>
      </right>
    </border>
    <border>
      <left style="thin">
        <color rgb="FF000000"/>
      </left>
      <right style="thin">
        <color rgb="FF34A853"/>
      </right>
    </border>
    <border>
      <left style="thin">
        <color rgb="FF34A853"/>
      </left>
      <right style="thin">
        <color rgb="FF34A853"/>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164" xfId="0" applyAlignment="1" applyFont="1" applyNumberFormat="1">
      <alignment horizontal="center" readingOrder="0" vertical="center"/>
    </xf>
    <xf borderId="0" fillId="0" fontId="4" numFmtId="0" xfId="0" applyAlignment="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 numFmtId="165"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3" fontId="9" numFmtId="166" xfId="0" applyAlignment="1" applyFill="1" applyFont="1" applyNumberFormat="1">
      <alignment horizontal="left" readingOrder="0" vertical="center"/>
    </xf>
    <xf borderId="1" fillId="3" fontId="9" numFmtId="166" xfId="0" applyAlignment="1" applyBorder="1" applyFont="1" applyNumberFormat="1">
      <alignment horizontal="left" readingOrder="0" vertical="center"/>
    </xf>
    <xf borderId="2" fillId="4" fontId="9" numFmtId="167" xfId="0" applyAlignment="1" applyBorder="1" applyFill="1" applyFont="1" applyNumberFormat="1">
      <alignment horizontal="left" readingOrder="0" vertical="center"/>
    </xf>
    <xf borderId="3" fillId="0" fontId="10" numFmtId="0" xfId="0" applyBorder="1" applyFont="1"/>
    <xf borderId="1" fillId="3" fontId="11" numFmtId="0" xfId="0" applyAlignment="1" applyBorder="1" applyFont="1">
      <alignment horizontal="left" readingOrder="0" vertical="center"/>
    </xf>
    <xf borderId="2" fillId="3" fontId="12" numFmtId="0" xfId="0" applyAlignment="1" applyBorder="1" applyFont="1">
      <alignment horizontal="center" readingOrder="0" shrinkToFit="0" vertical="center" wrapText="1"/>
    </xf>
    <xf borderId="2" fillId="3" fontId="9" numFmtId="167" xfId="0" applyAlignment="1" applyBorder="1" applyFont="1" applyNumberFormat="1">
      <alignment horizontal="center" readingOrder="0" vertical="center"/>
    </xf>
    <xf borderId="1" fillId="3" fontId="12" numFmtId="0" xfId="0" applyAlignment="1" applyBorder="1" applyFont="1">
      <alignment horizontal="center" readingOrder="0" shrinkToFit="0" vertical="center" wrapText="1"/>
    </xf>
    <xf borderId="0" fillId="0" fontId="13" numFmtId="166" xfId="0" applyAlignment="1" applyFont="1" applyNumberFormat="1">
      <alignment horizontal="center" readingOrder="0" shrinkToFit="0" vertical="center" wrapText="1"/>
    </xf>
    <xf borderId="1" fillId="0" fontId="13" numFmtId="166" xfId="0" applyAlignment="1" applyBorder="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0" fillId="5" fontId="15" numFmtId="0" xfId="0" applyAlignment="1" applyFill="1" applyFont="1">
      <alignment horizontal="center" readingOrder="0"/>
    </xf>
    <xf borderId="1" fillId="5" fontId="15" numFmtId="0" xfId="0" applyAlignment="1" applyBorder="1" applyFont="1">
      <alignment horizontal="center" readingOrder="0"/>
    </xf>
    <xf borderId="1" fillId="5" fontId="16" numFmtId="0" xfId="0" applyAlignment="1" applyBorder="1" applyFont="1">
      <alignment horizontal="center"/>
    </xf>
    <xf borderId="1" fillId="0" fontId="8" numFmtId="0" xfId="0" applyAlignment="1" applyBorder="1" applyFont="1">
      <alignment horizontal="center" readingOrder="0" vertical="center"/>
    </xf>
    <xf borderId="1" fillId="0" fontId="6" numFmtId="0" xfId="0" applyAlignment="1" applyBorder="1" applyFont="1">
      <alignment horizontal="center" readingOrder="0" vertical="center"/>
    </xf>
    <xf borderId="0" fillId="0" fontId="3" numFmtId="166" xfId="0" applyAlignment="1" applyFont="1" applyNumberFormat="1">
      <alignment horizontal="center" readingOrder="0" vertical="center"/>
    </xf>
    <xf borderId="1" fillId="0" fontId="3" numFmtId="166" xfId="0" applyAlignment="1" applyBorder="1" applyFont="1" applyNumberFormat="1">
      <alignment horizontal="center" readingOrder="0" vertical="center"/>
    </xf>
    <xf borderId="2" fillId="0" fontId="3" numFmtId="0" xfId="0" applyAlignment="1" applyBorder="1" applyFont="1">
      <alignment horizontal="center" readingOrder="0" vertical="center"/>
    </xf>
    <xf borderId="2" fillId="0" fontId="6" numFmtId="0" xfId="0" applyAlignment="1" applyBorder="1" applyFont="1">
      <alignment horizontal="center" readingOrder="0" vertical="center"/>
    </xf>
    <xf borderId="1" fillId="5" fontId="17" numFmtId="0" xfId="0" applyAlignment="1" applyBorder="1" applyFont="1">
      <alignment horizontal="center" vertical="bottom"/>
    </xf>
    <xf borderId="1" fillId="0" fontId="3" numFmtId="0" xfId="0" applyAlignment="1" applyBorder="1" applyFont="1">
      <alignment horizontal="center" readingOrder="0" vertical="center"/>
    </xf>
    <xf borderId="1" fillId="0" fontId="6" numFmtId="0" xfId="0" applyAlignment="1" applyBorder="1" applyFont="1">
      <alignment horizontal="center" vertical="center"/>
    </xf>
    <xf borderId="1" fillId="0" fontId="8" numFmtId="0" xfId="0" applyAlignment="1" applyBorder="1" applyFont="1">
      <alignment horizontal="center" vertical="center"/>
    </xf>
    <xf borderId="1" fillId="5" fontId="18" numFmtId="0" xfId="0" applyAlignment="1" applyBorder="1" applyFont="1">
      <alignment horizontal="center"/>
    </xf>
    <xf borderId="0" fillId="0" fontId="6" numFmtId="166" xfId="0" applyAlignment="1" applyFont="1" applyNumberFormat="1">
      <alignment horizontal="center" vertical="center"/>
    </xf>
    <xf borderId="1" fillId="0" fontId="6" numFmtId="166" xfId="0" applyAlignment="1" applyBorder="1" applyFont="1" applyNumberFormat="1">
      <alignment horizontal="center" vertical="center"/>
    </xf>
    <xf borderId="0" fillId="0" fontId="6" numFmtId="0" xfId="0" applyAlignment="1" applyFont="1">
      <alignment horizontal="center" vertical="center"/>
    </xf>
    <xf borderId="0" fillId="0" fontId="8" numFmtId="0" xfId="0" applyAlignment="1" applyFont="1">
      <alignment horizontal="center" vertical="center"/>
    </xf>
    <xf borderId="0" fillId="3" fontId="19"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6" numFmtId="168" xfId="0" applyAlignment="1" applyFont="1" applyNumberFormat="1">
      <alignment horizontal="center" shrinkToFit="0" vertical="center" wrapText="1"/>
    </xf>
    <xf borderId="0" fillId="0" fontId="20" numFmtId="0" xfId="0" applyAlignment="1" applyFont="1">
      <alignment horizontal="center" readingOrder="0" shrinkToFit="0" vertical="center" wrapText="1"/>
    </xf>
    <xf borderId="0" fillId="6" fontId="21" numFmtId="0" xfId="0" applyAlignment="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169" xfId="0" applyAlignment="1" applyFont="1" applyNumberForma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0" fontId="5" numFmtId="9" xfId="0" applyAlignment="1" applyFont="1" applyNumberFormat="1">
      <alignment horizontal="center" readingOrder="0" vertical="center"/>
    </xf>
    <xf borderId="0" fillId="0" fontId="5" numFmtId="169" xfId="0" applyAlignment="1" applyFont="1" applyNumberFormat="1">
      <alignment horizontal="center" vertical="center"/>
    </xf>
    <xf borderId="0" fillId="0" fontId="5" numFmtId="164" xfId="0" applyAlignment="1" applyFont="1" applyNumberFormat="1">
      <alignment horizontal="center" vertical="center"/>
    </xf>
    <xf borderId="0" fillId="0" fontId="22" numFmtId="0" xfId="0" applyAlignment="1" applyFont="1">
      <alignment horizontal="center" shrinkToFit="0" vertical="center" wrapText="1"/>
    </xf>
    <xf borderId="0" fillId="7" fontId="23" numFmtId="0" xfId="0" applyAlignment="1" applyFill="1" applyFont="1">
      <alignment horizontal="center" readingOrder="0" vertical="bottom"/>
    </xf>
    <xf borderId="0" fillId="7" fontId="24" numFmtId="0" xfId="0" applyAlignment="1" applyFont="1">
      <alignment horizontal="center" readingOrder="0" vertical="bottom"/>
    </xf>
    <xf borderId="0" fillId="0" fontId="5" numFmtId="0" xfId="0" applyAlignment="1" applyFont="1">
      <alignment horizontal="center" vertical="bottom"/>
    </xf>
    <xf borderId="0" fillId="7" fontId="23" numFmtId="0" xfId="0" applyAlignment="1" applyFont="1">
      <alignment horizontal="center" vertical="bottom"/>
    </xf>
    <xf borderId="0" fillId="0" fontId="24" numFmtId="165" xfId="0" applyAlignment="1" applyFont="1" applyNumberFormat="1">
      <alignment horizontal="center" vertical="bottom"/>
    </xf>
    <xf borderId="0" fillId="0" fontId="22" numFmtId="0" xfId="0" applyAlignment="1" applyFont="1">
      <alignment horizontal="center" shrinkToFit="0" vertical="center" wrapText="1"/>
    </xf>
    <xf borderId="0" fillId="3" fontId="21" numFmtId="0" xfId="0" applyAlignment="1" applyFont="1">
      <alignment horizontal="center" shrinkToFit="0" vertical="center" wrapText="1"/>
    </xf>
    <xf borderId="0" fillId="0" fontId="5" numFmtId="0" xfId="0" applyAlignment="1" applyFont="1">
      <alignment horizontal="center"/>
    </xf>
    <xf borderId="0" fillId="0" fontId="5" numFmtId="164" xfId="0" applyAlignment="1" applyFont="1" applyNumberFormat="1">
      <alignment horizontal="center" shrinkToFit="0" vertical="center" wrapText="1"/>
    </xf>
    <xf borderId="0" fillId="0" fontId="5" numFmtId="169" xfId="0" applyAlignment="1" applyFont="1" applyNumberFormat="1">
      <alignment horizontal="center" shrinkToFit="0" vertical="center" wrapText="1"/>
    </xf>
    <xf borderId="0" fillId="3" fontId="25" numFmtId="0" xfId="0" applyAlignment="1" applyFont="1">
      <alignment horizontal="center" readingOrder="0" shrinkToFit="0" vertical="center" wrapText="1"/>
    </xf>
    <xf borderId="0" fillId="0" fontId="6" numFmtId="0" xfId="0" applyAlignment="1" applyFont="1">
      <alignment horizontal="center" readingOrder="0" shrinkToFit="0" vertical="bottom" wrapText="1"/>
    </xf>
    <xf borderId="0" fillId="0" fontId="6" numFmtId="165" xfId="0" applyAlignment="1" applyFont="1" applyNumberFormat="1">
      <alignment horizontal="center" shrinkToFit="0" vertical="center" wrapText="1"/>
    </xf>
    <xf borderId="0" fillId="8" fontId="2" numFmtId="49" xfId="0" applyAlignment="1" applyFill="1" applyFont="1" applyNumberFormat="1">
      <alignment horizontal="center" shrinkToFit="0" vertical="center" wrapText="1"/>
    </xf>
    <xf borderId="0" fillId="8" fontId="26" numFmtId="165" xfId="0" applyAlignment="1" applyFont="1" applyNumberFormat="1">
      <alignment horizontal="center" shrinkToFit="0" vertical="center" wrapText="1"/>
    </xf>
    <xf borderId="0" fillId="0" fontId="6" numFmtId="49" xfId="0" applyAlignment="1" applyFont="1" applyNumberFormat="1">
      <alignment horizontal="center" readingOrder="0" shrinkToFit="0" vertical="center" wrapText="1"/>
    </xf>
    <xf borderId="0" fillId="0" fontId="27" numFmtId="0" xfId="0" applyAlignment="1" applyFont="1">
      <alignment horizontal="center" readingOrder="0"/>
    </xf>
    <xf borderId="0" fillId="0" fontId="27" numFmtId="0" xfId="0" applyFont="1"/>
    <xf borderId="0" fillId="0" fontId="6" numFmtId="165" xfId="0" applyAlignment="1" applyFont="1" applyNumberFormat="1">
      <alignment horizontal="center" shrinkToFit="0" wrapText="1"/>
    </xf>
    <xf borderId="0" fillId="0" fontId="6" numFmtId="0" xfId="0" applyAlignment="1" applyFont="1">
      <alignment horizontal="center" readingOrder="0" shrinkToFit="0" wrapText="1"/>
    </xf>
    <xf borderId="0" fillId="0" fontId="6" numFmtId="0" xfId="0" applyAlignment="1" applyFont="1">
      <alignment horizontal="center" shrinkToFit="0" wrapText="1"/>
    </xf>
    <xf borderId="0" fillId="0" fontId="27" numFmtId="0" xfId="0" applyFont="1"/>
    <xf borderId="0" fillId="9" fontId="6" numFmtId="0" xfId="0" applyAlignment="1" applyFill="1" applyFont="1">
      <alignment horizontal="center" shrinkToFit="0" vertical="center" wrapText="1"/>
    </xf>
    <xf borderId="0" fillId="9" fontId="6" numFmtId="0" xfId="0" applyAlignment="1" applyFont="1">
      <alignment horizontal="center" readingOrder="0" shrinkToFit="0" vertical="center" wrapText="1"/>
    </xf>
    <xf borderId="0" fillId="10" fontId="6" numFmtId="0" xfId="0" applyAlignment="1" applyFill="1" applyFont="1">
      <alignment horizontal="center" readingOrder="0" shrinkToFit="0" vertical="center" wrapText="1"/>
    </xf>
    <xf borderId="0" fillId="0" fontId="6" numFmtId="167" xfId="0" applyAlignment="1" applyFont="1" applyNumberFormat="1">
      <alignment horizontal="center" readingOrder="0" shrinkToFit="0" vertical="bottom" wrapText="1"/>
    </xf>
    <xf borderId="4" fillId="3" fontId="19" numFmtId="0" xfId="0" applyAlignment="1" applyBorder="1" applyFont="1">
      <alignment horizontal="center" readingOrder="0" shrinkToFit="0" vertical="center" wrapText="1"/>
    </xf>
    <xf borderId="5" fillId="3" fontId="19" numFmtId="0" xfId="0" applyAlignment="1" applyBorder="1" applyFont="1">
      <alignment horizontal="center" readingOrder="0" shrinkToFit="0" vertical="center" wrapText="1"/>
    </xf>
    <xf borderId="5" fillId="3" fontId="19" numFmtId="2" xfId="0" applyAlignment="1" applyBorder="1" applyFont="1" applyNumberFormat="1">
      <alignment horizontal="center" readingOrder="0" shrinkToFit="0" vertical="center" wrapText="1"/>
    </xf>
    <xf borderId="6" fillId="3" fontId="19" numFmtId="2" xfId="0" applyAlignment="1" applyBorder="1" applyFont="1" applyNumberFormat="1">
      <alignment horizontal="center" readingOrder="0" shrinkToFit="0" vertical="center" wrapText="1"/>
    </xf>
    <xf borderId="0" fillId="0" fontId="20" numFmtId="0" xfId="0" applyAlignment="1" applyFont="1">
      <alignment horizontal="center" shrinkToFit="0" vertical="center" wrapText="1"/>
    </xf>
    <xf borderId="7" fillId="0" fontId="5" numFmtId="0" xfId="0" applyAlignment="1" applyBorder="1" applyFont="1">
      <alignment horizontal="center" readingOrder="0"/>
    </xf>
    <xf borderId="7" fillId="0" fontId="20" numFmtId="0" xfId="0" applyAlignment="1" applyBorder="1" applyFont="1">
      <alignment horizontal="center"/>
    </xf>
    <xf borderId="7" fillId="0" fontId="20" numFmtId="0" xfId="0" applyAlignment="1" applyBorder="1" applyFont="1">
      <alignment horizontal="center"/>
    </xf>
    <xf borderId="7" fillId="0" fontId="20" numFmtId="170" xfId="0" applyAlignment="1" applyBorder="1" applyFont="1" applyNumberFormat="1">
      <alignment horizontal="center"/>
    </xf>
    <xf borderId="7" fillId="0" fontId="20"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0" fillId="0" fontId="29" numFmtId="171" xfId="0" applyAlignment="1" applyFont="1" applyNumberFormat="1">
      <alignment horizontal="center" readingOrder="0" shrinkToFit="0" vertical="center" wrapText="1"/>
    </xf>
    <xf borderId="7" fillId="0" fontId="20" numFmtId="0" xfId="0" applyAlignment="1" applyBorder="1" applyFont="1">
      <alignment horizontal="center" shrinkToFit="0" vertical="center" wrapText="1"/>
    </xf>
    <xf borderId="7" fillId="10" fontId="20" numFmtId="0" xfId="0" applyAlignment="1" applyBorder="1" applyFont="1">
      <alignment horizontal="center" readingOrder="0" shrinkToFit="0" vertical="center" wrapText="1"/>
    </xf>
    <xf borderId="0" fillId="10" fontId="20" numFmtId="0" xfId="0" applyAlignment="1" applyFont="1">
      <alignment horizontal="center" shrinkToFit="0" vertical="center" wrapText="1"/>
    </xf>
    <xf borderId="0" fillId="0" fontId="27" numFmtId="0" xfId="0" applyAlignment="1" applyFont="1">
      <alignment horizontal="center" vertical="center"/>
    </xf>
    <xf borderId="8" fillId="0" fontId="30" numFmtId="0" xfId="0" applyAlignment="1" applyBorder="1" applyFont="1">
      <alignment horizontal="center" readingOrder="0" vertical="center"/>
    </xf>
    <xf borderId="9" fillId="0" fontId="10" numFmtId="0" xfId="0" applyBorder="1" applyFont="1"/>
    <xf borderId="10" fillId="0" fontId="10" numFmtId="0" xfId="0" applyBorder="1" applyFont="1"/>
    <xf borderId="0" fillId="8" fontId="31" numFmtId="0" xfId="0" applyAlignment="1" applyFont="1">
      <alignment horizontal="center" readingOrder="0" vertical="center"/>
    </xf>
    <xf borderId="11" fillId="0" fontId="10" numFmtId="0" xfId="0" applyBorder="1" applyFont="1"/>
    <xf borderId="12" fillId="0" fontId="10" numFmtId="0" xfId="0" applyBorder="1" applyFont="1"/>
    <xf borderId="0" fillId="0" fontId="31" numFmtId="0" xfId="0" applyAlignment="1" applyFont="1">
      <alignment horizontal="center" readingOrder="0" vertical="center"/>
    </xf>
    <xf borderId="13" fillId="0" fontId="10" numFmtId="0" xfId="0" applyBorder="1" applyFont="1"/>
    <xf borderId="14" fillId="0" fontId="10" numFmtId="0" xfId="0" applyBorder="1" applyFont="1"/>
    <xf borderId="15" fillId="0" fontId="10" numFmtId="0" xfId="0" applyBorder="1" applyFont="1"/>
    <xf borderId="0" fillId="0" fontId="27" numFmtId="0" xfId="0" applyAlignment="1" applyFont="1">
      <alignment horizontal="center"/>
    </xf>
    <xf borderId="8" fillId="0" fontId="27" numFmtId="0" xfId="0" applyAlignment="1" applyBorder="1" applyFont="1">
      <alignment horizontal="center" vertical="center"/>
    </xf>
    <xf borderId="8" fillId="11" fontId="32" numFmtId="0" xfId="0" applyAlignment="1" applyBorder="1" applyFill="1" applyFont="1">
      <alignment horizontal="center" readingOrder="0" shrinkToFit="0" vertical="center" wrapText="1"/>
    </xf>
    <xf borderId="2" fillId="0" fontId="33" numFmtId="0" xfId="0" applyAlignment="1" applyBorder="1" applyFont="1">
      <alignment horizontal="right" readingOrder="0" shrinkToFit="0" vertical="center" wrapText="0"/>
    </xf>
    <xf borderId="16" fillId="0" fontId="10" numFmtId="0" xfId="0" applyBorder="1" applyFont="1"/>
    <xf borderId="1" fillId="0" fontId="33" numFmtId="0" xfId="0" applyAlignment="1" applyBorder="1" applyFont="1">
      <alignment horizontal="left" readingOrder="0" vertical="center"/>
    </xf>
    <xf borderId="1" fillId="0" fontId="34" numFmtId="0" xfId="0" applyAlignment="1" applyBorder="1" applyFont="1">
      <alignment horizontal="center" vertical="center"/>
    </xf>
    <xf borderId="0" fillId="0" fontId="20" numFmtId="0" xfId="0" applyAlignment="1" applyFont="1">
      <alignment horizontal="center"/>
    </xf>
    <xf borderId="2" fillId="0" fontId="35" numFmtId="0" xfId="0" applyAlignment="1" applyBorder="1" applyFont="1">
      <alignment horizontal="center" readingOrder="0" shrinkToFit="0" vertical="center" wrapText="1"/>
    </xf>
    <xf borderId="2" fillId="0" fontId="36" numFmtId="0" xfId="0" applyAlignment="1" applyBorder="1" applyFont="1">
      <alignment horizontal="center" vertical="center"/>
    </xf>
    <xf borderId="2" fillId="0" fontId="36" numFmtId="0" xfId="0" applyAlignment="1" applyBorder="1" applyFont="1">
      <alignment horizontal="center" readingOrder="0" vertical="center"/>
    </xf>
    <xf borderId="8" fillId="0" fontId="35" numFmtId="0" xfId="0" applyAlignment="1" applyBorder="1" applyFont="1">
      <alignment horizontal="center" readingOrder="0" shrinkToFit="0" vertical="center" wrapText="1"/>
    </xf>
    <xf borderId="1" fillId="0" fontId="36" numFmtId="170" xfId="0" applyAlignment="1" applyBorder="1" applyFont="1" applyNumberFormat="1">
      <alignment horizontal="center" vertical="center"/>
    </xf>
    <xf borderId="1" fillId="0" fontId="36" numFmtId="0" xfId="0" applyAlignment="1" applyBorder="1" applyFont="1">
      <alignment horizontal="center" vertical="center"/>
    </xf>
    <xf borderId="1" fillId="0" fontId="27" numFmtId="0" xfId="0" applyAlignment="1" applyBorder="1" applyFont="1">
      <alignment horizontal="center" readingOrder="0" vertical="center"/>
    </xf>
    <xf borderId="2" fillId="0" fontId="36" numFmtId="170" xfId="0" applyAlignment="1" applyBorder="1" applyFont="1" applyNumberFormat="1">
      <alignment horizontal="center" vertical="center"/>
    </xf>
    <xf borderId="1" fillId="0" fontId="36" numFmtId="0" xfId="0" applyAlignment="1" applyBorder="1" applyFont="1">
      <alignment horizontal="center" vertical="center"/>
    </xf>
    <xf borderId="1" fillId="0" fontId="36" numFmtId="170" xfId="0" applyAlignment="1" applyBorder="1" applyFont="1" applyNumberFormat="1">
      <alignment horizontal="center" vertical="center"/>
    </xf>
    <xf borderId="2" fillId="0" fontId="27" numFmtId="0" xfId="0" applyAlignment="1" applyBorder="1" applyFont="1">
      <alignment horizontal="center" vertical="center"/>
    </xf>
    <xf borderId="1" fillId="0" fontId="27" numFmtId="0" xfId="0" applyAlignment="1" applyBorder="1" applyFont="1">
      <alignment horizontal="center" vertical="center"/>
    </xf>
    <xf borderId="8" fillId="0" fontId="36" numFmtId="170" xfId="0" applyAlignment="1" applyBorder="1" applyFont="1" applyNumberFormat="1">
      <alignment horizontal="center" vertical="center"/>
    </xf>
    <xf borderId="8" fillId="0" fontId="35" numFmtId="170" xfId="0" applyAlignment="1" applyBorder="1" applyFont="1" applyNumberFormat="1">
      <alignment horizontal="center" vertical="center"/>
    </xf>
    <xf borderId="1" fillId="0" fontId="20" numFmtId="0" xfId="0" applyAlignment="1" applyBorder="1" applyFont="1">
      <alignment readingOrder="0"/>
    </xf>
    <xf borderId="8" fillId="0" fontId="36" numFmtId="170" xfId="0" applyAlignment="1" applyBorder="1" applyFont="1" applyNumberFormat="1">
      <alignment horizontal="center" shrinkToFit="0" vertical="center" wrapText="1"/>
    </xf>
  </cellXfs>
  <cellStyles count="1">
    <cellStyle xfId="0" name="Normal" builtinId="0"/>
  </cellStyles>
  <dxfs count="13">
    <dxf>
      <font/>
      <fill>
        <patternFill patternType="solid">
          <fgColor rgb="FFB7E1CD"/>
          <bgColor rgb="FFB7E1CD"/>
        </patternFill>
      </fill>
      <border/>
    </dxf>
    <dxf>
      <font/>
      <fill>
        <patternFill patternType="solid">
          <fgColor rgb="FFB6D7A8"/>
          <bgColor rgb="FFB6D7A8"/>
        </patternFill>
      </fill>
      <border/>
    </dxf>
    <dxf>
      <font/>
      <fill>
        <patternFill patternType="solid">
          <fgColor rgb="FFF4CCCC"/>
          <bgColor rgb="FFF4CCCC"/>
        </patternFill>
      </fill>
      <border/>
    </dxf>
    <dxf>
      <font>
        <color rgb="FFFFFFFF"/>
      </font>
      <fill>
        <patternFill patternType="solid">
          <fgColor rgb="FFFFFFFF"/>
          <bgColor rgb="FFFFFFFF"/>
        </patternFill>
      </fill>
      <border/>
    </dxf>
    <dxf>
      <font/>
      <fill>
        <patternFill patternType="solid">
          <fgColor rgb="FFEA9999"/>
          <bgColor rgb="FFEA9999"/>
        </patternFill>
      </fill>
      <border/>
    </dxf>
    <dxf>
      <font>
        <color rgb="FFFFFFFF"/>
      </font>
      <fill>
        <patternFill patternType="solid">
          <fgColor rgb="FFE06666"/>
          <bgColor rgb="FFE06666"/>
        </patternFill>
      </fill>
      <border/>
    </dxf>
    <dxf>
      <font>
        <color rgb="FFFFFFFF"/>
      </font>
      <fill>
        <patternFill patternType="solid">
          <fgColor rgb="FF3D85C6"/>
          <bgColor rgb="FF3D85C6"/>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4A7D6"/>
          <bgColor rgb="FFB4A7D6"/>
        </patternFill>
      </fill>
      <border/>
    </dxf>
    <dxf>
      <font>
        <color rgb="FFE06666"/>
      </font>
      <fill>
        <patternFill patternType="solid">
          <fgColor rgb="FFFFFFFF"/>
          <bgColor rgb="FFFFFFFF"/>
        </patternFill>
      </fill>
      <border/>
    </dxf>
  </dxfs>
  <tableStyles count="1">
    <tableStyle count="3" pivot="0" name="Salary Slip-style">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24050" cy="819150"/>
    <xdr:sp>
      <xdr:nvSpPr>
        <xdr:cNvPr id="3" name="Shape 3"/>
        <xdr:cNvSpPr/>
      </xdr:nvSpPr>
      <xdr:spPr>
        <a:xfrm>
          <a:off x="-166775" y="-86725"/>
          <a:ext cx="3392400" cy="1461000"/>
        </a:xfrm>
        <a:prstGeom prst="bevel">
          <a:avLst>
            <a:gd fmla="val 12500" name="adj"/>
          </a:avLst>
        </a:prstGeom>
        <a:gradFill>
          <a:gsLst>
            <a:gs pos="0">
              <a:srgbClr val="DBD4EB"/>
            </a:gs>
            <a:gs pos="100000">
              <a:srgbClr val="9080BB"/>
            </a:gs>
          </a:gsLst>
          <a:lin ang="5400012" scaled="0"/>
        </a:gra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200"/>
            <a:t>Salary Slip No</a:t>
          </a:r>
          <a:endParaRPr b="1" sz="3200"/>
        </a:p>
      </xdr:txBody>
    </xdr:sp>
    <xdr:clientData fLocksWithSheet="0"/>
  </xdr:oneCellAnchor>
  <xdr:oneCellAnchor>
    <xdr:from>
      <xdr:col>0</xdr:col>
      <xdr:colOff>0</xdr:colOff>
      <xdr:row>4</xdr:row>
      <xdr:rowOff>0</xdr:rowOff>
    </xdr:from>
    <xdr:ext cx="2000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hallenge Pack" id="{d3a487fc-af31-4c61-89de-c0dd99b43e3f}" providerId="google-sheets"/>
</x18tc:personList>
</file>

<file path=xl/tables/table1.xml><?xml version="1.0" encoding="utf-8"?>
<table xmlns="http://schemas.openxmlformats.org/spreadsheetml/2006/main" headerRowCount="0" ref="A2:B3" displayName="Table_1" name="Table_1" id="1">
  <tableColumns count="2">
    <tableColumn name="Column1" id="1"/>
    <tableColumn name="Column2" id="2"/>
  </tableColumns>
  <tableStyleInfo name="Salary Slip-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1" dT="2025-07-16T09:51:19.00" personId="{d3a487fc-af31-4c61-89de-c0dd99b43e3f}" id="{e7b473b4-3210-433d-931c-d7baa4801efe}" done="1">
    <x18tc:text xml:space="preserve">Loan prechana - adagu kadai</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PTof1TeaOgtzC1KVEndzGxG9OR_VDvw5/view?usp=drive_link" TargetMode="External"/><Relationship Id="rId11" Type="http://schemas.openxmlformats.org/officeDocument/2006/relationships/hyperlink" Target="https://drive.google.com/file/d/1zKN2NFTiYDT4vmDurUUnA6go_RMUHXJG/view?usp=drive_link" TargetMode="External"/><Relationship Id="rId22" Type="http://schemas.openxmlformats.org/officeDocument/2006/relationships/hyperlink" Target="https://drive.google.com/file/d/1TnTxJn5IHuHFjk-m8oA1sImvggaYnfL3/view?usp=drive_link" TargetMode="External"/><Relationship Id="rId10" Type="http://schemas.openxmlformats.org/officeDocument/2006/relationships/hyperlink" Target="https://drive.google.com/file/d/1RHMrMfYXSKF3ZylqLx8pNvFfUxQF1aOu/view?usp=drive_link" TargetMode="External"/><Relationship Id="rId21" Type="http://schemas.openxmlformats.org/officeDocument/2006/relationships/hyperlink" Target="https://drive.google.com/file/d/1DefWkNdjcEYPwUZSYvYS7bwRSZFgR10V/view?usp=drive_link" TargetMode="External"/><Relationship Id="rId13" Type="http://schemas.openxmlformats.org/officeDocument/2006/relationships/hyperlink" Target="https://drive.google.com/file/d/1LzpZP_4iggzuRzBd2sFiw7ZiKnoMBN47/view?usp=drive_link" TargetMode="External"/><Relationship Id="rId24" Type="http://schemas.openxmlformats.org/officeDocument/2006/relationships/drawing" Target="../drawings/drawing7.xml"/><Relationship Id="rId12" Type="http://schemas.openxmlformats.org/officeDocument/2006/relationships/hyperlink" Target="https://drive.google.com/file/d/1k8aXOKS925-h-c841B1GqAGenrH9pG9y/view?usp=drive_link" TargetMode="External"/><Relationship Id="rId23" Type="http://schemas.openxmlformats.org/officeDocument/2006/relationships/hyperlink" Target="https://drive.google.com/file/d/1M53XDR6XnnB9jdLWUArRA401gvEMH2-S/view?usp=drive_link" TargetMode="External"/><Relationship Id="rId1" Type="http://schemas.openxmlformats.org/officeDocument/2006/relationships/hyperlink" Target="https://drive.google.com/file/d/1sVj0fB7F84GGmOl8HiFNEjuVsr_ngmz2/view?usp=drive_link" TargetMode="External"/><Relationship Id="rId2" Type="http://schemas.openxmlformats.org/officeDocument/2006/relationships/hyperlink" Target="https://drive.google.com/file/d/1G9epG2f49weF-bNAhLBPNEiumBUzKmsv/view?usp=drive_link" TargetMode="External"/><Relationship Id="rId3" Type="http://schemas.openxmlformats.org/officeDocument/2006/relationships/hyperlink" Target="https://drive.google.com/file/d/1OZtsStwFyMNOgvyQzmcvlvy87LrYjIcc/view?usp=drive_link" TargetMode="External"/><Relationship Id="rId4" Type="http://schemas.openxmlformats.org/officeDocument/2006/relationships/hyperlink" Target="https://drive.google.com/file/d/1h3ajzQBRt2AZvID8mxSxo37b2IoYE4kW/view?usp=drive_link" TargetMode="External"/><Relationship Id="rId9" Type="http://schemas.openxmlformats.org/officeDocument/2006/relationships/hyperlink" Target="https://drive.google.com/file/d/1bgq7NJKF0RvMuZwtJPDFCwyT7pGsN95x/view?usp=drive_link" TargetMode="External"/><Relationship Id="rId15" Type="http://schemas.openxmlformats.org/officeDocument/2006/relationships/hyperlink" Target="https://drive.google.com/file/d/1EdvESRQB7lpQcnGM3yG6Wg-WM15AwmMS/view?usp=drive_link" TargetMode="External"/><Relationship Id="rId14" Type="http://schemas.openxmlformats.org/officeDocument/2006/relationships/hyperlink" Target="https://drive.google.com/file/d/1mlQYxdUCUN3VmYOHPaz5wuTNzv_N_e96/view?usp=drive_link" TargetMode="External"/><Relationship Id="rId17" Type="http://schemas.openxmlformats.org/officeDocument/2006/relationships/hyperlink" Target="https://drive.google.com/file/d/1ynUWD4qAuRYOKqvGNz8E4_D6nswKyMXQ/view?usp=drive_link" TargetMode="External"/><Relationship Id="rId16" Type="http://schemas.openxmlformats.org/officeDocument/2006/relationships/hyperlink" Target="https://drive.google.com/file/d/1n5yQfan-qCEoaegDJ6CtvnaVT2cOnQQi/view?usp=drive_link" TargetMode="External"/><Relationship Id="rId5" Type="http://schemas.openxmlformats.org/officeDocument/2006/relationships/hyperlink" Target="https://drive.google.com/file/d/194d6XcpehMfGyIMfG2BR26VZMbD0LnWB/view?usp=drive_link" TargetMode="External"/><Relationship Id="rId19" Type="http://schemas.openxmlformats.org/officeDocument/2006/relationships/hyperlink" Target="https://drive.google.com/file/d/1--GtXuMg3dKQbjQW0nJPvcH28_BGTNPN/view?usp=drive_link" TargetMode="External"/><Relationship Id="rId6" Type="http://schemas.openxmlformats.org/officeDocument/2006/relationships/hyperlink" Target="https://drive.google.com/file/d/1F3-6gheNT1symDRtc3Jabe9i_Hapjdsm/view?usp=drive_link" TargetMode="External"/><Relationship Id="rId18" Type="http://schemas.openxmlformats.org/officeDocument/2006/relationships/hyperlink" Target="https://drive.google.com/file/d/11wCqdZy2YgPg05RvG5FCfX17seZmPZh6/view?usp=drive_link" TargetMode="External"/><Relationship Id="rId7" Type="http://schemas.openxmlformats.org/officeDocument/2006/relationships/hyperlink" Target="https://drive.google.com/file/d/1nbvJ6g8OjeTfxuGg9X16qvpMO6bwXirj/view?usp=drive_link" TargetMode="External"/><Relationship Id="rId8" Type="http://schemas.openxmlformats.org/officeDocument/2006/relationships/hyperlink" Target="https://drive.google.com/file/d/1EJwxJyXuOJBPeE9VkWNl0nEc4ngEKC3F/view?usp=drive_lin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1.13"/>
    <col customWidth="1" min="3" max="3" width="15.38"/>
    <col customWidth="1" min="4" max="4" width="13.63"/>
    <col customWidth="1" min="5" max="5" width="27.88"/>
    <col customWidth="1" min="6" max="6" width="17.0"/>
    <col customWidth="1" min="7" max="7" width="16.63"/>
    <col customWidth="1" min="8" max="8" width="25.25"/>
    <col customWidth="1" min="9" max="9" width="19.0"/>
    <col customWidth="1" min="12" max="12" width="17.88"/>
    <col customWidth="1" min="13" max="13" width="16.25"/>
  </cols>
  <sheetData>
    <row r="1">
      <c r="A1" s="1" t="s">
        <v>0</v>
      </c>
      <c r="B1" s="1" t="s">
        <v>1</v>
      </c>
      <c r="C1" s="1" t="s">
        <v>2</v>
      </c>
      <c r="D1" s="1" t="s">
        <v>3</v>
      </c>
      <c r="E1" s="1" t="s">
        <v>4</v>
      </c>
      <c r="F1" s="1" t="s">
        <v>5</v>
      </c>
      <c r="G1" s="1" t="s">
        <v>6</v>
      </c>
      <c r="H1" s="1" t="s">
        <v>7</v>
      </c>
      <c r="I1" s="1" t="s">
        <v>8</v>
      </c>
      <c r="J1" s="1" t="s">
        <v>9</v>
      </c>
      <c r="K1" s="1" t="s">
        <v>10</v>
      </c>
      <c r="L1" s="2" t="s">
        <v>11</v>
      </c>
      <c r="M1" s="3"/>
      <c r="N1" s="3"/>
      <c r="O1" s="3"/>
      <c r="P1" s="3"/>
      <c r="Q1" s="3"/>
      <c r="R1" s="3"/>
      <c r="S1" s="3"/>
      <c r="T1" s="3"/>
      <c r="U1" s="3"/>
      <c r="V1" s="3"/>
      <c r="W1" s="3"/>
      <c r="X1" s="3"/>
      <c r="Y1" s="3"/>
      <c r="Z1" s="3"/>
      <c r="AA1" s="3"/>
      <c r="AB1" s="3"/>
      <c r="AC1" s="3"/>
      <c r="AD1" s="3"/>
      <c r="AE1" s="3"/>
    </row>
    <row r="2">
      <c r="A2" s="4" t="s">
        <v>12</v>
      </c>
      <c r="B2" s="4" t="s">
        <v>13</v>
      </c>
      <c r="C2" s="5"/>
      <c r="D2" s="5"/>
      <c r="E2" s="6" t="s">
        <v>14</v>
      </c>
      <c r="F2" s="4"/>
      <c r="G2" s="4" t="s">
        <v>15</v>
      </c>
      <c r="H2" s="4">
        <v>5.00101011548924E14</v>
      </c>
      <c r="I2" s="7">
        <v>60000.0</v>
      </c>
      <c r="J2" s="7">
        <v>66000.0</v>
      </c>
      <c r="K2" s="4">
        <v>30.0</v>
      </c>
      <c r="L2" s="3"/>
      <c r="M2" s="3"/>
      <c r="N2" s="3"/>
      <c r="O2" s="3"/>
      <c r="P2" s="3"/>
      <c r="Q2" s="3"/>
      <c r="R2" s="3"/>
      <c r="S2" s="3"/>
      <c r="T2" s="3"/>
      <c r="U2" s="3"/>
      <c r="V2" s="3"/>
      <c r="W2" s="3"/>
      <c r="X2" s="3"/>
      <c r="Y2" s="3"/>
      <c r="Z2" s="3"/>
      <c r="AA2" s="3"/>
      <c r="AB2" s="3"/>
      <c r="AC2" s="3"/>
      <c r="AD2" s="3"/>
      <c r="AE2" s="3"/>
    </row>
    <row r="3">
      <c r="A3" s="4" t="s">
        <v>16</v>
      </c>
      <c r="B3" s="4" t="s">
        <v>17</v>
      </c>
      <c r="C3" s="5"/>
      <c r="D3" s="5"/>
      <c r="E3" s="6" t="s">
        <v>18</v>
      </c>
      <c r="F3" s="4"/>
      <c r="G3" s="4" t="s">
        <v>19</v>
      </c>
      <c r="H3" s="4" t="s">
        <v>20</v>
      </c>
      <c r="I3" s="8">
        <v>12000.0</v>
      </c>
      <c r="J3" s="7">
        <v>14500.0</v>
      </c>
      <c r="K3" s="4">
        <v>31.0</v>
      </c>
      <c r="L3" s="3"/>
      <c r="M3" s="3"/>
      <c r="N3" s="3"/>
      <c r="O3" s="3"/>
      <c r="P3" s="3"/>
      <c r="Q3" s="3"/>
      <c r="R3" s="3"/>
      <c r="S3" s="3"/>
      <c r="T3" s="3"/>
      <c r="U3" s="3"/>
      <c r="V3" s="3"/>
      <c r="W3" s="3"/>
      <c r="X3" s="3"/>
      <c r="Y3" s="3"/>
      <c r="Z3" s="3"/>
      <c r="AA3" s="3"/>
      <c r="AB3" s="3"/>
      <c r="AC3" s="3"/>
      <c r="AD3" s="3"/>
      <c r="AE3" s="3"/>
    </row>
    <row r="4">
      <c r="A4" s="4" t="s">
        <v>21</v>
      </c>
      <c r="B4" s="4" t="s">
        <v>22</v>
      </c>
      <c r="C4" s="5"/>
      <c r="D4" s="5"/>
      <c r="E4" s="6" t="s">
        <v>23</v>
      </c>
      <c r="F4" s="4"/>
      <c r="G4" s="4" t="s">
        <v>19</v>
      </c>
      <c r="H4" s="4" t="s">
        <v>24</v>
      </c>
      <c r="I4" s="8">
        <v>17500.0</v>
      </c>
      <c r="J4" s="7">
        <v>18500.0</v>
      </c>
      <c r="K4" s="4">
        <v>30.0</v>
      </c>
      <c r="L4" s="3"/>
      <c r="M4" s="3"/>
      <c r="N4" s="3"/>
      <c r="O4" s="3"/>
      <c r="P4" s="3"/>
      <c r="Q4" s="3"/>
      <c r="R4" s="3"/>
      <c r="S4" s="3"/>
      <c r="T4" s="3"/>
      <c r="U4" s="3"/>
      <c r="V4" s="3"/>
      <c r="W4" s="3"/>
      <c r="X4" s="3"/>
      <c r="Y4" s="3"/>
      <c r="Z4" s="3"/>
      <c r="AA4" s="3"/>
      <c r="AB4" s="3"/>
      <c r="AC4" s="3"/>
      <c r="AD4" s="3"/>
      <c r="AE4" s="3"/>
    </row>
    <row r="5">
      <c r="A5" s="4" t="s">
        <v>25</v>
      </c>
      <c r="B5" s="4" t="s">
        <v>26</v>
      </c>
      <c r="C5" s="5"/>
      <c r="D5" s="5"/>
      <c r="E5" s="6" t="s">
        <v>27</v>
      </c>
      <c r="F5" s="4"/>
      <c r="G5" s="4" t="s">
        <v>19</v>
      </c>
      <c r="H5" s="4" t="s">
        <v>28</v>
      </c>
      <c r="I5" s="8">
        <v>12000.0</v>
      </c>
      <c r="J5" s="7">
        <v>13000.0</v>
      </c>
      <c r="K5" s="4">
        <v>31.0</v>
      </c>
      <c r="L5" s="3"/>
      <c r="M5" s="3"/>
      <c r="N5" s="3"/>
      <c r="O5" s="3"/>
      <c r="P5" s="3"/>
      <c r="Q5" s="3"/>
      <c r="R5" s="3"/>
      <c r="S5" s="3"/>
      <c r="T5" s="3"/>
      <c r="U5" s="3"/>
      <c r="V5" s="3"/>
      <c r="W5" s="3"/>
      <c r="X5" s="3"/>
      <c r="Y5" s="3"/>
      <c r="Z5" s="3"/>
      <c r="AA5" s="3"/>
      <c r="AB5" s="3"/>
      <c r="AC5" s="3"/>
      <c r="AD5" s="3"/>
      <c r="AE5" s="3"/>
    </row>
    <row r="6">
      <c r="A6" s="4" t="s">
        <v>29</v>
      </c>
      <c r="B6" s="4" t="s">
        <v>30</v>
      </c>
      <c r="C6" s="5"/>
      <c r="D6" s="5"/>
      <c r="E6" s="6" t="s">
        <v>31</v>
      </c>
      <c r="F6" s="4"/>
      <c r="G6" s="6" t="s">
        <v>32</v>
      </c>
      <c r="H6" s="6">
        <v>4.11002010024591E14</v>
      </c>
      <c r="I6" s="8">
        <v>12000.0</v>
      </c>
      <c r="J6" s="7">
        <v>13000.0</v>
      </c>
      <c r="K6" s="4">
        <v>31.0</v>
      </c>
      <c r="L6" s="3"/>
      <c r="M6" s="4"/>
      <c r="N6" s="3"/>
      <c r="O6" s="3"/>
      <c r="P6" s="3"/>
      <c r="Q6" s="3"/>
      <c r="R6" s="3"/>
      <c r="S6" s="3"/>
      <c r="T6" s="3"/>
      <c r="U6" s="3"/>
      <c r="V6" s="3"/>
      <c r="W6" s="3"/>
      <c r="X6" s="3"/>
      <c r="Y6" s="3"/>
      <c r="Z6" s="3"/>
      <c r="AA6" s="3"/>
      <c r="AB6" s="3"/>
      <c r="AC6" s="3"/>
      <c r="AD6" s="3"/>
      <c r="AE6" s="3"/>
    </row>
    <row r="7">
      <c r="A7" s="4" t="s">
        <v>33</v>
      </c>
      <c r="B7" s="4" t="s">
        <v>34</v>
      </c>
      <c r="C7" s="5"/>
      <c r="D7" s="5"/>
      <c r="E7" s="6" t="s">
        <v>35</v>
      </c>
      <c r="F7" s="4"/>
      <c r="G7" s="4" t="s">
        <v>19</v>
      </c>
      <c r="H7" s="4" t="s">
        <v>36</v>
      </c>
      <c r="I7" s="8">
        <v>12000.0</v>
      </c>
      <c r="J7" s="7">
        <v>13000.0</v>
      </c>
      <c r="K7" s="4">
        <v>30.0</v>
      </c>
      <c r="L7" s="3"/>
      <c r="M7" s="9"/>
      <c r="N7" s="3"/>
      <c r="O7" s="3"/>
      <c r="P7" s="3"/>
      <c r="Q7" s="3"/>
      <c r="R7" s="3"/>
      <c r="S7" s="3"/>
      <c r="T7" s="3"/>
      <c r="U7" s="3"/>
      <c r="V7" s="3"/>
      <c r="W7" s="3"/>
      <c r="X7" s="3"/>
      <c r="Y7" s="3"/>
      <c r="Z7" s="3"/>
      <c r="AA7" s="3"/>
      <c r="AB7" s="3"/>
      <c r="AC7" s="3"/>
      <c r="AD7" s="3"/>
      <c r="AE7" s="3"/>
    </row>
    <row r="8">
      <c r="A8" s="4" t="s">
        <v>37</v>
      </c>
      <c r="B8" s="4" t="s">
        <v>38</v>
      </c>
      <c r="C8" s="5"/>
      <c r="D8" s="5"/>
      <c r="E8" s="6" t="s">
        <v>39</v>
      </c>
      <c r="F8" s="4"/>
      <c r="G8" s="6" t="s">
        <v>40</v>
      </c>
      <c r="H8" s="6">
        <v>8.031517887E9</v>
      </c>
      <c r="I8" s="8">
        <v>19000.0</v>
      </c>
      <c r="J8" s="7">
        <v>21500.0</v>
      </c>
      <c r="K8" s="4">
        <v>31.0</v>
      </c>
      <c r="L8" s="3"/>
      <c r="M8" s="4"/>
      <c r="N8" s="3"/>
      <c r="O8" s="3"/>
      <c r="P8" s="3"/>
      <c r="Q8" s="3"/>
      <c r="R8" s="3"/>
      <c r="S8" s="3"/>
      <c r="T8" s="3"/>
      <c r="U8" s="3"/>
      <c r="V8" s="3"/>
      <c r="W8" s="3"/>
      <c r="X8" s="3"/>
      <c r="Y8" s="3"/>
      <c r="Z8" s="3"/>
      <c r="AA8" s="3"/>
      <c r="AB8" s="3"/>
      <c r="AC8" s="3"/>
      <c r="AD8" s="3"/>
      <c r="AE8" s="3"/>
    </row>
    <row r="9">
      <c r="A9" s="4" t="s">
        <v>41</v>
      </c>
      <c r="B9" s="4" t="s">
        <v>42</v>
      </c>
      <c r="C9" s="5"/>
      <c r="D9" s="5"/>
      <c r="E9" s="6" t="s">
        <v>43</v>
      </c>
      <c r="F9" s="4"/>
      <c r="G9" s="4" t="s">
        <v>44</v>
      </c>
      <c r="H9" s="4">
        <v>6.5801000040238E13</v>
      </c>
      <c r="I9" s="8">
        <v>9500.0</v>
      </c>
      <c r="J9" s="7">
        <v>10500.0</v>
      </c>
      <c r="K9" s="4">
        <v>30.0</v>
      </c>
      <c r="L9" s="3"/>
      <c r="M9" s="4"/>
      <c r="N9" s="3"/>
      <c r="O9" s="3"/>
      <c r="P9" s="3"/>
      <c r="Q9" s="3"/>
      <c r="R9" s="3"/>
      <c r="S9" s="3"/>
      <c r="T9" s="3"/>
      <c r="U9" s="3"/>
      <c r="V9" s="3"/>
      <c r="W9" s="3"/>
      <c r="X9" s="3"/>
      <c r="Y9" s="3"/>
      <c r="Z9" s="3"/>
      <c r="AA9" s="3"/>
      <c r="AB9" s="3"/>
      <c r="AC9" s="3"/>
      <c r="AD9" s="3"/>
      <c r="AE9" s="3"/>
    </row>
    <row r="10">
      <c r="A10" s="4" t="s">
        <v>45</v>
      </c>
      <c r="B10" s="4" t="s">
        <v>46</v>
      </c>
      <c r="C10" s="5"/>
      <c r="D10" s="5"/>
      <c r="E10" s="6" t="s">
        <v>47</v>
      </c>
      <c r="F10" s="4"/>
      <c r="G10" s="4" t="s">
        <v>19</v>
      </c>
      <c r="H10" s="4" t="s">
        <v>48</v>
      </c>
      <c r="I10" s="8">
        <v>9500.0</v>
      </c>
      <c r="J10" s="7">
        <v>10500.0</v>
      </c>
      <c r="K10" s="4">
        <v>31.0</v>
      </c>
      <c r="L10" s="3"/>
      <c r="M10" s="4"/>
      <c r="N10" s="3"/>
      <c r="O10" s="3"/>
      <c r="P10" s="3"/>
      <c r="Q10" s="3"/>
      <c r="R10" s="3"/>
      <c r="S10" s="3"/>
      <c r="T10" s="3"/>
      <c r="U10" s="3"/>
      <c r="V10" s="3"/>
      <c r="W10" s="3"/>
      <c r="X10" s="3"/>
      <c r="Y10" s="3"/>
      <c r="Z10" s="3"/>
      <c r="AA10" s="3"/>
      <c r="AB10" s="3"/>
      <c r="AC10" s="3"/>
      <c r="AD10" s="3"/>
      <c r="AE10" s="3"/>
    </row>
    <row r="11">
      <c r="A11" s="4" t="s">
        <v>49</v>
      </c>
      <c r="B11" s="4" t="s">
        <v>50</v>
      </c>
      <c r="C11" s="5"/>
      <c r="D11" s="5"/>
      <c r="E11" s="6" t="s">
        <v>51</v>
      </c>
      <c r="F11" s="4"/>
      <c r="G11" s="4"/>
      <c r="H11" s="4"/>
      <c r="I11" s="8">
        <v>9000.0</v>
      </c>
      <c r="J11" s="8">
        <v>9000.0</v>
      </c>
      <c r="K11" s="4">
        <v>31.0</v>
      </c>
      <c r="L11" s="3"/>
      <c r="M11" s="4"/>
      <c r="N11" s="3"/>
      <c r="O11" s="3"/>
      <c r="P11" s="3"/>
      <c r="Q11" s="3"/>
      <c r="R11" s="3"/>
      <c r="S11" s="3"/>
      <c r="T11" s="3"/>
      <c r="U11" s="3"/>
      <c r="V11" s="3"/>
      <c r="W11" s="3"/>
      <c r="X11" s="3"/>
      <c r="Y11" s="3"/>
      <c r="Z11" s="3"/>
      <c r="AA11" s="3"/>
      <c r="AB11" s="3"/>
      <c r="AC11" s="3"/>
      <c r="AD11" s="3"/>
      <c r="AE11" s="3"/>
    </row>
    <row r="12">
      <c r="A12" s="4" t="s">
        <v>52</v>
      </c>
      <c r="B12" s="4" t="s">
        <v>53</v>
      </c>
      <c r="C12" s="5"/>
      <c r="D12" s="5"/>
      <c r="E12" s="6" t="s">
        <v>54</v>
      </c>
      <c r="F12" s="4"/>
      <c r="G12" s="6" t="s">
        <v>40</v>
      </c>
      <c r="H12" s="6">
        <v>8.054094602E9</v>
      </c>
      <c r="I12" s="8">
        <v>9000.0</v>
      </c>
      <c r="J12" s="7">
        <v>10000.0</v>
      </c>
      <c r="K12" s="4">
        <v>28.0</v>
      </c>
      <c r="L12" s="3"/>
      <c r="M12" s="4"/>
      <c r="N12" s="3"/>
      <c r="O12" s="3"/>
      <c r="P12" s="3"/>
      <c r="Q12" s="3"/>
      <c r="R12" s="3"/>
      <c r="S12" s="3"/>
      <c r="T12" s="3"/>
      <c r="U12" s="3"/>
      <c r="V12" s="3"/>
      <c r="W12" s="3"/>
      <c r="X12" s="3"/>
      <c r="Y12" s="3"/>
      <c r="Z12" s="3"/>
      <c r="AA12" s="3"/>
      <c r="AB12" s="3"/>
      <c r="AC12" s="3"/>
      <c r="AD12" s="3"/>
      <c r="AE12" s="3"/>
    </row>
    <row r="13">
      <c r="A13" s="4" t="s">
        <v>55</v>
      </c>
      <c r="B13" s="4" t="s">
        <v>56</v>
      </c>
      <c r="C13" s="5"/>
      <c r="D13" s="5"/>
      <c r="E13" s="4"/>
      <c r="F13" s="4"/>
      <c r="G13" s="4"/>
      <c r="H13" s="4"/>
      <c r="I13" s="8">
        <v>8000.0</v>
      </c>
      <c r="J13" s="8">
        <v>8000.0</v>
      </c>
      <c r="K13" s="4">
        <v>31.0</v>
      </c>
      <c r="L13" s="3"/>
      <c r="M13" s="4"/>
      <c r="N13" s="3"/>
      <c r="O13" s="3"/>
      <c r="P13" s="3"/>
      <c r="Q13" s="3"/>
      <c r="R13" s="3"/>
      <c r="S13" s="3"/>
      <c r="T13" s="3"/>
      <c r="U13" s="3"/>
      <c r="V13" s="3"/>
      <c r="W13" s="3"/>
      <c r="X13" s="3"/>
      <c r="Y13" s="3"/>
      <c r="Z13" s="3"/>
      <c r="AA13" s="3"/>
      <c r="AB13" s="3"/>
      <c r="AC13" s="3"/>
      <c r="AD13" s="3"/>
      <c r="AE13" s="3"/>
    </row>
    <row r="14">
      <c r="A14" s="6" t="s">
        <v>57</v>
      </c>
      <c r="B14" s="4" t="s">
        <v>58</v>
      </c>
      <c r="C14" s="5"/>
      <c r="D14" s="5"/>
      <c r="E14" s="6" t="s">
        <v>59</v>
      </c>
      <c r="F14" s="4"/>
      <c r="G14" s="4" t="s">
        <v>19</v>
      </c>
      <c r="H14" s="4" t="s">
        <v>60</v>
      </c>
      <c r="I14" s="8">
        <v>11000.0</v>
      </c>
      <c r="J14" s="8">
        <v>11000.0</v>
      </c>
      <c r="K14" s="4"/>
      <c r="L14" s="3"/>
      <c r="M14" s="4"/>
      <c r="N14" s="3"/>
      <c r="O14" s="3"/>
      <c r="P14" s="3"/>
      <c r="Q14" s="3"/>
      <c r="R14" s="3"/>
      <c r="S14" s="3"/>
      <c r="T14" s="3"/>
      <c r="U14" s="3"/>
      <c r="V14" s="3"/>
      <c r="W14" s="3"/>
      <c r="X14" s="3"/>
      <c r="Y14" s="3"/>
      <c r="Z14" s="3"/>
      <c r="AA14" s="3"/>
      <c r="AB14" s="3"/>
      <c r="AC14" s="3"/>
      <c r="AD14" s="3"/>
      <c r="AE14" s="3"/>
    </row>
    <row r="15">
      <c r="A15" s="4"/>
      <c r="B15" s="4" t="s">
        <v>61</v>
      </c>
      <c r="C15" s="5"/>
      <c r="D15" s="5"/>
      <c r="E15" s="6" t="s">
        <v>62</v>
      </c>
      <c r="F15" s="4"/>
      <c r="G15" s="4" t="s">
        <v>32</v>
      </c>
      <c r="H15" s="4">
        <v>4.11002120007276E14</v>
      </c>
      <c r="I15" s="8">
        <v>10500.0</v>
      </c>
      <c r="J15" s="7">
        <v>11000.0</v>
      </c>
      <c r="K15" s="4"/>
      <c r="L15" s="3"/>
      <c r="M15" s="10"/>
      <c r="N15" s="3"/>
      <c r="O15" s="3"/>
      <c r="P15" s="3"/>
      <c r="Q15" s="3"/>
      <c r="R15" s="3"/>
      <c r="S15" s="3"/>
      <c r="T15" s="3"/>
      <c r="U15" s="3"/>
      <c r="V15" s="3"/>
      <c r="W15" s="3"/>
      <c r="X15" s="3"/>
      <c r="Y15" s="3"/>
      <c r="Z15" s="3"/>
      <c r="AA15" s="3"/>
      <c r="AB15" s="3"/>
      <c r="AC15" s="3"/>
      <c r="AD15" s="3"/>
      <c r="AE15" s="3"/>
    </row>
    <row r="16">
      <c r="A16" s="4"/>
      <c r="B16" s="4" t="s">
        <v>63</v>
      </c>
      <c r="C16" s="5"/>
      <c r="D16" s="5"/>
      <c r="E16" s="6" t="s">
        <v>64</v>
      </c>
      <c r="F16" s="4"/>
      <c r="G16" s="4" t="s">
        <v>65</v>
      </c>
      <c r="H16" s="4">
        <v>4.158190283E10</v>
      </c>
      <c r="I16" s="8">
        <v>9000.0</v>
      </c>
      <c r="J16" s="7">
        <v>10000.0</v>
      </c>
      <c r="K16" s="4"/>
      <c r="L16" s="3"/>
      <c r="M16" s="4"/>
      <c r="N16" s="3"/>
      <c r="O16" s="3"/>
      <c r="P16" s="3"/>
      <c r="Q16" s="3"/>
      <c r="R16" s="3"/>
      <c r="S16" s="3"/>
      <c r="T16" s="3"/>
      <c r="U16" s="3"/>
      <c r="V16" s="3"/>
      <c r="W16" s="3"/>
      <c r="X16" s="3"/>
      <c r="Y16" s="3"/>
      <c r="Z16" s="3"/>
      <c r="AA16" s="3"/>
      <c r="AB16" s="3"/>
      <c r="AC16" s="3"/>
      <c r="AD16" s="3"/>
      <c r="AE16" s="3"/>
    </row>
    <row r="17">
      <c r="A17" s="4"/>
      <c r="B17" s="4" t="s">
        <v>66</v>
      </c>
      <c r="C17" s="5"/>
      <c r="D17" s="5"/>
      <c r="E17" s="6" t="s">
        <v>67</v>
      </c>
      <c r="F17" s="4"/>
      <c r="G17" s="4" t="s">
        <v>68</v>
      </c>
      <c r="H17" s="4" t="s">
        <v>69</v>
      </c>
      <c r="I17" s="8">
        <v>9000.0</v>
      </c>
      <c r="J17" s="7">
        <v>10000.0</v>
      </c>
      <c r="K17" s="4"/>
      <c r="L17" s="3"/>
      <c r="M17" s="10"/>
      <c r="N17" s="3"/>
      <c r="O17" s="3"/>
      <c r="P17" s="3"/>
      <c r="Q17" s="3"/>
      <c r="R17" s="3"/>
      <c r="S17" s="3"/>
      <c r="T17" s="3"/>
      <c r="U17" s="3"/>
      <c r="V17" s="3"/>
      <c r="W17" s="3"/>
      <c r="X17" s="3"/>
      <c r="Y17" s="3"/>
      <c r="Z17" s="3"/>
      <c r="AA17" s="3"/>
      <c r="AB17" s="3"/>
      <c r="AC17" s="3"/>
      <c r="AD17" s="3"/>
      <c r="AE17" s="3"/>
    </row>
    <row r="18">
      <c r="A18" s="4"/>
      <c r="B18" s="4" t="s">
        <v>70</v>
      </c>
      <c r="C18" s="5"/>
      <c r="D18" s="5"/>
      <c r="E18" s="4"/>
      <c r="F18" s="4"/>
      <c r="G18" s="4"/>
      <c r="H18" s="4"/>
      <c r="I18" s="8">
        <v>8000.0</v>
      </c>
      <c r="J18" s="8">
        <v>8000.0</v>
      </c>
      <c r="K18" s="4"/>
      <c r="L18" s="3"/>
      <c r="M18" s="4"/>
      <c r="N18" s="3"/>
      <c r="O18" s="3"/>
      <c r="P18" s="3"/>
      <c r="Q18" s="3"/>
      <c r="R18" s="3"/>
      <c r="S18" s="3"/>
      <c r="T18" s="3"/>
      <c r="U18" s="3"/>
      <c r="V18" s="3"/>
      <c r="W18" s="3"/>
      <c r="X18" s="3"/>
      <c r="Y18" s="3"/>
      <c r="Z18" s="3"/>
      <c r="AA18" s="3"/>
      <c r="AB18" s="3"/>
      <c r="AC18" s="3"/>
      <c r="AD18" s="3"/>
      <c r="AE18" s="3"/>
    </row>
    <row r="19">
      <c r="A19" s="4"/>
      <c r="B19" s="4" t="s">
        <v>71</v>
      </c>
      <c r="C19" s="5"/>
      <c r="D19" s="5"/>
      <c r="E19" s="6" t="s">
        <v>72</v>
      </c>
      <c r="F19" s="4"/>
      <c r="G19" s="4" t="s">
        <v>19</v>
      </c>
      <c r="H19" s="4" t="s">
        <v>73</v>
      </c>
      <c r="I19" s="8">
        <v>18000.0</v>
      </c>
      <c r="J19" s="7">
        <v>21000.0</v>
      </c>
      <c r="K19" s="4"/>
      <c r="L19" s="3"/>
      <c r="M19" s="3"/>
      <c r="N19" s="3"/>
      <c r="O19" s="3"/>
      <c r="P19" s="3"/>
      <c r="Q19" s="3"/>
      <c r="R19" s="3"/>
      <c r="S19" s="3"/>
      <c r="T19" s="3"/>
      <c r="U19" s="3"/>
      <c r="V19" s="3"/>
      <c r="W19" s="3"/>
      <c r="X19" s="3"/>
      <c r="Y19" s="3"/>
      <c r="Z19" s="3"/>
      <c r="AA19" s="3"/>
      <c r="AB19" s="3"/>
      <c r="AC19" s="3"/>
      <c r="AD19" s="3"/>
      <c r="AE19" s="3"/>
    </row>
    <row r="20">
      <c r="A20" s="4"/>
      <c r="B20" s="4" t="s">
        <v>74</v>
      </c>
      <c r="C20" s="5"/>
      <c r="D20" s="5"/>
      <c r="E20" s="6" t="s">
        <v>75</v>
      </c>
      <c r="F20" s="4"/>
      <c r="G20" s="4" t="s">
        <v>19</v>
      </c>
      <c r="H20" s="4" t="s">
        <v>76</v>
      </c>
      <c r="I20" s="8">
        <v>13000.0</v>
      </c>
      <c r="J20" s="7">
        <v>14000.0</v>
      </c>
      <c r="K20" s="4"/>
      <c r="L20" s="3"/>
      <c r="M20" s="3"/>
      <c r="N20" s="3"/>
      <c r="O20" s="3"/>
      <c r="P20" s="3"/>
      <c r="Q20" s="3"/>
      <c r="R20" s="3"/>
      <c r="S20" s="3"/>
      <c r="T20" s="3"/>
      <c r="U20" s="3"/>
      <c r="V20" s="3"/>
      <c r="W20" s="3"/>
      <c r="X20" s="3"/>
      <c r="Y20" s="3"/>
      <c r="Z20" s="3"/>
      <c r="AA20" s="3"/>
      <c r="AB20" s="3"/>
      <c r="AC20" s="3"/>
      <c r="AD20" s="3"/>
      <c r="AE20" s="3"/>
    </row>
    <row r="21">
      <c r="A21" s="4"/>
      <c r="B21" s="4" t="s">
        <v>77</v>
      </c>
      <c r="C21" s="5"/>
      <c r="D21" s="5"/>
      <c r="E21" s="6" t="s">
        <v>78</v>
      </c>
      <c r="F21" s="4"/>
      <c r="G21" s="4" t="s">
        <v>19</v>
      </c>
      <c r="H21" s="4" t="s">
        <v>79</v>
      </c>
      <c r="I21" s="8">
        <v>20000.0</v>
      </c>
      <c r="J21" s="7">
        <v>21000.0</v>
      </c>
      <c r="K21" s="4"/>
      <c r="L21" s="3"/>
      <c r="M21" s="3"/>
      <c r="N21" s="3"/>
      <c r="O21" s="3"/>
      <c r="P21" s="3"/>
      <c r="Q21" s="3"/>
      <c r="R21" s="3"/>
      <c r="S21" s="3"/>
      <c r="T21" s="3"/>
      <c r="U21" s="3"/>
      <c r="V21" s="3"/>
      <c r="W21" s="3"/>
      <c r="X21" s="3"/>
      <c r="Y21" s="3"/>
      <c r="Z21" s="3"/>
      <c r="AA21" s="3"/>
      <c r="AB21" s="3"/>
      <c r="AC21" s="3"/>
      <c r="AD21" s="3"/>
      <c r="AE21" s="3"/>
    </row>
    <row r="22">
      <c r="A22" s="4"/>
      <c r="B22" s="4" t="s">
        <v>80</v>
      </c>
      <c r="C22" s="5"/>
      <c r="D22" s="5"/>
      <c r="E22" s="4"/>
      <c r="F22" s="4"/>
      <c r="G22" s="4"/>
      <c r="H22" s="4"/>
      <c r="I22" s="8">
        <v>9250.0</v>
      </c>
      <c r="J22" s="8">
        <v>9250.0</v>
      </c>
      <c r="K22" s="4"/>
      <c r="L22" s="3"/>
      <c r="M22" s="3"/>
      <c r="N22" s="3"/>
      <c r="O22" s="3"/>
      <c r="P22" s="3"/>
      <c r="Q22" s="3"/>
      <c r="R22" s="3"/>
      <c r="S22" s="3"/>
      <c r="T22" s="3"/>
      <c r="U22" s="3"/>
      <c r="V22" s="3"/>
      <c r="W22" s="3"/>
      <c r="X22" s="3"/>
      <c r="Y22" s="3"/>
      <c r="Z22" s="3"/>
      <c r="AA22" s="3"/>
      <c r="AB22" s="3"/>
      <c r="AC22" s="3"/>
      <c r="AD22" s="3"/>
      <c r="AE22" s="3"/>
    </row>
    <row r="23">
      <c r="A23" s="4"/>
      <c r="B23" s="4" t="s">
        <v>81</v>
      </c>
      <c r="C23" s="5"/>
      <c r="D23" s="5"/>
      <c r="E23" s="4"/>
      <c r="F23" s="4"/>
      <c r="G23" s="4"/>
      <c r="H23" s="4"/>
      <c r="I23" s="8">
        <v>11000.0</v>
      </c>
      <c r="J23" s="8">
        <v>11000.0</v>
      </c>
      <c r="K23" s="4"/>
      <c r="L23" s="3"/>
      <c r="M23" s="3"/>
      <c r="N23" s="3"/>
      <c r="O23" s="3"/>
      <c r="P23" s="3"/>
      <c r="Q23" s="3"/>
      <c r="R23" s="3"/>
      <c r="S23" s="3"/>
      <c r="T23" s="3"/>
      <c r="U23" s="3"/>
      <c r="V23" s="3"/>
      <c r="W23" s="3"/>
      <c r="X23" s="3"/>
      <c r="Y23" s="3"/>
      <c r="Z23" s="3"/>
      <c r="AA23" s="3"/>
      <c r="AB23" s="3"/>
      <c r="AC23" s="3"/>
      <c r="AD23" s="3"/>
      <c r="AE23" s="3"/>
    </row>
    <row r="24">
      <c r="A24" s="4"/>
      <c r="B24" s="4" t="s">
        <v>82</v>
      </c>
      <c r="C24" s="5"/>
      <c r="D24" s="5"/>
      <c r="E24" s="6" t="s">
        <v>83</v>
      </c>
      <c r="F24" s="4"/>
      <c r="G24" s="4" t="s">
        <v>19</v>
      </c>
      <c r="H24" s="4" t="s">
        <v>84</v>
      </c>
      <c r="I24" s="8">
        <v>10500.0</v>
      </c>
      <c r="J24" s="8">
        <v>10500.0</v>
      </c>
      <c r="K24" s="4"/>
      <c r="L24" s="3"/>
      <c r="M24" s="3"/>
      <c r="N24" s="3"/>
      <c r="O24" s="3"/>
      <c r="P24" s="3"/>
      <c r="Q24" s="3"/>
      <c r="R24" s="3"/>
      <c r="S24" s="3"/>
      <c r="T24" s="3"/>
      <c r="U24" s="3"/>
      <c r="V24" s="3"/>
      <c r="W24" s="3"/>
      <c r="X24" s="3"/>
      <c r="Y24" s="3"/>
      <c r="Z24" s="3"/>
      <c r="AA24" s="3"/>
      <c r="AB24" s="3"/>
      <c r="AC24" s="3"/>
      <c r="AD24" s="3"/>
      <c r="AE24" s="3"/>
    </row>
    <row r="25">
      <c r="A25" s="4"/>
      <c r="B25" s="4" t="s">
        <v>85</v>
      </c>
      <c r="C25" s="5"/>
      <c r="D25" s="5"/>
      <c r="E25" s="4"/>
      <c r="F25" s="4"/>
      <c r="G25" s="4" t="s">
        <v>19</v>
      </c>
      <c r="H25" s="4" t="s">
        <v>86</v>
      </c>
      <c r="I25" s="8">
        <v>12000.0</v>
      </c>
      <c r="J25" s="8">
        <v>12000.0</v>
      </c>
      <c r="K25" s="4"/>
      <c r="L25" s="3"/>
      <c r="M25" s="3"/>
      <c r="N25" s="3"/>
      <c r="O25" s="3"/>
      <c r="P25" s="3"/>
      <c r="Q25" s="3"/>
      <c r="R25" s="3"/>
      <c r="S25" s="3"/>
      <c r="T25" s="3"/>
      <c r="U25" s="3"/>
      <c r="V25" s="3"/>
      <c r="W25" s="3"/>
      <c r="X25" s="3"/>
      <c r="Y25" s="3"/>
      <c r="Z25" s="3"/>
      <c r="AA25" s="3"/>
      <c r="AB25" s="3"/>
      <c r="AC25" s="3"/>
      <c r="AD25" s="3"/>
      <c r="AE25" s="3"/>
    </row>
    <row r="26">
      <c r="A26" s="4"/>
      <c r="B26" s="4" t="s">
        <v>87</v>
      </c>
      <c r="C26" s="5"/>
      <c r="D26" s="5"/>
      <c r="E26" s="6" t="s">
        <v>88</v>
      </c>
      <c r="F26" s="4"/>
      <c r="G26" s="4" t="s">
        <v>19</v>
      </c>
      <c r="H26" s="4" t="s">
        <v>89</v>
      </c>
      <c r="I26" s="8">
        <v>12000.0</v>
      </c>
      <c r="J26" s="7">
        <v>13000.0</v>
      </c>
      <c r="K26" s="4"/>
      <c r="L26" s="3"/>
      <c r="M26" s="3"/>
      <c r="N26" s="3"/>
      <c r="O26" s="3"/>
      <c r="P26" s="3"/>
      <c r="Q26" s="3"/>
      <c r="R26" s="3"/>
      <c r="S26" s="3"/>
      <c r="T26" s="3"/>
      <c r="U26" s="3"/>
      <c r="V26" s="3"/>
      <c r="W26" s="3"/>
      <c r="X26" s="3"/>
      <c r="Y26" s="3"/>
      <c r="Z26" s="3"/>
      <c r="AA26" s="3"/>
      <c r="AB26" s="3"/>
      <c r="AC26" s="3"/>
      <c r="AD26" s="3"/>
      <c r="AE26" s="3"/>
    </row>
    <row r="27">
      <c r="A27" s="4"/>
      <c r="B27" s="4" t="s">
        <v>90</v>
      </c>
      <c r="C27" s="5"/>
      <c r="D27" s="5"/>
      <c r="E27" s="4"/>
      <c r="F27" s="4"/>
      <c r="G27" s="4"/>
      <c r="H27" s="4"/>
      <c r="I27" s="8">
        <v>10000.0</v>
      </c>
      <c r="J27" s="8">
        <v>10000.0</v>
      </c>
      <c r="K27" s="4"/>
      <c r="L27" s="3"/>
      <c r="M27" s="3"/>
      <c r="N27" s="3"/>
      <c r="O27" s="3"/>
      <c r="P27" s="3"/>
      <c r="Q27" s="3"/>
      <c r="R27" s="3"/>
      <c r="S27" s="3"/>
      <c r="T27" s="3"/>
      <c r="U27" s="3"/>
      <c r="V27" s="3"/>
      <c r="W27" s="3"/>
      <c r="X27" s="3"/>
      <c r="Y27" s="3"/>
      <c r="Z27" s="3"/>
      <c r="AA27" s="3"/>
      <c r="AB27" s="3"/>
      <c r="AC27" s="3"/>
      <c r="AD27" s="3"/>
      <c r="AE27" s="3"/>
    </row>
    <row r="28">
      <c r="A28" s="4"/>
      <c r="B28" s="4" t="s">
        <v>91</v>
      </c>
      <c r="C28" s="5"/>
      <c r="D28" s="5"/>
      <c r="E28" s="4"/>
      <c r="F28" s="4"/>
      <c r="G28" s="4"/>
      <c r="H28" s="4"/>
      <c r="I28" s="8">
        <v>10000.0</v>
      </c>
      <c r="J28" s="8">
        <v>10000.0</v>
      </c>
      <c r="K28" s="4"/>
      <c r="L28" s="3"/>
      <c r="M28" s="3"/>
      <c r="N28" s="3"/>
      <c r="O28" s="3"/>
      <c r="P28" s="3"/>
      <c r="Q28" s="3"/>
      <c r="R28" s="3"/>
      <c r="S28" s="3"/>
      <c r="T28" s="3"/>
      <c r="U28" s="3"/>
      <c r="V28" s="3"/>
      <c r="W28" s="3"/>
      <c r="X28" s="3"/>
      <c r="Y28" s="3"/>
      <c r="Z28" s="3"/>
      <c r="AA28" s="3"/>
      <c r="AB28" s="3"/>
      <c r="AC28" s="3"/>
      <c r="AD28" s="3"/>
      <c r="AE28" s="3"/>
    </row>
    <row r="29">
      <c r="A29" s="4"/>
      <c r="B29" s="4" t="s">
        <v>92</v>
      </c>
      <c r="C29" s="5"/>
      <c r="D29" s="5"/>
      <c r="E29" s="6" t="s">
        <v>93</v>
      </c>
      <c r="F29" s="4"/>
      <c r="G29" s="6" t="s">
        <v>65</v>
      </c>
      <c r="H29" s="6">
        <v>3.8254473147E10</v>
      </c>
      <c r="I29" s="8">
        <v>11000.0</v>
      </c>
      <c r="J29" s="7">
        <v>12000.0</v>
      </c>
      <c r="K29" s="4"/>
      <c r="L29" s="3"/>
      <c r="M29" s="3"/>
      <c r="N29" s="3"/>
      <c r="O29" s="3"/>
      <c r="P29" s="3"/>
      <c r="Q29" s="3"/>
      <c r="R29" s="3"/>
      <c r="S29" s="3"/>
      <c r="T29" s="3"/>
      <c r="U29" s="3"/>
      <c r="V29" s="3"/>
      <c r="W29" s="3"/>
      <c r="X29" s="3"/>
      <c r="Y29" s="3"/>
      <c r="Z29" s="3"/>
      <c r="AA29" s="3"/>
      <c r="AB29" s="3"/>
      <c r="AC29" s="3"/>
      <c r="AD29" s="3"/>
      <c r="AE29" s="3"/>
    </row>
    <row r="30">
      <c r="A30" s="4"/>
      <c r="B30" s="4" t="s">
        <v>94</v>
      </c>
      <c r="C30" s="5"/>
      <c r="D30" s="5"/>
      <c r="E30" s="4"/>
      <c r="F30" s="4"/>
      <c r="G30" s="4"/>
      <c r="H30" s="4"/>
      <c r="I30" s="8">
        <v>16000.0</v>
      </c>
      <c r="J30" s="8">
        <v>16000.0</v>
      </c>
      <c r="K30" s="4"/>
      <c r="L30" s="3"/>
      <c r="M30" s="3"/>
      <c r="N30" s="3"/>
      <c r="O30" s="3"/>
      <c r="P30" s="3"/>
      <c r="Q30" s="3"/>
      <c r="R30" s="3"/>
      <c r="S30" s="3"/>
      <c r="T30" s="3"/>
      <c r="U30" s="3"/>
      <c r="V30" s="3"/>
      <c r="W30" s="3"/>
      <c r="X30" s="3"/>
      <c r="Y30" s="3"/>
      <c r="Z30" s="3"/>
      <c r="AA30" s="3"/>
      <c r="AB30" s="3"/>
      <c r="AC30" s="3"/>
      <c r="AD30" s="3"/>
      <c r="AE30" s="3"/>
    </row>
    <row r="31">
      <c r="A31" s="4"/>
      <c r="B31" s="4" t="s">
        <v>95</v>
      </c>
      <c r="C31" s="5"/>
      <c r="D31" s="5"/>
      <c r="E31" s="4"/>
      <c r="F31" s="4"/>
      <c r="G31" s="4"/>
      <c r="H31" s="4"/>
      <c r="I31" s="8">
        <v>10000.0</v>
      </c>
      <c r="J31" s="8">
        <v>10000.0</v>
      </c>
      <c r="K31" s="4"/>
      <c r="L31" s="3"/>
      <c r="M31" s="3"/>
      <c r="N31" s="3"/>
      <c r="O31" s="3"/>
      <c r="P31" s="3"/>
      <c r="Q31" s="3"/>
      <c r="R31" s="3"/>
      <c r="S31" s="3"/>
      <c r="T31" s="3"/>
      <c r="U31" s="3"/>
      <c r="V31" s="3"/>
      <c r="W31" s="3"/>
      <c r="X31" s="3"/>
      <c r="Y31" s="3"/>
      <c r="Z31" s="3"/>
      <c r="AA31" s="3"/>
      <c r="AB31" s="3"/>
      <c r="AC31" s="3"/>
      <c r="AD31" s="3"/>
      <c r="AE31" s="3"/>
    </row>
    <row r="32">
      <c r="A32" s="4"/>
      <c r="B32" s="4" t="s">
        <v>96</v>
      </c>
      <c r="C32" s="5"/>
      <c r="D32" s="5"/>
      <c r="E32" s="6" t="s">
        <v>97</v>
      </c>
      <c r="F32" s="4"/>
      <c r="G32" s="4" t="s">
        <v>65</v>
      </c>
      <c r="H32" s="4">
        <v>4.0653547928E10</v>
      </c>
      <c r="I32" s="8">
        <v>12000.0</v>
      </c>
      <c r="J32" s="7">
        <v>13000.0</v>
      </c>
      <c r="K32" s="4"/>
      <c r="L32" s="3"/>
      <c r="M32" s="3"/>
      <c r="N32" s="3"/>
      <c r="O32" s="3"/>
      <c r="P32" s="3"/>
      <c r="Q32" s="3"/>
      <c r="R32" s="3"/>
      <c r="S32" s="3"/>
      <c r="T32" s="3"/>
      <c r="U32" s="3"/>
      <c r="V32" s="3"/>
      <c r="W32" s="3"/>
      <c r="X32" s="3"/>
      <c r="Y32" s="3"/>
      <c r="Z32" s="3"/>
      <c r="AA32" s="3"/>
      <c r="AB32" s="3"/>
      <c r="AC32" s="3"/>
      <c r="AD32" s="3"/>
      <c r="AE32" s="3"/>
    </row>
    <row r="33">
      <c r="A33" s="4"/>
      <c r="B33" s="4" t="s">
        <v>98</v>
      </c>
      <c r="C33" s="5"/>
      <c r="D33" s="5"/>
      <c r="E33" s="6" t="s">
        <v>99</v>
      </c>
      <c r="F33" s="4"/>
      <c r="G33" s="4"/>
      <c r="H33" s="4"/>
      <c r="I33" s="8">
        <v>10000.0</v>
      </c>
      <c r="J33" s="8">
        <v>10000.0</v>
      </c>
      <c r="K33" s="4"/>
      <c r="L33" s="3"/>
      <c r="M33" s="3"/>
      <c r="N33" s="3"/>
      <c r="O33" s="11"/>
      <c r="P33" s="3"/>
      <c r="Q33" s="3"/>
      <c r="R33" s="3"/>
      <c r="S33" s="3"/>
      <c r="T33" s="3"/>
      <c r="U33" s="3"/>
      <c r="V33" s="3"/>
      <c r="W33" s="3"/>
      <c r="X33" s="3"/>
      <c r="Y33" s="3"/>
      <c r="Z33" s="3"/>
      <c r="AA33" s="3"/>
      <c r="AB33" s="3"/>
      <c r="AC33" s="3"/>
      <c r="AD33" s="3"/>
      <c r="AE33" s="3"/>
    </row>
    <row r="34">
      <c r="A34" s="4"/>
      <c r="B34" s="4" t="s">
        <v>100</v>
      </c>
      <c r="C34" s="5"/>
      <c r="D34" s="5"/>
      <c r="E34" s="6" t="s">
        <v>101</v>
      </c>
      <c r="F34" s="4"/>
      <c r="G34" s="4"/>
      <c r="H34" s="4"/>
      <c r="I34" s="8">
        <v>14000.0</v>
      </c>
      <c r="J34" s="8">
        <v>14000.0</v>
      </c>
      <c r="K34" s="4"/>
      <c r="L34" s="3"/>
      <c r="M34" s="3"/>
      <c r="N34" s="3"/>
      <c r="O34" s="3"/>
      <c r="P34" s="3"/>
      <c r="Q34" s="3"/>
      <c r="R34" s="3"/>
      <c r="S34" s="3"/>
      <c r="T34" s="3"/>
      <c r="U34" s="3"/>
      <c r="V34" s="3"/>
      <c r="W34" s="3"/>
      <c r="X34" s="3"/>
      <c r="Y34" s="3"/>
      <c r="Z34" s="3"/>
      <c r="AA34" s="3"/>
      <c r="AB34" s="3"/>
      <c r="AC34" s="3"/>
      <c r="AD34" s="3"/>
      <c r="AE34" s="3"/>
    </row>
    <row r="35">
      <c r="A35" s="4"/>
      <c r="B35" s="4" t="s">
        <v>102</v>
      </c>
      <c r="C35" s="5"/>
      <c r="D35" s="5"/>
      <c r="E35" s="6" t="s">
        <v>103</v>
      </c>
      <c r="F35" s="4"/>
      <c r="G35" s="4"/>
      <c r="H35" s="6">
        <v>2.521711617363E12</v>
      </c>
      <c r="I35" s="8">
        <v>10000.0</v>
      </c>
      <c r="J35" s="7">
        <v>11000.0</v>
      </c>
      <c r="K35" s="4"/>
      <c r="L35" s="3"/>
      <c r="M35" s="3"/>
      <c r="N35" s="3"/>
      <c r="O35" s="3"/>
      <c r="P35" s="3"/>
      <c r="Q35" s="3"/>
      <c r="R35" s="3"/>
      <c r="S35" s="3"/>
      <c r="T35" s="3"/>
      <c r="U35" s="3"/>
      <c r="V35" s="3"/>
      <c r="W35" s="3"/>
      <c r="X35" s="3"/>
      <c r="Y35" s="3"/>
      <c r="Z35" s="3"/>
      <c r="AA35" s="3"/>
      <c r="AB35" s="3"/>
      <c r="AC35" s="3"/>
      <c r="AD35" s="3"/>
      <c r="AE35" s="3"/>
    </row>
    <row r="36">
      <c r="A36" s="4"/>
      <c r="B36" s="4" t="s">
        <v>104</v>
      </c>
      <c r="C36" s="5"/>
      <c r="D36" s="5"/>
      <c r="E36" s="6" t="s">
        <v>105</v>
      </c>
      <c r="F36" s="4"/>
      <c r="G36" s="4"/>
      <c r="H36" s="6">
        <v>4.11002010021257E14</v>
      </c>
      <c r="I36" s="8">
        <v>10000.0</v>
      </c>
      <c r="J36" s="8">
        <v>10000.0</v>
      </c>
      <c r="K36" s="4"/>
      <c r="L36" s="3"/>
      <c r="M36" s="12" t="s">
        <v>106</v>
      </c>
      <c r="N36" s="13"/>
      <c r="O36" s="3"/>
      <c r="P36" s="3"/>
      <c r="Q36" s="3"/>
      <c r="R36" s="3"/>
      <c r="S36" s="3"/>
      <c r="T36" s="3"/>
      <c r="U36" s="3"/>
      <c r="V36" s="3"/>
      <c r="W36" s="3"/>
      <c r="X36" s="3"/>
      <c r="Y36" s="3"/>
      <c r="Z36" s="3"/>
      <c r="AA36" s="3"/>
      <c r="AB36" s="3"/>
      <c r="AC36" s="3"/>
      <c r="AD36" s="3"/>
      <c r="AE36" s="3"/>
    </row>
    <row r="37">
      <c r="A37" s="4"/>
      <c r="B37" s="4" t="s">
        <v>107</v>
      </c>
      <c r="C37" s="5"/>
      <c r="D37" s="5"/>
      <c r="E37" s="6" t="s">
        <v>108</v>
      </c>
      <c r="F37" s="4"/>
      <c r="G37" s="4" t="s">
        <v>109</v>
      </c>
      <c r="H37" s="4">
        <v>3.9810019872E10</v>
      </c>
      <c r="I37" s="8">
        <v>10000.0</v>
      </c>
      <c r="J37" s="8">
        <v>10000.0</v>
      </c>
      <c r="K37" s="4"/>
      <c r="L37" s="3"/>
      <c r="M37" s="13"/>
      <c r="N37" s="13"/>
      <c r="O37" s="3"/>
      <c r="P37" s="3"/>
      <c r="Q37" s="3"/>
      <c r="R37" s="3"/>
      <c r="S37" s="3"/>
      <c r="T37" s="3"/>
      <c r="U37" s="3"/>
      <c r="V37" s="3"/>
      <c r="W37" s="3"/>
      <c r="X37" s="3"/>
      <c r="Y37" s="3"/>
      <c r="Z37" s="3"/>
      <c r="AA37" s="3"/>
      <c r="AB37" s="3"/>
      <c r="AC37" s="3"/>
      <c r="AD37" s="3"/>
      <c r="AE37" s="3"/>
    </row>
    <row r="38">
      <c r="A38" s="4"/>
      <c r="B38" s="4" t="s">
        <v>110</v>
      </c>
      <c r="C38" s="5"/>
      <c r="D38" s="5"/>
      <c r="E38" s="6" t="s">
        <v>111</v>
      </c>
      <c r="F38" s="4"/>
      <c r="G38" s="4"/>
      <c r="H38" s="6"/>
      <c r="I38" s="8">
        <v>10000.0</v>
      </c>
      <c r="J38" s="8">
        <v>10000.0</v>
      </c>
      <c r="K38" s="4"/>
      <c r="L38" s="3"/>
      <c r="M38" s="13"/>
      <c r="N38" s="13"/>
      <c r="O38" s="3"/>
      <c r="P38" s="3"/>
      <c r="Q38" s="3"/>
      <c r="R38" s="3"/>
      <c r="S38" s="3"/>
      <c r="T38" s="3"/>
      <c r="U38" s="3"/>
      <c r="V38" s="3"/>
      <c r="W38" s="3"/>
      <c r="X38" s="3"/>
      <c r="Y38" s="3"/>
      <c r="Z38" s="3"/>
      <c r="AA38" s="3"/>
      <c r="AB38" s="3"/>
      <c r="AC38" s="3"/>
      <c r="AD38" s="3"/>
      <c r="AE38" s="3"/>
    </row>
    <row r="39">
      <c r="A39" s="4"/>
      <c r="B39" s="4" t="s">
        <v>112</v>
      </c>
      <c r="C39" s="5"/>
      <c r="D39" s="5"/>
      <c r="E39" s="6" t="s">
        <v>113</v>
      </c>
      <c r="F39" s="4"/>
      <c r="G39" s="4" t="s">
        <v>65</v>
      </c>
      <c r="H39" s="4">
        <v>3.4210836103E10</v>
      </c>
      <c r="I39" s="8">
        <v>10000.0</v>
      </c>
      <c r="J39" s="8">
        <v>10000.0</v>
      </c>
      <c r="K39" s="4"/>
      <c r="L39" s="3"/>
      <c r="M39" s="13"/>
      <c r="N39" s="13"/>
      <c r="O39" s="3"/>
      <c r="P39" s="3"/>
      <c r="Q39" s="3"/>
      <c r="R39" s="3"/>
      <c r="S39" s="3"/>
      <c r="T39" s="3"/>
      <c r="U39" s="3"/>
      <c r="V39" s="3"/>
      <c r="W39" s="3"/>
      <c r="X39" s="3"/>
      <c r="Y39" s="3"/>
      <c r="Z39" s="3"/>
      <c r="AA39" s="3"/>
      <c r="AB39" s="3"/>
      <c r="AC39" s="3"/>
      <c r="AD39" s="3"/>
      <c r="AE39" s="3"/>
    </row>
    <row r="40">
      <c r="A40" s="4"/>
      <c r="B40" s="4" t="s">
        <v>114</v>
      </c>
      <c r="C40" s="5"/>
      <c r="D40" s="5"/>
      <c r="E40" s="6" t="s">
        <v>115</v>
      </c>
      <c r="F40" s="4"/>
      <c r="G40" s="4"/>
      <c r="H40" s="4"/>
      <c r="I40" s="8">
        <v>10000.0</v>
      </c>
      <c r="J40" s="8">
        <v>10000.0</v>
      </c>
      <c r="K40" s="4"/>
      <c r="L40" s="3"/>
      <c r="M40" s="13"/>
      <c r="N40" s="13"/>
      <c r="O40" s="3"/>
      <c r="P40" s="3"/>
      <c r="Q40" s="3"/>
      <c r="R40" s="3"/>
      <c r="S40" s="3"/>
      <c r="T40" s="3"/>
      <c r="U40" s="3"/>
      <c r="V40" s="3"/>
      <c r="W40" s="3"/>
      <c r="X40" s="3"/>
      <c r="Y40" s="3"/>
      <c r="Z40" s="3"/>
      <c r="AA40" s="3"/>
      <c r="AB40" s="3"/>
      <c r="AC40" s="3"/>
      <c r="AD40" s="3"/>
      <c r="AE40" s="3"/>
    </row>
    <row r="41">
      <c r="A41" s="4"/>
      <c r="B41" s="4" t="s">
        <v>116</v>
      </c>
      <c r="C41" s="5"/>
      <c r="D41" s="5"/>
      <c r="E41" s="6" t="s">
        <v>117</v>
      </c>
      <c r="F41" s="4"/>
      <c r="G41" s="4" t="s">
        <v>118</v>
      </c>
      <c r="H41" s="4">
        <v>5.6134001006549E13</v>
      </c>
      <c r="I41" s="8">
        <v>10000.0</v>
      </c>
      <c r="J41" s="8">
        <v>10000.0</v>
      </c>
      <c r="K41" s="4"/>
      <c r="L41" s="3"/>
      <c r="M41" s="13"/>
      <c r="N41" s="13"/>
      <c r="O41" s="3"/>
      <c r="P41" s="3"/>
      <c r="Q41" s="3"/>
      <c r="R41" s="3"/>
      <c r="S41" s="3"/>
      <c r="T41" s="3"/>
      <c r="U41" s="3"/>
      <c r="V41" s="3"/>
      <c r="W41" s="3"/>
      <c r="X41" s="3"/>
      <c r="Y41" s="3"/>
      <c r="Z41" s="3"/>
      <c r="AA41" s="3"/>
      <c r="AB41" s="3"/>
      <c r="AC41" s="3"/>
      <c r="AD41" s="3"/>
      <c r="AE41" s="3"/>
    </row>
    <row r="42">
      <c r="A42" s="4"/>
      <c r="B42" s="4" t="s">
        <v>119</v>
      </c>
      <c r="C42" s="5"/>
      <c r="D42" s="5"/>
      <c r="E42" s="6" t="s">
        <v>120</v>
      </c>
      <c r="F42" s="4"/>
      <c r="G42" s="4" t="s">
        <v>121</v>
      </c>
      <c r="H42" s="4">
        <v>2.915101004645E12</v>
      </c>
      <c r="I42" s="8">
        <v>17000.0</v>
      </c>
      <c r="J42" s="7">
        <v>18000.0</v>
      </c>
      <c r="K42" s="4"/>
      <c r="L42" s="3"/>
      <c r="M42" s="13"/>
      <c r="N42" s="13"/>
      <c r="O42" s="3"/>
      <c r="P42" s="3"/>
      <c r="Q42" s="3"/>
      <c r="R42" s="3"/>
      <c r="S42" s="3"/>
      <c r="T42" s="3"/>
      <c r="U42" s="3"/>
      <c r="V42" s="3"/>
      <c r="W42" s="3"/>
      <c r="X42" s="3"/>
      <c r="Y42" s="3"/>
      <c r="Z42" s="3"/>
      <c r="AA42" s="3"/>
      <c r="AB42" s="3"/>
      <c r="AC42" s="3"/>
      <c r="AD42" s="3"/>
      <c r="AE42" s="3"/>
    </row>
    <row r="43">
      <c r="A43" s="4"/>
      <c r="B43" s="4" t="s">
        <v>122</v>
      </c>
      <c r="C43" s="5">
        <v>45768.0</v>
      </c>
      <c r="D43" s="5"/>
      <c r="E43" s="6" t="s">
        <v>123</v>
      </c>
      <c r="F43" s="4"/>
      <c r="G43" s="4" t="s">
        <v>65</v>
      </c>
      <c r="H43" s="4">
        <v>3.760388261E10</v>
      </c>
      <c r="I43" s="8">
        <v>10000.0</v>
      </c>
      <c r="J43" s="8">
        <v>10000.0</v>
      </c>
      <c r="K43" s="4"/>
      <c r="L43" s="3"/>
      <c r="M43" s="13"/>
      <c r="N43" s="13"/>
      <c r="O43" s="3"/>
      <c r="P43" s="3"/>
      <c r="Q43" s="3"/>
      <c r="R43" s="3"/>
      <c r="S43" s="3"/>
      <c r="T43" s="3"/>
      <c r="U43" s="3"/>
      <c r="V43" s="3"/>
      <c r="W43" s="3"/>
      <c r="X43" s="3"/>
      <c r="Y43" s="3"/>
      <c r="Z43" s="3"/>
      <c r="AA43" s="3"/>
      <c r="AB43" s="3"/>
      <c r="AC43" s="3"/>
      <c r="AD43" s="3"/>
      <c r="AE43" s="3"/>
    </row>
    <row r="44">
      <c r="A44" s="4"/>
      <c r="B44" s="4" t="s">
        <v>124</v>
      </c>
      <c r="C44" s="5">
        <v>45768.0</v>
      </c>
      <c r="D44" s="5"/>
      <c r="E44" s="6" t="s">
        <v>125</v>
      </c>
      <c r="F44" s="4"/>
      <c r="G44" s="6" t="s">
        <v>126</v>
      </c>
      <c r="H44" s="6" t="s">
        <v>127</v>
      </c>
      <c r="I44" s="7">
        <v>9000.0</v>
      </c>
      <c r="J44" s="7">
        <v>10000.0</v>
      </c>
      <c r="K44" s="4"/>
      <c r="L44" s="3"/>
      <c r="M44" s="13"/>
      <c r="N44" s="13"/>
      <c r="O44" s="3"/>
      <c r="P44" s="3"/>
      <c r="Q44" s="3"/>
      <c r="R44" s="3"/>
      <c r="S44" s="3"/>
      <c r="T44" s="3"/>
      <c r="U44" s="3"/>
      <c r="V44" s="3"/>
      <c r="W44" s="3"/>
      <c r="X44" s="3"/>
      <c r="Y44" s="3"/>
      <c r="Z44" s="3"/>
      <c r="AA44" s="3"/>
      <c r="AB44" s="3"/>
      <c r="AC44" s="3"/>
      <c r="AD44" s="3"/>
      <c r="AE44" s="3"/>
    </row>
    <row r="45">
      <c r="A45" s="4"/>
      <c r="B45" s="4" t="s">
        <v>128</v>
      </c>
      <c r="C45" s="5">
        <v>45768.0</v>
      </c>
      <c r="D45" s="5"/>
      <c r="E45" s="6" t="s">
        <v>129</v>
      </c>
      <c r="F45" s="4"/>
      <c r="G45" s="4"/>
      <c r="H45" s="4"/>
      <c r="I45" s="8">
        <v>10000.0</v>
      </c>
      <c r="J45" s="8">
        <v>10000.0</v>
      </c>
      <c r="K45" s="4"/>
      <c r="L45" s="3"/>
      <c r="M45" s="13"/>
      <c r="N45" s="13"/>
      <c r="O45" s="3"/>
      <c r="P45" s="3"/>
      <c r="Q45" s="3"/>
      <c r="R45" s="3"/>
      <c r="S45" s="3"/>
      <c r="T45" s="3"/>
      <c r="U45" s="3"/>
      <c r="V45" s="3"/>
      <c r="W45" s="3"/>
      <c r="X45" s="3"/>
      <c r="Y45" s="3"/>
      <c r="Z45" s="3"/>
      <c r="AA45" s="3"/>
      <c r="AB45" s="3"/>
      <c r="AC45" s="3"/>
      <c r="AD45" s="3"/>
      <c r="AE45" s="3"/>
    </row>
    <row r="46">
      <c r="A46" s="4"/>
      <c r="B46" s="4" t="s">
        <v>130</v>
      </c>
      <c r="C46" s="5">
        <v>45845.0</v>
      </c>
      <c r="D46" s="5"/>
      <c r="E46" s="6" t="s">
        <v>131</v>
      </c>
      <c r="F46" s="4"/>
      <c r="G46" s="4"/>
      <c r="H46" s="4"/>
      <c r="I46" s="8"/>
      <c r="J46" s="7">
        <v>9500.0</v>
      </c>
      <c r="K46" s="4"/>
      <c r="L46" s="3"/>
      <c r="M46" s="13"/>
      <c r="N46" s="13"/>
      <c r="O46" s="3"/>
      <c r="P46" s="3"/>
      <c r="Q46" s="3"/>
      <c r="R46" s="3"/>
      <c r="S46" s="3"/>
      <c r="T46" s="3"/>
      <c r="U46" s="3"/>
      <c r="V46" s="3"/>
      <c r="W46" s="3"/>
      <c r="X46" s="3"/>
      <c r="Y46" s="3"/>
      <c r="Z46" s="3"/>
      <c r="AA46" s="3"/>
      <c r="AB46" s="3"/>
      <c r="AC46" s="3"/>
      <c r="AD46" s="3"/>
      <c r="AE46" s="3"/>
    </row>
    <row r="47">
      <c r="A47" s="4"/>
      <c r="B47" s="4" t="s">
        <v>132</v>
      </c>
      <c r="C47" s="5">
        <v>45854.0</v>
      </c>
      <c r="D47" s="5"/>
      <c r="E47" s="6" t="s">
        <v>133</v>
      </c>
      <c r="F47" s="4"/>
      <c r="G47" s="6" t="s">
        <v>65</v>
      </c>
      <c r="H47" s="6">
        <v>4.0027391096E10</v>
      </c>
      <c r="I47" s="7"/>
      <c r="J47" s="7">
        <v>10000.0</v>
      </c>
      <c r="K47" s="4"/>
      <c r="L47" s="3"/>
      <c r="M47" s="13"/>
      <c r="N47" s="13"/>
      <c r="O47" s="3"/>
      <c r="P47" s="3"/>
      <c r="Q47" s="3"/>
      <c r="R47" s="3"/>
      <c r="S47" s="3"/>
      <c r="T47" s="3"/>
      <c r="U47" s="3"/>
      <c r="V47" s="3"/>
      <c r="W47" s="3"/>
      <c r="X47" s="3"/>
      <c r="Y47" s="3"/>
      <c r="Z47" s="3"/>
      <c r="AA47" s="3"/>
      <c r="AB47" s="3"/>
      <c r="AC47" s="3"/>
      <c r="AD47" s="3"/>
      <c r="AE47" s="3"/>
    </row>
    <row r="48">
      <c r="A48" s="4"/>
      <c r="B48" s="4" t="s">
        <v>134</v>
      </c>
      <c r="C48" s="5"/>
      <c r="D48" s="5"/>
      <c r="E48" s="6" t="s">
        <v>135</v>
      </c>
      <c r="F48" s="4"/>
      <c r="G48" s="6" t="s">
        <v>65</v>
      </c>
      <c r="H48" s="6">
        <v>3.8629076963E10</v>
      </c>
      <c r="I48" s="7"/>
      <c r="J48" s="7">
        <v>13750.0</v>
      </c>
      <c r="K48" s="4"/>
      <c r="L48" s="3"/>
      <c r="M48" s="13"/>
      <c r="N48" s="13"/>
      <c r="O48" s="3"/>
      <c r="P48" s="3"/>
      <c r="Q48" s="3"/>
      <c r="R48" s="3"/>
      <c r="S48" s="3"/>
      <c r="T48" s="3"/>
      <c r="U48" s="3"/>
      <c r="V48" s="3"/>
      <c r="W48" s="3"/>
      <c r="X48" s="3"/>
      <c r="Y48" s="3"/>
      <c r="Z48" s="3"/>
      <c r="AA48" s="3"/>
      <c r="AB48" s="3"/>
      <c r="AC48" s="3"/>
      <c r="AD48" s="3"/>
      <c r="AE48" s="3"/>
    </row>
    <row r="49">
      <c r="A49" s="4"/>
      <c r="B49" s="6" t="s">
        <v>136</v>
      </c>
      <c r="C49" s="5">
        <v>45901.0</v>
      </c>
      <c r="D49" s="5"/>
      <c r="E49" s="6" t="s">
        <v>137</v>
      </c>
      <c r="F49" s="4"/>
      <c r="G49" s="6" t="s">
        <v>32</v>
      </c>
      <c r="H49" s="6">
        <v>4.11002120003687E14</v>
      </c>
      <c r="I49" s="8"/>
      <c r="J49" s="7">
        <v>10000.0</v>
      </c>
      <c r="K49" s="4"/>
      <c r="L49" s="3"/>
      <c r="M49" s="13"/>
      <c r="N49" s="13"/>
      <c r="O49" s="3"/>
      <c r="P49" s="3"/>
      <c r="Q49" s="3"/>
      <c r="R49" s="3"/>
      <c r="S49" s="3"/>
      <c r="T49" s="3"/>
      <c r="U49" s="3"/>
      <c r="V49" s="3"/>
      <c r="W49" s="3"/>
      <c r="X49" s="3"/>
      <c r="Y49" s="3"/>
      <c r="Z49" s="3"/>
      <c r="AA49" s="3"/>
      <c r="AB49" s="3"/>
      <c r="AC49" s="3"/>
      <c r="AD49" s="3"/>
      <c r="AE49" s="3"/>
    </row>
    <row r="50">
      <c r="A50" s="4"/>
      <c r="B50" s="6" t="s">
        <v>138</v>
      </c>
      <c r="C50" s="5">
        <v>45901.0</v>
      </c>
      <c r="D50" s="5"/>
      <c r="E50" s="6" t="s">
        <v>139</v>
      </c>
      <c r="F50" s="4"/>
      <c r="G50" s="4"/>
      <c r="H50" s="4"/>
      <c r="I50" s="8"/>
      <c r="J50" s="7">
        <v>10000.0</v>
      </c>
      <c r="K50" s="4"/>
      <c r="L50" s="3"/>
      <c r="M50" s="13"/>
      <c r="N50" s="13"/>
      <c r="O50" s="3"/>
      <c r="P50" s="3"/>
      <c r="Q50" s="3"/>
      <c r="R50" s="3"/>
      <c r="S50" s="3"/>
      <c r="T50" s="3"/>
      <c r="U50" s="3"/>
      <c r="V50" s="3"/>
      <c r="W50" s="3"/>
      <c r="X50" s="3"/>
      <c r="Y50" s="3"/>
      <c r="Z50" s="3"/>
      <c r="AA50" s="3"/>
      <c r="AB50" s="3"/>
      <c r="AC50" s="3"/>
      <c r="AD50" s="3"/>
      <c r="AE50" s="3"/>
    </row>
    <row r="51">
      <c r="A51" s="4"/>
      <c r="B51" s="6" t="s">
        <v>140</v>
      </c>
      <c r="C51" s="5">
        <v>45908.0</v>
      </c>
      <c r="D51" s="5"/>
      <c r="E51" s="6" t="s">
        <v>141</v>
      </c>
      <c r="F51" s="4"/>
      <c r="G51" s="6" t="s">
        <v>142</v>
      </c>
      <c r="H51" s="6">
        <v>5.0100494695123E13</v>
      </c>
      <c r="I51" s="8"/>
      <c r="J51" s="7">
        <v>10000.0</v>
      </c>
      <c r="K51" s="4"/>
      <c r="L51" s="3"/>
      <c r="M51" s="13"/>
      <c r="N51" s="13"/>
      <c r="O51" s="3"/>
      <c r="P51" s="3"/>
      <c r="Q51" s="3"/>
      <c r="R51" s="3"/>
      <c r="S51" s="3"/>
      <c r="T51" s="3"/>
      <c r="U51" s="3"/>
      <c r="V51" s="3"/>
      <c r="W51" s="3"/>
      <c r="X51" s="3"/>
      <c r="Y51" s="3"/>
      <c r="Z51" s="3"/>
      <c r="AA51" s="3"/>
      <c r="AB51" s="3"/>
      <c r="AC51" s="3"/>
      <c r="AD51" s="3"/>
      <c r="AE51" s="3"/>
    </row>
    <row r="52">
      <c r="A52" s="4"/>
      <c r="B52" s="6" t="s">
        <v>143</v>
      </c>
      <c r="C52" s="5">
        <v>45908.0</v>
      </c>
      <c r="D52" s="5"/>
      <c r="E52" s="6" t="s">
        <v>144</v>
      </c>
      <c r="F52" s="4"/>
      <c r="G52" s="4"/>
      <c r="H52" s="4"/>
      <c r="I52" s="8"/>
      <c r="J52" s="7">
        <v>10000.0</v>
      </c>
      <c r="K52" s="4"/>
      <c r="L52" s="3"/>
      <c r="M52" s="13"/>
      <c r="N52" s="13"/>
      <c r="O52" s="3"/>
      <c r="P52" s="3"/>
      <c r="Q52" s="3"/>
      <c r="R52" s="3"/>
      <c r="S52" s="3"/>
      <c r="T52" s="3"/>
      <c r="U52" s="3"/>
      <c r="V52" s="3"/>
      <c r="W52" s="3"/>
      <c r="X52" s="3"/>
      <c r="Y52" s="3"/>
      <c r="Z52" s="3"/>
      <c r="AA52" s="3"/>
      <c r="AB52" s="3"/>
      <c r="AC52" s="3"/>
      <c r="AD52" s="3"/>
      <c r="AE52" s="3"/>
    </row>
    <row r="53">
      <c r="A53" s="4"/>
      <c r="B53" s="6" t="s">
        <v>145</v>
      </c>
      <c r="C53" s="5">
        <v>45908.0</v>
      </c>
      <c r="D53" s="5"/>
      <c r="E53" s="6" t="s">
        <v>146</v>
      </c>
      <c r="F53" s="4"/>
      <c r="G53" s="6" t="s">
        <v>65</v>
      </c>
      <c r="H53" s="6">
        <v>3.6792923178E10</v>
      </c>
      <c r="I53" s="8"/>
      <c r="J53" s="7">
        <v>10000.0</v>
      </c>
      <c r="K53" s="4"/>
      <c r="L53" s="3"/>
      <c r="M53" s="13"/>
      <c r="N53" s="13"/>
      <c r="O53" s="3"/>
      <c r="P53" s="3"/>
      <c r="Q53" s="3"/>
      <c r="R53" s="3"/>
      <c r="S53" s="3"/>
      <c r="T53" s="3"/>
      <c r="U53" s="3"/>
      <c r="V53" s="3"/>
      <c r="W53" s="3"/>
      <c r="X53" s="3"/>
      <c r="Y53" s="3"/>
      <c r="Z53" s="3"/>
      <c r="AA53" s="3"/>
      <c r="AB53" s="3"/>
      <c r="AC53" s="3"/>
      <c r="AD53" s="3"/>
      <c r="AE53" s="3"/>
    </row>
    <row r="54">
      <c r="A54" s="4"/>
      <c r="B54" s="6" t="s">
        <v>147</v>
      </c>
      <c r="C54" s="4"/>
      <c r="D54" s="4"/>
      <c r="E54" s="6" t="s">
        <v>148</v>
      </c>
      <c r="F54" s="4"/>
      <c r="G54" s="6" t="s">
        <v>40</v>
      </c>
      <c r="H54" s="6">
        <v>7.970941169E9</v>
      </c>
      <c r="I54" s="8"/>
      <c r="J54" s="7">
        <v>10000.0</v>
      </c>
      <c r="K54" s="4"/>
      <c r="L54" s="3"/>
      <c r="M54" s="13"/>
      <c r="N54" s="13"/>
      <c r="O54" s="3"/>
      <c r="P54" s="3"/>
      <c r="Q54" s="3"/>
      <c r="R54" s="3"/>
      <c r="S54" s="3"/>
      <c r="T54" s="3"/>
      <c r="U54" s="3"/>
      <c r="V54" s="3"/>
      <c r="W54" s="3"/>
      <c r="X54" s="3"/>
      <c r="Y54" s="3"/>
      <c r="Z54" s="3"/>
      <c r="AA54" s="3"/>
      <c r="AB54" s="3"/>
      <c r="AC54" s="3"/>
      <c r="AD54" s="3"/>
      <c r="AE54" s="3"/>
    </row>
    <row r="55">
      <c r="A55" s="4"/>
      <c r="B55" s="6" t="s">
        <v>149</v>
      </c>
      <c r="C55" s="4"/>
      <c r="D55" s="4"/>
      <c r="E55" s="6" t="s">
        <v>150</v>
      </c>
      <c r="F55" s="4"/>
      <c r="G55" s="4"/>
      <c r="H55" s="4"/>
      <c r="I55" s="8"/>
      <c r="J55" s="7">
        <v>14000.0</v>
      </c>
      <c r="K55" s="4"/>
      <c r="L55" s="3"/>
      <c r="M55" s="13"/>
      <c r="N55" s="13"/>
      <c r="O55" s="3"/>
      <c r="P55" s="3"/>
      <c r="Q55" s="3"/>
      <c r="R55" s="3"/>
      <c r="S55" s="3"/>
      <c r="T55" s="3"/>
      <c r="U55" s="3"/>
      <c r="V55" s="3"/>
      <c r="W55" s="3"/>
      <c r="X55" s="3"/>
      <c r="Y55" s="3"/>
      <c r="Z55" s="3"/>
      <c r="AA55" s="3"/>
      <c r="AB55" s="3"/>
      <c r="AC55" s="3"/>
      <c r="AD55" s="3"/>
      <c r="AE55" s="3"/>
    </row>
    <row r="56">
      <c r="A56" s="4"/>
      <c r="B56" s="6" t="s">
        <v>151</v>
      </c>
      <c r="C56" s="4"/>
      <c r="D56" s="4"/>
      <c r="E56" s="6" t="s">
        <v>152</v>
      </c>
      <c r="F56" s="4"/>
      <c r="G56" s="4"/>
      <c r="H56" s="4"/>
      <c r="I56" s="8"/>
      <c r="J56" s="7">
        <v>10000.0</v>
      </c>
      <c r="K56" s="4"/>
      <c r="L56" s="3"/>
      <c r="M56" s="13"/>
      <c r="N56" s="13"/>
      <c r="O56" s="3"/>
      <c r="P56" s="3"/>
      <c r="Q56" s="3"/>
      <c r="R56" s="3"/>
      <c r="S56" s="3"/>
      <c r="T56" s="3"/>
      <c r="U56" s="3"/>
      <c r="V56" s="3"/>
      <c r="W56" s="3"/>
      <c r="X56" s="3"/>
      <c r="Y56" s="3"/>
      <c r="Z56" s="3"/>
      <c r="AA56" s="3"/>
      <c r="AB56" s="3"/>
      <c r="AC56" s="3"/>
      <c r="AD56" s="3"/>
      <c r="AE56" s="3"/>
    </row>
    <row r="57">
      <c r="A57" s="4"/>
      <c r="B57" s="6" t="s">
        <v>153</v>
      </c>
      <c r="C57" s="4"/>
      <c r="D57" s="4"/>
      <c r="E57" s="6" t="s">
        <v>154</v>
      </c>
      <c r="F57" s="4"/>
      <c r="G57" s="4"/>
      <c r="H57" s="6">
        <v>7.848907618E9</v>
      </c>
      <c r="I57" s="8"/>
      <c r="J57" s="7">
        <v>10500.0</v>
      </c>
      <c r="K57" s="4"/>
      <c r="L57" s="3"/>
      <c r="M57" s="13"/>
      <c r="N57" s="13"/>
      <c r="O57" s="3"/>
      <c r="P57" s="3"/>
      <c r="Q57" s="3"/>
      <c r="R57" s="3"/>
      <c r="S57" s="3"/>
      <c r="T57" s="3"/>
      <c r="U57" s="3"/>
      <c r="V57" s="3"/>
      <c r="W57" s="3"/>
      <c r="X57" s="3"/>
      <c r="Y57" s="3"/>
      <c r="Z57" s="3"/>
      <c r="AA57" s="3"/>
      <c r="AB57" s="3"/>
      <c r="AC57" s="3"/>
      <c r="AD57" s="3"/>
      <c r="AE57" s="3"/>
    </row>
    <row r="58">
      <c r="A58" s="4"/>
      <c r="B58" s="6" t="s">
        <v>155</v>
      </c>
      <c r="C58" s="4"/>
      <c r="D58" s="4"/>
      <c r="E58" s="6" t="s">
        <v>156</v>
      </c>
      <c r="F58" s="4"/>
      <c r="G58" s="6" t="s">
        <v>65</v>
      </c>
      <c r="H58" s="6">
        <v>3.6793508559E10</v>
      </c>
      <c r="I58" s="8"/>
      <c r="J58" s="7">
        <v>10500.0</v>
      </c>
      <c r="K58" s="4"/>
      <c r="L58" s="3"/>
      <c r="M58" s="13"/>
      <c r="N58" s="13"/>
      <c r="O58" s="3"/>
      <c r="P58" s="3"/>
      <c r="Q58" s="3"/>
      <c r="R58" s="3"/>
      <c r="S58" s="3"/>
      <c r="T58" s="3"/>
      <c r="U58" s="3"/>
      <c r="V58" s="3"/>
      <c r="W58" s="3"/>
      <c r="X58" s="3"/>
      <c r="Y58" s="3"/>
      <c r="Z58" s="3"/>
      <c r="AA58" s="3"/>
      <c r="AB58" s="3"/>
      <c r="AC58" s="3"/>
      <c r="AD58" s="3"/>
      <c r="AE58" s="3"/>
    </row>
    <row r="59">
      <c r="A59" s="4"/>
      <c r="B59" s="6" t="s">
        <v>157</v>
      </c>
      <c r="C59" s="4"/>
      <c r="D59" s="4"/>
      <c r="E59" s="6" t="s">
        <v>158</v>
      </c>
      <c r="F59" s="4"/>
      <c r="G59" s="6" t="s">
        <v>65</v>
      </c>
      <c r="H59" s="6">
        <v>4.4366251746E10</v>
      </c>
      <c r="I59" s="8"/>
      <c r="J59" s="7">
        <v>10500.0</v>
      </c>
      <c r="K59" s="4"/>
      <c r="L59" s="3"/>
      <c r="M59" s="13"/>
      <c r="N59" s="13"/>
      <c r="O59" s="3"/>
      <c r="P59" s="3"/>
      <c r="Q59" s="3"/>
      <c r="R59" s="3"/>
      <c r="S59" s="3"/>
      <c r="T59" s="3"/>
      <c r="U59" s="3"/>
      <c r="V59" s="3"/>
      <c r="W59" s="3"/>
      <c r="X59" s="3"/>
      <c r="Y59" s="3"/>
      <c r="Z59" s="3"/>
      <c r="AA59" s="3"/>
      <c r="AB59" s="3"/>
      <c r="AC59" s="3"/>
      <c r="AD59" s="3"/>
      <c r="AE59" s="3"/>
    </row>
    <row r="60">
      <c r="A60" s="13"/>
      <c r="B60" s="6" t="s">
        <v>159</v>
      </c>
      <c r="C60" s="13"/>
      <c r="D60" s="13"/>
      <c r="E60" s="6" t="s">
        <v>160</v>
      </c>
      <c r="F60" s="3"/>
      <c r="G60" s="4"/>
      <c r="H60" s="6">
        <v>8.144533466E9</v>
      </c>
      <c r="I60" s="8"/>
      <c r="J60" s="7">
        <v>10500.0</v>
      </c>
      <c r="K60" s="3"/>
      <c r="L60" s="3"/>
      <c r="M60" s="13"/>
      <c r="N60" s="13"/>
      <c r="O60" s="3"/>
      <c r="P60" s="3"/>
      <c r="Q60" s="3"/>
      <c r="R60" s="3"/>
      <c r="S60" s="3"/>
      <c r="T60" s="3"/>
      <c r="U60" s="3"/>
      <c r="V60" s="3"/>
      <c r="W60" s="3"/>
      <c r="X60" s="3"/>
      <c r="Y60" s="3"/>
      <c r="Z60" s="3"/>
      <c r="AA60" s="3"/>
      <c r="AB60" s="3"/>
      <c r="AC60" s="3"/>
      <c r="AD60" s="3"/>
      <c r="AE60" s="3"/>
    </row>
    <row r="61">
      <c r="A61" s="13"/>
      <c r="B61" s="6" t="s">
        <v>161</v>
      </c>
      <c r="C61" s="13"/>
      <c r="D61" s="13"/>
      <c r="E61" s="6" t="s">
        <v>162</v>
      </c>
      <c r="F61" s="3"/>
      <c r="G61" s="6" t="s">
        <v>65</v>
      </c>
      <c r="H61" s="6">
        <v>4.124699337E9</v>
      </c>
      <c r="I61" s="8"/>
      <c r="J61" s="7">
        <v>10500.0</v>
      </c>
      <c r="K61" s="3"/>
      <c r="L61" s="3"/>
      <c r="M61" s="13"/>
      <c r="N61" s="13"/>
      <c r="O61" s="3"/>
      <c r="P61" s="3"/>
      <c r="Q61" s="3"/>
      <c r="R61" s="3"/>
      <c r="S61" s="3"/>
      <c r="T61" s="3"/>
      <c r="U61" s="3"/>
      <c r="V61" s="3"/>
      <c r="W61" s="3"/>
      <c r="X61" s="3"/>
      <c r="Y61" s="3"/>
      <c r="Z61" s="3"/>
      <c r="AA61" s="3"/>
      <c r="AB61" s="3"/>
      <c r="AC61" s="3"/>
      <c r="AD61" s="3"/>
      <c r="AE61" s="3"/>
    </row>
    <row r="62">
      <c r="A62" s="13"/>
      <c r="B62" s="6" t="s">
        <v>163</v>
      </c>
      <c r="C62" s="13"/>
      <c r="D62" s="13"/>
      <c r="E62" s="6" t="s">
        <v>164</v>
      </c>
      <c r="F62" s="3"/>
      <c r="G62" s="6" t="s">
        <v>126</v>
      </c>
      <c r="H62" s="6" t="s">
        <v>165</v>
      </c>
      <c r="I62" s="8"/>
      <c r="J62" s="7">
        <v>10000.0</v>
      </c>
      <c r="K62" s="3"/>
      <c r="L62" s="3"/>
      <c r="M62" s="13"/>
      <c r="N62" s="13"/>
      <c r="O62" s="3"/>
      <c r="P62" s="3"/>
      <c r="Q62" s="3"/>
      <c r="R62" s="3"/>
      <c r="S62" s="3"/>
      <c r="T62" s="3"/>
      <c r="U62" s="3"/>
      <c r="V62" s="3"/>
      <c r="W62" s="3"/>
      <c r="X62" s="3"/>
      <c r="Y62" s="3"/>
      <c r="Z62" s="3"/>
      <c r="AA62" s="3"/>
      <c r="AB62" s="3"/>
      <c r="AC62" s="3"/>
      <c r="AD62" s="3"/>
      <c r="AE62" s="3"/>
    </row>
    <row r="63">
      <c r="A63" s="13"/>
      <c r="B63" s="13"/>
      <c r="C63" s="13"/>
      <c r="D63" s="13"/>
      <c r="E63" s="13"/>
      <c r="F63" s="3"/>
      <c r="G63" s="4"/>
      <c r="H63" s="4"/>
      <c r="I63" s="8"/>
      <c r="J63" s="8"/>
      <c r="K63" s="3"/>
      <c r="L63" s="3"/>
      <c r="M63" s="13"/>
      <c r="N63" s="13"/>
      <c r="O63" s="3"/>
      <c r="P63" s="3"/>
      <c r="Q63" s="3"/>
      <c r="R63" s="3"/>
      <c r="S63" s="3"/>
      <c r="T63" s="3"/>
      <c r="U63" s="3"/>
      <c r="V63" s="3"/>
      <c r="W63" s="3"/>
      <c r="X63" s="3"/>
      <c r="Y63" s="3"/>
      <c r="Z63" s="3"/>
      <c r="AA63" s="3"/>
      <c r="AB63" s="3"/>
      <c r="AC63" s="3"/>
      <c r="AD63" s="3"/>
      <c r="AE63" s="3"/>
    </row>
    <row r="64">
      <c r="A64" s="13"/>
      <c r="B64" s="13"/>
      <c r="C64" s="13"/>
      <c r="D64" s="13"/>
      <c r="E64" s="13"/>
      <c r="F64" s="3"/>
      <c r="G64" s="4"/>
      <c r="H64" s="4"/>
      <c r="I64" s="8"/>
      <c r="J64" s="8"/>
      <c r="K64" s="3"/>
      <c r="L64" s="3"/>
      <c r="M64" s="3"/>
      <c r="N64" s="3"/>
      <c r="O64" s="3"/>
      <c r="P64" s="3"/>
      <c r="Q64" s="3"/>
      <c r="R64" s="3"/>
      <c r="S64" s="3"/>
      <c r="T64" s="3"/>
      <c r="U64" s="3"/>
      <c r="V64" s="3"/>
      <c r="W64" s="3"/>
      <c r="X64" s="3"/>
      <c r="Y64" s="3"/>
      <c r="Z64" s="3"/>
      <c r="AA64" s="3"/>
      <c r="AB64" s="3"/>
      <c r="AC64" s="3"/>
      <c r="AD64" s="3"/>
      <c r="AE64" s="3"/>
    </row>
    <row r="65">
      <c r="A65" s="13"/>
      <c r="B65" s="13"/>
      <c r="C65" s="13"/>
      <c r="D65" s="13"/>
      <c r="E65" s="13"/>
      <c r="F65" s="3"/>
      <c r="G65" s="4"/>
      <c r="H65" s="4"/>
      <c r="I65" s="8"/>
      <c r="J65" s="8"/>
      <c r="K65" s="3"/>
      <c r="L65" s="3"/>
      <c r="M65" s="3"/>
      <c r="N65" s="3"/>
      <c r="O65" s="3"/>
      <c r="P65" s="3"/>
      <c r="Q65" s="3"/>
      <c r="R65" s="3"/>
      <c r="S65" s="3"/>
      <c r="T65" s="3"/>
      <c r="U65" s="3"/>
      <c r="V65" s="3"/>
      <c r="W65" s="3"/>
      <c r="X65" s="3"/>
      <c r="Y65" s="3"/>
      <c r="Z65" s="3"/>
      <c r="AA65" s="3"/>
      <c r="AB65" s="3"/>
      <c r="AC65" s="3"/>
      <c r="AD65" s="3"/>
      <c r="AE65" s="3"/>
    </row>
    <row r="66">
      <c r="A66" s="13"/>
      <c r="B66" s="13"/>
      <c r="C66" s="13"/>
      <c r="D66" s="13"/>
      <c r="E66" s="13"/>
      <c r="F66" s="3"/>
      <c r="G66" s="4"/>
      <c r="H66" s="4"/>
      <c r="I66" s="8"/>
      <c r="J66" s="8"/>
      <c r="K66" s="3"/>
      <c r="L66" s="3"/>
      <c r="M66" s="3"/>
      <c r="N66" s="3"/>
      <c r="O66" s="3"/>
      <c r="P66" s="3"/>
      <c r="Q66" s="3"/>
      <c r="R66" s="3"/>
      <c r="S66" s="3"/>
      <c r="T66" s="3"/>
      <c r="U66" s="3"/>
      <c r="V66" s="3"/>
      <c r="W66" s="3"/>
      <c r="X66" s="3"/>
      <c r="Y66" s="3"/>
      <c r="Z66" s="3"/>
      <c r="AA66" s="3"/>
      <c r="AB66" s="3"/>
      <c r="AC66" s="3"/>
      <c r="AD66" s="3"/>
      <c r="AE66" s="3"/>
    </row>
    <row r="67">
      <c r="A67" s="13"/>
      <c r="B67" s="13"/>
      <c r="C67" s="13"/>
      <c r="D67" s="13"/>
      <c r="E67" s="13"/>
      <c r="F67" s="3"/>
      <c r="G67" s="3"/>
      <c r="H67" s="4"/>
      <c r="I67" s="8"/>
      <c r="J67" s="8"/>
      <c r="K67" s="3"/>
      <c r="L67" s="3"/>
      <c r="M67" s="3"/>
      <c r="N67" s="3"/>
      <c r="O67" s="3"/>
      <c r="P67" s="3"/>
      <c r="Q67" s="3"/>
      <c r="R67" s="3"/>
      <c r="S67" s="3"/>
      <c r="T67" s="3"/>
      <c r="U67" s="3"/>
      <c r="V67" s="3"/>
      <c r="W67" s="3"/>
      <c r="X67" s="3"/>
      <c r="Y67" s="3"/>
      <c r="Z67" s="3"/>
      <c r="AA67" s="3"/>
      <c r="AB67" s="3"/>
      <c r="AC67" s="3"/>
      <c r="AD67" s="3"/>
      <c r="AE67" s="3"/>
    </row>
    <row r="68">
      <c r="A68" s="13"/>
      <c r="B68" s="13"/>
      <c r="C68" s="13"/>
      <c r="D68" s="13"/>
      <c r="E68" s="13"/>
      <c r="F68" s="3"/>
      <c r="G68" s="3"/>
      <c r="H68" s="4"/>
      <c r="I68" s="8"/>
      <c r="J68" s="8"/>
      <c r="K68" s="3"/>
      <c r="L68" s="3"/>
      <c r="M68" s="3"/>
      <c r="N68" s="3"/>
      <c r="O68" s="3"/>
      <c r="P68" s="3"/>
      <c r="Q68" s="3"/>
      <c r="R68" s="3"/>
      <c r="S68" s="3"/>
      <c r="T68" s="3"/>
      <c r="U68" s="3"/>
      <c r="V68" s="3"/>
      <c r="W68" s="3"/>
      <c r="X68" s="3"/>
      <c r="Y68" s="3"/>
      <c r="Z68" s="3"/>
      <c r="AA68" s="3"/>
      <c r="AB68" s="3"/>
      <c r="AC68" s="3"/>
      <c r="AD68" s="3"/>
      <c r="AE68" s="3"/>
    </row>
    <row r="69">
      <c r="A69" s="13"/>
      <c r="B69" s="13"/>
      <c r="C69" s="13"/>
      <c r="D69" s="13"/>
      <c r="E69" s="13"/>
      <c r="F69" s="3"/>
      <c r="G69" s="3"/>
      <c r="H69" s="4"/>
      <c r="I69" s="8"/>
      <c r="J69" s="8"/>
      <c r="K69" s="3"/>
      <c r="L69" s="3"/>
      <c r="M69" s="3"/>
      <c r="N69" s="3"/>
      <c r="O69" s="3"/>
      <c r="P69" s="3"/>
      <c r="Q69" s="3"/>
      <c r="R69" s="3"/>
      <c r="S69" s="3"/>
      <c r="T69" s="3"/>
      <c r="U69" s="3"/>
      <c r="V69" s="3"/>
      <c r="W69" s="3"/>
      <c r="X69" s="3"/>
      <c r="Y69" s="3"/>
      <c r="Z69" s="3"/>
      <c r="AA69" s="3"/>
      <c r="AB69" s="3"/>
      <c r="AC69" s="3"/>
      <c r="AD69" s="3"/>
      <c r="AE69" s="3"/>
    </row>
    <row r="70">
      <c r="A70" s="13"/>
      <c r="B70" s="13"/>
      <c r="C70" s="13"/>
      <c r="D70" s="13"/>
      <c r="E70" s="13"/>
      <c r="F70" s="3"/>
      <c r="G70" s="3"/>
      <c r="H70" s="4"/>
      <c r="I70" s="8"/>
      <c r="J70" s="8"/>
      <c r="K70" s="3"/>
      <c r="L70" s="3"/>
      <c r="M70" s="3"/>
      <c r="N70" s="3"/>
      <c r="O70" s="3"/>
      <c r="P70" s="3"/>
      <c r="Q70" s="3"/>
      <c r="R70" s="3"/>
      <c r="S70" s="3"/>
      <c r="T70" s="3"/>
      <c r="U70" s="3"/>
      <c r="V70" s="3"/>
      <c r="W70" s="3"/>
      <c r="X70" s="3"/>
      <c r="Y70" s="3"/>
      <c r="Z70" s="3"/>
      <c r="AA70" s="3"/>
      <c r="AB70" s="3"/>
      <c r="AC70" s="3"/>
      <c r="AD70" s="3"/>
      <c r="AE70" s="3"/>
    </row>
    <row r="71">
      <c r="A71" s="13"/>
      <c r="B71" s="13"/>
      <c r="C71" s="13"/>
      <c r="D71" s="13"/>
      <c r="E71" s="13"/>
      <c r="F71" s="3"/>
      <c r="G71" s="3"/>
      <c r="H71" s="4"/>
      <c r="I71" s="8"/>
      <c r="J71" s="8"/>
      <c r="K71" s="3"/>
      <c r="L71" s="3"/>
      <c r="M71" s="3"/>
      <c r="N71" s="3"/>
      <c r="O71" s="3"/>
      <c r="P71" s="3"/>
      <c r="Q71" s="3"/>
      <c r="R71" s="3"/>
      <c r="S71" s="3"/>
      <c r="T71" s="3"/>
      <c r="U71" s="3"/>
      <c r="V71" s="3"/>
      <c r="W71" s="3"/>
      <c r="X71" s="3"/>
      <c r="Y71" s="3"/>
      <c r="Z71" s="3"/>
      <c r="AA71" s="3"/>
      <c r="AB71" s="3"/>
      <c r="AC71" s="3"/>
      <c r="AD71" s="3"/>
      <c r="AE71" s="3"/>
    </row>
    <row r="72">
      <c r="A72" s="13"/>
      <c r="B72" s="13"/>
      <c r="C72" s="13"/>
      <c r="D72" s="13"/>
      <c r="E72" s="13"/>
      <c r="F72" s="3"/>
      <c r="G72" s="3"/>
      <c r="H72" s="4"/>
      <c r="I72" s="8"/>
      <c r="J72" s="8"/>
      <c r="K72" s="3"/>
      <c r="L72" s="3"/>
      <c r="M72" s="3"/>
      <c r="N72" s="3"/>
      <c r="O72" s="3"/>
      <c r="P72" s="3"/>
      <c r="Q72" s="3"/>
      <c r="R72" s="3"/>
      <c r="S72" s="3"/>
      <c r="T72" s="3"/>
      <c r="U72" s="3"/>
      <c r="V72" s="3"/>
      <c r="W72" s="3"/>
      <c r="X72" s="3"/>
      <c r="Y72" s="3"/>
      <c r="Z72" s="3"/>
      <c r="AA72" s="3"/>
      <c r="AB72" s="3"/>
      <c r="AC72" s="3"/>
      <c r="AD72" s="3"/>
      <c r="AE72" s="3"/>
    </row>
    <row r="73">
      <c r="A73" s="13"/>
      <c r="B73" s="13"/>
      <c r="C73" s="13"/>
      <c r="D73" s="13"/>
      <c r="E73" s="13"/>
      <c r="F73" s="3"/>
      <c r="G73" s="3"/>
      <c r="H73" s="4"/>
      <c r="I73" s="8"/>
      <c r="J73" s="8"/>
      <c r="K73" s="3"/>
      <c r="L73" s="3"/>
      <c r="M73" s="3"/>
      <c r="N73" s="3"/>
      <c r="O73" s="3"/>
      <c r="P73" s="3"/>
      <c r="Q73" s="3"/>
      <c r="R73" s="3"/>
      <c r="S73" s="3"/>
      <c r="T73" s="3"/>
      <c r="U73" s="3"/>
      <c r="V73" s="3"/>
      <c r="W73" s="3"/>
      <c r="X73" s="3"/>
      <c r="Y73" s="3"/>
      <c r="Z73" s="3"/>
      <c r="AA73" s="3"/>
      <c r="AB73" s="3"/>
      <c r="AC73" s="3"/>
      <c r="AD73" s="3"/>
      <c r="AE73" s="3"/>
    </row>
    <row r="74">
      <c r="A74" s="13"/>
      <c r="B74" s="13"/>
      <c r="C74" s="13"/>
      <c r="D74" s="13"/>
      <c r="E74" s="13"/>
      <c r="F74" s="3"/>
      <c r="G74" s="3"/>
      <c r="H74" s="4"/>
      <c r="I74" s="8"/>
      <c r="J74" s="8"/>
      <c r="K74" s="3"/>
      <c r="L74" s="3"/>
      <c r="M74" s="3"/>
      <c r="N74" s="3"/>
      <c r="O74" s="3"/>
      <c r="P74" s="3"/>
      <c r="Q74" s="3"/>
      <c r="R74" s="3"/>
      <c r="S74" s="3"/>
      <c r="T74" s="3"/>
      <c r="U74" s="3"/>
      <c r="V74" s="3"/>
      <c r="W74" s="3"/>
      <c r="X74" s="3"/>
      <c r="Y74" s="3"/>
      <c r="Z74" s="3"/>
      <c r="AA74" s="3"/>
      <c r="AB74" s="3"/>
      <c r="AC74" s="3"/>
      <c r="AD74" s="3"/>
      <c r="AE74" s="3"/>
    </row>
    <row r="75">
      <c r="A75" s="13"/>
      <c r="B75" s="13"/>
      <c r="C75" s="13"/>
      <c r="D75" s="13"/>
      <c r="E75" s="13"/>
      <c r="F75" s="3"/>
      <c r="G75" s="3"/>
      <c r="H75" s="4"/>
      <c r="I75" s="8"/>
      <c r="J75" s="8"/>
      <c r="K75" s="3"/>
      <c r="L75" s="3"/>
      <c r="M75" s="3"/>
      <c r="N75" s="3"/>
      <c r="O75" s="3"/>
      <c r="P75" s="3"/>
      <c r="Q75" s="3"/>
      <c r="R75" s="3"/>
      <c r="S75" s="3"/>
      <c r="T75" s="3"/>
      <c r="U75" s="3"/>
      <c r="V75" s="3"/>
      <c r="W75" s="3"/>
      <c r="X75" s="3"/>
      <c r="Y75" s="3"/>
      <c r="Z75" s="3"/>
      <c r="AA75" s="3"/>
      <c r="AB75" s="3"/>
      <c r="AC75" s="3"/>
      <c r="AD75" s="3"/>
      <c r="AE75" s="3"/>
    </row>
    <row r="76">
      <c r="A76" s="13"/>
      <c r="B76" s="13"/>
      <c r="C76" s="13"/>
      <c r="D76" s="13"/>
      <c r="E76" s="13"/>
      <c r="F76" s="3"/>
      <c r="G76" s="3"/>
      <c r="H76" s="4"/>
      <c r="I76" s="8"/>
      <c r="J76" s="8"/>
      <c r="K76" s="3"/>
      <c r="L76" s="3"/>
      <c r="M76" s="3"/>
      <c r="N76" s="3"/>
      <c r="O76" s="3"/>
      <c r="P76" s="3"/>
      <c r="Q76" s="3"/>
      <c r="R76" s="3"/>
      <c r="S76" s="3"/>
      <c r="T76" s="3"/>
      <c r="U76" s="3"/>
      <c r="V76" s="3"/>
      <c r="W76" s="3"/>
      <c r="X76" s="3"/>
      <c r="Y76" s="3"/>
      <c r="Z76" s="3"/>
      <c r="AA76" s="3"/>
      <c r="AB76" s="3"/>
      <c r="AC76" s="3"/>
      <c r="AD76" s="3"/>
      <c r="AE76" s="3"/>
    </row>
    <row r="77">
      <c r="A77" s="13"/>
      <c r="B77" s="13"/>
      <c r="C77" s="13"/>
      <c r="D77" s="13"/>
      <c r="E77" s="13"/>
      <c r="F77" s="3"/>
      <c r="G77" s="3"/>
      <c r="H77" s="4"/>
      <c r="I77" s="8"/>
      <c r="J77" s="8"/>
      <c r="K77" s="3"/>
      <c r="L77" s="3"/>
      <c r="M77" s="3"/>
      <c r="N77" s="3"/>
      <c r="O77" s="3"/>
      <c r="P77" s="3"/>
      <c r="Q77" s="3"/>
      <c r="R77" s="3"/>
      <c r="S77" s="3"/>
      <c r="T77" s="3"/>
      <c r="U77" s="3"/>
      <c r="V77" s="3"/>
      <c r="W77" s="3"/>
      <c r="X77" s="3"/>
      <c r="Y77" s="3"/>
      <c r="Z77" s="3"/>
      <c r="AA77" s="3"/>
      <c r="AB77" s="3"/>
      <c r="AC77" s="3"/>
      <c r="AD77" s="3"/>
      <c r="AE77" s="3"/>
    </row>
    <row r="78">
      <c r="A78" s="13"/>
      <c r="B78" s="13"/>
      <c r="C78" s="13"/>
      <c r="D78" s="13"/>
      <c r="E78" s="13"/>
      <c r="F78" s="3"/>
      <c r="G78" s="3"/>
      <c r="H78" s="4"/>
      <c r="I78" s="8"/>
      <c r="J78" s="8"/>
      <c r="K78" s="3"/>
      <c r="L78" s="3"/>
      <c r="M78" s="3"/>
      <c r="N78" s="3"/>
      <c r="O78" s="3"/>
      <c r="P78" s="3"/>
      <c r="Q78" s="3"/>
      <c r="R78" s="3"/>
      <c r="S78" s="3"/>
      <c r="T78" s="3"/>
      <c r="U78" s="3"/>
      <c r="V78" s="3"/>
      <c r="W78" s="3"/>
      <c r="X78" s="3"/>
      <c r="Y78" s="3"/>
      <c r="Z78" s="3"/>
      <c r="AA78" s="3"/>
      <c r="AB78" s="3"/>
      <c r="AC78" s="3"/>
      <c r="AD78" s="3"/>
      <c r="AE78" s="3"/>
    </row>
    <row r="79">
      <c r="A79" s="13"/>
      <c r="B79" s="13"/>
      <c r="C79" s="13"/>
      <c r="D79" s="13"/>
      <c r="E79" s="13"/>
      <c r="F79" s="3"/>
      <c r="G79" s="3"/>
      <c r="H79" s="4"/>
      <c r="I79" s="8"/>
      <c r="J79" s="8"/>
      <c r="K79" s="3"/>
      <c r="L79" s="3"/>
      <c r="M79" s="3"/>
      <c r="N79" s="3"/>
      <c r="O79" s="3"/>
      <c r="P79" s="3"/>
      <c r="Q79" s="3"/>
      <c r="R79" s="3"/>
      <c r="S79" s="3"/>
      <c r="T79" s="3"/>
      <c r="U79" s="3"/>
      <c r="V79" s="3"/>
      <c r="W79" s="3"/>
      <c r="X79" s="3"/>
      <c r="Y79" s="3"/>
      <c r="Z79" s="3"/>
      <c r="AA79" s="3"/>
      <c r="AB79" s="3"/>
      <c r="AC79" s="3"/>
      <c r="AD79" s="3"/>
      <c r="AE79" s="3"/>
    </row>
    <row r="80">
      <c r="A80" s="13"/>
      <c r="B80" s="13"/>
      <c r="C80" s="13"/>
      <c r="D80" s="13"/>
      <c r="E80" s="13"/>
      <c r="F80" s="3"/>
      <c r="G80" s="3"/>
      <c r="H80" s="4"/>
      <c r="I80" s="8"/>
      <c r="J80" s="8"/>
      <c r="K80" s="3"/>
      <c r="L80" s="3"/>
      <c r="M80" s="3"/>
      <c r="N80" s="3"/>
      <c r="O80" s="3"/>
      <c r="P80" s="3"/>
      <c r="Q80" s="3"/>
      <c r="R80" s="3"/>
      <c r="S80" s="3"/>
      <c r="T80" s="3"/>
      <c r="U80" s="3"/>
      <c r="V80" s="3"/>
      <c r="W80" s="3"/>
      <c r="X80" s="3"/>
      <c r="Y80" s="3"/>
      <c r="Z80" s="3"/>
      <c r="AA80" s="3"/>
      <c r="AB80" s="3"/>
      <c r="AC80" s="3"/>
      <c r="AD80" s="3"/>
      <c r="AE80" s="3"/>
    </row>
    <row r="81">
      <c r="A81" s="13"/>
      <c r="B81" s="13"/>
      <c r="C81" s="13"/>
      <c r="D81" s="13"/>
      <c r="E81" s="13"/>
      <c r="F81" s="3"/>
      <c r="G81" s="3"/>
      <c r="H81" s="4"/>
      <c r="I81" s="8"/>
      <c r="J81" s="8"/>
      <c r="K81" s="3"/>
      <c r="L81" s="3"/>
      <c r="M81" s="3"/>
      <c r="N81" s="3"/>
      <c r="O81" s="3"/>
      <c r="P81" s="3"/>
      <c r="Q81" s="3"/>
      <c r="R81" s="3"/>
      <c r="S81" s="3"/>
      <c r="T81" s="3"/>
      <c r="U81" s="3"/>
      <c r="V81" s="3"/>
      <c r="W81" s="3"/>
      <c r="X81" s="3"/>
      <c r="Y81" s="3"/>
      <c r="Z81" s="3"/>
      <c r="AA81" s="3"/>
      <c r="AB81" s="3"/>
      <c r="AC81" s="3"/>
      <c r="AD81" s="3"/>
      <c r="AE81" s="3"/>
    </row>
    <row r="82">
      <c r="A82" s="13"/>
      <c r="B82" s="13"/>
      <c r="C82" s="13"/>
      <c r="D82" s="13"/>
      <c r="E82" s="13"/>
      <c r="F82" s="3"/>
      <c r="G82" s="3"/>
      <c r="H82" s="4"/>
      <c r="I82" s="8"/>
      <c r="J82" s="8"/>
      <c r="K82" s="3"/>
      <c r="L82" s="3"/>
      <c r="M82" s="3"/>
      <c r="N82" s="3"/>
      <c r="O82" s="3"/>
      <c r="P82" s="3"/>
      <c r="Q82" s="3"/>
      <c r="R82" s="3"/>
      <c r="S82" s="3"/>
      <c r="T82" s="3"/>
      <c r="U82" s="3"/>
      <c r="V82" s="3"/>
      <c r="W82" s="3"/>
      <c r="X82" s="3"/>
      <c r="Y82" s="3"/>
      <c r="Z82" s="3"/>
      <c r="AA82" s="3"/>
      <c r="AB82" s="3"/>
      <c r="AC82" s="3"/>
      <c r="AD82" s="3"/>
      <c r="AE82" s="3"/>
    </row>
    <row r="83">
      <c r="A83" s="13"/>
      <c r="B83" s="13"/>
      <c r="C83" s="13"/>
      <c r="D83" s="13"/>
      <c r="E83" s="13"/>
      <c r="F83" s="3"/>
      <c r="G83" s="3"/>
      <c r="H83" s="4"/>
      <c r="I83" s="8"/>
      <c r="J83" s="8"/>
      <c r="K83" s="3"/>
      <c r="L83" s="3"/>
      <c r="M83" s="3"/>
      <c r="N83" s="3"/>
      <c r="O83" s="3"/>
      <c r="P83" s="3"/>
      <c r="Q83" s="3"/>
      <c r="R83" s="3"/>
      <c r="S83" s="3"/>
      <c r="T83" s="3"/>
      <c r="U83" s="3"/>
      <c r="V83" s="3"/>
      <c r="W83" s="3"/>
      <c r="X83" s="3"/>
      <c r="Y83" s="3"/>
      <c r="Z83" s="3"/>
      <c r="AA83" s="3"/>
      <c r="AB83" s="3"/>
      <c r="AC83" s="3"/>
      <c r="AD83" s="3"/>
      <c r="AE83" s="3"/>
    </row>
    <row r="84">
      <c r="A84" s="13"/>
      <c r="B84" s="13"/>
      <c r="C84" s="13"/>
      <c r="D84" s="13"/>
      <c r="E84" s="13"/>
      <c r="F84" s="3"/>
      <c r="G84" s="3"/>
      <c r="H84" s="4"/>
      <c r="I84" s="8"/>
      <c r="J84" s="8"/>
      <c r="K84" s="3"/>
      <c r="L84" s="3"/>
      <c r="M84" s="3"/>
      <c r="N84" s="3"/>
      <c r="O84" s="3"/>
      <c r="P84" s="3"/>
      <c r="Q84" s="3"/>
      <c r="R84" s="3"/>
      <c r="S84" s="3"/>
      <c r="T84" s="3"/>
      <c r="U84" s="3"/>
      <c r="V84" s="3"/>
      <c r="W84" s="3"/>
      <c r="X84" s="3"/>
      <c r="Y84" s="3"/>
      <c r="Z84" s="3"/>
      <c r="AA84" s="3"/>
      <c r="AB84" s="3"/>
      <c r="AC84" s="3"/>
      <c r="AD84" s="3"/>
      <c r="AE84" s="3"/>
    </row>
    <row r="85">
      <c r="A85" s="13"/>
      <c r="B85" s="13"/>
      <c r="C85" s="13"/>
      <c r="D85" s="13"/>
      <c r="E85" s="13"/>
      <c r="F85" s="3"/>
      <c r="G85" s="3"/>
      <c r="H85" s="4"/>
      <c r="I85" s="8"/>
      <c r="J85" s="8"/>
      <c r="K85" s="3"/>
      <c r="L85" s="3"/>
      <c r="M85" s="3"/>
      <c r="N85" s="3"/>
      <c r="O85" s="3"/>
      <c r="P85" s="3"/>
      <c r="Q85" s="3"/>
      <c r="R85" s="3"/>
      <c r="S85" s="3"/>
      <c r="T85" s="3"/>
      <c r="U85" s="3"/>
      <c r="V85" s="3"/>
      <c r="W85" s="3"/>
      <c r="X85" s="3"/>
      <c r="Y85" s="3"/>
      <c r="Z85" s="3"/>
      <c r="AA85" s="3"/>
      <c r="AB85" s="3"/>
      <c r="AC85" s="3"/>
      <c r="AD85" s="3"/>
      <c r="AE85" s="3"/>
    </row>
    <row r="86">
      <c r="A86" s="13"/>
      <c r="B86" s="13"/>
      <c r="C86" s="13"/>
      <c r="D86" s="13"/>
      <c r="E86" s="13"/>
      <c r="F86" s="3"/>
      <c r="G86" s="3"/>
      <c r="H86" s="4"/>
      <c r="I86" s="8"/>
      <c r="J86" s="8"/>
      <c r="K86" s="3"/>
      <c r="L86" s="3"/>
      <c r="M86" s="3"/>
      <c r="N86" s="3"/>
      <c r="O86" s="3"/>
      <c r="P86" s="3"/>
      <c r="Q86" s="3"/>
      <c r="R86" s="3"/>
      <c r="S86" s="3"/>
      <c r="T86" s="3"/>
      <c r="U86" s="3"/>
      <c r="V86" s="3"/>
      <c r="W86" s="3"/>
      <c r="X86" s="3"/>
      <c r="Y86" s="3"/>
      <c r="Z86" s="3"/>
      <c r="AA86" s="3"/>
      <c r="AB86" s="3"/>
      <c r="AC86" s="3"/>
      <c r="AD86" s="3"/>
      <c r="AE86" s="3"/>
    </row>
    <row r="87">
      <c r="A87" s="13"/>
      <c r="B87" s="13"/>
      <c r="C87" s="13"/>
      <c r="D87" s="13"/>
      <c r="E87" s="13"/>
      <c r="F87" s="3"/>
      <c r="G87" s="3"/>
      <c r="H87" s="4"/>
      <c r="I87" s="8"/>
      <c r="J87" s="8"/>
      <c r="K87" s="3"/>
      <c r="L87" s="3"/>
      <c r="M87" s="3"/>
      <c r="N87" s="3"/>
      <c r="O87" s="3"/>
      <c r="P87" s="3"/>
      <c r="Q87" s="3"/>
      <c r="R87" s="3"/>
      <c r="S87" s="3"/>
      <c r="T87" s="3"/>
      <c r="U87" s="3"/>
      <c r="V87" s="3"/>
      <c r="W87" s="3"/>
      <c r="X87" s="3"/>
      <c r="Y87" s="3"/>
      <c r="Z87" s="3"/>
      <c r="AA87" s="3"/>
      <c r="AB87" s="3"/>
      <c r="AC87" s="3"/>
      <c r="AD87" s="3"/>
      <c r="AE87" s="3"/>
    </row>
    <row r="88">
      <c r="A88" s="13"/>
      <c r="B88" s="13"/>
      <c r="C88" s="13"/>
      <c r="D88" s="13"/>
      <c r="E88" s="13"/>
      <c r="F88" s="3"/>
      <c r="G88" s="3"/>
      <c r="H88" s="4"/>
      <c r="I88" s="8"/>
      <c r="J88" s="8"/>
      <c r="K88" s="3"/>
      <c r="L88" s="3"/>
      <c r="M88" s="3"/>
      <c r="N88" s="3"/>
      <c r="O88" s="3"/>
      <c r="P88" s="3"/>
      <c r="Q88" s="3"/>
      <c r="R88" s="3"/>
      <c r="S88" s="3"/>
      <c r="T88" s="3"/>
      <c r="U88" s="3"/>
      <c r="V88" s="3"/>
      <c r="W88" s="3"/>
      <c r="X88" s="3"/>
      <c r="Y88" s="3"/>
      <c r="Z88" s="3"/>
      <c r="AA88" s="3"/>
      <c r="AB88" s="3"/>
      <c r="AC88" s="3"/>
      <c r="AD88" s="3"/>
      <c r="AE88" s="3"/>
    </row>
    <row r="89">
      <c r="A89" s="13"/>
      <c r="B89" s="13"/>
      <c r="C89" s="13"/>
      <c r="D89" s="13"/>
      <c r="E89" s="13"/>
      <c r="F89" s="3"/>
      <c r="G89" s="3"/>
      <c r="H89" s="4"/>
      <c r="I89" s="8"/>
      <c r="J89" s="8"/>
      <c r="K89" s="3"/>
      <c r="L89" s="3"/>
      <c r="M89" s="3"/>
      <c r="N89" s="3"/>
      <c r="O89" s="3"/>
      <c r="P89" s="3"/>
      <c r="Q89" s="3"/>
      <c r="R89" s="3"/>
      <c r="S89" s="3"/>
      <c r="T89" s="3"/>
      <c r="U89" s="3"/>
      <c r="V89" s="3"/>
      <c r="W89" s="3"/>
      <c r="X89" s="3"/>
      <c r="Y89" s="3"/>
      <c r="Z89" s="3"/>
      <c r="AA89" s="3"/>
      <c r="AB89" s="3"/>
      <c r="AC89" s="3"/>
      <c r="AD89" s="3"/>
      <c r="AE89" s="3"/>
    </row>
    <row r="90">
      <c r="A90" s="13"/>
      <c r="B90" s="13"/>
      <c r="C90" s="13"/>
      <c r="D90" s="13"/>
      <c r="E90" s="13"/>
      <c r="F90" s="3"/>
      <c r="G90" s="3"/>
      <c r="H90" s="4"/>
      <c r="I90" s="8"/>
      <c r="J90" s="8"/>
      <c r="K90" s="3"/>
      <c r="L90" s="3"/>
      <c r="M90" s="3"/>
      <c r="N90" s="3"/>
      <c r="O90" s="3"/>
      <c r="P90" s="3"/>
      <c r="Q90" s="3"/>
      <c r="R90" s="3"/>
      <c r="S90" s="3"/>
      <c r="T90" s="3"/>
      <c r="U90" s="3"/>
      <c r="V90" s="3"/>
      <c r="W90" s="3"/>
      <c r="X90" s="3"/>
      <c r="Y90" s="3"/>
      <c r="Z90" s="3"/>
      <c r="AA90" s="3"/>
      <c r="AB90" s="3"/>
      <c r="AC90" s="3"/>
      <c r="AD90" s="3"/>
      <c r="AE90" s="3"/>
    </row>
    <row r="91">
      <c r="A91" s="13"/>
      <c r="B91" s="13"/>
      <c r="C91" s="13"/>
      <c r="D91" s="13"/>
      <c r="E91" s="13"/>
      <c r="F91" s="3"/>
      <c r="G91" s="3"/>
      <c r="H91" s="4"/>
      <c r="I91" s="8"/>
      <c r="J91" s="8"/>
      <c r="K91" s="3"/>
      <c r="L91" s="3"/>
      <c r="M91" s="3"/>
      <c r="N91" s="3"/>
      <c r="O91" s="3"/>
      <c r="P91" s="3"/>
      <c r="Q91" s="3"/>
      <c r="R91" s="3"/>
      <c r="S91" s="3"/>
      <c r="T91" s="3"/>
      <c r="U91" s="3"/>
      <c r="V91" s="3"/>
      <c r="W91" s="3"/>
      <c r="X91" s="3"/>
      <c r="Y91" s="3"/>
      <c r="Z91" s="3"/>
      <c r="AA91" s="3"/>
      <c r="AB91" s="3"/>
      <c r="AC91" s="3"/>
      <c r="AD91" s="3"/>
      <c r="AE91" s="3"/>
    </row>
    <row r="92">
      <c r="A92" s="13"/>
      <c r="B92" s="13"/>
      <c r="C92" s="13"/>
      <c r="D92" s="13"/>
      <c r="E92" s="13"/>
      <c r="F92" s="3"/>
      <c r="G92" s="3"/>
      <c r="H92" s="4"/>
      <c r="I92" s="8"/>
      <c r="J92" s="8"/>
      <c r="K92" s="3"/>
      <c r="L92" s="3"/>
      <c r="M92" s="3"/>
      <c r="N92" s="3"/>
      <c r="O92" s="3"/>
      <c r="P92" s="3"/>
      <c r="Q92" s="3"/>
      <c r="R92" s="3"/>
      <c r="S92" s="3"/>
      <c r="T92" s="3"/>
      <c r="U92" s="3"/>
      <c r="V92" s="3"/>
      <c r="W92" s="3"/>
      <c r="X92" s="3"/>
      <c r="Y92" s="3"/>
      <c r="Z92" s="3"/>
      <c r="AA92" s="3"/>
      <c r="AB92" s="3"/>
      <c r="AC92" s="3"/>
      <c r="AD92" s="3"/>
      <c r="AE92" s="3"/>
    </row>
    <row r="93">
      <c r="A93" s="13"/>
      <c r="B93" s="13"/>
      <c r="C93" s="13"/>
      <c r="D93" s="13"/>
      <c r="E93" s="13"/>
      <c r="F93" s="3"/>
      <c r="G93" s="3"/>
      <c r="H93" s="4"/>
      <c r="I93" s="8"/>
      <c r="J93" s="8"/>
      <c r="K93" s="3"/>
      <c r="L93" s="3"/>
      <c r="M93" s="3"/>
      <c r="N93" s="3"/>
      <c r="O93" s="3"/>
      <c r="P93" s="3"/>
      <c r="Q93" s="3"/>
      <c r="R93" s="3"/>
      <c r="S93" s="3"/>
      <c r="T93" s="3"/>
      <c r="U93" s="3"/>
      <c r="V93" s="3"/>
      <c r="W93" s="3"/>
      <c r="X93" s="3"/>
      <c r="Y93" s="3"/>
      <c r="Z93" s="3"/>
      <c r="AA93" s="3"/>
      <c r="AB93" s="3"/>
      <c r="AC93" s="3"/>
      <c r="AD93" s="3"/>
      <c r="AE93" s="3"/>
    </row>
    <row r="94">
      <c r="A94" s="13"/>
      <c r="B94" s="13"/>
      <c r="C94" s="13"/>
      <c r="D94" s="13"/>
      <c r="E94" s="13"/>
      <c r="F94" s="3"/>
      <c r="G94" s="3"/>
      <c r="H94" s="4"/>
      <c r="I94" s="8"/>
      <c r="J94" s="8"/>
      <c r="K94" s="3"/>
      <c r="L94" s="3"/>
      <c r="M94" s="3"/>
      <c r="N94" s="3"/>
      <c r="O94" s="3"/>
      <c r="P94" s="3"/>
      <c r="Q94" s="3"/>
      <c r="R94" s="3"/>
      <c r="S94" s="3"/>
      <c r="T94" s="3"/>
      <c r="U94" s="3"/>
      <c r="V94" s="3"/>
      <c r="W94" s="3"/>
      <c r="X94" s="3"/>
      <c r="Y94" s="3"/>
      <c r="Z94" s="3"/>
      <c r="AA94" s="3"/>
      <c r="AB94" s="3"/>
      <c r="AC94" s="3"/>
      <c r="AD94" s="3"/>
      <c r="AE94" s="3"/>
    </row>
    <row r="95">
      <c r="A95" s="13"/>
      <c r="B95" s="13"/>
      <c r="C95" s="13"/>
      <c r="D95" s="13"/>
      <c r="E95" s="13"/>
      <c r="F95" s="3"/>
      <c r="G95" s="3"/>
      <c r="H95" s="4"/>
      <c r="I95" s="8"/>
      <c r="J95" s="8"/>
      <c r="K95" s="3"/>
      <c r="L95" s="3"/>
      <c r="M95" s="3"/>
      <c r="N95" s="3"/>
      <c r="O95" s="3"/>
      <c r="P95" s="3"/>
      <c r="Q95" s="3"/>
      <c r="R95" s="3"/>
      <c r="S95" s="3"/>
      <c r="T95" s="3"/>
      <c r="U95" s="3"/>
      <c r="V95" s="3"/>
      <c r="W95" s="3"/>
      <c r="X95" s="3"/>
      <c r="Y95" s="3"/>
      <c r="Z95" s="3"/>
      <c r="AA95" s="3"/>
      <c r="AB95" s="3"/>
      <c r="AC95" s="3"/>
      <c r="AD95" s="3"/>
      <c r="AE95" s="3"/>
    </row>
    <row r="96">
      <c r="A96" s="13"/>
      <c r="B96" s="13"/>
      <c r="C96" s="13"/>
      <c r="D96" s="13"/>
      <c r="E96" s="13"/>
      <c r="F96" s="3"/>
      <c r="G96" s="3"/>
      <c r="H96" s="4"/>
      <c r="I96" s="8"/>
      <c r="J96" s="8"/>
      <c r="K96" s="3"/>
      <c r="L96" s="3"/>
      <c r="M96" s="3"/>
      <c r="N96" s="3"/>
      <c r="O96" s="3"/>
      <c r="P96" s="3"/>
      <c r="Q96" s="3"/>
      <c r="R96" s="3"/>
      <c r="S96" s="3"/>
      <c r="T96" s="3"/>
      <c r="U96" s="3"/>
      <c r="V96" s="3"/>
      <c r="W96" s="3"/>
      <c r="X96" s="3"/>
      <c r="Y96" s="3"/>
      <c r="Z96" s="3"/>
      <c r="AA96" s="3"/>
      <c r="AB96" s="3"/>
      <c r="AC96" s="3"/>
      <c r="AD96" s="3"/>
      <c r="AE96" s="3"/>
    </row>
    <row r="97">
      <c r="A97" s="13"/>
      <c r="B97" s="13"/>
      <c r="C97" s="13"/>
      <c r="D97" s="13"/>
      <c r="E97" s="13"/>
      <c r="F97" s="3"/>
      <c r="G97" s="3"/>
      <c r="H97" s="4"/>
      <c r="I97" s="8"/>
      <c r="J97" s="8"/>
      <c r="K97" s="3"/>
      <c r="L97" s="3"/>
      <c r="M97" s="3"/>
      <c r="N97" s="3"/>
      <c r="O97" s="3"/>
      <c r="P97" s="3"/>
      <c r="Q97" s="3"/>
      <c r="R97" s="3"/>
      <c r="S97" s="3"/>
      <c r="T97" s="3"/>
      <c r="U97" s="3"/>
      <c r="V97" s="3"/>
      <c r="W97" s="3"/>
      <c r="X97" s="3"/>
      <c r="Y97" s="3"/>
      <c r="Z97" s="3"/>
      <c r="AA97" s="3"/>
      <c r="AB97" s="3"/>
      <c r="AC97" s="3"/>
      <c r="AD97" s="3"/>
      <c r="AE97" s="3"/>
    </row>
    <row r="98">
      <c r="A98" s="13"/>
      <c r="B98" s="13"/>
      <c r="C98" s="13"/>
      <c r="D98" s="13"/>
      <c r="E98" s="13"/>
      <c r="F98" s="3"/>
      <c r="G98" s="3"/>
      <c r="H98" s="4"/>
      <c r="I98" s="8"/>
      <c r="J98" s="8"/>
      <c r="K98" s="3"/>
      <c r="L98" s="3"/>
      <c r="M98" s="3"/>
      <c r="N98" s="3"/>
      <c r="O98" s="3"/>
      <c r="P98" s="3"/>
      <c r="Q98" s="3"/>
      <c r="R98" s="3"/>
      <c r="S98" s="3"/>
      <c r="T98" s="3"/>
      <c r="U98" s="3"/>
      <c r="V98" s="3"/>
      <c r="W98" s="3"/>
      <c r="X98" s="3"/>
      <c r="Y98" s="3"/>
      <c r="Z98" s="3"/>
      <c r="AA98" s="3"/>
      <c r="AB98" s="3"/>
      <c r="AC98" s="3"/>
      <c r="AD98" s="3"/>
      <c r="AE98" s="3"/>
    </row>
    <row r="99">
      <c r="A99" s="13"/>
      <c r="B99" s="13"/>
      <c r="C99" s="13"/>
      <c r="D99" s="13"/>
      <c r="E99" s="13"/>
      <c r="F99" s="3"/>
      <c r="G99" s="3"/>
      <c r="H99" s="4"/>
      <c r="I99" s="8"/>
      <c r="J99" s="8"/>
      <c r="K99" s="3"/>
      <c r="L99" s="3"/>
      <c r="M99" s="3"/>
      <c r="N99" s="3"/>
      <c r="O99" s="3"/>
      <c r="P99" s="3"/>
      <c r="Q99" s="3"/>
      <c r="R99" s="3"/>
      <c r="S99" s="3"/>
      <c r="T99" s="3"/>
      <c r="U99" s="3"/>
      <c r="V99" s="3"/>
      <c r="W99" s="3"/>
      <c r="X99" s="3"/>
      <c r="Y99" s="3"/>
      <c r="Z99" s="3"/>
      <c r="AA99" s="3"/>
      <c r="AB99" s="3"/>
      <c r="AC99" s="3"/>
      <c r="AD99" s="3"/>
      <c r="AE99" s="3"/>
    </row>
    <row r="100">
      <c r="A100" s="13"/>
      <c r="B100" s="13"/>
      <c r="C100" s="13"/>
      <c r="D100" s="13"/>
      <c r="E100" s="13"/>
      <c r="F100" s="3"/>
      <c r="G100" s="3"/>
      <c r="H100" s="4"/>
      <c r="I100" s="8"/>
      <c r="J100" s="8"/>
      <c r="K100" s="3"/>
      <c r="L100" s="3"/>
      <c r="M100" s="3"/>
      <c r="N100" s="3"/>
      <c r="O100" s="3"/>
      <c r="P100" s="3"/>
      <c r="Q100" s="3"/>
      <c r="R100" s="3"/>
      <c r="S100" s="3"/>
      <c r="T100" s="3"/>
      <c r="U100" s="3"/>
      <c r="V100" s="3"/>
      <c r="W100" s="3"/>
      <c r="X100" s="3"/>
      <c r="Y100" s="3"/>
      <c r="Z100" s="3"/>
      <c r="AA100" s="3"/>
      <c r="AB100" s="3"/>
      <c r="AC100" s="3"/>
      <c r="AD100" s="3"/>
      <c r="AE100" s="3"/>
    </row>
    <row r="101">
      <c r="A101" s="13"/>
      <c r="B101" s="13"/>
      <c r="C101" s="13"/>
      <c r="D101" s="13"/>
      <c r="E101" s="13"/>
      <c r="F101" s="3"/>
      <c r="G101" s="3"/>
      <c r="H101" s="4"/>
      <c r="I101" s="8"/>
      <c r="J101" s="8"/>
      <c r="K101" s="3"/>
      <c r="L101" s="3"/>
      <c r="M101" s="3"/>
      <c r="N101" s="3"/>
      <c r="O101" s="3"/>
      <c r="P101" s="3"/>
      <c r="Q101" s="3"/>
      <c r="R101" s="3"/>
      <c r="S101" s="3"/>
      <c r="T101" s="3"/>
      <c r="U101" s="3"/>
      <c r="V101" s="3"/>
      <c r="W101" s="3"/>
      <c r="X101" s="3"/>
      <c r="Y101" s="3"/>
      <c r="Z101" s="3"/>
      <c r="AA101" s="3"/>
      <c r="AB101" s="3"/>
      <c r="AC101" s="3"/>
      <c r="AD101" s="3"/>
      <c r="AE101" s="3"/>
    </row>
    <row r="102">
      <c r="A102" s="13"/>
      <c r="B102" s="13"/>
      <c r="C102" s="13"/>
      <c r="D102" s="13"/>
      <c r="E102" s="13"/>
      <c r="F102" s="3"/>
      <c r="G102" s="3"/>
      <c r="H102" s="4"/>
      <c r="I102" s="8"/>
      <c r="J102" s="8"/>
      <c r="K102" s="3"/>
      <c r="L102" s="3"/>
      <c r="M102" s="3"/>
      <c r="N102" s="3"/>
      <c r="O102" s="3"/>
      <c r="P102" s="3"/>
      <c r="Q102" s="3"/>
      <c r="R102" s="3"/>
      <c r="S102" s="3"/>
      <c r="T102" s="3"/>
      <c r="U102" s="3"/>
      <c r="V102" s="3"/>
      <c r="W102" s="3"/>
      <c r="X102" s="3"/>
      <c r="Y102" s="3"/>
      <c r="Z102" s="3"/>
      <c r="AA102" s="3"/>
      <c r="AB102" s="3"/>
      <c r="AC102" s="3"/>
      <c r="AD102" s="3"/>
      <c r="AE102" s="3"/>
    </row>
    <row r="103">
      <c r="A103" s="13"/>
      <c r="B103" s="13"/>
      <c r="C103" s="13"/>
      <c r="D103" s="13"/>
      <c r="E103" s="13"/>
      <c r="F103" s="3"/>
      <c r="G103" s="3"/>
      <c r="H103" s="4"/>
      <c r="I103" s="8"/>
      <c r="J103" s="8"/>
      <c r="K103" s="3"/>
      <c r="L103" s="3"/>
      <c r="M103" s="3"/>
      <c r="N103" s="3"/>
      <c r="O103" s="3"/>
      <c r="P103" s="3"/>
      <c r="Q103" s="3"/>
      <c r="R103" s="3"/>
      <c r="S103" s="3"/>
      <c r="T103" s="3"/>
      <c r="U103" s="3"/>
      <c r="V103" s="3"/>
      <c r="W103" s="3"/>
      <c r="X103" s="3"/>
      <c r="Y103" s="3"/>
      <c r="Z103" s="3"/>
      <c r="AA103" s="3"/>
      <c r="AB103" s="3"/>
      <c r="AC103" s="3"/>
      <c r="AD103" s="3"/>
      <c r="AE103" s="3"/>
    </row>
    <row r="104">
      <c r="A104" s="13"/>
      <c r="B104" s="13"/>
      <c r="C104" s="13"/>
      <c r="D104" s="13"/>
      <c r="E104" s="13"/>
      <c r="F104" s="3"/>
      <c r="G104" s="3"/>
      <c r="H104" s="4"/>
      <c r="I104" s="8"/>
      <c r="J104" s="8"/>
      <c r="K104" s="3"/>
      <c r="L104" s="3"/>
      <c r="M104" s="3"/>
      <c r="N104" s="3"/>
      <c r="O104" s="3"/>
      <c r="P104" s="3"/>
      <c r="Q104" s="3"/>
      <c r="R104" s="3"/>
      <c r="S104" s="3"/>
      <c r="T104" s="3"/>
      <c r="U104" s="3"/>
      <c r="V104" s="3"/>
      <c r="W104" s="3"/>
      <c r="X104" s="3"/>
      <c r="Y104" s="3"/>
      <c r="Z104" s="3"/>
      <c r="AA104" s="3"/>
      <c r="AB104" s="3"/>
      <c r="AC104" s="3"/>
      <c r="AD104" s="3"/>
      <c r="AE104" s="3"/>
    </row>
    <row r="105">
      <c r="A105" s="13"/>
      <c r="B105" s="13"/>
      <c r="C105" s="13"/>
      <c r="D105" s="13"/>
      <c r="E105" s="13"/>
      <c r="F105" s="3"/>
      <c r="G105" s="3"/>
      <c r="H105" s="4"/>
      <c r="I105" s="8"/>
      <c r="J105" s="8"/>
      <c r="K105" s="3"/>
      <c r="L105" s="3"/>
      <c r="M105" s="3"/>
      <c r="N105" s="3"/>
      <c r="O105" s="3"/>
      <c r="P105" s="3"/>
      <c r="Q105" s="3"/>
      <c r="R105" s="3"/>
      <c r="S105" s="3"/>
      <c r="T105" s="3"/>
      <c r="U105" s="3"/>
      <c r="V105" s="3"/>
      <c r="W105" s="3"/>
      <c r="X105" s="3"/>
      <c r="Y105" s="3"/>
      <c r="Z105" s="3"/>
      <c r="AA105" s="3"/>
      <c r="AB105" s="3"/>
      <c r="AC105" s="3"/>
      <c r="AD105" s="3"/>
      <c r="AE105" s="3"/>
    </row>
    <row r="106">
      <c r="A106" s="13"/>
      <c r="B106" s="13"/>
      <c r="C106" s="13"/>
      <c r="D106" s="13"/>
      <c r="E106" s="13"/>
      <c r="F106" s="3"/>
      <c r="G106" s="3"/>
      <c r="H106" s="4"/>
      <c r="I106" s="8"/>
      <c r="J106" s="8"/>
      <c r="K106" s="3"/>
      <c r="L106" s="3"/>
      <c r="M106" s="3"/>
      <c r="N106" s="3"/>
      <c r="O106" s="3"/>
      <c r="P106" s="3"/>
      <c r="Q106" s="3"/>
      <c r="R106" s="3"/>
      <c r="S106" s="3"/>
      <c r="T106" s="3"/>
      <c r="U106" s="3"/>
      <c r="V106" s="3"/>
      <c r="W106" s="3"/>
      <c r="X106" s="3"/>
      <c r="Y106" s="3"/>
      <c r="Z106" s="3"/>
      <c r="AA106" s="3"/>
      <c r="AB106" s="3"/>
      <c r="AC106" s="3"/>
      <c r="AD106" s="3"/>
      <c r="AE106" s="3"/>
    </row>
    <row r="107">
      <c r="A107" s="13"/>
      <c r="B107" s="13"/>
      <c r="C107" s="13"/>
      <c r="D107" s="13"/>
      <c r="E107" s="13"/>
      <c r="F107" s="3"/>
      <c r="G107" s="3"/>
      <c r="H107" s="4"/>
      <c r="I107" s="8"/>
      <c r="J107" s="8"/>
      <c r="K107" s="3"/>
      <c r="L107" s="3"/>
      <c r="M107" s="3"/>
      <c r="N107" s="3"/>
      <c r="O107" s="3"/>
      <c r="P107" s="3"/>
      <c r="Q107" s="3"/>
      <c r="R107" s="3"/>
      <c r="S107" s="3"/>
      <c r="T107" s="3"/>
      <c r="U107" s="3"/>
      <c r="V107" s="3"/>
      <c r="W107" s="3"/>
      <c r="X107" s="3"/>
      <c r="Y107" s="3"/>
      <c r="Z107" s="3"/>
      <c r="AA107" s="3"/>
      <c r="AB107" s="3"/>
      <c r="AC107" s="3"/>
      <c r="AD107" s="3"/>
      <c r="AE107" s="3"/>
    </row>
    <row r="108">
      <c r="A108" s="13"/>
      <c r="B108" s="13"/>
      <c r="C108" s="13"/>
      <c r="D108" s="13"/>
      <c r="E108" s="13"/>
      <c r="F108" s="3"/>
      <c r="G108" s="3"/>
      <c r="H108" s="4"/>
      <c r="I108" s="8"/>
      <c r="J108" s="8"/>
      <c r="K108" s="3"/>
      <c r="L108" s="3"/>
      <c r="M108" s="3"/>
      <c r="N108" s="3"/>
      <c r="O108" s="3"/>
      <c r="P108" s="3"/>
      <c r="Q108" s="3"/>
      <c r="R108" s="3"/>
      <c r="S108" s="3"/>
      <c r="T108" s="3"/>
      <c r="U108" s="3"/>
      <c r="V108" s="3"/>
      <c r="W108" s="3"/>
      <c r="X108" s="3"/>
      <c r="Y108" s="3"/>
      <c r="Z108" s="3"/>
      <c r="AA108" s="3"/>
      <c r="AB108" s="3"/>
      <c r="AC108" s="3"/>
      <c r="AD108" s="3"/>
      <c r="AE108" s="3"/>
    </row>
    <row r="109">
      <c r="A109" s="13"/>
      <c r="B109" s="13"/>
      <c r="C109" s="13"/>
      <c r="D109" s="13"/>
      <c r="E109" s="13"/>
      <c r="F109" s="3"/>
      <c r="G109" s="3"/>
      <c r="H109" s="4"/>
      <c r="I109" s="8"/>
      <c r="J109" s="8"/>
      <c r="K109" s="3"/>
      <c r="L109" s="3"/>
      <c r="M109" s="3"/>
      <c r="N109" s="3"/>
      <c r="O109" s="3"/>
      <c r="P109" s="3"/>
      <c r="Q109" s="3"/>
      <c r="R109" s="3"/>
      <c r="S109" s="3"/>
      <c r="T109" s="3"/>
      <c r="U109" s="3"/>
      <c r="V109" s="3"/>
      <c r="W109" s="3"/>
      <c r="X109" s="3"/>
      <c r="Y109" s="3"/>
      <c r="Z109" s="3"/>
      <c r="AA109" s="3"/>
      <c r="AB109" s="3"/>
      <c r="AC109" s="3"/>
      <c r="AD109" s="3"/>
      <c r="AE109" s="3"/>
    </row>
    <row r="110">
      <c r="A110" s="13"/>
      <c r="B110" s="13"/>
      <c r="C110" s="13"/>
      <c r="D110" s="13"/>
      <c r="E110" s="13"/>
      <c r="F110" s="3"/>
      <c r="G110" s="3"/>
      <c r="H110" s="4"/>
      <c r="I110" s="8"/>
      <c r="J110" s="8"/>
      <c r="K110" s="3"/>
      <c r="L110" s="3"/>
      <c r="M110" s="3"/>
      <c r="N110" s="3"/>
      <c r="O110" s="3"/>
      <c r="P110" s="3"/>
      <c r="Q110" s="3"/>
      <c r="R110" s="3"/>
      <c r="S110" s="3"/>
      <c r="T110" s="3"/>
      <c r="U110" s="3"/>
      <c r="V110" s="3"/>
      <c r="W110" s="3"/>
      <c r="X110" s="3"/>
      <c r="Y110" s="3"/>
      <c r="Z110" s="3"/>
      <c r="AA110" s="3"/>
      <c r="AB110" s="3"/>
      <c r="AC110" s="3"/>
      <c r="AD110" s="3"/>
      <c r="AE110" s="3"/>
    </row>
    <row r="111">
      <c r="A111" s="13"/>
      <c r="B111" s="13"/>
      <c r="C111" s="13"/>
      <c r="D111" s="13"/>
      <c r="E111" s="13"/>
      <c r="F111" s="3"/>
      <c r="G111" s="3"/>
      <c r="H111" s="4"/>
      <c r="I111" s="8"/>
      <c r="J111" s="8"/>
      <c r="K111" s="3"/>
      <c r="L111" s="3"/>
      <c r="M111" s="3"/>
      <c r="N111" s="3"/>
      <c r="O111" s="3"/>
      <c r="P111" s="3"/>
      <c r="Q111" s="3"/>
      <c r="R111" s="3"/>
      <c r="S111" s="3"/>
      <c r="T111" s="3"/>
      <c r="U111" s="3"/>
      <c r="V111" s="3"/>
      <c r="W111" s="3"/>
      <c r="X111" s="3"/>
      <c r="Y111" s="3"/>
      <c r="Z111" s="3"/>
      <c r="AA111" s="3"/>
      <c r="AB111" s="3"/>
      <c r="AC111" s="3"/>
      <c r="AD111" s="3"/>
      <c r="AE111" s="3"/>
    </row>
    <row r="112">
      <c r="A112" s="13"/>
      <c r="B112" s="13"/>
      <c r="C112" s="13"/>
      <c r="D112" s="13"/>
      <c r="E112" s="13"/>
      <c r="F112" s="3"/>
      <c r="G112" s="3"/>
      <c r="H112" s="4"/>
      <c r="I112" s="8"/>
      <c r="J112" s="8"/>
      <c r="K112" s="3"/>
      <c r="L112" s="3"/>
      <c r="M112" s="3"/>
      <c r="N112" s="3"/>
      <c r="O112" s="3"/>
      <c r="P112" s="3"/>
      <c r="Q112" s="3"/>
      <c r="R112" s="3"/>
      <c r="S112" s="3"/>
      <c r="T112" s="3"/>
      <c r="U112" s="3"/>
      <c r="V112" s="3"/>
      <c r="W112" s="3"/>
      <c r="X112" s="3"/>
      <c r="Y112" s="3"/>
      <c r="Z112" s="3"/>
      <c r="AA112" s="3"/>
      <c r="AB112" s="3"/>
      <c r="AC112" s="3"/>
      <c r="AD112" s="3"/>
      <c r="AE112" s="3"/>
    </row>
    <row r="113">
      <c r="A113" s="13"/>
      <c r="B113" s="13"/>
      <c r="C113" s="13"/>
      <c r="D113" s="13"/>
      <c r="E113" s="13"/>
      <c r="F113" s="3"/>
      <c r="G113" s="3"/>
      <c r="H113" s="4"/>
      <c r="I113" s="8"/>
      <c r="J113" s="8"/>
      <c r="K113" s="3"/>
      <c r="L113" s="3"/>
      <c r="M113" s="3"/>
      <c r="N113" s="3"/>
      <c r="O113" s="3"/>
      <c r="P113" s="3"/>
      <c r="Q113" s="3"/>
      <c r="R113" s="3"/>
      <c r="S113" s="3"/>
      <c r="T113" s="3"/>
      <c r="U113" s="3"/>
      <c r="V113" s="3"/>
      <c r="W113" s="3"/>
      <c r="X113" s="3"/>
      <c r="Y113" s="3"/>
      <c r="Z113" s="3"/>
      <c r="AA113" s="3"/>
      <c r="AB113" s="3"/>
      <c r="AC113" s="3"/>
      <c r="AD113" s="3"/>
      <c r="AE113" s="3"/>
    </row>
    <row r="114">
      <c r="A114" s="13"/>
      <c r="B114" s="13"/>
      <c r="C114" s="13"/>
      <c r="D114" s="13"/>
      <c r="E114" s="13"/>
      <c r="F114" s="3"/>
      <c r="G114" s="3"/>
      <c r="H114" s="4"/>
      <c r="I114" s="8"/>
      <c r="J114" s="8"/>
      <c r="K114" s="3"/>
      <c r="L114" s="3"/>
      <c r="M114" s="3"/>
      <c r="N114" s="3"/>
      <c r="O114" s="3"/>
      <c r="P114" s="3"/>
      <c r="Q114" s="3"/>
      <c r="R114" s="3"/>
      <c r="S114" s="3"/>
      <c r="T114" s="3"/>
      <c r="U114" s="3"/>
      <c r="V114" s="3"/>
      <c r="W114" s="3"/>
      <c r="X114" s="3"/>
      <c r="Y114" s="3"/>
      <c r="Z114" s="3"/>
      <c r="AA114" s="3"/>
      <c r="AB114" s="3"/>
      <c r="AC114" s="3"/>
      <c r="AD114" s="3"/>
      <c r="AE114" s="3"/>
    </row>
    <row r="115">
      <c r="A115" s="13"/>
      <c r="B115" s="13"/>
      <c r="C115" s="13"/>
      <c r="D115" s="13"/>
      <c r="E115" s="13"/>
      <c r="F115" s="3"/>
      <c r="G115" s="3"/>
      <c r="H115" s="4"/>
      <c r="I115" s="8"/>
      <c r="J115" s="8"/>
      <c r="K115" s="3"/>
      <c r="L115" s="3"/>
      <c r="M115" s="3"/>
      <c r="N115" s="3"/>
      <c r="O115" s="3"/>
      <c r="P115" s="3"/>
      <c r="Q115" s="3"/>
      <c r="R115" s="3"/>
      <c r="S115" s="3"/>
      <c r="T115" s="3"/>
      <c r="U115" s="3"/>
      <c r="V115" s="3"/>
      <c r="W115" s="3"/>
      <c r="X115" s="3"/>
      <c r="Y115" s="3"/>
      <c r="Z115" s="3"/>
      <c r="AA115" s="3"/>
      <c r="AB115" s="3"/>
      <c r="AC115" s="3"/>
      <c r="AD115" s="3"/>
      <c r="AE115" s="3"/>
    </row>
    <row r="116">
      <c r="A116" s="13"/>
      <c r="B116" s="13"/>
      <c r="C116" s="13"/>
      <c r="D116" s="13"/>
      <c r="E116" s="13"/>
      <c r="F116" s="3"/>
      <c r="G116" s="3"/>
      <c r="H116" s="4"/>
      <c r="I116" s="8"/>
      <c r="J116" s="8"/>
      <c r="K116" s="3"/>
      <c r="L116" s="3"/>
      <c r="M116" s="3"/>
      <c r="N116" s="3"/>
      <c r="O116" s="3"/>
      <c r="P116" s="3"/>
      <c r="Q116" s="3"/>
      <c r="R116" s="3"/>
      <c r="S116" s="3"/>
      <c r="T116" s="3"/>
      <c r="U116" s="3"/>
      <c r="V116" s="3"/>
      <c r="W116" s="3"/>
      <c r="X116" s="3"/>
      <c r="Y116" s="3"/>
      <c r="Z116" s="3"/>
      <c r="AA116" s="3"/>
      <c r="AB116" s="3"/>
      <c r="AC116" s="3"/>
      <c r="AD116" s="3"/>
      <c r="AE116" s="3"/>
    </row>
    <row r="117">
      <c r="A117" s="13"/>
      <c r="B117" s="13"/>
      <c r="C117" s="13"/>
      <c r="D117" s="13"/>
      <c r="E117" s="13"/>
      <c r="F117" s="3"/>
      <c r="G117" s="3"/>
      <c r="H117" s="4"/>
      <c r="I117" s="8"/>
      <c r="J117" s="8"/>
      <c r="K117" s="3"/>
      <c r="L117" s="3"/>
      <c r="M117" s="3"/>
      <c r="N117" s="3"/>
      <c r="O117" s="3"/>
      <c r="P117" s="3"/>
      <c r="Q117" s="3"/>
      <c r="R117" s="3"/>
      <c r="S117" s="3"/>
      <c r="T117" s="3"/>
      <c r="U117" s="3"/>
      <c r="V117" s="3"/>
      <c r="W117" s="3"/>
      <c r="X117" s="3"/>
      <c r="Y117" s="3"/>
      <c r="Z117" s="3"/>
      <c r="AA117" s="3"/>
      <c r="AB117" s="3"/>
      <c r="AC117" s="3"/>
      <c r="AD117" s="3"/>
      <c r="AE117" s="3"/>
    </row>
    <row r="118">
      <c r="A118" s="13"/>
      <c r="B118" s="13"/>
      <c r="C118" s="13"/>
      <c r="D118" s="13"/>
      <c r="E118" s="13"/>
      <c r="F118" s="3"/>
      <c r="G118" s="3"/>
      <c r="H118" s="4"/>
      <c r="I118" s="8"/>
      <c r="J118" s="8"/>
      <c r="K118" s="3"/>
      <c r="L118" s="3"/>
      <c r="M118" s="3"/>
      <c r="N118" s="3"/>
      <c r="O118" s="3"/>
      <c r="P118" s="3"/>
      <c r="Q118" s="3"/>
      <c r="R118" s="3"/>
      <c r="S118" s="3"/>
      <c r="T118" s="3"/>
      <c r="U118" s="3"/>
      <c r="V118" s="3"/>
      <c r="W118" s="3"/>
      <c r="X118" s="3"/>
      <c r="Y118" s="3"/>
      <c r="Z118" s="3"/>
      <c r="AA118" s="3"/>
      <c r="AB118" s="3"/>
      <c r="AC118" s="3"/>
      <c r="AD118" s="3"/>
      <c r="AE118" s="3"/>
    </row>
    <row r="119">
      <c r="A119" s="13"/>
      <c r="B119" s="13"/>
      <c r="C119" s="13"/>
      <c r="D119" s="13"/>
      <c r="E119" s="13"/>
      <c r="F119" s="3"/>
      <c r="G119" s="3"/>
      <c r="H119" s="4"/>
      <c r="I119" s="8"/>
      <c r="J119" s="8"/>
      <c r="K119" s="3"/>
      <c r="L119" s="3"/>
      <c r="M119" s="3"/>
      <c r="N119" s="3"/>
      <c r="O119" s="3"/>
      <c r="P119" s="3"/>
      <c r="Q119" s="3"/>
      <c r="R119" s="3"/>
      <c r="S119" s="3"/>
      <c r="T119" s="3"/>
      <c r="U119" s="3"/>
      <c r="V119" s="3"/>
      <c r="W119" s="3"/>
      <c r="X119" s="3"/>
      <c r="Y119" s="3"/>
      <c r="Z119" s="3"/>
      <c r="AA119" s="3"/>
      <c r="AB119" s="3"/>
      <c r="AC119" s="3"/>
      <c r="AD119" s="3"/>
      <c r="AE119" s="3"/>
    </row>
    <row r="120">
      <c r="A120" s="13"/>
      <c r="B120" s="13"/>
      <c r="C120" s="13"/>
      <c r="D120" s="13"/>
      <c r="E120" s="13"/>
      <c r="F120" s="3"/>
      <c r="G120" s="3"/>
      <c r="H120" s="4"/>
      <c r="I120" s="8"/>
      <c r="J120" s="8"/>
      <c r="K120" s="3"/>
      <c r="L120" s="3"/>
      <c r="M120" s="3"/>
      <c r="N120" s="3"/>
      <c r="O120" s="3"/>
      <c r="P120" s="3"/>
      <c r="Q120" s="3"/>
      <c r="R120" s="3"/>
      <c r="S120" s="3"/>
      <c r="T120" s="3"/>
      <c r="U120" s="3"/>
      <c r="V120" s="3"/>
      <c r="W120" s="3"/>
      <c r="X120" s="3"/>
      <c r="Y120" s="3"/>
      <c r="Z120" s="3"/>
      <c r="AA120" s="3"/>
      <c r="AB120" s="3"/>
      <c r="AC120" s="3"/>
      <c r="AD120" s="3"/>
      <c r="AE120" s="3"/>
    </row>
    <row r="121">
      <c r="A121" s="13"/>
      <c r="B121" s="13"/>
      <c r="C121" s="13"/>
      <c r="D121" s="13"/>
      <c r="E121" s="13"/>
      <c r="F121" s="3"/>
      <c r="G121" s="3"/>
      <c r="H121" s="4"/>
      <c r="I121" s="8"/>
      <c r="J121" s="8"/>
      <c r="K121" s="3"/>
      <c r="L121" s="3"/>
      <c r="M121" s="3"/>
      <c r="N121" s="3"/>
      <c r="O121" s="3"/>
      <c r="P121" s="3"/>
      <c r="Q121" s="3"/>
      <c r="R121" s="3"/>
      <c r="S121" s="3"/>
      <c r="T121" s="3"/>
      <c r="U121" s="3"/>
      <c r="V121" s="3"/>
      <c r="W121" s="3"/>
      <c r="X121" s="3"/>
      <c r="Y121" s="3"/>
      <c r="Z121" s="3"/>
      <c r="AA121" s="3"/>
      <c r="AB121" s="3"/>
      <c r="AC121" s="3"/>
      <c r="AD121" s="3"/>
      <c r="AE121" s="3"/>
    </row>
    <row r="122">
      <c r="A122" s="13"/>
      <c r="B122" s="13"/>
      <c r="C122" s="13"/>
      <c r="D122" s="13"/>
      <c r="E122" s="13"/>
      <c r="F122" s="3"/>
      <c r="G122" s="3"/>
      <c r="H122" s="4"/>
      <c r="I122" s="8"/>
      <c r="J122" s="8"/>
      <c r="K122" s="3"/>
      <c r="L122" s="3"/>
      <c r="M122" s="3"/>
      <c r="N122" s="3"/>
      <c r="O122" s="3"/>
      <c r="P122" s="3"/>
      <c r="Q122" s="3"/>
      <c r="R122" s="3"/>
      <c r="S122" s="3"/>
      <c r="T122" s="3"/>
      <c r="U122" s="3"/>
      <c r="V122" s="3"/>
      <c r="W122" s="3"/>
      <c r="X122" s="3"/>
      <c r="Y122" s="3"/>
      <c r="Z122" s="3"/>
      <c r="AA122" s="3"/>
      <c r="AB122" s="3"/>
      <c r="AC122" s="3"/>
      <c r="AD122" s="3"/>
      <c r="AE122" s="3"/>
    </row>
    <row r="123">
      <c r="A123" s="13"/>
      <c r="B123" s="13"/>
      <c r="C123" s="13"/>
      <c r="D123" s="13"/>
      <c r="E123" s="13"/>
      <c r="F123" s="3"/>
      <c r="G123" s="3"/>
      <c r="H123" s="4"/>
      <c r="I123" s="8"/>
      <c r="J123" s="8"/>
      <c r="K123" s="3"/>
      <c r="L123" s="3"/>
      <c r="M123" s="3"/>
      <c r="N123" s="3"/>
      <c r="O123" s="3"/>
      <c r="P123" s="3"/>
      <c r="Q123" s="3"/>
      <c r="R123" s="3"/>
      <c r="S123" s="3"/>
      <c r="T123" s="3"/>
      <c r="U123" s="3"/>
      <c r="V123" s="3"/>
      <c r="W123" s="3"/>
      <c r="X123" s="3"/>
      <c r="Y123" s="3"/>
      <c r="Z123" s="3"/>
      <c r="AA123" s="3"/>
      <c r="AB123" s="3"/>
      <c r="AC123" s="3"/>
      <c r="AD123" s="3"/>
      <c r="AE123" s="3"/>
    </row>
    <row r="124">
      <c r="A124" s="13"/>
      <c r="B124" s="13"/>
      <c r="C124" s="13"/>
      <c r="D124" s="13"/>
      <c r="E124" s="13"/>
      <c r="F124" s="3"/>
      <c r="G124" s="3"/>
      <c r="H124" s="4"/>
      <c r="I124" s="8"/>
      <c r="J124" s="8"/>
      <c r="K124" s="3"/>
      <c r="L124" s="3"/>
      <c r="M124" s="3"/>
      <c r="N124" s="3"/>
      <c r="O124" s="3"/>
      <c r="P124" s="3"/>
      <c r="Q124" s="3"/>
      <c r="R124" s="3"/>
      <c r="S124" s="3"/>
      <c r="T124" s="3"/>
      <c r="U124" s="3"/>
      <c r="V124" s="3"/>
      <c r="W124" s="3"/>
      <c r="X124" s="3"/>
      <c r="Y124" s="3"/>
      <c r="Z124" s="3"/>
      <c r="AA124" s="3"/>
      <c r="AB124" s="3"/>
      <c r="AC124" s="3"/>
      <c r="AD124" s="3"/>
      <c r="AE124" s="3"/>
    </row>
    <row r="125">
      <c r="A125" s="13"/>
      <c r="B125" s="13"/>
      <c r="C125" s="13"/>
      <c r="D125" s="13"/>
      <c r="E125" s="13"/>
      <c r="F125" s="3"/>
      <c r="G125" s="3"/>
      <c r="H125" s="4"/>
      <c r="I125" s="8"/>
      <c r="J125" s="8"/>
      <c r="K125" s="3"/>
      <c r="L125" s="3"/>
      <c r="M125" s="3"/>
      <c r="N125" s="3"/>
      <c r="O125" s="3"/>
      <c r="P125" s="3"/>
      <c r="Q125" s="3"/>
      <c r="R125" s="3"/>
      <c r="S125" s="3"/>
      <c r="T125" s="3"/>
      <c r="U125" s="3"/>
      <c r="V125" s="3"/>
      <c r="W125" s="3"/>
      <c r="X125" s="3"/>
      <c r="Y125" s="3"/>
      <c r="Z125" s="3"/>
      <c r="AA125" s="3"/>
      <c r="AB125" s="3"/>
      <c r="AC125" s="3"/>
      <c r="AD125" s="3"/>
      <c r="AE125" s="3"/>
    </row>
    <row r="126">
      <c r="A126" s="13"/>
      <c r="B126" s="13"/>
      <c r="C126" s="13"/>
      <c r="D126" s="13"/>
      <c r="E126" s="13"/>
      <c r="F126" s="3"/>
      <c r="G126" s="3"/>
      <c r="H126" s="4"/>
      <c r="I126" s="8"/>
      <c r="J126" s="8"/>
      <c r="K126" s="3"/>
      <c r="L126" s="3"/>
      <c r="M126" s="3"/>
      <c r="N126" s="3"/>
      <c r="O126" s="3"/>
      <c r="P126" s="3"/>
      <c r="Q126" s="3"/>
      <c r="R126" s="3"/>
      <c r="S126" s="3"/>
      <c r="T126" s="3"/>
      <c r="U126" s="3"/>
      <c r="V126" s="3"/>
      <c r="W126" s="3"/>
      <c r="X126" s="3"/>
      <c r="Y126" s="3"/>
      <c r="Z126" s="3"/>
      <c r="AA126" s="3"/>
      <c r="AB126" s="3"/>
      <c r="AC126" s="3"/>
      <c r="AD126" s="3"/>
      <c r="AE126" s="3"/>
    </row>
    <row r="127">
      <c r="A127" s="13"/>
      <c r="B127" s="13"/>
      <c r="C127" s="13"/>
      <c r="D127" s="13"/>
      <c r="E127" s="13"/>
      <c r="F127" s="3"/>
      <c r="G127" s="3"/>
      <c r="H127" s="4"/>
      <c r="I127" s="8"/>
      <c r="J127" s="8"/>
      <c r="K127" s="3"/>
      <c r="L127" s="3"/>
      <c r="M127" s="3"/>
      <c r="N127" s="3"/>
      <c r="O127" s="3"/>
      <c r="P127" s="3"/>
      <c r="Q127" s="3"/>
      <c r="R127" s="3"/>
      <c r="S127" s="3"/>
      <c r="T127" s="3"/>
      <c r="U127" s="3"/>
      <c r="V127" s="3"/>
      <c r="W127" s="3"/>
      <c r="X127" s="3"/>
      <c r="Y127" s="3"/>
      <c r="Z127" s="3"/>
      <c r="AA127" s="3"/>
      <c r="AB127" s="3"/>
      <c r="AC127" s="3"/>
      <c r="AD127" s="3"/>
      <c r="AE127" s="3"/>
    </row>
    <row r="128">
      <c r="A128" s="13"/>
      <c r="B128" s="13"/>
      <c r="C128" s="13"/>
      <c r="D128" s="13"/>
      <c r="E128" s="13"/>
      <c r="F128" s="3"/>
      <c r="G128" s="3"/>
      <c r="H128" s="4"/>
      <c r="I128" s="8"/>
      <c r="J128" s="8"/>
      <c r="K128" s="3"/>
      <c r="L128" s="3"/>
      <c r="M128" s="3"/>
      <c r="N128" s="3"/>
      <c r="O128" s="3"/>
      <c r="P128" s="3"/>
      <c r="Q128" s="3"/>
      <c r="R128" s="3"/>
      <c r="S128" s="3"/>
      <c r="T128" s="3"/>
      <c r="U128" s="3"/>
      <c r="V128" s="3"/>
      <c r="W128" s="3"/>
      <c r="X128" s="3"/>
      <c r="Y128" s="3"/>
      <c r="Z128" s="3"/>
      <c r="AA128" s="3"/>
      <c r="AB128" s="3"/>
      <c r="AC128" s="3"/>
      <c r="AD128" s="3"/>
      <c r="AE128" s="3"/>
    </row>
    <row r="129">
      <c r="A129" s="13"/>
      <c r="B129" s="13"/>
      <c r="C129" s="13"/>
      <c r="D129" s="13"/>
      <c r="E129" s="13"/>
      <c r="F129" s="3"/>
      <c r="G129" s="3"/>
      <c r="H129" s="4"/>
      <c r="I129" s="8"/>
      <c r="J129" s="8"/>
      <c r="K129" s="3"/>
      <c r="L129" s="3"/>
      <c r="M129" s="3"/>
      <c r="N129" s="3"/>
      <c r="O129" s="3"/>
      <c r="P129" s="3"/>
      <c r="Q129" s="3"/>
      <c r="R129" s="3"/>
      <c r="S129" s="3"/>
      <c r="T129" s="3"/>
      <c r="U129" s="3"/>
      <c r="V129" s="3"/>
      <c r="W129" s="3"/>
      <c r="X129" s="3"/>
      <c r="Y129" s="3"/>
      <c r="Z129" s="3"/>
      <c r="AA129" s="3"/>
      <c r="AB129" s="3"/>
      <c r="AC129" s="3"/>
      <c r="AD129" s="3"/>
      <c r="AE129" s="3"/>
    </row>
    <row r="130">
      <c r="A130" s="13"/>
      <c r="B130" s="13"/>
      <c r="C130" s="13"/>
      <c r="D130" s="13"/>
      <c r="E130" s="13"/>
      <c r="F130" s="3"/>
      <c r="G130" s="3"/>
      <c r="H130" s="4"/>
      <c r="I130" s="8"/>
      <c r="J130" s="8"/>
      <c r="K130" s="3"/>
      <c r="L130" s="3"/>
      <c r="M130" s="3"/>
      <c r="N130" s="3"/>
      <c r="O130" s="3"/>
      <c r="P130" s="3"/>
      <c r="Q130" s="3"/>
      <c r="R130" s="3"/>
      <c r="S130" s="3"/>
      <c r="T130" s="3"/>
      <c r="U130" s="3"/>
      <c r="V130" s="3"/>
      <c r="W130" s="3"/>
      <c r="X130" s="3"/>
      <c r="Y130" s="3"/>
      <c r="Z130" s="3"/>
      <c r="AA130" s="3"/>
      <c r="AB130" s="3"/>
      <c r="AC130" s="3"/>
      <c r="AD130" s="3"/>
      <c r="AE130" s="3"/>
    </row>
    <row r="131">
      <c r="A131" s="13"/>
      <c r="B131" s="13"/>
      <c r="C131" s="13"/>
      <c r="D131" s="13"/>
      <c r="E131" s="13"/>
      <c r="F131" s="3"/>
      <c r="G131" s="3"/>
      <c r="H131" s="4"/>
      <c r="I131" s="8"/>
      <c r="J131" s="8"/>
      <c r="K131" s="3"/>
      <c r="L131" s="3"/>
      <c r="M131" s="3"/>
      <c r="N131" s="3"/>
      <c r="O131" s="3"/>
      <c r="P131" s="3"/>
      <c r="Q131" s="3"/>
      <c r="R131" s="3"/>
      <c r="S131" s="3"/>
      <c r="T131" s="3"/>
      <c r="U131" s="3"/>
      <c r="V131" s="3"/>
      <c r="W131" s="3"/>
      <c r="X131" s="3"/>
      <c r="Y131" s="3"/>
      <c r="Z131" s="3"/>
      <c r="AA131" s="3"/>
      <c r="AB131" s="3"/>
      <c r="AC131" s="3"/>
      <c r="AD131" s="3"/>
      <c r="AE131" s="3"/>
    </row>
    <row r="132">
      <c r="A132" s="13"/>
      <c r="B132" s="13"/>
      <c r="C132" s="13"/>
      <c r="D132" s="13"/>
      <c r="E132" s="13"/>
      <c r="F132" s="3"/>
      <c r="G132" s="3"/>
      <c r="H132" s="4"/>
      <c r="I132" s="8"/>
      <c r="J132" s="8"/>
      <c r="K132" s="3"/>
      <c r="L132" s="3"/>
      <c r="M132" s="3"/>
      <c r="N132" s="3"/>
      <c r="O132" s="3"/>
      <c r="P132" s="3"/>
      <c r="Q132" s="3"/>
      <c r="R132" s="3"/>
      <c r="S132" s="3"/>
      <c r="T132" s="3"/>
      <c r="U132" s="3"/>
      <c r="V132" s="3"/>
      <c r="W132" s="3"/>
      <c r="X132" s="3"/>
      <c r="Y132" s="3"/>
      <c r="Z132" s="3"/>
      <c r="AA132" s="3"/>
      <c r="AB132" s="3"/>
      <c r="AC132" s="3"/>
      <c r="AD132" s="3"/>
      <c r="AE132" s="3"/>
    </row>
    <row r="133">
      <c r="A133" s="13"/>
      <c r="B133" s="13"/>
      <c r="C133" s="13"/>
      <c r="D133" s="13"/>
      <c r="E133" s="13"/>
      <c r="F133" s="3"/>
      <c r="G133" s="3"/>
      <c r="H133" s="4"/>
      <c r="I133" s="8"/>
      <c r="J133" s="8"/>
      <c r="K133" s="3"/>
      <c r="L133" s="3"/>
      <c r="M133" s="3"/>
      <c r="N133" s="3"/>
      <c r="O133" s="3"/>
      <c r="P133" s="3"/>
      <c r="Q133" s="3"/>
      <c r="R133" s="3"/>
      <c r="S133" s="3"/>
      <c r="T133" s="3"/>
      <c r="U133" s="3"/>
      <c r="V133" s="3"/>
      <c r="W133" s="3"/>
      <c r="X133" s="3"/>
      <c r="Y133" s="3"/>
      <c r="Z133" s="3"/>
      <c r="AA133" s="3"/>
      <c r="AB133" s="3"/>
      <c r="AC133" s="3"/>
      <c r="AD133" s="3"/>
      <c r="AE133" s="3"/>
    </row>
    <row r="134">
      <c r="A134" s="13"/>
      <c r="B134" s="13"/>
      <c r="C134" s="13"/>
      <c r="D134" s="13"/>
      <c r="E134" s="13"/>
      <c r="F134" s="3"/>
      <c r="G134" s="3"/>
      <c r="H134" s="4"/>
      <c r="I134" s="8"/>
      <c r="J134" s="8"/>
      <c r="K134" s="3"/>
      <c r="L134" s="3"/>
      <c r="M134" s="3"/>
      <c r="N134" s="3"/>
      <c r="O134" s="3"/>
      <c r="P134" s="3"/>
      <c r="Q134" s="3"/>
      <c r="R134" s="3"/>
      <c r="S134" s="3"/>
      <c r="T134" s="3"/>
      <c r="U134" s="3"/>
      <c r="V134" s="3"/>
      <c r="W134" s="3"/>
      <c r="X134" s="3"/>
      <c r="Y134" s="3"/>
      <c r="Z134" s="3"/>
      <c r="AA134" s="3"/>
      <c r="AB134" s="3"/>
      <c r="AC134" s="3"/>
      <c r="AD134" s="3"/>
      <c r="AE134" s="3"/>
    </row>
    <row r="135">
      <c r="A135" s="13"/>
      <c r="B135" s="13"/>
      <c r="C135" s="13"/>
      <c r="D135" s="13"/>
      <c r="E135" s="13"/>
      <c r="F135" s="3"/>
      <c r="G135" s="3"/>
      <c r="H135" s="4"/>
      <c r="I135" s="8"/>
      <c r="J135" s="8"/>
      <c r="K135" s="3"/>
      <c r="L135" s="3"/>
      <c r="M135" s="3"/>
      <c r="N135" s="3"/>
      <c r="O135" s="3"/>
      <c r="P135" s="3"/>
      <c r="Q135" s="3"/>
      <c r="R135" s="3"/>
      <c r="S135" s="3"/>
      <c r="T135" s="3"/>
      <c r="U135" s="3"/>
      <c r="V135" s="3"/>
      <c r="W135" s="3"/>
      <c r="X135" s="3"/>
      <c r="Y135" s="3"/>
      <c r="Z135" s="3"/>
      <c r="AA135" s="3"/>
      <c r="AB135" s="3"/>
      <c r="AC135" s="3"/>
      <c r="AD135" s="3"/>
      <c r="AE135" s="3"/>
    </row>
    <row r="136">
      <c r="A136" s="13"/>
      <c r="B136" s="13"/>
      <c r="C136" s="13"/>
      <c r="D136" s="13"/>
      <c r="E136" s="13"/>
      <c r="F136" s="3"/>
      <c r="G136" s="3"/>
      <c r="H136" s="4"/>
      <c r="I136" s="8"/>
      <c r="J136" s="8"/>
      <c r="K136" s="3"/>
      <c r="L136" s="3"/>
      <c r="M136" s="3"/>
      <c r="N136" s="3"/>
      <c r="O136" s="3"/>
      <c r="P136" s="3"/>
      <c r="Q136" s="3"/>
      <c r="R136" s="3"/>
      <c r="S136" s="3"/>
      <c r="T136" s="3"/>
      <c r="U136" s="3"/>
      <c r="V136" s="3"/>
      <c r="W136" s="3"/>
      <c r="X136" s="3"/>
      <c r="Y136" s="3"/>
      <c r="Z136" s="3"/>
      <c r="AA136" s="3"/>
      <c r="AB136" s="3"/>
      <c r="AC136" s="3"/>
      <c r="AD136" s="3"/>
      <c r="AE136" s="3"/>
    </row>
    <row r="137">
      <c r="A137" s="13"/>
      <c r="B137" s="13"/>
      <c r="C137" s="13"/>
      <c r="D137" s="13"/>
      <c r="E137" s="13"/>
      <c r="F137" s="3"/>
      <c r="G137" s="3"/>
      <c r="H137" s="4"/>
      <c r="I137" s="8"/>
      <c r="J137" s="8"/>
      <c r="K137" s="3"/>
      <c r="L137" s="3"/>
      <c r="M137" s="3"/>
      <c r="N137" s="3"/>
      <c r="O137" s="3"/>
      <c r="P137" s="3"/>
      <c r="Q137" s="3"/>
      <c r="R137" s="3"/>
      <c r="S137" s="3"/>
      <c r="T137" s="3"/>
      <c r="U137" s="3"/>
      <c r="V137" s="3"/>
      <c r="W137" s="3"/>
      <c r="X137" s="3"/>
      <c r="Y137" s="3"/>
      <c r="Z137" s="3"/>
      <c r="AA137" s="3"/>
      <c r="AB137" s="3"/>
      <c r="AC137" s="3"/>
      <c r="AD137" s="3"/>
      <c r="AE137" s="3"/>
    </row>
    <row r="138">
      <c r="A138" s="13"/>
      <c r="B138" s="13"/>
      <c r="C138" s="13"/>
      <c r="D138" s="13"/>
      <c r="E138" s="13"/>
      <c r="F138" s="3"/>
      <c r="G138" s="3"/>
      <c r="H138" s="4"/>
      <c r="I138" s="8"/>
      <c r="J138" s="8"/>
      <c r="K138" s="3"/>
      <c r="L138" s="3"/>
      <c r="M138" s="3"/>
      <c r="N138" s="3"/>
      <c r="O138" s="3"/>
      <c r="P138" s="3"/>
      <c r="Q138" s="3"/>
      <c r="R138" s="3"/>
      <c r="S138" s="3"/>
      <c r="T138" s="3"/>
      <c r="U138" s="3"/>
      <c r="V138" s="3"/>
      <c r="W138" s="3"/>
      <c r="X138" s="3"/>
      <c r="Y138" s="3"/>
      <c r="Z138" s="3"/>
      <c r="AA138" s="3"/>
      <c r="AB138" s="3"/>
      <c r="AC138" s="3"/>
      <c r="AD138" s="3"/>
      <c r="AE138" s="3"/>
    </row>
    <row r="139">
      <c r="A139" s="13"/>
      <c r="B139" s="13"/>
      <c r="C139" s="13"/>
      <c r="D139" s="13"/>
      <c r="E139" s="13"/>
      <c r="F139" s="3"/>
      <c r="G139" s="3"/>
      <c r="H139" s="4"/>
      <c r="I139" s="8"/>
      <c r="J139" s="8"/>
      <c r="K139" s="3"/>
      <c r="L139" s="3"/>
      <c r="M139" s="3"/>
      <c r="N139" s="3"/>
      <c r="O139" s="3"/>
      <c r="P139" s="3"/>
      <c r="Q139" s="3"/>
      <c r="R139" s="3"/>
      <c r="S139" s="3"/>
      <c r="T139" s="3"/>
      <c r="U139" s="3"/>
      <c r="V139" s="3"/>
      <c r="W139" s="3"/>
      <c r="X139" s="3"/>
      <c r="Y139" s="3"/>
      <c r="Z139" s="3"/>
      <c r="AA139" s="3"/>
      <c r="AB139" s="3"/>
      <c r="AC139" s="3"/>
      <c r="AD139" s="3"/>
      <c r="AE139" s="3"/>
    </row>
    <row r="140">
      <c r="A140" s="13"/>
      <c r="B140" s="13"/>
      <c r="C140" s="13"/>
      <c r="D140" s="13"/>
      <c r="E140" s="13"/>
      <c r="F140" s="3"/>
      <c r="G140" s="3"/>
      <c r="H140" s="4"/>
      <c r="I140" s="8"/>
      <c r="J140" s="8"/>
      <c r="K140" s="3"/>
      <c r="L140" s="3"/>
      <c r="M140" s="3"/>
      <c r="N140" s="3"/>
      <c r="O140" s="3"/>
      <c r="P140" s="3"/>
      <c r="Q140" s="3"/>
      <c r="R140" s="3"/>
      <c r="S140" s="3"/>
      <c r="T140" s="3"/>
      <c r="U140" s="3"/>
      <c r="V140" s="3"/>
      <c r="W140" s="3"/>
      <c r="X140" s="3"/>
      <c r="Y140" s="3"/>
      <c r="Z140" s="3"/>
      <c r="AA140" s="3"/>
      <c r="AB140" s="3"/>
      <c r="AC140" s="3"/>
      <c r="AD140" s="3"/>
      <c r="AE140" s="3"/>
    </row>
    <row r="141">
      <c r="A141" s="13"/>
      <c r="B141" s="13"/>
      <c r="C141" s="13"/>
      <c r="D141" s="13"/>
      <c r="E141" s="13"/>
      <c r="F141" s="3"/>
      <c r="G141" s="3"/>
      <c r="H141" s="4"/>
      <c r="I141" s="8"/>
      <c r="J141" s="8"/>
      <c r="K141" s="3"/>
      <c r="L141" s="3"/>
      <c r="M141" s="3"/>
      <c r="N141" s="3"/>
      <c r="O141" s="3"/>
      <c r="P141" s="3"/>
      <c r="Q141" s="3"/>
      <c r="R141" s="3"/>
      <c r="S141" s="3"/>
      <c r="T141" s="3"/>
      <c r="U141" s="3"/>
      <c r="V141" s="3"/>
      <c r="W141" s="3"/>
      <c r="X141" s="3"/>
      <c r="Y141" s="3"/>
      <c r="Z141" s="3"/>
      <c r="AA141" s="3"/>
      <c r="AB141" s="3"/>
      <c r="AC141" s="3"/>
      <c r="AD141" s="3"/>
      <c r="AE141" s="3"/>
    </row>
    <row r="142">
      <c r="A142" s="13"/>
      <c r="B142" s="13"/>
      <c r="C142" s="13"/>
      <c r="D142" s="13"/>
      <c r="E142" s="13"/>
      <c r="F142" s="3"/>
      <c r="G142" s="3"/>
      <c r="H142" s="4"/>
      <c r="I142" s="8"/>
      <c r="J142" s="8"/>
      <c r="K142" s="3"/>
      <c r="L142" s="3"/>
      <c r="M142" s="3"/>
      <c r="N142" s="3"/>
      <c r="O142" s="3"/>
      <c r="P142" s="3"/>
      <c r="Q142" s="3"/>
      <c r="R142" s="3"/>
      <c r="S142" s="3"/>
      <c r="T142" s="3"/>
      <c r="U142" s="3"/>
      <c r="V142" s="3"/>
      <c r="W142" s="3"/>
      <c r="X142" s="3"/>
      <c r="Y142" s="3"/>
      <c r="Z142" s="3"/>
      <c r="AA142" s="3"/>
      <c r="AB142" s="3"/>
      <c r="AC142" s="3"/>
      <c r="AD142" s="3"/>
      <c r="AE142" s="3"/>
    </row>
    <row r="143">
      <c r="A143" s="13"/>
      <c r="B143" s="13"/>
      <c r="C143" s="13"/>
      <c r="D143" s="13"/>
      <c r="E143" s="13"/>
      <c r="F143" s="3"/>
      <c r="G143" s="3"/>
      <c r="H143" s="4"/>
      <c r="I143" s="8"/>
      <c r="J143" s="8"/>
      <c r="K143" s="3"/>
      <c r="L143" s="3"/>
      <c r="M143" s="3"/>
      <c r="N143" s="3"/>
      <c r="O143" s="3"/>
      <c r="P143" s="3"/>
      <c r="Q143" s="3"/>
      <c r="R143" s="3"/>
      <c r="S143" s="3"/>
      <c r="T143" s="3"/>
      <c r="U143" s="3"/>
      <c r="V143" s="3"/>
      <c r="W143" s="3"/>
      <c r="X143" s="3"/>
      <c r="Y143" s="3"/>
      <c r="Z143" s="3"/>
      <c r="AA143" s="3"/>
      <c r="AB143" s="3"/>
      <c r="AC143" s="3"/>
      <c r="AD143" s="3"/>
      <c r="AE143" s="3"/>
    </row>
    <row r="144">
      <c r="A144" s="13"/>
      <c r="B144" s="13"/>
      <c r="C144" s="13"/>
      <c r="D144" s="13"/>
      <c r="E144" s="13"/>
      <c r="F144" s="3"/>
      <c r="G144" s="3"/>
      <c r="H144" s="4"/>
      <c r="I144" s="8"/>
      <c r="J144" s="8"/>
      <c r="K144" s="3"/>
      <c r="L144" s="3"/>
      <c r="M144" s="3"/>
      <c r="N144" s="3"/>
      <c r="O144" s="3"/>
      <c r="P144" s="3"/>
      <c r="Q144" s="3"/>
      <c r="R144" s="3"/>
      <c r="S144" s="3"/>
      <c r="T144" s="3"/>
      <c r="U144" s="3"/>
      <c r="V144" s="3"/>
      <c r="W144" s="3"/>
      <c r="X144" s="3"/>
      <c r="Y144" s="3"/>
      <c r="Z144" s="3"/>
      <c r="AA144" s="3"/>
      <c r="AB144" s="3"/>
      <c r="AC144" s="3"/>
      <c r="AD144" s="3"/>
      <c r="AE144" s="3"/>
    </row>
    <row r="145">
      <c r="A145" s="13"/>
      <c r="B145" s="13"/>
      <c r="C145" s="13"/>
      <c r="D145" s="13"/>
      <c r="E145" s="13"/>
      <c r="F145" s="3"/>
      <c r="G145" s="3"/>
      <c r="H145" s="4"/>
      <c r="I145" s="8"/>
      <c r="J145" s="8"/>
      <c r="K145" s="3"/>
      <c r="L145" s="3"/>
      <c r="M145" s="3"/>
      <c r="N145" s="3"/>
      <c r="O145" s="3"/>
      <c r="P145" s="3"/>
      <c r="Q145" s="3"/>
      <c r="R145" s="3"/>
      <c r="S145" s="3"/>
      <c r="T145" s="3"/>
      <c r="U145" s="3"/>
      <c r="V145" s="3"/>
      <c r="W145" s="3"/>
      <c r="X145" s="3"/>
      <c r="Y145" s="3"/>
      <c r="Z145" s="3"/>
      <c r="AA145" s="3"/>
      <c r="AB145" s="3"/>
      <c r="AC145" s="3"/>
      <c r="AD145" s="3"/>
      <c r="AE145" s="3"/>
    </row>
    <row r="146">
      <c r="A146" s="13"/>
      <c r="B146" s="13"/>
      <c r="C146" s="13"/>
      <c r="D146" s="13"/>
      <c r="E146" s="13"/>
      <c r="F146" s="3"/>
      <c r="G146" s="3"/>
      <c r="H146" s="4"/>
      <c r="I146" s="8"/>
      <c r="J146" s="8"/>
      <c r="K146" s="3"/>
      <c r="L146" s="3"/>
      <c r="M146" s="3"/>
      <c r="N146" s="3"/>
      <c r="O146" s="3"/>
      <c r="P146" s="3"/>
      <c r="Q146" s="3"/>
      <c r="R146" s="3"/>
      <c r="S146" s="3"/>
      <c r="T146" s="3"/>
      <c r="U146" s="3"/>
      <c r="V146" s="3"/>
      <c r="W146" s="3"/>
      <c r="X146" s="3"/>
      <c r="Y146" s="3"/>
      <c r="Z146" s="3"/>
      <c r="AA146" s="3"/>
      <c r="AB146" s="3"/>
      <c r="AC146" s="3"/>
      <c r="AD146" s="3"/>
      <c r="AE146" s="3"/>
    </row>
    <row r="147">
      <c r="A147" s="13"/>
      <c r="B147" s="13"/>
      <c r="C147" s="13"/>
      <c r="D147" s="13"/>
      <c r="E147" s="13"/>
      <c r="F147" s="3"/>
      <c r="G147" s="3"/>
      <c r="H147" s="4"/>
      <c r="I147" s="8"/>
      <c r="J147" s="8"/>
      <c r="K147" s="3"/>
      <c r="L147" s="3"/>
      <c r="M147" s="3"/>
      <c r="N147" s="3"/>
      <c r="O147" s="3"/>
      <c r="P147" s="3"/>
      <c r="Q147" s="3"/>
      <c r="R147" s="3"/>
      <c r="S147" s="3"/>
      <c r="T147" s="3"/>
      <c r="U147" s="3"/>
      <c r="V147" s="3"/>
      <c r="W147" s="3"/>
      <c r="X147" s="3"/>
      <c r="Y147" s="3"/>
      <c r="Z147" s="3"/>
      <c r="AA147" s="3"/>
      <c r="AB147" s="3"/>
      <c r="AC147" s="3"/>
      <c r="AD147" s="3"/>
      <c r="AE147" s="3"/>
    </row>
    <row r="148">
      <c r="A148" s="13"/>
      <c r="B148" s="13"/>
      <c r="C148" s="13"/>
      <c r="D148" s="13"/>
      <c r="E148" s="13"/>
      <c r="F148" s="3"/>
      <c r="G148" s="3"/>
      <c r="H148" s="4"/>
      <c r="I148" s="8"/>
      <c r="J148" s="8"/>
      <c r="K148" s="3"/>
      <c r="L148" s="3"/>
      <c r="M148" s="3"/>
      <c r="N148" s="3"/>
      <c r="O148" s="3"/>
      <c r="P148" s="3"/>
      <c r="Q148" s="3"/>
      <c r="R148" s="3"/>
      <c r="S148" s="3"/>
      <c r="T148" s="3"/>
      <c r="U148" s="3"/>
      <c r="V148" s="3"/>
      <c r="W148" s="3"/>
      <c r="X148" s="3"/>
      <c r="Y148" s="3"/>
      <c r="Z148" s="3"/>
      <c r="AA148" s="3"/>
      <c r="AB148" s="3"/>
      <c r="AC148" s="3"/>
      <c r="AD148" s="3"/>
      <c r="AE148" s="3"/>
    </row>
    <row r="149">
      <c r="A149" s="13"/>
      <c r="B149" s="13"/>
      <c r="C149" s="13"/>
      <c r="D149" s="13"/>
      <c r="E149" s="13"/>
      <c r="F149" s="3"/>
      <c r="G149" s="3"/>
      <c r="H149" s="4"/>
      <c r="I149" s="8"/>
      <c r="J149" s="8"/>
      <c r="K149" s="3"/>
      <c r="L149" s="3"/>
      <c r="M149" s="3"/>
      <c r="N149" s="3"/>
      <c r="O149" s="3"/>
      <c r="P149" s="3"/>
      <c r="Q149" s="3"/>
      <c r="R149" s="3"/>
      <c r="S149" s="3"/>
      <c r="T149" s="3"/>
      <c r="U149" s="3"/>
      <c r="V149" s="3"/>
      <c r="W149" s="3"/>
      <c r="X149" s="3"/>
      <c r="Y149" s="3"/>
      <c r="Z149" s="3"/>
      <c r="AA149" s="3"/>
      <c r="AB149" s="3"/>
      <c r="AC149" s="3"/>
      <c r="AD149" s="3"/>
      <c r="AE149" s="3"/>
    </row>
    <row r="150">
      <c r="A150" s="13"/>
      <c r="B150" s="13"/>
      <c r="C150" s="13"/>
      <c r="D150" s="13"/>
      <c r="E150" s="13"/>
      <c r="F150" s="3"/>
      <c r="G150" s="3"/>
      <c r="H150" s="4"/>
      <c r="I150" s="8"/>
      <c r="J150" s="8"/>
      <c r="K150" s="3"/>
      <c r="L150" s="3"/>
      <c r="M150" s="3"/>
      <c r="N150" s="3"/>
      <c r="O150" s="3"/>
      <c r="P150" s="3"/>
      <c r="Q150" s="3"/>
      <c r="R150" s="3"/>
      <c r="S150" s="3"/>
      <c r="T150" s="3"/>
      <c r="U150" s="3"/>
      <c r="V150" s="3"/>
      <c r="W150" s="3"/>
      <c r="X150" s="3"/>
      <c r="Y150" s="3"/>
      <c r="Z150" s="3"/>
      <c r="AA150" s="3"/>
      <c r="AB150" s="3"/>
      <c r="AC150" s="3"/>
      <c r="AD150" s="3"/>
      <c r="AE150" s="3"/>
    </row>
    <row r="151">
      <c r="A151" s="13"/>
      <c r="B151" s="13"/>
      <c r="C151" s="13"/>
      <c r="D151" s="13"/>
      <c r="E151" s="13"/>
      <c r="F151" s="3"/>
      <c r="G151" s="3"/>
      <c r="H151" s="4"/>
      <c r="I151" s="8"/>
      <c r="J151" s="8"/>
      <c r="K151" s="3"/>
      <c r="L151" s="3"/>
      <c r="M151" s="3"/>
      <c r="N151" s="3"/>
      <c r="O151" s="3"/>
      <c r="P151" s="3"/>
      <c r="Q151" s="3"/>
      <c r="R151" s="3"/>
      <c r="S151" s="3"/>
      <c r="T151" s="3"/>
      <c r="U151" s="3"/>
      <c r="V151" s="3"/>
      <c r="W151" s="3"/>
      <c r="X151" s="3"/>
      <c r="Y151" s="3"/>
      <c r="Z151" s="3"/>
      <c r="AA151" s="3"/>
      <c r="AB151" s="3"/>
      <c r="AC151" s="3"/>
      <c r="AD151" s="3"/>
      <c r="AE151" s="3"/>
    </row>
    <row r="152">
      <c r="A152" s="13"/>
      <c r="B152" s="13"/>
      <c r="C152" s="13"/>
      <c r="D152" s="13"/>
      <c r="E152" s="13"/>
      <c r="F152" s="3"/>
      <c r="G152" s="3"/>
      <c r="H152" s="4"/>
      <c r="I152" s="8"/>
      <c r="J152" s="8"/>
      <c r="K152" s="3"/>
      <c r="L152" s="3"/>
      <c r="M152" s="3"/>
      <c r="N152" s="3"/>
      <c r="O152" s="3"/>
      <c r="P152" s="3"/>
      <c r="Q152" s="3"/>
      <c r="R152" s="3"/>
      <c r="S152" s="3"/>
      <c r="T152" s="3"/>
      <c r="U152" s="3"/>
      <c r="V152" s="3"/>
      <c r="W152" s="3"/>
      <c r="X152" s="3"/>
      <c r="Y152" s="3"/>
      <c r="Z152" s="3"/>
      <c r="AA152" s="3"/>
      <c r="AB152" s="3"/>
      <c r="AC152" s="3"/>
      <c r="AD152" s="3"/>
      <c r="AE152" s="3"/>
    </row>
    <row r="153">
      <c r="A153" s="13"/>
      <c r="B153" s="13"/>
      <c r="C153" s="13"/>
      <c r="D153" s="13"/>
      <c r="E153" s="13"/>
      <c r="F153" s="3"/>
      <c r="G153" s="3"/>
      <c r="H153" s="4"/>
      <c r="I153" s="8"/>
      <c r="J153" s="8"/>
      <c r="K153" s="3"/>
      <c r="L153" s="3"/>
      <c r="M153" s="3"/>
      <c r="N153" s="3"/>
      <c r="O153" s="3"/>
      <c r="P153" s="3"/>
      <c r="Q153" s="3"/>
      <c r="R153" s="3"/>
      <c r="S153" s="3"/>
      <c r="T153" s="3"/>
      <c r="U153" s="3"/>
      <c r="V153" s="3"/>
      <c r="W153" s="3"/>
      <c r="X153" s="3"/>
      <c r="Y153" s="3"/>
      <c r="Z153" s="3"/>
      <c r="AA153" s="3"/>
      <c r="AB153" s="3"/>
      <c r="AC153" s="3"/>
      <c r="AD153" s="3"/>
      <c r="AE153" s="3"/>
    </row>
    <row r="154">
      <c r="A154" s="13"/>
      <c r="B154" s="13"/>
      <c r="C154" s="13"/>
      <c r="D154" s="13"/>
      <c r="E154" s="13"/>
      <c r="F154" s="3"/>
      <c r="G154" s="3"/>
      <c r="H154" s="4"/>
      <c r="I154" s="8"/>
      <c r="J154" s="8"/>
      <c r="K154" s="3"/>
      <c r="L154" s="3"/>
      <c r="M154" s="3"/>
      <c r="N154" s="3"/>
      <c r="O154" s="3"/>
      <c r="P154" s="3"/>
      <c r="Q154" s="3"/>
      <c r="R154" s="3"/>
      <c r="S154" s="3"/>
      <c r="T154" s="3"/>
      <c r="U154" s="3"/>
      <c r="V154" s="3"/>
      <c r="W154" s="3"/>
      <c r="X154" s="3"/>
      <c r="Y154" s="3"/>
      <c r="Z154" s="3"/>
      <c r="AA154" s="3"/>
      <c r="AB154" s="3"/>
      <c r="AC154" s="3"/>
      <c r="AD154" s="3"/>
      <c r="AE154" s="3"/>
    </row>
    <row r="155">
      <c r="A155" s="13"/>
      <c r="B155" s="13"/>
      <c r="C155" s="13"/>
      <c r="D155" s="13"/>
      <c r="E155" s="13"/>
      <c r="F155" s="3"/>
      <c r="G155" s="3"/>
      <c r="H155" s="4"/>
      <c r="I155" s="8"/>
      <c r="J155" s="8"/>
      <c r="K155" s="3"/>
      <c r="L155" s="3"/>
      <c r="M155" s="3"/>
      <c r="N155" s="3"/>
      <c r="O155" s="3"/>
      <c r="P155" s="3"/>
      <c r="Q155" s="3"/>
      <c r="R155" s="3"/>
      <c r="S155" s="3"/>
      <c r="T155" s="3"/>
      <c r="U155" s="3"/>
      <c r="V155" s="3"/>
      <c r="W155" s="3"/>
      <c r="X155" s="3"/>
      <c r="Y155" s="3"/>
      <c r="Z155" s="3"/>
      <c r="AA155" s="3"/>
      <c r="AB155" s="3"/>
      <c r="AC155" s="3"/>
      <c r="AD155" s="3"/>
      <c r="AE155" s="3"/>
    </row>
    <row r="156">
      <c r="A156" s="13"/>
      <c r="B156" s="13"/>
      <c r="C156" s="13"/>
      <c r="D156" s="13"/>
      <c r="E156" s="13"/>
      <c r="F156" s="3"/>
      <c r="G156" s="3"/>
      <c r="H156" s="4"/>
      <c r="I156" s="8"/>
      <c r="J156" s="8"/>
      <c r="K156" s="3"/>
      <c r="L156" s="3"/>
      <c r="M156" s="3"/>
      <c r="N156" s="3"/>
      <c r="O156" s="3"/>
      <c r="P156" s="3"/>
      <c r="Q156" s="3"/>
      <c r="R156" s="3"/>
      <c r="S156" s="3"/>
      <c r="T156" s="3"/>
      <c r="U156" s="3"/>
      <c r="V156" s="3"/>
      <c r="W156" s="3"/>
      <c r="X156" s="3"/>
      <c r="Y156" s="3"/>
      <c r="Z156" s="3"/>
      <c r="AA156" s="3"/>
      <c r="AB156" s="3"/>
      <c r="AC156" s="3"/>
      <c r="AD156" s="3"/>
      <c r="AE156" s="3"/>
    </row>
    <row r="157">
      <c r="A157" s="13"/>
      <c r="B157" s="13"/>
      <c r="C157" s="13"/>
      <c r="D157" s="13"/>
      <c r="E157" s="13"/>
      <c r="F157" s="3"/>
      <c r="G157" s="3"/>
      <c r="H157" s="4"/>
      <c r="I157" s="8"/>
      <c r="J157" s="8"/>
      <c r="K157" s="3"/>
      <c r="L157" s="3"/>
      <c r="M157" s="3"/>
      <c r="N157" s="3"/>
      <c r="O157" s="3"/>
      <c r="P157" s="3"/>
      <c r="Q157" s="3"/>
      <c r="R157" s="3"/>
      <c r="S157" s="3"/>
      <c r="T157" s="3"/>
      <c r="U157" s="3"/>
      <c r="V157" s="3"/>
      <c r="W157" s="3"/>
      <c r="X157" s="3"/>
      <c r="Y157" s="3"/>
      <c r="Z157" s="3"/>
      <c r="AA157" s="3"/>
      <c r="AB157" s="3"/>
      <c r="AC157" s="3"/>
      <c r="AD157" s="3"/>
      <c r="AE157" s="3"/>
    </row>
    <row r="158">
      <c r="A158" s="13"/>
      <c r="B158" s="13"/>
      <c r="C158" s="13"/>
      <c r="D158" s="13"/>
      <c r="E158" s="13"/>
      <c r="F158" s="3"/>
      <c r="G158" s="3"/>
      <c r="H158" s="4"/>
      <c r="I158" s="8"/>
      <c r="J158" s="8"/>
      <c r="K158" s="3"/>
      <c r="L158" s="3"/>
      <c r="M158" s="3"/>
      <c r="N158" s="3"/>
      <c r="O158" s="3"/>
      <c r="P158" s="3"/>
      <c r="Q158" s="3"/>
      <c r="R158" s="3"/>
      <c r="S158" s="3"/>
      <c r="T158" s="3"/>
      <c r="U158" s="3"/>
      <c r="V158" s="3"/>
      <c r="W158" s="3"/>
      <c r="X158" s="3"/>
      <c r="Y158" s="3"/>
      <c r="Z158" s="3"/>
      <c r="AA158" s="3"/>
      <c r="AB158" s="3"/>
      <c r="AC158" s="3"/>
      <c r="AD158" s="3"/>
      <c r="AE158" s="3"/>
    </row>
    <row r="159">
      <c r="A159" s="13"/>
      <c r="B159" s="13"/>
      <c r="C159" s="13"/>
      <c r="D159" s="13"/>
      <c r="E159" s="13"/>
      <c r="F159" s="3"/>
      <c r="G159" s="3"/>
      <c r="H159" s="4"/>
      <c r="I159" s="8"/>
      <c r="J159" s="8"/>
      <c r="K159" s="3"/>
      <c r="L159" s="3"/>
      <c r="M159" s="3"/>
      <c r="N159" s="3"/>
      <c r="O159" s="3"/>
      <c r="P159" s="3"/>
      <c r="Q159" s="3"/>
      <c r="R159" s="3"/>
      <c r="S159" s="3"/>
      <c r="T159" s="3"/>
      <c r="U159" s="3"/>
      <c r="V159" s="3"/>
      <c r="W159" s="3"/>
      <c r="X159" s="3"/>
      <c r="Y159" s="3"/>
      <c r="Z159" s="3"/>
      <c r="AA159" s="3"/>
      <c r="AB159" s="3"/>
      <c r="AC159" s="3"/>
      <c r="AD159" s="3"/>
      <c r="AE159" s="3"/>
    </row>
    <row r="160">
      <c r="A160" s="13"/>
      <c r="B160" s="13"/>
      <c r="C160" s="13"/>
      <c r="D160" s="13"/>
      <c r="E160" s="13"/>
      <c r="F160" s="3"/>
      <c r="G160" s="3"/>
      <c r="H160" s="4"/>
      <c r="I160" s="8"/>
      <c r="J160" s="8"/>
      <c r="K160" s="3"/>
      <c r="L160" s="3"/>
      <c r="M160" s="3"/>
      <c r="N160" s="3"/>
      <c r="O160" s="3"/>
      <c r="P160" s="3"/>
      <c r="Q160" s="3"/>
      <c r="R160" s="3"/>
      <c r="S160" s="3"/>
      <c r="T160" s="3"/>
      <c r="U160" s="3"/>
      <c r="V160" s="3"/>
      <c r="W160" s="3"/>
      <c r="X160" s="3"/>
      <c r="Y160" s="3"/>
      <c r="Z160" s="3"/>
      <c r="AA160" s="3"/>
      <c r="AB160" s="3"/>
      <c r="AC160" s="3"/>
      <c r="AD160" s="3"/>
      <c r="AE160" s="3"/>
    </row>
    <row r="161">
      <c r="A161" s="13"/>
      <c r="B161" s="13"/>
      <c r="C161" s="13"/>
      <c r="D161" s="13"/>
      <c r="E161" s="13"/>
      <c r="F161" s="3"/>
      <c r="G161" s="3"/>
      <c r="H161" s="4"/>
      <c r="I161" s="8"/>
      <c r="J161" s="8"/>
      <c r="K161" s="3"/>
      <c r="L161" s="3"/>
      <c r="M161" s="3"/>
      <c r="N161" s="3"/>
      <c r="O161" s="3"/>
      <c r="P161" s="3"/>
      <c r="Q161" s="3"/>
      <c r="R161" s="3"/>
      <c r="S161" s="3"/>
      <c r="T161" s="3"/>
      <c r="U161" s="3"/>
      <c r="V161" s="3"/>
      <c r="W161" s="3"/>
      <c r="X161" s="3"/>
      <c r="Y161" s="3"/>
      <c r="Z161" s="3"/>
      <c r="AA161" s="3"/>
      <c r="AB161" s="3"/>
      <c r="AC161" s="3"/>
      <c r="AD161" s="3"/>
      <c r="AE161" s="3"/>
    </row>
    <row r="162">
      <c r="A162" s="13"/>
      <c r="B162" s="13"/>
      <c r="C162" s="13"/>
      <c r="D162" s="13"/>
      <c r="E162" s="13"/>
      <c r="F162" s="3"/>
      <c r="G162" s="3"/>
      <c r="H162" s="4"/>
      <c r="I162" s="8"/>
      <c r="J162" s="8"/>
      <c r="K162" s="3"/>
      <c r="L162" s="3"/>
      <c r="M162" s="3"/>
      <c r="N162" s="3"/>
      <c r="O162" s="3"/>
      <c r="P162" s="3"/>
      <c r="Q162" s="3"/>
      <c r="R162" s="3"/>
      <c r="S162" s="3"/>
      <c r="T162" s="3"/>
      <c r="U162" s="3"/>
      <c r="V162" s="3"/>
      <c r="W162" s="3"/>
      <c r="X162" s="3"/>
      <c r="Y162" s="3"/>
      <c r="Z162" s="3"/>
      <c r="AA162" s="3"/>
      <c r="AB162" s="3"/>
      <c r="AC162" s="3"/>
      <c r="AD162" s="3"/>
      <c r="AE162" s="3"/>
    </row>
    <row r="163">
      <c r="A163" s="13"/>
      <c r="B163" s="13"/>
      <c r="C163" s="13"/>
      <c r="D163" s="13"/>
      <c r="E163" s="13"/>
      <c r="F163" s="3"/>
      <c r="G163" s="3"/>
      <c r="H163" s="4"/>
      <c r="I163" s="8"/>
      <c r="J163" s="8"/>
      <c r="K163" s="3"/>
      <c r="L163" s="3"/>
      <c r="M163" s="3"/>
      <c r="N163" s="3"/>
      <c r="O163" s="3"/>
      <c r="P163" s="3"/>
      <c r="Q163" s="3"/>
      <c r="R163" s="3"/>
      <c r="S163" s="3"/>
      <c r="T163" s="3"/>
      <c r="U163" s="3"/>
      <c r="V163" s="3"/>
      <c r="W163" s="3"/>
      <c r="X163" s="3"/>
      <c r="Y163" s="3"/>
      <c r="Z163" s="3"/>
      <c r="AA163" s="3"/>
      <c r="AB163" s="3"/>
      <c r="AC163" s="3"/>
      <c r="AD163" s="3"/>
      <c r="AE163" s="3"/>
    </row>
    <row r="164">
      <c r="A164" s="13"/>
      <c r="B164" s="13"/>
      <c r="C164" s="13"/>
      <c r="D164" s="13"/>
      <c r="E164" s="13"/>
      <c r="F164" s="3"/>
      <c r="G164" s="3"/>
      <c r="H164" s="4"/>
      <c r="I164" s="8"/>
      <c r="J164" s="8"/>
      <c r="K164" s="3"/>
      <c r="L164" s="3"/>
      <c r="M164" s="3"/>
      <c r="N164" s="3"/>
      <c r="O164" s="3"/>
      <c r="P164" s="3"/>
      <c r="Q164" s="3"/>
      <c r="R164" s="3"/>
      <c r="S164" s="3"/>
      <c r="T164" s="3"/>
      <c r="U164" s="3"/>
      <c r="V164" s="3"/>
      <c r="W164" s="3"/>
      <c r="X164" s="3"/>
      <c r="Y164" s="3"/>
      <c r="Z164" s="3"/>
      <c r="AA164" s="3"/>
      <c r="AB164" s="3"/>
      <c r="AC164" s="3"/>
      <c r="AD164" s="3"/>
      <c r="AE164" s="3"/>
    </row>
    <row r="165">
      <c r="A165" s="13"/>
      <c r="B165" s="13"/>
      <c r="C165" s="13"/>
      <c r="D165" s="13"/>
      <c r="E165" s="13"/>
      <c r="F165" s="3"/>
      <c r="G165" s="3"/>
      <c r="H165" s="4"/>
      <c r="I165" s="8"/>
      <c r="J165" s="8"/>
      <c r="K165" s="3"/>
      <c r="L165" s="3"/>
      <c r="M165" s="3"/>
      <c r="N165" s="3"/>
      <c r="O165" s="3"/>
      <c r="P165" s="3"/>
      <c r="Q165" s="3"/>
      <c r="R165" s="3"/>
      <c r="S165" s="3"/>
      <c r="T165" s="3"/>
      <c r="U165" s="3"/>
      <c r="V165" s="3"/>
      <c r="W165" s="3"/>
      <c r="X165" s="3"/>
      <c r="Y165" s="3"/>
      <c r="Z165" s="3"/>
      <c r="AA165" s="3"/>
      <c r="AB165" s="3"/>
      <c r="AC165" s="3"/>
      <c r="AD165" s="3"/>
      <c r="AE165" s="3"/>
    </row>
    <row r="166">
      <c r="A166" s="13"/>
      <c r="B166" s="13"/>
      <c r="C166" s="13"/>
      <c r="D166" s="13"/>
      <c r="E166" s="13"/>
      <c r="F166" s="3"/>
      <c r="G166" s="3"/>
      <c r="H166" s="4"/>
      <c r="I166" s="8"/>
      <c r="J166" s="8"/>
      <c r="K166" s="3"/>
      <c r="L166" s="3"/>
      <c r="M166" s="3"/>
      <c r="N166" s="3"/>
      <c r="O166" s="3"/>
      <c r="P166" s="3"/>
      <c r="Q166" s="3"/>
      <c r="R166" s="3"/>
      <c r="S166" s="3"/>
      <c r="T166" s="3"/>
      <c r="U166" s="3"/>
      <c r="V166" s="3"/>
      <c r="W166" s="3"/>
      <c r="X166" s="3"/>
      <c r="Y166" s="3"/>
      <c r="Z166" s="3"/>
      <c r="AA166" s="3"/>
      <c r="AB166" s="3"/>
      <c r="AC166" s="3"/>
      <c r="AD166" s="3"/>
      <c r="AE166" s="3"/>
    </row>
    <row r="167">
      <c r="A167" s="13"/>
      <c r="B167" s="13"/>
      <c r="C167" s="13"/>
      <c r="D167" s="13"/>
      <c r="E167" s="13"/>
      <c r="F167" s="3"/>
      <c r="G167" s="3"/>
      <c r="H167" s="4"/>
      <c r="I167" s="8"/>
      <c r="J167" s="8"/>
      <c r="K167" s="3"/>
      <c r="L167" s="3"/>
      <c r="M167" s="3"/>
      <c r="N167" s="3"/>
      <c r="O167" s="3"/>
      <c r="P167" s="3"/>
      <c r="Q167" s="3"/>
      <c r="R167" s="3"/>
      <c r="S167" s="3"/>
      <c r="T167" s="3"/>
      <c r="U167" s="3"/>
      <c r="V167" s="3"/>
      <c r="W167" s="3"/>
      <c r="X167" s="3"/>
      <c r="Y167" s="3"/>
      <c r="Z167" s="3"/>
      <c r="AA167" s="3"/>
      <c r="AB167" s="3"/>
      <c r="AC167" s="3"/>
      <c r="AD167" s="3"/>
      <c r="AE167" s="3"/>
    </row>
    <row r="168">
      <c r="A168" s="13"/>
      <c r="B168" s="13"/>
      <c r="C168" s="13"/>
      <c r="D168" s="13"/>
      <c r="E168" s="13"/>
      <c r="F168" s="3"/>
      <c r="G168" s="3"/>
      <c r="H168" s="4"/>
      <c r="I168" s="8"/>
      <c r="J168" s="8"/>
      <c r="K168" s="3"/>
      <c r="L168" s="3"/>
      <c r="M168" s="3"/>
      <c r="N168" s="3"/>
      <c r="O168" s="3"/>
      <c r="P168" s="3"/>
      <c r="Q168" s="3"/>
      <c r="R168" s="3"/>
      <c r="S168" s="3"/>
      <c r="T168" s="3"/>
      <c r="U168" s="3"/>
      <c r="V168" s="3"/>
      <c r="W168" s="3"/>
      <c r="X168" s="3"/>
      <c r="Y168" s="3"/>
      <c r="Z168" s="3"/>
      <c r="AA168" s="3"/>
      <c r="AB168" s="3"/>
      <c r="AC168" s="3"/>
      <c r="AD168" s="3"/>
      <c r="AE168" s="3"/>
    </row>
    <row r="169">
      <c r="A169" s="13"/>
      <c r="B169" s="13"/>
      <c r="C169" s="13"/>
      <c r="D169" s="13"/>
      <c r="E169" s="13"/>
      <c r="F169" s="3"/>
      <c r="G169" s="3"/>
      <c r="H169" s="4"/>
      <c r="I169" s="8"/>
      <c r="J169" s="8"/>
      <c r="K169" s="3"/>
      <c r="L169" s="3"/>
      <c r="M169" s="3"/>
      <c r="N169" s="3"/>
      <c r="O169" s="3"/>
      <c r="P169" s="3"/>
      <c r="Q169" s="3"/>
      <c r="R169" s="3"/>
      <c r="S169" s="3"/>
      <c r="T169" s="3"/>
      <c r="U169" s="3"/>
      <c r="V169" s="3"/>
      <c r="W169" s="3"/>
      <c r="X169" s="3"/>
      <c r="Y169" s="3"/>
      <c r="Z169" s="3"/>
      <c r="AA169" s="3"/>
      <c r="AB169" s="3"/>
      <c r="AC169" s="3"/>
      <c r="AD169" s="3"/>
      <c r="AE169" s="3"/>
    </row>
    <row r="170">
      <c r="A170" s="13"/>
      <c r="B170" s="13"/>
      <c r="C170" s="13"/>
      <c r="D170" s="13"/>
      <c r="E170" s="13"/>
      <c r="F170" s="3"/>
      <c r="G170" s="3"/>
      <c r="H170" s="4"/>
      <c r="I170" s="8"/>
      <c r="J170" s="8"/>
      <c r="K170" s="3"/>
      <c r="L170" s="3"/>
      <c r="M170" s="3"/>
      <c r="N170" s="3"/>
      <c r="O170" s="3"/>
      <c r="P170" s="3"/>
      <c r="Q170" s="3"/>
      <c r="R170" s="3"/>
      <c r="S170" s="3"/>
      <c r="T170" s="3"/>
      <c r="U170" s="3"/>
      <c r="V170" s="3"/>
      <c r="W170" s="3"/>
      <c r="X170" s="3"/>
      <c r="Y170" s="3"/>
      <c r="Z170" s="3"/>
      <c r="AA170" s="3"/>
      <c r="AB170" s="3"/>
      <c r="AC170" s="3"/>
      <c r="AD170" s="3"/>
      <c r="AE170" s="3"/>
    </row>
    <row r="171">
      <c r="A171" s="13"/>
      <c r="B171" s="13"/>
      <c r="C171" s="13"/>
      <c r="D171" s="13"/>
      <c r="E171" s="13"/>
      <c r="F171" s="3"/>
      <c r="G171" s="3"/>
      <c r="H171" s="4"/>
      <c r="I171" s="8"/>
      <c r="J171" s="8"/>
      <c r="K171" s="3"/>
      <c r="L171" s="3"/>
      <c r="M171" s="3"/>
      <c r="N171" s="3"/>
      <c r="O171" s="3"/>
      <c r="P171" s="3"/>
      <c r="Q171" s="3"/>
      <c r="R171" s="3"/>
      <c r="S171" s="3"/>
      <c r="T171" s="3"/>
      <c r="U171" s="3"/>
      <c r="V171" s="3"/>
      <c r="W171" s="3"/>
      <c r="X171" s="3"/>
      <c r="Y171" s="3"/>
      <c r="Z171" s="3"/>
      <c r="AA171" s="3"/>
      <c r="AB171" s="3"/>
      <c r="AC171" s="3"/>
      <c r="AD171" s="3"/>
      <c r="AE171" s="3"/>
    </row>
    <row r="172">
      <c r="A172" s="13"/>
      <c r="B172" s="13"/>
      <c r="C172" s="13"/>
      <c r="D172" s="13"/>
      <c r="E172" s="13"/>
      <c r="F172" s="3"/>
      <c r="G172" s="3"/>
      <c r="H172" s="4"/>
      <c r="I172" s="8"/>
      <c r="J172" s="8"/>
      <c r="K172" s="3"/>
      <c r="L172" s="3"/>
      <c r="M172" s="3"/>
      <c r="N172" s="3"/>
      <c r="O172" s="3"/>
      <c r="P172" s="3"/>
      <c r="Q172" s="3"/>
      <c r="R172" s="3"/>
      <c r="S172" s="3"/>
      <c r="T172" s="3"/>
      <c r="U172" s="3"/>
      <c r="V172" s="3"/>
      <c r="W172" s="3"/>
      <c r="X172" s="3"/>
      <c r="Y172" s="3"/>
      <c r="Z172" s="3"/>
      <c r="AA172" s="3"/>
      <c r="AB172" s="3"/>
      <c r="AC172" s="3"/>
      <c r="AD172" s="3"/>
      <c r="AE172" s="3"/>
    </row>
    <row r="173">
      <c r="A173" s="13"/>
      <c r="B173" s="13"/>
      <c r="C173" s="13"/>
      <c r="D173" s="13"/>
      <c r="E173" s="13"/>
      <c r="F173" s="3"/>
      <c r="G173" s="3"/>
      <c r="H173" s="4"/>
      <c r="I173" s="8"/>
      <c r="J173" s="8"/>
      <c r="K173" s="3"/>
      <c r="L173" s="3"/>
      <c r="M173" s="3"/>
      <c r="N173" s="3"/>
      <c r="O173" s="3"/>
      <c r="P173" s="3"/>
      <c r="Q173" s="3"/>
      <c r="R173" s="3"/>
      <c r="S173" s="3"/>
      <c r="T173" s="3"/>
      <c r="U173" s="3"/>
      <c r="V173" s="3"/>
      <c r="W173" s="3"/>
      <c r="X173" s="3"/>
      <c r="Y173" s="3"/>
      <c r="Z173" s="3"/>
      <c r="AA173" s="3"/>
      <c r="AB173" s="3"/>
      <c r="AC173" s="3"/>
      <c r="AD173" s="3"/>
      <c r="AE173" s="3"/>
    </row>
    <row r="174">
      <c r="A174" s="13"/>
      <c r="B174" s="13"/>
      <c r="C174" s="13"/>
      <c r="D174" s="13"/>
      <c r="E174" s="13"/>
      <c r="F174" s="3"/>
      <c r="G174" s="3"/>
      <c r="H174" s="4"/>
      <c r="I174" s="8"/>
      <c r="J174" s="8"/>
      <c r="K174" s="3"/>
      <c r="L174" s="3"/>
      <c r="M174" s="3"/>
      <c r="N174" s="3"/>
      <c r="O174" s="3"/>
      <c r="P174" s="3"/>
      <c r="Q174" s="3"/>
      <c r="R174" s="3"/>
      <c r="S174" s="3"/>
      <c r="T174" s="3"/>
      <c r="U174" s="3"/>
      <c r="V174" s="3"/>
      <c r="W174" s="3"/>
      <c r="X174" s="3"/>
      <c r="Y174" s="3"/>
      <c r="Z174" s="3"/>
      <c r="AA174" s="3"/>
      <c r="AB174" s="3"/>
      <c r="AC174" s="3"/>
      <c r="AD174" s="3"/>
      <c r="AE174" s="3"/>
    </row>
    <row r="175">
      <c r="A175" s="13"/>
      <c r="B175" s="13"/>
      <c r="C175" s="13"/>
      <c r="D175" s="13"/>
      <c r="E175" s="13"/>
      <c r="F175" s="3"/>
      <c r="G175" s="3"/>
      <c r="H175" s="4"/>
      <c r="I175" s="8"/>
      <c r="J175" s="8"/>
      <c r="K175" s="3"/>
      <c r="L175" s="3"/>
      <c r="M175" s="3"/>
      <c r="N175" s="3"/>
      <c r="O175" s="3"/>
      <c r="P175" s="3"/>
      <c r="Q175" s="3"/>
      <c r="R175" s="3"/>
      <c r="S175" s="3"/>
      <c r="T175" s="3"/>
      <c r="U175" s="3"/>
      <c r="V175" s="3"/>
      <c r="W175" s="3"/>
      <c r="X175" s="3"/>
      <c r="Y175" s="3"/>
      <c r="Z175" s="3"/>
      <c r="AA175" s="3"/>
      <c r="AB175" s="3"/>
      <c r="AC175" s="3"/>
      <c r="AD175" s="3"/>
      <c r="AE175" s="3"/>
    </row>
    <row r="176">
      <c r="A176" s="13"/>
      <c r="B176" s="13"/>
      <c r="C176" s="13"/>
      <c r="D176" s="13"/>
      <c r="E176" s="13"/>
      <c r="F176" s="3"/>
      <c r="G176" s="3"/>
      <c r="H176" s="4"/>
      <c r="I176" s="8"/>
      <c r="J176" s="8"/>
      <c r="K176" s="3"/>
      <c r="L176" s="3"/>
      <c r="M176" s="3"/>
      <c r="N176" s="3"/>
      <c r="O176" s="3"/>
      <c r="P176" s="3"/>
      <c r="Q176" s="3"/>
      <c r="R176" s="3"/>
      <c r="S176" s="3"/>
      <c r="T176" s="3"/>
      <c r="U176" s="3"/>
      <c r="V176" s="3"/>
      <c r="W176" s="3"/>
      <c r="X176" s="3"/>
      <c r="Y176" s="3"/>
      <c r="Z176" s="3"/>
      <c r="AA176" s="3"/>
      <c r="AB176" s="3"/>
      <c r="AC176" s="3"/>
      <c r="AD176" s="3"/>
      <c r="AE176" s="3"/>
    </row>
    <row r="177">
      <c r="A177" s="13"/>
      <c r="B177" s="13"/>
      <c r="C177" s="13"/>
      <c r="D177" s="13"/>
      <c r="E177" s="13"/>
      <c r="F177" s="3"/>
      <c r="G177" s="3"/>
      <c r="H177" s="4"/>
      <c r="I177" s="8"/>
      <c r="J177" s="8"/>
      <c r="K177" s="3"/>
      <c r="L177" s="3"/>
      <c r="M177" s="3"/>
      <c r="N177" s="3"/>
      <c r="O177" s="3"/>
      <c r="P177" s="3"/>
      <c r="Q177" s="3"/>
      <c r="R177" s="3"/>
      <c r="S177" s="3"/>
      <c r="T177" s="3"/>
      <c r="U177" s="3"/>
      <c r="V177" s="3"/>
      <c r="W177" s="3"/>
      <c r="X177" s="3"/>
      <c r="Y177" s="3"/>
      <c r="Z177" s="3"/>
      <c r="AA177" s="3"/>
      <c r="AB177" s="3"/>
      <c r="AC177" s="3"/>
      <c r="AD177" s="3"/>
      <c r="AE177" s="3"/>
    </row>
    <row r="178">
      <c r="A178" s="13"/>
      <c r="B178" s="13"/>
      <c r="C178" s="13"/>
      <c r="D178" s="13"/>
      <c r="E178" s="13"/>
      <c r="F178" s="3"/>
      <c r="G178" s="3"/>
      <c r="H178" s="4"/>
      <c r="I178" s="8"/>
      <c r="J178" s="8"/>
      <c r="K178" s="3"/>
      <c r="L178" s="3"/>
      <c r="M178" s="3"/>
      <c r="N178" s="3"/>
      <c r="O178" s="3"/>
      <c r="P178" s="3"/>
      <c r="Q178" s="3"/>
      <c r="R178" s="3"/>
      <c r="S178" s="3"/>
      <c r="T178" s="3"/>
      <c r="U178" s="3"/>
      <c r="V178" s="3"/>
      <c r="W178" s="3"/>
      <c r="X178" s="3"/>
      <c r="Y178" s="3"/>
      <c r="Z178" s="3"/>
      <c r="AA178" s="3"/>
      <c r="AB178" s="3"/>
      <c r="AC178" s="3"/>
      <c r="AD178" s="3"/>
      <c r="AE178" s="3"/>
    </row>
    <row r="179">
      <c r="A179" s="13"/>
      <c r="B179" s="13"/>
      <c r="C179" s="13"/>
      <c r="D179" s="13"/>
      <c r="E179" s="13"/>
      <c r="F179" s="3"/>
      <c r="G179" s="3"/>
      <c r="H179" s="4"/>
      <c r="I179" s="8"/>
      <c r="J179" s="8"/>
      <c r="K179" s="3"/>
      <c r="L179" s="3"/>
      <c r="M179" s="3"/>
      <c r="N179" s="3"/>
      <c r="O179" s="3"/>
      <c r="P179" s="3"/>
      <c r="Q179" s="3"/>
      <c r="R179" s="3"/>
      <c r="S179" s="3"/>
      <c r="T179" s="3"/>
      <c r="U179" s="3"/>
      <c r="V179" s="3"/>
      <c r="W179" s="3"/>
      <c r="X179" s="3"/>
      <c r="Y179" s="3"/>
      <c r="Z179" s="3"/>
      <c r="AA179" s="3"/>
      <c r="AB179" s="3"/>
      <c r="AC179" s="3"/>
      <c r="AD179" s="3"/>
      <c r="AE179" s="3"/>
    </row>
    <row r="180">
      <c r="A180" s="13"/>
      <c r="B180" s="13"/>
      <c r="C180" s="13"/>
      <c r="D180" s="13"/>
      <c r="E180" s="13"/>
      <c r="F180" s="3"/>
      <c r="G180" s="3"/>
      <c r="H180" s="4"/>
      <c r="I180" s="8"/>
      <c r="J180" s="8"/>
      <c r="K180" s="3"/>
      <c r="L180" s="3"/>
      <c r="M180" s="3"/>
      <c r="N180" s="3"/>
      <c r="O180" s="3"/>
      <c r="P180" s="3"/>
      <c r="Q180" s="3"/>
      <c r="R180" s="3"/>
      <c r="S180" s="3"/>
      <c r="T180" s="3"/>
      <c r="U180" s="3"/>
      <c r="V180" s="3"/>
      <c r="W180" s="3"/>
      <c r="X180" s="3"/>
      <c r="Y180" s="3"/>
      <c r="Z180" s="3"/>
      <c r="AA180" s="3"/>
      <c r="AB180" s="3"/>
      <c r="AC180" s="3"/>
      <c r="AD180" s="3"/>
      <c r="AE180" s="3"/>
    </row>
    <row r="181">
      <c r="A181" s="13"/>
      <c r="B181" s="13"/>
      <c r="C181" s="13"/>
      <c r="D181" s="13"/>
      <c r="E181" s="13"/>
      <c r="F181" s="3"/>
      <c r="G181" s="3"/>
      <c r="H181" s="4"/>
      <c r="I181" s="8"/>
      <c r="J181" s="8"/>
      <c r="K181" s="3"/>
      <c r="L181" s="3"/>
      <c r="M181" s="3"/>
      <c r="N181" s="3"/>
      <c r="O181" s="3"/>
      <c r="P181" s="3"/>
      <c r="Q181" s="3"/>
      <c r="R181" s="3"/>
      <c r="S181" s="3"/>
      <c r="T181" s="3"/>
      <c r="U181" s="3"/>
      <c r="V181" s="3"/>
      <c r="W181" s="3"/>
      <c r="X181" s="3"/>
      <c r="Y181" s="3"/>
      <c r="Z181" s="3"/>
      <c r="AA181" s="3"/>
      <c r="AB181" s="3"/>
      <c r="AC181" s="3"/>
      <c r="AD181" s="3"/>
      <c r="AE181" s="3"/>
    </row>
    <row r="182">
      <c r="A182" s="13"/>
      <c r="B182" s="13"/>
      <c r="C182" s="13"/>
      <c r="D182" s="13"/>
      <c r="E182" s="13"/>
      <c r="F182" s="3"/>
      <c r="G182" s="3"/>
      <c r="H182" s="4"/>
      <c r="I182" s="8"/>
      <c r="J182" s="8"/>
      <c r="K182" s="3"/>
      <c r="L182" s="3"/>
      <c r="M182" s="3"/>
      <c r="N182" s="3"/>
      <c r="O182" s="3"/>
      <c r="P182" s="3"/>
      <c r="Q182" s="3"/>
      <c r="R182" s="3"/>
      <c r="S182" s="3"/>
      <c r="T182" s="3"/>
      <c r="U182" s="3"/>
      <c r="V182" s="3"/>
      <c r="W182" s="3"/>
      <c r="X182" s="3"/>
      <c r="Y182" s="3"/>
      <c r="Z182" s="3"/>
      <c r="AA182" s="3"/>
      <c r="AB182" s="3"/>
      <c r="AC182" s="3"/>
      <c r="AD182" s="3"/>
      <c r="AE182" s="3"/>
    </row>
    <row r="183">
      <c r="A183" s="13"/>
      <c r="B183" s="13"/>
      <c r="C183" s="13"/>
      <c r="D183" s="13"/>
      <c r="E183" s="13"/>
      <c r="F183" s="3"/>
      <c r="G183" s="3"/>
      <c r="H183" s="4"/>
      <c r="I183" s="8"/>
      <c r="J183" s="8"/>
      <c r="K183" s="3"/>
      <c r="L183" s="3"/>
      <c r="M183" s="3"/>
      <c r="N183" s="3"/>
      <c r="O183" s="3"/>
      <c r="P183" s="3"/>
      <c r="Q183" s="3"/>
      <c r="R183" s="3"/>
      <c r="S183" s="3"/>
      <c r="T183" s="3"/>
      <c r="U183" s="3"/>
      <c r="V183" s="3"/>
      <c r="W183" s="3"/>
      <c r="X183" s="3"/>
      <c r="Y183" s="3"/>
      <c r="Z183" s="3"/>
      <c r="AA183" s="3"/>
      <c r="AB183" s="3"/>
      <c r="AC183" s="3"/>
      <c r="AD183" s="3"/>
      <c r="AE183" s="3"/>
    </row>
    <row r="184">
      <c r="A184" s="13"/>
      <c r="B184" s="13"/>
      <c r="C184" s="13"/>
      <c r="D184" s="13"/>
      <c r="E184" s="13"/>
      <c r="F184" s="3"/>
      <c r="G184" s="3"/>
      <c r="H184" s="4"/>
      <c r="I184" s="8"/>
      <c r="J184" s="8"/>
      <c r="K184" s="3"/>
      <c r="L184" s="3"/>
      <c r="M184" s="3"/>
      <c r="N184" s="3"/>
      <c r="O184" s="3"/>
      <c r="P184" s="3"/>
      <c r="Q184" s="3"/>
      <c r="R184" s="3"/>
      <c r="S184" s="3"/>
      <c r="T184" s="3"/>
      <c r="U184" s="3"/>
      <c r="V184" s="3"/>
      <c r="W184" s="3"/>
      <c r="X184" s="3"/>
      <c r="Y184" s="3"/>
      <c r="Z184" s="3"/>
      <c r="AA184" s="3"/>
      <c r="AB184" s="3"/>
      <c r="AC184" s="3"/>
      <c r="AD184" s="3"/>
      <c r="AE184" s="3"/>
    </row>
    <row r="185">
      <c r="A185" s="13"/>
      <c r="B185" s="13"/>
      <c r="C185" s="13"/>
      <c r="D185" s="13"/>
      <c r="E185" s="13"/>
      <c r="F185" s="3"/>
      <c r="G185" s="3"/>
      <c r="H185" s="4"/>
      <c r="I185" s="8"/>
      <c r="J185" s="8"/>
      <c r="K185" s="3"/>
      <c r="L185" s="3"/>
      <c r="M185" s="3"/>
      <c r="N185" s="3"/>
      <c r="O185" s="3"/>
      <c r="P185" s="3"/>
      <c r="Q185" s="3"/>
      <c r="R185" s="3"/>
      <c r="S185" s="3"/>
      <c r="T185" s="3"/>
      <c r="U185" s="3"/>
      <c r="V185" s="3"/>
      <c r="W185" s="3"/>
      <c r="X185" s="3"/>
      <c r="Y185" s="3"/>
      <c r="Z185" s="3"/>
      <c r="AA185" s="3"/>
      <c r="AB185" s="3"/>
      <c r="AC185" s="3"/>
      <c r="AD185" s="3"/>
      <c r="AE185" s="3"/>
    </row>
    <row r="186">
      <c r="A186" s="13"/>
      <c r="B186" s="13"/>
      <c r="C186" s="13"/>
      <c r="D186" s="13"/>
      <c r="E186" s="13"/>
      <c r="F186" s="3"/>
      <c r="G186" s="3"/>
      <c r="H186" s="4"/>
      <c r="I186" s="8"/>
      <c r="J186" s="8"/>
      <c r="K186" s="3"/>
      <c r="L186" s="3"/>
      <c r="M186" s="3"/>
      <c r="N186" s="3"/>
      <c r="O186" s="3"/>
      <c r="P186" s="3"/>
      <c r="Q186" s="3"/>
      <c r="R186" s="3"/>
      <c r="S186" s="3"/>
      <c r="T186" s="3"/>
      <c r="U186" s="3"/>
      <c r="V186" s="3"/>
      <c r="W186" s="3"/>
      <c r="X186" s="3"/>
      <c r="Y186" s="3"/>
      <c r="Z186" s="3"/>
      <c r="AA186" s="3"/>
      <c r="AB186" s="3"/>
      <c r="AC186" s="3"/>
      <c r="AD186" s="3"/>
      <c r="AE186" s="3"/>
    </row>
    <row r="187">
      <c r="A187" s="13"/>
      <c r="B187" s="13"/>
      <c r="C187" s="13"/>
      <c r="D187" s="13"/>
      <c r="E187" s="13"/>
      <c r="F187" s="3"/>
      <c r="G187" s="3"/>
      <c r="H187" s="4"/>
      <c r="I187" s="8"/>
      <c r="J187" s="8"/>
      <c r="K187" s="3"/>
      <c r="L187" s="3"/>
      <c r="M187" s="3"/>
      <c r="N187" s="3"/>
      <c r="O187" s="3"/>
      <c r="P187" s="3"/>
      <c r="Q187" s="3"/>
      <c r="R187" s="3"/>
      <c r="S187" s="3"/>
      <c r="T187" s="3"/>
      <c r="U187" s="3"/>
      <c r="V187" s="3"/>
      <c r="W187" s="3"/>
      <c r="X187" s="3"/>
      <c r="Y187" s="3"/>
      <c r="Z187" s="3"/>
      <c r="AA187" s="3"/>
      <c r="AB187" s="3"/>
      <c r="AC187" s="3"/>
      <c r="AD187" s="3"/>
      <c r="AE187" s="3"/>
    </row>
    <row r="188">
      <c r="A188" s="13"/>
      <c r="B188" s="13"/>
      <c r="C188" s="13"/>
      <c r="D188" s="13"/>
      <c r="E188" s="13"/>
      <c r="F188" s="3"/>
      <c r="G188" s="3"/>
      <c r="H188" s="4"/>
      <c r="I188" s="8"/>
      <c r="J188" s="8"/>
      <c r="K188" s="3"/>
      <c r="L188" s="3"/>
      <c r="M188" s="3"/>
      <c r="N188" s="3"/>
      <c r="O188" s="3"/>
      <c r="P188" s="3"/>
      <c r="Q188" s="3"/>
      <c r="R188" s="3"/>
      <c r="S188" s="3"/>
      <c r="T188" s="3"/>
      <c r="U188" s="3"/>
      <c r="V188" s="3"/>
      <c r="W188" s="3"/>
      <c r="X188" s="3"/>
      <c r="Y188" s="3"/>
      <c r="Z188" s="3"/>
      <c r="AA188" s="3"/>
      <c r="AB188" s="3"/>
      <c r="AC188" s="3"/>
      <c r="AD188" s="3"/>
      <c r="AE188" s="3"/>
    </row>
    <row r="189">
      <c r="A189" s="13"/>
      <c r="B189" s="13"/>
      <c r="C189" s="13"/>
      <c r="D189" s="13"/>
      <c r="E189" s="13"/>
      <c r="F189" s="3"/>
      <c r="G189" s="3"/>
      <c r="H189" s="4"/>
      <c r="I189" s="8"/>
      <c r="J189" s="8"/>
      <c r="K189" s="3"/>
      <c r="L189" s="3"/>
      <c r="M189" s="3"/>
      <c r="N189" s="3"/>
      <c r="O189" s="3"/>
      <c r="P189" s="3"/>
      <c r="Q189" s="3"/>
      <c r="R189" s="3"/>
      <c r="S189" s="3"/>
      <c r="T189" s="3"/>
      <c r="U189" s="3"/>
      <c r="V189" s="3"/>
      <c r="W189" s="3"/>
      <c r="X189" s="3"/>
      <c r="Y189" s="3"/>
      <c r="Z189" s="3"/>
      <c r="AA189" s="3"/>
      <c r="AB189" s="3"/>
      <c r="AC189" s="3"/>
      <c r="AD189" s="3"/>
      <c r="AE189" s="3"/>
    </row>
    <row r="190">
      <c r="A190" s="13"/>
      <c r="B190" s="13"/>
      <c r="C190" s="13"/>
      <c r="D190" s="13"/>
      <c r="E190" s="13"/>
      <c r="F190" s="3"/>
      <c r="G190" s="3"/>
      <c r="H190" s="4"/>
      <c r="I190" s="8"/>
      <c r="J190" s="8"/>
      <c r="K190" s="3"/>
      <c r="L190" s="3"/>
      <c r="M190" s="3"/>
      <c r="N190" s="3"/>
      <c r="O190" s="3"/>
      <c r="P190" s="3"/>
      <c r="Q190" s="3"/>
      <c r="R190" s="3"/>
      <c r="S190" s="3"/>
      <c r="T190" s="3"/>
      <c r="U190" s="3"/>
      <c r="V190" s="3"/>
      <c r="W190" s="3"/>
      <c r="X190" s="3"/>
      <c r="Y190" s="3"/>
      <c r="Z190" s="3"/>
      <c r="AA190" s="3"/>
      <c r="AB190" s="3"/>
      <c r="AC190" s="3"/>
      <c r="AD190" s="3"/>
      <c r="AE190" s="3"/>
    </row>
    <row r="191">
      <c r="A191" s="13"/>
      <c r="B191" s="13"/>
      <c r="C191" s="13"/>
      <c r="D191" s="13"/>
      <c r="E191" s="13"/>
      <c r="F191" s="3"/>
      <c r="G191" s="3"/>
      <c r="H191" s="4"/>
      <c r="I191" s="8"/>
      <c r="J191" s="8"/>
      <c r="K191" s="3"/>
      <c r="L191" s="3"/>
      <c r="M191" s="3"/>
      <c r="N191" s="3"/>
      <c r="O191" s="3"/>
      <c r="P191" s="3"/>
      <c r="Q191" s="3"/>
      <c r="R191" s="3"/>
      <c r="S191" s="3"/>
      <c r="T191" s="3"/>
      <c r="U191" s="3"/>
      <c r="V191" s="3"/>
      <c r="W191" s="3"/>
      <c r="X191" s="3"/>
      <c r="Y191" s="3"/>
      <c r="Z191" s="3"/>
      <c r="AA191" s="3"/>
      <c r="AB191" s="3"/>
      <c r="AC191" s="3"/>
      <c r="AD191" s="3"/>
      <c r="AE191" s="3"/>
    </row>
    <row r="192">
      <c r="A192" s="13"/>
      <c r="B192" s="13"/>
      <c r="C192" s="13"/>
      <c r="D192" s="13"/>
      <c r="E192" s="13"/>
      <c r="F192" s="3"/>
      <c r="G192" s="3"/>
      <c r="H192" s="4"/>
      <c r="I192" s="8"/>
      <c r="J192" s="8"/>
      <c r="K192" s="3"/>
      <c r="L192" s="3"/>
      <c r="M192" s="3"/>
      <c r="N192" s="3"/>
      <c r="O192" s="3"/>
      <c r="P192" s="3"/>
      <c r="Q192" s="3"/>
      <c r="R192" s="3"/>
      <c r="S192" s="3"/>
      <c r="T192" s="3"/>
      <c r="U192" s="3"/>
      <c r="V192" s="3"/>
      <c r="W192" s="3"/>
      <c r="X192" s="3"/>
      <c r="Y192" s="3"/>
      <c r="Z192" s="3"/>
      <c r="AA192" s="3"/>
      <c r="AB192" s="3"/>
      <c r="AC192" s="3"/>
      <c r="AD192" s="3"/>
      <c r="AE192" s="3"/>
    </row>
    <row r="193">
      <c r="A193" s="13"/>
      <c r="B193" s="13"/>
      <c r="C193" s="13"/>
      <c r="D193" s="13"/>
      <c r="E193" s="13"/>
      <c r="F193" s="3"/>
      <c r="G193" s="3"/>
      <c r="H193" s="4"/>
      <c r="I193" s="8"/>
      <c r="J193" s="8"/>
      <c r="K193" s="3"/>
      <c r="L193" s="3"/>
      <c r="M193" s="3"/>
      <c r="N193" s="3"/>
      <c r="O193" s="3"/>
      <c r="P193" s="3"/>
      <c r="Q193" s="3"/>
      <c r="R193" s="3"/>
      <c r="S193" s="3"/>
      <c r="T193" s="3"/>
      <c r="U193" s="3"/>
      <c r="V193" s="3"/>
      <c r="W193" s="3"/>
      <c r="X193" s="3"/>
      <c r="Y193" s="3"/>
      <c r="Z193" s="3"/>
      <c r="AA193" s="3"/>
      <c r="AB193" s="3"/>
      <c r="AC193" s="3"/>
      <c r="AD193" s="3"/>
      <c r="AE193" s="3"/>
    </row>
    <row r="194">
      <c r="A194" s="13"/>
      <c r="B194" s="13"/>
      <c r="C194" s="13"/>
      <c r="D194" s="13"/>
      <c r="E194" s="13"/>
      <c r="F194" s="3"/>
      <c r="G194" s="3"/>
      <c r="H194" s="4"/>
      <c r="I194" s="8"/>
      <c r="J194" s="8"/>
      <c r="K194" s="3"/>
      <c r="L194" s="3"/>
      <c r="M194" s="3"/>
      <c r="N194" s="3"/>
      <c r="O194" s="3"/>
      <c r="P194" s="3"/>
      <c r="Q194" s="3"/>
      <c r="R194" s="3"/>
      <c r="S194" s="3"/>
      <c r="T194" s="3"/>
      <c r="U194" s="3"/>
      <c r="V194" s="3"/>
      <c r="W194" s="3"/>
      <c r="X194" s="3"/>
      <c r="Y194" s="3"/>
      <c r="Z194" s="3"/>
      <c r="AA194" s="3"/>
      <c r="AB194" s="3"/>
      <c r="AC194" s="3"/>
      <c r="AD194" s="3"/>
      <c r="AE194" s="3"/>
    </row>
    <row r="195">
      <c r="A195" s="13"/>
      <c r="B195" s="13"/>
      <c r="C195" s="13"/>
      <c r="D195" s="13"/>
      <c r="E195" s="13"/>
      <c r="F195" s="3"/>
      <c r="G195" s="3"/>
      <c r="H195" s="4"/>
      <c r="I195" s="8"/>
      <c r="J195" s="8"/>
      <c r="K195" s="3"/>
      <c r="L195" s="3"/>
      <c r="M195" s="3"/>
      <c r="N195" s="3"/>
      <c r="O195" s="3"/>
      <c r="P195" s="3"/>
      <c r="Q195" s="3"/>
      <c r="R195" s="3"/>
      <c r="S195" s="3"/>
      <c r="T195" s="3"/>
      <c r="U195" s="3"/>
      <c r="V195" s="3"/>
      <c r="W195" s="3"/>
      <c r="X195" s="3"/>
      <c r="Y195" s="3"/>
      <c r="Z195" s="3"/>
      <c r="AA195" s="3"/>
      <c r="AB195" s="3"/>
      <c r="AC195" s="3"/>
      <c r="AD195" s="3"/>
      <c r="AE195" s="3"/>
    </row>
    <row r="196">
      <c r="A196" s="13"/>
      <c r="B196" s="13"/>
      <c r="C196" s="13"/>
      <c r="D196" s="13"/>
      <c r="E196" s="13"/>
      <c r="F196" s="3"/>
      <c r="G196" s="3"/>
      <c r="H196" s="4"/>
      <c r="I196" s="8"/>
      <c r="J196" s="8"/>
      <c r="K196" s="3"/>
      <c r="L196" s="3"/>
      <c r="M196" s="3"/>
      <c r="N196" s="3"/>
      <c r="O196" s="3"/>
      <c r="P196" s="3"/>
      <c r="Q196" s="3"/>
      <c r="R196" s="3"/>
      <c r="S196" s="3"/>
      <c r="T196" s="3"/>
      <c r="U196" s="3"/>
      <c r="V196" s="3"/>
      <c r="W196" s="3"/>
      <c r="X196" s="3"/>
      <c r="Y196" s="3"/>
      <c r="Z196" s="3"/>
      <c r="AA196" s="3"/>
      <c r="AB196" s="3"/>
      <c r="AC196" s="3"/>
      <c r="AD196" s="3"/>
      <c r="AE196" s="3"/>
    </row>
    <row r="197">
      <c r="A197" s="13"/>
      <c r="B197" s="13"/>
      <c r="C197" s="13"/>
      <c r="D197" s="13"/>
      <c r="E197" s="13"/>
      <c r="F197" s="3"/>
      <c r="G197" s="3"/>
      <c r="H197" s="4"/>
      <c r="I197" s="8"/>
      <c r="J197" s="8"/>
      <c r="K197" s="3"/>
      <c r="L197" s="3"/>
      <c r="M197" s="3"/>
      <c r="N197" s="3"/>
      <c r="O197" s="3"/>
      <c r="P197" s="3"/>
      <c r="Q197" s="3"/>
      <c r="R197" s="3"/>
      <c r="S197" s="3"/>
      <c r="T197" s="3"/>
      <c r="U197" s="3"/>
      <c r="V197" s="3"/>
      <c r="W197" s="3"/>
      <c r="X197" s="3"/>
      <c r="Y197" s="3"/>
      <c r="Z197" s="3"/>
      <c r="AA197" s="3"/>
      <c r="AB197" s="3"/>
      <c r="AC197" s="3"/>
      <c r="AD197" s="3"/>
      <c r="AE197" s="3"/>
    </row>
    <row r="198">
      <c r="A198" s="13"/>
      <c r="B198" s="13"/>
      <c r="C198" s="13"/>
      <c r="D198" s="13"/>
      <c r="E198" s="13"/>
      <c r="F198" s="3"/>
      <c r="G198" s="3"/>
      <c r="H198" s="4"/>
      <c r="I198" s="8"/>
      <c r="J198" s="8"/>
      <c r="K198" s="3"/>
      <c r="L198" s="3"/>
      <c r="M198" s="3"/>
      <c r="N198" s="3"/>
      <c r="O198" s="3"/>
      <c r="P198" s="3"/>
      <c r="Q198" s="3"/>
      <c r="R198" s="3"/>
      <c r="S198" s="3"/>
      <c r="T198" s="3"/>
      <c r="U198" s="3"/>
      <c r="V198" s="3"/>
      <c r="W198" s="3"/>
      <c r="X198" s="3"/>
      <c r="Y198" s="3"/>
      <c r="Z198" s="3"/>
      <c r="AA198" s="3"/>
      <c r="AB198" s="3"/>
      <c r="AC198" s="3"/>
      <c r="AD198" s="3"/>
      <c r="AE198" s="3"/>
    </row>
    <row r="199">
      <c r="A199" s="13"/>
      <c r="B199" s="13"/>
      <c r="C199" s="13"/>
      <c r="D199" s="13"/>
      <c r="E199" s="13"/>
      <c r="F199" s="3"/>
      <c r="G199" s="3"/>
      <c r="H199" s="4"/>
      <c r="I199" s="8"/>
      <c r="J199" s="8"/>
      <c r="K199" s="3"/>
      <c r="L199" s="3"/>
      <c r="M199" s="3"/>
      <c r="N199" s="3"/>
      <c r="O199" s="3"/>
      <c r="P199" s="3"/>
      <c r="Q199" s="3"/>
      <c r="R199" s="3"/>
      <c r="S199" s="3"/>
      <c r="T199" s="3"/>
      <c r="U199" s="3"/>
      <c r="V199" s="3"/>
      <c r="W199" s="3"/>
      <c r="X199" s="3"/>
      <c r="Y199" s="3"/>
      <c r="Z199" s="3"/>
      <c r="AA199" s="3"/>
      <c r="AB199" s="3"/>
      <c r="AC199" s="3"/>
      <c r="AD199" s="3"/>
      <c r="AE199" s="3"/>
    </row>
    <row r="200">
      <c r="A200" s="13"/>
      <c r="B200" s="13"/>
      <c r="C200" s="13"/>
      <c r="D200" s="13"/>
      <c r="E200" s="13"/>
      <c r="F200" s="3"/>
      <c r="G200" s="3"/>
      <c r="H200" s="4"/>
      <c r="I200" s="8"/>
      <c r="J200" s="8"/>
      <c r="K200" s="3"/>
      <c r="L200" s="3"/>
      <c r="M200" s="3"/>
      <c r="N200" s="3"/>
      <c r="O200" s="3"/>
      <c r="P200" s="3"/>
      <c r="Q200" s="3"/>
      <c r="R200" s="3"/>
      <c r="S200" s="3"/>
      <c r="T200" s="3"/>
      <c r="U200" s="3"/>
      <c r="V200" s="3"/>
      <c r="W200" s="3"/>
      <c r="X200" s="3"/>
      <c r="Y200" s="3"/>
      <c r="Z200" s="3"/>
      <c r="AA200" s="3"/>
      <c r="AB200" s="3"/>
      <c r="AC200" s="3"/>
      <c r="AD200" s="3"/>
      <c r="AE200" s="3"/>
    </row>
    <row r="201">
      <c r="A201" s="13"/>
      <c r="B201" s="13"/>
      <c r="C201" s="13"/>
      <c r="D201" s="13"/>
      <c r="E201" s="13"/>
      <c r="F201" s="3"/>
      <c r="G201" s="3"/>
      <c r="H201" s="4"/>
      <c r="I201" s="8"/>
      <c r="J201" s="8"/>
      <c r="K201" s="3"/>
      <c r="L201" s="3"/>
      <c r="M201" s="3"/>
      <c r="N201" s="3"/>
      <c r="O201" s="3"/>
      <c r="P201" s="3"/>
      <c r="Q201" s="3"/>
      <c r="R201" s="3"/>
      <c r="S201" s="3"/>
      <c r="T201" s="3"/>
      <c r="U201" s="3"/>
      <c r="V201" s="3"/>
      <c r="W201" s="3"/>
      <c r="X201" s="3"/>
      <c r="Y201" s="3"/>
      <c r="Z201" s="3"/>
      <c r="AA201" s="3"/>
      <c r="AB201" s="3"/>
      <c r="AC201" s="3"/>
      <c r="AD201" s="3"/>
      <c r="AE201" s="3"/>
    </row>
    <row r="202">
      <c r="A202" s="13"/>
      <c r="B202" s="13"/>
      <c r="C202" s="13"/>
      <c r="D202" s="13"/>
      <c r="E202" s="13"/>
      <c r="F202" s="3"/>
      <c r="G202" s="3"/>
      <c r="H202" s="4"/>
      <c r="I202" s="8"/>
      <c r="J202" s="8"/>
      <c r="K202" s="3"/>
      <c r="L202" s="3"/>
      <c r="M202" s="3"/>
      <c r="N202" s="3"/>
      <c r="O202" s="3"/>
      <c r="P202" s="3"/>
      <c r="Q202" s="3"/>
      <c r="R202" s="3"/>
      <c r="S202" s="3"/>
      <c r="T202" s="3"/>
      <c r="U202" s="3"/>
      <c r="V202" s="3"/>
      <c r="W202" s="3"/>
      <c r="X202" s="3"/>
      <c r="Y202" s="3"/>
      <c r="Z202" s="3"/>
      <c r="AA202" s="3"/>
      <c r="AB202" s="3"/>
      <c r="AC202" s="3"/>
      <c r="AD202" s="3"/>
      <c r="AE202" s="3"/>
    </row>
    <row r="203">
      <c r="A203" s="13"/>
      <c r="B203" s="13"/>
      <c r="C203" s="13"/>
      <c r="D203" s="13"/>
      <c r="E203" s="13"/>
      <c r="F203" s="3"/>
      <c r="G203" s="3"/>
      <c r="H203" s="4"/>
      <c r="I203" s="8"/>
      <c r="J203" s="8"/>
      <c r="K203" s="3"/>
      <c r="L203" s="3"/>
      <c r="M203" s="3"/>
      <c r="N203" s="3"/>
      <c r="O203" s="3"/>
      <c r="P203" s="3"/>
      <c r="Q203" s="3"/>
      <c r="R203" s="3"/>
      <c r="S203" s="3"/>
      <c r="T203" s="3"/>
      <c r="U203" s="3"/>
      <c r="V203" s="3"/>
      <c r="W203" s="3"/>
      <c r="X203" s="3"/>
      <c r="Y203" s="3"/>
      <c r="Z203" s="3"/>
      <c r="AA203" s="3"/>
      <c r="AB203" s="3"/>
      <c r="AC203" s="3"/>
      <c r="AD203" s="3"/>
      <c r="AE203" s="3"/>
    </row>
    <row r="204">
      <c r="A204" s="13"/>
      <c r="B204" s="13"/>
      <c r="C204" s="13"/>
      <c r="D204" s="13"/>
      <c r="E204" s="13"/>
      <c r="F204" s="3"/>
      <c r="G204" s="3"/>
      <c r="H204" s="4"/>
      <c r="I204" s="8"/>
      <c r="J204" s="8"/>
      <c r="K204" s="3"/>
      <c r="L204" s="3"/>
      <c r="M204" s="3"/>
      <c r="N204" s="3"/>
      <c r="O204" s="3"/>
      <c r="P204" s="3"/>
      <c r="Q204" s="3"/>
      <c r="R204" s="3"/>
      <c r="S204" s="3"/>
      <c r="T204" s="3"/>
      <c r="U204" s="3"/>
      <c r="V204" s="3"/>
      <c r="W204" s="3"/>
      <c r="X204" s="3"/>
      <c r="Y204" s="3"/>
      <c r="Z204" s="3"/>
      <c r="AA204" s="3"/>
      <c r="AB204" s="3"/>
      <c r="AC204" s="3"/>
      <c r="AD204" s="3"/>
      <c r="AE204" s="3"/>
    </row>
    <row r="205">
      <c r="A205" s="13"/>
      <c r="B205" s="13"/>
      <c r="C205" s="13"/>
      <c r="D205" s="13"/>
      <c r="E205" s="13"/>
      <c r="F205" s="3"/>
      <c r="G205" s="3"/>
      <c r="H205" s="4"/>
      <c r="I205" s="8"/>
      <c r="J205" s="8"/>
      <c r="K205" s="3"/>
      <c r="L205" s="3"/>
      <c r="M205" s="3"/>
      <c r="N205" s="3"/>
      <c r="O205" s="3"/>
      <c r="P205" s="3"/>
      <c r="Q205" s="3"/>
      <c r="R205" s="3"/>
      <c r="S205" s="3"/>
      <c r="T205" s="3"/>
      <c r="U205" s="3"/>
      <c r="V205" s="3"/>
      <c r="W205" s="3"/>
      <c r="X205" s="3"/>
      <c r="Y205" s="3"/>
      <c r="Z205" s="3"/>
      <c r="AA205" s="3"/>
      <c r="AB205" s="3"/>
      <c r="AC205" s="3"/>
      <c r="AD205" s="3"/>
      <c r="AE205" s="3"/>
    </row>
    <row r="206">
      <c r="A206" s="13"/>
      <c r="B206" s="13"/>
      <c r="C206" s="13"/>
      <c r="D206" s="13"/>
      <c r="E206" s="13"/>
      <c r="F206" s="3"/>
      <c r="G206" s="3"/>
      <c r="H206" s="4"/>
      <c r="I206" s="8"/>
      <c r="J206" s="8"/>
      <c r="K206" s="3"/>
      <c r="L206" s="3"/>
      <c r="M206" s="3"/>
      <c r="N206" s="3"/>
      <c r="O206" s="3"/>
      <c r="P206" s="3"/>
      <c r="Q206" s="3"/>
      <c r="R206" s="3"/>
      <c r="S206" s="3"/>
      <c r="T206" s="3"/>
      <c r="U206" s="3"/>
      <c r="V206" s="3"/>
      <c r="W206" s="3"/>
      <c r="X206" s="3"/>
      <c r="Y206" s="3"/>
      <c r="Z206" s="3"/>
      <c r="AA206" s="3"/>
      <c r="AB206" s="3"/>
      <c r="AC206" s="3"/>
      <c r="AD206" s="3"/>
      <c r="AE206" s="3"/>
    </row>
    <row r="207">
      <c r="A207" s="13"/>
      <c r="B207" s="13"/>
      <c r="C207" s="13"/>
      <c r="D207" s="13"/>
      <c r="E207" s="13"/>
      <c r="F207" s="3"/>
      <c r="G207" s="3"/>
      <c r="H207" s="4"/>
      <c r="I207" s="8"/>
      <c r="J207" s="8"/>
      <c r="K207" s="3"/>
      <c r="L207" s="3"/>
      <c r="M207" s="3"/>
      <c r="N207" s="3"/>
      <c r="O207" s="3"/>
      <c r="P207" s="3"/>
      <c r="Q207" s="3"/>
      <c r="R207" s="3"/>
      <c r="S207" s="3"/>
      <c r="T207" s="3"/>
      <c r="U207" s="3"/>
      <c r="V207" s="3"/>
      <c r="W207" s="3"/>
      <c r="X207" s="3"/>
      <c r="Y207" s="3"/>
      <c r="Z207" s="3"/>
      <c r="AA207" s="3"/>
      <c r="AB207" s="3"/>
      <c r="AC207" s="3"/>
      <c r="AD207" s="3"/>
      <c r="AE207" s="3"/>
    </row>
    <row r="208">
      <c r="A208" s="13"/>
      <c r="B208" s="13"/>
      <c r="C208" s="13"/>
      <c r="D208" s="13"/>
      <c r="E208" s="13"/>
      <c r="F208" s="3"/>
      <c r="G208" s="3"/>
      <c r="H208" s="4"/>
      <c r="I208" s="8"/>
      <c r="J208" s="8"/>
      <c r="K208" s="3"/>
      <c r="L208" s="3"/>
      <c r="M208" s="3"/>
      <c r="N208" s="3"/>
      <c r="O208" s="3"/>
      <c r="P208" s="3"/>
      <c r="Q208" s="3"/>
      <c r="R208" s="3"/>
      <c r="S208" s="3"/>
      <c r="T208" s="3"/>
      <c r="U208" s="3"/>
      <c r="V208" s="3"/>
      <c r="W208" s="3"/>
      <c r="X208" s="3"/>
      <c r="Y208" s="3"/>
      <c r="Z208" s="3"/>
      <c r="AA208" s="3"/>
      <c r="AB208" s="3"/>
      <c r="AC208" s="3"/>
      <c r="AD208" s="3"/>
      <c r="AE208" s="3"/>
    </row>
    <row r="209">
      <c r="A209" s="13"/>
      <c r="B209" s="13"/>
      <c r="C209" s="13"/>
      <c r="D209" s="13"/>
      <c r="E209" s="13"/>
      <c r="F209" s="3"/>
      <c r="G209" s="3"/>
      <c r="H209" s="4"/>
      <c r="I209" s="8"/>
      <c r="J209" s="8"/>
      <c r="K209" s="3"/>
      <c r="L209" s="3"/>
      <c r="M209" s="3"/>
      <c r="N209" s="3"/>
      <c r="O209" s="3"/>
      <c r="P209" s="3"/>
      <c r="Q209" s="3"/>
      <c r="R209" s="3"/>
      <c r="S209" s="3"/>
      <c r="T209" s="3"/>
      <c r="U209" s="3"/>
      <c r="V209" s="3"/>
      <c r="W209" s="3"/>
      <c r="X209" s="3"/>
      <c r="Y209" s="3"/>
      <c r="Z209" s="3"/>
      <c r="AA209" s="3"/>
      <c r="AB209" s="3"/>
      <c r="AC209" s="3"/>
      <c r="AD209" s="3"/>
      <c r="AE209" s="3"/>
    </row>
    <row r="210">
      <c r="A210" s="13"/>
      <c r="B210" s="13"/>
      <c r="C210" s="13"/>
      <c r="D210" s="13"/>
      <c r="E210" s="13"/>
      <c r="F210" s="3"/>
      <c r="G210" s="3"/>
      <c r="H210" s="4"/>
      <c r="I210" s="8"/>
      <c r="J210" s="8"/>
      <c r="K210" s="3"/>
      <c r="L210" s="3"/>
      <c r="M210" s="3"/>
      <c r="N210" s="3"/>
      <c r="O210" s="3"/>
      <c r="P210" s="3"/>
      <c r="Q210" s="3"/>
      <c r="R210" s="3"/>
      <c r="S210" s="3"/>
      <c r="T210" s="3"/>
      <c r="U210" s="3"/>
      <c r="V210" s="3"/>
      <c r="W210" s="3"/>
      <c r="X210" s="3"/>
      <c r="Y210" s="3"/>
      <c r="Z210" s="3"/>
      <c r="AA210" s="3"/>
      <c r="AB210" s="3"/>
      <c r="AC210" s="3"/>
      <c r="AD210" s="3"/>
      <c r="AE210" s="3"/>
    </row>
    <row r="211">
      <c r="A211" s="13"/>
      <c r="B211" s="13"/>
      <c r="C211" s="13"/>
      <c r="D211" s="13"/>
      <c r="E211" s="13"/>
      <c r="F211" s="3"/>
      <c r="G211" s="3"/>
      <c r="H211" s="4"/>
      <c r="I211" s="8"/>
      <c r="J211" s="8"/>
      <c r="K211" s="3"/>
      <c r="L211" s="3"/>
      <c r="M211" s="3"/>
      <c r="N211" s="3"/>
      <c r="O211" s="3"/>
      <c r="P211" s="3"/>
      <c r="Q211" s="3"/>
      <c r="R211" s="3"/>
      <c r="S211" s="3"/>
      <c r="T211" s="3"/>
      <c r="U211" s="3"/>
      <c r="V211" s="3"/>
      <c r="W211" s="3"/>
      <c r="X211" s="3"/>
      <c r="Y211" s="3"/>
      <c r="Z211" s="3"/>
      <c r="AA211" s="3"/>
      <c r="AB211" s="3"/>
      <c r="AC211" s="3"/>
      <c r="AD211" s="3"/>
      <c r="AE211" s="3"/>
    </row>
    <row r="212">
      <c r="A212" s="13"/>
      <c r="B212" s="13"/>
      <c r="C212" s="13"/>
      <c r="D212" s="13"/>
      <c r="E212" s="13"/>
      <c r="F212" s="3"/>
      <c r="G212" s="3"/>
      <c r="H212" s="4"/>
      <c r="I212" s="8"/>
      <c r="J212" s="8"/>
      <c r="K212" s="3"/>
      <c r="L212" s="3"/>
      <c r="M212" s="3"/>
      <c r="N212" s="3"/>
      <c r="O212" s="3"/>
      <c r="P212" s="3"/>
      <c r="Q212" s="3"/>
      <c r="R212" s="3"/>
      <c r="S212" s="3"/>
      <c r="T212" s="3"/>
      <c r="U212" s="3"/>
      <c r="V212" s="3"/>
      <c r="W212" s="3"/>
      <c r="X212" s="3"/>
      <c r="Y212" s="3"/>
      <c r="Z212" s="3"/>
      <c r="AA212" s="3"/>
      <c r="AB212" s="3"/>
      <c r="AC212" s="3"/>
      <c r="AD212" s="3"/>
      <c r="AE212" s="3"/>
    </row>
    <row r="213">
      <c r="A213" s="13"/>
      <c r="B213" s="13"/>
      <c r="C213" s="13"/>
      <c r="D213" s="13"/>
      <c r="E213" s="13"/>
      <c r="F213" s="3"/>
      <c r="G213" s="3"/>
      <c r="H213" s="4"/>
      <c r="I213" s="8"/>
      <c r="J213" s="8"/>
      <c r="K213" s="3"/>
      <c r="L213" s="3"/>
      <c r="M213" s="3"/>
      <c r="N213" s="3"/>
      <c r="O213" s="3"/>
      <c r="P213" s="3"/>
      <c r="Q213" s="3"/>
      <c r="R213" s="3"/>
      <c r="S213" s="3"/>
      <c r="T213" s="3"/>
      <c r="U213" s="3"/>
      <c r="V213" s="3"/>
      <c r="W213" s="3"/>
      <c r="X213" s="3"/>
      <c r="Y213" s="3"/>
      <c r="Z213" s="3"/>
      <c r="AA213" s="3"/>
      <c r="AB213" s="3"/>
      <c r="AC213" s="3"/>
      <c r="AD213" s="3"/>
      <c r="AE213" s="3"/>
    </row>
    <row r="214">
      <c r="A214" s="13"/>
      <c r="B214" s="13"/>
      <c r="C214" s="13"/>
      <c r="D214" s="13"/>
      <c r="E214" s="13"/>
      <c r="F214" s="3"/>
      <c r="G214" s="3"/>
      <c r="H214" s="4"/>
      <c r="I214" s="8"/>
      <c r="J214" s="8"/>
      <c r="K214" s="3"/>
      <c r="L214" s="3"/>
      <c r="M214" s="3"/>
      <c r="N214" s="3"/>
      <c r="O214" s="3"/>
      <c r="P214" s="3"/>
      <c r="Q214" s="3"/>
      <c r="R214" s="3"/>
      <c r="S214" s="3"/>
      <c r="T214" s="3"/>
      <c r="U214" s="3"/>
      <c r="V214" s="3"/>
      <c r="W214" s="3"/>
      <c r="X214" s="3"/>
      <c r="Y214" s="3"/>
      <c r="Z214" s="3"/>
      <c r="AA214" s="3"/>
      <c r="AB214" s="3"/>
      <c r="AC214" s="3"/>
      <c r="AD214" s="3"/>
      <c r="AE214" s="3"/>
    </row>
    <row r="215">
      <c r="A215" s="13"/>
      <c r="B215" s="13"/>
      <c r="C215" s="13"/>
      <c r="D215" s="13"/>
      <c r="E215" s="13"/>
      <c r="F215" s="3"/>
      <c r="G215" s="3"/>
      <c r="H215" s="4"/>
      <c r="I215" s="8"/>
      <c r="J215" s="8"/>
      <c r="K215" s="3"/>
      <c r="L215" s="3"/>
      <c r="M215" s="3"/>
      <c r="N215" s="3"/>
      <c r="O215" s="3"/>
      <c r="P215" s="3"/>
      <c r="Q215" s="3"/>
      <c r="R215" s="3"/>
      <c r="S215" s="3"/>
      <c r="T215" s="3"/>
      <c r="U215" s="3"/>
      <c r="V215" s="3"/>
      <c r="W215" s="3"/>
      <c r="X215" s="3"/>
      <c r="Y215" s="3"/>
      <c r="Z215" s="3"/>
      <c r="AA215" s="3"/>
      <c r="AB215" s="3"/>
      <c r="AC215" s="3"/>
      <c r="AD215" s="3"/>
      <c r="AE215" s="3"/>
    </row>
    <row r="216">
      <c r="A216" s="13"/>
      <c r="B216" s="13"/>
      <c r="C216" s="13"/>
      <c r="D216" s="13"/>
      <c r="E216" s="13"/>
      <c r="F216" s="3"/>
      <c r="G216" s="3"/>
      <c r="H216" s="4"/>
      <c r="I216" s="8"/>
      <c r="J216" s="8"/>
      <c r="K216" s="3"/>
      <c r="L216" s="3"/>
      <c r="M216" s="3"/>
      <c r="N216" s="3"/>
      <c r="O216" s="3"/>
      <c r="P216" s="3"/>
      <c r="Q216" s="3"/>
      <c r="R216" s="3"/>
      <c r="S216" s="3"/>
      <c r="T216" s="3"/>
      <c r="U216" s="3"/>
      <c r="V216" s="3"/>
      <c r="W216" s="3"/>
      <c r="X216" s="3"/>
      <c r="Y216" s="3"/>
      <c r="Z216" s="3"/>
      <c r="AA216" s="3"/>
      <c r="AB216" s="3"/>
      <c r="AC216" s="3"/>
      <c r="AD216" s="3"/>
      <c r="AE216" s="3"/>
    </row>
    <row r="217">
      <c r="A217" s="13"/>
      <c r="B217" s="13"/>
      <c r="C217" s="13"/>
      <c r="D217" s="13"/>
      <c r="E217" s="13"/>
      <c r="F217" s="3"/>
      <c r="G217" s="3"/>
      <c r="H217" s="4"/>
      <c r="I217" s="8"/>
      <c r="J217" s="8"/>
      <c r="K217" s="3"/>
      <c r="L217" s="3"/>
      <c r="M217" s="3"/>
      <c r="N217" s="3"/>
      <c r="O217" s="3"/>
      <c r="P217" s="3"/>
      <c r="Q217" s="3"/>
      <c r="R217" s="3"/>
      <c r="S217" s="3"/>
      <c r="T217" s="3"/>
      <c r="U217" s="3"/>
      <c r="V217" s="3"/>
      <c r="W217" s="3"/>
      <c r="X217" s="3"/>
      <c r="Y217" s="3"/>
      <c r="Z217" s="3"/>
      <c r="AA217" s="3"/>
      <c r="AB217" s="3"/>
      <c r="AC217" s="3"/>
      <c r="AD217" s="3"/>
      <c r="AE217" s="3"/>
    </row>
    <row r="218">
      <c r="A218" s="13"/>
      <c r="B218" s="13"/>
      <c r="C218" s="13"/>
      <c r="D218" s="13"/>
      <c r="E218" s="13"/>
      <c r="F218" s="3"/>
      <c r="G218" s="3"/>
      <c r="H218" s="4"/>
      <c r="I218" s="8"/>
      <c r="J218" s="8"/>
      <c r="K218" s="3"/>
      <c r="L218" s="3"/>
      <c r="M218" s="3"/>
      <c r="N218" s="3"/>
      <c r="O218" s="3"/>
      <c r="P218" s="3"/>
      <c r="Q218" s="3"/>
      <c r="R218" s="3"/>
      <c r="S218" s="3"/>
      <c r="T218" s="3"/>
      <c r="U218" s="3"/>
      <c r="V218" s="3"/>
      <c r="W218" s="3"/>
      <c r="X218" s="3"/>
      <c r="Y218" s="3"/>
      <c r="Z218" s="3"/>
      <c r="AA218" s="3"/>
      <c r="AB218" s="3"/>
      <c r="AC218" s="3"/>
      <c r="AD218" s="3"/>
      <c r="AE218" s="3"/>
    </row>
    <row r="219">
      <c r="A219" s="13"/>
      <c r="B219" s="13"/>
      <c r="C219" s="13"/>
      <c r="D219" s="13"/>
      <c r="E219" s="13"/>
      <c r="F219" s="3"/>
      <c r="G219" s="3"/>
      <c r="H219" s="4"/>
      <c r="I219" s="8"/>
      <c r="J219" s="8"/>
      <c r="K219" s="3"/>
      <c r="L219" s="3"/>
      <c r="M219" s="3"/>
      <c r="N219" s="3"/>
      <c r="O219" s="3"/>
      <c r="P219" s="3"/>
      <c r="Q219" s="3"/>
      <c r="R219" s="3"/>
      <c r="S219" s="3"/>
      <c r="T219" s="3"/>
      <c r="U219" s="3"/>
      <c r="V219" s="3"/>
      <c r="W219" s="3"/>
      <c r="X219" s="3"/>
      <c r="Y219" s="3"/>
      <c r="Z219" s="3"/>
      <c r="AA219" s="3"/>
      <c r="AB219" s="3"/>
      <c r="AC219" s="3"/>
      <c r="AD219" s="3"/>
      <c r="AE219" s="3"/>
    </row>
    <row r="220">
      <c r="A220" s="13"/>
      <c r="B220" s="13"/>
      <c r="C220" s="13"/>
      <c r="D220" s="13"/>
      <c r="E220" s="13"/>
      <c r="F220" s="3"/>
      <c r="G220" s="3"/>
      <c r="H220" s="4"/>
      <c r="I220" s="8"/>
      <c r="J220" s="8"/>
      <c r="K220" s="3"/>
      <c r="L220" s="3"/>
      <c r="M220" s="3"/>
      <c r="N220" s="3"/>
      <c r="O220" s="3"/>
      <c r="P220" s="3"/>
      <c r="Q220" s="3"/>
      <c r="R220" s="3"/>
      <c r="S220" s="3"/>
      <c r="T220" s="3"/>
      <c r="U220" s="3"/>
      <c r="V220" s="3"/>
      <c r="W220" s="3"/>
      <c r="X220" s="3"/>
      <c r="Y220" s="3"/>
      <c r="Z220" s="3"/>
      <c r="AA220" s="3"/>
      <c r="AB220" s="3"/>
      <c r="AC220" s="3"/>
      <c r="AD220" s="3"/>
      <c r="AE220" s="3"/>
    </row>
    <row r="221">
      <c r="A221" s="13"/>
      <c r="B221" s="13"/>
      <c r="C221" s="13"/>
      <c r="D221" s="13"/>
      <c r="E221" s="13"/>
      <c r="F221" s="3"/>
      <c r="G221" s="3"/>
      <c r="H221" s="4"/>
      <c r="I221" s="8"/>
      <c r="J221" s="8"/>
      <c r="K221" s="3"/>
      <c r="L221" s="3"/>
      <c r="M221" s="3"/>
      <c r="N221" s="3"/>
      <c r="O221" s="3"/>
      <c r="P221" s="3"/>
      <c r="Q221" s="3"/>
      <c r="R221" s="3"/>
      <c r="S221" s="3"/>
      <c r="T221" s="3"/>
      <c r="U221" s="3"/>
      <c r="V221" s="3"/>
      <c r="W221" s="3"/>
      <c r="X221" s="3"/>
      <c r="Y221" s="3"/>
      <c r="Z221" s="3"/>
      <c r="AA221" s="3"/>
      <c r="AB221" s="3"/>
      <c r="AC221" s="3"/>
      <c r="AD221" s="3"/>
      <c r="AE221" s="3"/>
    </row>
    <row r="222">
      <c r="A222" s="13"/>
      <c r="B222" s="13"/>
      <c r="C222" s="13"/>
      <c r="D222" s="13"/>
      <c r="E222" s="13"/>
      <c r="F222" s="3"/>
      <c r="G222" s="3"/>
      <c r="H222" s="4"/>
      <c r="I222" s="8"/>
      <c r="J222" s="8"/>
      <c r="K222" s="3"/>
      <c r="L222" s="3"/>
      <c r="M222" s="3"/>
      <c r="N222" s="3"/>
      <c r="O222" s="3"/>
      <c r="P222" s="3"/>
      <c r="Q222" s="3"/>
      <c r="R222" s="3"/>
      <c r="S222" s="3"/>
      <c r="T222" s="3"/>
      <c r="U222" s="3"/>
      <c r="V222" s="3"/>
      <c r="W222" s="3"/>
      <c r="X222" s="3"/>
      <c r="Y222" s="3"/>
      <c r="Z222" s="3"/>
      <c r="AA222" s="3"/>
      <c r="AB222" s="3"/>
      <c r="AC222" s="3"/>
      <c r="AD222" s="3"/>
      <c r="AE222" s="3"/>
    </row>
    <row r="223">
      <c r="A223" s="13"/>
      <c r="B223" s="13"/>
      <c r="C223" s="13"/>
      <c r="D223" s="13"/>
      <c r="E223" s="13"/>
      <c r="F223" s="3"/>
      <c r="G223" s="3"/>
      <c r="H223" s="4"/>
      <c r="I223" s="8"/>
      <c r="J223" s="8"/>
      <c r="K223" s="3"/>
      <c r="L223" s="3"/>
      <c r="M223" s="3"/>
      <c r="N223" s="3"/>
      <c r="O223" s="3"/>
      <c r="P223" s="3"/>
      <c r="Q223" s="3"/>
      <c r="R223" s="3"/>
      <c r="S223" s="3"/>
      <c r="T223" s="3"/>
      <c r="U223" s="3"/>
      <c r="V223" s="3"/>
      <c r="W223" s="3"/>
      <c r="X223" s="3"/>
      <c r="Y223" s="3"/>
      <c r="Z223" s="3"/>
      <c r="AA223" s="3"/>
      <c r="AB223" s="3"/>
      <c r="AC223" s="3"/>
      <c r="AD223" s="3"/>
      <c r="AE223" s="3"/>
    </row>
    <row r="224">
      <c r="A224" s="13"/>
      <c r="B224" s="13"/>
      <c r="C224" s="13"/>
      <c r="D224" s="13"/>
      <c r="E224" s="13"/>
      <c r="F224" s="3"/>
      <c r="G224" s="3"/>
      <c r="H224" s="4"/>
      <c r="I224" s="8"/>
      <c r="J224" s="8"/>
      <c r="K224" s="3"/>
      <c r="L224" s="3"/>
      <c r="M224" s="3"/>
      <c r="N224" s="3"/>
      <c r="O224" s="3"/>
      <c r="P224" s="3"/>
      <c r="Q224" s="3"/>
      <c r="R224" s="3"/>
      <c r="S224" s="3"/>
      <c r="T224" s="3"/>
      <c r="U224" s="3"/>
      <c r="V224" s="3"/>
      <c r="W224" s="3"/>
      <c r="X224" s="3"/>
      <c r="Y224" s="3"/>
      <c r="Z224" s="3"/>
      <c r="AA224" s="3"/>
      <c r="AB224" s="3"/>
      <c r="AC224" s="3"/>
      <c r="AD224" s="3"/>
      <c r="AE224" s="3"/>
    </row>
    <row r="225">
      <c r="A225" s="13"/>
      <c r="B225" s="13"/>
      <c r="C225" s="13"/>
      <c r="D225" s="13"/>
      <c r="E225" s="13"/>
      <c r="F225" s="3"/>
      <c r="G225" s="3"/>
      <c r="H225" s="4"/>
      <c r="I225" s="8"/>
      <c r="J225" s="8"/>
      <c r="K225" s="3"/>
      <c r="L225" s="3"/>
      <c r="M225" s="3"/>
      <c r="N225" s="3"/>
      <c r="O225" s="3"/>
      <c r="P225" s="3"/>
      <c r="Q225" s="3"/>
      <c r="R225" s="3"/>
      <c r="S225" s="3"/>
      <c r="T225" s="3"/>
      <c r="U225" s="3"/>
      <c r="V225" s="3"/>
      <c r="W225" s="3"/>
      <c r="X225" s="3"/>
      <c r="Y225" s="3"/>
      <c r="Z225" s="3"/>
      <c r="AA225" s="3"/>
      <c r="AB225" s="3"/>
      <c r="AC225" s="3"/>
      <c r="AD225" s="3"/>
      <c r="AE225" s="3"/>
    </row>
    <row r="226">
      <c r="A226" s="13"/>
      <c r="B226" s="13"/>
      <c r="C226" s="13"/>
      <c r="D226" s="13"/>
      <c r="E226" s="13"/>
      <c r="F226" s="3"/>
      <c r="G226" s="3"/>
      <c r="H226" s="4"/>
      <c r="I226" s="8"/>
      <c r="J226" s="8"/>
      <c r="K226" s="3"/>
      <c r="L226" s="3"/>
      <c r="M226" s="3"/>
      <c r="N226" s="3"/>
      <c r="O226" s="3"/>
      <c r="P226" s="3"/>
      <c r="Q226" s="3"/>
      <c r="R226" s="3"/>
      <c r="S226" s="3"/>
      <c r="T226" s="3"/>
      <c r="U226" s="3"/>
      <c r="V226" s="3"/>
      <c r="W226" s="3"/>
      <c r="X226" s="3"/>
      <c r="Y226" s="3"/>
      <c r="Z226" s="3"/>
      <c r="AA226" s="3"/>
      <c r="AB226" s="3"/>
      <c r="AC226" s="3"/>
      <c r="AD226" s="3"/>
      <c r="AE226" s="3"/>
    </row>
    <row r="227">
      <c r="A227" s="13"/>
      <c r="B227" s="13"/>
      <c r="C227" s="13"/>
      <c r="D227" s="13"/>
      <c r="E227" s="13"/>
      <c r="F227" s="3"/>
      <c r="G227" s="3"/>
      <c r="H227" s="4"/>
      <c r="I227" s="8"/>
      <c r="J227" s="8"/>
      <c r="K227" s="3"/>
      <c r="L227" s="3"/>
      <c r="M227" s="3"/>
      <c r="N227" s="3"/>
      <c r="O227" s="3"/>
      <c r="P227" s="3"/>
      <c r="Q227" s="3"/>
      <c r="R227" s="3"/>
      <c r="S227" s="3"/>
      <c r="T227" s="3"/>
      <c r="U227" s="3"/>
      <c r="V227" s="3"/>
      <c r="W227" s="3"/>
      <c r="X227" s="3"/>
      <c r="Y227" s="3"/>
      <c r="Z227" s="3"/>
      <c r="AA227" s="3"/>
      <c r="AB227" s="3"/>
      <c r="AC227" s="3"/>
      <c r="AD227" s="3"/>
      <c r="AE227" s="3"/>
    </row>
    <row r="228">
      <c r="A228" s="13"/>
      <c r="B228" s="13"/>
      <c r="C228" s="13"/>
      <c r="D228" s="13"/>
      <c r="E228" s="13"/>
      <c r="F228" s="3"/>
      <c r="G228" s="3"/>
      <c r="H228" s="4"/>
      <c r="I228" s="8"/>
      <c r="J228" s="8"/>
      <c r="K228" s="3"/>
      <c r="L228" s="3"/>
      <c r="M228" s="3"/>
      <c r="N228" s="3"/>
      <c r="O228" s="3"/>
      <c r="P228" s="3"/>
      <c r="Q228" s="3"/>
      <c r="R228" s="3"/>
      <c r="S228" s="3"/>
      <c r="T228" s="3"/>
      <c r="U228" s="3"/>
      <c r="V228" s="3"/>
      <c r="W228" s="3"/>
      <c r="X228" s="3"/>
      <c r="Y228" s="3"/>
      <c r="Z228" s="3"/>
      <c r="AA228" s="3"/>
      <c r="AB228" s="3"/>
      <c r="AC228" s="3"/>
      <c r="AD228" s="3"/>
      <c r="AE228" s="3"/>
    </row>
    <row r="229">
      <c r="A229" s="13"/>
      <c r="B229" s="13"/>
      <c r="C229" s="13"/>
      <c r="D229" s="13"/>
      <c r="E229" s="13"/>
      <c r="F229" s="3"/>
      <c r="G229" s="3"/>
      <c r="H229" s="4"/>
      <c r="I229" s="8"/>
      <c r="J229" s="8"/>
      <c r="K229" s="3"/>
      <c r="L229" s="3"/>
      <c r="M229" s="3"/>
      <c r="N229" s="3"/>
      <c r="O229" s="3"/>
      <c r="P229" s="3"/>
      <c r="Q229" s="3"/>
      <c r="R229" s="3"/>
      <c r="S229" s="3"/>
      <c r="T229" s="3"/>
      <c r="U229" s="3"/>
      <c r="V229" s="3"/>
      <c r="W229" s="3"/>
      <c r="X229" s="3"/>
      <c r="Y229" s="3"/>
      <c r="Z229" s="3"/>
      <c r="AA229" s="3"/>
      <c r="AB229" s="3"/>
      <c r="AC229" s="3"/>
      <c r="AD229" s="3"/>
      <c r="AE229" s="3"/>
    </row>
    <row r="230">
      <c r="A230" s="13"/>
      <c r="B230" s="13"/>
      <c r="C230" s="13"/>
      <c r="D230" s="13"/>
      <c r="E230" s="13"/>
      <c r="F230" s="3"/>
      <c r="G230" s="3"/>
      <c r="H230" s="4"/>
      <c r="I230" s="8"/>
      <c r="J230" s="8"/>
      <c r="K230" s="3"/>
      <c r="L230" s="3"/>
      <c r="M230" s="3"/>
      <c r="N230" s="3"/>
      <c r="O230" s="3"/>
      <c r="P230" s="3"/>
      <c r="Q230" s="3"/>
      <c r="R230" s="3"/>
      <c r="S230" s="3"/>
      <c r="T230" s="3"/>
      <c r="U230" s="3"/>
      <c r="V230" s="3"/>
      <c r="W230" s="3"/>
      <c r="X230" s="3"/>
      <c r="Y230" s="3"/>
      <c r="Z230" s="3"/>
      <c r="AA230" s="3"/>
      <c r="AB230" s="3"/>
      <c r="AC230" s="3"/>
      <c r="AD230" s="3"/>
      <c r="AE230" s="3"/>
    </row>
    <row r="231">
      <c r="A231" s="13"/>
      <c r="B231" s="13"/>
      <c r="C231" s="13"/>
      <c r="D231" s="13"/>
      <c r="E231" s="13"/>
      <c r="F231" s="3"/>
      <c r="G231" s="3"/>
      <c r="H231" s="4"/>
      <c r="I231" s="8"/>
      <c r="J231" s="8"/>
      <c r="K231" s="3"/>
      <c r="L231" s="3"/>
      <c r="M231" s="3"/>
      <c r="N231" s="3"/>
      <c r="O231" s="3"/>
      <c r="P231" s="3"/>
      <c r="Q231" s="3"/>
      <c r="R231" s="3"/>
      <c r="S231" s="3"/>
      <c r="T231" s="3"/>
      <c r="U231" s="3"/>
      <c r="V231" s="3"/>
      <c r="W231" s="3"/>
      <c r="X231" s="3"/>
      <c r="Y231" s="3"/>
      <c r="Z231" s="3"/>
      <c r="AA231" s="3"/>
      <c r="AB231" s="3"/>
      <c r="AC231" s="3"/>
      <c r="AD231" s="3"/>
      <c r="AE231" s="3"/>
    </row>
    <row r="232">
      <c r="A232" s="13"/>
      <c r="B232" s="13"/>
      <c r="C232" s="13"/>
      <c r="D232" s="13"/>
      <c r="E232" s="13"/>
      <c r="F232" s="3"/>
      <c r="G232" s="3"/>
      <c r="H232" s="4"/>
      <c r="I232" s="8"/>
      <c r="J232" s="8"/>
      <c r="K232" s="3"/>
      <c r="L232" s="3"/>
      <c r="M232" s="3"/>
      <c r="N232" s="3"/>
      <c r="O232" s="3"/>
      <c r="P232" s="3"/>
      <c r="Q232" s="3"/>
      <c r="R232" s="3"/>
      <c r="S232" s="3"/>
      <c r="T232" s="3"/>
      <c r="U232" s="3"/>
      <c r="V232" s="3"/>
      <c r="W232" s="3"/>
      <c r="X232" s="3"/>
      <c r="Y232" s="3"/>
      <c r="Z232" s="3"/>
      <c r="AA232" s="3"/>
      <c r="AB232" s="3"/>
      <c r="AC232" s="3"/>
      <c r="AD232" s="3"/>
      <c r="AE232" s="3"/>
    </row>
    <row r="233">
      <c r="A233" s="13"/>
      <c r="B233" s="13"/>
      <c r="C233" s="13"/>
      <c r="D233" s="13"/>
      <c r="E233" s="13"/>
      <c r="F233" s="3"/>
      <c r="G233" s="3"/>
      <c r="H233" s="4"/>
      <c r="I233" s="8"/>
      <c r="J233" s="8"/>
      <c r="K233" s="3"/>
      <c r="L233" s="3"/>
      <c r="M233" s="3"/>
      <c r="N233" s="3"/>
      <c r="O233" s="3"/>
      <c r="P233" s="3"/>
      <c r="Q233" s="3"/>
      <c r="R233" s="3"/>
      <c r="S233" s="3"/>
      <c r="T233" s="3"/>
      <c r="U233" s="3"/>
      <c r="V233" s="3"/>
      <c r="W233" s="3"/>
      <c r="X233" s="3"/>
      <c r="Y233" s="3"/>
      <c r="Z233" s="3"/>
      <c r="AA233" s="3"/>
      <c r="AB233" s="3"/>
      <c r="AC233" s="3"/>
      <c r="AD233" s="3"/>
      <c r="AE233" s="3"/>
    </row>
    <row r="234">
      <c r="A234" s="13"/>
      <c r="B234" s="13"/>
      <c r="C234" s="13"/>
      <c r="D234" s="13"/>
      <c r="E234" s="13"/>
      <c r="F234" s="3"/>
      <c r="G234" s="3"/>
      <c r="H234" s="4"/>
      <c r="I234" s="8"/>
      <c r="J234" s="8"/>
      <c r="K234" s="3"/>
      <c r="L234" s="3"/>
      <c r="M234" s="3"/>
      <c r="N234" s="3"/>
      <c r="O234" s="3"/>
      <c r="P234" s="3"/>
      <c r="Q234" s="3"/>
      <c r="R234" s="3"/>
      <c r="S234" s="3"/>
      <c r="T234" s="3"/>
      <c r="U234" s="3"/>
      <c r="V234" s="3"/>
      <c r="W234" s="3"/>
      <c r="X234" s="3"/>
      <c r="Y234" s="3"/>
      <c r="Z234" s="3"/>
      <c r="AA234" s="3"/>
      <c r="AB234" s="3"/>
      <c r="AC234" s="3"/>
      <c r="AD234" s="3"/>
      <c r="AE234" s="3"/>
    </row>
    <row r="235">
      <c r="A235" s="13"/>
      <c r="B235" s="13"/>
      <c r="C235" s="13"/>
      <c r="D235" s="13"/>
      <c r="E235" s="13"/>
      <c r="F235" s="3"/>
      <c r="G235" s="3"/>
      <c r="H235" s="4"/>
      <c r="I235" s="8"/>
      <c r="J235" s="8"/>
      <c r="K235" s="3"/>
      <c r="L235" s="3"/>
      <c r="M235" s="3"/>
      <c r="N235" s="3"/>
      <c r="O235" s="3"/>
      <c r="P235" s="3"/>
      <c r="Q235" s="3"/>
      <c r="R235" s="3"/>
      <c r="S235" s="3"/>
      <c r="T235" s="3"/>
      <c r="U235" s="3"/>
      <c r="V235" s="3"/>
      <c r="W235" s="3"/>
      <c r="X235" s="3"/>
      <c r="Y235" s="3"/>
      <c r="Z235" s="3"/>
      <c r="AA235" s="3"/>
      <c r="AB235" s="3"/>
      <c r="AC235" s="3"/>
      <c r="AD235" s="3"/>
      <c r="AE235" s="3"/>
    </row>
    <row r="236">
      <c r="A236" s="13"/>
      <c r="B236" s="13"/>
      <c r="C236" s="13"/>
      <c r="D236" s="13"/>
      <c r="E236" s="13"/>
      <c r="F236" s="3"/>
      <c r="G236" s="3"/>
      <c r="H236" s="4"/>
      <c r="I236" s="8"/>
      <c r="J236" s="8"/>
      <c r="K236" s="3"/>
      <c r="L236" s="3"/>
      <c r="M236" s="3"/>
      <c r="N236" s="3"/>
      <c r="O236" s="3"/>
      <c r="P236" s="3"/>
      <c r="Q236" s="3"/>
      <c r="R236" s="3"/>
      <c r="S236" s="3"/>
      <c r="T236" s="3"/>
      <c r="U236" s="3"/>
      <c r="V236" s="3"/>
      <c r="W236" s="3"/>
      <c r="X236" s="3"/>
      <c r="Y236" s="3"/>
      <c r="Z236" s="3"/>
      <c r="AA236" s="3"/>
      <c r="AB236" s="3"/>
      <c r="AC236" s="3"/>
      <c r="AD236" s="3"/>
      <c r="AE236" s="3"/>
    </row>
    <row r="237">
      <c r="A237" s="13"/>
      <c r="B237" s="13"/>
      <c r="C237" s="13"/>
      <c r="D237" s="13"/>
      <c r="E237" s="13"/>
      <c r="F237" s="3"/>
      <c r="G237" s="3"/>
      <c r="H237" s="4"/>
      <c r="I237" s="8"/>
      <c r="J237" s="8"/>
      <c r="K237" s="3"/>
      <c r="L237" s="3"/>
      <c r="M237" s="3"/>
      <c r="N237" s="3"/>
      <c r="O237" s="3"/>
      <c r="P237" s="3"/>
      <c r="Q237" s="3"/>
      <c r="R237" s="3"/>
      <c r="S237" s="3"/>
      <c r="T237" s="3"/>
      <c r="U237" s="3"/>
      <c r="V237" s="3"/>
      <c r="W237" s="3"/>
      <c r="X237" s="3"/>
      <c r="Y237" s="3"/>
      <c r="Z237" s="3"/>
      <c r="AA237" s="3"/>
      <c r="AB237" s="3"/>
      <c r="AC237" s="3"/>
      <c r="AD237" s="3"/>
      <c r="AE237" s="3"/>
    </row>
    <row r="238">
      <c r="A238" s="13"/>
      <c r="B238" s="13"/>
      <c r="C238" s="13"/>
      <c r="D238" s="13"/>
      <c r="E238" s="13"/>
      <c r="F238" s="3"/>
      <c r="G238" s="3"/>
      <c r="H238" s="4"/>
      <c r="I238" s="8"/>
      <c r="J238" s="8"/>
      <c r="K238" s="3"/>
      <c r="L238" s="3"/>
      <c r="M238" s="3"/>
      <c r="N238" s="3"/>
      <c r="O238" s="3"/>
      <c r="P238" s="3"/>
      <c r="Q238" s="3"/>
      <c r="R238" s="3"/>
      <c r="S238" s="3"/>
      <c r="T238" s="3"/>
      <c r="U238" s="3"/>
      <c r="V238" s="3"/>
      <c r="W238" s="3"/>
      <c r="X238" s="3"/>
      <c r="Y238" s="3"/>
      <c r="Z238" s="3"/>
      <c r="AA238" s="3"/>
      <c r="AB238" s="3"/>
      <c r="AC238" s="3"/>
      <c r="AD238" s="3"/>
      <c r="AE238" s="3"/>
    </row>
    <row r="239">
      <c r="A239" s="13"/>
      <c r="B239" s="13"/>
      <c r="C239" s="13"/>
      <c r="D239" s="13"/>
      <c r="E239" s="13"/>
      <c r="F239" s="3"/>
      <c r="G239" s="3"/>
      <c r="H239" s="4"/>
      <c r="I239" s="8"/>
      <c r="J239" s="8"/>
      <c r="K239" s="3"/>
      <c r="L239" s="3"/>
      <c r="M239" s="3"/>
      <c r="N239" s="3"/>
      <c r="O239" s="3"/>
      <c r="P239" s="3"/>
      <c r="Q239" s="3"/>
      <c r="R239" s="3"/>
      <c r="S239" s="3"/>
      <c r="T239" s="3"/>
      <c r="U239" s="3"/>
      <c r="V239" s="3"/>
      <c r="W239" s="3"/>
      <c r="X239" s="3"/>
      <c r="Y239" s="3"/>
      <c r="Z239" s="3"/>
      <c r="AA239" s="3"/>
      <c r="AB239" s="3"/>
      <c r="AC239" s="3"/>
      <c r="AD239" s="3"/>
      <c r="AE239" s="3"/>
    </row>
    <row r="240">
      <c r="A240" s="13"/>
      <c r="B240" s="13"/>
      <c r="C240" s="13"/>
      <c r="D240" s="13"/>
      <c r="E240" s="13"/>
      <c r="F240" s="3"/>
      <c r="G240" s="3"/>
      <c r="H240" s="4"/>
      <c r="I240" s="8"/>
      <c r="J240" s="8"/>
      <c r="K240" s="3"/>
      <c r="L240" s="3"/>
      <c r="M240" s="3"/>
      <c r="N240" s="3"/>
      <c r="O240" s="3"/>
      <c r="P240" s="3"/>
      <c r="Q240" s="3"/>
      <c r="R240" s="3"/>
      <c r="S240" s="3"/>
      <c r="T240" s="3"/>
      <c r="U240" s="3"/>
      <c r="V240" s="3"/>
      <c r="W240" s="3"/>
      <c r="X240" s="3"/>
      <c r="Y240" s="3"/>
      <c r="Z240" s="3"/>
      <c r="AA240" s="3"/>
      <c r="AB240" s="3"/>
      <c r="AC240" s="3"/>
      <c r="AD240" s="3"/>
      <c r="AE240" s="3"/>
    </row>
    <row r="241">
      <c r="A241" s="13"/>
      <c r="B241" s="13"/>
      <c r="C241" s="13"/>
      <c r="D241" s="13"/>
      <c r="E241" s="13"/>
      <c r="F241" s="3"/>
      <c r="G241" s="3"/>
      <c r="H241" s="4"/>
      <c r="I241" s="8"/>
      <c r="J241" s="8"/>
      <c r="K241" s="3"/>
      <c r="L241" s="3"/>
      <c r="M241" s="3"/>
      <c r="N241" s="3"/>
      <c r="O241" s="3"/>
      <c r="P241" s="3"/>
      <c r="Q241" s="3"/>
      <c r="R241" s="3"/>
      <c r="S241" s="3"/>
      <c r="T241" s="3"/>
      <c r="U241" s="3"/>
      <c r="V241" s="3"/>
      <c r="W241" s="3"/>
      <c r="X241" s="3"/>
      <c r="Y241" s="3"/>
      <c r="Z241" s="3"/>
      <c r="AA241" s="3"/>
      <c r="AB241" s="3"/>
      <c r="AC241" s="3"/>
      <c r="AD241" s="3"/>
      <c r="AE241" s="3"/>
    </row>
    <row r="242">
      <c r="A242" s="13"/>
      <c r="B242" s="13"/>
      <c r="C242" s="13"/>
      <c r="D242" s="13"/>
      <c r="E242" s="13"/>
      <c r="F242" s="3"/>
      <c r="G242" s="3"/>
      <c r="H242" s="4"/>
      <c r="I242" s="8"/>
      <c r="J242" s="8"/>
      <c r="K242" s="3"/>
      <c r="L242" s="3"/>
      <c r="M242" s="3"/>
      <c r="N242" s="3"/>
      <c r="O242" s="3"/>
      <c r="P242" s="3"/>
      <c r="Q242" s="3"/>
      <c r="R242" s="3"/>
      <c r="S242" s="3"/>
      <c r="T242" s="3"/>
      <c r="U242" s="3"/>
      <c r="V242" s="3"/>
      <c r="W242" s="3"/>
      <c r="X242" s="3"/>
      <c r="Y242" s="3"/>
      <c r="Z242" s="3"/>
      <c r="AA242" s="3"/>
      <c r="AB242" s="3"/>
      <c r="AC242" s="3"/>
      <c r="AD242" s="3"/>
      <c r="AE242" s="3"/>
    </row>
    <row r="243">
      <c r="A243" s="13"/>
      <c r="B243" s="13"/>
      <c r="C243" s="13"/>
      <c r="D243" s="13"/>
      <c r="E243" s="13"/>
      <c r="F243" s="3"/>
      <c r="G243" s="3"/>
      <c r="H243" s="4"/>
      <c r="I243" s="8"/>
      <c r="J243" s="8"/>
      <c r="K243" s="3"/>
      <c r="L243" s="3"/>
      <c r="M243" s="3"/>
      <c r="N243" s="3"/>
      <c r="O243" s="3"/>
      <c r="P243" s="3"/>
      <c r="Q243" s="3"/>
      <c r="R243" s="3"/>
      <c r="S243" s="3"/>
      <c r="T243" s="3"/>
      <c r="U243" s="3"/>
      <c r="V243" s="3"/>
      <c r="W243" s="3"/>
      <c r="X243" s="3"/>
      <c r="Y243" s="3"/>
      <c r="Z243" s="3"/>
      <c r="AA243" s="3"/>
      <c r="AB243" s="3"/>
      <c r="AC243" s="3"/>
      <c r="AD243" s="3"/>
      <c r="AE243" s="3"/>
    </row>
    <row r="244">
      <c r="A244" s="13"/>
      <c r="B244" s="13"/>
      <c r="C244" s="13"/>
      <c r="D244" s="13"/>
      <c r="E244" s="13"/>
      <c r="F244" s="3"/>
      <c r="G244" s="3"/>
      <c r="H244" s="4"/>
      <c r="I244" s="8"/>
      <c r="J244" s="8"/>
      <c r="K244" s="3"/>
      <c r="L244" s="3"/>
      <c r="M244" s="3"/>
      <c r="N244" s="3"/>
      <c r="O244" s="3"/>
      <c r="P244" s="3"/>
      <c r="Q244" s="3"/>
      <c r="R244" s="3"/>
      <c r="S244" s="3"/>
      <c r="T244" s="3"/>
      <c r="U244" s="3"/>
      <c r="V244" s="3"/>
      <c r="W244" s="3"/>
      <c r="X244" s="3"/>
      <c r="Y244" s="3"/>
      <c r="Z244" s="3"/>
      <c r="AA244" s="3"/>
      <c r="AB244" s="3"/>
      <c r="AC244" s="3"/>
      <c r="AD244" s="3"/>
      <c r="AE244" s="3"/>
    </row>
    <row r="245">
      <c r="A245" s="13"/>
      <c r="B245" s="13"/>
      <c r="C245" s="13"/>
      <c r="D245" s="13"/>
      <c r="E245" s="13"/>
      <c r="F245" s="3"/>
      <c r="G245" s="3"/>
      <c r="H245" s="4"/>
      <c r="I245" s="8"/>
      <c r="J245" s="8"/>
      <c r="K245" s="3"/>
      <c r="L245" s="3"/>
      <c r="M245" s="3"/>
      <c r="N245" s="3"/>
      <c r="O245" s="3"/>
      <c r="P245" s="3"/>
      <c r="Q245" s="3"/>
      <c r="R245" s="3"/>
      <c r="S245" s="3"/>
      <c r="T245" s="3"/>
      <c r="U245" s="3"/>
      <c r="V245" s="3"/>
      <c r="W245" s="3"/>
      <c r="X245" s="3"/>
      <c r="Y245" s="3"/>
      <c r="Z245" s="3"/>
      <c r="AA245" s="3"/>
      <c r="AB245" s="3"/>
      <c r="AC245" s="3"/>
      <c r="AD245" s="3"/>
      <c r="AE245" s="3"/>
    </row>
    <row r="246">
      <c r="A246" s="13"/>
      <c r="B246" s="13"/>
      <c r="C246" s="13"/>
      <c r="D246" s="13"/>
      <c r="E246" s="13"/>
      <c r="F246" s="3"/>
      <c r="G246" s="3"/>
      <c r="H246" s="4"/>
      <c r="I246" s="8"/>
      <c r="J246" s="8"/>
      <c r="K246" s="3"/>
      <c r="L246" s="3"/>
      <c r="M246" s="3"/>
      <c r="N246" s="3"/>
      <c r="O246" s="3"/>
      <c r="P246" s="3"/>
      <c r="Q246" s="3"/>
      <c r="R246" s="3"/>
      <c r="S246" s="3"/>
      <c r="T246" s="3"/>
      <c r="U246" s="3"/>
      <c r="V246" s="3"/>
      <c r="W246" s="3"/>
      <c r="X246" s="3"/>
      <c r="Y246" s="3"/>
      <c r="Z246" s="3"/>
      <c r="AA246" s="3"/>
      <c r="AB246" s="3"/>
      <c r="AC246" s="3"/>
      <c r="AD246" s="3"/>
      <c r="AE246" s="3"/>
    </row>
    <row r="247">
      <c r="A247" s="13"/>
      <c r="B247" s="13"/>
      <c r="C247" s="13"/>
      <c r="D247" s="13"/>
      <c r="E247" s="13"/>
      <c r="F247" s="3"/>
      <c r="G247" s="3"/>
      <c r="H247" s="4"/>
      <c r="I247" s="8"/>
      <c r="J247" s="8"/>
      <c r="K247" s="3"/>
      <c r="L247" s="3"/>
      <c r="M247" s="3"/>
      <c r="N247" s="3"/>
      <c r="O247" s="3"/>
      <c r="P247" s="3"/>
      <c r="Q247" s="3"/>
      <c r="R247" s="3"/>
      <c r="S247" s="3"/>
      <c r="T247" s="3"/>
      <c r="U247" s="3"/>
      <c r="V247" s="3"/>
      <c r="W247" s="3"/>
      <c r="X247" s="3"/>
      <c r="Y247" s="3"/>
      <c r="Z247" s="3"/>
      <c r="AA247" s="3"/>
      <c r="AB247" s="3"/>
      <c r="AC247" s="3"/>
      <c r="AD247" s="3"/>
      <c r="AE247" s="3"/>
    </row>
    <row r="248">
      <c r="A248" s="13"/>
      <c r="B248" s="13"/>
      <c r="C248" s="13"/>
      <c r="D248" s="13"/>
      <c r="E248" s="13"/>
      <c r="F248" s="3"/>
      <c r="G248" s="3"/>
      <c r="H248" s="4"/>
      <c r="I248" s="8"/>
      <c r="J248" s="8"/>
      <c r="K248" s="3"/>
      <c r="L248" s="3"/>
      <c r="M248" s="3"/>
      <c r="N248" s="3"/>
      <c r="O248" s="3"/>
      <c r="P248" s="3"/>
      <c r="Q248" s="3"/>
      <c r="R248" s="3"/>
      <c r="S248" s="3"/>
      <c r="T248" s="3"/>
      <c r="U248" s="3"/>
      <c r="V248" s="3"/>
      <c r="W248" s="3"/>
      <c r="X248" s="3"/>
      <c r="Y248" s="3"/>
      <c r="Z248" s="3"/>
      <c r="AA248" s="3"/>
      <c r="AB248" s="3"/>
      <c r="AC248" s="3"/>
      <c r="AD248" s="3"/>
      <c r="AE248" s="3"/>
    </row>
    <row r="249">
      <c r="A249" s="13"/>
      <c r="B249" s="13"/>
      <c r="C249" s="13"/>
      <c r="D249" s="13"/>
      <c r="E249" s="13"/>
      <c r="F249" s="3"/>
      <c r="G249" s="3"/>
      <c r="H249" s="4"/>
      <c r="I249" s="8"/>
      <c r="J249" s="8"/>
      <c r="K249" s="3"/>
      <c r="L249" s="3"/>
      <c r="M249" s="3"/>
      <c r="N249" s="3"/>
      <c r="O249" s="3"/>
      <c r="P249" s="3"/>
      <c r="Q249" s="3"/>
      <c r="R249" s="3"/>
      <c r="S249" s="3"/>
      <c r="T249" s="3"/>
      <c r="U249" s="3"/>
      <c r="V249" s="3"/>
      <c r="W249" s="3"/>
      <c r="X249" s="3"/>
      <c r="Y249" s="3"/>
      <c r="Z249" s="3"/>
      <c r="AA249" s="3"/>
      <c r="AB249" s="3"/>
      <c r="AC249" s="3"/>
      <c r="AD249" s="3"/>
      <c r="AE249" s="3"/>
    </row>
    <row r="250">
      <c r="A250" s="13"/>
      <c r="B250" s="13"/>
      <c r="C250" s="13"/>
      <c r="D250" s="13"/>
      <c r="E250" s="13"/>
      <c r="F250" s="3"/>
      <c r="G250" s="3"/>
      <c r="H250" s="4"/>
      <c r="I250" s="8"/>
      <c r="J250" s="8"/>
      <c r="K250" s="3"/>
      <c r="L250" s="3"/>
      <c r="M250" s="3"/>
      <c r="N250" s="3"/>
      <c r="O250" s="3"/>
      <c r="P250" s="3"/>
      <c r="Q250" s="3"/>
      <c r="R250" s="3"/>
      <c r="S250" s="3"/>
      <c r="T250" s="3"/>
      <c r="U250" s="3"/>
      <c r="V250" s="3"/>
      <c r="W250" s="3"/>
      <c r="X250" s="3"/>
      <c r="Y250" s="3"/>
      <c r="Z250" s="3"/>
      <c r="AA250" s="3"/>
      <c r="AB250" s="3"/>
      <c r="AC250" s="3"/>
      <c r="AD250" s="3"/>
      <c r="AE250" s="3"/>
    </row>
    <row r="251">
      <c r="A251" s="13"/>
      <c r="B251" s="13"/>
      <c r="C251" s="13"/>
      <c r="D251" s="13"/>
      <c r="E251" s="13"/>
      <c r="F251" s="3"/>
      <c r="G251" s="3"/>
      <c r="H251" s="4"/>
      <c r="I251" s="8"/>
      <c r="J251" s="8"/>
      <c r="K251" s="3"/>
      <c r="L251" s="3"/>
      <c r="M251" s="3"/>
      <c r="N251" s="3"/>
      <c r="O251" s="3"/>
      <c r="P251" s="3"/>
      <c r="Q251" s="3"/>
      <c r="R251" s="3"/>
      <c r="S251" s="3"/>
      <c r="T251" s="3"/>
      <c r="U251" s="3"/>
      <c r="V251" s="3"/>
      <c r="W251" s="3"/>
      <c r="X251" s="3"/>
      <c r="Y251" s="3"/>
      <c r="Z251" s="3"/>
      <c r="AA251" s="3"/>
      <c r="AB251" s="3"/>
      <c r="AC251" s="3"/>
      <c r="AD251" s="3"/>
      <c r="AE251" s="3"/>
    </row>
    <row r="252">
      <c r="A252" s="13"/>
      <c r="B252" s="13"/>
      <c r="C252" s="13"/>
      <c r="D252" s="13"/>
      <c r="E252" s="13"/>
      <c r="F252" s="3"/>
      <c r="G252" s="3"/>
      <c r="H252" s="4"/>
      <c r="I252" s="8"/>
      <c r="J252" s="8"/>
      <c r="K252" s="3"/>
      <c r="L252" s="3"/>
      <c r="M252" s="3"/>
      <c r="N252" s="3"/>
      <c r="O252" s="3"/>
      <c r="P252" s="3"/>
      <c r="Q252" s="3"/>
      <c r="R252" s="3"/>
      <c r="S252" s="3"/>
      <c r="T252" s="3"/>
      <c r="U252" s="3"/>
      <c r="V252" s="3"/>
      <c r="W252" s="3"/>
      <c r="X252" s="3"/>
      <c r="Y252" s="3"/>
      <c r="Z252" s="3"/>
      <c r="AA252" s="3"/>
      <c r="AB252" s="3"/>
      <c r="AC252" s="3"/>
      <c r="AD252" s="3"/>
      <c r="AE252" s="3"/>
    </row>
    <row r="253">
      <c r="A253" s="13"/>
      <c r="B253" s="13"/>
      <c r="C253" s="13"/>
      <c r="D253" s="13"/>
      <c r="E253" s="13"/>
      <c r="F253" s="3"/>
      <c r="G253" s="3"/>
      <c r="H253" s="4"/>
      <c r="I253" s="8"/>
      <c r="J253" s="8"/>
      <c r="K253" s="3"/>
      <c r="L253" s="3"/>
      <c r="M253" s="3"/>
      <c r="N253" s="3"/>
      <c r="O253" s="3"/>
      <c r="P253" s="3"/>
      <c r="Q253" s="3"/>
      <c r="R253" s="3"/>
      <c r="S253" s="3"/>
      <c r="T253" s="3"/>
      <c r="U253" s="3"/>
      <c r="V253" s="3"/>
      <c r="W253" s="3"/>
      <c r="X253" s="3"/>
      <c r="Y253" s="3"/>
      <c r="Z253" s="3"/>
      <c r="AA253" s="3"/>
      <c r="AB253" s="3"/>
      <c r="AC253" s="3"/>
      <c r="AD253" s="3"/>
      <c r="AE253" s="3"/>
    </row>
    <row r="254">
      <c r="A254" s="13"/>
      <c r="B254" s="13"/>
      <c r="C254" s="13"/>
      <c r="D254" s="13"/>
      <c r="E254" s="13"/>
      <c r="F254" s="3"/>
      <c r="G254" s="3"/>
      <c r="H254" s="4"/>
      <c r="I254" s="8"/>
      <c r="J254" s="8"/>
      <c r="K254" s="3"/>
      <c r="L254" s="3"/>
      <c r="M254" s="3"/>
      <c r="N254" s="3"/>
      <c r="O254" s="3"/>
      <c r="P254" s="3"/>
      <c r="Q254" s="3"/>
      <c r="R254" s="3"/>
      <c r="S254" s="3"/>
      <c r="T254" s="3"/>
      <c r="U254" s="3"/>
      <c r="V254" s="3"/>
      <c r="W254" s="3"/>
      <c r="X254" s="3"/>
      <c r="Y254" s="3"/>
      <c r="Z254" s="3"/>
      <c r="AA254" s="3"/>
      <c r="AB254" s="3"/>
      <c r="AC254" s="3"/>
      <c r="AD254" s="3"/>
      <c r="AE254" s="3"/>
    </row>
    <row r="255">
      <c r="A255" s="13"/>
      <c r="B255" s="13"/>
      <c r="C255" s="13"/>
      <c r="D255" s="13"/>
      <c r="E255" s="13"/>
      <c r="F255" s="3"/>
      <c r="G255" s="3"/>
      <c r="H255" s="4"/>
      <c r="I255" s="8"/>
      <c r="J255" s="8"/>
      <c r="K255" s="3"/>
      <c r="L255" s="3"/>
      <c r="M255" s="3"/>
      <c r="N255" s="3"/>
      <c r="O255" s="3"/>
      <c r="P255" s="3"/>
      <c r="Q255" s="3"/>
      <c r="R255" s="3"/>
      <c r="S255" s="3"/>
      <c r="T255" s="3"/>
      <c r="U255" s="3"/>
      <c r="V255" s="3"/>
      <c r="W255" s="3"/>
      <c r="X255" s="3"/>
      <c r="Y255" s="3"/>
      <c r="Z255" s="3"/>
      <c r="AA255" s="3"/>
      <c r="AB255" s="3"/>
      <c r="AC255" s="3"/>
      <c r="AD255" s="3"/>
      <c r="AE255" s="3"/>
    </row>
    <row r="256">
      <c r="A256" s="13"/>
      <c r="B256" s="13"/>
      <c r="C256" s="13"/>
      <c r="D256" s="13"/>
      <c r="E256" s="13"/>
      <c r="F256" s="3"/>
      <c r="G256" s="3"/>
      <c r="H256" s="4"/>
      <c r="I256" s="8"/>
      <c r="J256" s="8"/>
      <c r="K256" s="3"/>
      <c r="L256" s="3"/>
      <c r="M256" s="3"/>
      <c r="N256" s="3"/>
      <c r="O256" s="3"/>
      <c r="P256" s="3"/>
      <c r="Q256" s="3"/>
      <c r="R256" s="3"/>
      <c r="S256" s="3"/>
      <c r="T256" s="3"/>
      <c r="U256" s="3"/>
      <c r="V256" s="3"/>
      <c r="W256" s="3"/>
      <c r="X256" s="3"/>
      <c r="Y256" s="3"/>
      <c r="Z256" s="3"/>
      <c r="AA256" s="3"/>
      <c r="AB256" s="3"/>
      <c r="AC256" s="3"/>
      <c r="AD256" s="3"/>
      <c r="AE256" s="3"/>
    </row>
    <row r="257">
      <c r="A257" s="13"/>
      <c r="B257" s="13"/>
      <c r="C257" s="13"/>
      <c r="D257" s="13"/>
      <c r="E257" s="13"/>
      <c r="F257" s="3"/>
      <c r="G257" s="3"/>
      <c r="H257" s="4"/>
      <c r="I257" s="8"/>
      <c r="J257" s="8"/>
      <c r="K257" s="3"/>
      <c r="L257" s="3"/>
      <c r="M257" s="3"/>
      <c r="N257" s="3"/>
      <c r="O257" s="3"/>
      <c r="P257" s="3"/>
      <c r="Q257" s="3"/>
      <c r="R257" s="3"/>
      <c r="S257" s="3"/>
      <c r="T257" s="3"/>
      <c r="U257" s="3"/>
      <c r="V257" s="3"/>
      <c r="W257" s="3"/>
      <c r="X257" s="3"/>
      <c r="Y257" s="3"/>
      <c r="Z257" s="3"/>
      <c r="AA257" s="3"/>
      <c r="AB257" s="3"/>
      <c r="AC257" s="3"/>
      <c r="AD257" s="3"/>
      <c r="AE257" s="3"/>
    </row>
    <row r="258">
      <c r="A258" s="13"/>
      <c r="B258" s="13"/>
      <c r="C258" s="13"/>
      <c r="D258" s="13"/>
      <c r="E258" s="13"/>
      <c r="F258" s="3"/>
      <c r="G258" s="3"/>
      <c r="H258" s="4"/>
      <c r="I258" s="8"/>
      <c r="J258" s="8"/>
      <c r="K258" s="3"/>
      <c r="L258" s="3"/>
      <c r="M258" s="3"/>
      <c r="N258" s="3"/>
      <c r="O258" s="3"/>
      <c r="P258" s="3"/>
      <c r="Q258" s="3"/>
      <c r="R258" s="3"/>
      <c r="S258" s="3"/>
      <c r="T258" s="3"/>
      <c r="U258" s="3"/>
      <c r="V258" s="3"/>
      <c r="W258" s="3"/>
      <c r="X258" s="3"/>
      <c r="Y258" s="3"/>
      <c r="Z258" s="3"/>
      <c r="AA258" s="3"/>
      <c r="AB258" s="3"/>
      <c r="AC258" s="3"/>
      <c r="AD258" s="3"/>
      <c r="AE258" s="3"/>
    </row>
    <row r="259">
      <c r="A259" s="13"/>
      <c r="B259" s="13"/>
      <c r="C259" s="13"/>
      <c r="D259" s="13"/>
      <c r="E259" s="13"/>
      <c r="F259" s="3"/>
      <c r="G259" s="3"/>
      <c r="H259" s="4"/>
      <c r="I259" s="8"/>
      <c r="J259" s="8"/>
      <c r="K259" s="3"/>
      <c r="L259" s="3"/>
      <c r="M259" s="3"/>
      <c r="N259" s="3"/>
      <c r="O259" s="3"/>
      <c r="P259" s="3"/>
      <c r="Q259" s="3"/>
      <c r="R259" s="3"/>
      <c r="S259" s="3"/>
      <c r="T259" s="3"/>
      <c r="U259" s="3"/>
      <c r="V259" s="3"/>
      <c r="W259" s="3"/>
      <c r="X259" s="3"/>
      <c r="Y259" s="3"/>
      <c r="Z259" s="3"/>
      <c r="AA259" s="3"/>
      <c r="AB259" s="3"/>
      <c r="AC259" s="3"/>
      <c r="AD259" s="3"/>
      <c r="AE259" s="3"/>
    </row>
    <row r="260">
      <c r="A260" s="13"/>
      <c r="B260" s="13"/>
      <c r="C260" s="13"/>
      <c r="D260" s="13"/>
      <c r="E260" s="13"/>
      <c r="F260" s="3"/>
      <c r="G260" s="3"/>
      <c r="H260" s="4"/>
      <c r="I260" s="8"/>
      <c r="J260" s="8"/>
      <c r="K260" s="3"/>
      <c r="L260" s="3"/>
      <c r="M260" s="3"/>
      <c r="N260" s="3"/>
      <c r="O260" s="3"/>
      <c r="P260" s="3"/>
      <c r="Q260" s="3"/>
      <c r="R260" s="3"/>
      <c r="S260" s="3"/>
      <c r="T260" s="3"/>
      <c r="U260" s="3"/>
      <c r="V260" s="3"/>
      <c r="W260" s="3"/>
      <c r="X260" s="3"/>
      <c r="Y260" s="3"/>
      <c r="Z260" s="3"/>
      <c r="AA260" s="3"/>
      <c r="AB260" s="3"/>
      <c r="AC260" s="3"/>
      <c r="AD260" s="3"/>
      <c r="AE260" s="3"/>
    </row>
    <row r="261">
      <c r="A261" s="13"/>
      <c r="B261" s="13"/>
      <c r="C261" s="13"/>
      <c r="D261" s="13"/>
      <c r="E261" s="13"/>
      <c r="F261" s="3"/>
      <c r="G261" s="3"/>
      <c r="H261" s="4"/>
      <c r="I261" s="8"/>
      <c r="J261" s="8"/>
      <c r="K261" s="3"/>
      <c r="L261" s="3"/>
      <c r="M261" s="3"/>
      <c r="N261" s="3"/>
      <c r="O261" s="3"/>
      <c r="P261" s="3"/>
      <c r="Q261" s="3"/>
      <c r="R261" s="3"/>
      <c r="S261" s="3"/>
      <c r="T261" s="3"/>
      <c r="U261" s="3"/>
      <c r="V261" s="3"/>
      <c r="W261" s="3"/>
      <c r="X261" s="3"/>
      <c r="Y261" s="3"/>
      <c r="Z261" s="3"/>
      <c r="AA261" s="3"/>
      <c r="AB261" s="3"/>
      <c r="AC261" s="3"/>
      <c r="AD261" s="3"/>
      <c r="AE261" s="3"/>
    </row>
    <row r="262">
      <c r="A262" s="13"/>
      <c r="B262" s="13"/>
      <c r="C262" s="13"/>
      <c r="D262" s="13"/>
      <c r="E262" s="13"/>
      <c r="F262" s="3"/>
      <c r="G262" s="3"/>
      <c r="H262" s="4"/>
      <c r="I262" s="8"/>
      <c r="J262" s="8"/>
      <c r="K262" s="3"/>
      <c r="L262" s="3"/>
      <c r="M262" s="3"/>
      <c r="N262" s="3"/>
      <c r="O262" s="3"/>
      <c r="P262" s="3"/>
      <c r="Q262" s="3"/>
      <c r="R262" s="3"/>
      <c r="S262" s="3"/>
      <c r="T262" s="3"/>
      <c r="U262" s="3"/>
      <c r="V262" s="3"/>
      <c r="W262" s="3"/>
      <c r="X262" s="3"/>
      <c r="Y262" s="3"/>
      <c r="Z262" s="3"/>
      <c r="AA262" s="3"/>
      <c r="AB262" s="3"/>
      <c r="AC262" s="3"/>
      <c r="AD262" s="3"/>
      <c r="AE262" s="3"/>
    </row>
    <row r="263">
      <c r="A263" s="13"/>
      <c r="B263" s="13"/>
      <c r="C263" s="13"/>
      <c r="D263" s="13"/>
      <c r="E263" s="13"/>
      <c r="F263" s="3"/>
      <c r="G263" s="3"/>
      <c r="H263" s="4"/>
      <c r="I263" s="8"/>
      <c r="J263" s="8"/>
      <c r="K263" s="3"/>
      <c r="L263" s="3"/>
      <c r="M263" s="3"/>
      <c r="N263" s="3"/>
      <c r="O263" s="3"/>
      <c r="P263" s="3"/>
      <c r="Q263" s="3"/>
      <c r="R263" s="3"/>
      <c r="S263" s="3"/>
      <c r="T263" s="3"/>
      <c r="U263" s="3"/>
      <c r="V263" s="3"/>
      <c r="W263" s="3"/>
      <c r="X263" s="3"/>
      <c r="Y263" s="3"/>
      <c r="Z263" s="3"/>
      <c r="AA263" s="3"/>
      <c r="AB263" s="3"/>
      <c r="AC263" s="3"/>
      <c r="AD263" s="3"/>
      <c r="AE263" s="3"/>
    </row>
    <row r="264">
      <c r="A264" s="13"/>
      <c r="B264" s="13"/>
      <c r="C264" s="13"/>
      <c r="D264" s="13"/>
      <c r="E264" s="13"/>
      <c r="F264" s="3"/>
      <c r="G264" s="3"/>
      <c r="H264" s="4"/>
      <c r="I264" s="8"/>
      <c r="J264" s="8"/>
      <c r="K264" s="3"/>
      <c r="L264" s="3"/>
      <c r="M264" s="3"/>
      <c r="N264" s="3"/>
      <c r="O264" s="3"/>
      <c r="P264" s="3"/>
      <c r="Q264" s="3"/>
      <c r="R264" s="3"/>
      <c r="S264" s="3"/>
      <c r="T264" s="3"/>
      <c r="U264" s="3"/>
      <c r="V264" s="3"/>
      <c r="W264" s="3"/>
      <c r="X264" s="3"/>
      <c r="Y264" s="3"/>
      <c r="Z264" s="3"/>
      <c r="AA264" s="3"/>
      <c r="AB264" s="3"/>
      <c r="AC264" s="3"/>
      <c r="AD264" s="3"/>
      <c r="AE264" s="3"/>
    </row>
    <row r="265">
      <c r="A265" s="13"/>
      <c r="B265" s="13"/>
      <c r="C265" s="13"/>
      <c r="D265" s="13"/>
      <c r="E265" s="13"/>
      <c r="F265" s="3"/>
      <c r="G265" s="3"/>
      <c r="H265" s="4"/>
      <c r="I265" s="8"/>
      <c r="J265" s="8"/>
      <c r="K265" s="3"/>
      <c r="L265" s="3"/>
      <c r="M265" s="3"/>
      <c r="N265" s="3"/>
      <c r="O265" s="3"/>
      <c r="P265" s="3"/>
      <c r="Q265" s="3"/>
      <c r="R265" s="3"/>
      <c r="S265" s="3"/>
      <c r="T265" s="3"/>
      <c r="U265" s="3"/>
      <c r="V265" s="3"/>
      <c r="W265" s="3"/>
      <c r="X265" s="3"/>
      <c r="Y265" s="3"/>
      <c r="Z265" s="3"/>
      <c r="AA265" s="3"/>
      <c r="AB265" s="3"/>
      <c r="AC265" s="3"/>
      <c r="AD265" s="3"/>
      <c r="AE265" s="3"/>
    </row>
    <row r="266">
      <c r="A266" s="13"/>
      <c r="B266" s="13"/>
      <c r="C266" s="13"/>
      <c r="D266" s="13"/>
      <c r="E266" s="13"/>
      <c r="F266" s="3"/>
      <c r="G266" s="3"/>
      <c r="H266" s="4"/>
      <c r="I266" s="8"/>
      <c r="J266" s="8"/>
      <c r="K266" s="3"/>
      <c r="L266" s="3"/>
      <c r="M266" s="3"/>
      <c r="N266" s="3"/>
      <c r="O266" s="3"/>
      <c r="P266" s="3"/>
      <c r="Q266" s="3"/>
      <c r="R266" s="3"/>
      <c r="S266" s="3"/>
      <c r="T266" s="3"/>
      <c r="U266" s="3"/>
      <c r="V266" s="3"/>
      <c r="W266" s="3"/>
      <c r="X266" s="3"/>
      <c r="Y266" s="3"/>
      <c r="Z266" s="3"/>
      <c r="AA266" s="3"/>
      <c r="AB266" s="3"/>
      <c r="AC266" s="3"/>
      <c r="AD266" s="3"/>
      <c r="AE266" s="3"/>
    </row>
    <row r="267">
      <c r="A267" s="13"/>
      <c r="B267" s="13"/>
      <c r="C267" s="13"/>
      <c r="D267" s="13"/>
      <c r="E267" s="13"/>
      <c r="F267" s="3"/>
      <c r="G267" s="3"/>
      <c r="H267" s="4"/>
      <c r="I267" s="8"/>
      <c r="J267" s="8"/>
      <c r="K267" s="3"/>
      <c r="L267" s="3"/>
      <c r="M267" s="3"/>
      <c r="N267" s="3"/>
      <c r="O267" s="3"/>
      <c r="P267" s="3"/>
      <c r="Q267" s="3"/>
      <c r="R267" s="3"/>
      <c r="S267" s="3"/>
      <c r="T267" s="3"/>
      <c r="U267" s="3"/>
      <c r="V267" s="3"/>
      <c r="W267" s="3"/>
      <c r="X267" s="3"/>
      <c r="Y267" s="3"/>
      <c r="Z267" s="3"/>
      <c r="AA267" s="3"/>
      <c r="AB267" s="3"/>
      <c r="AC267" s="3"/>
      <c r="AD267" s="3"/>
      <c r="AE267" s="3"/>
    </row>
    <row r="268">
      <c r="A268" s="13"/>
      <c r="B268" s="13"/>
      <c r="C268" s="13"/>
      <c r="D268" s="13"/>
      <c r="E268" s="13"/>
      <c r="F268" s="3"/>
      <c r="G268" s="3"/>
      <c r="H268" s="4"/>
      <c r="I268" s="8"/>
      <c r="J268" s="8"/>
      <c r="K268" s="3"/>
      <c r="L268" s="3"/>
      <c r="M268" s="3"/>
      <c r="N268" s="3"/>
      <c r="O268" s="3"/>
      <c r="P268" s="3"/>
      <c r="Q268" s="3"/>
      <c r="R268" s="3"/>
      <c r="S268" s="3"/>
      <c r="T268" s="3"/>
      <c r="U268" s="3"/>
      <c r="V268" s="3"/>
      <c r="W268" s="3"/>
      <c r="X268" s="3"/>
      <c r="Y268" s="3"/>
      <c r="Z268" s="3"/>
      <c r="AA268" s="3"/>
      <c r="AB268" s="3"/>
      <c r="AC268" s="3"/>
      <c r="AD268" s="3"/>
      <c r="AE268" s="3"/>
    </row>
    <row r="269">
      <c r="A269" s="13"/>
      <c r="B269" s="13"/>
      <c r="C269" s="13"/>
      <c r="D269" s="13"/>
      <c r="E269" s="13"/>
      <c r="F269" s="3"/>
      <c r="G269" s="3"/>
      <c r="H269" s="4"/>
      <c r="I269" s="8"/>
      <c r="J269" s="8"/>
      <c r="K269" s="3"/>
      <c r="L269" s="3"/>
      <c r="M269" s="3"/>
      <c r="N269" s="3"/>
      <c r="O269" s="3"/>
      <c r="P269" s="3"/>
      <c r="Q269" s="3"/>
      <c r="R269" s="3"/>
      <c r="S269" s="3"/>
      <c r="T269" s="3"/>
      <c r="U269" s="3"/>
      <c r="V269" s="3"/>
      <c r="W269" s="3"/>
      <c r="X269" s="3"/>
      <c r="Y269" s="3"/>
      <c r="Z269" s="3"/>
      <c r="AA269" s="3"/>
      <c r="AB269" s="3"/>
      <c r="AC269" s="3"/>
      <c r="AD269" s="3"/>
      <c r="AE269" s="3"/>
    </row>
    <row r="270">
      <c r="A270" s="13"/>
      <c r="B270" s="13"/>
      <c r="C270" s="13"/>
      <c r="D270" s="13"/>
      <c r="E270" s="13"/>
      <c r="F270" s="3"/>
      <c r="G270" s="3"/>
      <c r="H270" s="4"/>
      <c r="I270" s="8"/>
      <c r="J270" s="8"/>
      <c r="K270" s="3"/>
      <c r="L270" s="3"/>
      <c r="M270" s="3"/>
      <c r="N270" s="3"/>
      <c r="O270" s="3"/>
      <c r="P270" s="3"/>
      <c r="Q270" s="3"/>
      <c r="R270" s="3"/>
      <c r="S270" s="3"/>
      <c r="T270" s="3"/>
      <c r="U270" s="3"/>
      <c r="V270" s="3"/>
      <c r="W270" s="3"/>
      <c r="X270" s="3"/>
      <c r="Y270" s="3"/>
      <c r="Z270" s="3"/>
      <c r="AA270" s="3"/>
      <c r="AB270" s="3"/>
      <c r="AC270" s="3"/>
      <c r="AD270" s="3"/>
      <c r="AE270" s="3"/>
    </row>
    <row r="271">
      <c r="A271" s="13"/>
      <c r="B271" s="13"/>
      <c r="C271" s="13"/>
      <c r="D271" s="13"/>
      <c r="E271" s="13"/>
      <c r="F271" s="3"/>
      <c r="G271" s="3"/>
      <c r="H271" s="4"/>
      <c r="I271" s="8"/>
      <c r="J271" s="8"/>
      <c r="K271" s="3"/>
      <c r="L271" s="3"/>
      <c r="M271" s="3"/>
      <c r="N271" s="3"/>
      <c r="O271" s="3"/>
      <c r="P271" s="3"/>
      <c r="Q271" s="3"/>
      <c r="R271" s="3"/>
      <c r="S271" s="3"/>
      <c r="T271" s="3"/>
      <c r="U271" s="3"/>
      <c r="V271" s="3"/>
      <c r="W271" s="3"/>
      <c r="X271" s="3"/>
      <c r="Y271" s="3"/>
      <c r="Z271" s="3"/>
      <c r="AA271" s="3"/>
      <c r="AB271" s="3"/>
      <c r="AC271" s="3"/>
      <c r="AD271" s="3"/>
      <c r="AE271" s="3"/>
    </row>
    <row r="272">
      <c r="A272" s="13"/>
      <c r="B272" s="13"/>
      <c r="C272" s="13"/>
      <c r="D272" s="13"/>
      <c r="E272" s="13"/>
      <c r="F272" s="3"/>
      <c r="G272" s="3"/>
      <c r="H272" s="4"/>
      <c r="I272" s="8"/>
      <c r="J272" s="8"/>
      <c r="K272" s="3"/>
      <c r="L272" s="3"/>
      <c r="M272" s="3"/>
      <c r="N272" s="3"/>
      <c r="O272" s="3"/>
      <c r="P272" s="3"/>
      <c r="Q272" s="3"/>
      <c r="R272" s="3"/>
      <c r="S272" s="3"/>
      <c r="T272" s="3"/>
      <c r="U272" s="3"/>
      <c r="V272" s="3"/>
      <c r="W272" s="3"/>
      <c r="X272" s="3"/>
      <c r="Y272" s="3"/>
      <c r="Z272" s="3"/>
      <c r="AA272" s="3"/>
      <c r="AB272" s="3"/>
      <c r="AC272" s="3"/>
      <c r="AD272" s="3"/>
      <c r="AE272" s="3"/>
    </row>
    <row r="273">
      <c r="A273" s="13"/>
      <c r="B273" s="13"/>
      <c r="C273" s="13"/>
      <c r="D273" s="13"/>
      <c r="E273" s="13"/>
      <c r="F273" s="3"/>
      <c r="G273" s="3"/>
      <c r="H273" s="4"/>
      <c r="I273" s="8"/>
      <c r="J273" s="8"/>
      <c r="K273" s="3"/>
      <c r="L273" s="3"/>
      <c r="M273" s="3"/>
      <c r="N273" s="3"/>
      <c r="O273" s="3"/>
      <c r="P273" s="3"/>
      <c r="Q273" s="3"/>
      <c r="R273" s="3"/>
      <c r="S273" s="3"/>
      <c r="T273" s="3"/>
      <c r="U273" s="3"/>
      <c r="V273" s="3"/>
      <c r="W273" s="3"/>
      <c r="X273" s="3"/>
      <c r="Y273" s="3"/>
      <c r="Z273" s="3"/>
      <c r="AA273" s="3"/>
      <c r="AB273" s="3"/>
      <c r="AC273" s="3"/>
      <c r="AD273" s="3"/>
      <c r="AE273" s="3"/>
    </row>
    <row r="274">
      <c r="A274" s="13"/>
      <c r="B274" s="13"/>
      <c r="C274" s="13"/>
      <c r="D274" s="13"/>
      <c r="E274" s="13"/>
      <c r="F274" s="3"/>
      <c r="G274" s="3"/>
      <c r="H274" s="4"/>
      <c r="I274" s="8"/>
      <c r="J274" s="8"/>
      <c r="K274" s="3"/>
      <c r="L274" s="3"/>
      <c r="M274" s="3"/>
      <c r="N274" s="3"/>
      <c r="O274" s="3"/>
      <c r="P274" s="3"/>
      <c r="Q274" s="3"/>
      <c r="R274" s="3"/>
      <c r="S274" s="3"/>
      <c r="T274" s="3"/>
      <c r="U274" s="3"/>
      <c r="V274" s="3"/>
      <c r="W274" s="3"/>
      <c r="X274" s="3"/>
      <c r="Y274" s="3"/>
      <c r="Z274" s="3"/>
      <c r="AA274" s="3"/>
      <c r="AB274" s="3"/>
      <c r="AC274" s="3"/>
      <c r="AD274" s="3"/>
      <c r="AE274" s="3"/>
    </row>
    <row r="275">
      <c r="A275" s="13"/>
      <c r="B275" s="13"/>
      <c r="C275" s="13"/>
      <c r="D275" s="13"/>
      <c r="E275" s="13"/>
      <c r="F275" s="3"/>
      <c r="G275" s="3"/>
      <c r="H275" s="4"/>
      <c r="I275" s="8"/>
      <c r="J275" s="8"/>
      <c r="K275" s="3"/>
      <c r="L275" s="3"/>
      <c r="M275" s="3"/>
      <c r="N275" s="3"/>
      <c r="O275" s="3"/>
      <c r="P275" s="3"/>
      <c r="Q275" s="3"/>
      <c r="R275" s="3"/>
      <c r="S275" s="3"/>
      <c r="T275" s="3"/>
      <c r="U275" s="3"/>
      <c r="V275" s="3"/>
      <c r="W275" s="3"/>
      <c r="X275" s="3"/>
      <c r="Y275" s="3"/>
      <c r="Z275" s="3"/>
      <c r="AA275" s="3"/>
      <c r="AB275" s="3"/>
      <c r="AC275" s="3"/>
      <c r="AD275" s="3"/>
      <c r="AE275" s="3"/>
    </row>
    <row r="276">
      <c r="A276" s="13"/>
      <c r="B276" s="13"/>
      <c r="C276" s="13"/>
      <c r="D276" s="13"/>
      <c r="E276" s="13"/>
      <c r="F276" s="3"/>
      <c r="G276" s="3"/>
      <c r="H276" s="4"/>
      <c r="I276" s="8"/>
      <c r="J276" s="8"/>
      <c r="K276" s="3"/>
      <c r="L276" s="3"/>
      <c r="M276" s="3"/>
      <c r="N276" s="3"/>
      <c r="O276" s="3"/>
      <c r="P276" s="3"/>
      <c r="Q276" s="3"/>
      <c r="R276" s="3"/>
      <c r="S276" s="3"/>
      <c r="T276" s="3"/>
      <c r="U276" s="3"/>
      <c r="V276" s="3"/>
      <c r="W276" s="3"/>
      <c r="X276" s="3"/>
      <c r="Y276" s="3"/>
      <c r="Z276" s="3"/>
      <c r="AA276" s="3"/>
      <c r="AB276" s="3"/>
      <c r="AC276" s="3"/>
      <c r="AD276" s="3"/>
      <c r="AE276" s="3"/>
    </row>
    <row r="277">
      <c r="A277" s="13"/>
      <c r="B277" s="13"/>
      <c r="C277" s="13"/>
      <c r="D277" s="13"/>
      <c r="E277" s="13"/>
      <c r="F277" s="3"/>
      <c r="G277" s="3"/>
      <c r="H277" s="4"/>
      <c r="I277" s="8"/>
      <c r="J277" s="8"/>
      <c r="K277" s="3"/>
      <c r="L277" s="3"/>
      <c r="M277" s="3"/>
      <c r="N277" s="3"/>
      <c r="O277" s="3"/>
      <c r="P277" s="3"/>
      <c r="Q277" s="3"/>
      <c r="R277" s="3"/>
      <c r="S277" s="3"/>
      <c r="T277" s="3"/>
      <c r="U277" s="3"/>
      <c r="V277" s="3"/>
      <c r="W277" s="3"/>
      <c r="X277" s="3"/>
      <c r="Y277" s="3"/>
      <c r="Z277" s="3"/>
      <c r="AA277" s="3"/>
      <c r="AB277" s="3"/>
      <c r="AC277" s="3"/>
      <c r="AD277" s="3"/>
      <c r="AE277" s="3"/>
    </row>
    <row r="278">
      <c r="A278" s="13"/>
      <c r="B278" s="13"/>
      <c r="C278" s="13"/>
      <c r="D278" s="13"/>
      <c r="E278" s="13"/>
      <c r="F278" s="3"/>
      <c r="G278" s="3"/>
      <c r="H278" s="4"/>
      <c r="I278" s="8"/>
      <c r="J278" s="8"/>
      <c r="K278" s="3"/>
      <c r="L278" s="3"/>
      <c r="M278" s="3"/>
      <c r="N278" s="3"/>
      <c r="O278" s="3"/>
      <c r="P278" s="3"/>
      <c r="Q278" s="3"/>
      <c r="R278" s="3"/>
      <c r="S278" s="3"/>
      <c r="T278" s="3"/>
      <c r="U278" s="3"/>
      <c r="V278" s="3"/>
      <c r="W278" s="3"/>
      <c r="X278" s="3"/>
      <c r="Y278" s="3"/>
      <c r="Z278" s="3"/>
      <c r="AA278" s="3"/>
      <c r="AB278" s="3"/>
      <c r="AC278" s="3"/>
      <c r="AD278" s="3"/>
      <c r="AE278" s="3"/>
    </row>
    <row r="279">
      <c r="A279" s="13"/>
      <c r="B279" s="13"/>
      <c r="C279" s="13"/>
      <c r="D279" s="13"/>
      <c r="E279" s="13"/>
      <c r="F279" s="3"/>
      <c r="G279" s="3"/>
      <c r="H279" s="4"/>
      <c r="I279" s="8"/>
      <c r="J279" s="8"/>
      <c r="K279" s="3"/>
      <c r="L279" s="3"/>
      <c r="M279" s="3"/>
      <c r="N279" s="3"/>
      <c r="O279" s="3"/>
      <c r="P279" s="3"/>
      <c r="Q279" s="3"/>
      <c r="R279" s="3"/>
      <c r="S279" s="3"/>
      <c r="T279" s="3"/>
      <c r="U279" s="3"/>
      <c r="V279" s="3"/>
      <c r="W279" s="3"/>
      <c r="X279" s="3"/>
      <c r="Y279" s="3"/>
      <c r="Z279" s="3"/>
      <c r="AA279" s="3"/>
      <c r="AB279" s="3"/>
      <c r="AC279" s="3"/>
      <c r="AD279" s="3"/>
      <c r="AE279" s="3"/>
    </row>
    <row r="280">
      <c r="A280" s="13"/>
      <c r="B280" s="13"/>
      <c r="C280" s="13"/>
      <c r="D280" s="13"/>
      <c r="E280" s="13"/>
      <c r="F280" s="3"/>
      <c r="G280" s="3"/>
      <c r="H280" s="4"/>
      <c r="I280" s="8"/>
      <c r="J280" s="8"/>
      <c r="K280" s="3"/>
      <c r="L280" s="3"/>
      <c r="M280" s="3"/>
      <c r="N280" s="3"/>
      <c r="O280" s="3"/>
      <c r="P280" s="3"/>
      <c r="Q280" s="3"/>
      <c r="R280" s="3"/>
      <c r="S280" s="3"/>
      <c r="T280" s="3"/>
      <c r="U280" s="3"/>
      <c r="V280" s="3"/>
      <c r="W280" s="3"/>
      <c r="X280" s="3"/>
      <c r="Y280" s="3"/>
      <c r="Z280" s="3"/>
      <c r="AA280" s="3"/>
      <c r="AB280" s="3"/>
      <c r="AC280" s="3"/>
      <c r="AD280" s="3"/>
      <c r="AE280" s="3"/>
    </row>
    <row r="281">
      <c r="A281" s="13"/>
      <c r="B281" s="13"/>
      <c r="C281" s="13"/>
      <c r="D281" s="13"/>
      <c r="E281" s="13"/>
      <c r="F281" s="3"/>
      <c r="G281" s="3"/>
      <c r="H281" s="4"/>
      <c r="I281" s="8"/>
      <c r="J281" s="8"/>
      <c r="K281" s="3"/>
      <c r="L281" s="3"/>
      <c r="M281" s="3"/>
      <c r="N281" s="3"/>
      <c r="O281" s="3"/>
      <c r="P281" s="3"/>
      <c r="Q281" s="3"/>
      <c r="R281" s="3"/>
      <c r="S281" s="3"/>
      <c r="T281" s="3"/>
      <c r="U281" s="3"/>
      <c r="V281" s="3"/>
      <c r="W281" s="3"/>
      <c r="X281" s="3"/>
      <c r="Y281" s="3"/>
      <c r="Z281" s="3"/>
      <c r="AA281" s="3"/>
      <c r="AB281" s="3"/>
      <c r="AC281" s="3"/>
      <c r="AD281" s="3"/>
      <c r="AE281" s="3"/>
    </row>
    <row r="282">
      <c r="A282" s="13"/>
      <c r="B282" s="13"/>
      <c r="C282" s="13"/>
      <c r="D282" s="13"/>
      <c r="E282" s="13"/>
      <c r="F282" s="3"/>
      <c r="G282" s="3"/>
      <c r="H282" s="4"/>
      <c r="I282" s="8"/>
      <c r="J282" s="8"/>
      <c r="K282" s="3"/>
      <c r="L282" s="3"/>
      <c r="M282" s="3"/>
      <c r="N282" s="3"/>
      <c r="O282" s="3"/>
      <c r="P282" s="3"/>
      <c r="Q282" s="3"/>
      <c r="R282" s="3"/>
      <c r="S282" s="3"/>
      <c r="T282" s="3"/>
      <c r="U282" s="3"/>
      <c r="V282" s="3"/>
      <c r="W282" s="3"/>
      <c r="X282" s="3"/>
      <c r="Y282" s="3"/>
      <c r="Z282" s="3"/>
      <c r="AA282" s="3"/>
      <c r="AB282" s="3"/>
      <c r="AC282" s="3"/>
      <c r="AD282" s="3"/>
      <c r="AE282" s="3"/>
    </row>
    <row r="283">
      <c r="A283" s="13"/>
      <c r="B283" s="13"/>
      <c r="C283" s="13"/>
      <c r="D283" s="13"/>
      <c r="E283" s="13"/>
      <c r="F283" s="3"/>
      <c r="G283" s="3"/>
      <c r="H283" s="4"/>
      <c r="I283" s="8"/>
      <c r="J283" s="8"/>
      <c r="K283" s="3"/>
      <c r="L283" s="3"/>
      <c r="M283" s="3"/>
      <c r="N283" s="3"/>
      <c r="O283" s="3"/>
      <c r="P283" s="3"/>
      <c r="Q283" s="3"/>
      <c r="R283" s="3"/>
      <c r="S283" s="3"/>
      <c r="T283" s="3"/>
      <c r="U283" s="3"/>
      <c r="V283" s="3"/>
      <c r="W283" s="3"/>
      <c r="X283" s="3"/>
      <c r="Y283" s="3"/>
      <c r="Z283" s="3"/>
      <c r="AA283" s="3"/>
      <c r="AB283" s="3"/>
      <c r="AC283" s="3"/>
      <c r="AD283" s="3"/>
      <c r="AE283" s="3"/>
    </row>
    <row r="284">
      <c r="A284" s="13"/>
      <c r="B284" s="13"/>
      <c r="C284" s="13"/>
      <c r="D284" s="13"/>
      <c r="E284" s="13"/>
      <c r="F284" s="3"/>
      <c r="G284" s="3"/>
      <c r="H284" s="4"/>
      <c r="I284" s="8"/>
      <c r="J284" s="8"/>
      <c r="K284" s="3"/>
      <c r="L284" s="3"/>
      <c r="M284" s="3"/>
      <c r="N284" s="3"/>
      <c r="O284" s="3"/>
      <c r="P284" s="3"/>
      <c r="Q284" s="3"/>
      <c r="R284" s="3"/>
      <c r="S284" s="3"/>
      <c r="T284" s="3"/>
      <c r="U284" s="3"/>
      <c r="V284" s="3"/>
      <c r="W284" s="3"/>
      <c r="X284" s="3"/>
      <c r="Y284" s="3"/>
      <c r="Z284" s="3"/>
      <c r="AA284" s="3"/>
      <c r="AB284" s="3"/>
      <c r="AC284" s="3"/>
      <c r="AD284" s="3"/>
      <c r="AE284" s="3"/>
    </row>
    <row r="285">
      <c r="A285" s="13"/>
      <c r="B285" s="13"/>
      <c r="C285" s="13"/>
      <c r="D285" s="13"/>
      <c r="E285" s="13"/>
      <c r="F285" s="3"/>
      <c r="G285" s="3"/>
      <c r="H285" s="4"/>
      <c r="I285" s="8"/>
      <c r="J285" s="8"/>
      <c r="K285" s="3"/>
      <c r="L285" s="3"/>
      <c r="M285" s="3"/>
      <c r="N285" s="3"/>
      <c r="O285" s="3"/>
      <c r="P285" s="3"/>
      <c r="Q285" s="3"/>
      <c r="R285" s="3"/>
      <c r="S285" s="3"/>
      <c r="T285" s="3"/>
      <c r="U285" s="3"/>
      <c r="V285" s="3"/>
      <c r="W285" s="3"/>
      <c r="X285" s="3"/>
      <c r="Y285" s="3"/>
      <c r="Z285" s="3"/>
      <c r="AA285" s="3"/>
      <c r="AB285" s="3"/>
      <c r="AC285" s="3"/>
      <c r="AD285" s="3"/>
      <c r="AE285" s="3"/>
    </row>
    <row r="286">
      <c r="A286" s="13"/>
      <c r="B286" s="13"/>
      <c r="C286" s="13"/>
      <c r="D286" s="13"/>
      <c r="E286" s="13"/>
      <c r="F286" s="3"/>
      <c r="G286" s="3"/>
      <c r="H286" s="4"/>
      <c r="I286" s="8"/>
      <c r="J286" s="8"/>
      <c r="K286" s="3"/>
      <c r="L286" s="3"/>
      <c r="M286" s="3"/>
      <c r="N286" s="3"/>
      <c r="O286" s="3"/>
      <c r="P286" s="3"/>
      <c r="Q286" s="3"/>
      <c r="R286" s="3"/>
      <c r="S286" s="3"/>
      <c r="T286" s="3"/>
      <c r="U286" s="3"/>
      <c r="V286" s="3"/>
      <c r="W286" s="3"/>
      <c r="X286" s="3"/>
      <c r="Y286" s="3"/>
      <c r="Z286" s="3"/>
      <c r="AA286" s="3"/>
      <c r="AB286" s="3"/>
      <c r="AC286" s="3"/>
      <c r="AD286" s="3"/>
      <c r="AE286" s="3"/>
    </row>
    <row r="287">
      <c r="A287" s="13"/>
      <c r="B287" s="13"/>
      <c r="C287" s="13"/>
      <c r="D287" s="13"/>
      <c r="E287" s="13"/>
      <c r="F287" s="3"/>
      <c r="G287" s="3"/>
      <c r="H287" s="4"/>
      <c r="I287" s="8"/>
      <c r="J287" s="8"/>
      <c r="K287" s="3"/>
      <c r="L287" s="3"/>
      <c r="M287" s="3"/>
      <c r="N287" s="3"/>
      <c r="O287" s="3"/>
      <c r="P287" s="3"/>
      <c r="Q287" s="3"/>
      <c r="R287" s="3"/>
      <c r="S287" s="3"/>
      <c r="T287" s="3"/>
      <c r="U287" s="3"/>
      <c r="V287" s="3"/>
      <c r="W287" s="3"/>
      <c r="X287" s="3"/>
      <c r="Y287" s="3"/>
      <c r="Z287" s="3"/>
      <c r="AA287" s="3"/>
      <c r="AB287" s="3"/>
      <c r="AC287" s="3"/>
      <c r="AD287" s="3"/>
      <c r="AE287" s="3"/>
    </row>
    <row r="288">
      <c r="A288" s="13"/>
      <c r="B288" s="13"/>
      <c r="C288" s="13"/>
      <c r="D288" s="13"/>
      <c r="E288" s="13"/>
      <c r="F288" s="3"/>
      <c r="G288" s="3"/>
      <c r="H288" s="4"/>
      <c r="I288" s="8"/>
      <c r="J288" s="8"/>
      <c r="K288" s="3"/>
      <c r="L288" s="3"/>
      <c r="M288" s="3"/>
      <c r="N288" s="3"/>
      <c r="O288" s="3"/>
      <c r="P288" s="3"/>
      <c r="Q288" s="3"/>
      <c r="R288" s="3"/>
      <c r="S288" s="3"/>
      <c r="T288" s="3"/>
      <c r="U288" s="3"/>
      <c r="V288" s="3"/>
      <c r="W288" s="3"/>
      <c r="X288" s="3"/>
      <c r="Y288" s="3"/>
      <c r="Z288" s="3"/>
      <c r="AA288" s="3"/>
      <c r="AB288" s="3"/>
      <c r="AC288" s="3"/>
      <c r="AD288" s="3"/>
      <c r="AE288" s="3"/>
    </row>
    <row r="289">
      <c r="A289" s="13"/>
      <c r="B289" s="13"/>
      <c r="C289" s="13"/>
      <c r="D289" s="13"/>
      <c r="E289" s="13"/>
      <c r="F289" s="3"/>
      <c r="G289" s="3"/>
      <c r="H289" s="4"/>
      <c r="I289" s="8"/>
      <c r="J289" s="8"/>
      <c r="K289" s="3"/>
      <c r="L289" s="3"/>
      <c r="M289" s="3"/>
      <c r="N289" s="3"/>
      <c r="O289" s="3"/>
      <c r="P289" s="3"/>
      <c r="Q289" s="3"/>
      <c r="R289" s="3"/>
      <c r="S289" s="3"/>
      <c r="T289" s="3"/>
      <c r="U289" s="3"/>
      <c r="V289" s="3"/>
      <c r="W289" s="3"/>
      <c r="X289" s="3"/>
      <c r="Y289" s="3"/>
      <c r="Z289" s="3"/>
      <c r="AA289" s="3"/>
      <c r="AB289" s="3"/>
      <c r="AC289" s="3"/>
      <c r="AD289" s="3"/>
      <c r="AE289" s="3"/>
    </row>
    <row r="290">
      <c r="A290" s="13"/>
      <c r="B290" s="13"/>
      <c r="C290" s="13"/>
      <c r="D290" s="13"/>
      <c r="E290" s="13"/>
      <c r="F290" s="3"/>
      <c r="G290" s="3"/>
      <c r="H290" s="4"/>
      <c r="I290" s="8"/>
      <c r="J290" s="8"/>
      <c r="K290" s="3"/>
      <c r="L290" s="3"/>
      <c r="M290" s="3"/>
      <c r="N290" s="3"/>
      <c r="O290" s="3"/>
      <c r="P290" s="3"/>
      <c r="Q290" s="3"/>
      <c r="R290" s="3"/>
      <c r="S290" s="3"/>
      <c r="T290" s="3"/>
      <c r="U290" s="3"/>
      <c r="V290" s="3"/>
      <c r="W290" s="3"/>
      <c r="X290" s="3"/>
      <c r="Y290" s="3"/>
      <c r="Z290" s="3"/>
      <c r="AA290" s="3"/>
      <c r="AB290" s="3"/>
      <c r="AC290" s="3"/>
      <c r="AD290" s="3"/>
      <c r="AE290" s="3"/>
    </row>
    <row r="291">
      <c r="A291" s="13"/>
      <c r="B291" s="13"/>
      <c r="C291" s="13"/>
      <c r="D291" s="13"/>
      <c r="E291" s="13"/>
      <c r="F291" s="3"/>
      <c r="G291" s="3"/>
      <c r="H291" s="4"/>
      <c r="I291" s="8"/>
      <c r="J291" s="8"/>
      <c r="K291" s="3"/>
      <c r="L291" s="3"/>
      <c r="M291" s="3"/>
      <c r="N291" s="3"/>
      <c r="O291" s="3"/>
      <c r="P291" s="3"/>
      <c r="Q291" s="3"/>
      <c r="R291" s="3"/>
      <c r="S291" s="3"/>
      <c r="T291" s="3"/>
      <c r="U291" s="3"/>
      <c r="V291" s="3"/>
      <c r="W291" s="3"/>
      <c r="X291" s="3"/>
      <c r="Y291" s="3"/>
      <c r="Z291" s="3"/>
      <c r="AA291" s="3"/>
      <c r="AB291" s="3"/>
      <c r="AC291" s="3"/>
      <c r="AD291" s="3"/>
      <c r="AE291" s="3"/>
    </row>
    <row r="292">
      <c r="A292" s="13"/>
      <c r="B292" s="13"/>
      <c r="C292" s="13"/>
      <c r="D292" s="13"/>
      <c r="E292" s="13"/>
      <c r="F292" s="3"/>
      <c r="G292" s="3"/>
      <c r="H292" s="4"/>
      <c r="I292" s="8"/>
      <c r="J292" s="8"/>
      <c r="K292" s="3"/>
      <c r="L292" s="3"/>
      <c r="M292" s="3"/>
      <c r="N292" s="3"/>
      <c r="O292" s="3"/>
      <c r="P292" s="3"/>
      <c r="Q292" s="3"/>
      <c r="R292" s="3"/>
      <c r="S292" s="3"/>
      <c r="T292" s="3"/>
      <c r="U292" s="3"/>
      <c r="V292" s="3"/>
      <c r="W292" s="3"/>
      <c r="X292" s="3"/>
      <c r="Y292" s="3"/>
      <c r="Z292" s="3"/>
      <c r="AA292" s="3"/>
      <c r="AB292" s="3"/>
      <c r="AC292" s="3"/>
      <c r="AD292" s="3"/>
      <c r="AE292" s="3"/>
    </row>
    <row r="293">
      <c r="A293" s="13"/>
      <c r="B293" s="13"/>
      <c r="C293" s="13"/>
      <c r="D293" s="13"/>
      <c r="E293" s="13"/>
      <c r="F293" s="3"/>
      <c r="G293" s="3"/>
      <c r="H293" s="4"/>
      <c r="I293" s="8"/>
      <c r="J293" s="8"/>
      <c r="K293" s="3"/>
      <c r="L293" s="3"/>
      <c r="M293" s="3"/>
      <c r="N293" s="3"/>
      <c r="O293" s="3"/>
      <c r="P293" s="3"/>
      <c r="Q293" s="3"/>
      <c r="R293" s="3"/>
      <c r="S293" s="3"/>
      <c r="T293" s="3"/>
      <c r="U293" s="3"/>
      <c r="V293" s="3"/>
      <c r="W293" s="3"/>
      <c r="X293" s="3"/>
      <c r="Y293" s="3"/>
      <c r="Z293" s="3"/>
      <c r="AA293" s="3"/>
      <c r="AB293" s="3"/>
      <c r="AC293" s="3"/>
      <c r="AD293" s="3"/>
      <c r="AE293" s="3"/>
    </row>
    <row r="294">
      <c r="A294" s="13"/>
      <c r="B294" s="13"/>
      <c r="C294" s="13"/>
      <c r="D294" s="13"/>
      <c r="E294" s="13"/>
      <c r="F294" s="3"/>
      <c r="G294" s="3"/>
      <c r="H294" s="4"/>
      <c r="I294" s="8"/>
      <c r="J294" s="8"/>
      <c r="K294" s="3"/>
      <c r="L294" s="3"/>
      <c r="M294" s="3"/>
      <c r="N294" s="3"/>
      <c r="O294" s="3"/>
      <c r="P294" s="3"/>
      <c r="Q294" s="3"/>
      <c r="R294" s="3"/>
      <c r="S294" s="3"/>
      <c r="T294" s="3"/>
      <c r="U294" s="3"/>
      <c r="V294" s="3"/>
      <c r="W294" s="3"/>
      <c r="X294" s="3"/>
      <c r="Y294" s="3"/>
      <c r="Z294" s="3"/>
      <c r="AA294" s="3"/>
      <c r="AB294" s="3"/>
      <c r="AC294" s="3"/>
      <c r="AD294" s="3"/>
      <c r="AE294" s="3"/>
    </row>
    <row r="295">
      <c r="A295" s="13"/>
      <c r="B295" s="13"/>
      <c r="C295" s="13"/>
      <c r="D295" s="13"/>
      <c r="E295" s="13"/>
      <c r="F295" s="3"/>
      <c r="G295" s="3"/>
      <c r="H295" s="4"/>
      <c r="I295" s="8"/>
      <c r="J295" s="8"/>
      <c r="K295" s="3"/>
      <c r="L295" s="3"/>
      <c r="M295" s="3"/>
      <c r="N295" s="3"/>
      <c r="O295" s="3"/>
      <c r="P295" s="3"/>
      <c r="Q295" s="3"/>
      <c r="R295" s="3"/>
      <c r="S295" s="3"/>
      <c r="T295" s="3"/>
      <c r="U295" s="3"/>
      <c r="V295" s="3"/>
      <c r="W295" s="3"/>
      <c r="X295" s="3"/>
      <c r="Y295" s="3"/>
      <c r="Z295" s="3"/>
      <c r="AA295" s="3"/>
      <c r="AB295" s="3"/>
      <c r="AC295" s="3"/>
      <c r="AD295" s="3"/>
      <c r="AE295" s="3"/>
    </row>
    <row r="296">
      <c r="A296" s="13"/>
      <c r="B296" s="13"/>
      <c r="C296" s="13"/>
      <c r="D296" s="13"/>
      <c r="E296" s="13"/>
      <c r="F296" s="3"/>
      <c r="G296" s="3"/>
      <c r="H296" s="4"/>
      <c r="I296" s="8"/>
      <c r="J296" s="8"/>
      <c r="K296" s="3"/>
      <c r="L296" s="3"/>
      <c r="M296" s="3"/>
      <c r="N296" s="3"/>
      <c r="O296" s="3"/>
      <c r="P296" s="3"/>
      <c r="Q296" s="3"/>
      <c r="R296" s="3"/>
      <c r="S296" s="3"/>
      <c r="T296" s="3"/>
      <c r="U296" s="3"/>
      <c r="V296" s="3"/>
      <c r="W296" s="3"/>
      <c r="X296" s="3"/>
      <c r="Y296" s="3"/>
      <c r="Z296" s="3"/>
      <c r="AA296" s="3"/>
      <c r="AB296" s="3"/>
      <c r="AC296" s="3"/>
      <c r="AD296" s="3"/>
      <c r="AE296" s="3"/>
    </row>
    <row r="297">
      <c r="A297" s="13"/>
      <c r="B297" s="13"/>
      <c r="C297" s="13"/>
      <c r="D297" s="13"/>
      <c r="E297" s="13"/>
      <c r="F297" s="3"/>
      <c r="G297" s="3"/>
      <c r="H297" s="4"/>
      <c r="I297" s="8"/>
      <c r="J297" s="8"/>
      <c r="K297" s="3"/>
      <c r="L297" s="3"/>
      <c r="M297" s="3"/>
      <c r="N297" s="3"/>
      <c r="O297" s="3"/>
      <c r="P297" s="3"/>
      <c r="Q297" s="3"/>
      <c r="R297" s="3"/>
      <c r="S297" s="3"/>
      <c r="T297" s="3"/>
      <c r="U297" s="3"/>
      <c r="V297" s="3"/>
      <c r="W297" s="3"/>
      <c r="X297" s="3"/>
      <c r="Y297" s="3"/>
      <c r="Z297" s="3"/>
      <c r="AA297" s="3"/>
      <c r="AB297" s="3"/>
      <c r="AC297" s="3"/>
      <c r="AD297" s="3"/>
      <c r="AE297" s="3"/>
    </row>
    <row r="298">
      <c r="A298" s="13"/>
      <c r="B298" s="13"/>
      <c r="C298" s="13"/>
      <c r="D298" s="13"/>
      <c r="E298" s="13"/>
      <c r="F298" s="3"/>
      <c r="G298" s="3"/>
      <c r="H298" s="4"/>
      <c r="I298" s="8"/>
      <c r="J298" s="8"/>
      <c r="K298" s="3"/>
      <c r="L298" s="3"/>
      <c r="M298" s="3"/>
      <c r="N298" s="3"/>
      <c r="O298" s="3"/>
      <c r="P298" s="3"/>
      <c r="Q298" s="3"/>
      <c r="R298" s="3"/>
      <c r="S298" s="3"/>
      <c r="T298" s="3"/>
      <c r="U298" s="3"/>
      <c r="V298" s="3"/>
      <c r="W298" s="3"/>
      <c r="X298" s="3"/>
      <c r="Y298" s="3"/>
      <c r="Z298" s="3"/>
      <c r="AA298" s="3"/>
      <c r="AB298" s="3"/>
      <c r="AC298" s="3"/>
      <c r="AD298" s="3"/>
      <c r="AE298" s="3"/>
    </row>
    <row r="299">
      <c r="A299" s="13"/>
      <c r="B299" s="13"/>
      <c r="C299" s="13"/>
      <c r="D299" s="13"/>
      <c r="E299" s="13"/>
      <c r="F299" s="3"/>
      <c r="G299" s="3"/>
      <c r="H299" s="4"/>
      <c r="I299" s="8"/>
      <c r="J299" s="8"/>
      <c r="K299" s="3"/>
      <c r="L299" s="3"/>
      <c r="M299" s="3"/>
      <c r="N299" s="3"/>
      <c r="O299" s="3"/>
      <c r="P299" s="3"/>
      <c r="Q299" s="3"/>
      <c r="R299" s="3"/>
      <c r="S299" s="3"/>
      <c r="T299" s="3"/>
      <c r="U299" s="3"/>
      <c r="V299" s="3"/>
      <c r="W299" s="3"/>
      <c r="X299" s="3"/>
      <c r="Y299" s="3"/>
      <c r="Z299" s="3"/>
      <c r="AA299" s="3"/>
      <c r="AB299" s="3"/>
      <c r="AC299" s="3"/>
      <c r="AD299" s="3"/>
      <c r="AE299" s="3"/>
    </row>
    <row r="300">
      <c r="A300" s="13"/>
      <c r="B300" s="13"/>
      <c r="C300" s="13"/>
      <c r="D300" s="13"/>
      <c r="E300" s="13"/>
      <c r="F300" s="3"/>
      <c r="G300" s="3"/>
      <c r="H300" s="4"/>
      <c r="I300" s="8"/>
      <c r="J300" s="8"/>
      <c r="K300" s="3"/>
      <c r="L300" s="3"/>
      <c r="M300" s="3"/>
      <c r="N300" s="3"/>
      <c r="O300" s="3"/>
      <c r="P300" s="3"/>
      <c r="Q300" s="3"/>
      <c r="R300" s="3"/>
      <c r="S300" s="3"/>
      <c r="T300" s="3"/>
      <c r="U300" s="3"/>
      <c r="V300" s="3"/>
      <c r="W300" s="3"/>
      <c r="X300" s="3"/>
      <c r="Y300" s="3"/>
      <c r="Z300" s="3"/>
      <c r="AA300" s="3"/>
      <c r="AB300" s="3"/>
      <c r="AC300" s="3"/>
      <c r="AD300" s="3"/>
      <c r="AE300" s="3"/>
    </row>
    <row r="301">
      <c r="A301" s="13"/>
      <c r="B301" s="13"/>
      <c r="C301" s="13"/>
      <c r="D301" s="13"/>
      <c r="E301" s="13"/>
      <c r="F301" s="3"/>
      <c r="G301" s="3"/>
      <c r="H301" s="4"/>
      <c r="I301" s="8"/>
      <c r="J301" s="8"/>
      <c r="K301" s="3"/>
      <c r="L301" s="3"/>
      <c r="M301" s="3"/>
      <c r="N301" s="3"/>
      <c r="O301" s="3"/>
      <c r="P301" s="3"/>
      <c r="Q301" s="3"/>
      <c r="R301" s="3"/>
      <c r="S301" s="3"/>
      <c r="T301" s="3"/>
      <c r="U301" s="3"/>
      <c r="V301" s="3"/>
      <c r="W301" s="3"/>
      <c r="X301" s="3"/>
      <c r="Y301" s="3"/>
      <c r="Z301" s="3"/>
      <c r="AA301" s="3"/>
      <c r="AB301" s="3"/>
      <c r="AC301" s="3"/>
      <c r="AD301" s="3"/>
      <c r="AE301" s="3"/>
    </row>
    <row r="302">
      <c r="A302" s="13"/>
      <c r="B302" s="13"/>
      <c r="C302" s="13"/>
      <c r="D302" s="13"/>
      <c r="E302" s="13"/>
      <c r="F302" s="3"/>
      <c r="G302" s="3"/>
      <c r="H302" s="4"/>
      <c r="I302" s="8"/>
      <c r="J302" s="8"/>
      <c r="K302" s="3"/>
      <c r="L302" s="3"/>
      <c r="M302" s="3"/>
      <c r="N302" s="3"/>
      <c r="O302" s="3"/>
      <c r="P302" s="3"/>
      <c r="Q302" s="3"/>
      <c r="R302" s="3"/>
      <c r="S302" s="3"/>
      <c r="T302" s="3"/>
      <c r="U302" s="3"/>
      <c r="V302" s="3"/>
      <c r="W302" s="3"/>
      <c r="X302" s="3"/>
      <c r="Y302" s="3"/>
      <c r="Z302" s="3"/>
      <c r="AA302" s="3"/>
      <c r="AB302" s="3"/>
      <c r="AC302" s="3"/>
      <c r="AD302" s="3"/>
      <c r="AE302" s="3"/>
    </row>
    <row r="303">
      <c r="A303" s="13"/>
      <c r="B303" s="13"/>
      <c r="C303" s="13"/>
      <c r="D303" s="13"/>
      <c r="E303" s="13"/>
      <c r="F303" s="3"/>
      <c r="G303" s="3"/>
      <c r="H303" s="4"/>
      <c r="I303" s="8"/>
      <c r="J303" s="8"/>
      <c r="K303" s="3"/>
      <c r="L303" s="3"/>
      <c r="M303" s="3"/>
      <c r="N303" s="3"/>
      <c r="O303" s="3"/>
      <c r="P303" s="3"/>
      <c r="Q303" s="3"/>
      <c r="R303" s="3"/>
      <c r="S303" s="3"/>
      <c r="T303" s="3"/>
      <c r="U303" s="3"/>
      <c r="V303" s="3"/>
      <c r="W303" s="3"/>
      <c r="X303" s="3"/>
      <c r="Y303" s="3"/>
      <c r="Z303" s="3"/>
      <c r="AA303" s="3"/>
      <c r="AB303" s="3"/>
      <c r="AC303" s="3"/>
      <c r="AD303" s="3"/>
      <c r="AE303" s="3"/>
    </row>
    <row r="304">
      <c r="A304" s="13"/>
      <c r="B304" s="13"/>
      <c r="C304" s="13"/>
      <c r="D304" s="13"/>
      <c r="E304" s="13"/>
      <c r="F304" s="3"/>
      <c r="G304" s="3"/>
      <c r="H304" s="4"/>
      <c r="I304" s="8"/>
      <c r="J304" s="8"/>
      <c r="K304" s="3"/>
      <c r="L304" s="3"/>
      <c r="M304" s="3"/>
      <c r="N304" s="3"/>
      <c r="O304" s="3"/>
      <c r="P304" s="3"/>
      <c r="Q304" s="3"/>
      <c r="R304" s="3"/>
      <c r="S304" s="3"/>
      <c r="T304" s="3"/>
      <c r="U304" s="3"/>
      <c r="V304" s="3"/>
      <c r="W304" s="3"/>
      <c r="X304" s="3"/>
      <c r="Y304" s="3"/>
      <c r="Z304" s="3"/>
      <c r="AA304" s="3"/>
      <c r="AB304" s="3"/>
      <c r="AC304" s="3"/>
      <c r="AD304" s="3"/>
      <c r="AE304" s="3"/>
    </row>
    <row r="305">
      <c r="A305" s="13"/>
      <c r="B305" s="13"/>
      <c r="C305" s="13"/>
      <c r="D305" s="13"/>
      <c r="E305" s="13"/>
      <c r="F305" s="3"/>
      <c r="G305" s="3"/>
      <c r="H305" s="4"/>
      <c r="I305" s="8"/>
      <c r="J305" s="8"/>
      <c r="K305" s="3"/>
      <c r="L305" s="3"/>
      <c r="M305" s="3"/>
      <c r="N305" s="3"/>
      <c r="O305" s="3"/>
      <c r="P305" s="3"/>
      <c r="Q305" s="3"/>
      <c r="R305" s="3"/>
      <c r="S305" s="3"/>
      <c r="T305" s="3"/>
      <c r="U305" s="3"/>
      <c r="V305" s="3"/>
      <c r="W305" s="3"/>
      <c r="X305" s="3"/>
      <c r="Y305" s="3"/>
      <c r="Z305" s="3"/>
      <c r="AA305" s="3"/>
      <c r="AB305" s="3"/>
      <c r="AC305" s="3"/>
      <c r="AD305" s="3"/>
      <c r="AE305" s="3"/>
    </row>
    <row r="306">
      <c r="A306" s="13"/>
      <c r="B306" s="13"/>
      <c r="C306" s="13"/>
      <c r="D306" s="13"/>
      <c r="E306" s="13"/>
      <c r="F306" s="3"/>
      <c r="G306" s="3"/>
      <c r="H306" s="4"/>
      <c r="I306" s="8"/>
      <c r="J306" s="8"/>
      <c r="K306" s="3"/>
      <c r="L306" s="3"/>
      <c r="M306" s="3"/>
      <c r="N306" s="3"/>
      <c r="O306" s="3"/>
      <c r="P306" s="3"/>
      <c r="Q306" s="3"/>
      <c r="R306" s="3"/>
      <c r="S306" s="3"/>
      <c r="T306" s="3"/>
      <c r="U306" s="3"/>
      <c r="V306" s="3"/>
      <c r="W306" s="3"/>
      <c r="X306" s="3"/>
      <c r="Y306" s="3"/>
      <c r="Z306" s="3"/>
      <c r="AA306" s="3"/>
      <c r="AB306" s="3"/>
      <c r="AC306" s="3"/>
      <c r="AD306" s="3"/>
      <c r="AE306" s="3"/>
    </row>
    <row r="307">
      <c r="A307" s="13"/>
      <c r="B307" s="13"/>
      <c r="C307" s="13"/>
      <c r="D307" s="13"/>
      <c r="E307" s="13"/>
      <c r="F307" s="3"/>
      <c r="G307" s="3"/>
      <c r="H307" s="4"/>
      <c r="I307" s="8"/>
      <c r="J307" s="8"/>
      <c r="K307" s="3"/>
      <c r="L307" s="3"/>
      <c r="M307" s="3"/>
      <c r="N307" s="3"/>
      <c r="O307" s="3"/>
      <c r="P307" s="3"/>
      <c r="Q307" s="3"/>
      <c r="R307" s="3"/>
      <c r="S307" s="3"/>
      <c r="T307" s="3"/>
      <c r="U307" s="3"/>
      <c r="V307" s="3"/>
      <c r="W307" s="3"/>
      <c r="X307" s="3"/>
      <c r="Y307" s="3"/>
      <c r="Z307" s="3"/>
      <c r="AA307" s="3"/>
      <c r="AB307" s="3"/>
      <c r="AC307" s="3"/>
      <c r="AD307" s="3"/>
      <c r="AE307" s="3"/>
    </row>
    <row r="308">
      <c r="A308" s="13"/>
      <c r="B308" s="13"/>
      <c r="C308" s="13"/>
      <c r="D308" s="13"/>
      <c r="E308" s="13"/>
      <c r="F308" s="3"/>
      <c r="G308" s="3"/>
      <c r="H308" s="4"/>
      <c r="I308" s="8"/>
      <c r="J308" s="8"/>
      <c r="K308" s="3"/>
      <c r="L308" s="3"/>
      <c r="M308" s="3"/>
      <c r="N308" s="3"/>
      <c r="O308" s="3"/>
      <c r="P308" s="3"/>
      <c r="Q308" s="3"/>
      <c r="R308" s="3"/>
      <c r="S308" s="3"/>
      <c r="T308" s="3"/>
      <c r="U308" s="3"/>
      <c r="V308" s="3"/>
      <c r="W308" s="3"/>
      <c r="X308" s="3"/>
      <c r="Y308" s="3"/>
      <c r="Z308" s="3"/>
      <c r="AA308" s="3"/>
      <c r="AB308" s="3"/>
      <c r="AC308" s="3"/>
      <c r="AD308" s="3"/>
      <c r="AE308" s="3"/>
    </row>
    <row r="309">
      <c r="A309" s="13"/>
      <c r="B309" s="13"/>
      <c r="C309" s="13"/>
      <c r="D309" s="13"/>
      <c r="E309" s="13"/>
      <c r="F309" s="3"/>
      <c r="G309" s="3"/>
      <c r="H309" s="4"/>
      <c r="I309" s="8"/>
      <c r="J309" s="8"/>
      <c r="K309" s="3"/>
      <c r="L309" s="3"/>
      <c r="M309" s="3"/>
      <c r="N309" s="3"/>
      <c r="O309" s="3"/>
      <c r="P309" s="3"/>
      <c r="Q309" s="3"/>
      <c r="R309" s="3"/>
      <c r="S309" s="3"/>
      <c r="T309" s="3"/>
      <c r="U309" s="3"/>
      <c r="V309" s="3"/>
      <c r="W309" s="3"/>
      <c r="X309" s="3"/>
      <c r="Y309" s="3"/>
      <c r="Z309" s="3"/>
      <c r="AA309" s="3"/>
      <c r="AB309" s="3"/>
      <c r="AC309" s="3"/>
      <c r="AD309" s="3"/>
      <c r="AE309" s="3"/>
    </row>
    <row r="310">
      <c r="A310" s="13"/>
      <c r="B310" s="13"/>
      <c r="C310" s="13"/>
      <c r="D310" s="13"/>
      <c r="E310" s="13"/>
      <c r="F310" s="3"/>
      <c r="G310" s="3"/>
      <c r="H310" s="4"/>
      <c r="I310" s="8"/>
      <c r="J310" s="8"/>
      <c r="K310" s="3"/>
      <c r="L310" s="3"/>
      <c r="M310" s="3"/>
      <c r="N310" s="3"/>
      <c r="O310" s="3"/>
      <c r="P310" s="3"/>
      <c r="Q310" s="3"/>
      <c r="R310" s="3"/>
      <c r="S310" s="3"/>
      <c r="T310" s="3"/>
      <c r="U310" s="3"/>
      <c r="V310" s="3"/>
      <c r="W310" s="3"/>
      <c r="X310" s="3"/>
      <c r="Y310" s="3"/>
      <c r="Z310" s="3"/>
      <c r="AA310" s="3"/>
      <c r="AB310" s="3"/>
      <c r="AC310" s="3"/>
      <c r="AD310" s="3"/>
      <c r="AE310" s="3"/>
    </row>
    <row r="311">
      <c r="A311" s="13"/>
      <c r="B311" s="13"/>
      <c r="C311" s="13"/>
      <c r="D311" s="13"/>
      <c r="E311" s="13"/>
      <c r="F311" s="3"/>
      <c r="G311" s="3"/>
      <c r="H311" s="4"/>
      <c r="I311" s="8"/>
      <c r="J311" s="8"/>
      <c r="K311" s="3"/>
      <c r="L311" s="3"/>
      <c r="M311" s="3"/>
      <c r="N311" s="3"/>
      <c r="O311" s="3"/>
      <c r="P311" s="3"/>
      <c r="Q311" s="3"/>
      <c r="R311" s="3"/>
      <c r="S311" s="3"/>
      <c r="T311" s="3"/>
      <c r="U311" s="3"/>
      <c r="V311" s="3"/>
      <c r="W311" s="3"/>
      <c r="X311" s="3"/>
      <c r="Y311" s="3"/>
      <c r="Z311" s="3"/>
      <c r="AA311" s="3"/>
      <c r="AB311" s="3"/>
      <c r="AC311" s="3"/>
      <c r="AD311" s="3"/>
      <c r="AE311" s="3"/>
    </row>
    <row r="312">
      <c r="A312" s="13"/>
      <c r="B312" s="13"/>
      <c r="C312" s="13"/>
      <c r="D312" s="13"/>
      <c r="E312" s="13"/>
      <c r="F312" s="3"/>
      <c r="G312" s="3"/>
      <c r="H312" s="4"/>
      <c r="I312" s="8"/>
      <c r="J312" s="8"/>
      <c r="K312" s="3"/>
      <c r="L312" s="3"/>
      <c r="M312" s="3"/>
      <c r="N312" s="3"/>
      <c r="O312" s="3"/>
      <c r="P312" s="3"/>
      <c r="Q312" s="3"/>
      <c r="R312" s="3"/>
      <c r="S312" s="3"/>
      <c r="T312" s="3"/>
      <c r="U312" s="3"/>
      <c r="V312" s="3"/>
      <c r="W312" s="3"/>
      <c r="X312" s="3"/>
      <c r="Y312" s="3"/>
      <c r="Z312" s="3"/>
      <c r="AA312" s="3"/>
      <c r="AB312" s="3"/>
      <c r="AC312" s="3"/>
      <c r="AD312" s="3"/>
      <c r="AE312" s="3"/>
    </row>
    <row r="313">
      <c r="A313" s="13"/>
      <c r="B313" s="13"/>
      <c r="C313" s="13"/>
      <c r="D313" s="13"/>
      <c r="E313" s="13"/>
      <c r="F313" s="3"/>
      <c r="G313" s="3"/>
      <c r="H313" s="4"/>
      <c r="I313" s="8"/>
      <c r="J313" s="8"/>
      <c r="K313" s="3"/>
      <c r="L313" s="3"/>
      <c r="M313" s="3"/>
      <c r="N313" s="3"/>
      <c r="O313" s="3"/>
      <c r="P313" s="3"/>
      <c r="Q313" s="3"/>
      <c r="R313" s="3"/>
      <c r="S313" s="3"/>
      <c r="T313" s="3"/>
      <c r="U313" s="3"/>
      <c r="V313" s="3"/>
      <c r="W313" s="3"/>
      <c r="X313" s="3"/>
      <c r="Y313" s="3"/>
      <c r="Z313" s="3"/>
      <c r="AA313" s="3"/>
      <c r="AB313" s="3"/>
      <c r="AC313" s="3"/>
      <c r="AD313" s="3"/>
      <c r="AE313" s="3"/>
    </row>
    <row r="314">
      <c r="A314" s="13"/>
      <c r="B314" s="13"/>
      <c r="C314" s="13"/>
      <c r="D314" s="13"/>
      <c r="E314" s="13"/>
      <c r="F314" s="3"/>
      <c r="G314" s="3"/>
      <c r="H314" s="4"/>
      <c r="I314" s="8"/>
      <c r="J314" s="8"/>
      <c r="K314" s="3"/>
      <c r="L314" s="3"/>
      <c r="M314" s="3"/>
      <c r="N314" s="3"/>
      <c r="O314" s="3"/>
      <c r="P314" s="3"/>
      <c r="Q314" s="3"/>
      <c r="R314" s="3"/>
      <c r="S314" s="3"/>
      <c r="T314" s="3"/>
      <c r="U314" s="3"/>
      <c r="V314" s="3"/>
      <c r="W314" s="3"/>
      <c r="X314" s="3"/>
      <c r="Y314" s="3"/>
      <c r="Z314" s="3"/>
      <c r="AA314" s="3"/>
      <c r="AB314" s="3"/>
      <c r="AC314" s="3"/>
      <c r="AD314" s="3"/>
      <c r="AE314" s="3"/>
    </row>
    <row r="315">
      <c r="A315" s="13"/>
      <c r="B315" s="13"/>
      <c r="C315" s="13"/>
      <c r="D315" s="13"/>
      <c r="E315" s="13"/>
      <c r="F315" s="3"/>
      <c r="G315" s="3"/>
      <c r="H315" s="4"/>
      <c r="I315" s="8"/>
      <c r="J315" s="8"/>
      <c r="K315" s="3"/>
      <c r="L315" s="3"/>
      <c r="M315" s="3"/>
      <c r="N315" s="3"/>
      <c r="O315" s="3"/>
      <c r="P315" s="3"/>
      <c r="Q315" s="3"/>
      <c r="R315" s="3"/>
      <c r="S315" s="3"/>
      <c r="T315" s="3"/>
      <c r="U315" s="3"/>
      <c r="V315" s="3"/>
      <c r="W315" s="3"/>
      <c r="X315" s="3"/>
      <c r="Y315" s="3"/>
      <c r="Z315" s="3"/>
      <c r="AA315" s="3"/>
      <c r="AB315" s="3"/>
      <c r="AC315" s="3"/>
      <c r="AD315" s="3"/>
      <c r="AE315" s="3"/>
    </row>
    <row r="316">
      <c r="A316" s="13"/>
      <c r="B316" s="13"/>
      <c r="C316" s="13"/>
      <c r="D316" s="13"/>
      <c r="E316" s="13"/>
      <c r="F316" s="3"/>
      <c r="G316" s="3"/>
      <c r="H316" s="4"/>
      <c r="I316" s="8"/>
      <c r="J316" s="8"/>
      <c r="K316" s="3"/>
      <c r="L316" s="3"/>
      <c r="M316" s="3"/>
      <c r="N316" s="3"/>
      <c r="O316" s="3"/>
      <c r="P316" s="3"/>
      <c r="Q316" s="3"/>
      <c r="R316" s="3"/>
      <c r="S316" s="3"/>
      <c r="T316" s="3"/>
      <c r="U316" s="3"/>
      <c r="V316" s="3"/>
      <c r="W316" s="3"/>
      <c r="X316" s="3"/>
      <c r="Y316" s="3"/>
      <c r="Z316" s="3"/>
      <c r="AA316" s="3"/>
      <c r="AB316" s="3"/>
      <c r="AC316" s="3"/>
      <c r="AD316" s="3"/>
      <c r="AE316" s="3"/>
    </row>
    <row r="317">
      <c r="A317" s="13"/>
      <c r="B317" s="13"/>
      <c r="C317" s="13"/>
      <c r="D317" s="13"/>
      <c r="E317" s="13"/>
      <c r="F317" s="3"/>
      <c r="G317" s="3"/>
      <c r="H317" s="4"/>
      <c r="I317" s="8"/>
      <c r="J317" s="8"/>
      <c r="K317" s="3"/>
      <c r="L317" s="3"/>
      <c r="M317" s="3"/>
      <c r="N317" s="3"/>
      <c r="O317" s="3"/>
      <c r="P317" s="3"/>
      <c r="Q317" s="3"/>
      <c r="R317" s="3"/>
      <c r="S317" s="3"/>
      <c r="T317" s="3"/>
      <c r="U317" s="3"/>
      <c r="V317" s="3"/>
      <c r="W317" s="3"/>
      <c r="X317" s="3"/>
      <c r="Y317" s="3"/>
      <c r="Z317" s="3"/>
      <c r="AA317" s="3"/>
      <c r="AB317" s="3"/>
      <c r="AC317" s="3"/>
      <c r="AD317" s="3"/>
      <c r="AE317" s="3"/>
    </row>
    <row r="318">
      <c r="A318" s="13"/>
      <c r="B318" s="13"/>
      <c r="C318" s="13"/>
      <c r="D318" s="13"/>
      <c r="E318" s="13"/>
      <c r="F318" s="3"/>
      <c r="G318" s="3"/>
      <c r="H318" s="4"/>
      <c r="I318" s="8"/>
      <c r="J318" s="8"/>
      <c r="K318" s="3"/>
      <c r="L318" s="3"/>
      <c r="M318" s="3"/>
      <c r="N318" s="3"/>
      <c r="O318" s="3"/>
      <c r="P318" s="3"/>
      <c r="Q318" s="3"/>
      <c r="R318" s="3"/>
      <c r="S318" s="3"/>
      <c r="T318" s="3"/>
      <c r="U318" s="3"/>
      <c r="V318" s="3"/>
      <c r="W318" s="3"/>
      <c r="X318" s="3"/>
      <c r="Y318" s="3"/>
      <c r="Z318" s="3"/>
      <c r="AA318" s="3"/>
      <c r="AB318" s="3"/>
      <c r="AC318" s="3"/>
      <c r="AD318" s="3"/>
      <c r="AE318" s="3"/>
    </row>
    <row r="319">
      <c r="A319" s="13"/>
      <c r="B319" s="13"/>
      <c r="C319" s="13"/>
      <c r="D319" s="13"/>
      <c r="E319" s="13"/>
      <c r="F319" s="3"/>
      <c r="G319" s="3"/>
      <c r="H319" s="4"/>
      <c r="I319" s="8"/>
      <c r="J319" s="8"/>
      <c r="K319" s="3"/>
      <c r="L319" s="3"/>
      <c r="M319" s="3"/>
      <c r="N319" s="3"/>
      <c r="O319" s="3"/>
      <c r="P319" s="3"/>
      <c r="Q319" s="3"/>
      <c r="R319" s="3"/>
      <c r="S319" s="3"/>
      <c r="T319" s="3"/>
      <c r="U319" s="3"/>
      <c r="V319" s="3"/>
      <c r="W319" s="3"/>
      <c r="X319" s="3"/>
      <c r="Y319" s="3"/>
      <c r="Z319" s="3"/>
      <c r="AA319" s="3"/>
      <c r="AB319" s="3"/>
      <c r="AC319" s="3"/>
      <c r="AD319" s="3"/>
      <c r="AE319" s="3"/>
    </row>
    <row r="320">
      <c r="A320" s="13"/>
      <c r="B320" s="13"/>
      <c r="C320" s="13"/>
      <c r="D320" s="13"/>
      <c r="E320" s="13"/>
      <c r="F320" s="3"/>
      <c r="G320" s="3"/>
      <c r="H320" s="4"/>
      <c r="I320" s="8"/>
      <c r="J320" s="8"/>
      <c r="K320" s="3"/>
      <c r="L320" s="3"/>
      <c r="M320" s="3"/>
      <c r="N320" s="3"/>
      <c r="O320" s="3"/>
      <c r="P320" s="3"/>
      <c r="Q320" s="3"/>
      <c r="R320" s="3"/>
      <c r="S320" s="3"/>
      <c r="T320" s="3"/>
      <c r="U320" s="3"/>
      <c r="V320" s="3"/>
      <c r="W320" s="3"/>
      <c r="X320" s="3"/>
      <c r="Y320" s="3"/>
      <c r="Z320" s="3"/>
      <c r="AA320" s="3"/>
      <c r="AB320" s="3"/>
      <c r="AC320" s="3"/>
      <c r="AD320" s="3"/>
      <c r="AE320" s="3"/>
    </row>
    <row r="321">
      <c r="A321" s="13"/>
      <c r="B321" s="13"/>
      <c r="C321" s="13"/>
      <c r="D321" s="13"/>
      <c r="E321" s="13"/>
      <c r="F321" s="3"/>
      <c r="G321" s="3"/>
      <c r="H321" s="4"/>
      <c r="I321" s="8"/>
      <c r="J321" s="8"/>
      <c r="K321" s="3"/>
      <c r="L321" s="3"/>
      <c r="M321" s="3"/>
      <c r="N321" s="3"/>
      <c r="O321" s="3"/>
      <c r="P321" s="3"/>
      <c r="Q321" s="3"/>
      <c r="R321" s="3"/>
      <c r="S321" s="3"/>
      <c r="T321" s="3"/>
      <c r="U321" s="3"/>
      <c r="V321" s="3"/>
      <c r="W321" s="3"/>
      <c r="X321" s="3"/>
      <c r="Y321" s="3"/>
      <c r="Z321" s="3"/>
      <c r="AA321" s="3"/>
      <c r="AB321" s="3"/>
      <c r="AC321" s="3"/>
      <c r="AD321" s="3"/>
      <c r="AE321" s="3"/>
    </row>
    <row r="322">
      <c r="A322" s="13"/>
      <c r="B322" s="13"/>
      <c r="C322" s="13"/>
      <c r="D322" s="13"/>
      <c r="E322" s="13"/>
      <c r="F322" s="3"/>
      <c r="G322" s="3"/>
      <c r="H322" s="4"/>
      <c r="I322" s="8"/>
      <c r="J322" s="8"/>
      <c r="K322" s="3"/>
      <c r="L322" s="3"/>
      <c r="M322" s="3"/>
      <c r="N322" s="3"/>
      <c r="O322" s="3"/>
      <c r="P322" s="3"/>
      <c r="Q322" s="3"/>
      <c r="R322" s="3"/>
      <c r="S322" s="3"/>
      <c r="T322" s="3"/>
      <c r="U322" s="3"/>
      <c r="V322" s="3"/>
      <c r="W322" s="3"/>
      <c r="X322" s="3"/>
      <c r="Y322" s="3"/>
      <c r="Z322" s="3"/>
      <c r="AA322" s="3"/>
      <c r="AB322" s="3"/>
      <c r="AC322" s="3"/>
      <c r="AD322" s="3"/>
      <c r="AE322" s="3"/>
    </row>
    <row r="323">
      <c r="A323" s="13"/>
      <c r="B323" s="13"/>
      <c r="C323" s="13"/>
      <c r="D323" s="13"/>
      <c r="E323" s="13"/>
      <c r="F323" s="3"/>
      <c r="G323" s="3"/>
      <c r="H323" s="4"/>
      <c r="I323" s="8"/>
      <c r="J323" s="8"/>
      <c r="K323" s="3"/>
      <c r="L323" s="3"/>
      <c r="M323" s="3"/>
      <c r="N323" s="3"/>
      <c r="O323" s="3"/>
      <c r="P323" s="3"/>
      <c r="Q323" s="3"/>
      <c r="R323" s="3"/>
      <c r="S323" s="3"/>
      <c r="T323" s="3"/>
      <c r="U323" s="3"/>
      <c r="V323" s="3"/>
      <c r="W323" s="3"/>
      <c r="X323" s="3"/>
      <c r="Y323" s="3"/>
      <c r="Z323" s="3"/>
      <c r="AA323" s="3"/>
      <c r="AB323" s="3"/>
      <c r="AC323" s="3"/>
      <c r="AD323" s="3"/>
      <c r="AE323" s="3"/>
    </row>
    <row r="324">
      <c r="A324" s="13"/>
      <c r="B324" s="13"/>
      <c r="C324" s="13"/>
      <c r="D324" s="13"/>
      <c r="E324" s="13"/>
      <c r="F324" s="3"/>
      <c r="G324" s="3"/>
      <c r="H324" s="4"/>
      <c r="I324" s="8"/>
      <c r="J324" s="8"/>
      <c r="K324" s="3"/>
      <c r="L324" s="3"/>
      <c r="M324" s="3"/>
      <c r="N324" s="3"/>
      <c r="O324" s="3"/>
      <c r="P324" s="3"/>
      <c r="Q324" s="3"/>
      <c r="R324" s="3"/>
      <c r="S324" s="3"/>
      <c r="T324" s="3"/>
      <c r="U324" s="3"/>
      <c r="V324" s="3"/>
      <c r="W324" s="3"/>
      <c r="X324" s="3"/>
      <c r="Y324" s="3"/>
      <c r="Z324" s="3"/>
      <c r="AA324" s="3"/>
      <c r="AB324" s="3"/>
      <c r="AC324" s="3"/>
      <c r="AD324" s="3"/>
      <c r="AE324" s="3"/>
    </row>
    <row r="325">
      <c r="A325" s="13"/>
      <c r="B325" s="13"/>
      <c r="C325" s="13"/>
      <c r="D325" s="13"/>
      <c r="E325" s="13"/>
      <c r="F325" s="3"/>
      <c r="G325" s="3"/>
      <c r="H325" s="4"/>
      <c r="I325" s="8"/>
      <c r="J325" s="8"/>
      <c r="K325" s="3"/>
      <c r="L325" s="3"/>
      <c r="M325" s="3"/>
      <c r="N325" s="3"/>
      <c r="O325" s="3"/>
      <c r="P325" s="3"/>
      <c r="Q325" s="3"/>
      <c r="R325" s="3"/>
      <c r="S325" s="3"/>
      <c r="T325" s="3"/>
      <c r="U325" s="3"/>
      <c r="V325" s="3"/>
      <c r="W325" s="3"/>
      <c r="X325" s="3"/>
      <c r="Y325" s="3"/>
      <c r="Z325" s="3"/>
      <c r="AA325" s="3"/>
      <c r="AB325" s="3"/>
      <c r="AC325" s="3"/>
      <c r="AD325" s="3"/>
      <c r="AE325" s="3"/>
    </row>
    <row r="326">
      <c r="A326" s="13"/>
      <c r="B326" s="13"/>
      <c r="C326" s="13"/>
      <c r="D326" s="13"/>
      <c r="E326" s="13"/>
      <c r="F326" s="3"/>
      <c r="G326" s="3"/>
      <c r="H326" s="4"/>
      <c r="I326" s="8"/>
      <c r="J326" s="8"/>
      <c r="K326" s="3"/>
      <c r="L326" s="3"/>
      <c r="M326" s="3"/>
      <c r="N326" s="3"/>
      <c r="O326" s="3"/>
      <c r="P326" s="3"/>
      <c r="Q326" s="3"/>
      <c r="R326" s="3"/>
      <c r="S326" s="3"/>
      <c r="T326" s="3"/>
      <c r="U326" s="3"/>
      <c r="V326" s="3"/>
      <c r="W326" s="3"/>
      <c r="X326" s="3"/>
      <c r="Y326" s="3"/>
      <c r="Z326" s="3"/>
      <c r="AA326" s="3"/>
      <c r="AB326" s="3"/>
      <c r="AC326" s="3"/>
      <c r="AD326" s="3"/>
      <c r="AE326" s="3"/>
    </row>
    <row r="327">
      <c r="A327" s="13"/>
      <c r="B327" s="13"/>
      <c r="C327" s="13"/>
      <c r="D327" s="13"/>
      <c r="E327" s="13"/>
      <c r="F327" s="3"/>
      <c r="G327" s="3"/>
      <c r="H327" s="4"/>
      <c r="I327" s="8"/>
      <c r="J327" s="8"/>
      <c r="K327" s="3"/>
      <c r="L327" s="3"/>
      <c r="M327" s="3"/>
      <c r="N327" s="3"/>
      <c r="O327" s="3"/>
      <c r="P327" s="3"/>
      <c r="Q327" s="3"/>
      <c r="R327" s="3"/>
      <c r="S327" s="3"/>
      <c r="T327" s="3"/>
      <c r="U327" s="3"/>
      <c r="V327" s="3"/>
      <c r="W327" s="3"/>
      <c r="X327" s="3"/>
      <c r="Y327" s="3"/>
      <c r="Z327" s="3"/>
      <c r="AA327" s="3"/>
      <c r="AB327" s="3"/>
      <c r="AC327" s="3"/>
      <c r="AD327" s="3"/>
      <c r="AE327" s="3"/>
    </row>
    <row r="328">
      <c r="A328" s="13"/>
      <c r="B328" s="13"/>
      <c r="C328" s="13"/>
      <c r="D328" s="13"/>
      <c r="E328" s="13"/>
      <c r="F328" s="3"/>
      <c r="G328" s="3"/>
      <c r="H328" s="4"/>
      <c r="I328" s="8"/>
      <c r="J328" s="8"/>
      <c r="K328" s="3"/>
      <c r="L328" s="3"/>
      <c r="M328" s="3"/>
      <c r="N328" s="3"/>
      <c r="O328" s="3"/>
      <c r="P328" s="3"/>
      <c r="Q328" s="3"/>
      <c r="R328" s="3"/>
      <c r="S328" s="3"/>
      <c r="T328" s="3"/>
      <c r="U328" s="3"/>
      <c r="V328" s="3"/>
      <c r="W328" s="3"/>
      <c r="X328" s="3"/>
      <c r="Y328" s="3"/>
      <c r="Z328" s="3"/>
      <c r="AA328" s="3"/>
      <c r="AB328" s="3"/>
      <c r="AC328" s="3"/>
      <c r="AD328" s="3"/>
      <c r="AE328" s="3"/>
    </row>
    <row r="329">
      <c r="A329" s="13"/>
      <c r="B329" s="13"/>
      <c r="C329" s="13"/>
      <c r="D329" s="13"/>
      <c r="E329" s="13"/>
      <c r="F329" s="3"/>
      <c r="G329" s="3"/>
      <c r="H329" s="4"/>
      <c r="I329" s="8"/>
      <c r="J329" s="8"/>
      <c r="K329" s="3"/>
      <c r="L329" s="3"/>
      <c r="M329" s="3"/>
      <c r="N329" s="3"/>
      <c r="O329" s="3"/>
      <c r="P329" s="3"/>
      <c r="Q329" s="3"/>
      <c r="R329" s="3"/>
      <c r="S329" s="3"/>
      <c r="T329" s="3"/>
      <c r="U329" s="3"/>
      <c r="V329" s="3"/>
      <c r="W329" s="3"/>
      <c r="X329" s="3"/>
      <c r="Y329" s="3"/>
      <c r="Z329" s="3"/>
      <c r="AA329" s="3"/>
      <c r="AB329" s="3"/>
      <c r="AC329" s="3"/>
      <c r="AD329" s="3"/>
      <c r="AE329" s="3"/>
    </row>
    <row r="330">
      <c r="A330" s="13"/>
      <c r="B330" s="13"/>
      <c r="C330" s="13"/>
      <c r="D330" s="13"/>
      <c r="E330" s="13"/>
      <c r="F330" s="3"/>
      <c r="G330" s="3"/>
      <c r="H330" s="4"/>
      <c r="I330" s="8"/>
      <c r="J330" s="8"/>
      <c r="K330" s="3"/>
      <c r="L330" s="3"/>
      <c r="M330" s="3"/>
      <c r="N330" s="3"/>
      <c r="O330" s="3"/>
      <c r="P330" s="3"/>
      <c r="Q330" s="3"/>
      <c r="R330" s="3"/>
      <c r="S330" s="3"/>
      <c r="T330" s="3"/>
      <c r="U330" s="3"/>
      <c r="V330" s="3"/>
      <c r="W330" s="3"/>
      <c r="X330" s="3"/>
      <c r="Y330" s="3"/>
      <c r="Z330" s="3"/>
      <c r="AA330" s="3"/>
      <c r="AB330" s="3"/>
      <c r="AC330" s="3"/>
      <c r="AD330" s="3"/>
      <c r="AE330" s="3"/>
    </row>
    <row r="331">
      <c r="A331" s="13"/>
      <c r="B331" s="13"/>
      <c r="C331" s="13"/>
      <c r="D331" s="13"/>
      <c r="E331" s="13"/>
      <c r="F331" s="3"/>
      <c r="G331" s="3"/>
      <c r="H331" s="4"/>
      <c r="I331" s="8"/>
      <c r="J331" s="8"/>
      <c r="K331" s="3"/>
      <c r="L331" s="3"/>
      <c r="M331" s="3"/>
      <c r="N331" s="3"/>
      <c r="O331" s="3"/>
      <c r="P331" s="3"/>
      <c r="Q331" s="3"/>
      <c r="R331" s="3"/>
      <c r="S331" s="3"/>
      <c r="T331" s="3"/>
      <c r="U331" s="3"/>
      <c r="V331" s="3"/>
      <c r="W331" s="3"/>
      <c r="X331" s="3"/>
      <c r="Y331" s="3"/>
      <c r="Z331" s="3"/>
      <c r="AA331" s="3"/>
      <c r="AB331" s="3"/>
      <c r="AC331" s="3"/>
      <c r="AD331" s="3"/>
      <c r="AE331" s="3"/>
    </row>
    <row r="332">
      <c r="A332" s="13"/>
      <c r="B332" s="13"/>
      <c r="C332" s="13"/>
      <c r="D332" s="13"/>
      <c r="E332" s="13"/>
      <c r="F332" s="3"/>
      <c r="G332" s="3"/>
      <c r="H332" s="4"/>
      <c r="I332" s="8"/>
      <c r="J332" s="8"/>
      <c r="K332" s="3"/>
      <c r="L332" s="3"/>
      <c r="M332" s="3"/>
      <c r="N332" s="3"/>
      <c r="O332" s="3"/>
      <c r="P332" s="3"/>
      <c r="Q332" s="3"/>
      <c r="R332" s="3"/>
      <c r="S332" s="3"/>
      <c r="T332" s="3"/>
      <c r="U332" s="3"/>
      <c r="V332" s="3"/>
      <c r="W332" s="3"/>
      <c r="X332" s="3"/>
      <c r="Y332" s="3"/>
      <c r="Z332" s="3"/>
      <c r="AA332" s="3"/>
      <c r="AB332" s="3"/>
      <c r="AC332" s="3"/>
      <c r="AD332" s="3"/>
      <c r="AE332" s="3"/>
    </row>
    <row r="333">
      <c r="A333" s="13"/>
      <c r="B333" s="13"/>
      <c r="C333" s="13"/>
      <c r="D333" s="13"/>
      <c r="E333" s="13"/>
      <c r="F333" s="3"/>
      <c r="G333" s="3"/>
      <c r="H333" s="4"/>
      <c r="I333" s="8"/>
      <c r="J333" s="8"/>
      <c r="K333" s="3"/>
      <c r="L333" s="3"/>
      <c r="M333" s="3"/>
      <c r="N333" s="3"/>
      <c r="O333" s="3"/>
      <c r="P333" s="3"/>
      <c r="Q333" s="3"/>
      <c r="R333" s="3"/>
      <c r="S333" s="3"/>
      <c r="T333" s="3"/>
      <c r="U333" s="3"/>
      <c r="V333" s="3"/>
      <c r="W333" s="3"/>
      <c r="X333" s="3"/>
      <c r="Y333" s="3"/>
      <c r="Z333" s="3"/>
      <c r="AA333" s="3"/>
      <c r="AB333" s="3"/>
      <c r="AC333" s="3"/>
      <c r="AD333" s="3"/>
      <c r="AE333" s="3"/>
    </row>
    <row r="334">
      <c r="A334" s="13"/>
      <c r="B334" s="13"/>
      <c r="C334" s="13"/>
      <c r="D334" s="13"/>
      <c r="E334" s="13"/>
      <c r="F334" s="3"/>
      <c r="G334" s="3"/>
      <c r="H334" s="4"/>
      <c r="I334" s="8"/>
      <c r="J334" s="8"/>
      <c r="K334" s="3"/>
      <c r="L334" s="3"/>
      <c r="M334" s="3"/>
      <c r="N334" s="3"/>
      <c r="O334" s="3"/>
      <c r="P334" s="3"/>
      <c r="Q334" s="3"/>
      <c r="R334" s="3"/>
      <c r="S334" s="3"/>
      <c r="T334" s="3"/>
      <c r="U334" s="3"/>
      <c r="V334" s="3"/>
      <c r="W334" s="3"/>
      <c r="X334" s="3"/>
      <c r="Y334" s="3"/>
      <c r="Z334" s="3"/>
      <c r="AA334" s="3"/>
      <c r="AB334" s="3"/>
      <c r="AC334" s="3"/>
      <c r="AD334" s="3"/>
      <c r="AE334" s="3"/>
    </row>
    <row r="335">
      <c r="A335" s="13"/>
      <c r="B335" s="13"/>
      <c r="C335" s="13"/>
      <c r="D335" s="13"/>
      <c r="E335" s="13"/>
      <c r="F335" s="3"/>
      <c r="G335" s="3"/>
      <c r="H335" s="4"/>
      <c r="I335" s="8"/>
      <c r="J335" s="8"/>
      <c r="K335" s="3"/>
      <c r="L335" s="3"/>
      <c r="M335" s="3"/>
      <c r="N335" s="3"/>
      <c r="O335" s="3"/>
      <c r="P335" s="3"/>
      <c r="Q335" s="3"/>
      <c r="R335" s="3"/>
      <c r="S335" s="3"/>
      <c r="T335" s="3"/>
      <c r="U335" s="3"/>
      <c r="V335" s="3"/>
      <c r="W335" s="3"/>
      <c r="X335" s="3"/>
      <c r="Y335" s="3"/>
      <c r="Z335" s="3"/>
      <c r="AA335" s="3"/>
      <c r="AB335" s="3"/>
      <c r="AC335" s="3"/>
      <c r="AD335" s="3"/>
      <c r="AE335" s="3"/>
    </row>
    <row r="336">
      <c r="A336" s="13"/>
      <c r="B336" s="13"/>
      <c r="C336" s="13"/>
      <c r="D336" s="13"/>
      <c r="E336" s="13"/>
      <c r="F336" s="3"/>
      <c r="G336" s="3"/>
      <c r="H336" s="4"/>
      <c r="I336" s="8"/>
      <c r="J336" s="8"/>
      <c r="K336" s="3"/>
      <c r="L336" s="3"/>
      <c r="M336" s="3"/>
      <c r="N336" s="3"/>
      <c r="O336" s="3"/>
      <c r="P336" s="3"/>
      <c r="Q336" s="3"/>
      <c r="R336" s="3"/>
      <c r="S336" s="3"/>
      <c r="T336" s="3"/>
      <c r="U336" s="3"/>
      <c r="V336" s="3"/>
      <c r="W336" s="3"/>
      <c r="X336" s="3"/>
      <c r="Y336" s="3"/>
      <c r="Z336" s="3"/>
      <c r="AA336" s="3"/>
      <c r="AB336" s="3"/>
      <c r="AC336" s="3"/>
      <c r="AD336" s="3"/>
      <c r="AE336" s="3"/>
    </row>
    <row r="337">
      <c r="A337" s="13"/>
      <c r="B337" s="13"/>
      <c r="C337" s="13"/>
      <c r="D337" s="13"/>
      <c r="E337" s="13"/>
      <c r="F337" s="3"/>
      <c r="G337" s="3"/>
      <c r="H337" s="4"/>
      <c r="I337" s="8"/>
      <c r="J337" s="8"/>
      <c r="K337" s="3"/>
      <c r="L337" s="3"/>
      <c r="M337" s="3"/>
      <c r="N337" s="3"/>
      <c r="O337" s="3"/>
      <c r="P337" s="3"/>
      <c r="Q337" s="3"/>
      <c r="R337" s="3"/>
      <c r="S337" s="3"/>
      <c r="T337" s="3"/>
      <c r="U337" s="3"/>
      <c r="V337" s="3"/>
      <c r="W337" s="3"/>
      <c r="X337" s="3"/>
      <c r="Y337" s="3"/>
      <c r="Z337" s="3"/>
      <c r="AA337" s="3"/>
      <c r="AB337" s="3"/>
      <c r="AC337" s="3"/>
      <c r="AD337" s="3"/>
      <c r="AE337" s="3"/>
    </row>
    <row r="338">
      <c r="A338" s="13"/>
      <c r="B338" s="13"/>
      <c r="C338" s="13"/>
      <c r="D338" s="13"/>
      <c r="E338" s="13"/>
      <c r="F338" s="3"/>
      <c r="G338" s="3"/>
      <c r="H338" s="4"/>
      <c r="I338" s="8"/>
      <c r="J338" s="8"/>
      <c r="K338" s="3"/>
      <c r="L338" s="3"/>
      <c r="M338" s="3"/>
      <c r="N338" s="3"/>
      <c r="O338" s="3"/>
      <c r="P338" s="3"/>
      <c r="Q338" s="3"/>
      <c r="R338" s="3"/>
      <c r="S338" s="3"/>
      <c r="T338" s="3"/>
      <c r="U338" s="3"/>
      <c r="V338" s="3"/>
      <c r="W338" s="3"/>
      <c r="X338" s="3"/>
      <c r="Y338" s="3"/>
      <c r="Z338" s="3"/>
      <c r="AA338" s="3"/>
      <c r="AB338" s="3"/>
      <c r="AC338" s="3"/>
      <c r="AD338" s="3"/>
      <c r="AE338" s="3"/>
    </row>
    <row r="339">
      <c r="A339" s="13"/>
      <c r="B339" s="13"/>
      <c r="C339" s="13"/>
      <c r="D339" s="13"/>
      <c r="E339" s="13"/>
      <c r="F339" s="3"/>
      <c r="G339" s="3"/>
      <c r="H339" s="4"/>
      <c r="I339" s="8"/>
      <c r="J339" s="8"/>
      <c r="K339" s="3"/>
      <c r="L339" s="3"/>
      <c r="M339" s="3"/>
      <c r="N339" s="3"/>
      <c r="O339" s="3"/>
      <c r="P339" s="3"/>
      <c r="Q339" s="3"/>
      <c r="R339" s="3"/>
      <c r="S339" s="3"/>
      <c r="T339" s="3"/>
      <c r="U339" s="3"/>
      <c r="V339" s="3"/>
      <c r="W339" s="3"/>
      <c r="X339" s="3"/>
      <c r="Y339" s="3"/>
      <c r="Z339" s="3"/>
      <c r="AA339" s="3"/>
      <c r="AB339" s="3"/>
      <c r="AC339" s="3"/>
      <c r="AD339" s="3"/>
      <c r="AE339" s="3"/>
    </row>
    <row r="340">
      <c r="A340" s="13"/>
      <c r="B340" s="13"/>
      <c r="C340" s="13"/>
      <c r="D340" s="13"/>
      <c r="E340" s="13"/>
      <c r="F340" s="3"/>
      <c r="G340" s="3"/>
      <c r="H340" s="4"/>
      <c r="I340" s="8"/>
      <c r="J340" s="8"/>
      <c r="K340" s="3"/>
      <c r="L340" s="3"/>
      <c r="M340" s="3"/>
      <c r="N340" s="3"/>
      <c r="O340" s="3"/>
      <c r="P340" s="3"/>
      <c r="Q340" s="3"/>
      <c r="R340" s="3"/>
      <c r="S340" s="3"/>
      <c r="T340" s="3"/>
      <c r="U340" s="3"/>
      <c r="V340" s="3"/>
      <c r="W340" s="3"/>
      <c r="X340" s="3"/>
      <c r="Y340" s="3"/>
      <c r="Z340" s="3"/>
      <c r="AA340" s="3"/>
      <c r="AB340" s="3"/>
      <c r="AC340" s="3"/>
      <c r="AD340" s="3"/>
      <c r="AE340" s="3"/>
    </row>
    <row r="341">
      <c r="A341" s="13"/>
      <c r="B341" s="13"/>
      <c r="C341" s="13"/>
      <c r="D341" s="13"/>
      <c r="E341" s="13"/>
      <c r="F341" s="3"/>
      <c r="G341" s="3"/>
      <c r="H341" s="4"/>
      <c r="I341" s="8"/>
      <c r="J341" s="8"/>
      <c r="K341" s="3"/>
      <c r="L341" s="3"/>
      <c r="M341" s="3"/>
      <c r="N341" s="3"/>
      <c r="O341" s="3"/>
      <c r="P341" s="3"/>
      <c r="Q341" s="3"/>
      <c r="R341" s="3"/>
      <c r="S341" s="3"/>
      <c r="T341" s="3"/>
      <c r="U341" s="3"/>
      <c r="V341" s="3"/>
      <c r="W341" s="3"/>
      <c r="X341" s="3"/>
      <c r="Y341" s="3"/>
      <c r="Z341" s="3"/>
      <c r="AA341" s="3"/>
      <c r="AB341" s="3"/>
      <c r="AC341" s="3"/>
      <c r="AD341" s="3"/>
      <c r="AE341" s="3"/>
    </row>
    <row r="342">
      <c r="A342" s="13"/>
      <c r="B342" s="13"/>
      <c r="C342" s="13"/>
      <c r="D342" s="13"/>
      <c r="E342" s="13"/>
      <c r="F342" s="3"/>
      <c r="G342" s="3"/>
      <c r="H342" s="4"/>
      <c r="I342" s="8"/>
      <c r="J342" s="8"/>
      <c r="K342" s="3"/>
      <c r="L342" s="3"/>
      <c r="M342" s="3"/>
      <c r="N342" s="3"/>
      <c r="O342" s="3"/>
      <c r="P342" s="3"/>
      <c r="Q342" s="3"/>
      <c r="R342" s="3"/>
      <c r="S342" s="3"/>
      <c r="T342" s="3"/>
      <c r="U342" s="3"/>
      <c r="V342" s="3"/>
      <c r="W342" s="3"/>
      <c r="X342" s="3"/>
      <c r="Y342" s="3"/>
      <c r="Z342" s="3"/>
      <c r="AA342" s="3"/>
      <c r="AB342" s="3"/>
      <c r="AC342" s="3"/>
      <c r="AD342" s="3"/>
      <c r="AE342" s="3"/>
    </row>
    <row r="343">
      <c r="A343" s="13"/>
      <c r="B343" s="13"/>
      <c r="C343" s="13"/>
      <c r="D343" s="13"/>
      <c r="E343" s="13"/>
      <c r="F343" s="3"/>
      <c r="G343" s="3"/>
      <c r="H343" s="4"/>
      <c r="I343" s="8"/>
      <c r="J343" s="8"/>
      <c r="K343" s="3"/>
      <c r="L343" s="3"/>
      <c r="M343" s="3"/>
      <c r="N343" s="3"/>
      <c r="O343" s="3"/>
      <c r="P343" s="3"/>
      <c r="Q343" s="3"/>
      <c r="R343" s="3"/>
      <c r="S343" s="3"/>
      <c r="T343" s="3"/>
      <c r="U343" s="3"/>
      <c r="V343" s="3"/>
      <c r="W343" s="3"/>
      <c r="X343" s="3"/>
      <c r="Y343" s="3"/>
      <c r="Z343" s="3"/>
      <c r="AA343" s="3"/>
      <c r="AB343" s="3"/>
      <c r="AC343" s="3"/>
      <c r="AD343" s="3"/>
      <c r="AE343" s="3"/>
    </row>
    <row r="344">
      <c r="A344" s="13"/>
      <c r="B344" s="13"/>
      <c r="C344" s="13"/>
      <c r="D344" s="13"/>
      <c r="E344" s="13"/>
      <c r="F344" s="3"/>
      <c r="G344" s="3"/>
      <c r="H344" s="4"/>
      <c r="I344" s="8"/>
      <c r="J344" s="8"/>
      <c r="K344" s="3"/>
      <c r="L344" s="3"/>
      <c r="M344" s="3"/>
      <c r="N344" s="3"/>
      <c r="O344" s="3"/>
      <c r="P344" s="3"/>
      <c r="Q344" s="3"/>
      <c r="R344" s="3"/>
      <c r="S344" s="3"/>
      <c r="T344" s="3"/>
      <c r="U344" s="3"/>
      <c r="V344" s="3"/>
      <c r="W344" s="3"/>
      <c r="X344" s="3"/>
      <c r="Y344" s="3"/>
      <c r="Z344" s="3"/>
      <c r="AA344" s="3"/>
      <c r="AB344" s="3"/>
      <c r="AC344" s="3"/>
      <c r="AD344" s="3"/>
      <c r="AE344" s="3"/>
    </row>
    <row r="345">
      <c r="A345" s="13"/>
      <c r="B345" s="13"/>
      <c r="C345" s="13"/>
      <c r="D345" s="13"/>
      <c r="E345" s="13"/>
      <c r="F345" s="3"/>
      <c r="G345" s="3"/>
      <c r="H345" s="4"/>
      <c r="I345" s="8"/>
      <c r="J345" s="8"/>
      <c r="K345" s="3"/>
      <c r="L345" s="3"/>
      <c r="M345" s="3"/>
      <c r="N345" s="3"/>
      <c r="O345" s="3"/>
      <c r="P345" s="3"/>
      <c r="Q345" s="3"/>
      <c r="R345" s="3"/>
      <c r="S345" s="3"/>
      <c r="T345" s="3"/>
      <c r="U345" s="3"/>
      <c r="V345" s="3"/>
      <c r="W345" s="3"/>
      <c r="X345" s="3"/>
      <c r="Y345" s="3"/>
      <c r="Z345" s="3"/>
      <c r="AA345" s="3"/>
      <c r="AB345" s="3"/>
      <c r="AC345" s="3"/>
      <c r="AD345" s="3"/>
      <c r="AE345" s="3"/>
    </row>
    <row r="346">
      <c r="A346" s="13"/>
      <c r="B346" s="13"/>
      <c r="C346" s="13"/>
      <c r="D346" s="13"/>
      <c r="E346" s="13"/>
      <c r="F346" s="3"/>
      <c r="G346" s="3"/>
      <c r="H346" s="4"/>
      <c r="I346" s="8"/>
      <c r="J346" s="8"/>
      <c r="K346" s="3"/>
      <c r="L346" s="3"/>
      <c r="M346" s="3"/>
      <c r="N346" s="3"/>
      <c r="O346" s="3"/>
      <c r="P346" s="3"/>
      <c r="Q346" s="3"/>
      <c r="R346" s="3"/>
      <c r="S346" s="3"/>
      <c r="T346" s="3"/>
      <c r="U346" s="3"/>
      <c r="V346" s="3"/>
      <c r="W346" s="3"/>
      <c r="X346" s="3"/>
      <c r="Y346" s="3"/>
      <c r="Z346" s="3"/>
      <c r="AA346" s="3"/>
      <c r="AB346" s="3"/>
      <c r="AC346" s="3"/>
      <c r="AD346" s="3"/>
      <c r="AE346" s="3"/>
    </row>
    <row r="347">
      <c r="A347" s="13"/>
      <c r="B347" s="13"/>
      <c r="C347" s="13"/>
      <c r="D347" s="13"/>
      <c r="E347" s="13"/>
      <c r="F347" s="3"/>
      <c r="G347" s="3"/>
      <c r="H347" s="4"/>
      <c r="I347" s="8"/>
      <c r="J347" s="8"/>
      <c r="K347" s="3"/>
      <c r="L347" s="3"/>
      <c r="M347" s="3"/>
      <c r="N347" s="3"/>
      <c r="O347" s="3"/>
      <c r="P347" s="3"/>
      <c r="Q347" s="3"/>
      <c r="R347" s="3"/>
      <c r="S347" s="3"/>
      <c r="T347" s="3"/>
      <c r="U347" s="3"/>
      <c r="V347" s="3"/>
      <c r="W347" s="3"/>
      <c r="X347" s="3"/>
      <c r="Y347" s="3"/>
      <c r="Z347" s="3"/>
      <c r="AA347" s="3"/>
      <c r="AB347" s="3"/>
      <c r="AC347" s="3"/>
      <c r="AD347" s="3"/>
      <c r="AE347" s="3"/>
    </row>
    <row r="348">
      <c r="A348" s="13"/>
      <c r="B348" s="13"/>
      <c r="C348" s="13"/>
      <c r="D348" s="13"/>
      <c r="E348" s="13"/>
      <c r="F348" s="3"/>
      <c r="G348" s="3"/>
      <c r="H348" s="4"/>
      <c r="I348" s="8"/>
      <c r="J348" s="8"/>
      <c r="K348" s="3"/>
      <c r="L348" s="3"/>
      <c r="M348" s="3"/>
      <c r="N348" s="3"/>
      <c r="O348" s="3"/>
      <c r="P348" s="3"/>
      <c r="Q348" s="3"/>
      <c r="R348" s="3"/>
      <c r="S348" s="3"/>
      <c r="T348" s="3"/>
      <c r="U348" s="3"/>
      <c r="V348" s="3"/>
      <c r="W348" s="3"/>
      <c r="X348" s="3"/>
      <c r="Y348" s="3"/>
      <c r="Z348" s="3"/>
      <c r="AA348" s="3"/>
      <c r="AB348" s="3"/>
      <c r="AC348" s="3"/>
      <c r="AD348" s="3"/>
      <c r="AE348" s="3"/>
    </row>
    <row r="349">
      <c r="A349" s="13"/>
      <c r="B349" s="13"/>
      <c r="C349" s="13"/>
      <c r="D349" s="13"/>
      <c r="E349" s="13"/>
      <c r="F349" s="3"/>
      <c r="G349" s="3"/>
      <c r="H349" s="4"/>
      <c r="I349" s="8"/>
      <c r="J349" s="8"/>
      <c r="K349" s="3"/>
      <c r="L349" s="3"/>
      <c r="M349" s="3"/>
      <c r="N349" s="3"/>
      <c r="O349" s="3"/>
      <c r="P349" s="3"/>
      <c r="Q349" s="3"/>
      <c r="R349" s="3"/>
      <c r="S349" s="3"/>
      <c r="T349" s="3"/>
      <c r="U349" s="3"/>
      <c r="V349" s="3"/>
      <c r="W349" s="3"/>
      <c r="X349" s="3"/>
      <c r="Y349" s="3"/>
      <c r="Z349" s="3"/>
      <c r="AA349" s="3"/>
      <c r="AB349" s="3"/>
      <c r="AC349" s="3"/>
      <c r="AD349" s="3"/>
      <c r="AE349" s="3"/>
    </row>
    <row r="350">
      <c r="A350" s="13"/>
      <c r="B350" s="13"/>
      <c r="C350" s="13"/>
      <c r="D350" s="13"/>
      <c r="E350" s="13"/>
      <c r="F350" s="3"/>
      <c r="G350" s="3"/>
      <c r="H350" s="4"/>
      <c r="I350" s="8"/>
      <c r="J350" s="8"/>
      <c r="K350" s="3"/>
      <c r="L350" s="3"/>
      <c r="M350" s="3"/>
      <c r="N350" s="3"/>
      <c r="O350" s="3"/>
      <c r="P350" s="3"/>
      <c r="Q350" s="3"/>
      <c r="R350" s="3"/>
      <c r="S350" s="3"/>
      <c r="T350" s="3"/>
      <c r="U350" s="3"/>
      <c r="V350" s="3"/>
      <c r="W350" s="3"/>
      <c r="X350" s="3"/>
      <c r="Y350" s="3"/>
      <c r="Z350" s="3"/>
      <c r="AA350" s="3"/>
      <c r="AB350" s="3"/>
      <c r="AC350" s="3"/>
      <c r="AD350" s="3"/>
      <c r="AE350" s="3"/>
    </row>
    <row r="351">
      <c r="A351" s="13"/>
      <c r="B351" s="13"/>
      <c r="C351" s="13"/>
      <c r="D351" s="13"/>
      <c r="E351" s="13"/>
      <c r="F351" s="3"/>
      <c r="G351" s="3"/>
      <c r="H351" s="4"/>
      <c r="I351" s="8"/>
      <c r="J351" s="8"/>
      <c r="K351" s="3"/>
      <c r="L351" s="3"/>
      <c r="M351" s="3"/>
      <c r="N351" s="3"/>
      <c r="O351" s="3"/>
      <c r="P351" s="3"/>
      <c r="Q351" s="3"/>
      <c r="R351" s="3"/>
      <c r="S351" s="3"/>
      <c r="T351" s="3"/>
      <c r="U351" s="3"/>
      <c r="V351" s="3"/>
      <c r="W351" s="3"/>
      <c r="X351" s="3"/>
      <c r="Y351" s="3"/>
      <c r="Z351" s="3"/>
      <c r="AA351" s="3"/>
      <c r="AB351" s="3"/>
      <c r="AC351" s="3"/>
      <c r="AD351" s="3"/>
      <c r="AE351" s="3"/>
    </row>
    <row r="352">
      <c r="A352" s="13"/>
      <c r="B352" s="13"/>
      <c r="C352" s="13"/>
      <c r="D352" s="13"/>
      <c r="E352" s="13"/>
      <c r="F352" s="3"/>
      <c r="G352" s="3"/>
      <c r="H352" s="4"/>
      <c r="I352" s="8"/>
      <c r="J352" s="8"/>
      <c r="K352" s="3"/>
      <c r="L352" s="3"/>
      <c r="M352" s="3"/>
      <c r="N352" s="3"/>
      <c r="O352" s="3"/>
      <c r="P352" s="3"/>
      <c r="Q352" s="3"/>
      <c r="R352" s="3"/>
      <c r="S352" s="3"/>
      <c r="T352" s="3"/>
      <c r="U352" s="3"/>
      <c r="V352" s="3"/>
      <c r="W352" s="3"/>
      <c r="X352" s="3"/>
      <c r="Y352" s="3"/>
      <c r="Z352" s="3"/>
      <c r="AA352" s="3"/>
      <c r="AB352" s="3"/>
      <c r="AC352" s="3"/>
      <c r="AD352" s="3"/>
      <c r="AE352" s="3"/>
    </row>
    <row r="353">
      <c r="A353" s="13"/>
      <c r="B353" s="13"/>
      <c r="C353" s="13"/>
      <c r="D353" s="13"/>
      <c r="E353" s="13"/>
      <c r="F353" s="3"/>
      <c r="G353" s="3"/>
      <c r="H353" s="4"/>
      <c r="I353" s="8"/>
      <c r="J353" s="8"/>
      <c r="K353" s="3"/>
      <c r="L353" s="3"/>
      <c r="M353" s="3"/>
      <c r="N353" s="3"/>
      <c r="O353" s="3"/>
      <c r="P353" s="3"/>
      <c r="Q353" s="3"/>
      <c r="R353" s="3"/>
      <c r="S353" s="3"/>
      <c r="T353" s="3"/>
      <c r="U353" s="3"/>
      <c r="V353" s="3"/>
      <c r="W353" s="3"/>
      <c r="X353" s="3"/>
      <c r="Y353" s="3"/>
      <c r="Z353" s="3"/>
      <c r="AA353" s="3"/>
      <c r="AB353" s="3"/>
      <c r="AC353" s="3"/>
      <c r="AD353" s="3"/>
      <c r="AE353" s="3"/>
    </row>
    <row r="354">
      <c r="A354" s="13"/>
      <c r="B354" s="13"/>
      <c r="C354" s="13"/>
      <c r="D354" s="13"/>
      <c r="E354" s="13"/>
      <c r="F354" s="3"/>
      <c r="G354" s="3"/>
      <c r="H354" s="4"/>
      <c r="I354" s="8"/>
      <c r="J354" s="8"/>
      <c r="K354" s="3"/>
      <c r="L354" s="3"/>
      <c r="M354" s="3"/>
      <c r="N354" s="3"/>
      <c r="O354" s="3"/>
      <c r="P354" s="3"/>
      <c r="Q354" s="3"/>
      <c r="R354" s="3"/>
      <c r="S354" s="3"/>
      <c r="T354" s="3"/>
      <c r="U354" s="3"/>
      <c r="V354" s="3"/>
      <c r="W354" s="3"/>
      <c r="X354" s="3"/>
      <c r="Y354" s="3"/>
      <c r="Z354" s="3"/>
      <c r="AA354" s="3"/>
      <c r="AB354" s="3"/>
      <c r="AC354" s="3"/>
      <c r="AD354" s="3"/>
      <c r="AE354" s="3"/>
    </row>
    <row r="355">
      <c r="A355" s="13"/>
      <c r="B355" s="13"/>
      <c r="C355" s="13"/>
      <c r="D355" s="13"/>
      <c r="E355" s="13"/>
      <c r="F355" s="3"/>
      <c r="G355" s="3"/>
      <c r="H355" s="4"/>
      <c r="I355" s="8"/>
      <c r="J355" s="8"/>
      <c r="K355" s="3"/>
      <c r="L355" s="3"/>
      <c r="M355" s="3"/>
      <c r="N355" s="3"/>
      <c r="O355" s="3"/>
      <c r="P355" s="3"/>
      <c r="Q355" s="3"/>
      <c r="R355" s="3"/>
      <c r="S355" s="3"/>
      <c r="T355" s="3"/>
      <c r="U355" s="3"/>
      <c r="V355" s="3"/>
      <c r="W355" s="3"/>
      <c r="X355" s="3"/>
      <c r="Y355" s="3"/>
      <c r="Z355" s="3"/>
      <c r="AA355" s="3"/>
      <c r="AB355" s="3"/>
      <c r="AC355" s="3"/>
      <c r="AD355" s="3"/>
      <c r="AE355" s="3"/>
    </row>
    <row r="356">
      <c r="A356" s="13"/>
      <c r="B356" s="13"/>
      <c r="C356" s="13"/>
      <c r="D356" s="13"/>
      <c r="E356" s="13"/>
      <c r="F356" s="3"/>
      <c r="G356" s="3"/>
      <c r="H356" s="4"/>
      <c r="I356" s="8"/>
      <c r="J356" s="8"/>
      <c r="K356" s="3"/>
      <c r="L356" s="3"/>
      <c r="M356" s="3"/>
      <c r="N356" s="3"/>
      <c r="O356" s="3"/>
      <c r="P356" s="3"/>
      <c r="Q356" s="3"/>
      <c r="R356" s="3"/>
      <c r="S356" s="3"/>
      <c r="T356" s="3"/>
      <c r="U356" s="3"/>
      <c r="V356" s="3"/>
      <c r="W356" s="3"/>
      <c r="X356" s="3"/>
      <c r="Y356" s="3"/>
      <c r="Z356" s="3"/>
      <c r="AA356" s="3"/>
      <c r="AB356" s="3"/>
      <c r="AC356" s="3"/>
      <c r="AD356" s="3"/>
      <c r="AE356" s="3"/>
    </row>
    <row r="357">
      <c r="A357" s="13"/>
      <c r="B357" s="13"/>
      <c r="C357" s="13"/>
      <c r="D357" s="13"/>
      <c r="E357" s="13"/>
      <c r="F357" s="3"/>
      <c r="G357" s="3"/>
      <c r="H357" s="4"/>
      <c r="I357" s="8"/>
      <c r="J357" s="8"/>
      <c r="K357" s="3"/>
      <c r="L357" s="3"/>
      <c r="M357" s="3"/>
      <c r="N357" s="3"/>
      <c r="O357" s="3"/>
      <c r="P357" s="3"/>
      <c r="Q357" s="3"/>
      <c r="R357" s="3"/>
      <c r="S357" s="3"/>
      <c r="T357" s="3"/>
      <c r="U357" s="3"/>
      <c r="V357" s="3"/>
      <c r="W357" s="3"/>
      <c r="X357" s="3"/>
      <c r="Y357" s="3"/>
      <c r="Z357" s="3"/>
      <c r="AA357" s="3"/>
      <c r="AB357" s="3"/>
      <c r="AC357" s="3"/>
      <c r="AD357" s="3"/>
      <c r="AE357" s="3"/>
    </row>
    <row r="358">
      <c r="A358" s="13"/>
      <c r="B358" s="13"/>
      <c r="C358" s="13"/>
      <c r="D358" s="13"/>
      <c r="E358" s="13"/>
      <c r="F358" s="3"/>
      <c r="G358" s="3"/>
      <c r="H358" s="4"/>
      <c r="I358" s="8"/>
      <c r="J358" s="8"/>
      <c r="K358" s="3"/>
      <c r="L358" s="3"/>
      <c r="M358" s="3"/>
      <c r="N358" s="3"/>
      <c r="O358" s="3"/>
      <c r="P358" s="3"/>
      <c r="Q358" s="3"/>
      <c r="R358" s="3"/>
      <c r="S358" s="3"/>
      <c r="T358" s="3"/>
      <c r="U358" s="3"/>
      <c r="V358" s="3"/>
      <c r="W358" s="3"/>
      <c r="X358" s="3"/>
      <c r="Y358" s="3"/>
      <c r="Z358" s="3"/>
      <c r="AA358" s="3"/>
      <c r="AB358" s="3"/>
      <c r="AC358" s="3"/>
      <c r="AD358" s="3"/>
      <c r="AE358" s="3"/>
    </row>
    <row r="359">
      <c r="A359" s="13"/>
      <c r="B359" s="13"/>
      <c r="C359" s="13"/>
      <c r="D359" s="13"/>
      <c r="E359" s="13"/>
      <c r="F359" s="3"/>
      <c r="G359" s="3"/>
      <c r="H359" s="4"/>
      <c r="I359" s="8"/>
      <c r="J359" s="8"/>
      <c r="K359" s="3"/>
      <c r="L359" s="3"/>
      <c r="M359" s="3"/>
      <c r="N359" s="3"/>
      <c r="O359" s="3"/>
      <c r="P359" s="3"/>
      <c r="Q359" s="3"/>
      <c r="R359" s="3"/>
      <c r="S359" s="3"/>
      <c r="T359" s="3"/>
      <c r="U359" s="3"/>
      <c r="V359" s="3"/>
      <c r="W359" s="3"/>
      <c r="X359" s="3"/>
      <c r="Y359" s="3"/>
      <c r="Z359" s="3"/>
      <c r="AA359" s="3"/>
      <c r="AB359" s="3"/>
      <c r="AC359" s="3"/>
      <c r="AD359" s="3"/>
      <c r="AE359" s="3"/>
    </row>
    <row r="360">
      <c r="A360" s="13"/>
      <c r="B360" s="13"/>
      <c r="C360" s="13"/>
      <c r="D360" s="13"/>
      <c r="E360" s="13"/>
      <c r="F360" s="3"/>
      <c r="G360" s="3"/>
      <c r="H360" s="4"/>
      <c r="I360" s="8"/>
      <c r="J360" s="8"/>
      <c r="K360" s="3"/>
      <c r="L360" s="3"/>
      <c r="M360" s="3"/>
      <c r="N360" s="3"/>
      <c r="O360" s="3"/>
      <c r="P360" s="3"/>
      <c r="Q360" s="3"/>
      <c r="R360" s="3"/>
      <c r="S360" s="3"/>
      <c r="T360" s="3"/>
      <c r="U360" s="3"/>
      <c r="V360" s="3"/>
      <c r="W360" s="3"/>
      <c r="X360" s="3"/>
      <c r="Y360" s="3"/>
      <c r="Z360" s="3"/>
      <c r="AA360" s="3"/>
      <c r="AB360" s="3"/>
      <c r="AC360" s="3"/>
      <c r="AD360" s="3"/>
      <c r="AE360" s="3"/>
    </row>
    <row r="361">
      <c r="A361" s="13"/>
      <c r="B361" s="13"/>
      <c r="C361" s="13"/>
      <c r="D361" s="13"/>
      <c r="E361" s="13"/>
      <c r="F361" s="3"/>
      <c r="G361" s="3"/>
      <c r="H361" s="4"/>
      <c r="I361" s="8"/>
      <c r="J361" s="8"/>
      <c r="K361" s="3"/>
      <c r="L361" s="3"/>
      <c r="M361" s="3"/>
      <c r="N361" s="3"/>
      <c r="O361" s="3"/>
      <c r="P361" s="3"/>
      <c r="Q361" s="3"/>
      <c r="R361" s="3"/>
      <c r="S361" s="3"/>
      <c r="T361" s="3"/>
      <c r="U361" s="3"/>
      <c r="V361" s="3"/>
      <c r="W361" s="3"/>
      <c r="X361" s="3"/>
      <c r="Y361" s="3"/>
      <c r="Z361" s="3"/>
      <c r="AA361" s="3"/>
      <c r="AB361" s="3"/>
      <c r="AC361" s="3"/>
      <c r="AD361" s="3"/>
      <c r="AE361" s="3"/>
    </row>
    <row r="362">
      <c r="A362" s="13"/>
      <c r="B362" s="13"/>
      <c r="C362" s="13"/>
      <c r="D362" s="13"/>
      <c r="E362" s="13"/>
      <c r="F362" s="3"/>
      <c r="G362" s="3"/>
      <c r="H362" s="4"/>
      <c r="I362" s="8"/>
      <c r="J362" s="8"/>
      <c r="K362" s="3"/>
      <c r="L362" s="3"/>
      <c r="M362" s="3"/>
      <c r="N362" s="3"/>
      <c r="O362" s="3"/>
      <c r="P362" s="3"/>
      <c r="Q362" s="3"/>
      <c r="R362" s="3"/>
      <c r="S362" s="3"/>
      <c r="T362" s="3"/>
      <c r="U362" s="3"/>
      <c r="V362" s="3"/>
      <c r="W362" s="3"/>
      <c r="X362" s="3"/>
      <c r="Y362" s="3"/>
      <c r="Z362" s="3"/>
      <c r="AA362" s="3"/>
      <c r="AB362" s="3"/>
      <c r="AC362" s="3"/>
      <c r="AD362" s="3"/>
      <c r="AE362" s="3"/>
    </row>
    <row r="363">
      <c r="A363" s="13"/>
      <c r="B363" s="13"/>
      <c r="C363" s="13"/>
      <c r="D363" s="13"/>
      <c r="E363" s="13"/>
      <c r="F363" s="3"/>
      <c r="G363" s="3"/>
      <c r="H363" s="4"/>
      <c r="I363" s="8"/>
      <c r="J363" s="8"/>
      <c r="K363" s="3"/>
      <c r="L363" s="3"/>
      <c r="M363" s="3"/>
      <c r="N363" s="3"/>
      <c r="O363" s="3"/>
      <c r="P363" s="3"/>
      <c r="Q363" s="3"/>
      <c r="R363" s="3"/>
      <c r="S363" s="3"/>
      <c r="T363" s="3"/>
      <c r="U363" s="3"/>
      <c r="V363" s="3"/>
      <c r="W363" s="3"/>
      <c r="X363" s="3"/>
      <c r="Y363" s="3"/>
      <c r="Z363" s="3"/>
      <c r="AA363" s="3"/>
      <c r="AB363" s="3"/>
      <c r="AC363" s="3"/>
      <c r="AD363" s="3"/>
      <c r="AE363" s="3"/>
    </row>
    <row r="364">
      <c r="A364" s="13"/>
      <c r="B364" s="13"/>
      <c r="C364" s="13"/>
      <c r="D364" s="13"/>
      <c r="E364" s="13"/>
      <c r="F364" s="3"/>
      <c r="G364" s="3"/>
      <c r="H364" s="4"/>
      <c r="I364" s="8"/>
      <c r="J364" s="8"/>
      <c r="K364" s="3"/>
      <c r="L364" s="3"/>
      <c r="M364" s="3"/>
      <c r="N364" s="3"/>
      <c r="O364" s="3"/>
      <c r="P364" s="3"/>
      <c r="Q364" s="3"/>
      <c r="R364" s="3"/>
      <c r="S364" s="3"/>
      <c r="T364" s="3"/>
      <c r="U364" s="3"/>
      <c r="V364" s="3"/>
      <c r="W364" s="3"/>
      <c r="X364" s="3"/>
      <c r="Y364" s="3"/>
      <c r="Z364" s="3"/>
      <c r="AA364" s="3"/>
      <c r="AB364" s="3"/>
      <c r="AC364" s="3"/>
      <c r="AD364" s="3"/>
      <c r="AE364" s="3"/>
    </row>
    <row r="365">
      <c r="A365" s="13"/>
      <c r="B365" s="13"/>
      <c r="C365" s="13"/>
      <c r="D365" s="13"/>
      <c r="E365" s="13"/>
      <c r="F365" s="3"/>
      <c r="G365" s="3"/>
      <c r="H365" s="4"/>
      <c r="I365" s="8"/>
      <c r="J365" s="8"/>
      <c r="K365" s="3"/>
      <c r="L365" s="3"/>
      <c r="M365" s="3"/>
      <c r="N365" s="3"/>
      <c r="O365" s="3"/>
      <c r="P365" s="3"/>
      <c r="Q365" s="3"/>
      <c r="R365" s="3"/>
      <c r="S365" s="3"/>
      <c r="T365" s="3"/>
      <c r="U365" s="3"/>
      <c r="V365" s="3"/>
      <c r="W365" s="3"/>
      <c r="X365" s="3"/>
      <c r="Y365" s="3"/>
      <c r="Z365" s="3"/>
      <c r="AA365" s="3"/>
      <c r="AB365" s="3"/>
      <c r="AC365" s="3"/>
      <c r="AD365" s="3"/>
      <c r="AE365" s="3"/>
    </row>
    <row r="366">
      <c r="A366" s="13"/>
      <c r="B366" s="13"/>
      <c r="C366" s="13"/>
      <c r="D366" s="13"/>
      <c r="E366" s="13"/>
      <c r="F366" s="3"/>
      <c r="G366" s="3"/>
      <c r="H366" s="4"/>
      <c r="I366" s="8"/>
      <c r="J366" s="8"/>
      <c r="K366" s="3"/>
      <c r="L366" s="3"/>
      <c r="M366" s="3"/>
      <c r="N366" s="3"/>
      <c r="O366" s="3"/>
      <c r="P366" s="3"/>
      <c r="Q366" s="3"/>
      <c r="R366" s="3"/>
      <c r="S366" s="3"/>
      <c r="T366" s="3"/>
      <c r="U366" s="3"/>
      <c r="V366" s="3"/>
      <c r="W366" s="3"/>
      <c r="X366" s="3"/>
      <c r="Y366" s="3"/>
      <c r="Z366" s="3"/>
      <c r="AA366" s="3"/>
      <c r="AB366" s="3"/>
      <c r="AC366" s="3"/>
      <c r="AD366" s="3"/>
      <c r="AE366" s="3"/>
    </row>
    <row r="367">
      <c r="A367" s="13"/>
      <c r="B367" s="13"/>
      <c r="C367" s="13"/>
      <c r="D367" s="13"/>
      <c r="E367" s="13"/>
      <c r="F367" s="3"/>
      <c r="G367" s="3"/>
      <c r="H367" s="4"/>
      <c r="I367" s="8"/>
      <c r="J367" s="8"/>
      <c r="K367" s="3"/>
      <c r="L367" s="3"/>
      <c r="M367" s="3"/>
      <c r="N367" s="3"/>
      <c r="O367" s="3"/>
      <c r="P367" s="3"/>
      <c r="Q367" s="3"/>
      <c r="R367" s="3"/>
      <c r="S367" s="3"/>
      <c r="T367" s="3"/>
      <c r="U367" s="3"/>
      <c r="V367" s="3"/>
      <c r="W367" s="3"/>
      <c r="X367" s="3"/>
      <c r="Y367" s="3"/>
      <c r="Z367" s="3"/>
      <c r="AA367" s="3"/>
      <c r="AB367" s="3"/>
      <c r="AC367" s="3"/>
      <c r="AD367" s="3"/>
      <c r="AE367" s="3"/>
    </row>
    <row r="368">
      <c r="A368" s="13"/>
      <c r="B368" s="13"/>
      <c r="C368" s="13"/>
      <c r="D368" s="13"/>
      <c r="E368" s="13"/>
      <c r="F368" s="3"/>
      <c r="G368" s="3"/>
      <c r="H368" s="4"/>
      <c r="I368" s="8"/>
      <c r="J368" s="8"/>
      <c r="K368" s="3"/>
      <c r="L368" s="3"/>
      <c r="M368" s="3"/>
      <c r="N368" s="3"/>
      <c r="O368" s="3"/>
      <c r="P368" s="3"/>
      <c r="Q368" s="3"/>
      <c r="R368" s="3"/>
      <c r="S368" s="3"/>
      <c r="T368" s="3"/>
      <c r="U368" s="3"/>
      <c r="V368" s="3"/>
      <c r="W368" s="3"/>
      <c r="X368" s="3"/>
      <c r="Y368" s="3"/>
      <c r="Z368" s="3"/>
      <c r="AA368" s="3"/>
      <c r="AB368" s="3"/>
      <c r="AC368" s="3"/>
      <c r="AD368" s="3"/>
      <c r="AE368" s="3"/>
    </row>
    <row r="369">
      <c r="A369" s="13"/>
      <c r="B369" s="13"/>
      <c r="C369" s="13"/>
      <c r="D369" s="13"/>
      <c r="E369" s="13"/>
      <c r="F369" s="3"/>
      <c r="G369" s="3"/>
      <c r="H369" s="4"/>
      <c r="I369" s="8"/>
      <c r="J369" s="8"/>
      <c r="K369" s="3"/>
      <c r="L369" s="3"/>
      <c r="M369" s="3"/>
      <c r="N369" s="3"/>
      <c r="O369" s="3"/>
      <c r="P369" s="3"/>
      <c r="Q369" s="3"/>
      <c r="R369" s="3"/>
      <c r="S369" s="3"/>
      <c r="T369" s="3"/>
      <c r="U369" s="3"/>
      <c r="V369" s="3"/>
      <c r="W369" s="3"/>
      <c r="X369" s="3"/>
      <c r="Y369" s="3"/>
      <c r="Z369" s="3"/>
      <c r="AA369" s="3"/>
      <c r="AB369" s="3"/>
      <c r="AC369" s="3"/>
      <c r="AD369" s="3"/>
      <c r="AE369" s="3"/>
    </row>
    <row r="370">
      <c r="A370" s="13"/>
      <c r="B370" s="13"/>
      <c r="C370" s="13"/>
      <c r="D370" s="13"/>
      <c r="E370" s="13"/>
      <c r="F370" s="3"/>
      <c r="G370" s="3"/>
      <c r="H370" s="4"/>
      <c r="I370" s="8"/>
      <c r="J370" s="8"/>
      <c r="K370" s="3"/>
      <c r="L370" s="3"/>
      <c r="M370" s="3"/>
      <c r="N370" s="3"/>
      <c r="O370" s="3"/>
      <c r="P370" s="3"/>
      <c r="Q370" s="3"/>
      <c r="R370" s="3"/>
      <c r="S370" s="3"/>
      <c r="T370" s="3"/>
      <c r="U370" s="3"/>
      <c r="V370" s="3"/>
      <c r="W370" s="3"/>
      <c r="X370" s="3"/>
      <c r="Y370" s="3"/>
      <c r="Z370" s="3"/>
      <c r="AA370" s="3"/>
      <c r="AB370" s="3"/>
      <c r="AC370" s="3"/>
      <c r="AD370" s="3"/>
      <c r="AE370" s="3"/>
    </row>
    <row r="371">
      <c r="A371" s="13"/>
      <c r="B371" s="13"/>
      <c r="C371" s="13"/>
      <c r="D371" s="13"/>
      <c r="E371" s="13"/>
      <c r="F371" s="3"/>
      <c r="G371" s="3"/>
      <c r="H371" s="4"/>
      <c r="I371" s="8"/>
      <c r="J371" s="8"/>
      <c r="K371" s="3"/>
      <c r="L371" s="3"/>
      <c r="M371" s="3"/>
      <c r="N371" s="3"/>
      <c r="O371" s="3"/>
      <c r="P371" s="3"/>
      <c r="Q371" s="3"/>
      <c r="R371" s="3"/>
      <c r="S371" s="3"/>
      <c r="T371" s="3"/>
      <c r="U371" s="3"/>
      <c r="V371" s="3"/>
      <c r="W371" s="3"/>
      <c r="X371" s="3"/>
      <c r="Y371" s="3"/>
      <c r="Z371" s="3"/>
      <c r="AA371" s="3"/>
      <c r="AB371" s="3"/>
      <c r="AC371" s="3"/>
      <c r="AD371" s="3"/>
      <c r="AE371" s="3"/>
    </row>
    <row r="372">
      <c r="A372" s="13"/>
      <c r="B372" s="13"/>
      <c r="C372" s="13"/>
      <c r="D372" s="13"/>
      <c r="E372" s="13"/>
      <c r="F372" s="3"/>
      <c r="G372" s="3"/>
      <c r="H372" s="4"/>
      <c r="I372" s="8"/>
      <c r="J372" s="8"/>
      <c r="K372" s="3"/>
      <c r="L372" s="3"/>
      <c r="M372" s="3"/>
      <c r="N372" s="3"/>
      <c r="O372" s="3"/>
      <c r="P372" s="3"/>
      <c r="Q372" s="3"/>
      <c r="R372" s="3"/>
      <c r="S372" s="3"/>
      <c r="T372" s="3"/>
      <c r="U372" s="3"/>
      <c r="V372" s="3"/>
      <c r="W372" s="3"/>
      <c r="X372" s="3"/>
      <c r="Y372" s="3"/>
      <c r="Z372" s="3"/>
      <c r="AA372" s="3"/>
      <c r="AB372" s="3"/>
      <c r="AC372" s="3"/>
      <c r="AD372" s="3"/>
      <c r="AE372" s="3"/>
    </row>
    <row r="373">
      <c r="A373" s="13"/>
      <c r="B373" s="13"/>
      <c r="C373" s="13"/>
      <c r="D373" s="13"/>
      <c r="E373" s="13"/>
      <c r="F373" s="3"/>
      <c r="G373" s="3"/>
      <c r="H373" s="4"/>
      <c r="I373" s="8"/>
      <c r="J373" s="8"/>
      <c r="K373" s="3"/>
      <c r="L373" s="3"/>
      <c r="M373" s="3"/>
      <c r="N373" s="3"/>
      <c r="O373" s="3"/>
      <c r="P373" s="3"/>
      <c r="Q373" s="3"/>
      <c r="R373" s="3"/>
      <c r="S373" s="3"/>
      <c r="T373" s="3"/>
      <c r="U373" s="3"/>
      <c r="V373" s="3"/>
      <c r="W373" s="3"/>
      <c r="X373" s="3"/>
      <c r="Y373" s="3"/>
      <c r="Z373" s="3"/>
      <c r="AA373" s="3"/>
      <c r="AB373" s="3"/>
      <c r="AC373" s="3"/>
      <c r="AD373" s="3"/>
      <c r="AE373" s="3"/>
    </row>
    <row r="374">
      <c r="A374" s="13"/>
      <c r="B374" s="13"/>
      <c r="C374" s="13"/>
      <c r="D374" s="13"/>
      <c r="E374" s="13"/>
      <c r="F374" s="3"/>
      <c r="G374" s="3"/>
      <c r="H374" s="4"/>
      <c r="I374" s="8"/>
      <c r="J374" s="8"/>
      <c r="K374" s="3"/>
      <c r="L374" s="3"/>
      <c r="M374" s="3"/>
      <c r="N374" s="3"/>
      <c r="O374" s="3"/>
      <c r="P374" s="3"/>
      <c r="Q374" s="3"/>
      <c r="R374" s="3"/>
      <c r="S374" s="3"/>
      <c r="T374" s="3"/>
      <c r="U374" s="3"/>
      <c r="V374" s="3"/>
      <c r="W374" s="3"/>
      <c r="X374" s="3"/>
      <c r="Y374" s="3"/>
      <c r="Z374" s="3"/>
      <c r="AA374" s="3"/>
      <c r="AB374" s="3"/>
      <c r="AC374" s="3"/>
      <c r="AD374" s="3"/>
      <c r="AE374" s="3"/>
    </row>
    <row r="375">
      <c r="A375" s="13"/>
      <c r="B375" s="13"/>
      <c r="C375" s="13"/>
      <c r="D375" s="13"/>
      <c r="E375" s="13"/>
      <c r="F375" s="3"/>
      <c r="G375" s="3"/>
      <c r="H375" s="4"/>
      <c r="I375" s="8"/>
      <c r="J375" s="8"/>
      <c r="K375" s="3"/>
      <c r="L375" s="3"/>
      <c r="M375" s="3"/>
      <c r="N375" s="3"/>
      <c r="O375" s="3"/>
      <c r="P375" s="3"/>
      <c r="Q375" s="3"/>
      <c r="R375" s="3"/>
      <c r="S375" s="3"/>
      <c r="T375" s="3"/>
      <c r="U375" s="3"/>
      <c r="V375" s="3"/>
      <c r="W375" s="3"/>
      <c r="X375" s="3"/>
      <c r="Y375" s="3"/>
      <c r="Z375" s="3"/>
      <c r="AA375" s="3"/>
      <c r="AB375" s="3"/>
      <c r="AC375" s="3"/>
      <c r="AD375" s="3"/>
      <c r="AE375" s="3"/>
    </row>
    <row r="376">
      <c r="A376" s="13"/>
      <c r="B376" s="13"/>
      <c r="C376" s="13"/>
      <c r="D376" s="13"/>
      <c r="E376" s="13"/>
      <c r="F376" s="3"/>
      <c r="G376" s="3"/>
      <c r="H376" s="4"/>
      <c r="I376" s="8"/>
      <c r="J376" s="8"/>
      <c r="K376" s="3"/>
      <c r="L376" s="3"/>
      <c r="M376" s="3"/>
      <c r="N376" s="3"/>
      <c r="O376" s="3"/>
      <c r="P376" s="3"/>
      <c r="Q376" s="3"/>
      <c r="R376" s="3"/>
      <c r="S376" s="3"/>
      <c r="T376" s="3"/>
      <c r="U376" s="3"/>
      <c r="V376" s="3"/>
      <c r="W376" s="3"/>
      <c r="X376" s="3"/>
      <c r="Y376" s="3"/>
      <c r="Z376" s="3"/>
      <c r="AA376" s="3"/>
      <c r="AB376" s="3"/>
      <c r="AC376" s="3"/>
      <c r="AD376" s="3"/>
      <c r="AE376" s="3"/>
    </row>
    <row r="377">
      <c r="A377" s="13"/>
      <c r="B377" s="13"/>
      <c r="C377" s="13"/>
      <c r="D377" s="13"/>
      <c r="E377" s="13"/>
      <c r="F377" s="3"/>
      <c r="G377" s="3"/>
      <c r="H377" s="4"/>
      <c r="I377" s="8"/>
      <c r="J377" s="8"/>
      <c r="K377" s="3"/>
      <c r="L377" s="3"/>
      <c r="M377" s="3"/>
      <c r="N377" s="3"/>
      <c r="O377" s="3"/>
      <c r="P377" s="3"/>
      <c r="Q377" s="3"/>
      <c r="R377" s="3"/>
      <c r="S377" s="3"/>
      <c r="T377" s="3"/>
      <c r="U377" s="3"/>
      <c r="V377" s="3"/>
      <c r="W377" s="3"/>
      <c r="X377" s="3"/>
      <c r="Y377" s="3"/>
      <c r="Z377" s="3"/>
      <c r="AA377" s="3"/>
      <c r="AB377" s="3"/>
      <c r="AC377" s="3"/>
      <c r="AD377" s="3"/>
      <c r="AE377" s="3"/>
    </row>
    <row r="378">
      <c r="A378" s="13"/>
      <c r="B378" s="13"/>
      <c r="C378" s="13"/>
      <c r="D378" s="13"/>
      <c r="E378" s="13"/>
      <c r="F378" s="3"/>
      <c r="G378" s="3"/>
      <c r="H378" s="4"/>
      <c r="I378" s="8"/>
      <c r="J378" s="8"/>
      <c r="K378" s="3"/>
      <c r="L378" s="3"/>
      <c r="M378" s="3"/>
      <c r="N378" s="3"/>
      <c r="O378" s="3"/>
      <c r="P378" s="3"/>
      <c r="Q378" s="3"/>
      <c r="R378" s="3"/>
      <c r="S378" s="3"/>
      <c r="T378" s="3"/>
      <c r="U378" s="3"/>
      <c r="V378" s="3"/>
      <c r="W378" s="3"/>
      <c r="X378" s="3"/>
      <c r="Y378" s="3"/>
      <c r="Z378" s="3"/>
      <c r="AA378" s="3"/>
      <c r="AB378" s="3"/>
      <c r="AC378" s="3"/>
      <c r="AD378" s="3"/>
      <c r="AE378" s="3"/>
    </row>
    <row r="379">
      <c r="A379" s="13"/>
      <c r="B379" s="13"/>
      <c r="C379" s="13"/>
      <c r="D379" s="13"/>
      <c r="E379" s="13"/>
      <c r="F379" s="3"/>
      <c r="G379" s="3"/>
      <c r="H379" s="4"/>
      <c r="I379" s="8"/>
      <c r="J379" s="8"/>
      <c r="K379" s="3"/>
      <c r="L379" s="3"/>
      <c r="M379" s="3"/>
      <c r="N379" s="3"/>
      <c r="O379" s="3"/>
      <c r="P379" s="3"/>
      <c r="Q379" s="3"/>
      <c r="R379" s="3"/>
      <c r="S379" s="3"/>
      <c r="T379" s="3"/>
      <c r="U379" s="3"/>
      <c r="V379" s="3"/>
      <c r="W379" s="3"/>
      <c r="X379" s="3"/>
      <c r="Y379" s="3"/>
      <c r="Z379" s="3"/>
      <c r="AA379" s="3"/>
      <c r="AB379" s="3"/>
      <c r="AC379" s="3"/>
      <c r="AD379" s="3"/>
      <c r="AE379" s="3"/>
    </row>
    <row r="380">
      <c r="A380" s="13"/>
      <c r="B380" s="13"/>
      <c r="C380" s="13"/>
      <c r="D380" s="13"/>
      <c r="E380" s="13"/>
      <c r="F380" s="3"/>
      <c r="G380" s="3"/>
      <c r="H380" s="4"/>
      <c r="I380" s="8"/>
      <c r="J380" s="8"/>
      <c r="K380" s="3"/>
      <c r="L380" s="3"/>
      <c r="M380" s="3"/>
      <c r="N380" s="3"/>
      <c r="O380" s="3"/>
      <c r="P380" s="3"/>
      <c r="Q380" s="3"/>
      <c r="R380" s="3"/>
      <c r="S380" s="3"/>
      <c r="T380" s="3"/>
      <c r="U380" s="3"/>
      <c r="V380" s="3"/>
      <c r="W380" s="3"/>
      <c r="X380" s="3"/>
      <c r="Y380" s="3"/>
      <c r="Z380" s="3"/>
      <c r="AA380" s="3"/>
      <c r="AB380" s="3"/>
      <c r="AC380" s="3"/>
      <c r="AD380" s="3"/>
      <c r="AE380" s="3"/>
    </row>
    <row r="381">
      <c r="A381" s="13"/>
      <c r="B381" s="13"/>
      <c r="C381" s="13"/>
      <c r="D381" s="13"/>
      <c r="E381" s="13"/>
      <c r="F381" s="3"/>
      <c r="G381" s="3"/>
      <c r="H381" s="4"/>
      <c r="I381" s="8"/>
      <c r="J381" s="8"/>
      <c r="K381" s="3"/>
      <c r="L381" s="3"/>
      <c r="M381" s="3"/>
      <c r="N381" s="3"/>
      <c r="O381" s="3"/>
      <c r="P381" s="3"/>
      <c r="Q381" s="3"/>
      <c r="R381" s="3"/>
      <c r="S381" s="3"/>
      <c r="T381" s="3"/>
      <c r="U381" s="3"/>
      <c r="V381" s="3"/>
      <c r="W381" s="3"/>
      <c r="X381" s="3"/>
      <c r="Y381" s="3"/>
      <c r="Z381" s="3"/>
      <c r="AA381" s="3"/>
      <c r="AB381" s="3"/>
      <c r="AC381" s="3"/>
      <c r="AD381" s="3"/>
      <c r="AE381" s="3"/>
    </row>
    <row r="382">
      <c r="A382" s="13"/>
      <c r="B382" s="13"/>
      <c r="C382" s="13"/>
      <c r="D382" s="13"/>
      <c r="E382" s="13"/>
      <c r="F382" s="3"/>
      <c r="G382" s="3"/>
      <c r="H382" s="4"/>
      <c r="I382" s="8"/>
      <c r="J382" s="8"/>
      <c r="K382" s="3"/>
      <c r="L382" s="3"/>
      <c r="M382" s="3"/>
      <c r="N382" s="3"/>
      <c r="O382" s="3"/>
      <c r="P382" s="3"/>
      <c r="Q382" s="3"/>
      <c r="R382" s="3"/>
      <c r="S382" s="3"/>
      <c r="T382" s="3"/>
      <c r="U382" s="3"/>
      <c r="V382" s="3"/>
      <c r="W382" s="3"/>
      <c r="X382" s="3"/>
      <c r="Y382" s="3"/>
      <c r="Z382" s="3"/>
      <c r="AA382" s="3"/>
      <c r="AB382" s="3"/>
      <c r="AC382" s="3"/>
      <c r="AD382" s="3"/>
      <c r="AE382" s="3"/>
    </row>
    <row r="383">
      <c r="A383" s="13"/>
      <c r="B383" s="13"/>
      <c r="C383" s="13"/>
      <c r="D383" s="13"/>
      <c r="E383" s="13"/>
      <c r="F383" s="3"/>
      <c r="G383" s="3"/>
      <c r="H383" s="4"/>
      <c r="I383" s="8"/>
      <c r="J383" s="8"/>
      <c r="K383" s="3"/>
      <c r="L383" s="3"/>
      <c r="M383" s="3"/>
      <c r="N383" s="3"/>
      <c r="O383" s="3"/>
      <c r="P383" s="3"/>
      <c r="Q383" s="3"/>
      <c r="R383" s="3"/>
      <c r="S383" s="3"/>
      <c r="T383" s="3"/>
      <c r="U383" s="3"/>
      <c r="V383" s="3"/>
      <c r="W383" s="3"/>
      <c r="X383" s="3"/>
      <c r="Y383" s="3"/>
      <c r="Z383" s="3"/>
      <c r="AA383" s="3"/>
      <c r="AB383" s="3"/>
      <c r="AC383" s="3"/>
      <c r="AD383" s="3"/>
      <c r="AE383" s="3"/>
    </row>
    <row r="384">
      <c r="A384" s="13"/>
      <c r="B384" s="13"/>
      <c r="C384" s="13"/>
      <c r="D384" s="13"/>
      <c r="E384" s="13"/>
      <c r="F384" s="3"/>
      <c r="G384" s="3"/>
      <c r="H384" s="4"/>
      <c r="I384" s="8"/>
      <c r="J384" s="8"/>
      <c r="K384" s="3"/>
      <c r="L384" s="3"/>
      <c r="M384" s="3"/>
      <c r="N384" s="3"/>
      <c r="O384" s="3"/>
      <c r="P384" s="3"/>
      <c r="Q384" s="3"/>
      <c r="R384" s="3"/>
      <c r="S384" s="3"/>
      <c r="T384" s="3"/>
      <c r="U384" s="3"/>
      <c r="V384" s="3"/>
      <c r="W384" s="3"/>
      <c r="X384" s="3"/>
      <c r="Y384" s="3"/>
      <c r="Z384" s="3"/>
      <c r="AA384" s="3"/>
      <c r="AB384" s="3"/>
      <c r="AC384" s="3"/>
      <c r="AD384" s="3"/>
      <c r="AE384" s="3"/>
    </row>
    <row r="385">
      <c r="A385" s="13"/>
      <c r="B385" s="13"/>
      <c r="C385" s="13"/>
      <c r="D385" s="13"/>
      <c r="E385" s="13"/>
      <c r="F385" s="3"/>
      <c r="G385" s="3"/>
      <c r="H385" s="4"/>
      <c r="I385" s="8"/>
      <c r="J385" s="8"/>
      <c r="K385" s="3"/>
      <c r="L385" s="3"/>
      <c r="M385" s="3"/>
      <c r="N385" s="3"/>
      <c r="O385" s="3"/>
      <c r="P385" s="3"/>
      <c r="Q385" s="3"/>
      <c r="R385" s="3"/>
      <c r="S385" s="3"/>
      <c r="T385" s="3"/>
      <c r="U385" s="3"/>
      <c r="V385" s="3"/>
      <c r="W385" s="3"/>
      <c r="X385" s="3"/>
      <c r="Y385" s="3"/>
      <c r="Z385" s="3"/>
      <c r="AA385" s="3"/>
      <c r="AB385" s="3"/>
      <c r="AC385" s="3"/>
      <c r="AD385" s="3"/>
      <c r="AE385" s="3"/>
    </row>
    <row r="386">
      <c r="A386" s="13"/>
      <c r="B386" s="13"/>
      <c r="C386" s="13"/>
      <c r="D386" s="13"/>
      <c r="E386" s="13"/>
      <c r="F386" s="3"/>
      <c r="G386" s="3"/>
      <c r="H386" s="4"/>
      <c r="I386" s="8"/>
      <c r="J386" s="8"/>
      <c r="K386" s="3"/>
      <c r="L386" s="3"/>
      <c r="M386" s="3"/>
      <c r="N386" s="3"/>
      <c r="O386" s="3"/>
      <c r="P386" s="3"/>
      <c r="Q386" s="3"/>
      <c r="R386" s="3"/>
      <c r="S386" s="3"/>
      <c r="T386" s="3"/>
      <c r="U386" s="3"/>
      <c r="V386" s="3"/>
      <c r="W386" s="3"/>
      <c r="X386" s="3"/>
      <c r="Y386" s="3"/>
      <c r="Z386" s="3"/>
      <c r="AA386" s="3"/>
      <c r="AB386" s="3"/>
      <c r="AC386" s="3"/>
      <c r="AD386" s="3"/>
      <c r="AE386" s="3"/>
    </row>
    <row r="387">
      <c r="A387" s="13"/>
      <c r="B387" s="13"/>
      <c r="C387" s="13"/>
      <c r="D387" s="13"/>
      <c r="E387" s="13"/>
      <c r="F387" s="3"/>
      <c r="G387" s="3"/>
      <c r="H387" s="4"/>
      <c r="I387" s="8"/>
      <c r="J387" s="8"/>
      <c r="K387" s="3"/>
      <c r="L387" s="3"/>
      <c r="M387" s="3"/>
      <c r="N387" s="3"/>
      <c r="O387" s="3"/>
      <c r="P387" s="3"/>
      <c r="Q387" s="3"/>
      <c r="R387" s="3"/>
      <c r="S387" s="3"/>
      <c r="T387" s="3"/>
      <c r="U387" s="3"/>
      <c r="V387" s="3"/>
      <c r="W387" s="3"/>
      <c r="X387" s="3"/>
      <c r="Y387" s="3"/>
      <c r="Z387" s="3"/>
      <c r="AA387" s="3"/>
      <c r="AB387" s="3"/>
      <c r="AC387" s="3"/>
      <c r="AD387" s="3"/>
      <c r="AE387" s="3"/>
    </row>
    <row r="388">
      <c r="A388" s="13"/>
      <c r="B388" s="13"/>
      <c r="C388" s="13"/>
      <c r="D388" s="13"/>
      <c r="E388" s="13"/>
      <c r="F388" s="3"/>
      <c r="G388" s="3"/>
      <c r="H388" s="4"/>
      <c r="I388" s="8"/>
      <c r="J388" s="8"/>
      <c r="K388" s="3"/>
      <c r="L388" s="3"/>
      <c r="M388" s="3"/>
      <c r="N388" s="3"/>
      <c r="O388" s="3"/>
      <c r="P388" s="3"/>
      <c r="Q388" s="3"/>
      <c r="R388" s="3"/>
      <c r="S388" s="3"/>
      <c r="T388" s="3"/>
      <c r="U388" s="3"/>
      <c r="V388" s="3"/>
      <c r="W388" s="3"/>
      <c r="X388" s="3"/>
      <c r="Y388" s="3"/>
      <c r="Z388" s="3"/>
      <c r="AA388" s="3"/>
      <c r="AB388" s="3"/>
      <c r="AC388" s="3"/>
      <c r="AD388" s="3"/>
      <c r="AE388" s="3"/>
    </row>
    <row r="389">
      <c r="A389" s="13"/>
      <c r="B389" s="13"/>
      <c r="C389" s="13"/>
      <c r="D389" s="13"/>
      <c r="E389" s="13"/>
      <c r="F389" s="3"/>
      <c r="G389" s="3"/>
      <c r="H389" s="4"/>
      <c r="I389" s="8"/>
      <c r="J389" s="8"/>
      <c r="K389" s="3"/>
      <c r="L389" s="3"/>
      <c r="M389" s="3"/>
      <c r="N389" s="3"/>
      <c r="O389" s="3"/>
      <c r="P389" s="3"/>
      <c r="Q389" s="3"/>
      <c r="R389" s="3"/>
      <c r="S389" s="3"/>
      <c r="T389" s="3"/>
      <c r="U389" s="3"/>
      <c r="V389" s="3"/>
      <c r="W389" s="3"/>
      <c r="X389" s="3"/>
      <c r="Y389" s="3"/>
      <c r="Z389" s="3"/>
      <c r="AA389" s="3"/>
      <c r="AB389" s="3"/>
      <c r="AC389" s="3"/>
      <c r="AD389" s="3"/>
      <c r="AE389" s="3"/>
    </row>
    <row r="390">
      <c r="A390" s="13"/>
      <c r="B390" s="13"/>
      <c r="C390" s="13"/>
      <c r="D390" s="13"/>
      <c r="E390" s="13"/>
      <c r="F390" s="3"/>
      <c r="G390" s="3"/>
      <c r="H390" s="4"/>
      <c r="I390" s="8"/>
      <c r="J390" s="8"/>
      <c r="K390" s="3"/>
      <c r="L390" s="3"/>
      <c r="M390" s="3"/>
      <c r="N390" s="3"/>
      <c r="O390" s="3"/>
      <c r="P390" s="3"/>
      <c r="Q390" s="3"/>
      <c r="R390" s="3"/>
      <c r="S390" s="3"/>
      <c r="T390" s="3"/>
      <c r="U390" s="3"/>
      <c r="V390" s="3"/>
      <c r="W390" s="3"/>
      <c r="X390" s="3"/>
      <c r="Y390" s="3"/>
      <c r="Z390" s="3"/>
      <c r="AA390" s="3"/>
      <c r="AB390" s="3"/>
      <c r="AC390" s="3"/>
      <c r="AD390" s="3"/>
      <c r="AE390" s="3"/>
    </row>
    <row r="391">
      <c r="A391" s="13"/>
      <c r="B391" s="13"/>
      <c r="C391" s="13"/>
      <c r="D391" s="13"/>
      <c r="E391" s="13"/>
      <c r="F391" s="3"/>
      <c r="G391" s="3"/>
      <c r="H391" s="4"/>
      <c r="I391" s="8"/>
      <c r="J391" s="8"/>
      <c r="K391" s="3"/>
      <c r="L391" s="3"/>
      <c r="M391" s="3"/>
      <c r="N391" s="3"/>
      <c r="O391" s="3"/>
      <c r="P391" s="3"/>
      <c r="Q391" s="3"/>
      <c r="R391" s="3"/>
      <c r="S391" s="3"/>
      <c r="T391" s="3"/>
      <c r="U391" s="3"/>
      <c r="V391" s="3"/>
      <c r="W391" s="3"/>
      <c r="X391" s="3"/>
      <c r="Y391" s="3"/>
      <c r="Z391" s="3"/>
      <c r="AA391" s="3"/>
      <c r="AB391" s="3"/>
      <c r="AC391" s="3"/>
      <c r="AD391" s="3"/>
      <c r="AE391" s="3"/>
    </row>
    <row r="392">
      <c r="A392" s="13"/>
      <c r="B392" s="13"/>
      <c r="C392" s="13"/>
      <c r="D392" s="13"/>
      <c r="E392" s="13"/>
      <c r="F392" s="3"/>
      <c r="G392" s="3"/>
      <c r="H392" s="4"/>
      <c r="I392" s="8"/>
      <c r="J392" s="8"/>
      <c r="K392" s="3"/>
      <c r="L392" s="3"/>
      <c r="M392" s="3"/>
      <c r="N392" s="3"/>
      <c r="O392" s="3"/>
      <c r="P392" s="3"/>
      <c r="Q392" s="3"/>
      <c r="R392" s="3"/>
      <c r="S392" s="3"/>
      <c r="T392" s="3"/>
      <c r="U392" s="3"/>
      <c r="V392" s="3"/>
      <c r="W392" s="3"/>
      <c r="X392" s="3"/>
      <c r="Y392" s="3"/>
      <c r="Z392" s="3"/>
      <c r="AA392" s="3"/>
      <c r="AB392" s="3"/>
      <c r="AC392" s="3"/>
      <c r="AD392" s="3"/>
      <c r="AE392" s="3"/>
    </row>
    <row r="393">
      <c r="A393" s="13"/>
      <c r="B393" s="13"/>
      <c r="C393" s="13"/>
      <c r="D393" s="13"/>
      <c r="E393" s="13"/>
      <c r="F393" s="3"/>
      <c r="G393" s="3"/>
      <c r="H393" s="4"/>
      <c r="I393" s="8"/>
      <c r="J393" s="8"/>
      <c r="K393" s="3"/>
      <c r="L393" s="3"/>
      <c r="M393" s="3"/>
      <c r="N393" s="3"/>
      <c r="O393" s="3"/>
      <c r="P393" s="3"/>
      <c r="Q393" s="3"/>
      <c r="R393" s="3"/>
      <c r="S393" s="3"/>
      <c r="T393" s="3"/>
      <c r="U393" s="3"/>
      <c r="V393" s="3"/>
      <c r="W393" s="3"/>
      <c r="X393" s="3"/>
      <c r="Y393" s="3"/>
      <c r="Z393" s="3"/>
      <c r="AA393" s="3"/>
      <c r="AB393" s="3"/>
      <c r="AC393" s="3"/>
      <c r="AD393" s="3"/>
      <c r="AE393" s="3"/>
    </row>
    <row r="394">
      <c r="A394" s="13"/>
      <c r="B394" s="13"/>
      <c r="C394" s="13"/>
      <c r="D394" s="13"/>
      <c r="E394" s="13"/>
      <c r="F394" s="3"/>
      <c r="G394" s="3"/>
      <c r="H394" s="4"/>
      <c r="I394" s="8"/>
      <c r="J394" s="8"/>
      <c r="K394" s="3"/>
      <c r="L394" s="3"/>
      <c r="M394" s="3"/>
      <c r="N394" s="3"/>
      <c r="O394" s="3"/>
      <c r="P394" s="3"/>
      <c r="Q394" s="3"/>
      <c r="R394" s="3"/>
      <c r="S394" s="3"/>
      <c r="T394" s="3"/>
      <c r="U394" s="3"/>
      <c r="V394" s="3"/>
      <c r="W394" s="3"/>
      <c r="X394" s="3"/>
      <c r="Y394" s="3"/>
      <c r="Z394" s="3"/>
      <c r="AA394" s="3"/>
      <c r="AB394" s="3"/>
      <c r="AC394" s="3"/>
      <c r="AD394" s="3"/>
      <c r="AE394" s="3"/>
    </row>
    <row r="395">
      <c r="A395" s="13"/>
      <c r="B395" s="13"/>
      <c r="C395" s="13"/>
      <c r="D395" s="13"/>
      <c r="E395" s="13"/>
      <c r="F395" s="3"/>
      <c r="G395" s="3"/>
      <c r="H395" s="4"/>
      <c r="I395" s="8"/>
      <c r="J395" s="8"/>
      <c r="K395" s="3"/>
      <c r="L395" s="3"/>
      <c r="M395" s="3"/>
      <c r="N395" s="3"/>
      <c r="O395" s="3"/>
      <c r="P395" s="3"/>
      <c r="Q395" s="3"/>
      <c r="R395" s="3"/>
      <c r="S395" s="3"/>
      <c r="T395" s="3"/>
      <c r="U395" s="3"/>
      <c r="V395" s="3"/>
      <c r="W395" s="3"/>
      <c r="X395" s="3"/>
      <c r="Y395" s="3"/>
      <c r="Z395" s="3"/>
      <c r="AA395" s="3"/>
      <c r="AB395" s="3"/>
      <c r="AC395" s="3"/>
      <c r="AD395" s="3"/>
      <c r="AE395" s="3"/>
    </row>
    <row r="396">
      <c r="A396" s="13"/>
      <c r="B396" s="13"/>
      <c r="C396" s="13"/>
      <c r="D396" s="13"/>
      <c r="E396" s="13"/>
      <c r="F396" s="3"/>
      <c r="G396" s="3"/>
      <c r="H396" s="4"/>
      <c r="I396" s="8"/>
      <c r="J396" s="8"/>
      <c r="K396" s="3"/>
      <c r="L396" s="3"/>
      <c r="M396" s="3"/>
      <c r="N396" s="3"/>
      <c r="O396" s="3"/>
      <c r="P396" s="3"/>
      <c r="Q396" s="3"/>
      <c r="R396" s="3"/>
      <c r="S396" s="3"/>
      <c r="T396" s="3"/>
      <c r="U396" s="3"/>
      <c r="V396" s="3"/>
      <c r="W396" s="3"/>
      <c r="X396" s="3"/>
      <c r="Y396" s="3"/>
      <c r="Z396" s="3"/>
      <c r="AA396" s="3"/>
      <c r="AB396" s="3"/>
      <c r="AC396" s="3"/>
      <c r="AD396" s="3"/>
      <c r="AE396" s="3"/>
    </row>
    <row r="397">
      <c r="A397" s="13"/>
      <c r="B397" s="13"/>
      <c r="C397" s="13"/>
      <c r="D397" s="13"/>
      <c r="E397" s="13"/>
      <c r="F397" s="3"/>
      <c r="G397" s="3"/>
      <c r="H397" s="4"/>
      <c r="I397" s="8"/>
      <c r="J397" s="8"/>
      <c r="K397" s="3"/>
      <c r="L397" s="3"/>
      <c r="M397" s="3"/>
      <c r="N397" s="3"/>
      <c r="O397" s="3"/>
      <c r="P397" s="3"/>
      <c r="Q397" s="3"/>
      <c r="R397" s="3"/>
      <c r="S397" s="3"/>
      <c r="T397" s="3"/>
      <c r="U397" s="3"/>
      <c r="V397" s="3"/>
      <c r="W397" s="3"/>
      <c r="X397" s="3"/>
      <c r="Y397" s="3"/>
      <c r="Z397" s="3"/>
      <c r="AA397" s="3"/>
      <c r="AB397" s="3"/>
      <c r="AC397" s="3"/>
      <c r="AD397" s="3"/>
      <c r="AE397" s="3"/>
    </row>
    <row r="398">
      <c r="A398" s="13"/>
      <c r="B398" s="13"/>
      <c r="C398" s="13"/>
      <c r="D398" s="13"/>
      <c r="E398" s="13"/>
      <c r="F398" s="3"/>
      <c r="G398" s="3"/>
      <c r="H398" s="4"/>
      <c r="I398" s="8"/>
      <c r="J398" s="8"/>
      <c r="K398" s="3"/>
      <c r="L398" s="3"/>
      <c r="M398" s="3"/>
      <c r="N398" s="3"/>
      <c r="O398" s="3"/>
      <c r="P398" s="3"/>
      <c r="Q398" s="3"/>
      <c r="R398" s="3"/>
      <c r="S398" s="3"/>
      <c r="T398" s="3"/>
      <c r="U398" s="3"/>
      <c r="V398" s="3"/>
      <c r="W398" s="3"/>
      <c r="X398" s="3"/>
      <c r="Y398" s="3"/>
      <c r="Z398" s="3"/>
      <c r="AA398" s="3"/>
      <c r="AB398" s="3"/>
      <c r="AC398" s="3"/>
      <c r="AD398" s="3"/>
      <c r="AE398" s="3"/>
    </row>
    <row r="399">
      <c r="A399" s="13"/>
      <c r="B399" s="13"/>
      <c r="C399" s="13"/>
      <c r="D399" s="13"/>
      <c r="E399" s="13"/>
      <c r="F399" s="3"/>
      <c r="G399" s="3"/>
      <c r="H399" s="4"/>
      <c r="I399" s="8"/>
      <c r="J399" s="8"/>
      <c r="K399" s="3"/>
      <c r="L399" s="3"/>
      <c r="M399" s="3"/>
      <c r="N399" s="3"/>
      <c r="O399" s="3"/>
      <c r="P399" s="3"/>
      <c r="Q399" s="3"/>
      <c r="R399" s="3"/>
      <c r="S399" s="3"/>
      <c r="T399" s="3"/>
      <c r="U399" s="3"/>
      <c r="V399" s="3"/>
      <c r="W399" s="3"/>
      <c r="X399" s="3"/>
      <c r="Y399" s="3"/>
      <c r="Z399" s="3"/>
      <c r="AA399" s="3"/>
      <c r="AB399" s="3"/>
      <c r="AC399" s="3"/>
      <c r="AD399" s="3"/>
      <c r="AE399" s="3"/>
    </row>
    <row r="400">
      <c r="A400" s="13"/>
      <c r="B400" s="13"/>
      <c r="C400" s="13"/>
      <c r="D400" s="13"/>
      <c r="E400" s="13"/>
      <c r="F400" s="3"/>
      <c r="G400" s="3"/>
      <c r="H400" s="4"/>
      <c r="I400" s="8"/>
      <c r="J400" s="8"/>
      <c r="K400" s="3"/>
      <c r="L400" s="3"/>
      <c r="M400" s="3"/>
      <c r="N400" s="3"/>
      <c r="O400" s="3"/>
      <c r="P400" s="3"/>
      <c r="Q400" s="3"/>
      <c r="R400" s="3"/>
      <c r="S400" s="3"/>
      <c r="T400" s="3"/>
      <c r="U400" s="3"/>
      <c r="V400" s="3"/>
      <c r="W400" s="3"/>
      <c r="X400" s="3"/>
      <c r="Y400" s="3"/>
      <c r="Z400" s="3"/>
      <c r="AA400" s="3"/>
      <c r="AB400" s="3"/>
      <c r="AC400" s="3"/>
      <c r="AD400" s="3"/>
      <c r="AE400" s="3"/>
    </row>
    <row r="401">
      <c r="A401" s="13"/>
      <c r="B401" s="13"/>
      <c r="C401" s="13"/>
      <c r="D401" s="13"/>
      <c r="E401" s="13"/>
      <c r="F401" s="3"/>
      <c r="G401" s="3"/>
      <c r="H401" s="4"/>
      <c r="I401" s="8"/>
      <c r="J401" s="8"/>
      <c r="K401" s="3"/>
      <c r="L401" s="3"/>
      <c r="M401" s="3"/>
      <c r="N401" s="3"/>
      <c r="O401" s="3"/>
      <c r="P401" s="3"/>
      <c r="Q401" s="3"/>
      <c r="R401" s="3"/>
      <c r="S401" s="3"/>
      <c r="T401" s="3"/>
      <c r="U401" s="3"/>
      <c r="V401" s="3"/>
      <c r="W401" s="3"/>
      <c r="X401" s="3"/>
      <c r="Y401" s="3"/>
      <c r="Z401" s="3"/>
      <c r="AA401" s="3"/>
      <c r="AB401" s="3"/>
      <c r="AC401" s="3"/>
      <c r="AD401" s="3"/>
      <c r="AE401" s="3"/>
    </row>
    <row r="402">
      <c r="A402" s="13"/>
      <c r="B402" s="13"/>
      <c r="C402" s="13"/>
      <c r="D402" s="13"/>
      <c r="E402" s="13"/>
      <c r="F402" s="3"/>
      <c r="G402" s="3"/>
      <c r="H402" s="4"/>
      <c r="I402" s="8"/>
      <c r="J402" s="8"/>
      <c r="K402" s="3"/>
      <c r="L402" s="3"/>
      <c r="M402" s="3"/>
      <c r="N402" s="3"/>
      <c r="O402" s="3"/>
      <c r="P402" s="3"/>
      <c r="Q402" s="3"/>
      <c r="R402" s="3"/>
      <c r="S402" s="3"/>
      <c r="T402" s="3"/>
      <c r="U402" s="3"/>
      <c r="V402" s="3"/>
      <c r="W402" s="3"/>
      <c r="X402" s="3"/>
      <c r="Y402" s="3"/>
      <c r="Z402" s="3"/>
      <c r="AA402" s="3"/>
      <c r="AB402" s="3"/>
      <c r="AC402" s="3"/>
      <c r="AD402" s="3"/>
      <c r="AE402" s="3"/>
    </row>
    <row r="403">
      <c r="A403" s="13"/>
      <c r="B403" s="13"/>
      <c r="C403" s="13"/>
      <c r="D403" s="13"/>
      <c r="E403" s="13"/>
      <c r="F403" s="3"/>
      <c r="G403" s="3"/>
      <c r="H403" s="4"/>
      <c r="I403" s="8"/>
      <c r="J403" s="8"/>
      <c r="K403" s="3"/>
      <c r="L403" s="3"/>
      <c r="M403" s="3"/>
      <c r="N403" s="3"/>
      <c r="O403" s="3"/>
      <c r="P403" s="3"/>
      <c r="Q403" s="3"/>
      <c r="R403" s="3"/>
      <c r="S403" s="3"/>
      <c r="T403" s="3"/>
      <c r="U403" s="3"/>
      <c r="V403" s="3"/>
      <c r="W403" s="3"/>
      <c r="X403" s="3"/>
      <c r="Y403" s="3"/>
      <c r="Z403" s="3"/>
      <c r="AA403" s="3"/>
      <c r="AB403" s="3"/>
      <c r="AC403" s="3"/>
      <c r="AD403" s="3"/>
      <c r="AE403" s="3"/>
    </row>
    <row r="404">
      <c r="A404" s="13"/>
      <c r="B404" s="13"/>
      <c r="C404" s="13"/>
      <c r="D404" s="13"/>
      <c r="E404" s="13"/>
      <c r="F404" s="3"/>
      <c r="G404" s="3"/>
      <c r="H404" s="4"/>
      <c r="I404" s="8"/>
      <c r="J404" s="8"/>
      <c r="K404" s="3"/>
      <c r="L404" s="3"/>
      <c r="M404" s="3"/>
      <c r="N404" s="3"/>
      <c r="O404" s="3"/>
      <c r="P404" s="3"/>
      <c r="Q404" s="3"/>
      <c r="R404" s="3"/>
      <c r="S404" s="3"/>
      <c r="T404" s="3"/>
      <c r="U404" s="3"/>
      <c r="V404" s="3"/>
      <c r="W404" s="3"/>
      <c r="X404" s="3"/>
      <c r="Y404" s="3"/>
      <c r="Z404" s="3"/>
      <c r="AA404" s="3"/>
      <c r="AB404" s="3"/>
      <c r="AC404" s="3"/>
      <c r="AD404" s="3"/>
      <c r="AE404" s="3"/>
    </row>
    <row r="405">
      <c r="A405" s="13"/>
      <c r="B405" s="13"/>
      <c r="C405" s="13"/>
      <c r="D405" s="13"/>
      <c r="E405" s="13"/>
      <c r="F405" s="3"/>
      <c r="G405" s="3"/>
      <c r="H405" s="4"/>
      <c r="I405" s="8"/>
      <c r="J405" s="8"/>
      <c r="K405" s="3"/>
      <c r="L405" s="3"/>
      <c r="M405" s="3"/>
      <c r="N405" s="3"/>
      <c r="O405" s="3"/>
      <c r="P405" s="3"/>
      <c r="Q405" s="3"/>
      <c r="R405" s="3"/>
      <c r="S405" s="3"/>
      <c r="T405" s="3"/>
      <c r="U405" s="3"/>
      <c r="V405" s="3"/>
      <c r="W405" s="3"/>
      <c r="X405" s="3"/>
      <c r="Y405" s="3"/>
      <c r="Z405" s="3"/>
      <c r="AA405" s="3"/>
      <c r="AB405" s="3"/>
      <c r="AC405" s="3"/>
      <c r="AD405" s="3"/>
      <c r="AE405" s="3"/>
    </row>
    <row r="406">
      <c r="A406" s="13"/>
      <c r="B406" s="13"/>
      <c r="C406" s="13"/>
      <c r="D406" s="13"/>
      <c r="E406" s="13"/>
      <c r="F406" s="3"/>
      <c r="G406" s="3"/>
      <c r="H406" s="4"/>
      <c r="I406" s="8"/>
      <c r="J406" s="8"/>
      <c r="K406" s="3"/>
      <c r="L406" s="3"/>
      <c r="M406" s="3"/>
      <c r="N406" s="3"/>
      <c r="O406" s="3"/>
      <c r="P406" s="3"/>
      <c r="Q406" s="3"/>
      <c r="R406" s="3"/>
      <c r="S406" s="3"/>
      <c r="T406" s="3"/>
      <c r="U406" s="3"/>
      <c r="V406" s="3"/>
      <c r="W406" s="3"/>
      <c r="X406" s="3"/>
      <c r="Y406" s="3"/>
      <c r="Z406" s="3"/>
      <c r="AA406" s="3"/>
      <c r="AB406" s="3"/>
      <c r="AC406" s="3"/>
      <c r="AD406" s="3"/>
      <c r="AE406" s="3"/>
    </row>
    <row r="407">
      <c r="A407" s="13"/>
      <c r="B407" s="13"/>
      <c r="C407" s="13"/>
      <c r="D407" s="13"/>
      <c r="E407" s="13"/>
      <c r="F407" s="3"/>
      <c r="G407" s="3"/>
      <c r="H407" s="4"/>
      <c r="I407" s="8"/>
      <c r="J407" s="8"/>
      <c r="K407" s="3"/>
      <c r="L407" s="3"/>
      <c r="M407" s="3"/>
      <c r="N407" s="3"/>
      <c r="O407" s="3"/>
      <c r="P407" s="3"/>
      <c r="Q407" s="3"/>
      <c r="R407" s="3"/>
      <c r="S407" s="3"/>
      <c r="T407" s="3"/>
      <c r="U407" s="3"/>
      <c r="V407" s="3"/>
      <c r="W407" s="3"/>
      <c r="X407" s="3"/>
      <c r="Y407" s="3"/>
      <c r="Z407" s="3"/>
      <c r="AA407" s="3"/>
      <c r="AB407" s="3"/>
      <c r="AC407" s="3"/>
      <c r="AD407" s="3"/>
      <c r="AE407" s="3"/>
    </row>
    <row r="408">
      <c r="A408" s="13"/>
      <c r="B408" s="13"/>
      <c r="C408" s="13"/>
      <c r="D408" s="13"/>
      <c r="E408" s="13"/>
      <c r="F408" s="3"/>
      <c r="G408" s="3"/>
      <c r="H408" s="4"/>
      <c r="I408" s="8"/>
      <c r="J408" s="8"/>
      <c r="K408" s="3"/>
      <c r="L408" s="3"/>
      <c r="M408" s="3"/>
      <c r="N408" s="3"/>
      <c r="O408" s="3"/>
      <c r="P408" s="3"/>
      <c r="Q408" s="3"/>
      <c r="R408" s="3"/>
      <c r="S408" s="3"/>
      <c r="T408" s="3"/>
      <c r="U408" s="3"/>
      <c r="V408" s="3"/>
      <c r="W408" s="3"/>
      <c r="X408" s="3"/>
      <c r="Y408" s="3"/>
      <c r="Z408" s="3"/>
      <c r="AA408" s="3"/>
      <c r="AB408" s="3"/>
      <c r="AC408" s="3"/>
      <c r="AD408" s="3"/>
      <c r="AE408" s="3"/>
    </row>
    <row r="409">
      <c r="A409" s="13"/>
      <c r="B409" s="13"/>
      <c r="C409" s="13"/>
      <c r="D409" s="13"/>
      <c r="E409" s="13"/>
      <c r="F409" s="3"/>
      <c r="G409" s="3"/>
      <c r="H409" s="4"/>
      <c r="I409" s="8"/>
      <c r="J409" s="8"/>
      <c r="K409" s="3"/>
      <c r="L409" s="3"/>
      <c r="M409" s="3"/>
      <c r="N409" s="3"/>
      <c r="O409" s="3"/>
      <c r="P409" s="3"/>
      <c r="Q409" s="3"/>
      <c r="R409" s="3"/>
      <c r="S409" s="3"/>
      <c r="T409" s="3"/>
      <c r="U409" s="3"/>
      <c r="V409" s="3"/>
      <c r="W409" s="3"/>
      <c r="X409" s="3"/>
      <c r="Y409" s="3"/>
      <c r="Z409" s="3"/>
      <c r="AA409" s="3"/>
      <c r="AB409" s="3"/>
      <c r="AC409" s="3"/>
      <c r="AD409" s="3"/>
      <c r="AE409" s="3"/>
    </row>
    <row r="410">
      <c r="A410" s="13"/>
      <c r="B410" s="13"/>
      <c r="C410" s="13"/>
      <c r="D410" s="13"/>
      <c r="E410" s="13"/>
      <c r="F410" s="3"/>
      <c r="G410" s="3"/>
      <c r="H410" s="4"/>
      <c r="I410" s="8"/>
      <c r="J410" s="8"/>
      <c r="K410" s="3"/>
      <c r="L410" s="3"/>
      <c r="M410" s="3"/>
      <c r="N410" s="3"/>
      <c r="O410" s="3"/>
      <c r="P410" s="3"/>
      <c r="Q410" s="3"/>
      <c r="R410" s="3"/>
      <c r="S410" s="3"/>
      <c r="T410" s="3"/>
      <c r="U410" s="3"/>
      <c r="V410" s="3"/>
      <c r="W410" s="3"/>
      <c r="X410" s="3"/>
      <c r="Y410" s="3"/>
      <c r="Z410" s="3"/>
      <c r="AA410" s="3"/>
      <c r="AB410" s="3"/>
      <c r="AC410" s="3"/>
      <c r="AD410" s="3"/>
      <c r="AE410" s="3"/>
    </row>
    <row r="411">
      <c r="A411" s="13"/>
      <c r="B411" s="13"/>
      <c r="C411" s="13"/>
      <c r="D411" s="13"/>
      <c r="E411" s="13"/>
      <c r="F411" s="3"/>
      <c r="G411" s="3"/>
      <c r="H411" s="4"/>
      <c r="I411" s="8"/>
      <c r="J411" s="8"/>
      <c r="K411" s="3"/>
      <c r="L411" s="3"/>
      <c r="M411" s="3"/>
      <c r="N411" s="3"/>
      <c r="O411" s="3"/>
      <c r="P411" s="3"/>
      <c r="Q411" s="3"/>
      <c r="R411" s="3"/>
      <c r="S411" s="3"/>
      <c r="T411" s="3"/>
      <c r="U411" s="3"/>
      <c r="V411" s="3"/>
      <c r="W411" s="3"/>
      <c r="X411" s="3"/>
      <c r="Y411" s="3"/>
      <c r="Z411" s="3"/>
      <c r="AA411" s="3"/>
      <c r="AB411" s="3"/>
      <c r="AC411" s="3"/>
      <c r="AD411" s="3"/>
      <c r="AE411" s="3"/>
    </row>
    <row r="412">
      <c r="A412" s="13"/>
      <c r="B412" s="13"/>
      <c r="C412" s="13"/>
      <c r="D412" s="13"/>
      <c r="E412" s="13"/>
      <c r="F412" s="3"/>
      <c r="G412" s="3"/>
      <c r="H412" s="4"/>
      <c r="I412" s="8"/>
      <c r="J412" s="8"/>
      <c r="K412" s="3"/>
      <c r="L412" s="3"/>
      <c r="M412" s="3"/>
      <c r="N412" s="3"/>
      <c r="O412" s="3"/>
      <c r="P412" s="3"/>
      <c r="Q412" s="3"/>
      <c r="R412" s="3"/>
      <c r="S412" s="3"/>
      <c r="T412" s="3"/>
      <c r="U412" s="3"/>
      <c r="V412" s="3"/>
      <c r="W412" s="3"/>
      <c r="X412" s="3"/>
      <c r="Y412" s="3"/>
      <c r="Z412" s="3"/>
      <c r="AA412" s="3"/>
      <c r="AB412" s="3"/>
      <c r="AC412" s="3"/>
      <c r="AD412" s="3"/>
      <c r="AE412" s="3"/>
    </row>
    <row r="413">
      <c r="A413" s="13"/>
      <c r="B413" s="13"/>
      <c r="C413" s="13"/>
      <c r="D413" s="13"/>
      <c r="E413" s="13"/>
      <c r="F413" s="3"/>
      <c r="G413" s="3"/>
      <c r="H413" s="4"/>
      <c r="I413" s="8"/>
      <c r="J413" s="8"/>
      <c r="K413" s="3"/>
      <c r="L413" s="3"/>
      <c r="M413" s="3"/>
      <c r="N413" s="3"/>
      <c r="O413" s="3"/>
      <c r="P413" s="3"/>
      <c r="Q413" s="3"/>
      <c r="R413" s="3"/>
      <c r="S413" s="3"/>
      <c r="T413" s="3"/>
      <c r="U413" s="3"/>
      <c r="V413" s="3"/>
      <c r="W413" s="3"/>
      <c r="X413" s="3"/>
      <c r="Y413" s="3"/>
      <c r="Z413" s="3"/>
      <c r="AA413" s="3"/>
      <c r="AB413" s="3"/>
      <c r="AC413" s="3"/>
      <c r="AD413" s="3"/>
      <c r="AE413" s="3"/>
    </row>
    <row r="414">
      <c r="A414" s="13"/>
      <c r="B414" s="13"/>
      <c r="C414" s="13"/>
      <c r="D414" s="13"/>
      <c r="E414" s="13"/>
      <c r="F414" s="3"/>
      <c r="G414" s="3"/>
      <c r="H414" s="4"/>
      <c r="I414" s="8"/>
      <c r="J414" s="8"/>
      <c r="K414" s="3"/>
      <c r="L414" s="3"/>
      <c r="M414" s="3"/>
      <c r="N414" s="3"/>
      <c r="O414" s="3"/>
      <c r="P414" s="3"/>
      <c r="Q414" s="3"/>
      <c r="R414" s="3"/>
      <c r="S414" s="3"/>
      <c r="T414" s="3"/>
      <c r="U414" s="3"/>
      <c r="V414" s="3"/>
      <c r="W414" s="3"/>
      <c r="X414" s="3"/>
      <c r="Y414" s="3"/>
      <c r="Z414" s="3"/>
      <c r="AA414" s="3"/>
      <c r="AB414" s="3"/>
      <c r="AC414" s="3"/>
      <c r="AD414" s="3"/>
      <c r="AE414" s="3"/>
    </row>
    <row r="415">
      <c r="A415" s="13"/>
      <c r="B415" s="13"/>
      <c r="C415" s="13"/>
      <c r="D415" s="13"/>
      <c r="E415" s="13"/>
      <c r="F415" s="3"/>
      <c r="G415" s="3"/>
      <c r="H415" s="4"/>
      <c r="I415" s="8"/>
      <c r="J415" s="8"/>
      <c r="K415" s="3"/>
      <c r="L415" s="3"/>
      <c r="M415" s="3"/>
      <c r="N415" s="3"/>
      <c r="O415" s="3"/>
      <c r="P415" s="3"/>
      <c r="Q415" s="3"/>
      <c r="R415" s="3"/>
      <c r="S415" s="3"/>
      <c r="T415" s="3"/>
      <c r="U415" s="3"/>
      <c r="V415" s="3"/>
      <c r="W415" s="3"/>
      <c r="X415" s="3"/>
      <c r="Y415" s="3"/>
      <c r="Z415" s="3"/>
      <c r="AA415" s="3"/>
      <c r="AB415" s="3"/>
      <c r="AC415" s="3"/>
      <c r="AD415" s="3"/>
      <c r="AE415" s="3"/>
    </row>
    <row r="416">
      <c r="A416" s="13"/>
      <c r="B416" s="13"/>
      <c r="C416" s="13"/>
      <c r="D416" s="13"/>
      <c r="E416" s="13"/>
      <c r="F416" s="3"/>
      <c r="G416" s="3"/>
      <c r="H416" s="4"/>
      <c r="I416" s="8"/>
      <c r="J416" s="8"/>
      <c r="K416" s="3"/>
      <c r="L416" s="3"/>
      <c r="M416" s="3"/>
      <c r="N416" s="3"/>
      <c r="O416" s="3"/>
      <c r="P416" s="3"/>
      <c r="Q416" s="3"/>
      <c r="R416" s="3"/>
      <c r="S416" s="3"/>
      <c r="T416" s="3"/>
      <c r="U416" s="3"/>
      <c r="V416" s="3"/>
      <c r="W416" s="3"/>
      <c r="X416" s="3"/>
      <c r="Y416" s="3"/>
      <c r="Z416" s="3"/>
      <c r="AA416" s="3"/>
      <c r="AB416" s="3"/>
      <c r="AC416" s="3"/>
      <c r="AD416" s="3"/>
      <c r="AE416" s="3"/>
    </row>
    <row r="417">
      <c r="A417" s="13"/>
      <c r="B417" s="13"/>
      <c r="C417" s="13"/>
      <c r="D417" s="13"/>
      <c r="E417" s="13"/>
      <c r="F417" s="3"/>
      <c r="G417" s="3"/>
      <c r="H417" s="4"/>
      <c r="I417" s="8"/>
      <c r="J417" s="8"/>
      <c r="K417" s="3"/>
      <c r="L417" s="3"/>
      <c r="M417" s="3"/>
      <c r="N417" s="3"/>
      <c r="O417" s="3"/>
      <c r="P417" s="3"/>
      <c r="Q417" s="3"/>
      <c r="R417" s="3"/>
      <c r="S417" s="3"/>
      <c r="T417" s="3"/>
      <c r="U417" s="3"/>
      <c r="V417" s="3"/>
      <c r="W417" s="3"/>
      <c r="X417" s="3"/>
      <c r="Y417" s="3"/>
      <c r="Z417" s="3"/>
      <c r="AA417" s="3"/>
      <c r="AB417" s="3"/>
      <c r="AC417" s="3"/>
      <c r="AD417" s="3"/>
      <c r="AE417" s="3"/>
    </row>
    <row r="418">
      <c r="A418" s="13"/>
      <c r="B418" s="13"/>
      <c r="C418" s="13"/>
      <c r="D418" s="13"/>
      <c r="E418" s="13"/>
      <c r="F418" s="3"/>
      <c r="G418" s="3"/>
      <c r="H418" s="4"/>
      <c r="I418" s="8"/>
      <c r="J418" s="8"/>
      <c r="K418" s="3"/>
      <c r="L418" s="3"/>
      <c r="M418" s="3"/>
      <c r="N418" s="3"/>
      <c r="O418" s="3"/>
      <c r="P418" s="3"/>
      <c r="Q418" s="3"/>
      <c r="R418" s="3"/>
      <c r="S418" s="3"/>
      <c r="T418" s="3"/>
      <c r="U418" s="3"/>
      <c r="V418" s="3"/>
      <c r="W418" s="3"/>
      <c r="X418" s="3"/>
      <c r="Y418" s="3"/>
      <c r="Z418" s="3"/>
      <c r="AA418" s="3"/>
      <c r="AB418" s="3"/>
      <c r="AC418" s="3"/>
      <c r="AD418" s="3"/>
      <c r="AE418" s="3"/>
    </row>
    <row r="419">
      <c r="A419" s="13"/>
      <c r="B419" s="13"/>
      <c r="C419" s="13"/>
      <c r="D419" s="13"/>
      <c r="E419" s="13"/>
      <c r="F419" s="3"/>
      <c r="G419" s="3"/>
      <c r="H419" s="4"/>
      <c r="I419" s="8"/>
      <c r="J419" s="8"/>
      <c r="K419" s="3"/>
      <c r="L419" s="3"/>
      <c r="M419" s="3"/>
      <c r="N419" s="3"/>
      <c r="O419" s="3"/>
      <c r="P419" s="3"/>
      <c r="Q419" s="3"/>
      <c r="R419" s="3"/>
      <c r="S419" s="3"/>
      <c r="T419" s="3"/>
      <c r="U419" s="3"/>
      <c r="V419" s="3"/>
      <c r="W419" s="3"/>
      <c r="X419" s="3"/>
      <c r="Y419" s="3"/>
      <c r="Z419" s="3"/>
      <c r="AA419" s="3"/>
      <c r="AB419" s="3"/>
      <c r="AC419" s="3"/>
      <c r="AD419" s="3"/>
      <c r="AE419" s="3"/>
    </row>
    <row r="420">
      <c r="A420" s="13"/>
      <c r="B420" s="13"/>
      <c r="C420" s="13"/>
      <c r="D420" s="13"/>
      <c r="E420" s="13"/>
      <c r="F420" s="3"/>
      <c r="G420" s="3"/>
      <c r="H420" s="4"/>
      <c r="I420" s="8"/>
      <c r="J420" s="8"/>
      <c r="K420" s="3"/>
      <c r="L420" s="3"/>
      <c r="M420" s="3"/>
      <c r="N420" s="3"/>
      <c r="O420" s="3"/>
      <c r="P420" s="3"/>
      <c r="Q420" s="3"/>
      <c r="R420" s="3"/>
      <c r="S420" s="3"/>
      <c r="T420" s="3"/>
      <c r="U420" s="3"/>
      <c r="V420" s="3"/>
      <c r="W420" s="3"/>
      <c r="X420" s="3"/>
      <c r="Y420" s="3"/>
      <c r="Z420" s="3"/>
      <c r="AA420" s="3"/>
      <c r="AB420" s="3"/>
      <c r="AC420" s="3"/>
      <c r="AD420" s="3"/>
      <c r="AE420" s="3"/>
    </row>
    <row r="421">
      <c r="A421" s="13"/>
      <c r="B421" s="13"/>
      <c r="C421" s="13"/>
      <c r="D421" s="13"/>
      <c r="E421" s="13"/>
      <c r="F421" s="3"/>
      <c r="G421" s="3"/>
      <c r="H421" s="4"/>
      <c r="I421" s="8"/>
      <c r="J421" s="8"/>
      <c r="K421" s="3"/>
      <c r="L421" s="3"/>
      <c r="M421" s="3"/>
      <c r="N421" s="3"/>
      <c r="O421" s="3"/>
      <c r="P421" s="3"/>
      <c r="Q421" s="3"/>
      <c r="R421" s="3"/>
      <c r="S421" s="3"/>
      <c r="T421" s="3"/>
      <c r="U421" s="3"/>
      <c r="V421" s="3"/>
      <c r="W421" s="3"/>
      <c r="X421" s="3"/>
      <c r="Y421" s="3"/>
      <c r="Z421" s="3"/>
      <c r="AA421" s="3"/>
      <c r="AB421" s="3"/>
      <c r="AC421" s="3"/>
      <c r="AD421" s="3"/>
      <c r="AE421" s="3"/>
    </row>
    <row r="422">
      <c r="A422" s="13"/>
      <c r="B422" s="13"/>
      <c r="C422" s="13"/>
      <c r="D422" s="13"/>
      <c r="E422" s="13"/>
      <c r="F422" s="3"/>
      <c r="G422" s="3"/>
      <c r="H422" s="4"/>
      <c r="I422" s="8"/>
      <c r="J422" s="8"/>
      <c r="K422" s="3"/>
      <c r="L422" s="3"/>
      <c r="M422" s="3"/>
      <c r="N422" s="3"/>
      <c r="O422" s="3"/>
      <c r="P422" s="3"/>
      <c r="Q422" s="3"/>
      <c r="R422" s="3"/>
      <c r="S422" s="3"/>
      <c r="T422" s="3"/>
      <c r="U422" s="3"/>
      <c r="V422" s="3"/>
      <c r="W422" s="3"/>
      <c r="X422" s="3"/>
      <c r="Y422" s="3"/>
      <c r="Z422" s="3"/>
      <c r="AA422" s="3"/>
      <c r="AB422" s="3"/>
      <c r="AC422" s="3"/>
      <c r="AD422" s="3"/>
      <c r="AE422" s="3"/>
    </row>
    <row r="423">
      <c r="A423" s="13"/>
      <c r="B423" s="13"/>
      <c r="C423" s="13"/>
      <c r="D423" s="13"/>
      <c r="E423" s="13"/>
      <c r="F423" s="3"/>
      <c r="G423" s="3"/>
      <c r="H423" s="4"/>
      <c r="I423" s="8"/>
      <c r="J423" s="8"/>
      <c r="K423" s="3"/>
      <c r="L423" s="3"/>
      <c r="M423" s="3"/>
      <c r="N423" s="3"/>
      <c r="O423" s="3"/>
      <c r="P423" s="3"/>
      <c r="Q423" s="3"/>
      <c r="R423" s="3"/>
      <c r="S423" s="3"/>
      <c r="T423" s="3"/>
      <c r="U423" s="3"/>
      <c r="V423" s="3"/>
      <c r="W423" s="3"/>
      <c r="X423" s="3"/>
      <c r="Y423" s="3"/>
      <c r="Z423" s="3"/>
      <c r="AA423" s="3"/>
      <c r="AB423" s="3"/>
      <c r="AC423" s="3"/>
      <c r="AD423" s="3"/>
      <c r="AE423" s="3"/>
    </row>
    <row r="424">
      <c r="A424" s="13"/>
      <c r="B424" s="13"/>
      <c r="C424" s="13"/>
      <c r="D424" s="13"/>
      <c r="E424" s="13"/>
      <c r="F424" s="3"/>
      <c r="G424" s="3"/>
      <c r="H424" s="4"/>
      <c r="I424" s="8"/>
      <c r="J424" s="8"/>
      <c r="K424" s="3"/>
      <c r="L424" s="3"/>
      <c r="M424" s="3"/>
      <c r="N424" s="3"/>
      <c r="O424" s="3"/>
      <c r="P424" s="3"/>
      <c r="Q424" s="3"/>
      <c r="R424" s="3"/>
      <c r="S424" s="3"/>
      <c r="T424" s="3"/>
      <c r="U424" s="3"/>
      <c r="V424" s="3"/>
      <c r="W424" s="3"/>
      <c r="X424" s="3"/>
      <c r="Y424" s="3"/>
      <c r="Z424" s="3"/>
      <c r="AA424" s="3"/>
      <c r="AB424" s="3"/>
      <c r="AC424" s="3"/>
      <c r="AD424" s="3"/>
      <c r="AE424" s="3"/>
    </row>
    <row r="425">
      <c r="A425" s="13"/>
      <c r="B425" s="13"/>
      <c r="C425" s="13"/>
      <c r="D425" s="13"/>
      <c r="E425" s="13"/>
      <c r="F425" s="3"/>
      <c r="G425" s="3"/>
      <c r="H425" s="4"/>
      <c r="I425" s="8"/>
      <c r="J425" s="8"/>
      <c r="K425" s="3"/>
      <c r="L425" s="3"/>
      <c r="M425" s="3"/>
      <c r="N425" s="3"/>
      <c r="O425" s="3"/>
      <c r="P425" s="3"/>
      <c r="Q425" s="3"/>
      <c r="R425" s="3"/>
      <c r="S425" s="3"/>
      <c r="T425" s="3"/>
      <c r="U425" s="3"/>
      <c r="V425" s="3"/>
      <c r="W425" s="3"/>
      <c r="X425" s="3"/>
      <c r="Y425" s="3"/>
      <c r="Z425" s="3"/>
      <c r="AA425" s="3"/>
      <c r="AB425" s="3"/>
      <c r="AC425" s="3"/>
      <c r="AD425" s="3"/>
      <c r="AE425" s="3"/>
    </row>
    <row r="426">
      <c r="A426" s="13"/>
      <c r="B426" s="13"/>
      <c r="C426" s="13"/>
      <c r="D426" s="13"/>
      <c r="E426" s="13"/>
      <c r="F426" s="3"/>
      <c r="G426" s="3"/>
      <c r="H426" s="4"/>
      <c r="I426" s="8"/>
      <c r="J426" s="8"/>
      <c r="K426" s="3"/>
      <c r="L426" s="3"/>
      <c r="M426" s="3"/>
      <c r="N426" s="3"/>
      <c r="O426" s="3"/>
      <c r="P426" s="3"/>
      <c r="Q426" s="3"/>
      <c r="R426" s="3"/>
      <c r="S426" s="3"/>
      <c r="T426" s="3"/>
      <c r="U426" s="3"/>
      <c r="V426" s="3"/>
      <c r="W426" s="3"/>
      <c r="X426" s="3"/>
      <c r="Y426" s="3"/>
      <c r="Z426" s="3"/>
      <c r="AA426" s="3"/>
      <c r="AB426" s="3"/>
      <c r="AC426" s="3"/>
      <c r="AD426" s="3"/>
      <c r="AE426" s="3"/>
    </row>
    <row r="427">
      <c r="A427" s="13"/>
      <c r="B427" s="13"/>
      <c r="C427" s="13"/>
      <c r="D427" s="13"/>
      <c r="E427" s="13"/>
      <c r="F427" s="3"/>
      <c r="G427" s="3"/>
      <c r="H427" s="4"/>
      <c r="I427" s="8"/>
      <c r="J427" s="8"/>
      <c r="K427" s="3"/>
      <c r="L427" s="3"/>
      <c r="M427" s="3"/>
      <c r="N427" s="3"/>
      <c r="O427" s="3"/>
      <c r="P427" s="3"/>
      <c r="Q427" s="3"/>
      <c r="R427" s="3"/>
      <c r="S427" s="3"/>
      <c r="T427" s="3"/>
      <c r="U427" s="3"/>
      <c r="V427" s="3"/>
      <c r="W427" s="3"/>
      <c r="X427" s="3"/>
      <c r="Y427" s="3"/>
      <c r="Z427" s="3"/>
      <c r="AA427" s="3"/>
      <c r="AB427" s="3"/>
      <c r="AC427" s="3"/>
      <c r="AD427" s="3"/>
      <c r="AE427" s="3"/>
    </row>
    <row r="428">
      <c r="A428" s="13"/>
      <c r="B428" s="13"/>
      <c r="C428" s="13"/>
      <c r="D428" s="13"/>
      <c r="E428" s="13"/>
      <c r="F428" s="3"/>
      <c r="G428" s="3"/>
      <c r="H428" s="4"/>
      <c r="I428" s="8"/>
      <c r="J428" s="8"/>
      <c r="K428" s="3"/>
      <c r="L428" s="3"/>
      <c r="M428" s="3"/>
      <c r="N428" s="3"/>
      <c r="O428" s="3"/>
      <c r="P428" s="3"/>
      <c r="Q428" s="3"/>
      <c r="R428" s="3"/>
      <c r="S428" s="3"/>
      <c r="T428" s="3"/>
      <c r="U428" s="3"/>
      <c r="V428" s="3"/>
      <c r="W428" s="3"/>
      <c r="X428" s="3"/>
      <c r="Y428" s="3"/>
      <c r="Z428" s="3"/>
      <c r="AA428" s="3"/>
      <c r="AB428" s="3"/>
      <c r="AC428" s="3"/>
      <c r="AD428" s="3"/>
      <c r="AE428" s="3"/>
    </row>
    <row r="429">
      <c r="A429" s="13"/>
      <c r="B429" s="13"/>
      <c r="C429" s="13"/>
      <c r="D429" s="13"/>
      <c r="E429" s="13"/>
      <c r="F429" s="3"/>
      <c r="G429" s="3"/>
      <c r="H429" s="4"/>
      <c r="I429" s="8"/>
      <c r="J429" s="8"/>
      <c r="K429" s="3"/>
      <c r="L429" s="3"/>
      <c r="M429" s="3"/>
      <c r="N429" s="3"/>
      <c r="O429" s="3"/>
      <c r="P429" s="3"/>
      <c r="Q429" s="3"/>
      <c r="R429" s="3"/>
      <c r="S429" s="3"/>
      <c r="T429" s="3"/>
      <c r="U429" s="3"/>
      <c r="V429" s="3"/>
      <c r="W429" s="3"/>
      <c r="X429" s="3"/>
      <c r="Y429" s="3"/>
      <c r="Z429" s="3"/>
      <c r="AA429" s="3"/>
      <c r="AB429" s="3"/>
      <c r="AC429" s="3"/>
      <c r="AD429" s="3"/>
      <c r="AE429" s="3"/>
    </row>
    <row r="430">
      <c r="A430" s="13"/>
      <c r="B430" s="13"/>
      <c r="C430" s="13"/>
      <c r="D430" s="13"/>
      <c r="E430" s="13"/>
      <c r="F430" s="3"/>
      <c r="G430" s="3"/>
      <c r="H430" s="4"/>
      <c r="I430" s="8"/>
      <c r="J430" s="8"/>
      <c r="K430" s="3"/>
      <c r="L430" s="3"/>
      <c r="M430" s="3"/>
      <c r="N430" s="3"/>
      <c r="O430" s="3"/>
      <c r="P430" s="3"/>
      <c r="Q430" s="3"/>
      <c r="R430" s="3"/>
      <c r="S430" s="3"/>
      <c r="T430" s="3"/>
      <c r="U430" s="3"/>
      <c r="V430" s="3"/>
      <c r="W430" s="3"/>
      <c r="X430" s="3"/>
      <c r="Y430" s="3"/>
      <c r="Z430" s="3"/>
      <c r="AA430" s="3"/>
      <c r="AB430" s="3"/>
      <c r="AC430" s="3"/>
      <c r="AD430" s="3"/>
      <c r="AE430" s="3"/>
    </row>
    <row r="431">
      <c r="A431" s="13"/>
      <c r="B431" s="13"/>
      <c r="C431" s="13"/>
      <c r="D431" s="13"/>
      <c r="E431" s="13"/>
      <c r="F431" s="3"/>
      <c r="G431" s="3"/>
      <c r="H431" s="4"/>
      <c r="I431" s="8"/>
      <c r="J431" s="8"/>
      <c r="K431" s="3"/>
      <c r="L431" s="3"/>
      <c r="M431" s="3"/>
      <c r="N431" s="3"/>
      <c r="O431" s="3"/>
      <c r="P431" s="3"/>
      <c r="Q431" s="3"/>
      <c r="R431" s="3"/>
      <c r="S431" s="3"/>
      <c r="T431" s="3"/>
      <c r="U431" s="3"/>
      <c r="V431" s="3"/>
      <c r="W431" s="3"/>
      <c r="X431" s="3"/>
      <c r="Y431" s="3"/>
      <c r="Z431" s="3"/>
      <c r="AA431" s="3"/>
      <c r="AB431" s="3"/>
      <c r="AC431" s="3"/>
      <c r="AD431" s="3"/>
      <c r="AE431" s="3"/>
    </row>
    <row r="432">
      <c r="A432" s="13"/>
      <c r="B432" s="13"/>
      <c r="C432" s="13"/>
      <c r="D432" s="13"/>
      <c r="E432" s="13"/>
      <c r="F432" s="3"/>
      <c r="G432" s="3"/>
      <c r="H432" s="4"/>
      <c r="I432" s="8"/>
      <c r="J432" s="8"/>
      <c r="K432" s="3"/>
      <c r="L432" s="3"/>
      <c r="M432" s="3"/>
      <c r="N432" s="3"/>
      <c r="O432" s="3"/>
      <c r="P432" s="3"/>
      <c r="Q432" s="3"/>
      <c r="R432" s="3"/>
      <c r="S432" s="3"/>
      <c r="T432" s="3"/>
      <c r="U432" s="3"/>
      <c r="V432" s="3"/>
      <c r="W432" s="3"/>
      <c r="X432" s="3"/>
      <c r="Y432" s="3"/>
      <c r="Z432" s="3"/>
      <c r="AA432" s="3"/>
      <c r="AB432" s="3"/>
      <c r="AC432" s="3"/>
      <c r="AD432" s="3"/>
      <c r="AE432" s="3"/>
    </row>
    <row r="433">
      <c r="A433" s="13"/>
      <c r="B433" s="13"/>
      <c r="C433" s="13"/>
      <c r="D433" s="13"/>
      <c r="E433" s="13"/>
      <c r="F433" s="3"/>
      <c r="G433" s="3"/>
      <c r="H433" s="4"/>
      <c r="I433" s="8"/>
      <c r="J433" s="8"/>
      <c r="K433" s="3"/>
      <c r="L433" s="3"/>
      <c r="M433" s="3"/>
      <c r="N433" s="3"/>
      <c r="O433" s="3"/>
      <c r="P433" s="3"/>
      <c r="Q433" s="3"/>
      <c r="R433" s="3"/>
      <c r="S433" s="3"/>
      <c r="T433" s="3"/>
      <c r="U433" s="3"/>
      <c r="V433" s="3"/>
      <c r="W433" s="3"/>
      <c r="X433" s="3"/>
      <c r="Y433" s="3"/>
      <c r="Z433" s="3"/>
      <c r="AA433" s="3"/>
      <c r="AB433" s="3"/>
      <c r="AC433" s="3"/>
      <c r="AD433" s="3"/>
      <c r="AE433" s="3"/>
    </row>
    <row r="434">
      <c r="A434" s="13"/>
      <c r="B434" s="13"/>
      <c r="C434" s="13"/>
      <c r="D434" s="13"/>
      <c r="E434" s="13"/>
      <c r="F434" s="3"/>
      <c r="G434" s="3"/>
      <c r="H434" s="4"/>
      <c r="I434" s="8"/>
      <c r="J434" s="8"/>
      <c r="K434" s="3"/>
      <c r="L434" s="3"/>
      <c r="M434" s="3"/>
      <c r="N434" s="3"/>
      <c r="O434" s="3"/>
      <c r="P434" s="3"/>
      <c r="Q434" s="3"/>
      <c r="R434" s="3"/>
      <c r="S434" s="3"/>
      <c r="T434" s="3"/>
      <c r="U434" s="3"/>
      <c r="V434" s="3"/>
      <c r="W434" s="3"/>
      <c r="X434" s="3"/>
      <c r="Y434" s="3"/>
      <c r="Z434" s="3"/>
      <c r="AA434" s="3"/>
      <c r="AB434" s="3"/>
      <c r="AC434" s="3"/>
      <c r="AD434" s="3"/>
      <c r="AE434" s="3"/>
    </row>
    <row r="435">
      <c r="A435" s="13"/>
      <c r="B435" s="13"/>
      <c r="C435" s="13"/>
      <c r="D435" s="13"/>
      <c r="E435" s="13"/>
      <c r="F435" s="3"/>
      <c r="G435" s="3"/>
      <c r="H435" s="4"/>
      <c r="I435" s="8"/>
      <c r="J435" s="8"/>
      <c r="K435" s="3"/>
      <c r="L435" s="3"/>
      <c r="M435" s="3"/>
      <c r="N435" s="3"/>
      <c r="O435" s="3"/>
      <c r="P435" s="3"/>
      <c r="Q435" s="3"/>
      <c r="R435" s="3"/>
      <c r="S435" s="3"/>
      <c r="T435" s="3"/>
      <c r="U435" s="3"/>
      <c r="V435" s="3"/>
      <c r="W435" s="3"/>
      <c r="X435" s="3"/>
      <c r="Y435" s="3"/>
      <c r="Z435" s="3"/>
      <c r="AA435" s="3"/>
      <c r="AB435" s="3"/>
      <c r="AC435" s="3"/>
      <c r="AD435" s="3"/>
      <c r="AE435" s="3"/>
    </row>
    <row r="436">
      <c r="A436" s="13"/>
      <c r="B436" s="13"/>
      <c r="C436" s="13"/>
      <c r="D436" s="13"/>
      <c r="E436" s="13"/>
      <c r="F436" s="3"/>
      <c r="G436" s="3"/>
      <c r="H436" s="4"/>
      <c r="I436" s="8"/>
      <c r="J436" s="8"/>
      <c r="K436" s="3"/>
      <c r="L436" s="3"/>
      <c r="M436" s="3"/>
      <c r="N436" s="3"/>
      <c r="O436" s="3"/>
      <c r="P436" s="3"/>
      <c r="Q436" s="3"/>
      <c r="R436" s="3"/>
      <c r="S436" s="3"/>
      <c r="T436" s="3"/>
      <c r="U436" s="3"/>
      <c r="V436" s="3"/>
      <c r="W436" s="3"/>
      <c r="X436" s="3"/>
      <c r="Y436" s="3"/>
      <c r="Z436" s="3"/>
      <c r="AA436" s="3"/>
      <c r="AB436" s="3"/>
      <c r="AC436" s="3"/>
      <c r="AD436" s="3"/>
      <c r="AE436" s="3"/>
    </row>
    <row r="437">
      <c r="A437" s="13"/>
      <c r="B437" s="13"/>
      <c r="C437" s="13"/>
      <c r="D437" s="13"/>
      <c r="E437" s="13"/>
      <c r="F437" s="3"/>
      <c r="G437" s="3"/>
      <c r="H437" s="4"/>
      <c r="I437" s="8"/>
      <c r="J437" s="8"/>
      <c r="K437" s="3"/>
      <c r="L437" s="3"/>
      <c r="M437" s="3"/>
      <c r="N437" s="3"/>
      <c r="O437" s="3"/>
      <c r="P437" s="3"/>
      <c r="Q437" s="3"/>
      <c r="R437" s="3"/>
      <c r="S437" s="3"/>
      <c r="T437" s="3"/>
      <c r="U437" s="3"/>
      <c r="V437" s="3"/>
      <c r="W437" s="3"/>
      <c r="X437" s="3"/>
      <c r="Y437" s="3"/>
      <c r="Z437" s="3"/>
      <c r="AA437" s="3"/>
      <c r="AB437" s="3"/>
      <c r="AC437" s="3"/>
      <c r="AD437" s="3"/>
      <c r="AE437" s="3"/>
    </row>
    <row r="438">
      <c r="A438" s="13"/>
      <c r="B438" s="13"/>
      <c r="C438" s="13"/>
      <c r="D438" s="13"/>
      <c r="E438" s="13"/>
      <c r="F438" s="3"/>
      <c r="G438" s="3"/>
      <c r="H438" s="4"/>
      <c r="I438" s="8"/>
      <c r="J438" s="8"/>
      <c r="K438" s="3"/>
      <c r="L438" s="3"/>
      <c r="M438" s="3"/>
      <c r="N438" s="3"/>
      <c r="O438" s="3"/>
      <c r="P438" s="3"/>
      <c r="Q438" s="3"/>
      <c r="R438" s="3"/>
      <c r="S438" s="3"/>
      <c r="T438" s="3"/>
      <c r="U438" s="3"/>
      <c r="V438" s="3"/>
      <c r="W438" s="3"/>
      <c r="X438" s="3"/>
      <c r="Y438" s="3"/>
      <c r="Z438" s="3"/>
      <c r="AA438" s="3"/>
      <c r="AB438" s="3"/>
      <c r="AC438" s="3"/>
      <c r="AD438" s="3"/>
      <c r="AE438" s="3"/>
    </row>
    <row r="439">
      <c r="A439" s="13"/>
      <c r="B439" s="13"/>
      <c r="C439" s="13"/>
      <c r="D439" s="13"/>
      <c r="E439" s="13"/>
      <c r="F439" s="3"/>
      <c r="G439" s="3"/>
      <c r="H439" s="4"/>
      <c r="I439" s="8"/>
      <c r="J439" s="8"/>
      <c r="K439" s="3"/>
      <c r="L439" s="3"/>
      <c r="M439" s="3"/>
      <c r="N439" s="3"/>
      <c r="O439" s="3"/>
      <c r="P439" s="3"/>
      <c r="Q439" s="3"/>
      <c r="R439" s="3"/>
      <c r="S439" s="3"/>
      <c r="T439" s="3"/>
      <c r="U439" s="3"/>
      <c r="V439" s="3"/>
      <c r="W439" s="3"/>
      <c r="X439" s="3"/>
      <c r="Y439" s="3"/>
      <c r="Z439" s="3"/>
      <c r="AA439" s="3"/>
      <c r="AB439" s="3"/>
      <c r="AC439" s="3"/>
      <c r="AD439" s="3"/>
      <c r="AE439" s="3"/>
    </row>
    <row r="440">
      <c r="A440" s="13"/>
      <c r="B440" s="13"/>
      <c r="C440" s="13"/>
      <c r="D440" s="13"/>
      <c r="E440" s="13"/>
      <c r="F440" s="3"/>
      <c r="G440" s="3"/>
      <c r="H440" s="4"/>
      <c r="I440" s="8"/>
      <c r="J440" s="8"/>
      <c r="K440" s="3"/>
      <c r="L440" s="3"/>
      <c r="M440" s="3"/>
      <c r="N440" s="3"/>
      <c r="O440" s="3"/>
      <c r="P440" s="3"/>
      <c r="Q440" s="3"/>
      <c r="R440" s="3"/>
      <c r="S440" s="3"/>
      <c r="T440" s="3"/>
      <c r="U440" s="3"/>
      <c r="V440" s="3"/>
      <c r="W440" s="3"/>
      <c r="X440" s="3"/>
      <c r="Y440" s="3"/>
      <c r="Z440" s="3"/>
      <c r="AA440" s="3"/>
      <c r="AB440" s="3"/>
      <c r="AC440" s="3"/>
      <c r="AD440" s="3"/>
      <c r="AE440" s="3"/>
    </row>
    <row r="441">
      <c r="A441" s="13"/>
      <c r="B441" s="13"/>
      <c r="C441" s="13"/>
      <c r="D441" s="13"/>
      <c r="E441" s="13"/>
      <c r="F441" s="3"/>
      <c r="G441" s="3"/>
      <c r="H441" s="4"/>
      <c r="I441" s="8"/>
      <c r="J441" s="8"/>
      <c r="K441" s="3"/>
      <c r="L441" s="3"/>
      <c r="M441" s="3"/>
      <c r="N441" s="3"/>
      <c r="O441" s="3"/>
      <c r="P441" s="3"/>
      <c r="Q441" s="3"/>
      <c r="R441" s="3"/>
      <c r="S441" s="3"/>
      <c r="T441" s="3"/>
      <c r="U441" s="3"/>
      <c r="V441" s="3"/>
      <c r="W441" s="3"/>
      <c r="X441" s="3"/>
      <c r="Y441" s="3"/>
      <c r="Z441" s="3"/>
      <c r="AA441" s="3"/>
      <c r="AB441" s="3"/>
      <c r="AC441" s="3"/>
      <c r="AD441" s="3"/>
      <c r="AE441" s="3"/>
    </row>
    <row r="442">
      <c r="A442" s="13"/>
      <c r="B442" s="13"/>
      <c r="C442" s="13"/>
      <c r="D442" s="13"/>
      <c r="E442" s="13"/>
      <c r="F442" s="3"/>
      <c r="G442" s="3"/>
      <c r="H442" s="4"/>
      <c r="I442" s="8"/>
      <c r="J442" s="8"/>
      <c r="K442" s="3"/>
      <c r="L442" s="3"/>
      <c r="M442" s="3"/>
      <c r="N442" s="3"/>
      <c r="O442" s="3"/>
      <c r="P442" s="3"/>
      <c r="Q442" s="3"/>
      <c r="R442" s="3"/>
      <c r="S442" s="3"/>
      <c r="T442" s="3"/>
      <c r="U442" s="3"/>
      <c r="V442" s="3"/>
      <c r="W442" s="3"/>
      <c r="X442" s="3"/>
      <c r="Y442" s="3"/>
      <c r="Z442" s="3"/>
      <c r="AA442" s="3"/>
      <c r="AB442" s="3"/>
      <c r="AC442" s="3"/>
      <c r="AD442" s="3"/>
      <c r="AE442" s="3"/>
    </row>
    <row r="443">
      <c r="A443" s="13"/>
      <c r="B443" s="13"/>
      <c r="C443" s="13"/>
      <c r="D443" s="13"/>
      <c r="E443" s="13"/>
      <c r="F443" s="3"/>
      <c r="G443" s="3"/>
      <c r="H443" s="4"/>
      <c r="I443" s="8"/>
      <c r="J443" s="8"/>
      <c r="K443" s="3"/>
      <c r="L443" s="3"/>
      <c r="M443" s="3"/>
      <c r="N443" s="3"/>
      <c r="O443" s="3"/>
      <c r="P443" s="3"/>
      <c r="Q443" s="3"/>
      <c r="R443" s="3"/>
      <c r="S443" s="3"/>
      <c r="T443" s="3"/>
      <c r="U443" s="3"/>
      <c r="V443" s="3"/>
      <c r="W443" s="3"/>
      <c r="X443" s="3"/>
      <c r="Y443" s="3"/>
      <c r="Z443" s="3"/>
      <c r="AA443" s="3"/>
      <c r="AB443" s="3"/>
      <c r="AC443" s="3"/>
      <c r="AD443" s="3"/>
      <c r="AE443" s="3"/>
    </row>
    <row r="444">
      <c r="A444" s="13"/>
      <c r="B444" s="13"/>
      <c r="C444" s="13"/>
      <c r="D444" s="13"/>
      <c r="E444" s="13"/>
      <c r="F444" s="3"/>
      <c r="G444" s="3"/>
      <c r="H444" s="4"/>
      <c r="I444" s="8"/>
      <c r="J444" s="8"/>
      <c r="K444" s="3"/>
      <c r="L444" s="3"/>
      <c r="M444" s="3"/>
      <c r="N444" s="3"/>
      <c r="O444" s="3"/>
      <c r="P444" s="3"/>
      <c r="Q444" s="3"/>
      <c r="R444" s="3"/>
      <c r="S444" s="3"/>
      <c r="T444" s="3"/>
      <c r="U444" s="3"/>
      <c r="V444" s="3"/>
      <c r="W444" s="3"/>
      <c r="X444" s="3"/>
      <c r="Y444" s="3"/>
      <c r="Z444" s="3"/>
      <c r="AA444" s="3"/>
      <c r="AB444" s="3"/>
      <c r="AC444" s="3"/>
      <c r="AD444" s="3"/>
      <c r="AE444" s="3"/>
    </row>
    <row r="445">
      <c r="A445" s="13"/>
      <c r="B445" s="13"/>
      <c r="C445" s="13"/>
      <c r="D445" s="13"/>
      <c r="E445" s="13"/>
      <c r="F445" s="3"/>
      <c r="G445" s="3"/>
      <c r="H445" s="4"/>
      <c r="I445" s="8"/>
      <c r="J445" s="8"/>
      <c r="K445" s="3"/>
      <c r="L445" s="3"/>
      <c r="M445" s="3"/>
      <c r="N445" s="3"/>
      <c r="O445" s="3"/>
      <c r="P445" s="3"/>
      <c r="Q445" s="3"/>
      <c r="R445" s="3"/>
      <c r="S445" s="3"/>
      <c r="T445" s="3"/>
      <c r="U445" s="3"/>
      <c r="V445" s="3"/>
      <c r="W445" s="3"/>
      <c r="X445" s="3"/>
      <c r="Y445" s="3"/>
      <c r="Z445" s="3"/>
      <c r="AA445" s="3"/>
      <c r="AB445" s="3"/>
      <c r="AC445" s="3"/>
      <c r="AD445" s="3"/>
      <c r="AE445" s="3"/>
    </row>
    <row r="446">
      <c r="A446" s="13"/>
      <c r="B446" s="13"/>
      <c r="C446" s="13"/>
      <c r="D446" s="13"/>
      <c r="E446" s="13"/>
      <c r="F446" s="3"/>
      <c r="G446" s="3"/>
      <c r="H446" s="4"/>
      <c r="I446" s="8"/>
      <c r="J446" s="8"/>
      <c r="K446" s="3"/>
      <c r="L446" s="3"/>
      <c r="M446" s="3"/>
      <c r="N446" s="3"/>
      <c r="O446" s="3"/>
      <c r="P446" s="3"/>
      <c r="Q446" s="3"/>
      <c r="R446" s="3"/>
      <c r="S446" s="3"/>
      <c r="T446" s="3"/>
      <c r="U446" s="3"/>
      <c r="V446" s="3"/>
      <c r="W446" s="3"/>
      <c r="X446" s="3"/>
      <c r="Y446" s="3"/>
      <c r="Z446" s="3"/>
      <c r="AA446" s="3"/>
      <c r="AB446" s="3"/>
      <c r="AC446" s="3"/>
      <c r="AD446" s="3"/>
      <c r="AE446" s="3"/>
    </row>
    <row r="447">
      <c r="A447" s="13"/>
      <c r="B447" s="13"/>
      <c r="C447" s="13"/>
      <c r="D447" s="13"/>
      <c r="E447" s="13"/>
      <c r="F447" s="3"/>
      <c r="G447" s="3"/>
      <c r="H447" s="4"/>
      <c r="I447" s="8"/>
      <c r="J447" s="8"/>
      <c r="K447" s="3"/>
      <c r="L447" s="3"/>
      <c r="M447" s="3"/>
      <c r="N447" s="3"/>
      <c r="O447" s="3"/>
      <c r="P447" s="3"/>
      <c r="Q447" s="3"/>
      <c r="R447" s="3"/>
      <c r="S447" s="3"/>
      <c r="T447" s="3"/>
      <c r="U447" s="3"/>
      <c r="V447" s="3"/>
      <c r="W447" s="3"/>
      <c r="X447" s="3"/>
      <c r="Y447" s="3"/>
      <c r="Z447" s="3"/>
      <c r="AA447" s="3"/>
      <c r="AB447" s="3"/>
      <c r="AC447" s="3"/>
      <c r="AD447" s="3"/>
      <c r="AE447" s="3"/>
    </row>
    <row r="448">
      <c r="A448" s="13"/>
      <c r="B448" s="13"/>
      <c r="C448" s="13"/>
      <c r="D448" s="13"/>
      <c r="E448" s="13"/>
      <c r="F448" s="3"/>
      <c r="G448" s="3"/>
      <c r="H448" s="4"/>
      <c r="I448" s="8"/>
      <c r="J448" s="8"/>
      <c r="K448" s="3"/>
      <c r="L448" s="3"/>
      <c r="M448" s="3"/>
      <c r="N448" s="3"/>
      <c r="O448" s="3"/>
      <c r="P448" s="3"/>
      <c r="Q448" s="3"/>
      <c r="R448" s="3"/>
      <c r="S448" s="3"/>
      <c r="T448" s="3"/>
      <c r="U448" s="3"/>
      <c r="V448" s="3"/>
      <c r="W448" s="3"/>
      <c r="X448" s="3"/>
      <c r="Y448" s="3"/>
      <c r="Z448" s="3"/>
      <c r="AA448" s="3"/>
      <c r="AB448" s="3"/>
      <c r="AC448" s="3"/>
      <c r="AD448" s="3"/>
      <c r="AE448" s="3"/>
    </row>
    <row r="449">
      <c r="A449" s="13"/>
      <c r="B449" s="13"/>
      <c r="C449" s="13"/>
      <c r="D449" s="13"/>
      <c r="E449" s="13"/>
      <c r="F449" s="3"/>
      <c r="G449" s="3"/>
      <c r="H449" s="4"/>
      <c r="I449" s="8"/>
      <c r="J449" s="8"/>
      <c r="K449" s="3"/>
      <c r="L449" s="3"/>
      <c r="M449" s="3"/>
      <c r="N449" s="3"/>
      <c r="O449" s="3"/>
      <c r="P449" s="3"/>
      <c r="Q449" s="3"/>
      <c r="R449" s="3"/>
      <c r="S449" s="3"/>
      <c r="T449" s="3"/>
      <c r="U449" s="3"/>
      <c r="V449" s="3"/>
      <c r="W449" s="3"/>
      <c r="X449" s="3"/>
      <c r="Y449" s="3"/>
      <c r="Z449" s="3"/>
      <c r="AA449" s="3"/>
      <c r="AB449" s="3"/>
      <c r="AC449" s="3"/>
      <c r="AD449" s="3"/>
      <c r="AE449" s="3"/>
    </row>
    <row r="450">
      <c r="A450" s="13"/>
      <c r="B450" s="13"/>
      <c r="C450" s="13"/>
      <c r="D450" s="13"/>
      <c r="E450" s="13"/>
      <c r="F450" s="3"/>
      <c r="G450" s="3"/>
      <c r="H450" s="4"/>
      <c r="I450" s="8"/>
      <c r="J450" s="8"/>
      <c r="K450" s="3"/>
      <c r="L450" s="3"/>
      <c r="M450" s="3"/>
      <c r="N450" s="3"/>
      <c r="O450" s="3"/>
      <c r="P450" s="3"/>
      <c r="Q450" s="3"/>
      <c r="R450" s="3"/>
      <c r="S450" s="3"/>
      <c r="T450" s="3"/>
      <c r="U450" s="3"/>
      <c r="V450" s="3"/>
      <c r="W450" s="3"/>
      <c r="X450" s="3"/>
      <c r="Y450" s="3"/>
      <c r="Z450" s="3"/>
      <c r="AA450" s="3"/>
      <c r="AB450" s="3"/>
      <c r="AC450" s="3"/>
      <c r="AD450" s="3"/>
      <c r="AE450" s="3"/>
    </row>
    <row r="451">
      <c r="A451" s="13"/>
      <c r="B451" s="13"/>
      <c r="C451" s="13"/>
      <c r="D451" s="13"/>
      <c r="E451" s="13"/>
      <c r="F451" s="3"/>
      <c r="G451" s="3"/>
      <c r="H451" s="4"/>
      <c r="I451" s="8"/>
      <c r="J451" s="8"/>
      <c r="K451" s="3"/>
      <c r="L451" s="3"/>
      <c r="M451" s="3"/>
      <c r="N451" s="3"/>
      <c r="O451" s="3"/>
      <c r="P451" s="3"/>
      <c r="Q451" s="3"/>
      <c r="R451" s="3"/>
      <c r="S451" s="3"/>
      <c r="T451" s="3"/>
      <c r="U451" s="3"/>
      <c r="V451" s="3"/>
      <c r="W451" s="3"/>
      <c r="X451" s="3"/>
      <c r="Y451" s="3"/>
      <c r="Z451" s="3"/>
      <c r="AA451" s="3"/>
      <c r="AB451" s="3"/>
      <c r="AC451" s="3"/>
      <c r="AD451" s="3"/>
      <c r="AE451" s="3"/>
    </row>
    <row r="452">
      <c r="A452" s="13"/>
      <c r="B452" s="13"/>
      <c r="C452" s="13"/>
      <c r="D452" s="13"/>
      <c r="E452" s="13"/>
      <c r="F452" s="3"/>
      <c r="G452" s="3"/>
      <c r="H452" s="4"/>
      <c r="I452" s="8"/>
      <c r="J452" s="8"/>
      <c r="K452" s="3"/>
      <c r="L452" s="3"/>
      <c r="M452" s="3"/>
      <c r="N452" s="3"/>
      <c r="O452" s="3"/>
      <c r="P452" s="3"/>
      <c r="Q452" s="3"/>
      <c r="R452" s="3"/>
      <c r="S452" s="3"/>
      <c r="T452" s="3"/>
      <c r="U452" s="3"/>
      <c r="V452" s="3"/>
      <c r="W452" s="3"/>
      <c r="X452" s="3"/>
      <c r="Y452" s="3"/>
      <c r="Z452" s="3"/>
      <c r="AA452" s="3"/>
      <c r="AB452" s="3"/>
      <c r="AC452" s="3"/>
      <c r="AD452" s="3"/>
      <c r="AE452" s="3"/>
    </row>
    <row r="453">
      <c r="A453" s="13"/>
      <c r="B453" s="13"/>
      <c r="C453" s="13"/>
      <c r="D453" s="13"/>
      <c r="E453" s="13"/>
      <c r="F453" s="3"/>
      <c r="G453" s="3"/>
      <c r="H453" s="4"/>
      <c r="I453" s="8"/>
      <c r="J453" s="8"/>
      <c r="K453" s="3"/>
      <c r="L453" s="3"/>
      <c r="M453" s="3"/>
      <c r="N453" s="3"/>
      <c r="O453" s="3"/>
      <c r="P453" s="3"/>
      <c r="Q453" s="3"/>
      <c r="R453" s="3"/>
      <c r="S453" s="3"/>
      <c r="T453" s="3"/>
      <c r="U453" s="3"/>
      <c r="V453" s="3"/>
      <c r="W453" s="3"/>
      <c r="X453" s="3"/>
      <c r="Y453" s="3"/>
      <c r="Z453" s="3"/>
      <c r="AA453" s="3"/>
      <c r="AB453" s="3"/>
      <c r="AC453" s="3"/>
      <c r="AD453" s="3"/>
      <c r="AE453" s="3"/>
    </row>
    <row r="454">
      <c r="A454" s="13"/>
      <c r="B454" s="13"/>
      <c r="C454" s="13"/>
      <c r="D454" s="13"/>
      <c r="E454" s="13"/>
      <c r="F454" s="3"/>
      <c r="G454" s="3"/>
      <c r="H454" s="4"/>
      <c r="I454" s="8"/>
      <c r="J454" s="8"/>
      <c r="K454" s="3"/>
      <c r="L454" s="3"/>
      <c r="M454" s="3"/>
      <c r="N454" s="3"/>
      <c r="O454" s="3"/>
      <c r="P454" s="3"/>
      <c r="Q454" s="3"/>
      <c r="R454" s="3"/>
      <c r="S454" s="3"/>
      <c r="T454" s="3"/>
      <c r="U454" s="3"/>
      <c r="V454" s="3"/>
      <c r="W454" s="3"/>
      <c r="X454" s="3"/>
      <c r="Y454" s="3"/>
      <c r="Z454" s="3"/>
      <c r="AA454" s="3"/>
      <c r="AB454" s="3"/>
      <c r="AC454" s="3"/>
      <c r="AD454" s="3"/>
      <c r="AE454" s="3"/>
    </row>
    <row r="455">
      <c r="A455" s="13"/>
      <c r="B455" s="13"/>
      <c r="C455" s="13"/>
      <c r="D455" s="13"/>
      <c r="E455" s="13"/>
      <c r="F455" s="3"/>
      <c r="G455" s="3"/>
      <c r="H455" s="4"/>
      <c r="I455" s="8"/>
      <c r="J455" s="8"/>
      <c r="K455" s="3"/>
      <c r="L455" s="3"/>
      <c r="M455" s="3"/>
      <c r="N455" s="3"/>
      <c r="O455" s="3"/>
      <c r="P455" s="3"/>
      <c r="Q455" s="3"/>
      <c r="R455" s="3"/>
      <c r="S455" s="3"/>
      <c r="T455" s="3"/>
      <c r="U455" s="3"/>
      <c r="V455" s="3"/>
      <c r="W455" s="3"/>
      <c r="X455" s="3"/>
      <c r="Y455" s="3"/>
      <c r="Z455" s="3"/>
      <c r="AA455" s="3"/>
      <c r="AB455" s="3"/>
      <c r="AC455" s="3"/>
      <c r="AD455" s="3"/>
      <c r="AE455" s="3"/>
    </row>
    <row r="456">
      <c r="A456" s="13"/>
      <c r="B456" s="13"/>
      <c r="C456" s="13"/>
      <c r="D456" s="13"/>
      <c r="E456" s="13"/>
      <c r="F456" s="3"/>
      <c r="G456" s="3"/>
      <c r="H456" s="4"/>
      <c r="I456" s="8"/>
      <c r="J456" s="8"/>
      <c r="K456" s="3"/>
      <c r="L456" s="3"/>
      <c r="M456" s="3"/>
      <c r="N456" s="3"/>
      <c r="O456" s="3"/>
      <c r="P456" s="3"/>
      <c r="Q456" s="3"/>
      <c r="R456" s="3"/>
      <c r="S456" s="3"/>
      <c r="T456" s="3"/>
      <c r="U456" s="3"/>
      <c r="V456" s="3"/>
      <c r="W456" s="3"/>
      <c r="X456" s="3"/>
      <c r="Y456" s="3"/>
      <c r="Z456" s="3"/>
      <c r="AA456" s="3"/>
      <c r="AB456" s="3"/>
      <c r="AC456" s="3"/>
      <c r="AD456" s="3"/>
      <c r="AE456" s="3"/>
    </row>
    <row r="457">
      <c r="A457" s="13"/>
      <c r="B457" s="13"/>
      <c r="C457" s="13"/>
      <c r="D457" s="13"/>
      <c r="E457" s="13"/>
      <c r="F457" s="3"/>
      <c r="G457" s="3"/>
      <c r="H457" s="4"/>
      <c r="I457" s="8"/>
      <c r="J457" s="8"/>
      <c r="K457" s="3"/>
      <c r="L457" s="3"/>
      <c r="M457" s="3"/>
      <c r="N457" s="3"/>
      <c r="O457" s="3"/>
      <c r="P457" s="3"/>
      <c r="Q457" s="3"/>
      <c r="R457" s="3"/>
      <c r="S457" s="3"/>
      <c r="T457" s="3"/>
      <c r="U457" s="3"/>
      <c r="V457" s="3"/>
      <c r="W457" s="3"/>
      <c r="X457" s="3"/>
      <c r="Y457" s="3"/>
      <c r="Z457" s="3"/>
      <c r="AA457" s="3"/>
      <c r="AB457" s="3"/>
      <c r="AC457" s="3"/>
      <c r="AD457" s="3"/>
      <c r="AE457" s="3"/>
    </row>
    <row r="458">
      <c r="A458" s="13"/>
      <c r="B458" s="13"/>
      <c r="C458" s="13"/>
      <c r="D458" s="13"/>
      <c r="E458" s="13"/>
      <c r="F458" s="3"/>
      <c r="G458" s="3"/>
      <c r="H458" s="4"/>
      <c r="I458" s="8"/>
      <c r="J458" s="8"/>
      <c r="K458" s="3"/>
      <c r="L458" s="3"/>
      <c r="M458" s="3"/>
      <c r="N458" s="3"/>
      <c r="O458" s="3"/>
      <c r="P458" s="3"/>
      <c r="Q458" s="3"/>
      <c r="R458" s="3"/>
      <c r="S458" s="3"/>
      <c r="T458" s="3"/>
      <c r="U458" s="3"/>
      <c r="V458" s="3"/>
      <c r="W458" s="3"/>
      <c r="X458" s="3"/>
      <c r="Y458" s="3"/>
      <c r="Z458" s="3"/>
      <c r="AA458" s="3"/>
      <c r="AB458" s="3"/>
      <c r="AC458" s="3"/>
      <c r="AD458" s="3"/>
      <c r="AE458" s="3"/>
    </row>
    <row r="459">
      <c r="A459" s="13"/>
      <c r="B459" s="13"/>
      <c r="C459" s="13"/>
      <c r="D459" s="13"/>
      <c r="E459" s="13"/>
      <c r="F459" s="3"/>
      <c r="G459" s="3"/>
      <c r="H459" s="4"/>
      <c r="I459" s="8"/>
      <c r="J459" s="8"/>
      <c r="K459" s="3"/>
      <c r="L459" s="3"/>
      <c r="M459" s="3"/>
      <c r="N459" s="3"/>
      <c r="O459" s="3"/>
      <c r="P459" s="3"/>
      <c r="Q459" s="3"/>
      <c r="R459" s="3"/>
      <c r="S459" s="3"/>
      <c r="T459" s="3"/>
      <c r="U459" s="3"/>
      <c r="V459" s="3"/>
      <c r="W459" s="3"/>
      <c r="X459" s="3"/>
      <c r="Y459" s="3"/>
      <c r="Z459" s="3"/>
      <c r="AA459" s="3"/>
      <c r="AB459" s="3"/>
      <c r="AC459" s="3"/>
      <c r="AD459" s="3"/>
      <c r="AE459" s="3"/>
    </row>
    <row r="460">
      <c r="A460" s="13"/>
      <c r="B460" s="13"/>
      <c r="C460" s="13"/>
      <c r="D460" s="13"/>
      <c r="E460" s="13"/>
      <c r="F460" s="3"/>
      <c r="G460" s="3"/>
      <c r="H460" s="4"/>
      <c r="I460" s="8"/>
      <c r="J460" s="8"/>
      <c r="K460" s="3"/>
      <c r="L460" s="3"/>
      <c r="M460" s="3"/>
      <c r="N460" s="3"/>
      <c r="O460" s="3"/>
      <c r="P460" s="3"/>
      <c r="Q460" s="3"/>
      <c r="R460" s="3"/>
      <c r="S460" s="3"/>
      <c r="T460" s="3"/>
      <c r="U460" s="3"/>
      <c r="V460" s="3"/>
      <c r="W460" s="3"/>
      <c r="X460" s="3"/>
      <c r="Y460" s="3"/>
      <c r="Z460" s="3"/>
      <c r="AA460" s="3"/>
      <c r="AB460" s="3"/>
      <c r="AC460" s="3"/>
      <c r="AD460" s="3"/>
      <c r="AE460" s="3"/>
    </row>
    <row r="461">
      <c r="A461" s="13"/>
      <c r="B461" s="13"/>
      <c r="C461" s="13"/>
      <c r="D461" s="13"/>
      <c r="E461" s="13"/>
      <c r="F461" s="3"/>
      <c r="G461" s="3"/>
      <c r="H461" s="4"/>
      <c r="I461" s="8"/>
      <c r="J461" s="8"/>
      <c r="K461" s="3"/>
      <c r="L461" s="3"/>
      <c r="M461" s="3"/>
      <c r="N461" s="3"/>
      <c r="O461" s="3"/>
      <c r="P461" s="3"/>
      <c r="Q461" s="3"/>
      <c r="R461" s="3"/>
      <c r="S461" s="3"/>
      <c r="T461" s="3"/>
      <c r="U461" s="3"/>
      <c r="V461" s="3"/>
      <c r="W461" s="3"/>
      <c r="X461" s="3"/>
      <c r="Y461" s="3"/>
      <c r="Z461" s="3"/>
      <c r="AA461" s="3"/>
      <c r="AB461" s="3"/>
      <c r="AC461" s="3"/>
      <c r="AD461" s="3"/>
      <c r="AE461" s="3"/>
    </row>
    <row r="462">
      <c r="A462" s="13"/>
      <c r="B462" s="13"/>
      <c r="C462" s="13"/>
      <c r="D462" s="13"/>
      <c r="E462" s="13"/>
      <c r="F462" s="3"/>
      <c r="G462" s="3"/>
      <c r="H462" s="4"/>
      <c r="I462" s="8"/>
      <c r="J462" s="8"/>
      <c r="K462" s="3"/>
      <c r="L462" s="3"/>
      <c r="M462" s="3"/>
      <c r="N462" s="3"/>
      <c r="O462" s="3"/>
      <c r="P462" s="3"/>
      <c r="Q462" s="3"/>
      <c r="R462" s="3"/>
      <c r="S462" s="3"/>
      <c r="T462" s="3"/>
      <c r="U462" s="3"/>
      <c r="V462" s="3"/>
      <c r="W462" s="3"/>
      <c r="X462" s="3"/>
      <c r="Y462" s="3"/>
      <c r="Z462" s="3"/>
      <c r="AA462" s="3"/>
      <c r="AB462" s="3"/>
      <c r="AC462" s="3"/>
      <c r="AD462" s="3"/>
      <c r="AE462" s="3"/>
    </row>
    <row r="463">
      <c r="A463" s="13"/>
      <c r="B463" s="13"/>
      <c r="C463" s="13"/>
      <c r="D463" s="13"/>
      <c r="E463" s="13"/>
      <c r="F463" s="3"/>
      <c r="G463" s="3"/>
      <c r="H463" s="4"/>
      <c r="I463" s="8"/>
      <c r="J463" s="8"/>
      <c r="K463" s="3"/>
      <c r="L463" s="3"/>
      <c r="M463" s="3"/>
      <c r="N463" s="3"/>
      <c r="O463" s="3"/>
      <c r="P463" s="3"/>
      <c r="Q463" s="3"/>
      <c r="R463" s="3"/>
      <c r="S463" s="3"/>
      <c r="T463" s="3"/>
      <c r="U463" s="3"/>
      <c r="V463" s="3"/>
      <c r="W463" s="3"/>
      <c r="X463" s="3"/>
      <c r="Y463" s="3"/>
      <c r="Z463" s="3"/>
      <c r="AA463" s="3"/>
      <c r="AB463" s="3"/>
      <c r="AC463" s="3"/>
      <c r="AD463" s="3"/>
      <c r="AE463" s="3"/>
    </row>
    <row r="464">
      <c r="A464" s="13"/>
      <c r="B464" s="13"/>
      <c r="C464" s="13"/>
      <c r="D464" s="13"/>
      <c r="E464" s="13"/>
      <c r="F464" s="3"/>
      <c r="G464" s="3"/>
      <c r="H464" s="4"/>
      <c r="I464" s="8"/>
      <c r="J464" s="8"/>
      <c r="K464" s="3"/>
      <c r="L464" s="3"/>
      <c r="M464" s="3"/>
      <c r="N464" s="3"/>
      <c r="O464" s="3"/>
      <c r="P464" s="3"/>
      <c r="Q464" s="3"/>
      <c r="R464" s="3"/>
      <c r="S464" s="3"/>
      <c r="T464" s="3"/>
      <c r="U464" s="3"/>
      <c r="V464" s="3"/>
      <c r="W464" s="3"/>
      <c r="X464" s="3"/>
      <c r="Y464" s="3"/>
      <c r="Z464" s="3"/>
      <c r="AA464" s="3"/>
      <c r="AB464" s="3"/>
      <c r="AC464" s="3"/>
      <c r="AD464" s="3"/>
      <c r="AE464" s="3"/>
    </row>
    <row r="465">
      <c r="A465" s="13"/>
      <c r="B465" s="13"/>
      <c r="C465" s="13"/>
      <c r="D465" s="13"/>
      <c r="E465" s="13"/>
      <c r="F465" s="3"/>
      <c r="G465" s="3"/>
      <c r="H465" s="4"/>
      <c r="I465" s="8"/>
      <c r="J465" s="8"/>
      <c r="K465" s="3"/>
      <c r="L465" s="3"/>
      <c r="M465" s="3"/>
      <c r="N465" s="3"/>
      <c r="O465" s="3"/>
      <c r="P465" s="3"/>
      <c r="Q465" s="3"/>
      <c r="R465" s="3"/>
      <c r="S465" s="3"/>
      <c r="T465" s="3"/>
      <c r="U465" s="3"/>
      <c r="V465" s="3"/>
      <c r="W465" s="3"/>
      <c r="X465" s="3"/>
      <c r="Y465" s="3"/>
      <c r="Z465" s="3"/>
      <c r="AA465" s="3"/>
      <c r="AB465" s="3"/>
      <c r="AC465" s="3"/>
      <c r="AD465" s="3"/>
      <c r="AE465" s="3"/>
    </row>
    <row r="466">
      <c r="A466" s="13"/>
      <c r="B466" s="13"/>
      <c r="C466" s="13"/>
      <c r="D466" s="13"/>
      <c r="E466" s="13"/>
      <c r="F466" s="3"/>
      <c r="G466" s="3"/>
      <c r="H466" s="4"/>
      <c r="I466" s="8"/>
      <c r="J466" s="8"/>
      <c r="K466" s="3"/>
      <c r="L466" s="3"/>
      <c r="M466" s="3"/>
      <c r="N466" s="3"/>
      <c r="O466" s="3"/>
      <c r="P466" s="3"/>
      <c r="Q466" s="3"/>
      <c r="R466" s="3"/>
      <c r="S466" s="3"/>
      <c r="T466" s="3"/>
      <c r="U466" s="3"/>
      <c r="V466" s="3"/>
      <c r="W466" s="3"/>
      <c r="X466" s="3"/>
      <c r="Y466" s="3"/>
      <c r="Z466" s="3"/>
      <c r="AA466" s="3"/>
      <c r="AB466" s="3"/>
      <c r="AC466" s="3"/>
      <c r="AD466" s="3"/>
      <c r="AE466" s="3"/>
    </row>
    <row r="467">
      <c r="A467" s="13"/>
      <c r="B467" s="13"/>
      <c r="C467" s="13"/>
      <c r="D467" s="13"/>
      <c r="E467" s="13"/>
      <c r="F467" s="3"/>
      <c r="G467" s="3"/>
      <c r="H467" s="4"/>
      <c r="I467" s="8"/>
      <c r="J467" s="8"/>
      <c r="K467" s="3"/>
      <c r="L467" s="3"/>
      <c r="M467" s="3"/>
      <c r="N467" s="3"/>
      <c r="O467" s="3"/>
      <c r="P467" s="3"/>
      <c r="Q467" s="3"/>
      <c r="R467" s="3"/>
      <c r="S467" s="3"/>
      <c r="T467" s="3"/>
      <c r="U467" s="3"/>
      <c r="V467" s="3"/>
      <c r="W467" s="3"/>
      <c r="X467" s="3"/>
      <c r="Y467" s="3"/>
      <c r="Z467" s="3"/>
      <c r="AA467" s="3"/>
      <c r="AB467" s="3"/>
      <c r="AC467" s="3"/>
      <c r="AD467" s="3"/>
      <c r="AE467" s="3"/>
    </row>
    <row r="468">
      <c r="A468" s="13"/>
      <c r="B468" s="13"/>
      <c r="C468" s="13"/>
      <c r="D468" s="13"/>
      <c r="E468" s="13"/>
      <c r="F468" s="3"/>
      <c r="G468" s="3"/>
      <c r="H468" s="4"/>
      <c r="I468" s="8"/>
      <c r="J468" s="8"/>
      <c r="K468" s="3"/>
      <c r="L468" s="3"/>
      <c r="M468" s="3"/>
      <c r="N468" s="3"/>
      <c r="O468" s="3"/>
      <c r="P468" s="3"/>
      <c r="Q468" s="3"/>
      <c r="R468" s="3"/>
      <c r="S468" s="3"/>
      <c r="T468" s="3"/>
      <c r="U468" s="3"/>
      <c r="V468" s="3"/>
      <c r="W468" s="3"/>
      <c r="X468" s="3"/>
      <c r="Y468" s="3"/>
      <c r="Z468" s="3"/>
      <c r="AA468" s="3"/>
      <c r="AB468" s="3"/>
      <c r="AC468" s="3"/>
      <c r="AD468" s="3"/>
      <c r="AE468" s="3"/>
    </row>
    <row r="469">
      <c r="A469" s="13"/>
      <c r="B469" s="13"/>
      <c r="C469" s="13"/>
      <c r="D469" s="13"/>
      <c r="E469" s="13"/>
      <c r="F469" s="3"/>
      <c r="G469" s="3"/>
      <c r="H469" s="4"/>
      <c r="I469" s="8"/>
      <c r="J469" s="8"/>
      <c r="K469" s="3"/>
      <c r="L469" s="3"/>
      <c r="M469" s="3"/>
      <c r="N469" s="3"/>
      <c r="O469" s="3"/>
      <c r="P469" s="3"/>
      <c r="Q469" s="3"/>
      <c r="R469" s="3"/>
      <c r="S469" s="3"/>
      <c r="T469" s="3"/>
      <c r="U469" s="3"/>
      <c r="V469" s="3"/>
      <c r="W469" s="3"/>
      <c r="X469" s="3"/>
      <c r="Y469" s="3"/>
      <c r="Z469" s="3"/>
      <c r="AA469" s="3"/>
      <c r="AB469" s="3"/>
      <c r="AC469" s="3"/>
      <c r="AD469" s="3"/>
      <c r="AE469" s="3"/>
    </row>
    <row r="470">
      <c r="A470" s="13"/>
      <c r="B470" s="13"/>
      <c r="C470" s="13"/>
      <c r="D470" s="13"/>
      <c r="E470" s="13"/>
      <c r="F470" s="3"/>
      <c r="G470" s="3"/>
      <c r="H470" s="4"/>
      <c r="I470" s="8"/>
      <c r="J470" s="8"/>
      <c r="K470" s="3"/>
      <c r="L470" s="3"/>
      <c r="M470" s="3"/>
      <c r="N470" s="3"/>
      <c r="O470" s="3"/>
      <c r="P470" s="3"/>
      <c r="Q470" s="3"/>
      <c r="R470" s="3"/>
      <c r="S470" s="3"/>
      <c r="T470" s="3"/>
      <c r="U470" s="3"/>
      <c r="V470" s="3"/>
      <c r="W470" s="3"/>
      <c r="X470" s="3"/>
      <c r="Y470" s="3"/>
      <c r="Z470" s="3"/>
      <c r="AA470" s="3"/>
      <c r="AB470" s="3"/>
      <c r="AC470" s="3"/>
      <c r="AD470" s="3"/>
      <c r="AE470" s="3"/>
    </row>
    <row r="471">
      <c r="A471" s="13"/>
      <c r="B471" s="13"/>
      <c r="C471" s="13"/>
      <c r="D471" s="13"/>
      <c r="E471" s="13"/>
      <c r="F471" s="3"/>
      <c r="G471" s="3"/>
      <c r="H471" s="4"/>
      <c r="I471" s="8"/>
      <c r="J471" s="8"/>
      <c r="K471" s="3"/>
      <c r="L471" s="3"/>
      <c r="M471" s="3"/>
      <c r="N471" s="3"/>
      <c r="O471" s="3"/>
      <c r="P471" s="3"/>
      <c r="Q471" s="3"/>
      <c r="R471" s="3"/>
      <c r="S471" s="3"/>
      <c r="T471" s="3"/>
      <c r="U471" s="3"/>
      <c r="V471" s="3"/>
      <c r="W471" s="3"/>
      <c r="X471" s="3"/>
      <c r="Y471" s="3"/>
      <c r="Z471" s="3"/>
      <c r="AA471" s="3"/>
      <c r="AB471" s="3"/>
      <c r="AC471" s="3"/>
      <c r="AD471" s="3"/>
      <c r="AE471" s="3"/>
    </row>
    <row r="472">
      <c r="A472" s="13"/>
      <c r="B472" s="13"/>
      <c r="C472" s="13"/>
      <c r="D472" s="13"/>
      <c r="E472" s="13"/>
      <c r="F472" s="3"/>
      <c r="G472" s="3"/>
      <c r="H472" s="4"/>
      <c r="I472" s="8"/>
      <c r="J472" s="8"/>
      <c r="K472" s="3"/>
      <c r="L472" s="3"/>
      <c r="M472" s="3"/>
      <c r="N472" s="3"/>
      <c r="O472" s="3"/>
      <c r="P472" s="3"/>
      <c r="Q472" s="3"/>
      <c r="R472" s="3"/>
      <c r="S472" s="3"/>
      <c r="T472" s="3"/>
      <c r="U472" s="3"/>
      <c r="V472" s="3"/>
      <c r="W472" s="3"/>
      <c r="X472" s="3"/>
      <c r="Y472" s="3"/>
      <c r="Z472" s="3"/>
      <c r="AA472" s="3"/>
      <c r="AB472" s="3"/>
      <c r="AC472" s="3"/>
      <c r="AD472" s="3"/>
      <c r="AE472" s="3"/>
    </row>
    <row r="473">
      <c r="A473" s="13"/>
      <c r="B473" s="13"/>
      <c r="C473" s="13"/>
      <c r="D473" s="13"/>
      <c r="E473" s="13"/>
      <c r="F473" s="3"/>
      <c r="G473" s="3"/>
      <c r="H473" s="4"/>
      <c r="I473" s="8"/>
      <c r="J473" s="8"/>
      <c r="K473" s="3"/>
      <c r="L473" s="3"/>
      <c r="M473" s="3"/>
      <c r="N473" s="3"/>
      <c r="O473" s="3"/>
      <c r="P473" s="3"/>
      <c r="Q473" s="3"/>
      <c r="R473" s="3"/>
      <c r="S473" s="3"/>
      <c r="T473" s="3"/>
      <c r="U473" s="3"/>
      <c r="V473" s="3"/>
      <c r="W473" s="3"/>
      <c r="X473" s="3"/>
      <c r="Y473" s="3"/>
      <c r="Z473" s="3"/>
      <c r="AA473" s="3"/>
      <c r="AB473" s="3"/>
      <c r="AC473" s="3"/>
      <c r="AD473" s="3"/>
      <c r="AE473" s="3"/>
    </row>
    <row r="474">
      <c r="A474" s="13"/>
      <c r="B474" s="13"/>
      <c r="C474" s="13"/>
      <c r="D474" s="13"/>
      <c r="E474" s="13"/>
      <c r="F474" s="3"/>
      <c r="G474" s="3"/>
      <c r="H474" s="4"/>
      <c r="I474" s="8"/>
      <c r="J474" s="8"/>
      <c r="K474" s="3"/>
      <c r="L474" s="3"/>
      <c r="M474" s="3"/>
      <c r="N474" s="3"/>
      <c r="O474" s="3"/>
      <c r="P474" s="3"/>
      <c r="Q474" s="3"/>
      <c r="R474" s="3"/>
      <c r="S474" s="3"/>
      <c r="T474" s="3"/>
      <c r="U474" s="3"/>
      <c r="V474" s="3"/>
      <c r="W474" s="3"/>
      <c r="X474" s="3"/>
      <c r="Y474" s="3"/>
      <c r="Z474" s="3"/>
      <c r="AA474" s="3"/>
      <c r="AB474" s="3"/>
      <c r="AC474" s="3"/>
      <c r="AD474" s="3"/>
      <c r="AE474" s="3"/>
    </row>
    <row r="475">
      <c r="A475" s="13"/>
      <c r="B475" s="13"/>
      <c r="C475" s="13"/>
      <c r="D475" s="13"/>
      <c r="E475" s="13"/>
      <c r="F475" s="3"/>
      <c r="G475" s="3"/>
      <c r="H475" s="4"/>
      <c r="I475" s="8"/>
      <c r="J475" s="8"/>
      <c r="K475" s="3"/>
      <c r="L475" s="3"/>
      <c r="M475" s="3"/>
      <c r="N475" s="3"/>
      <c r="O475" s="3"/>
      <c r="P475" s="3"/>
      <c r="Q475" s="3"/>
      <c r="R475" s="3"/>
      <c r="S475" s="3"/>
      <c r="T475" s="3"/>
      <c r="U475" s="3"/>
      <c r="V475" s="3"/>
      <c r="W475" s="3"/>
      <c r="X475" s="3"/>
      <c r="Y475" s="3"/>
      <c r="Z475" s="3"/>
      <c r="AA475" s="3"/>
      <c r="AB475" s="3"/>
      <c r="AC475" s="3"/>
      <c r="AD475" s="3"/>
      <c r="AE475" s="3"/>
    </row>
    <row r="476">
      <c r="A476" s="13"/>
      <c r="B476" s="13"/>
      <c r="C476" s="13"/>
      <c r="D476" s="13"/>
      <c r="E476" s="13"/>
      <c r="F476" s="3"/>
      <c r="G476" s="3"/>
      <c r="H476" s="4"/>
      <c r="I476" s="8"/>
      <c r="J476" s="8"/>
      <c r="K476" s="3"/>
      <c r="L476" s="3"/>
      <c r="M476" s="3"/>
      <c r="N476" s="3"/>
      <c r="O476" s="3"/>
      <c r="P476" s="3"/>
      <c r="Q476" s="3"/>
      <c r="R476" s="3"/>
      <c r="S476" s="3"/>
      <c r="T476" s="3"/>
      <c r="U476" s="3"/>
      <c r="V476" s="3"/>
      <c r="W476" s="3"/>
      <c r="X476" s="3"/>
      <c r="Y476" s="3"/>
      <c r="Z476" s="3"/>
      <c r="AA476" s="3"/>
      <c r="AB476" s="3"/>
      <c r="AC476" s="3"/>
      <c r="AD476" s="3"/>
      <c r="AE476" s="3"/>
    </row>
    <row r="477">
      <c r="A477" s="13"/>
      <c r="B477" s="13"/>
      <c r="C477" s="13"/>
      <c r="D477" s="13"/>
      <c r="E477" s="13"/>
      <c r="F477" s="3"/>
      <c r="G477" s="3"/>
      <c r="H477" s="4"/>
      <c r="I477" s="8"/>
      <c r="J477" s="8"/>
      <c r="K477" s="3"/>
      <c r="L477" s="3"/>
      <c r="M477" s="3"/>
      <c r="N477" s="3"/>
      <c r="O477" s="3"/>
      <c r="P477" s="3"/>
      <c r="Q477" s="3"/>
      <c r="R477" s="3"/>
      <c r="S477" s="3"/>
      <c r="T477" s="3"/>
      <c r="U477" s="3"/>
      <c r="V477" s="3"/>
      <c r="W477" s="3"/>
      <c r="X477" s="3"/>
      <c r="Y477" s="3"/>
      <c r="Z477" s="3"/>
      <c r="AA477" s="3"/>
      <c r="AB477" s="3"/>
      <c r="AC477" s="3"/>
      <c r="AD477" s="3"/>
      <c r="AE477" s="3"/>
    </row>
    <row r="478">
      <c r="A478" s="13"/>
      <c r="B478" s="13"/>
      <c r="C478" s="13"/>
      <c r="D478" s="13"/>
      <c r="E478" s="13"/>
      <c r="F478" s="3"/>
      <c r="G478" s="3"/>
      <c r="H478" s="4"/>
      <c r="I478" s="8"/>
      <c r="J478" s="8"/>
      <c r="K478" s="3"/>
      <c r="L478" s="3"/>
      <c r="M478" s="3"/>
      <c r="N478" s="3"/>
      <c r="O478" s="3"/>
      <c r="P478" s="3"/>
      <c r="Q478" s="3"/>
      <c r="R478" s="3"/>
      <c r="S478" s="3"/>
      <c r="T478" s="3"/>
      <c r="U478" s="3"/>
      <c r="V478" s="3"/>
      <c r="W478" s="3"/>
      <c r="X478" s="3"/>
      <c r="Y478" s="3"/>
      <c r="Z478" s="3"/>
      <c r="AA478" s="3"/>
      <c r="AB478" s="3"/>
      <c r="AC478" s="3"/>
      <c r="AD478" s="3"/>
      <c r="AE478" s="3"/>
    </row>
    <row r="479">
      <c r="A479" s="13"/>
      <c r="B479" s="13"/>
      <c r="C479" s="13"/>
      <c r="D479" s="13"/>
      <c r="E479" s="13"/>
      <c r="F479" s="3"/>
      <c r="G479" s="3"/>
      <c r="H479" s="4"/>
      <c r="I479" s="8"/>
      <c r="J479" s="8"/>
      <c r="K479" s="3"/>
      <c r="L479" s="3"/>
      <c r="M479" s="3"/>
      <c r="N479" s="3"/>
      <c r="O479" s="3"/>
      <c r="P479" s="3"/>
      <c r="Q479" s="3"/>
      <c r="R479" s="3"/>
      <c r="S479" s="3"/>
      <c r="T479" s="3"/>
      <c r="U479" s="3"/>
      <c r="V479" s="3"/>
      <c r="W479" s="3"/>
      <c r="X479" s="3"/>
      <c r="Y479" s="3"/>
      <c r="Z479" s="3"/>
      <c r="AA479" s="3"/>
      <c r="AB479" s="3"/>
      <c r="AC479" s="3"/>
      <c r="AD479" s="3"/>
      <c r="AE479" s="3"/>
    </row>
    <row r="480">
      <c r="A480" s="13"/>
      <c r="B480" s="13"/>
      <c r="C480" s="13"/>
      <c r="D480" s="13"/>
      <c r="E480" s="13"/>
      <c r="F480" s="3"/>
      <c r="G480" s="3"/>
      <c r="H480" s="4"/>
      <c r="I480" s="8"/>
      <c r="J480" s="8"/>
      <c r="K480" s="3"/>
      <c r="L480" s="3"/>
      <c r="M480" s="3"/>
      <c r="N480" s="3"/>
      <c r="O480" s="3"/>
      <c r="P480" s="3"/>
      <c r="Q480" s="3"/>
      <c r="R480" s="3"/>
      <c r="S480" s="3"/>
      <c r="T480" s="3"/>
      <c r="U480" s="3"/>
      <c r="V480" s="3"/>
      <c r="W480" s="3"/>
      <c r="X480" s="3"/>
      <c r="Y480" s="3"/>
      <c r="Z480" s="3"/>
      <c r="AA480" s="3"/>
      <c r="AB480" s="3"/>
      <c r="AC480" s="3"/>
      <c r="AD480" s="3"/>
      <c r="AE480" s="3"/>
    </row>
    <row r="481">
      <c r="A481" s="13"/>
      <c r="B481" s="13"/>
      <c r="C481" s="13"/>
      <c r="D481" s="13"/>
      <c r="E481" s="13"/>
      <c r="F481" s="3"/>
      <c r="G481" s="3"/>
      <c r="H481" s="4"/>
      <c r="I481" s="8"/>
      <c r="J481" s="8"/>
      <c r="K481" s="3"/>
      <c r="L481" s="3"/>
      <c r="M481" s="3"/>
      <c r="N481" s="3"/>
      <c r="O481" s="3"/>
      <c r="P481" s="3"/>
      <c r="Q481" s="3"/>
      <c r="R481" s="3"/>
      <c r="S481" s="3"/>
      <c r="T481" s="3"/>
      <c r="U481" s="3"/>
      <c r="V481" s="3"/>
      <c r="W481" s="3"/>
      <c r="X481" s="3"/>
      <c r="Y481" s="3"/>
      <c r="Z481" s="3"/>
      <c r="AA481" s="3"/>
      <c r="AB481" s="3"/>
      <c r="AC481" s="3"/>
      <c r="AD481" s="3"/>
      <c r="AE481" s="3"/>
    </row>
    <row r="482">
      <c r="A482" s="13"/>
      <c r="B482" s="13"/>
      <c r="C482" s="13"/>
      <c r="D482" s="13"/>
      <c r="E482" s="13"/>
      <c r="F482" s="3"/>
      <c r="G482" s="3"/>
      <c r="H482" s="4"/>
      <c r="I482" s="8"/>
      <c r="J482" s="8"/>
      <c r="K482" s="3"/>
      <c r="L482" s="3"/>
      <c r="M482" s="3"/>
      <c r="N482" s="3"/>
      <c r="O482" s="3"/>
      <c r="P482" s="3"/>
      <c r="Q482" s="3"/>
      <c r="R482" s="3"/>
      <c r="S482" s="3"/>
      <c r="T482" s="3"/>
      <c r="U482" s="3"/>
      <c r="V482" s="3"/>
      <c r="W482" s="3"/>
      <c r="X482" s="3"/>
      <c r="Y482" s="3"/>
      <c r="Z482" s="3"/>
      <c r="AA482" s="3"/>
      <c r="AB482" s="3"/>
      <c r="AC482" s="3"/>
      <c r="AD482" s="3"/>
      <c r="AE482" s="3"/>
    </row>
    <row r="483">
      <c r="A483" s="13"/>
      <c r="B483" s="13"/>
      <c r="C483" s="13"/>
      <c r="D483" s="13"/>
      <c r="E483" s="13"/>
      <c r="F483" s="3"/>
      <c r="G483" s="3"/>
      <c r="H483" s="4"/>
      <c r="I483" s="8"/>
      <c r="J483" s="8"/>
      <c r="K483" s="3"/>
      <c r="L483" s="3"/>
      <c r="M483" s="3"/>
      <c r="N483" s="3"/>
      <c r="O483" s="3"/>
      <c r="P483" s="3"/>
      <c r="Q483" s="3"/>
      <c r="R483" s="3"/>
      <c r="S483" s="3"/>
      <c r="T483" s="3"/>
      <c r="U483" s="3"/>
      <c r="V483" s="3"/>
      <c r="W483" s="3"/>
      <c r="X483" s="3"/>
      <c r="Y483" s="3"/>
      <c r="Z483" s="3"/>
      <c r="AA483" s="3"/>
      <c r="AB483" s="3"/>
      <c r="AC483" s="3"/>
      <c r="AD483" s="3"/>
      <c r="AE483" s="3"/>
    </row>
    <row r="484">
      <c r="A484" s="13"/>
      <c r="B484" s="13"/>
      <c r="C484" s="13"/>
      <c r="D484" s="13"/>
      <c r="E484" s="13"/>
      <c r="F484" s="3"/>
      <c r="G484" s="3"/>
      <c r="H484" s="4"/>
      <c r="I484" s="8"/>
      <c r="J484" s="8"/>
      <c r="K484" s="3"/>
      <c r="L484" s="3"/>
      <c r="M484" s="3"/>
      <c r="N484" s="3"/>
      <c r="O484" s="3"/>
      <c r="P484" s="3"/>
      <c r="Q484" s="3"/>
      <c r="R484" s="3"/>
      <c r="S484" s="3"/>
      <c r="T484" s="3"/>
      <c r="U484" s="3"/>
      <c r="V484" s="3"/>
      <c r="W484" s="3"/>
      <c r="X484" s="3"/>
      <c r="Y484" s="3"/>
      <c r="Z484" s="3"/>
      <c r="AA484" s="3"/>
      <c r="AB484" s="3"/>
      <c r="AC484" s="3"/>
      <c r="AD484" s="3"/>
      <c r="AE484" s="3"/>
    </row>
    <row r="485">
      <c r="A485" s="13"/>
      <c r="B485" s="13"/>
      <c r="C485" s="13"/>
      <c r="D485" s="13"/>
      <c r="E485" s="13"/>
      <c r="F485" s="3"/>
      <c r="G485" s="3"/>
      <c r="H485" s="4"/>
      <c r="I485" s="8"/>
      <c r="J485" s="8"/>
      <c r="K485" s="3"/>
      <c r="L485" s="3"/>
      <c r="M485" s="3"/>
      <c r="N485" s="3"/>
      <c r="O485" s="3"/>
      <c r="P485" s="3"/>
      <c r="Q485" s="3"/>
      <c r="R485" s="3"/>
      <c r="S485" s="3"/>
      <c r="T485" s="3"/>
      <c r="U485" s="3"/>
      <c r="V485" s="3"/>
      <c r="W485" s="3"/>
      <c r="X485" s="3"/>
      <c r="Y485" s="3"/>
      <c r="Z485" s="3"/>
      <c r="AA485" s="3"/>
      <c r="AB485" s="3"/>
      <c r="AC485" s="3"/>
      <c r="AD485" s="3"/>
      <c r="AE485" s="3"/>
    </row>
    <row r="486">
      <c r="A486" s="13"/>
      <c r="B486" s="13"/>
      <c r="C486" s="13"/>
      <c r="D486" s="13"/>
      <c r="E486" s="13"/>
      <c r="F486" s="3"/>
      <c r="G486" s="3"/>
      <c r="H486" s="4"/>
      <c r="I486" s="8"/>
      <c r="J486" s="8"/>
      <c r="K486" s="3"/>
      <c r="L486" s="3"/>
      <c r="M486" s="3"/>
      <c r="N486" s="3"/>
      <c r="O486" s="3"/>
      <c r="P486" s="3"/>
      <c r="Q486" s="3"/>
      <c r="R486" s="3"/>
      <c r="S486" s="3"/>
      <c r="T486" s="3"/>
      <c r="U486" s="3"/>
      <c r="V486" s="3"/>
      <c r="W486" s="3"/>
      <c r="X486" s="3"/>
      <c r="Y486" s="3"/>
      <c r="Z486" s="3"/>
      <c r="AA486" s="3"/>
      <c r="AB486" s="3"/>
      <c r="AC486" s="3"/>
      <c r="AD486" s="3"/>
      <c r="AE486" s="3"/>
    </row>
    <row r="487">
      <c r="A487" s="13"/>
      <c r="B487" s="13"/>
      <c r="C487" s="13"/>
      <c r="D487" s="13"/>
      <c r="E487" s="13"/>
      <c r="F487" s="3"/>
      <c r="G487" s="3"/>
      <c r="H487" s="4"/>
      <c r="I487" s="8"/>
      <c r="J487" s="8"/>
      <c r="K487" s="3"/>
      <c r="L487" s="3"/>
      <c r="M487" s="3"/>
      <c r="N487" s="3"/>
      <c r="O487" s="3"/>
      <c r="P487" s="3"/>
      <c r="Q487" s="3"/>
      <c r="R487" s="3"/>
      <c r="S487" s="3"/>
      <c r="T487" s="3"/>
      <c r="U487" s="3"/>
      <c r="V487" s="3"/>
      <c r="W487" s="3"/>
      <c r="X487" s="3"/>
      <c r="Y487" s="3"/>
      <c r="Z487" s="3"/>
      <c r="AA487" s="3"/>
      <c r="AB487" s="3"/>
      <c r="AC487" s="3"/>
      <c r="AD487" s="3"/>
      <c r="AE487" s="3"/>
    </row>
    <row r="488">
      <c r="A488" s="13"/>
      <c r="B488" s="13"/>
      <c r="C488" s="13"/>
      <c r="D488" s="13"/>
      <c r="E488" s="13"/>
      <c r="F488" s="3"/>
      <c r="G488" s="3"/>
      <c r="H488" s="4"/>
      <c r="I488" s="8"/>
      <c r="J488" s="8"/>
      <c r="K488" s="3"/>
      <c r="L488" s="3"/>
      <c r="M488" s="3"/>
      <c r="N488" s="3"/>
      <c r="O488" s="3"/>
      <c r="P488" s="3"/>
      <c r="Q488" s="3"/>
      <c r="R488" s="3"/>
      <c r="S488" s="3"/>
      <c r="T488" s="3"/>
      <c r="U488" s="3"/>
      <c r="V488" s="3"/>
      <c r="W488" s="3"/>
      <c r="X488" s="3"/>
      <c r="Y488" s="3"/>
      <c r="Z488" s="3"/>
      <c r="AA488" s="3"/>
      <c r="AB488" s="3"/>
      <c r="AC488" s="3"/>
      <c r="AD488" s="3"/>
      <c r="AE488" s="3"/>
    </row>
    <row r="489">
      <c r="A489" s="13"/>
      <c r="B489" s="13"/>
      <c r="C489" s="13"/>
      <c r="D489" s="13"/>
      <c r="E489" s="13"/>
      <c r="F489" s="3"/>
      <c r="G489" s="3"/>
      <c r="H489" s="4"/>
      <c r="I489" s="8"/>
      <c r="J489" s="8"/>
      <c r="K489" s="3"/>
      <c r="L489" s="3"/>
      <c r="M489" s="3"/>
      <c r="N489" s="3"/>
      <c r="O489" s="3"/>
      <c r="P489" s="3"/>
      <c r="Q489" s="3"/>
      <c r="R489" s="3"/>
      <c r="S489" s="3"/>
      <c r="T489" s="3"/>
      <c r="U489" s="3"/>
      <c r="V489" s="3"/>
      <c r="W489" s="3"/>
      <c r="X489" s="3"/>
      <c r="Y489" s="3"/>
      <c r="Z489" s="3"/>
      <c r="AA489" s="3"/>
      <c r="AB489" s="3"/>
      <c r="AC489" s="3"/>
      <c r="AD489" s="3"/>
      <c r="AE489" s="3"/>
    </row>
    <row r="490">
      <c r="A490" s="13"/>
      <c r="B490" s="13"/>
      <c r="C490" s="13"/>
      <c r="D490" s="13"/>
      <c r="E490" s="13"/>
      <c r="F490" s="3"/>
      <c r="G490" s="3"/>
      <c r="H490" s="4"/>
      <c r="I490" s="8"/>
      <c r="J490" s="8"/>
      <c r="K490" s="3"/>
      <c r="L490" s="3"/>
      <c r="M490" s="3"/>
      <c r="N490" s="3"/>
      <c r="O490" s="3"/>
      <c r="P490" s="3"/>
      <c r="Q490" s="3"/>
      <c r="R490" s="3"/>
      <c r="S490" s="3"/>
      <c r="T490" s="3"/>
      <c r="U490" s="3"/>
      <c r="V490" s="3"/>
      <c r="W490" s="3"/>
      <c r="X490" s="3"/>
      <c r="Y490" s="3"/>
      <c r="Z490" s="3"/>
      <c r="AA490" s="3"/>
      <c r="AB490" s="3"/>
      <c r="AC490" s="3"/>
      <c r="AD490" s="3"/>
      <c r="AE490" s="3"/>
    </row>
    <row r="491">
      <c r="A491" s="13"/>
      <c r="B491" s="13"/>
      <c r="C491" s="13"/>
      <c r="D491" s="13"/>
      <c r="E491" s="13"/>
      <c r="F491" s="3"/>
      <c r="G491" s="3"/>
      <c r="H491" s="4"/>
      <c r="I491" s="8"/>
      <c r="J491" s="8"/>
      <c r="K491" s="3"/>
      <c r="L491" s="3"/>
      <c r="M491" s="3"/>
      <c r="N491" s="3"/>
      <c r="O491" s="3"/>
      <c r="P491" s="3"/>
      <c r="Q491" s="3"/>
      <c r="R491" s="3"/>
      <c r="S491" s="3"/>
      <c r="T491" s="3"/>
      <c r="U491" s="3"/>
      <c r="V491" s="3"/>
      <c r="W491" s="3"/>
      <c r="X491" s="3"/>
      <c r="Y491" s="3"/>
      <c r="Z491" s="3"/>
      <c r="AA491" s="3"/>
      <c r="AB491" s="3"/>
      <c r="AC491" s="3"/>
      <c r="AD491" s="3"/>
      <c r="AE491" s="3"/>
    </row>
    <row r="492">
      <c r="A492" s="13"/>
      <c r="B492" s="13"/>
      <c r="C492" s="13"/>
      <c r="D492" s="13"/>
      <c r="E492" s="13"/>
      <c r="F492" s="3"/>
      <c r="G492" s="3"/>
      <c r="H492" s="4"/>
      <c r="I492" s="8"/>
      <c r="J492" s="8"/>
      <c r="K492" s="3"/>
      <c r="L492" s="3"/>
      <c r="M492" s="3"/>
      <c r="N492" s="3"/>
      <c r="O492" s="3"/>
      <c r="P492" s="3"/>
      <c r="Q492" s="3"/>
      <c r="R492" s="3"/>
      <c r="S492" s="3"/>
      <c r="T492" s="3"/>
      <c r="U492" s="3"/>
      <c r="V492" s="3"/>
      <c r="W492" s="3"/>
      <c r="X492" s="3"/>
      <c r="Y492" s="3"/>
      <c r="Z492" s="3"/>
      <c r="AA492" s="3"/>
      <c r="AB492" s="3"/>
      <c r="AC492" s="3"/>
      <c r="AD492" s="3"/>
      <c r="AE492" s="3"/>
    </row>
    <row r="493">
      <c r="A493" s="13"/>
      <c r="B493" s="13"/>
      <c r="C493" s="13"/>
      <c r="D493" s="13"/>
      <c r="E493" s="13"/>
      <c r="F493" s="3"/>
      <c r="G493" s="3"/>
      <c r="H493" s="4"/>
      <c r="I493" s="8"/>
      <c r="J493" s="8"/>
      <c r="K493" s="3"/>
      <c r="L493" s="3"/>
      <c r="M493" s="3"/>
      <c r="N493" s="3"/>
      <c r="O493" s="3"/>
      <c r="P493" s="3"/>
      <c r="Q493" s="3"/>
      <c r="R493" s="3"/>
      <c r="S493" s="3"/>
      <c r="T493" s="3"/>
      <c r="U493" s="3"/>
      <c r="V493" s="3"/>
      <c r="W493" s="3"/>
      <c r="X493" s="3"/>
      <c r="Y493" s="3"/>
      <c r="Z493" s="3"/>
      <c r="AA493" s="3"/>
      <c r="AB493" s="3"/>
      <c r="AC493" s="3"/>
      <c r="AD493" s="3"/>
      <c r="AE493" s="3"/>
    </row>
    <row r="494">
      <c r="A494" s="13"/>
      <c r="B494" s="13"/>
      <c r="C494" s="13"/>
      <c r="D494" s="13"/>
      <c r="E494" s="13"/>
      <c r="F494" s="3"/>
      <c r="G494" s="3"/>
      <c r="H494" s="4"/>
      <c r="I494" s="8"/>
      <c r="J494" s="8"/>
      <c r="K494" s="3"/>
      <c r="L494" s="3"/>
      <c r="M494" s="3"/>
      <c r="N494" s="3"/>
      <c r="O494" s="3"/>
      <c r="P494" s="3"/>
      <c r="Q494" s="3"/>
      <c r="R494" s="3"/>
      <c r="S494" s="3"/>
      <c r="T494" s="3"/>
      <c r="U494" s="3"/>
      <c r="V494" s="3"/>
      <c r="W494" s="3"/>
      <c r="X494" s="3"/>
      <c r="Y494" s="3"/>
      <c r="Z494" s="3"/>
      <c r="AA494" s="3"/>
      <c r="AB494" s="3"/>
      <c r="AC494" s="3"/>
      <c r="AD494" s="3"/>
      <c r="AE494" s="3"/>
    </row>
    <row r="495">
      <c r="A495" s="13"/>
      <c r="B495" s="13"/>
      <c r="C495" s="13"/>
      <c r="D495" s="13"/>
      <c r="E495" s="13"/>
      <c r="F495" s="3"/>
      <c r="G495" s="3"/>
      <c r="H495" s="4"/>
      <c r="I495" s="8"/>
      <c r="J495" s="8"/>
      <c r="K495" s="3"/>
      <c r="L495" s="3"/>
      <c r="M495" s="3"/>
      <c r="N495" s="3"/>
      <c r="O495" s="3"/>
      <c r="P495" s="3"/>
      <c r="Q495" s="3"/>
      <c r="R495" s="3"/>
      <c r="S495" s="3"/>
      <c r="T495" s="3"/>
      <c r="U495" s="3"/>
      <c r="V495" s="3"/>
      <c r="W495" s="3"/>
      <c r="X495" s="3"/>
      <c r="Y495" s="3"/>
      <c r="Z495" s="3"/>
      <c r="AA495" s="3"/>
      <c r="AB495" s="3"/>
      <c r="AC495" s="3"/>
      <c r="AD495" s="3"/>
      <c r="AE495" s="3"/>
    </row>
    <row r="496">
      <c r="A496" s="13"/>
      <c r="B496" s="13"/>
      <c r="C496" s="13"/>
      <c r="D496" s="13"/>
      <c r="E496" s="13"/>
      <c r="F496" s="3"/>
      <c r="G496" s="3"/>
      <c r="H496" s="4"/>
      <c r="I496" s="8"/>
      <c r="J496" s="8"/>
      <c r="K496" s="3"/>
      <c r="L496" s="3"/>
      <c r="M496" s="3"/>
      <c r="N496" s="3"/>
      <c r="O496" s="3"/>
      <c r="P496" s="3"/>
      <c r="Q496" s="3"/>
      <c r="R496" s="3"/>
      <c r="S496" s="3"/>
      <c r="T496" s="3"/>
      <c r="U496" s="3"/>
      <c r="V496" s="3"/>
      <c r="W496" s="3"/>
      <c r="X496" s="3"/>
      <c r="Y496" s="3"/>
      <c r="Z496" s="3"/>
      <c r="AA496" s="3"/>
      <c r="AB496" s="3"/>
      <c r="AC496" s="3"/>
      <c r="AD496" s="3"/>
      <c r="AE496" s="3"/>
    </row>
    <row r="497">
      <c r="A497" s="13"/>
      <c r="B497" s="13"/>
      <c r="C497" s="13"/>
      <c r="D497" s="13"/>
      <c r="E497" s="13"/>
      <c r="F497" s="3"/>
      <c r="G497" s="3"/>
      <c r="H497" s="4"/>
      <c r="I497" s="8"/>
      <c r="J497" s="8"/>
      <c r="K497" s="3"/>
      <c r="L497" s="3"/>
      <c r="M497" s="3"/>
      <c r="N497" s="3"/>
      <c r="O497" s="3"/>
      <c r="P497" s="3"/>
      <c r="Q497" s="3"/>
      <c r="R497" s="3"/>
      <c r="S497" s="3"/>
      <c r="T497" s="3"/>
      <c r="U497" s="3"/>
      <c r="V497" s="3"/>
      <c r="W497" s="3"/>
      <c r="X497" s="3"/>
      <c r="Y497" s="3"/>
      <c r="Z497" s="3"/>
      <c r="AA497" s="3"/>
      <c r="AB497" s="3"/>
      <c r="AC497" s="3"/>
      <c r="AD497" s="3"/>
      <c r="AE497" s="3"/>
    </row>
    <row r="498">
      <c r="A498" s="13"/>
      <c r="B498" s="13"/>
      <c r="C498" s="13"/>
      <c r="D498" s="13"/>
      <c r="E498" s="13"/>
      <c r="F498" s="3"/>
      <c r="G498" s="3"/>
      <c r="H498" s="4"/>
      <c r="I498" s="8"/>
      <c r="J498" s="8"/>
      <c r="K498" s="3"/>
      <c r="L498" s="3"/>
      <c r="M498" s="3"/>
      <c r="N498" s="3"/>
      <c r="O498" s="3"/>
      <c r="P498" s="3"/>
      <c r="Q498" s="3"/>
      <c r="R498" s="3"/>
      <c r="S498" s="3"/>
      <c r="T498" s="3"/>
      <c r="U498" s="3"/>
      <c r="V498" s="3"/>
      <c r="W498" s="3"/>
      <c r="X498" s="3"/>
      <c r="Y498" s="3"/>
      <c r="Z498" s="3"/>
      <c r="AA498" s="3"/>
      <c r="AB498" s="3"/>
      <c r="AC498" s="3"/>
      <c r="AD498" s="3"/>
      <c r="AE498" s="3"/>
    </row>
    <row r="499">
      <c r="A499" s="13"/>
      <c r="B499" s="13"/>
      <c r="C499" s="13"/>
      <c r="D499" s="13"/>
      <c r="E499" s="13"/>
      <c r="F499" s="3"/>
      <c r="G499" s="3"/>
      <c r="H499" s="4"/>
      <c r="I499" s="8"/>
      <c r="J499" s="8"/>
      <c r="K499" s="3"/>
      <c r="L499" s="3"/>
      <c r="M499" s="3"/>
      <c r="N499" s="3"/>
      <c r="O499" s="3"/>
      <c r="P499" s="3"/>
      <c r="Q499" s="3"/>
      <c r="R499" s="3"/>
      <c r="S499" s="3"/>
      <c r="T499" s="3"/>
      <c r="U499" s="3"/>
      <c r="V499" s="3"/>
      <c r="W499" s="3"/>
      <c r="X499" s="3"/>
      <c r="Y499" s="3"/>
      <c r="Z499" s="3"/>
      <c r="AA499" s="3"/>
      <c r="AB499" s="3"/>
      <c r="AC499" s="3"/>
      <c r="AD499" s="3"/>
      <c r="AE499" s="3"/>
    </row>
    <row r="500">
      <c r="A500" s="13"/>
      <c r="B500" s="13"/>
      <c r="C500" s="13"/>
      <c r="D500" s="13"/>
      <c r="E500" s="13"/>
      <c r="F500" s="3"/>
      <c r="G500" s="3"/>
      <c r="H500" s="4"/>
      <c r="I500" s="8"/>
      <c r="J500" s="8"/>
      <c r="K500" s="3"/>
      <c r="L500" s="3"/>
      <c r="M500" s="3"/>
      <c r="N500" s="3"/>
      <c r="O500" s="3"/>
      <c r="P500" s="3"/>
      <c r="Q500" s="3"/>
      <c r="R500" s="3"/>
      <c r="S500" s="3"/>
      <c r="T500" s="3"/>
      <c r="U500" s="3"/>
      <c r="V500" s="3"/>
      <c r="W500" s="3"/>
      <c r="X500" s="3"/>
      <c r="Y500" s="3"/>
      <c r="Z500" s="3"/>
      <c r="AA500" s="3"/>
      <c r="AB500" s="3"/>
      <c r="AC500" s="3"/>
      <c r="AD500" s="3"/>
      <c r="AE500" s="3"/>
    </row>
    <row r="501">
      <c r="A501" s="3"/>
      <c r="B501" s="3"/>
      <c r="C501" s="3"/>
      <c r="D501" s="3"/>
      <c r="E501" s="3"/>
      <c r="F501" s="3"/>
      <c r="G501" s="3"/>
      <c r="H501" s="4"/>
      <c r="I501" s="8"/>
      <c r="J501" s="8"/>
      <c r="K501" s="3"/>
      <c r="L501" s="3"/>
      <c r="M501" s="3"/>
      <c r="N501" s="3"/>
      <c r="O501" s="3"/>
      <c r="P501" s="3"/>
      <c r="Q501" s="3"/>
      <c r="R501" s="3"/>
      <c r="S501" s="3"/>
      <c r="T501" s="3"/>
      <c r="U501" s="3"/>
      <c r="V501" s="3"/>
      <c r="W501" s="3"/>
      <c r="X501" s="3"/>
      <c r="Y501" s="3"/>
      <c r="Z501" s="3"/>
      <c r="AA501" s="3"/>
      <c r="AB501" s="3"/>
      <c r="AC501" s="3"/>
      <c r="AD501" s="3"/>
      <c r="AE501" s="3"/>
    </row>
    <row r="502">
      <c r="A502" s="3"/>
      <c r="B502" s="3"/>
      <c r="C502" s="3"/>
      <c r="D502" s="3"/>
      <c r="E502" s="3"/>
      <c r="F502" s="3"/>
      <c r="G502" s="3"/>
      <c r="H502" s="4"/>
      <c r="I502" s="8"/>
      <c r="J502" s="8"/>
      <c r="K502" s="3"/>
      <c r="L502" s="3"/>
      <c r="M502" s="3"/>
      <c r="N502" s="3"/>
      <c r="O502" s="3"/>
      <c r="P502" s="3"/>
      <c r="Q502" s="3"/>
      <c r="R502" s="3"/>
      <c r="S502" s="3"/>
      <c r="T502" s="3"/>
      <c r="U502" s="3"/>
      <c r="V502" s="3"/>
      <c r="W502" s="3"/>
      <c r="X502" s="3"/>
      <c r="Y502" s="3"/>
      <c r="Z502" s="3"/>
      <c r="AA502" s="3"/>
      <c r="AB502" s="3"/>
      <c r="AC502" s="3"/>
      <c r="AD502" s="3"/>
      <c r="AE502" s="3"/>
    </row>
    <row r="503">
      <c r="A503" s="3"/>
      <c r="B503" s="3"/>
      <c r="C503" s="3"/>
      <c r="D503" s="3"/>
      <c r="E503" s="3"/>
      <c r="F503" s="3"/>
      <c r="G503" s="3"/>
      <c r="H503" s="4"/>
      <c r="I503" s="8"/>
      <c r="J503" s="8"/>
      <c r="K503" s="3"/>
      <c r="L503" s="3"/>
      <c r="M503" s="3"/>
      <c r="N503" s="3"/>
      <c r="O503" s="3"/>
      <c r="P503" s="3"/>
      <c r="Q503" s="3"/>
      <c r="R503" s="3"/>
      <c r="S503" s="3"/>
      <c r="T503" s="3"/>
      <c r="U503" s="3"/>
      <c r="V503" s="3"/>
      <c r="W503" s="3"/>
      <c r="X503" s="3"/>
      <c r="Y503" s="3"/>
      <c r="Z503" s="3"/>
      <c r="AA503" s="3"/>
      <c r="AB503" s="3"/>
      <c r="AC503" s="3"/>
      <c r="AD503" s="3"/>
      <c r="AE503" s="3"/>
    </row>
    <row r="504">
      <c r="A504" s="3"/>
      <c r="B504" s="3"/>
      <c r="C504" s="3"/>
      <c r="D504" s="3"/>
      <c r="E504" s="3"/>
      <c r="F504" s="3"/>
      <c r="G504" s="3"/>
      <c r="H504" s="4"/>
      <c r="I504" s="8"/>
      <c r="J504" s="8"/>
      <c r="K504" s="3"/>
      <c r="L504" s="3"/>
      <c r="M504" s="3"/>
      <c r="N504" s="3"/>
      <c r="O504" s="3"/>
      <c r="P504" s="3"/>
      <c r="Q504" s="3"/>
      <c r="R504" s="3"/>
      <c r="S504" s="3"/>
      <c r="T504" s="3"/>
      <c r="U504" s="3"/>
      <c r="V504" s="3"/>
      <c r="W504" s="3"/>
      <c r="X504" s="3"/>
      <c r="Y504" s="3"/>
      <c r="Z504" s="3"/>
      <c r="AA504" s="3"/>
      <c r="AB504" s="3"/>
      <c r="AC504" s="3"/>
      <c r="AD504" s="3"/>
      <c r="AE504" s="3"/>
    </row>
    <row r="505">
      <c r="A505" s="3"/>
      <c r="B505" s="3"/>
      <c r="C505" s="3"/>
      <c r="D505" s="3"/>
      <c r="E505" s="3"/>
      <c r="F505" s="3"/>
      <c r="G505" s="3"/>
      <c r="H505" s="4"/>
      <c r="I505" s="8"/>
      <c r="J505" s="8"/>
      <c r="K505" s="3"/>
      <c r="L505" s="3"/>
      <c r="M505" s="3"/>
      <c r="N505" s="3"/>
      <c r="O505" s="3"/>
      <c r="P505" s="3"/>
      <c r="Q505" s="3"/>
      <c r="R505" s="3"/>
      <c r="S505" s="3"/>
      <c r="T505" s="3"/>
      <c r="U505" s="3"/>
      <c r="V505" s="3"/>
      <c r="W505" s="3"/>
      <c r="X505" s="3"/>
      <c r="Y505" s="3"/>
      <c r="Z505" s="3"/>
      <c r="AA505" s="3"/>
      <c r="AB505" s="3"/>
      <c r="AC505" s="3"/>
      <c r="AD505" s="3"/>
      <c r="AE505" s="3"/>
    </row>
    <row r="506">
      <c r="A506" s="3"/>
      <c r="B506" s="3"/>
      <c r="C506" s="3"/>
      <c r="D506" s="3"/>
      <c r="E506" s="3"/>
      <c r="F506" s="3"/>
      <c r="G506" s="3"/>
      <c r="H506" s="4"/>
      <c r="I506" s="8"/>
      <c r="J506" s="8"/>
      <c r="K506" s="3"/>
      <c r="L506" s="3"/>
      <c r="M506" s="3"/>
      <c r="N506" s="3"/>
      <c r="O506" s="3"/>
      <c r="P506" s="3"/>
      <c r="Q506" s="3"/>
      <c r="R506" s="3"/>
      <c r="S506" s="3"/>
      <c r="T506" s="3"/>
      <c r="U506" s="3"/>
      <c r="V506" s="3"/>
      <c r="W506" s="3"/>
      <c r="X506" s="3"/>
      <c r="Y506" s="3"/>
      <c r="Z506" s="3"/>
      <c r="AA506" s="3"/>
      <c r="AB506" s="3"/>
      <c r="AC506" s="3"/>
      <c r="AD506" s="3"/>
      <c r="AE506" s="3"/>
    </row>
    <row r="507">
      <c r="A507" s="3"/>
      <c r="B507" s="3"/>
      <c r="C507" s="3"/>
      <c r="D507" s="3"/>
      <c r="E507" s="3"/>
      <c r="F507" s="3"/>
      <c r="G507" s="3"/>
      <c r="H507" s="4"/>
      <c r="I507" s="8"/>
      <c r="J507" s="8"/>
      <c r="K507" s="3"/>
      <c r="L507" s="3"/>
      <c r="M507" s="3"/>
      <c r="N507" s="3"/>
      <c r="O507" s="3"/>
      <c r="P507" s="3"/>
      <c r="Q507" s="3"/>
      <c r="R507" s="3"/>
      <c r="S507" s="3"/>
      <c r="T507" s="3"/>
      <c r="U507" s="3"/>
      <c r="V507" s="3"/>
      <c r="W507" s="3"/>
      <c r="X507" s="3"/>
      <c r="Y507" s="3"/>
      <c r="Z507" s="3"/>
      <c r="AA507" s="3"/>
      <c r="AB507" s="3"/>
      <c r="AC507" s="3"/>
      <c r="AD507" s="3"/>
      <c r="AE507" s="3"/>
    </row>
    <row r="508">
      <c r="A508" s="3"/>
      <c r="B508" s="3"/>
      <c r="C508" s="3"/>
      <c r="D508" s="3"/>
      <c r="E508" s="3"/>
      <c r="F508" s="3"/>
      <c r="G508" s="3"/>
      <c r="H508" s="4"/>
      <c r="I508" s="8"/>
      <c r="J508" s="8"/>
      <c r="K508" s="3"/>
      <c r="L508" s="3"/>
      <c r="M508" s="3"/>
      <c r="N508" s="3"/>
      <c r="O508" s="3"/>
      <c r="P508" s="3"/>
      <c r="Q508" s="3"/>
      <c r="R508" s="3"/>
      <c r="S508" s="3"/>
      <c r="T508" s="3"/>
      <c r="U508" s="3"/>
      <c r="V508" s="3"/>
      <c r="W508" s="3"/>
      <c r="X508" s="3"/>
      <c r="Y508" s="3"/>
      <c r="Z508" s="3"/>
      <c r="AA508" s="3"/>
      <c r="AB508" s="3"/>
      <c r="AC508" s="3"/>
      <c r="AD508" s="3"/>
      <c r="AE508" s="3"/>
    </row>
    <row r="509">
      <c r="A509" s="3"/>
      <c r="B509" s="3"/>
      <c r="C509" s="3"/>
      <c r="D509" s="3"/>
      <c r="E509" s="3"/>
      <c r="F509" s="3"/>
      <c r="G509" s="3"/>
      <c r="H509" s="4"/>
      <c r="I509" s="8"/>
      <c r="J509" s="8"/>
      <c r="K509" s="3"/>
      <c r="L509" s="3"/>
      <c r="M509" s="3"/>
      <c r="N509" s="3"/>
      <c r="O509" s="3"/>
      <c r="P509" s="3"/>
      <c r="Q509" s="3"/>
      <c r="R509" s="3"/>
      <c r="S509" s="3"/>
      <c r="T509" s="3"/>
      <c r="U509" s="3"/>
      <c r="V509" s="3"/>
      <c r="W509" s="3"/>
      <c r="X509" s="3"/>
      <c r="Y509" s="3"/>
      <c r="Z509" s="3"/>
      <c r="AA509" s="3"/>
      <c r="AB509" s="3"/>
      <c r="AC509" s="3"/>
      <c r="AD509" s="3"/>
      <c r="AE509" s="3"/>
    </row>
    <row r="510">
      <c r="A510" s="3"/>
      <c r="B510" s="3"/>
      <c r="C510" s="3"/>
      <c r="D510" s="3"/>
      <c r="E510" s="3"/>
      <c r="F510" s="3"/>
      <c r="G510" s="3"/>
      <c r="H510" s="4"/>
      <c r="I510" s="8"/>
      <c r="J510" s="8"/>
      <c r="K510" s="3"/>
      <c r="L510" s="3"/>
      <c r="M510" s="3"/>
      <c r="N510" s="3"/>
      <c r="O510" s="3"/>
      <c r="P510" s="3"/>
      <c r="Q510" s="3"/>
      <c r="R510" s="3"/>
      <c r="S510" s="3"/>
      <c r="T510" s="3"/>
      <c r="U510" s="3"/>
      <c r="V510" s="3"/>
      <c r="W510" s="3"/>
      <c r="X510" s="3"/>
      <c r="Y510" s="3"/>
      <c r="Z510" s="3"/>
      <c r="AA510" s="3"/>
      <c r="AB510" s="3"/>
      <c r="AC510" s="3"/>
      <c r="AD510" s="3"/>
      <c r="AE510" s="3"/>
    </row>
    <row r="511">
      <c r="A511" s="3"/>
      <c r="B511" s="3"/>
      <c r="C511" s="3"/>
      <c r="D511" s="3"/>
      <c r="E511" s="3"/>
      <c r="F511" s="3"/>
      <c r="G511" s="3"/>
      <c r="H511" s="4"/>
      <c r="I511" s="8"/>
      <c r="J511" s="8"/>
      <c r="K511" s="3"/>
      <c r="L511" s="3"/>
      <c r="M511" s="3"/>
      <c r="N511" s="3"/>
      <c r="O511" s="3"/>
      <c r="P511" s="3"/>
      <c r="Q511" s="3"/>
      <c r="R511" s="3"/>
      <c r="S511" s="3"/>
      <c r="T511" s="3"/>
      <c r="U511" s="3"/>
      <c r="V511" s="3"/>
      <c r="W511" s="3"/>
      <c r="X511" s="3"/>
      <c r="Y511" s="3"/>
      <c r="Z511" s="3"/>
      <c r="AA511" s="3"/>
      <c r="AB511" s="3"/>
      <c r="AC511" s="3"/>
      <c r="AD511" s="3"/>
      <c r="AE511" s="3"/>
    </row>
    <row r="512">
      <c r="A512" s="3"/>
      <c r="B512" s="3"/>
      <c r="C512" s="3"/>
      <c r="D512" s="3"/>
      <c r="E512" s="3"/>
      <c r="F512" s="3"/>
      <c r="G512" s="3"/>
      <c r="H512" s="4"/>
      <c r="I512" s="8"/>
      <c r="J512" s="8"/>
      <c r="K512" s="3"/>
      <c r="L512" s="3"/>
      <c r="M512" s="3"/>
      <c r="N512" s="3"/>
      <c r="O512" s="3"/>
      <c r="P512" s="3"/>
      <c r="Q512" s="3"/>
      <c r="R512" s="3"/>
      <c r="S512" s="3"/>
      <c r="T512" s="3"/>
      <c r="U512" s="3"/>
      <c r="V512" s="3"/>
      <c r="W512" s="3"/>
      <c r="X512" s="3"/>
      <c r="Y512" s="3"/>
      <c r="Z512" s="3"/>
      <c r="AA512" s="3"/>
      <c r="AB512" s="3"/>
      <c r="AC512" s="3"/>
      <c r="AD512" s="3"/>
      <c r="AE512" s="3"/>
    </row>
    <row r="513">
      <c r="A513" s="3"/>
      <c r="B513" s="3"/>
      <c r="C513" s="3"/>
      <c r="D513" s="3"/>
      <c r="E513" s="3"/>
      <c r="F513" s="3"/>
      <c r="G513" s="3"/>
      <c r="H513" s="4"/>
      <c r="I513" s="8"/>
      <c r="J513" s="8"/>
      <c r="K513" s="3"/>
      <c r="L513" s="3"/>
      <c r="M513" s="3"/>
      <c r="N513" s="3"/>
      <c r="O513" s="3"/>
      <c r="P513" s="3"/>
      <c r="Q513" s="3"/>
      <c r="R513" s="3"/>
      <c r="S513" s="3"/>
      <c r="T513" s="3"/>
      <c r="U513" s="3"/>
      <c r="V513" s="3"/>
      <c r="W513" s="3"/>
      <c r="X513" s="3"/>
      <c r="Y513" s="3"/>
      <c r="Z513" s="3"/>
      <c r="AA513" s="3"/>
      <c r="AB513" s="3"/>
      <c r="AC513" s="3"/>
      <c r="AD513" s="3"/>
      <c r="AE513" s="3"/>
    </row>
    <row r="514">
      <c r="A514" s="3"/>
      <c r="B514" s="3"/>
      <c r="C514" s="3"/>
      <c r="D514" s="3"/>
      <c r="E514" s="3"/>
      <c r="F514" s="3"/>
      <c r="G514" s="3"/>
      <c r="H514" s="4"/>
      <c r="I514" s="8"/>
      <c r="J514" s="8"/>
      <c r="K514" s="3"/>
      <c r="L514" s="3"/>
      <c r="M514" s="3"/>
      <c r="N514" s="3"/>
      <c r="O514" s="3"/>
      <c r="P514" s="3"/>
      <c r="Q514" s="3"/>
      <c r="R514" s="3"/>
      <c r="S514" s="3"/>
      <c r="T514" s="3"/>
      <c r="U514" s="3"/>
      <c r="V514" s="3"/>
      <c r="W514" s="3"/>
      <c r="X514" s="3"/>
      <c r="Y514" s="3"/>
      <c r="Z514" s="3"/>
      <c r="AA514" s="3"/>
      <c r="AB514" s="3"/>
      <c r="AC514" s="3"/>
      <c r="AD514" s="3"/>
      <c r="AE514" s="3"/>
    </row>
    <row r="515">
      <c r="A515" s="3"/>
      <c r="B515" s="3"/>
      <c r="C515" s="3"/>
      <c r="D515" s="3"/>
      <c r="E515" s="3"/>
      <c r="F515" s="3"/>
      <c r="G515" s="3"/>
      <c r="H515" s="4"/>
      <c r="I515" s="8"/>
      <c r="J515" s="8"/>
      <c r="K515" s="3"/>
      <c r="L515" s="3"/>
      <c r="M515" s="3"/>
      <c r="N515" s="3"/>
      <c r="O515" s="3"/>
      <c r="P515" s="3"/>
      <c r="Q515" s="3"/>
      <c r="R515" s="3"/>
      <c r="S515" s="3"/>
      <c r="T515" s="3"/>
      <c r="U515" s="3"/>
      <c r="V515" s="3"/>
      <c r="W515" s="3"/>
      <c r="X515" s="3"/>
      <c r="Y515" s="3"/>
      <c r="Z515" s="3"/>
      <c r="AA515" s="3"/>
      <c r="AB515" s="3"/>
      <c r="AC515" s="3"/>
      <c r="AD515" s="3"/>
      <c r="AE515" s="3"/>
    </row>
    <row r="516">
      <c r="A516" s="3"/>
      <c r="B516" s="3"/>
      <c r="C516" s="3"/>
      <c r="D516" s="3"/>
      <c r="E516" s="3"/>
      <c r="F516" s="3"/>
      <c r="G516" s="3"/>
      <c r="H516" s="4"/>
      <c r="I516" s="8"/>
      <c r="J516" s="8"/>
      <c r="K516" s="3"/>
      <c r="L516" s="3"/>
      <c r="M516" s="3"/>
      <c r="N516" s="3"/>
      <c r="O516" s="3"/>
      <c r="P516" s="3"/>
      <c r="Q516" s="3"/>
      <c r="R516" s="3"/>
      <c r="S516" s="3"/>
      <c r="T516" s="3"/>
      <c r="U516" s="3"/>
      <c r="V516" s="3"/>
      <c r="W516" s="3"/>
      <c r="X516" s="3"/>
      <c r="Y516" s="3"/>
      <c r="Z516" s="3"/>
      <c r="AA516" s="3"/>
      <c r="AB516" s="3"/>
      <c r="AC516" s="3"/>
      <c r="AD516" s="3"/>
      <c r="AE516" s="3"/>
    </row>
    <row r="517">
      <c r="A517" s="3"/>
      <c r="B517" s="3"/>
      <c r="C517" s="3"/>
      <c r="D517" s="3"/>
      <c r="E517" s="3"/>
      <c r="F517" s="3"/>
      <c r="G517" s="3"/>
      <c r="H517" s="4"/>
      <c r="I517" s="8"/>
      <c r="J517" s="8"/>
      <c r="K517" s="3"/>
      <c r="L517" s="3"/>
      <c r="M517" s="3"/>
      <c r="N517" s="3"/>
      <c r="O517" s="3"/>
      <c r="P517" s="3"/>
      <c r="Q517" s="3"/>
      <c r="R517" s="3"/>
      <c r="S517" s="3"/>
      <c r="T517" s="3"/>
      <c r="U517" s="3"/>
      <c r="V517" s="3"/>
      <c r="W517" s="3"/>
      <c r="X517" s="3"/>
      <c r="Y517" s="3"/>
      <c r="Z517" s="3"/>
      <c r="AA517" s="3"/>
      <c r="AB517" s="3"/>
      <c r="AC517" s="3"/>
      <c r="AD517" s="3"/>
      <c r="AE517" s="3"/>
    </row>
    <row r="518">
      <c r="A518" s="3"/>
      <c r="B518" s="3"/>
      <c r="C518" s="3"/>
      <c r="D518" s="3"/>
      <c r="E518" s="3"/>
      <c r="F518" s="3"/>
      <c r="G518" s="3"/>
      <c r="H518" s="4"/>
      <c r="I518" s="8"/>
      <c r="J518" s="8"/>
      <c r="K518" s="3"/>
      <c r="L518" s="3"/>
      <c r="M518" s="3"/>
      <c r="N518" s="3"/>
      <c r="O518" s="3"/>
      <c r="P518" s="3"/>
      <c r="Q518" s="3"/>
      <c r="R518" s="3"/>
      <c r="S518" s="3"/>
      <c r="T518" s="3"/>
      <c r="U518" s="3"/>
      <c r="V518" s="3"/>
      <c r="W518" s="3"/>
      <c r="X518" s="3"/>
      <c r="Y518" s="3"/>
      <c r="Z518" s="3"/>
      <c r="AA518" s="3"/>
      <c r="AB518" s="3"/>
      <c r="AC518" s="3"/>
      <c r="AD518" s="3"/>
      <c r="AE518" s="3"/>
    </row>
    <row r="519">
      <c r="A519" s="3"/>
      <c r="B519" s="3"/>
      <c r="C519" s="3"/>
      <c r="D519" s="3"/>
      <c r="E519" s="3"/>
      <c r="F519" s="3"/>
      <c r="G519" s="3"/>
      <c r="H519" s="4"/>
      <c r="I519" s="8"/>
      <c r="J519" s="8"/>
      <c r="K519" s="3"/>
      <c r="L519" s="3"/>
      <c r="M519" s="3"/>
      <c r="N519" s="3"/>
      <c r="O519" s="3"/>
      <c r="P519" s="3"/>
      <c r="Q519" s="3"/>
      <c r="R519" s="3"/>
      <c r="S519" s="3"/>
      <c r="T519" s="3"/>
      <c r="U519" s="3"/>
      <c r="V519" s="3"/>
      <c r="W519" s="3"/>
      <c r="X519" s="3"/>
      <c r="Y519" s="3"/>
      <c r="Z519" s="3"/>
      <c r="AA519" s="3"/>
      <c r="AB519" s="3"/>
      <c r="AC519" s="3"/>
      <c r="AD519" s="3"/>
      <c r="AE519" s="3"/>
    </row>
    <row r="520">
      <c r="A520" s="3"/>
      <c r="B520" s="3"/>
      <c r="C520" s="3"/>
      <c r="D520" s="3"/>
      <c r="E520" s="3"/>
      <c r="F520" s="3"/>
      <c r="G520" s="3"/>
      <c r="H520" s="4"/>
      <c r="I520" s="8"/>
      <c r="J520" s="8"/>
      <c r="K520" s="3"/>
      <c r="L520" s="3"/>
      <c r="M520" s="3"/>
      <c r="N520" s="3"/>
      <c r="O520" s="3"/>
      <c r="P520" s="3"/>
      <c r="Q520" s="3"/>
      <c r="R520" s="3"/>
      <c r="S520" s="3"/>
      <c r="T520" s="3"/>
      <c r="U520" s="3"/>
      <c r="V520" s="3"/>
      <c r="W520" s="3"/>
      <c r="X520" s="3"/>
      <c r="Y520" s="3"/>
      <c r="Z520" s="3"/>
      <c r="AA520" s="3"/>
      <c r="AB520" s="3"/>
      <c r="AC520" s="3"/>
      <c r="AD520" s="3"/>
      <c r="AE520" s="3"/>
    </row>
    <row r="521">
      <c r="A521" s="3"/>
      <c r="B521" s="3"/>
      <c r="C521" s="3"/>
      <c r="D521" s="3"/>
      <c r="E521" s="3"/>
      <c r="F521" s="3"/>
      <c r="G521" s="3"/>
      <c r="H521" s="4"/>
      <c r="I521" s="8"/>
      <c r="J521" s="8"/>
      <c r="K521" s="3"/>
      <c r="L521" s="3"/>
      <c r="M521" s="3"/>
      <c r="N521" s="3"/>
      <c r="O521" s="3"/>
      <c r="P521" s="3"/>
      <c r="Q521" s="3"/>
      <c r="R521" s="3"/>
      <c r="S521" s="3"/>
      <c r="T521" s="3"/>
      <c r="U521" s="3"/>
      <c r="V521" s="3"/>
      <c r="W521" s="3"/>
      <c r="X521" s="3"/>
      <c r="Y521" s="3"/>
      <c r="Z521" s="3"/>
      <c r="AA521" s="3"/>
      <c r="AB521" s="3"/>
      <c r="AC521" s="3"/>
      <c r="AD521" s="3"/>
      <c r="AE521" s="3"/>
    </row>
    <row r="522">
      <c r="A522" s="3"/>
      <c r="B522" s="3"/>
      <c r="C522" s="3"/>
      <c r="D522" s="3"/>
      <c r="E522" s="3"/>
      <c r="F522" s="3"/>
      <c r="G522" s="3"/>
      <c r="H522" s="4"/>
      <c r="I522" s="8"/>
      <c r="J522" s="8"/>
      <c r="K522" s="3"/>
      <c r="L522" s="3"/>
      <c r="M522" s="3"/>
      <c r="N522" s="3"/>
      <c r="O522" s="3"/>
      <c r="P522" s="3"/>
      <c r="Q522" s="3"/>
      <c r="R522" s="3"/>
      <c r="S522" s="3"/>
      <c r="T522" s="3"/>
      <c r="U522" s="3"/>
      <c r="V522" s="3"/>
      <c r="W522" s="3"/>
      <c r="X522" s="3"/>
      <c r="Y522" s="3"/>
      <c r="Z522" s="3"/>
      <c r="AA522" s="3"/>
      <c r="AB522" s="3"/>
      <c r="AC522" s="3"/>
      <c r="AD522" s="3"/>
      <c r="AE522" s="3"/>
    </row>
    <row r="523">
      <c r="A523" s="3"/>
      <c r="B523" s="3"/>
      <c r="C523" s="3"/>
      <c r="D523" s="3"/>
      <c r="E523" s="3"/>
      <c r="F523" s="3"/>
      <c r="G523" s="3"/>
      <c r="H523" s="4"/>
      <c r="I523" s="8"/>
      <c r="J523" s="8"/>
      <c r="K523" s="3"/>
      <c r="L523" s="3"/>
      <c r="M523" s="3"/>
      <c r="N523" s="3"/>
      <c r="O523" s="3"/>
      <c r="P523" s="3"/>
      <c r="Q523" s="3"/>
      <c r="R523" s="3"/>
      <c r="S523" s="3"/>
      <c r="T523" s="3"/>
      <c r="U523" s="3"/>
      <c r="V523" s="3"/>
      <c r="W523" s="3"/>
      <c r="X523" s="3"/>
      <c r="Y523" s="3"/>
      <c r="Z523" s="3"/>
      <c r="AA523" s="3"/>
      <c r="AB523" s="3"/>
      <c r="AC523" s="3"/>
      <c r="AD523" s="3"/>
      <c r="AE523" s="3"/>
    </row>
    <row r="524">
      <c r="A524" s="3"/>
      <c r="B524" s="3"/>
      <c r="C524" s="3"/>
      <c r="D524" s="3"/>
      <c r="E524" s="3"/>
      <c r="F524" s="3"/>
      <c r="G524" s="3"/>
      <c r="H524" s="4"/>
      <c r="I524" s="8"/>
      <c r="J524" s="8"/>
      <c r="K524" s="3"/>
      <c r="L524" s="3"/>
      <c r="M524" s="3"/>
      <c r="N524" s="3"/>
      <c r="O524" s="3"/>
      <c r="P524" s="3"/>
      <c r="Q524" s="3"/>
      <c r="R524" s="3"/>
      <c r="S524" s="3"/>
      <c r="T524" s="3"/>
      <c r="U524" s="3"/>
      <c r="V524" s="3"/>
      <c r="W524" s="3"/>
      <c r="X524" s="3"/>
      <c r="Y524" s="3"/>
      <c r="Z524" s="3"/>
      <c r="AA524" s="3"/>
      <c r="AB524" s="3"/>
      <c r="AC524" s="3"/>
      <c r="AD524" s="3"/>
      <c r="AE524" s="3"/>
    </row>
    <row r="525">
      <c r="A525" s="3"/>
      <c r="B525" s="3"/>
      <c r="C525" s="3"/>
      <c r="D525" s="3"/>
      <c r="E525" s="3"/>
      <c r="F525" s="3"/>
      <c r="G525" s="3"/>
      <c r="H525" s="4"/>
      <c r="I525" s="8"/>
      <c r="J525" s="8"/>
      <c r="K525" s="3"/>
      <c r="L525" s="3"/>
      <c r="M525" s="3"/>
      <c r="N525" s="3"/>
      <c r="O525" s="3"/>
      <c r="P525" s="3"/>
      <c r="Q525" s="3"/>
      <c r="R525" s="3"/>
      <c r="S525" s="3"/>
      <c r="T525" s="3"/>
      <c r="U525" s="3"/>
      <c r="V525" s="3"/>
      <c r="W525" s="3"/>
      <c r="X525" s="3"/>
      <c r="Y525" s="3"/>
      <c r="Z525" s="3"/>
      <c r="AA525" s="3"/>
      <c r="AB525" s="3"/>
      <c r="AC525" s="3"/>
      <c r="AD525" s="3"/>
      <c r="AE525" s="3"/>
    </row>
    <row r="526">
      <c r="A526" s="3"/>
      <c r="B526" s="3"/>
      <c r="C526" s="3"/>
      <c r="D526" s="3"/>
      <c r="E526" s="3"/>
      <c r="F526" s="3"/>
      <c r="G526" s="3"/>
      <c r="H526" s="4"/>
      <c r="I526" s="8"/>
      <c r="J526" s="8"/>
      <c r="K526" s="3"/>
      <c r="L526" s="3"/>
      <c r="M526" s="3"/>
      <c r="N526" s="3"/>
      <c r="O526" s="3"/>
      <c r="P526" s="3"/>
      <c r="Q526" s="3"/>
      <c r="R526" s="3"/>
      <c r="S526" s="3"/>
      <c r="T526" s="3"/>
      <c r="U526" s="3"/>
      <c r="V526" s="3"/>
      <c r="W526" s="3"/>
      <c r="X526" s="3"/>
      <c r="Y526" s="3"/>
      <c r="Z526" s="3"/>
      <c r="AA526" s="3"/>
      <c r="AB526" s="3"/>
      <c r="AC526" s="3"/>
      <c r="AD526" s="3"/>
      <c r="AE526" s="3"/>
    </row>
    <row r="527">
      <c r="A527" s="3"/>
      <c r="B527" s="3"/>
      <c r="C527" s="3"/>
      <c r="D527" s="3"/>
      <c r="E527" s="3"/>
      <c r="F527" s="3"/>
      <c r="G527" s="3"/>
      <c r="H527" s="4"/>
      <c r="I527" s="8"/>
      <c r="J527" s="8"/>
      <c r="K527" s="3"/>
      <c r="L527" s="3"/>
      <c r="M527" s="3"/>
      <c r="N527" s="3"/>
      <c r="O527" s="3"/>
      <c r="P527" s="3"/>
      <c r="Q527" s="3"/>
      <c r="R527" s="3"/>
      <c r="S527" s="3"/>
      <c r="T527" s="3"/>
      <c r="U527" s="3"/>
      <c r="V527" s="3"/>
      <c r="W527" s="3"/>
      <c r="X527" s="3"/>
      <c r="Y527" s="3"/>
      <c r="Z527" s="3"/>
      <c r="AA527" s="3"/>
      <c r="AB527" s="3"/>
      <c r="AC527" s="3"/>
      <c r="AD527" s="3"/>
      <c r="AE527" s="3"/>
    </row>
    <row r="528">
      <c r="A528" s="3"/>
      <c r="B528" s="3"/>
      <c r="C528" s="3"/>
      <c r="D528" s="3"/>
      <c r="E528" s="3"/>
      <c r="F528" s="3"/>
      <c r="G528" s="3"/>
      <c r="H528" s="4"/>
      <c r="I528" s="8"/>
      <c r="J528" s="8"/>
      <c r="K528" s="3"/>
      <c r="L528" s="3"/>
      <c r="M528" s="3"/>
      <c r="N528" s="3"/>
      <c r="O528" s="3"/>
      <c r="P528" s="3"/>
      <c r="Q528" s="3"/>
      <c r="R528" s="3"/>
      <c r="S528" s="3"/>
      <c r="T528" s="3"/>
      <c r="U528" s="3"/>
      <c r="V528" s="3"/>
      <c r="W528" s="3"/>
      <c r="X528" s="3"/>
      <c r="Y528" s="3"/>
      <c r="Z528" s="3"/>
      <c r="AA528" s="3"/>
      <c r="AB528" s="3"/>
      <c r="AC528" s="3"/>
      <c r="AD528" s="3"/>
      <c r="AE528" s="3"/>
    </row>
    <row r="529">
      <c r="A529" s="3"/>
      <c r="B529" s="3"/>
      <c r="C529" s="3"/>
      <c r="D529" s="3"/>
      <c r="E529" s="3"/>
      <c r="F529" s="3"/>
      <c r="G529" s="3"/>
      <c r="H529" s="4"/>
      <c r="I529" s="8"/>
      <c r="J529" s="8"/>
      <c r="K529" s="3"/>
      <c r="L529" s="3"/>
      <c r="M529" s="3"/>
      <c r="N529" s="3"/>
      <c r="O529" s="3"/>
      <c r="P529" s="3"/>
      <c r="Q529" s="3"/>
      <c r="R529" s="3"/>
      <c r="S529" s="3"/>
      <c r="T529" s="3"/>
      <c r="U529" s="3"/>
      <c r="V529" s="3"/>
      <c r="W529" s="3"/>
      <c r="X529" s="3"/>
      <c r="Y529" s="3"/>
      <c r="Z529" s="3"/>
      <c r="AA529" s="3"/>
      <c r="AB529" s="3"/>
      <c r="AC529" s="3"/>
      <c r="AD529" s="3"/>
      <c r="AE529" s="3"/>
    </row>
    <row r="530">
      <c r="A530" s="3"/>
      <c r="B530" s="3"/>
      <c r="C530" s="3"/>
      <c r="D530" s="3"/>
      <c r="E530" s="3"/>
      <c r="F530" s="3"/>
      <c r="G530" s="3"/>
      <c r="H530" s="4"/>
      <c r="I530" s="8"/>
      <c r="J530" s="8"/>
      <c r="K530" s="3"/>
      <c r="L530" s="3"/>
      <c r="M530" s="3"/>
      <c r="N530" s="3"/>
      <c r="O530" s="3"/>
      <c r="P530" s="3"/>
      <c r="Q530" s="3"/>
      <c r="R530" s="3"/>
      <c r="S530" s="3"/>
      <c r="T530" s="3"/>
      <c r="U530" s="3"/>
      <c r="V530" s="3"/>
      <c r="W530" s="3"/>
      <c r="X530" s="3"/>
      <c r="Y530" s="3"/>
      <c r="Z530" s="3"/>
      <c r="AA530" s="3"/>
      <c r="AB530" s="3"/>
      <c r="AC530" s="3"/>
      <c r="AD530" s="3"/>
      <c r="AE530" s="3"/>
    </row>
    <row r="531">
      <c r="A531" s="3"/>
      <c r="B531" s="3"/>
      <c r="C531" s="3"/>
      <c r="D531" s="3"/>
      <c r="E531" s="3"/>
      <c r="F531" s="3"/>
      <c r="G531" s="3"/>
      <c r="H531" s="4"/>
      <c r="I531" s="8"/>
      <c r="J531" s="8"/>
      <c r="K531" s="3"/>
      <c r="L531" s="3"/>
      <c r="M531" s="3"/>
      <c r="N531" s="3"/>
      <c r="O531" s="3"/>
      <c r="P531" s="3"/>
      <c r="Q531" s="3"/>
      <c r="R531" s="3"/>
      <c r="S531" s="3"/>
      <c r="T531" s="3"/>
      <c r="U531" s="3"/>
      <c r="V531" s="3"/>
      <c r="W531" s="3"/>
      <c r="X531" s="3"/>
      <c r="Y531" s="3"/>
      <c r="Z531" s="3"/>
      <c r="AA531" s="3"/>
      <c r="AB531" s="3"/>
      <c r="AC531" s="3"/>
      <c r="AD531" s="3"/>
      <c r="AE531" s="3"/>
    </row>
    <row r="532">
      <c r="A532" s="3"/>
      <c r="B532" s="3"/>
      <c r="C532" s="3"/>
      <c r="D532" s="3"/>
      <c r="E532" s="3"/>
      <c r="F532" s="3"/>
      <c r="G532" s="3"/>
      <c r="H532" s="4"/>
      <c r="I532" s="8"/>
      <c r="J532" s="8"/>
      <c r="K532" s="3"/>
      <c r="L532" s="3"/>
      <c r="M532" s="3"/>
      <c r="N532" s="3"/>
      <c r="O532" s="3"/>
      <c r="P532" s="3"/>
      <c r="Q532" s="3"/>
      <c r="R532" s="3"/>
      <c r="S532" s="3"/>
      <c r="T532" s="3"/>
      <c r="U532" s="3"/>
      <c r="V532" s="3"/>
      <c r="W532" s="3"/>
      <c r="X532" s="3"/>
      <c r="Y532" s="3"/>
      <c r="Z532" s="3"/>
      <c r="AA532" s="3"/>
      <c r="AB532" s="3"/>
      <c r="AC532" s="3"/>
      <c r="AD532" s="3"/>
      <c r="AE532" s="3"/>
    </row>
    <row r="533">
      <c r="A533" s="3"/>
      <c r="B533" s="3"/>
      <c r="C533" s="3"/>
      <c r="D533" s="3"/>
      <c r="E533" s="3"/>
      <c r="F533" s="3"/>
      <c r="G533" s="3"/>
      <c r="H533" s="4"/>
      <c r="I533" s="8"/>
      <c r="J533" s="8"/>
      <c r="K533" s="3"/>
      <c r="L533" s="3"/>
      <c r="M533" s="3"/>
      <c r="N533" s="3"/>
      <c r="O533" s="3"/>
      <c r="P533" s="3"/>
      <c r="Q533" s="3"/>
      <c r="R533" s="3"/>
      <c r="S533" s="3"/>
      <c r="T533" s="3"/>
      <c r="U533" s="3"/>
      <c r="V533" s="3"/>
      <c r="W533" s="3"/>
      <c r="X533" s="3"/>
      <c r="Y533" s="3"/>
      <c r="Z533" s="3"/>
      <c r="AA533" s="3"/>
      <c r="AB533" s="3"/>
      <c r="AC533" s="3"/>
      <c r="AD533" s="3"/>
      <c r="AE533" s="3"/>
    </row>
    <row r="534">
      <c r="A534" s="3"/>
      <c r="B534" s="3"/>
      <c r="C534" s="3"/>
      <c r="D534" s="3"/>
      <c r="E534" s="3"/>
      <c r="F534" s="3"/>
      <c r="G534" s="3"/>
      <c r="H534" s="4"/>
      <c r="I534" s="8"/>
      <c r="J534" s="8"/>
      <c r="K534" s="3"/>
      <c r="L534" s="3"/>
      <c r="M534" s="3"/>
      <c r="N534" s="3"/>
      <c r="O534" s="3"/>
      <c r="P534" s="3"/>
      <c r="Q534" s="3"/>
      <c r="R534" s="3"/>
      <c r="S534" s="3"/>
      <c r="T534" s="3"/>
      <c r="U534" s="3"/>
      <c r="V534" s="3"/>
      <c r="W534" s="3"/>
      <c r="X534" s="3"/>
      <c r="Y534" s="3"/>
      <c r="Z534" s="3"/>
      <c r="AA534" s="3"/>
      <c r="AB534" s="3"/>
      <c r="AC534" s="3"/>
      <c r="AD534" s="3"/>
      <c r="AE534" s="3"/>
    </row>
    <row r="535">
      <c r="A535" s="3"/>
      <c r="B535" s="3"/>
      <c r="C535" s="3"/>
      <c r="D535" s="3"/>
      <c r="E535" s="3"/>
      <c r="F535" s="3"/>
      <c r="G535" s="3"/>
      <c r="H535" s="4"/>
      <c r="I535" s="8"/>
      <c r="J535" s="8"/>
      <c r="K535" s="3"/>
      <c r="L535" s="3"/>
      <c r="M535" s="3"/>
      <c r="N535" s="3"/>
      <c r="O535" s="3"/>
      <c r="P535" s="3"/>
      <c r="Q535" s="3"/>
      <c r="R535" s="3"/>
      <c r="S535" s="3"/>
      <c r="T535" s="3"/>
      <c r="U535" s="3"/>
      <c r="V535" s="3"/>
      <c r="W535" s="3"/>
      <c r="X535" s="3"/>
      <c r="Y535" s="3"/>
      <c r="Z535" s="3"/>
      <c r="AA535" s="3"/>
      <c r="AB535" s="3"/>
      <c r="AC535" s="3"/>
      <c r="AD535" s="3"/>
      <c r="AE535" s="3"/>
    </row>
    <row r="536">
      <c r="A536" s="3"/>
      <c r="B536" s="3"/>
      <c r="C536" s="3"/>
      <c r="D536" s="3"/>
      <c r="E536" s="3"/>
      <c r="F536" s="3"/>
      <c r="G536" s="3"/>
      <c r="H536" s="4"/>
      <c r="I536" s="8"/>
      <c r="J536" s="8"/>
      <c r="K536" s="3"/>
      <c r="L536" s="3"/>
      <c r="M536" s="3"/>
      <c r="N536" s="3"/>
      <c r="O536" s="3"/>
      <c r="P536" s="3"/>
      <c r="Q536" s="3"/>
      <c r="R536" s="3"/>
      <c r="S536" s="3"/>
      <c r="T536" s="3"/>
      <c r="U536" s="3"/>
      <c r="V536" s="3"/>
      <c r="W536" s="3"/>
      <c r="X536" s="3"/>
      <c r="Y536" s="3"/>
      <c r="Z536" s="3"/>
      <c r="AA536" s="3"/>
      <c r="AB536" s="3"/>
      <c r="AC536" s="3"/>
      <c r="AD536" s="3"/>
      <c r="AE536" s="3"/>
    </row>
    <row r="537">
      <c r="A537" s="3"/>
      <c r="B537" s="3"/>
      <c r="C537" s="3"/>
      <c r="D537" s="3"/>
      <c r="E537" s="3"/>
      <c r="F537" s="3"/>
      <c r="G537" s="3"/>
      <c r="H537" s="4"/>
      <c r="I537" s="8"/>
      <c r="J537" s="8"/>
      <c r="K537" s="3"/>
      <c r="L537" s="3"/>
      <c r="M537" s="3"/>
      <c r="N537" s="3"/>
      <c r="O537" s="3"/>
      <c r="P537" s="3"/>
      <c r="Q537" s="3"/>
      <c r="R537" s="3"/>
      <c r="S537" s="3"/>
      <c r="T537" s="3"/>
      <c r="U537" s="3"/>
      <c r="V537" s="3"/>
      <c r="W537" s="3"/>
      <c r="X537" s="3"/>
      <c r="Y537" s="3"/>
      <c r="Z537" s="3"/>
      <c r="AA537" s="3"/>
      <c r="AB537" s="3"/>
      <c r="AC537" s="3"/>
      <c r="AD537" s="3"/>
      <c r="AE537" s="3"/>
    </row>
    <row r="538">
      <c r="A538" s="3"/>
      <c r="B538" s="3"/>
      <c r="C538" s="3"/>
      <c r="D538" s="3"/>
      <c r="E538" s="3"/>
      <c r="F538" s="3"/>
      <c r="G538" s="3"/>
      <c r="H538" s="4"/>
      <c r="I538" s="8"/>
      <c r="J538" s="8"/>
      <c r="K538" s="3"/>
      <c r="L538" s="3"/>
      <c r="M538" s="3"/>
      <c r="N538" s="3"/>
      <c r="O538" s="3"/>
      <c r="P538" s="3"/>
      <c r="Q538" s="3"/>
      <c r="R538" s="3"/>
      <c r="S538" s="3"/>
      <c r="T538" s="3"/>
      <c r="U538" s="3"/>
      <c r="V538" s="3"/>
      <c r="W538" s="3"/>
      <c r="X538" s="3"/>
      <c r="Y538" s="3"/>
      <c r="Z538" s="3"/>
      <c r="AA538" s="3"/>
      <c r="AB538" s="3"/>
      <c r="AC538" s="3"/>
      <c r="AD538" s="3"/>
      <c r="AE538" s="3"/>
    </row>
    <row r="539">
      <c r="A539" s="3"/>
      <c r="B539" s="3"/>
      <c r="C539" s="3"/>
      <c r="D539" s="3"/>
      <c r="E539" s="3"/>
      <c r="F539" s="3"/>
      <c r="G539" s="3"/>
      <c r="H539" s="4"/>
      <c r="I539" s="8"/>
      <c r="J539" s="8"/>
      <c r="K539" s="3"/>
      <c r="L539" s="3"/>
      <c r="M539" s="3"/>
      <c r="N539" s="3"/>
      <c r="O539" s="3"/>
      <c r="P539" s="3"/>
      <c r="Q539" s="3"/>
      <c r="R539" s="3"/>
      <c r="S539" s="3"/>
      <c r="T539" s="3"/>
      <c r="U539" s="3"/>
      <c r="V539" s="3"/>
      <c r="W539" s="3"/>
      <c r="X539" s="3"/>
      <c r="Y539" s="3"/>
      <c r="Z539" s="3"/>
      <c r="AA539" s="3"/>
      <c r="AB539" s="3"/>
      <c r="AC539" s="3"/>
      <c r="AD539" s="3"/>
      <c r="AE539" s="3"/>
    </row>
    <row r="540">
      <c r="A540" s="3"/>
      <c r="B540" s="3"/>
      <c r="C540" s="3"/>
      <c r="D540" s="3"/>
      <c r="E540" s="3"/>
      <c r="F540" s="3"/>
      <c r="G540" s="3"/>
      <c r="H540" s="4"/>
      <c r="I540" s="8"/>
      <c r="J540" s="8"/>
      <c r="K540" s="3"/>
      <c r="L540" s="3"/>
      <c r="M540" s="3"/>
      <c r="N540" s="3"/>
      <c r="O540" s="3"/>
      <c r="P540" s="3"/>
      <c r="Q540" s="3"/>
      <c r="R540" s="3"/>
      <c r="S540" s="3"/>
      <c r="T540" s="3"/>
      <c r="U540" s="3"/>
      <c r="V540" s="3"/>
      <c r="W540" s="3"/>
      <c r="X540" s="3"/>
      <c r="Y540" s="3"/>
      <c r="Z540" s="3"/>
      <c r="AA540" s="3"/>
      <c r="AB540" s="3"/>
      <c r="AC540" s="3"/>
      <c r="AD540" s="3"/>
      <c r="AE540" s="3"/>
    </row>
    <row r="541">
      <c r="A541" s="3"/>
      <c r="B541" s="3"/>
      <c r="C541" s="3"/>
      <c r="D541" s="3"/>
      <c r="E541" s="3"/>
      <c r="F541" s="3"/>
      <c r="G541" s="3"/>
      <c r="H541" s="4"/>
      <c r="I541" s="8"/>
      <c r="J541" s="8"/>
      <c r="K541" s="3"/>
      <c r="L541" s="3"/>
      <c r="M541" s="3"/>
      <c r="N541" s="3"/>
      <c r="O541" s="3"/>
      <c r="P541" s="3"/>
      <c r="Q541" s="3"/>
      <c r="R541" s="3"/>
      <c r="S541" s="3"/>
      <c r="T541" s="3"/>
      <c r="U541" s="3"/>
      <c r="V541" s="3"/>
      <c r="W541" s="3"/>
      <c r="X541" s="3"/>
      <c r="Y541" s="3"/>
      <c r="Z541" s="3"/>
      <c r="AA541" s="3"/>
      <c r="AB541" s="3"/>
      <c r="AC541" s="3"/>
      <c r="AD541" s="3"/>
      <c r="AE541" s="3"/>
    </row>
    <row r="542">
      <c r="A542" s="3"/>
      <c r="B542" s="3"/>
      <c r="C542" s="3"/>
      <c r="D542" s="3"/>
      <c r="E542" s="3"/>
      <c r="F542" s="3"/>
      <c r="G542" s="3"/>
      <c r="H542" s="4"/>
      <c r="I542" s="8"/>
      <c r="J542" s="8"/>
      <c r="K542" s="3"/>
      <c r="L542" s="3"/>
      <c r="M542" s="3"/>
      <c r="N542" s="3"/>
      <c r="O542" s="3"/>
      <c r="P542" s="3"/>
      <c r="Q542" s="3"/>
      <c r="R542" s="3"/>
      <c r="S542" s="3"/>
      <c r="T542" s="3"/>
      <c r="U542" s="3"/>
      <c r="V542" s="3"/>
      <c r="W542" s="3"/>
      <c r="X542" s="3"/>
      <c r="Y542" s="3"/>
      <c r="Z542" s="3"/>
      <c r="AA542" s="3"/>
      <c r="AB542" s="3"/>
      <c r="AC542" s="3"/>
      <c r="AD542" s="3"/>
      <c r="AE542" s="3"/>
    </row>
    <row r="543">
      <c r="A543" s="3"/>
      <c r="B543" s="3"/>
      <c r="C543" s="3"/>
      <c r="D543" s="3"/>
      <c r="E543" s="3"/>
      <c r="F543" s="3"/>
      <c r="G543" s="3"/>
      <c r="H543" s="4"/>
      <c r="I543" s="8"/>
      <c r="J543" s="8"/>
      <c r="K543" s="3"/>
      <c r="L543" s="3"/>
      <c r="M543" s="3"/>
      <c r="N543" s="3"/>
      <c r="O543" s="3"/>
      <c r="P543" s="3"/>
      <c r="Q543" s="3"/>
      <c r="R543" s="3"/>
      <c r="S543" s="3"/>
      <c r="T543" s="3"/>
      <c r="U543" s="3"/>
      <c r="V543" s="3"/>
      <c r="W543" s="3"/>
      <c r="X543" s="3"/>
      <c r="Y543" s="3"/>
      <c r="Z543" s="3"/>
      <c r="AA543" s="3"/>
      <c r="AB543" s="3"/>
      <c r="AC543" s="3"/>
      <c r="AD543" s="3"/>
      <c r="AE543" s="3"/>
    </row>
    <row r="544">
      <c r="A544" s="3"/>
      <c r="B544" s="3"/>
      <c r="C544" s="3"/>
      <c r="D544" s="3"/>
      <c r="E544" s="3"/>
      <c r="F544" s="3"/>
      <c r="G544" s="3"/>
      <c r="H544" s="4"/>
      <c r="I544" s="8"/>
      <c r="J544" s="8"/>
      <c r="K544" s="3"/>
      <c r="L544" s="3"/>
      <c r="M544" s="3"/>
      <c r="N544" s="3"/>
      <c r="O544" s="3"/>
      <c r="P544" s="3"/>
      <c r="Q544" s="3"/>
      <c r="R544" s="3"/>
      <c r="S544" s="3"/>
      <c r="T544" s="3"/>
      <c r="U544" s="3"/>
      <c r="V544" s="3"/>
      <c r="W544" s="3"/>
      <c r="X544" s="3"/>
      <c r="Y544" s="3"/>
      <c r="Z544" s="3"/>
      <c r="AA544" s="3"/>
      <c r="AB544" s="3"/>
      <c r="AC544" s="3"/>
      <c r="AD544" s="3"/>
      <c r="AE544" s="3"/>
    </row>
    <row r="545">
      <c r="A545" s="3"/>
      <c r="B545" s="3"/>
      <c r="C545" s="3"/>
      <c r="D545" s="3"/>
      <c r="E545" s="3"/>
      <c r="F545" s="3"/>
      <c r="G545" s="3"/>
      <c r="H545" s="4"/>
      <c r="I545" s="8"/>
      <c r="J545" s="8"/>
      <c r="K545" s="3"/>
      <c r="L545" s="3"/>
      <c r="M545" s="3"/>
      <c r="N545" s="3"/>
      <c r="O545" s="3"/>
      <c r="P545" s="3"/>
      <c r="Q545" s="3"/>
      <c r="R545" s="3"/>
      <c r="S545" s="3"/>
      <c r="T545" s="3"/>
      <c r="U545" s="3"/>
      <c r="V545" s="3"/>
      <c r="W545" s="3"/>
      <c r="X545" s="3"/>
      <c r="Y545" s="3"/>
      <c r="Z545" s="3"/>
      <c r="AA545" s="3"/>
      <c r="AB545" s="3"/>
      <c r="AC545" s="3"/>
      <c r="AD545" s="3"/>
      <c r="AE545" s="3"/>
    </row>
    <row r="546">
      <c r="A546" s="3"/>
      <c r="B546" s="3"/>
      <c r="C546" s="3"/>
      <c r="D546" s="3"/>
      <c r="E546" s="3"/>
      <c r="F546" s="3"/>
      <c r="G546" s="3"/>
      <c r="H546" s="4"/>
      <c r="I546" s="8"/>
      <c r="J546" s="8"/>
      <c r="K546" s="3"/>
      <c r="L546" s="3"/>
      <c r="M546" s="3"/>
      <c r="N546" s="3"/>
      <c r="O546" s="3"/>
      <c r="P546" s="3"/>
      <c r="Q546" s="3"/>
      <c r="R546" s="3"/>
      <c r="S546" s="3"/>
      <c r="T546" s="3"/>
      <c r="U546" s="3"/>
      <c r="V546" s="3"/>
      <c r="W546" s="3"/>
      <c r="X546" s="3"/>
      <c r="Y546" s="3"/>
      <c r="Z546" s="3"/>
      <c r="AA546" s="3"/>
      <c r="AB546" s="3"/>
      <c r="AC546" s="3"/>
      <c r="AD546" s="3"/>
      <c r="AE546" s="3"/>
    </row>
    <row r="547">
      <c r="A547" s="3"/>
      <c r="B547" s="3"/>
      <c r="C547" s="3"/>
      <c r="D547" s="3"/>
      <c r="E547" s="3"/>
      <c r="F547" s="3"/>
      <c r="G547" s="3"/>
      <c r="H547" s="4"/>
      <c r="I547" s="8"/>
      <c r="J547" s="8"/>
      <c r="K547" s="3"/>
      <c r="L547" s="3"/>
      <c r="M547" s="3"/>
      <c r="N547" s="3"/>
      <c r="O547" s="3"/>
      <c r="P547" s="3"/>
      <c r="Q547" s="3"/>
      <c r="R547" s="3"/>
      <c r="S547" s="3"/>
      <c r="T547" s="3"/>
      <c r="U547" s="3"/>
      <c r="V547" s="3"/>
      <c r="W547" s="3"/>
      <c r="X547" s="3"/>
      <c r="Y547" s="3"/>
      <c r="Z547" s="3"/>
      <c r="AA547" s="3"/>
      <c r="AB547" s="3"/>
      <c r="AC547" s="3"/>
      <c r="AD547" s="3"/>
      <c r="AE547" s="3"/>
    </row>
    <row r="548">
      <c r="A548" s="3"/>
      <c r="B548" s="3"/>
      <c r="C548" s="3"/>
      <c r="D548" s="3"/>
      <c r="E548" s="3"/>
      <c r="F548" s="3"/>
      <c r="G548" s="3"/>
      <c r="H548" s="4"/>
      <c r="I548" s="8"/>
      <c r="J548" s="8"/>
      <c r="K548" s="3"/>
      <c r="L548" s="3"/>
      <c r="M548" s="3"/>
      <c r="N548" s="3"/>
      <c r="O548" s="3"/>
      <c r="P548" s="3"/>
      <c r="Q548" s="3"/>
      <c r="R548" s="3"/>
      <c r="S548" s="3"/>
      <c r="T548" s="3"/>
      <c r="U548" s="3"/>
      <c r="V548" s="3"/>
      <c r="W548" s="3"/>
      <c r="X548" s="3"/>
      <c r="Y548" s="3"/>
      <c r="Z548" s="3"/>
      <c r="AA548" s="3"/>
      <c r="AB548" s="3"/>
      <c r="AC548" s="3"/>
      <c r="AD548" s="3"/>
      <c r="AE548" s="3"/>
    </row>
    <row r="549">
      <c r="A549" s="3"/>
      <c r="B549" s="3"/>
      <c r="C549" s="3"/>
      <c r="D549" s="3"/>
      <c r="E549" s="3"/>
      <c r="F549" s="3"/>
      <c r="G549" s="3"/>
      <c r="H549" s="4"/>
      <c r="I549" s="8"/>
      <c r="J549" s="8"/>
      <c r="K549" s="3"/>
      <c r="L549" s="3"/>
      <c r="M549" s="3"/>
      <c r="N549" s="3"/>
      <c r="O549" s="3"/>
      <c r="P549" s="3"/>
      <c r="Q549" s="3"/>
      <c r="R549" s="3"/>
      <c r="S549" s="3"/>
      <c r="T549" s="3"/>
      <c r="U549" s="3"/>
      <c r="V549" s="3"/>
      <c r="W549" s="3"/>
      <c r="X549" s="3"/>
      <c r="Y549" s="3"/>
      <c r="Z549" s="3"/>
      <c r="AA549" s="3"/>
      <c r="AB549" s="3"/>
      <c r="AC549" s="3"/>
      <c r="AD549" s="3"/>
      <c r="AE549" s="3"/>
    </row>
    <row r="550">
      <c r="A550" s="3"/>
      <c r="B550" s="3"/>
      <c r="C550" s="3"/>
      <c r="D550" s="3"/>
      <c r="E550" s="3"/>
      <c r="F550" s="3"/>
      <c r="G550" s="3"/>
      <c r="H550" s="4"/>
      <c r="I550" s="8"/>
      <c r="J550" s="8"/>
      <c r="K550" s="3"/>
      <c r="L550" s="3"/>
      <c r="M550" s="3"/>
      <c r="N550" s="3"/>
      <c r="O550" s="3"/>
      <c r="P550" s="3"/>
      <c r="Q550" s="3"/>
      <c r="R550" s="3"/>
      <c r="S550" s="3"/>
      <c r="T550" s="3"/>
      <c r="U550" s="3"/>
      <c r="V550" s="3"/>
      <c r="W550" s="3"/>
      <c r="X550" s="3"/>
      <c r="Y550" s="3"/>
      <c r="Z550" s="3"/>
      <c r="AA550" s="3"/>
      <c r="AB550" s="3"/>
      <c r="AC550" s="3"/>
      <c r="AD550" s="3"/>
      <c r="AE550" s="3"/>
    </row>
    <row r="551">
      <c r="A551" s="3"/>
      <c r="B551" s="3"/>
      <c r="C551" s="3"/>
      <c r="D551" s="3"/>
      <c r="E551" s="3"/>
      <c r="F551" s="3"/>
      <c r="G551" s="3"/>
      <c r="H551" s="4"/>
      <c r="I551" s="8"/>
      <c r="J551" s="8"/>
      <c r="K551" s="3"/>
      <c r="L551" s="3"/>
      <c r="M551" s="3"/>
      <c r="N551" s="3"/>
      <c r="O551" s="3"/>
      <c r="P551" s="3"/>
      <c r="Q551" s="3"/>
      <c r="R551" s="3"/>
      <c r="S551" s="3"/>
      <c r="T551" s="3"/>
      <c r="U551" s="3"/>
      <c r="V551" s="3"/>
      <c r="W551" s="3"/>
      <c r="X551" s="3"/>
      <c r="Y551" s="3"/>
      <c r="Z551" s="3"/>
      <c r="AA551" s="3"/>
      <c r="AB551" s="3"/>
      <c r="AC551" s="3"/>
      <c r="AD551" s="3"/>
      <c r="AE551" s="3"/>
    </row>
    <row r="552">
      <c r="A552" s="3"/>
      <c r="B552" s="3"/>
      <c r="C552" s="3"/>
      <c r="D552" s="3"/>
      <c r="E552" s="3"/>
      <c r="F552" s="3"/>
      <c r="G552" s="3"/>
      <c r="H552" s="4"/>
      <c r="I552" s="8"/>
      <c r="J552" s="8"/>
      <c r="K552" s="3"/>
      <c r="L552" s="3"/>
      <c r="M552" s="3"/>
      <c r="N552" s="3"/>
      <c r="O552" s="3"/>
      <c r="P552" s="3"/>
      <c r="Q552" s="3"/>
      <c r="R552" s="3"/>
      <c r="S552" s="3"/>
      <c r="T552" s="3"/>
      <c r="U552" s="3"/>
      <c r="V552" s="3"/>
      <c r="W552" s="3"/>
      <c r="X552" s="3"/>
      <c r="Y552" s="3"/>
      <c r="Z552" s="3"/>
      <c r="AA552" s="3"/>
      <c r="AB552" s="3"/>
      <c r="AC552" s="3"/>
      <c r="AD552" s="3"/>
      <c r="AE552" s="3"/>
    </row>
    <row r="553">
      <c r="A553" s="3"/>
      <c r="B553" s="3"/>
      <c r="C553" s="3"/>
      <c r="D553" s="3"/>
      <c r="E553" s="3"/>
      <c r="F553" s="3"/>
      <c r="G553" s="3"/>
      <c r="H553" s="4"/>
      <c r="I553" s="8"/>
      <c r="J553" s="8"/>
      <c r="K553" s="3"/>
      <c r="L553" s="3"/>
      <c r="M553" s="3"/>
      <c r="N553" s="3"/>
      <c r="O553" s="3"/>
      <c r="P553" s="3"/>
      <c r="Q553" s="3"/>
      <c r="R553" s="3"/>
      <c r="S553" s="3"/>
      <c r="T553" s="3"/>
      <c r="U553" s="3"/>
      <c r="V553" s="3"/>
      <c r="W553" s="3"/>
      <c r="X553" s="3"/>
      <c r="Y553" s="3"/>
      <c r="Z553" s="3"/>
      <c r="AA553" s="3"/>
      <c r="AB553" s="3"/>
      <c r="AC553" s="3"/>
      <c r="AD553" s="3"/>
      <c r="AE553" s="3"/>
    </row>
    <row r="554">
      <c r="A554" s="3"/>
      <c r="B554" s="3"/>
      <c r="C554" s="3"/>
      <c r="D554" s="3"/>
      <c r="E554" s="3"/>
      <c r="F554" s="3"/>
      <c r="G554" s="3"/>
      <c r="H554" s="4"/>
      <c r="I554" s="8"/>
      <c r="J554" s="8"/>
      <c r="K554" s="3"/>
      <c r="L554" s="3"/>
      <c r="M554" s="3"/>
      <c r="N554" s="3"/>
      <c r="O554" s="3"/>
      <c r="P554" s="3"/>
      <c r="Q554" s="3"/>
      <c r="R554" s="3"/>
      <c r="S554" s="3"/>
      <c r="T554" s="3"/>
      <c r="U554" s="3"/>
      <c r="V554" s="3"/>
      <c r="W554" s="3"/>
      <c r="X554" s="3"/>
      <c r="Y554" s="3"/>
      <c r="Z554" s="3"/>
      <c r="AA554" s="3"/>
      <c r="AB554" s="3"/>
      <c r="AC554" s="3"/>
      <c r="AD554" s="3"/>
      <c r="AE554" s="3"/>
    </row>
    <row r="555">
      <c r="A555" s="3"/>
      <c r="B555" s="3"/>
      <c r="C555" s="3"/>
      <c r="D555" s="3"/>
      <c r="E555" s="3"/>
      <c r="F555" s="3"/>
      <c r="G555" s="3"/>
      <c r="H555" s="4"/>
      <c r="I555" s="8"/>
      <c r="J555" s="8"/>
      <c r="K555" s="3"/>
      <c r="L555" s="3"/>
      <c r="M555" s="3"/>
      <c r="N555" s="3"/>
      <c r="O555" s="3"/>
      <c r="P555" s="3"/>
      <c r="Q555" s="3"/>
      <c r="R555" s="3"/>
      <c r="S555" s="3"/>
      <c r="T555" s="3"/>
      <c r="U555" s="3"/>
      <c r="V555" s="3"/>
      <c r="W555" s="3"/>
      <c r="X555" s="3"/>
      <c r="Y555" s="3"/>
      <c r="Z555" s="3"/>
      <c r="AA555" s="3"/>
      <c r="AB555" s="3"/>
      <c r="AC555" s="3"/>
      <c r="AD555" s="3"/>
      <c r="AE555" s="3"/>
    </row>
    <row r="556">
      <c r="A556" s="3"/>
      <c r="B556" s="3"/>
      <c r="C556" s="3"/>
      <c r="D556" s="3"/>
      <c r="E556" s="3"/>
      <c r="F556" s="3"/>
      <c r="G556" s="3"/>
      <c r="H556" s="4"/>
      <c r="I556" s="8"/>
      <c r="J556" s="8"/>
      <c r="K556" s="3"/>
      <c r="L556" s="3"/>
      <c r="M556" s="3"/>
      <c r="N556" s="3"/>
      <c r="O556" s="3"/>
      <c r="P556" s="3"/>
      <c r="Q556" s="3"/>
      <c r="R556" s="3"/>
      <c r="S556" s="3"/>
      <c r="T556" s="3"/>
      <c r="U556" s="3"/>
      <c r="V556" s="3"/>
      <c r="W556" s="3"/>
      <c r="X556" s="3"/>
      <c r="Y556" s="3"/>
      <c r="Z556" s="3"/>
      <c r="AA556" s="3"/>
      <c r="AB556" s="3"/>
      <c r="AC556" s="3"/>
      <c r="AD556" s="3"/>
      <c r="AE556" s="3"/>
    </row>
    <row r="557">
      <c r="A557" s="3"/>
      <c r="B557" s="3"/>
      <c r="C557" s="3"/>
      <c r="D557" s="3"/>
      <c r="E557" s="3"/>
      <c r="F557" s="3"/>
      <c r="G557" s="3"/>
      <c r="H557" s="4"/>
      <c r="I557" s="8"/>
      <c r="J557" s="8"/>
      <c r="K557" s="3"/>
      <c r="L557" s="3"/>
      <c r="M557" s="3"/>
      <c r="N557" s="3"/>
      <c r="O557" s="3"/>
      <c r="P557" s="3"/>
      <c r="Q557" s="3"/>
      <c r="R557" s="3"/>
      <c r="S557" s="3"/>
      <c r="T557" s="3"/>
      <c r="U557" s="3"/>
      <c r="V557" s="3"/>
      <c r="W557" s="3"/>
      <c r="X557" s="3"/>
      <c r="Y557" s="3"/>
      <c r="Z557" s="3"/>
      <c r="AA557" s="3"/>
      <c r="AB557" s="3"/>
      <c r="AC557" s="3"/>
      <c r="AD557" s="3"/>
      <c r="AE557" s="3"/>
    </row>
    <row r="558">
      <c r="A558" s="3"/>
      <c r="B558" s="3"/>
      <c r="C558" s="3"/>
      <c r="D558" s="3"/>
      <c r="E558" s="3"/>
      <c r="F558" s="3"/>
      <c r="G558" s="3"/>
      <c r="H558" s="4"/>
      <c r="I558" s="8"/>
      <c r="J558" s="8"/>
      <c r="K558" s="3"/>
      <c r="L558" s="3"/>
      <c r="M558" s="3"/>
      <c r="N558" s="3"/>
      <c r="O558" s="3"/>
      <c r="P558" s="3"/>
      <c r="Q558" s="3"/>
      <c r="R558" s="3"/>
      <c r="S558" s="3"/>
      <c r="T558" s="3"/>
      <c r="U558" s="3"/>
      <c r="V558" s="3"/>
      <c r="W558" s="3"/>
      <c r="X558" s="3"/>
      <c r="Y558" s="3"/>
      <c r="Z558" s="3"/>
      <c r="AA558" s="3"/>
      <c r="AB558" s="3"/>
      <c r="AC558" s="3"/>
      <c r="AD558" s="3"/>
      <c r="AE558" s="3"/>
    </row>
    <row r="559">
      <c r="A559" s="3"/>
      <c r="B559" s="3"/>
      <c r="C559" s="3"/>
      <c r="D559" s="3"/>
      <c r="E559" s="3"/>
      <c r="F559" s="3"/>
      <c r="G559" s="3"/>
      <c r="H559" s="4"/>
      <c r="I559" s="8"/>
      <c r="J559" s="8"/>
      <c r="K559" s="3"/>
      <c r="L559" s="3"/>
      <c r="M559" s="3"/>
      <c r="N559" s="3"/>
      <c r="O559" s="3"/>
      <c r="P559" s="3"/>
      <c r="Q559" s="3"/>
      <c r="R559" s="3"/>
      <c r="S559" s="3"/>
      <c r="T559" s="3"/>
      <c r="U559" s="3"/>
      <c r="V559" s="3"/>
      <c r="W559" s="3"/>
      <c r="X559" s="3"/>
      <c r="Y559" s="3"/>
      <c r="Z559" s="3"/>
      <c r="AA559" s="3"/>
      <c r="AB559" s="3"/>
      <c r="AC559" s="3"/>
      <c r="AD559" s="3"/>
      <c r="AE559" s="3"/>
    </row>
    <row r="560">
      <c r="A560" s="3"/>
      <c r="B560" s="3"/>
      <c r="C560" s="3"/>
      <c r="D560" s="3"/>
      <c r="E560" s="3"/>
      <c r="F560" s="3"/>
      <c r="G560" s="3"/>
      <c r="H560" s="4"/>
      <c r="I560" s="8"/>
      <c r="J560" s="8"/>
      <c r="K560" s="3"/>
      <c r="L560" s="3"/>
      <c r="M560" s="3"/>
      <c r="N560" s="3"/>
      <c r="O560" s="3"/>
      <c r="P560" s="3"/>
      <c r="Q560" s="3"/>
      <c r="R560" s="3"/>
      <c r="S560" s="3"/>
      <c r="T560" s="3"/>
      <c r="U560" s="3"/>
      <c r="V560" s="3"/>
      <c r="W560" s="3"/>
      <c r="X560" s="3"/>
      <c r="Y560" s="3"/>
      <c r="Z560" s="3"/>
      <c r="AA560" s="3"/>
      <c r="AB560" s="3"/>
      <c r="AC560" s="3"/>
      <c r="AD560" s="3"/>
      <c r="AE560" s="3"/>
    </row>
    <row r="561">
      <c r="A561" s="3"/>
      <c r="B561" s="3"/>
      <c r="C561" s="3"/>
      <c r="D561" s="3"/>
      <c r="E561" s="3"/>
      <c r="F561" s="3"/>
      <c r="G561" s="3"/>
      <c r="H561" s="4"/>
      <c r="I561" s="8"/>
      <c r="J561" s="8"/>
      <c r="K561" s="3"/>
      <c r="L561" s="3"/>
      <c r="M561" s="3"/>
      <c r="N561" s="3"/>
      <c r="O561" s="3"/>
      <c r="P561" s="3"/>
      <c r="Q561" s="3"/>
      <c r="R561" s="3"/>
      <c r="S561" s="3"/>
      <c r="T561" s="3"/>
      <c r="U561" s="3"/>
      <c r="V561" s="3"/>
      <c r="W561" s="3"/>
      <c r="X561" s="3"/>
      <c r="Y561" s="3"/>
      <c r="Z561" s="3"/>
      <c r="AA561" s="3"/>
      <c r="AB561" s="3"/>
      <c r="AC561" s="3"/>
      <c r="AD561" s="3"/>
      <c r="AE561" s="3"/>
    </row>
    <row r="562">
      <c r="A562" s="3"/>
      <c r="B562" s="3"/>
      <c r="C562" s="3"/>
      <c r="D562" s="3"/>
      <c r="E562" s="3"/>
      <c r="F562" s="3"/>
      <c r="G562" s="3"/>
      <c r="H562" s="4"/>
      <c r="I562" s="8"/>
      <c r="J562" s="8"/>
      <c r="K562" s="3"/>
      <c r="L562" s="3"/>
      <c r="M562" s="3"/>
      <c r="N562" s="3"/>
      <c r="O562" s="3"/>
      <c r="P562" s="3"/>
      <c r="Q562" s="3"/>
      <c r="R562" s="3"/>
      <c r="S562" s="3"/>
      <c r="T562" s="3"/>
      <c r="U562" s="3"/>
      <c r="V562" s="3"/>
      <c r="W562" s="3"/>
      <c r="X562" s="3"/>
      <c r="Y562" s="3"/>
      <c r="Z562" s="3"/>
      <c r="AA562" s="3"/>
      <c r="AB562" s="3"/>
      <c r="AC562" s="3"/>
      <c r="AD562" s="3"/>
      <c r="AE562" s="3"/>
    </row>
    <row r="563">
      <c r="A563" s="3"/>
      <c r="B563" s="3"/>
      <c r="C563" s="3"/>
      <c r="D563" s="3"/>
      <c r="E563" s="3"/>
      <c r="F563" s="3"/>
      <c r="G563" s="3"/>
      <c r="H563" s="4"/>
      <c r="I563" s="8"/>
      <c r="J563" s="8"/>
      <c r="K563" s="3"/>
      <c r="L563" s="3"/>
      <c r="M563" s="3"/>
      <c r="N563" s="3"/>
      <c r="O563" s="3"/>
      <c r="P563" s="3"/>
      <c r="Q563" s="3"/>
      <c r="R563" s="3"/>
      <c r="S563" s="3"/>
      <c r="T563" s="3"/>
      <c r="U563" s="3"/>
      <c r="V563" s="3"/>
      <c r="W563" s="3"/>
      <c r="X563" s="3"/>
      <c r="Y563" s="3"/>
      <c r="Z563" s="3"/>
      <c r="AA563" s="3"/>
      <c r="AB563" s="3"/>
      <c r="AC563" s="3"/>
      <c r="AD563" s="3"/>
      <c r="AE563" s="3"/>
    </row>
    <row r="564">
      <c r="A564" s="3"/>
      <c r="B564" s="3"/>
      <c r="C564" s="3"/>
      <c r="D564" s="3"/>
      <c r="E564" s="3"/>
      <c r="F564" s="3"/>
      <c r="G564" s="3"/>
      <c r="H564" s="4"/>
      <c r="I564" s="8"/>
      <c r="J564" s="8"/>
      <c r="K564" s="3"/>
      <c r="L564" s="3"/>
      <c r="M564" s="3"/>
      <c r="N564" s="3"/>
      <c r="O564" s="3"/>
      <c r="P564" s="3"/>
      <c r="Q564" s="3"/>
      <c r="R564" s="3"/>
      <c r="S564" s="3"/>
      <c r="T564" s="3"/>
      <c r="U564" s="3"/>
      <c r="V564" s="3"/>
      <c r="W564" s="3"/>
      <c r="X564" s="3"/>
      <c r="Y564" s="3"/>
      <c r="Z564" s="3"/>
      <c r="AA564" s="3"/>
      <c r="AB564" s="3"/>
      <c r="AC564" s="3"/>
      <c r="AD564" s="3"/>
      <c r="AE564" s="3"/>
    </row>
    <row r="565">
      <c r="A565" s="3"/>
      <c r="B565" s="3"/>
      <c r="C565" s="3"/>
      <c r="D565" s="3"/>
      <c r="E565" s="3"/>
      <c r="F565" s="3"/>
      <c r="G565" s="3"/>
      <c r="H565" s="4"/>
      <c r="I565" s="8"/>
      <c r="J565" s="8"/>
      <c r="K565" s="3"/>
      <c r="L565" s="3"/>
      <c r="M565" s="3"/>
      <c r="N565" s="3"/>
      <c r="O565" s="3"/>
      <c r="P565" s="3"/>
      <c r="Q565" s="3"/>
      <c r="R565" s="3"/>
      <c r="S565" s="3"/>
      <c r="T565" s="3"/>
      <c r="U565" s="3"/>
      <c r="V565" s="3"/>
      <c r="W565" s="3"/>
      <c r="X565" s="3"/>
      <c r="Y565" s="3"/>
      <c r="Z565" s="3"/>
      <c r="AA565" s="3"/>
      <c r="AB565" s="3"/>
      <c r="AC565" s="3"/>
      <c r="AD565" s="3"/>
      <c r="AE565" s="3"/>
    </row>
    <row r="566">
      <c r="A566" s="3"/>
      <c r="B566" s="3"/>
      <c r="C566" s="3"/>
      <c r="D566" s="3"/>
      <c r="E566" s="3"/>
      <c r="F566" s="3"/>
      <c r="G566" s="3"/>
      <c r="H566" s="4"/>
      <c r="I566" s="8"/>
      <c r="J566" s="8"/>
      <c r="K566" s="3"/>
      <c r="L566" s="3"/>
      <c r="M566" s="3"/>
      <c r="N566" s="3"/>
      <c r="O566" s="3"/>
      <c r="P566" s="3"/>
      <c r="Q566" s="3"/>
      <c r="R566" s="3"/>
      <c r="S566" s="3"/>
      <c r="T566" s="3"/>
      <c r="U566" s="3"/>
      <c r="V566" s="3"/>
      <c r="W566" s="3"/>
      <c r="X566" s="3"/>
      <c r="Y566" s="3"/>
      <c r="Z566" s="3"/>
      <c r="AA566" s="3"/>
      <c r="AB566" s="3"/>
      <c r="AC566" s="3"/>
      <c r="AD566" s="3"/>
      <c r="AE566" s="3"/>
    </row>
    <row r="567">
      <c r="A567" s="3"/>
      <c r="B567" s="3"/>
      <c r="C567" s="3"/>
      <c r="D567" s="3"/>
      <c r="E567" s="3"/>
      <c r="F567" s="3"/>
      <c r="G567" s="3"/>
      <c r="H567" s="4"/>
      <c r="I567" s="8"/>
      <c r="J567" s="8"/>
      <c r="K567" s="3"/>
      <c r="L567" s="3"/>
      <c r="M567" s="3"/>
      <c r="N567" s="3"/>
      <c r="O567" s="3"/>
      <c r="P567" s="3"/>
      <c r="Q567" s="3"/>
      <c r="R567" s="3"/>
      <c r="S567" s="3"/>
      <c r="T567" s="3"/>
      <c r="U567" s="3"/>
      <c r="V567" s="3"/>
      <c r="W567" s="3"/>
      <c r="X567" s="3"/>
      <c r="Y567" s="3"/>
      <c r="Z567" s="3"/>
      <c r="AA567" s="3"/>
      <c r="AB567" s="3"/>
      <c r="AC567" s="3"/>
      <c r="AD567" s="3"/>
      <c r="AE567" s="3"/>
    </row>
    <row r="568">
      <c r="A568" s="3"/>
      <c r="B568" s="3"/>
      <c r="C568" s="3"/>
      <c r="D568" s="3"/>
      <c r="E568" s="3"/>
      <c r="F568" s="3"/>
      <c r="G568" s="3"/>
      <c r="H568" s="4"/>
      <c r="I568" s="8"/>
      <c r="J568" s="8"/>
      <c r="K568" s="3"/>
      <c r="L568" s="3"/>
      <c r="M568" s="3"/>
      <c r="N568" s="3"/>
      <c r="O568" s="3"/>
      <c r="P568" s="3"/>
      <c r="Q568" s="3"/>
      <c r="R568" s="3"/>
      <c r="S568" s="3"/>
      <c r="T568" s="3"/>
      <c r="U568" s="3"/>
      <c r="V568" s="3"/>
      <c r="W568" s="3"/>
      <c r="X568" s="3"/>
      <c r="Y568" s="3"/>
      <c r="Z568" s="3"/>
      <c r="AA568" s="3"/>
      <c r="AB568" s="3"/>
      <c r="AC568" s="3"/>
      <c r="AD568" s="3"/>
      <c r="AE568" s="3"/>
    </row>
    <row r="569">
      <c r="A569" s="3"/>
      <c r="B569" s="3"/>
      <c r="C569" s="3"/>
      <c r="D569" s="3"/>
      <c r="E569" s="3"/>
      <c r="F569" s="3"/>
      <c r="G569" s="3"/>
      <c r="H569" s="4"/>
      <c r="I569" s="8"/>
      <c r="J569" s="8"/>
      <c r="K569" s="3"/>
      <c r="L569" s="3"/>
      <c r="M569" s="3"/>
      <c r="N569" s="3"/>
      <c r="O569" s="3"/>
      <c r="P569" s="3"/>
      <c r="Q569" s="3"/>
      <c r="R569" s="3"/>
      <c r="S569" s="3"/>
      <c r="T569" s="3"/>
      <c r="U569" s="3"/>
      <c r="V569" s="3"/>
      <c r="W569" s="3"/>
      <c r="X569" s="3"/>
      <c r="Y569" s="3"/>
      <c r="Z569" s="3"/>
      <c r="AA569" s="3"/>
      <c r="AB569" s="3"/>
      <c r="AC569" s="3"/>
      <c r="AD569" s="3"/>
      <c r="AE569" s="3"/>
    </row>
    <row r="570">
      <c r="A570" s="3"/>
      <c r="B570" s="3"/>
      <c r="C570" s="3"/>
      <c r="D570" s="3"/>
      <c r="E570" s="3"/>
      <c r="F570" s="3"/>
      <c r="G570" s="3"/>
      <c r="H570" s="4"/>
      <c r="I570" s="8"/>
      <c r="J570" s="8"/>
      <c r="K570" s="3"/>
      <c r="L570" s="3"/>
      <c r="M570" s="3"/>
      <c r="N570" s="3"/>
      <c r="O570" s="3"/>
      <c r="P570" s="3"/>
      <c r="Q570" s="3"/>
      <c r="R570" s="3"/>
      <c r="S570" s="3"/>
      <c r="T570" s="3"/>
      <c r="U570" s="3"/>
      <c r="V570" s="3"/>
      <c r="W570" s="3"/>
      <c r="X570" s="3"/>
      <c r="Y570" s="3"/>
      <c r="Z570" s="3"/>
      <c r="AA570" s="3"/>
      <c r="AB570" s="3"/>
      <c r="AC570" s="3"/>
      <c r="AD570" s="3"/>
      <c r="AE570" s="3"/>
    </row>
    <row r="571">
      <c r="A571" s="3"/>
      <c r="B571" s="3"/>
      <c r="C571" s="3"/>
      <c r="D571" s="3"/>
      <c r="E571" s="3"/>
      <c r="F571" s="3"/>
      <c r="G571" s="3"/>
      <c r="H571" s="4"/>
      <c r="I571" s="8"/>
      <c r="J571" s="8"/>
      <c r="K571" s="3"/>
      <c r="L571" s="3"/>
      <c r="M571" s="3"/>
      <c r="N571" s="3"/>
      <c r="O571" s="3"/>
      <c r="P571" s="3"/>
      <c r="Q571" s="3"/>
      <c r="R571" s="3"/>
      <c r="S571" s="3"/>
      <c r="T571" s="3"/>
      <c r="U571" s="3"/>
      <c r="V571" s="3"/>
      <c r="W571" s="3"/>
      <c r="X571" s="3"/>
      <c r="Y571" s="3"/>
      <c r="Z571" s="3"/>
      <c r="AA571" s="3"/>
      <c r="AB571" s="3"/>
      <c r="AC571" s="3"/>
      <c r="AD571" s="3"/>
      <c r="AE571" s="3"/>
    </row>
    <row r="572">
      <c r="A572" s="3"/>
      <c r="B572" s="3"/>
      <c r="C572" s="3"/>
      <c r="D572" s="3"/>
      <c r="E572" s="3"/>
      <c r="F572" s="3"/>
      <c r="G572" s="3"/>
      <c r="H572" s="4"/>
      <c r="I572" s="8"/>
      <c r="J572" s="8"/>
      <c r="K572" s="3"/>
      <c r="L572" s="3"/>
      <c r="M572" s="3"/>
      <c r="N572" s="3"/>
      <c r="O572" s="3"/>
      <c r="P572" s="3"/>
      <c r="Q572" s="3"/>
      <c r="R572" s="3"/>
      <c r="S572" s="3"/>
      <c r="T572" s="3"/>
      <c r="U572" s="3"/>
      <c r="V572" s="3"/>
      <c r="W572" s="3"/>
      <c r="X572" s="3"/>
      <c r="Y572" s="3"/>
      <c r="Z572" s="3"/>
      <c r="AA572" s="3"/>
      <c r="AB572" s="3"/>
      <c r="AC572" s="3"/>
      <c r="AD572" s="3"/>
      <c r="AE572" s="3"/>
    </row>
    <row r="573">
      <c r="A573" s="3"/>
      <c r="B573" s="3"/>
      <c r="C573" s="3"/>
      <c r="D573" s="3"/>
      <c r="E573" s="3"/>
      <c r="F573" s="3"/>
      <c r="G573" s="3"/>
      <c r="H573" s="4"/>
      <c r="I573" s="8"/>
      <c r="J573" s="8"/>
      <c r="K573" s="3"/>
      <c r="L573" s="3"/>
      <c r="M573" s="3"/>
      <c r="N573" s="3"/>
      <c r="O573" s="3"/>
      <c r="P573" s="3"/>
      <c r="Q573" s="3"/>
      <c r="R573" s="3"/>
      <c r="S573" s="3"/>
      <c r="T573" s="3"/>
      <c r="U573" s="3"/>
      <c r="V573" s="3"/>
      <c r="W573" s="3"/>
      <c r="X573" s="3"/>
      <c r="Y573" s="3"/>
      <c r="Z573" s="3"/>
      <c r="AA573" s="3"/>
      <c r="AB573" s="3"/>
      <c r="AC573" s="3"/>
      <c r="AD573" s="3"/>
      <c r="AE573" s="3"/>
    </row>
    <row r="574">
      <c r="A574" s="3"/>
      <c r="B574" s="3"/>
      <c r="C574" s="3"/>
      <c r="D574" s="3"/>
      <c r="E574" s="3"/>
      <c r="F574" s="3"/>
      <c r="G574" s="3"/>
      <c r="H574" s="4"/>
      <c r="I574" s="8"/>
      <c r="J574" s="8"/>
      <c r="K574" s="3"/>
      <c r="L574" s="3"/>
      <c r="M574" s="3"/>
      <c r="N574" s="3"/>
      <c r="O574" s="3"/>
      <c r="P574" s="3"/>
      <c r="Q574" s="3"/>
      <c r="R574" s="3"/>
      <c r="S574" s="3"/>
      <c r="T574" s="3"/>
      <c r="U574" s="3"/>
      <c r="V574" s="3"/>
      <c r="W574" s="3"/>
      <c r="X574" s="3"/>
      <c r="Y574" s="3"/>
      <c r="Z574" s="3"/>
      <c r="AA574" s="3"/>
      <c r="AB574" s="3"/>
      <c r="AC574" s="3"/>
      <c r="AD574" s="3"/>
      <c r="AE574" s="3"/>
    </row>
    <row r="575">
      <c r="A575" s="3"/>
      <c r="B575" s="3"/>
      <c r="C575" s="3"/>
      <c r="D575" s="3"/>
      <c r="E575" s="3"/>
      <c r="F575" s="3"/>
      <c r="G575" s="3"/>
      <c r="H575" s="4"/>
      <c r="I575" s="8"/>
      <c r="J575" s="8"/>
      <c r="K575" s="3"/>
      <c r="L575" s="3"/>
      <c r="M575" s="3"/>
      <c r="N575" s="3"/>
      <c r="O575" s="3"/>
      <c r="P575" s="3"/>
      <c r="Q575" s="3"/>
      <c r="R575" s="3"/>
      <c r="S575" s="3"/>
      <c r="T575" s="3"/>
      <c r="U575" s="3"/>
      <c r="V575" s="3"/>
      <c r="W575" s="3"/>
      <c r="X575" s="3"/>
      <c r="Y575" s="3"/>
      <c r="Z575" s="3"/>
      <c r="AA575" s="3"/>
      <c r="AB575" s="3"/>
      <c r="AC575" s="3"/>
      <c r="AD575" s="3"/>
      <c r="AE575" s="3"/>
    </row>
    <row r="576">
      <c r="A576" s="3"/>
      <c r="B576" s="3"/>
      <c r="C576" s="3"/>
      <c r="D576" s="3"/>
      <c r="E576" s="3"/>
      <c r="F576" s="3"/>
      <c r="G576" s="3"/>
      <c r="H576" s="4"/>
      <c r="I576" s="8"/>
      <c r="J576" s="8"/>
      <c r="K576" s="3"/>
      <c r="L576" s="3"/>
      <c r="M576" s="3"/>
      <c r="N576" s="3"/>
      <c r="O576" s="3"/>
      <c r="P576" s="3"/>
      <c r="Q576" s="3"/>
      <c r="R576" s="3"/>
      <c r="S576" s="3"/>
      <c r="T576" s="3"/>
      <c r="U576" s="3"/>
      <c r="V576" s="3"/>
      <c r="W576" s="3"/>
      <c r="X576" s="3"/>
      <c r="Y576" s="3"/>
      <c r="Z576" s="3"/>
      <c r="AA576" s="3"/>
      <c r="AB576" s="3"/>
      <c r="AC576" s="3"/>
      <c r="AD576" s="3"/>
      <c r="AE576" s="3"/>
    </row>
    <row r="577">
      <c r="A577" s="3"/>
      <c r="B577" s="3"/>
      <c r="C577" s="3"/>
      <c r="D577" s="3"/>
      <c r="E577" s="3"/>
      <c r="F577" s="3"/>
      <c r="G577" s="3"/>
      <c r="H577" s="4"/>
      <c r="I577" s="8"/>
      <c r="J577" s="8"/>
      <c r="K577" s="3"/>
      <c r="L577" s="3"/>
      <c r="M577" s="3"/>
      <c r="N577" s="3"/>
      <c r="O577" s="3"/>
      <c r="P577" s="3"/>
      <c r="Q577" s="3"/>
      <c r="R577" s="3"/>
      <c r="S577" s="3"/>
      <c r="T577" s="3"/>
      <c r="U577" s="3"/>
      <c r="V577" s="3"/>
      <c r="W577" s="3"/>
      <c r="X577" s="3"/>
      <c r="Y577" s="3"/>
      <c r="Z577" s="3"/>
      <c r="AA577" s="3"/>
      <c r="AB577" s="3"/>
      <c r="AC577" s="3"/>
      <c r="AD577" s="3"/>
      <c r="AE577" s="3"/>
    </row>
    <row r="578">
      <c r="A578" s="3"/>
      <c r="B578" s="3"/>
      <c r="C578" s="3"/>
      <c r="D578" s="3"/>
      <c r="E578" s="3"/>
      <c r="F578" s="3"/>
      <c r="G578" s="3"/>
      <c r="H578" s="4"/>
      <c r="I578" s="8"/>
      <c r="J578" s="8"/>
      <c r="K578" s="3"/>
      <c r="L578" s="3"/>
      <c r="M578" s="3"/>
      <c r="N578" s="3"/>
      <c r="O578" s="3"/>
      <c r="P578" s="3"/>
      <c r="Q578" s="3"/>
      <c r="R578" s="3"/>
      <c r="S578" s="3"/>
      <c r="T578" s="3"/>
      <c r="U578" s="3"/>
      <c r="V578" s="3"/>
      <c r="W578" s="3"/>
      <c r="X578" s="3"/>
      <c r="Y578" s="3"/>
      <c r="Z578" s="3"/>
      <c r="AA578" s="3"/>
      <c r="AB578" s="3"/>
      <c r="AC578" s="3"/>
      <c r="AD578" s="3"/>
      <c r="AE578" s="3"/>
    </row>
    <row r="579">
      <c r="A579" s="3"/>
      <c r="B579" s="3"/>
      <c r="C579" s="3"/>
      <c r="D579" s="3"/>
      <c r="E579" s="3"/>
      <c r="F579" s="3"/>
      <c r="G579" s="3"/>
      <c r="H579" s="4"/>
      <c r="I579" s="8"/>
      <c r="J579" s="8"/>
      <c r="K579" s="3"/>
      <c r="L579" s="3"/>
      <c r="M579" s="3"/>
      <c r="N579" s="3"/>
      <c r="O579" s="3"/>
      <c r="P579" s="3"/>
      <c r="Q579" s="3"/>
      <c r="R579" s="3"/>
      <c r="S579" s="3"/>
      <c r="T579" s="3"/>
      <c r="U579" s="3"/>
      <c r="V579" s="3"/>
      <c r="W579" s="3"/>
      <c r="X579" s="3"/>
      <c r="Y579" s="3"/>
      <c r="Z579" s="3"/>
      <c r="AA579" s="3"/>
      <c r="AB579" s="3"/>
      <c r="AC579" s="3"/>
      <c r="AD579" s="3"/>
      <c r="AE579" s="3"/>
    </row>
    <row r="580">
      <c r="A580" s="3"/>
      <c r="B580" s="3"/>
      <c r="C580" s="3"/>
      <c r="D580" s="3"/>
      <c r="E580" s="3"/>
      <c r="F580" s="3"/>
      <c r="G580" s="3"/>
      <c r="H580" s="4"/>
      <c r="I580" s="8"/>
      <c r="J580" s="8"/>
      <c r="K580" s="3"/>
      <c r="L580" s="3"/>
      <c r="M580" s="3"/>
      <c r="N580" s="3"/>
      <c r="O580" s="3"/>
      <c r="P580" s="3"/>
      <c r="Q580" s="3"/>
      <c r="R580" s="3"/>
      <c r="S580" s="3"/>
      <c r="T580" s="3"/>
      <c r="U580" s="3"/>
      <c r="V580" s="3"/>
      <c r="W580" s="3"/>
      <c r="X580" s="3"/>
      <c r="Y580" s="3"/>
      <c r="Z580" s="3"/>
      <c r="AA580" s="3"/>
      <c r="AB580" s="3"/>
      <c r="AC580" s="3"/>
      <c r="AD580" s="3"/>
      <c r="AE580" s="3"/>
    </row>
    <row r="581">
      <c r="A581" s="3"/>
      <c r="B581" s="3"/>
      <c r="C581" s="3"/>
      <c r="D581" s="3"/>
      <c r="E581" s="3"/>
      <c r="F581" s="3"/>
      <c r="G581" s="3"/>
      <c r="H581" s="4"/>
      <c r="I581" s="8"/>
      <c r="J581" s="8"/>
      <c r="K581" s="3"/>
      <c r="L581" s="3"/>
      <c r="M581" s="3"/>
      <c r="N581" s="3"/>
      <c r="O581" s="3"/>
      <c r="P581" s="3"/>
      <c r="Q581" s="3"/>
      <c r="R581" s="3"/>
      <c r="S581" s="3"/>
      <c r="T581" s="3"/>
      <c r="U581" s="3"/>
      <c r="V581" s="3"/>
      <c r="W581" s="3"/>
      <c r="X581" s="3"/>
      <c r="Y581" s="3"/>
      <c r="Z581" s="3"/>
      <c r="AA581" s="3"/>
      <c r="AB581" s="3"/>
      <c r="AC581" s="3"/>
      <c r="AD581" s="3"/>
      <c r="AE581" s="3"/>
    </row>
    <row r="582">
      <c r="A582" s="3"/>
      <c r="B582" s="3"/>
      <c r="C582" s="3"/>
      <c r="D582" s="3"/>
      <c r="E582" s="3"/>
      <c r="F582" s="3"/>
      <c r="G582" s="3"/>
      <c r="H582" s="4"/>
      <c r="I582" s="8"/>
      <c r="J582" s="8"/>
      <c r="K582" s="3"/>
      <c r="L582" s="3"/>
      <c r="M582" s="3"/>
      <c r="N582" s="3"/>
      <c r="O582" s="3"/>
      <c r="P582" s="3"/>
      <c r="Q582" s="3"/>
      <c r="R582" s="3"/>
      <c r="S582" s="3"/>
      <c r="T582" s="3"/>
      <c r="U582" s="3"/>
      <c r="V582" s="3"/>
      <c r="W582" s="3"/>
      <c r="X582" s="3"/>
      <c r="Y582" s="3"/>
      <c r="Z582" s="3"/>
      <c r="AA582" s="3"/>
      <c r="AB582" s="3"/>
      <c r="AC582" s="3"/>
      <c r="AD582" s="3"/>
      <c r="AE582" s="3"/>
    </row>
    <row r="583">
      <c r="A583" s="3"/>
      <c r="B583" s="3"/>
      <c r="C583" s="3"/>
      <c r="D583" s="3"/>
      <c r="E583" s="3"/>
      <c r="F583" s="3"/>
      <c r="G583" s="3"/>
      <c r="H583" s="4"/>
      <c r="I583" s="8"/>
      <c r="J583" s="8"/>
      <c r="K583" s="3"/>
      <c r="L583" s="3"/>
      <c r="M583" s="3"/>
      <c r="N583" s="3"/>
      <c r="O583" s="3"/>
      <c r="P583" s="3"/>
      <c r="Q583" s="3"/>
      <c r="R583" s="3"/>
      <c r="S583" s="3"/>
      <c r="T583" s="3"/>
      <c r="U583" s="3"/>
      <c r="V583" s="3"/>
      <c r="W583" s="3"/>
      <c r="X583" s="3"/>
      <c r="Y583" s="3"/>
      <c r="Z583" s="3"/>
      <c r="AA583" s="3"/>
      <c r="AB583" s="3"/>
      <c r="AC583" s="3"/>
      <c r="AD583" s="3"/>
      <c r="AE583" s="3"/>
    </row>
    <row r="584">
      <c r="A584" s="3"/>
      <c r="B584" s="3"/>
      <c r="C584" s="3"/>
      <c r="D584" s="3"/>
      <c r="E584" s="3"/>
      <c r="F584" s="3"/>
      <c r="G584" s="3"/>
      <c r="H584" s="4"/>
      <c r="I584" s="8"/>
      <c r="J584" s="8"/>
      <c r="K584" s="3"/>
      <c r="L584" s="3"/>
      <c r="M584" s="3"/>
      <c r="N584" s="3"/>
      <c r="O584" s="3"/>
      <c r="P584" s="3"/>
      <c r="Q584" s="3"/>
      <c r="R584" s="3"/>
      <c r="S584" s="3"/>
      <c r="T584" s="3"/>
      <c r="U584" s="3"/>
      <c r="V584" s="3"/>
      <c r="W584" s="3"/>
      <c r="X584" s="3"/>
      <c r="Y584" s="3"/>
      <c r="Z584" s="3"/>
      <c r="AA584" s="3"/>
      <c r="AB584" s="3"/>
      <c r="AC584" s="3"/>
      <c r="AD584" s="3"/>
      <c r="AE584" s="3"/>
    </row>
    <row r="585">
      <c r="A585" s="3"/>
      <c r="B585" s="3"/>
      <c r="C585" s="3"/>
      <c r="D585" s="3"/>
      <c r="E585" s="3"/>
      <c r="F585" s="3"/>
      <c r="G585" s="3"/>
      <c r="H585" s="4"/>
      <c r="I585" s="8"/>
      <c r="J585" s="8"/>
      <c r="K585" s="3"/>
      <c r="L585" s="3"/>
      <c r="M585" s="3"/>
      <c r="N585" s="3"/>
      <c r="O585" s="3"/>
      <c r="P585" s="3"/>
      <c r="Q585" s="3"/>
      <c r="R585" s="3"/>
      <c r="S585" s="3"/>
      <c r="T585" s="3"/>
      <c r="U585" s="3"/>
      <c r="V585" s="3"/>
      <c r="W585" s="3"/>
      <c r="X585" s="3"/>
      <c r="Y585" s="3"/>
      <c r="Z585" s="3"/>
      <c r="AA585" s="3"/>
      <c r="AB585" s="3"/>
      <c r="AC585" s="3"/>
      <c r="AD585" s="3"/>
      <c r="AE585" s="3"/>
    </row>
    <row r="586">
      <c r="A586" s="3"/>
      <c r="B586" s="3"/>
      <c r="C586" s="3"/>
      <c r="D586" s="3"/>
      <c r="E586" s="3"/>
      <c r="F586" s="3"/>
      <c r="G586" s="3"/>
      <c r="H586" s="4"/>
      <c r="I586" s="8"/>
      <c r="J586" s="8"/>
      <c r="K586" s="3"/>
      <c r="L586" s="3"/>
      <c r="M586" s="3"/>
      <c r="N586" s="3"/>
      <c r="O586" s="3"/>
      <c r="P586" s="3"/>
      <c r="Q586" s="3"/>
      <c r="R586" s="3"/>
      <c r="S586" s="3"/>
      <c r="T586" s="3"/>
      <c r="U586" s="3"/>
      <c r="V586" s="3"/>
      <c r="W586" s="3"/>
      <c r="X586" s="3"/>
      <c r="Y586" s="3"/>
      <c r="Z586" s="3"/>
      <c r="AA586" s="3"/>
      <c r="AB586" s="3"/>
      <c r="AC586" s="3"/>
      <c r="AD586" s="3"/>
      <c r="AE586" s="3"/>
    </row>
    <row r="587">
      <c r="A587" s="3"/>
      <c r="B587" s="3"/>
      <c r="C587" s="3"/>
      <c r="D587" s="3"/>
      <c r="E587" s="3"/>
      <c r="F587" s="3"/>
      <c r="G587" s="3"/>
      <c r="H587" s="4"/>
      <c r="I587" s="8"/>
      <c r="J587" s="8"/>
      <c r="K587" s="3"/>
      <c r="L587" s="3"/>
      <c r="M587" s="3"/>
      <c r="N587" s="3"/>
      <c r="O587" s="3"/>
      <c r="P587" s="3"/>
      <c r="Q587" s="3"/>
      <c r="R587" s="3"/>
      <c r="S587" s="3"/>
      <c r="T587" s="3"/>
      <c r="U587" s="3"/>
      <c r="V587" s="3"/>
      <c r="W587" s="3"/>
      <c r="X587" s="3"/>
      <c r="Y587" s="3"/>
      <c r="Z587" s="3"/>
      <c r="AA587" s="3"/>
      <c r="AB587" s="3"/>
      <c r="AC587" s="3"/>
      <c r="AD587" s="3"/>
      <c r="AE587" s="3"/>
    </row>
    <row r="588">
      <c r="A588" s="3"/>
      <c r="B588" s="3"/>
      <c r="C588" s="3"/>
      <c r="D588" s="3"/>
      <c r="E588" s="3"/>
      <c r="F588" s="3"/>
      <c r="G588" s="3"/>
      <c r="H588" s="4"/>
      <c r="I588" s="8"/>
      <c r="J588" s="8"/>
      <c r="K588" s="3"/>
      <c r="L588" s="3"/>
      <c r="M588" s="3"/>
      <c r="N588" s="3"/>
      <c r="O588" s="3"/>
      <c r="P588" s="3"/>
      <c r="Q588" s="3"/>
      <c r="R588" s="3"/>
      <c r="S588" s="3"/>
      <c r="T588" s="3"/>
      <c r="U588" s="3"/>
      <c r="V588" s="3"/>
      <c r="W588" s="3"/>
      <c r="X588" s="3"/>
      <c r="Y588" s="3"/>
      <c r="Z588" s="3"/>
      <c r="AA588" s="3"/>
      <c r="AB588" s="3"/>
      <c r="AC588" s="3"/>
      <c r="AD588" s="3"/>
      <c r="AE588" s="3"/>
    </row>
    <row r="589">
      <c r="A589" s="3"/>
      <c r="B589" s="3"/>
      <c r="C589" s="3"/>
      <c r="D589" s="3"/>
      <c r="E589" s="3"/>
      <c r="F589" s="3"/>
      <c r="G589" s="3"/>
      <c r="H589" s="4"/>
      <c r="I589" s="8"/>
      <c r="J589" s="8"/>
      <c r="K589" s="3"/>
      <c r="L589" s="3"/>
      <c r="M589" s="3"/>
      <c r="N589" s="3"/>
      <c r="O589" s="3"/>
      <c r="P589" s="3"/>
      <c r="Q589" s="3"/>
      <c r="R589" s="3"/>
      <c r="S589" s="3"/>
      <c r="T589" s="3"/>
      <c r="U589" s="3"/>
      <c r="V589" s="3"/>
      <c r="W589" s="3"/>
      <c r="X589" s="3"/>
      <c r="Y589" s="3"/>
      <c r="Z589" s="3"/>
      <c r="AA589" s="3"/>
      <c r="AB589" s="3"/>
      <c r="AC589" s="3"/>
      <c r="AD589" s="3"/>
      <c r="AE589" s="3"/>
    </row>
    <row r="590">
      <c r="A590" s="3"/>
      <c r="B590" s="3"/>
      <c r="C590" s="3"/>
      <c r="D590" s="3"/>
      <c r="E590" s="3"/>
      <c r="F590" s="3"/>
      <c r="G590" s="3"/>
      <c r="H590" s="4"/>
      <c r="I590" s="8"/>
      <c r="J590" s="8"/>
      <c r="K590" s="3"/>
      <c r="L590" s="3"/>
      <c r="M590" s="3"/>
      <c r="N590" s="3"/>
      <c r="O590" s="3"/>
      <c r="P590" s="3"/>
      <c r="Q590" s="3"/>
      <c r="R590" s="3"/>
      <c r="S590" s="3"/>
      <c r="T590" s="3"/>
      <c r="U590" s="3"/>
      <c r="V590" s="3"/>
      <c r="W590" s="3"/>
      <c r="X590" s="3"/>
      <c r="Y590" s="3"/>
      <c r="Z590" s="3"/>
      <c r="AA590" s="3"/>
      <c r="AB590" s="3"/>
      <c r="AC590" s="3"/>
      <c r="AD590" s="3"/>
      <c r="AE590" s="3"/>
    </row>
    <row r="591">
      <c r="A591" s="3"/>
      <c r="B591" s="3"/>
      <c r="C591" s="3"/>
      <c r="D591" s="3"/>
      <c r="E591" s="3"/>
      <c r="F591" s="3"/>
      <c r="G591" s="3"/>
      <c r="H591" s="4"/>
      <c r="I591" s="8"/>
      <c r="J591" s="8"/>
      <c r="K591" s="3"/>
      <c r="L591" s="3"/>
      <c r="M591" s="3"/>
      <c r="N591" s="3"/>
      <c r="O591" s="3"/>
      <c r="P591" s="3"/>
      <c r="Q591" s="3"/>
      <c r="R591" s="3"/>
      <c r="S591" s="3"/>
      <c r="T591" s="3"/>
      <c r="U591" s="3"/>
      <c r="V591" s="3"/>
      <c r="W591" s="3"/>
      <c r="X591" s="3"/>
      <c r="Y591" s="3"/>
      <c r="Z591" s="3"/>
      <c r="AA591" s="3"/>
      <c r="AB591" s="3"/>
      <c r="AC591" s="3"/>
      <c r="AD591" s="3"/>
      <c r="AE591" s="3"/>
    </row>
    <row r="592">
      <c r="A592" s="3"/>
      <c r="B592" s="3"/>
      <c r="C592" s="3"/>
      <c r="D592" s="3"/>
      <c r="E592" s="3"/>
      <c r="F592" s="3"/>
      <c r="G592" s="3"/>
      <c r="H592" s="4"/>
      <c r="I592" s="8"/>
      <c r="J592" s="8"/>
      <c r="K592" s="3"/>
      <c r="L592" s="3"/>
      <c r="M592" s="3"/>
      <c r="N592" s="3"/>
      <c r="O592" s="3"/>
      <c r="P592" s="3"/>
      <c r="Q592" s="3"/>
      <c r="R592" s="3"/>
      <c r="S592" s="3"/>
      <c r="T592" s="3"/>
      <c r="U592" s="3"/>
      <c r="V592" s="3"/>
      <c r="W592" s="3"/>
      <c r="X592" s="3"/>
      <c r="Y592" s="3"/>
      <c r="Z592" s="3"/>
      <c r="AA592" s="3"/>
      <c r="AB592" s="3"/>
      <c r="AC592" s="3"/>
      <c r="AD592" s="3"/>
      <c r="AE592" s="3"/>
    </row>
    <row r="593">
      <c r="A593" s="3"/>
      <c r="B593" s="3"/>
      <c r="C593" s="3"/>
      <c r="D593" s="3"/>
      <c r="E593" s="3"/>
      <c r="F593" s="3"/>
      <c r="G593" s="3"/>
      <c r="H593" s="4"/>
      <c r="I593" s="8"/>
      <c r="J593" s="8"/>
      <c r="K593" s="3"/>
      <c r="L593" s="3"/>
      <c r="M593" s="3"/>
      <c r="N593" s="3"/>
      <c r="O593" s="3"/>
      <c r="P593" s="3"/>
      <c r="Q593" s="3"/>
      <c r="R593" s="3"/>
      <c r="S593" s="3"/>
      <c r="T593" s="3"/>
      <c r="U593" s="3"/>
      <c r="V593" s="3"/>
      <c r="W593" s="3"/>
      <c r="X593" s="3"/>
      <c r="Y593" s="3"/>
      <c r="Z593" s="3"/>
      <c r="AA593" s="3"/>
      <c r="AB593" s="3"/>
      <c r="AC593" s="3"/>
      <c r="AD593" s="3"/>
      <c r="AE593" s="3"/>
    </row>
    <row r="594">
      <c r="A594" s="3"/>
      <c r="B594" s="3"/>
      <c r="C594" s="3"/>
      <c r="D594" s="3"/>
      <c r="E594" s="3"/>
      <c r="F594" s="3"/>
      <c r="G594" s="3"/>
      <c r="H594" s="4"/>
      <c r="I594" s="8"/>
      <c r="J594" s="8"/>
      <c r="K594" s="3"/>
      <c r="L594" s="3"/>
      <c r="M594" s="3"/>
      <c r="N594" s="3"/>
      <c r="O594" s="3"/>
      <c r="P594" s="3"/>
      <c r="Q594" s="3"/>
      <c r="R594" s="3"/>
      <c r="S594" s="3"/>
      <c r="T594" s="3"/>
      <c r="U594" s="3"/>
      <c r="V594" s="3"/>
      <c r="W594" s="3"/>
      <c r="X594" s="3"/>
      <c r="Y594" s="3"/>
      <c r="Z594" s="3"/>
      <c r="AA594" s="3"/>
      <c r="AB594" s="3"/>
      <c r="AC594" s="3"/>
      <c r="AD594" s="3"/>
      <c r="AE594" s="3"/>
    </row>
    <row r="595">
      <c r="A595" s="3"/>
      <c r="B595" s="3"/>
      <c r="C595" s="3"/>
      <c r="D595" s="3"/>
      <c r="E595" s="3"/>
      <c r="F595" s="3"/>
      <c r="G595" s="3"/>
      <c r="H595" s="4"/>
      <c r="I595" s="8"/>
      <c r="J595" s="8"/>
      <c r="K595" s="3"/>
      <c r="L595" s="3"/>
      <c r="M595" s="3"/>
      <c r="N595" s="3"/>
      <c r="O595" s="3"/>
      <c r="P595" s="3"/>
      <c r="Q595" s="3"/>
      <c r="R595" s="3"/>
      <c r="S595" s="3"/>
      <c r="T595" s="3"/>
      <c r="U595" s="3"/>
      <c r="V595" s="3"/>
      <c r="W595" s="3"/>
      <c r="X595" s="3"/>
      <c r="Y595" s="3"/>
      <c r="Z595" s="3"/>
      <c r="AA595" s="3"/>
      <c r="AB595" s="3"/>
      <c r="AC595" s="3"/>
      <c r="AD595" s="3"/>
      <c r="AE595" s="3"/>
    </row>
    <row r="596">
      <c r="A596" s="3"/>
      <c r="B596" s="3"/>
      <c r="C596" s="3"/>
      <c r="D596" s="3"/>
      <c r="E596" s="3"/>
      <c r="F596" s="3"/>
      <c r="G596" s="3"/>
      <c r="H596" s="4"/>
      <c r="I596" s="8"/>
      <c r="J596" s="8"/>
      <c r="K596" s="3"/>
      <c r="L596" s="3"/>
      <c r="M596" s="3"/>
      <c r="N596" s="3"/>
      <c r="O596" s="3"/>
      <c r="P596" s="3"/>
      <c r="Q596" s="3"/>
      <c r="R596" s="3"/>
      <c r="S596" s="3"/>
      <c r="T596" s="3"/>
      <c r="U596" s="3"/>
      <c r="V596" s="3"/>
      <c r="W596" s="3"/>
      <c r="X596" s="3"/>
      <c r="Y596" s="3"/>
      <c r="Z596" s="3"/>
      <c r="AA596" s="3"/>
      <c r="AB596" s="3"/>
      <c r="AC596" s="3"/>
      <c r="AD596" s="3"/>
      <c r="AE596" s="3"/>
    </row>
    <row r="597">
      <c r="A597" s="3"/>
      <c r="B597" s="3"/>
      <c r="C597" s="3"/>
      <c r="D597" s="3"/>
      <c r="E597" s="3"/>
      <c r="F597" s="3"/>
      <c r="G597" s="3"/>
      <c r="H597" s="4"/>
      <c r="I597" s="8"/>
      <c r="J597" s="8"/>
      <c r="K597" s="3"/>
      <c r="L597" s="3"/>
      <c r="M597" s="3"/>
      <c r="N597" s="3"/>
      <c r="O597" s="3"/>
      <c r="P597" s="3"/>
      <c r="Q597" s="3"/>
      <c r="R597" s="3"/>
      <c r="S597" s="3"/>
      <c r="T597" s="3"/>
      <c r="U597" s="3"/>
      <c r="V597" s="3"/>
      <c r="W597" s="3"/>
      <c r="X597" s="3"/>
      <c r="Y597" s="3"/>
      <c r="Z597" s="3"/>
      <c r="AA597" s="3"/>
      <c r="AB597" s="3"/>
      <c r="AC597" s="3"/>
      <c r="AD597" s="3"/>
      <c r="AE597" s="3"/>
    </row>
    <row r="598">
      <c r="A598" s="3"/>
      <c r="B598" s="3"/>
      <c r="C598" s="3"/>
      <c r="D598" s="3"/>
      <c r="E598" s="3"/>
      <c r="F598" s="3"/>
      <c r="G598" s="3"/>
      <c r="H598" s="4"/>
      <c r="I598" s="8"/>
      <c r="J598" s="8"/>
      <c r="K598" s="3"/>
      <c r="L598" s="3"/>
      <c r="M598" s="3"/>
      <c r="N598" s="3"/>
      <c r="O598" s="3"/>
      <c r="P598" s="3"/>
      <c r="Q598" s="3"/>
      <c r="R598" s="3"/>
      <c r="S598" s="3"/>
      <c r="T598" s="3"/>
      <c r="U598" s="3"/>
      <c r="V598" s="3"/>
      <c r="W598" s="3"/>
      <c r="X598" s="3"/>
      <c r="Y598" s="3"/>
      <c r="Z598" s="3"/>
      <c r="AA598" s="3"/>
      <c r="AB598" s="3"/>
      <c r="AC598" s="3"/>
      <c r="AD598" s="3"/>
      <c r="AE598" s="3"/>
    </row>
    <row r="599">
      <c r="A599" s="3"/>
      <c r="B599" s="3"/>
      <c r="C599" s="3"/>
      <c r="D599" s="3"/>
      <c r="E599" s="3"/>
      <c r="F599" s="3"/>
      <c r="G599" s="3"/>
      <c r="H599" s="4"/>
      <c r="I599" s="8"/>
      <c r="J599" s="8"/>
      <c r="K599" s="3"/>
      <c r="L599" s="3"/>
      <c r="M599" s="3"/>
      <c r="N599" s="3"/>
      <c r="O599" s="3"/>
      <c r="P599" s="3"/>
      <c r="Q599" s="3"/>
      <c r="R599" s="3"/>
      <c r="S599" s="3"/>
      <c r="T599" s="3"/>
      <c r="U599" s="3"/>
      <c r="V599" s="3"/>
      <c r="W599" s="3"/>
      <c r="X599" s="3"/>
      <c r="Y599" s="3"/>
      <c r="Z599" s="3"/>
      <c r="AA599" s="3"/>
      <c r="AB599" s="3"/>
      <c r="AC599" s="3"/>
      <c r="AD599" s="3"/>
      <c r="AE599" s="3"/>
    </row>
    <row r="600">
      <c r="A600" s="3"/>
      <c r="B600" s="3"/>
      <c r="C600" s="3"/>
      <c r="D600" s="3"/>
      <c r="E600" s="3"/>
      <c r="F600" s="3"/>
      <c r="G600" s="3"/>
      <c r="H600" s="4"/>
      <c r="I600" s="8"/>
      <c r="J600" s="8"/>
      <c r="K600" s="3"/>
      <c r="L600" s="3"/>
      <c r="M600" s="3"/>
      <c r="N600" s="3"/>
      <c r="O600" s="3"/>
      <c r="P600" s="3"/>
      <c r="Q600" s="3"/>
      <c r="R600" s="3"/>
      <c r="S600" s="3"/>
      <c r="T600" s="3"/>
      <c r="U600" s="3"/>
      <c r="V600" s="3"/>
      <c r="W600" s="3"/>
      <c r="X600" s="3"/>
      <c r="Y600" s="3"/>
      <c r="Z600" s="3"/>
      <c r="AA600" s="3"/>
      <c r="AB600" s="3"/>
      <c r="AC600" s="3"/>
      <c r="AD600" s="3"/>
      <c r="AE600" s="3"/>
    </row>
    <row r="601">
      <c r="A601" s="3"/>
      <c r="B601" s="3"/>
      <c r="C601" s="3"/>
      <c r="D601" s="3"/>
      <c r="E601" s="3"/>
      <c r="F601" s="3"/>
      <c r="G601" s="3"/>
      <c r="H601" s="4"/>
      <c r="I601" s="8"/>
      <c r="J601" s="8"/>
      <c r="K601" s="3"/>
      <c r="L601" s="3"/>
      <c r="M601" s="3"/>
      <c r="N601" s="3"/>
      <c r="O601" s="3"/>
      <c r="P601" s="3"/>
      <c r="Q601" s="3"/>
      <c r="R601" s="3"/>
      <c r="S601" s="3"/>
      <c r="T601" s="3"/>
      <c r="U601" s="3"/>
      <c r="V601" s="3"/>
      <c r="W601" s="3"/>
      <c r="X601" s="3"/>
      <c r="Y601" s="3"/>
      <c r="Z601" s="3"/>
      <c r="AA601" s="3"/>
      <c r="AB601" s="3"/>
      <c r="AC601" s="3"/>
      <c r="AD601" s="3"/>
      <c r="AE601" s="3"/>
    </row>
    <row r="602">
      <c r="A602" s="3"/>
      <c r="B602" s="3"/>
      <c r="C602" s="3"/>
      <c r="D602" s="3"/>
      <c r="E602" s="3"/>
      <c r="F602" s="3"/>
      <c r="G602" s="3"/>
      <c r="H602" s="4"/>
      <c r="I602" s="8"/>
      <c r="J602" s="8"/>
      <c r="K602" s="3"/>
      <c r="L602" s="3"/>
      <c r="M602" s="3"/>
      <c r="N602" s="3"/>
      <c r="O602" s="3"/>
      <c r="P602" s="3"/>
      <c r="Q602" s="3"/>
      <c r="R602" s="3"/>
      <c r="S602" s="3"/>
      <c r="T602" s="3"/>
      <c r="U602" s="3"/>
      <c r="V602" s="3"/>
      <c r="W602" s="3"/>
      <c r="X602" s="3"/>
      <c r="Y602" s="3"/>
      <c r="Z602" s="3"/>
      <c r="AA602" s="3"/>
      <c r="AB602" s="3"/>
      <c r="AC602" s="3"/>
      <c r="AD602" s="3"/>
      <c r="AE602" s="3"/>
    </row>
    <row r="603">
      <c r="A603" s="3"/>
      <c r="B603" s="3"/>
      <c r="C603" s="3"/>
      <c r="D603" s="3"/>
      <c r="E603" s="3"/>
      <c r="F603" s="3"/>
      <c r="G603" s="3"/>
      <c r="H603" s="4"/>
      <c r="I603" s="8"/>
      <c r="J603" s="8"/>
      <c r="K603" s="3"/>
      <c r="L603" s="3"/>
      <c r="M603" s="3"/>
      <c r="N603" s="3"/>
      <c r="O603" s="3"/>
      <c r="P603" s="3"/>
      <c r="Q603" s="3"/>
      <c r="R603" s="3"/>
      <c r="S603" s="3"/>
      <c r="T603" s="3"/>
      <c r="U603" s="3"/>
      <c r="V603" s="3"/>
      <c r="W603" s="3"/>
      <c r="X603" s="3"/>
      <c r="Y603" s="3"/>
      <c r="Z603" s="3"/>
      <c r="AA603" s="3"/>
      <c r="AB603" s="3"/>
      <c r="AC603" s="3"/>
      <c r="AD603" s="3"/>
      <c r="AE603" s="3"/>
    </row>
    <row r="604">
      <c r="A604" s="3"/>
      <c r="B604" s="3"/>
      <c r="C604" s="3"/>
      <c r="D604" s="3"/>
      <c r="E604" s="3"/>
      <c r="F604" s="3"/>
      <c r="G604" s="3"/>
      <c r="H604" s="4"/>
      <c r="I604" s="8"/>
      <c r="J604" s="8"/>
      <c r="K604" s="3"/>
      <c r="L604" s="3"/>
      <c r="M604" s="3"/>
      <c r="N604" s="3"/>
      <c r="O604" s="3"/>
      <c r="P604" s="3"/>
      <c r="Q604" s="3"/>
      <c r="R604" s="3"/>
      <c r="S604" s="3"/>
      <c r="T604" s="3"/>
      <c r="U604" s="3"/>
      <c r="V604" s="3"/>
      <c r="W604" s="3"/>
      <c r="X604" s="3"/>
      <c r="Y604" s="3"/>
      <c r="Z604" s="3"/>
      <c r="AA604" s="3"/>
      <c r="AB604" s="3"/>
      <c r="AC604" s="3"/>
      <c r="AD604" s="3"/>
      <c r="AE604" s="3"/>
    </row>
    <row r="605">
      <c r="A605" s="3"/>
      <c r="B605" s="3"/>
      <c r="C605" s="3"/>
      <c r="D605" s="3"/>
      <c r="E605" s="3"/>
      <c r="F605" s="3"/>
      <c r="G605" s="3"/>
      <c r="H605" s="4"/>
      <c r="I605" s="8"/>
      <c r="J605" s="8"/>
      <c r="K605" s="3"/>
      <c r="L605" s="3"/>
      <c r="M605" s="3"/>
      <c r="N605" s="3"/>
      <c r="O605" s="3"/>
      <c r="P605" s="3"/>
      <c r="Q605" s="3"/>
      <c r="R605" s="3"/>
      <c r="S605" s="3"/>
      <c r="T605" s="3"/>
      <c r="U605" s="3"/>
      <c r="V605" s="3"/>
      <c r="W605" s="3"/>
      <c r="X605" s="3"/>
      <c r="Y605" s="3"/>
      <c r="Z605" s="3"/>
      <c r="AA605" s="3"/>
      <c r="AB605" s="3"/>
      <c r="AC605" s="3"/>
      <c r="AD605" s="3"/>
      <c r="AE605" s="3"/>
    </row>
    <row r="606">
      <c r="A606" s="3"/>
      <c r="B606" s="3"/>
      <c r="C606" s="3"/>
      <c r="D606" s="3"/>
      <c r="E606" s="3"/>
      <c r="F606" s="3"/>
      <c r="G606" s="3"/>
      <c r="H606" s="4"/>
      <c r="I606" s="8"/>
      <c r="J606" s="8"/>
      <c r="K606" s="3"/>
      <c r="L606" s="3"/>
      <c r="M606" s="3"/>
      <c r="N606" s="3"/>
      <c r="O606" s="3"/>
      <c r="P606" s="3"/>
      <c r="Q606" s="3"/>
      <c r="R606" s="3"/>
      <c r="S606" s="3"/>
      <c r="T606" s="3"/>
      <c r="U606" s="3"/>
      <c r="V606" s="3"/>
      <c r="W606" s="3"/>
      <c r="X606" s="3"/>
      <c r="Y606" s="3"/>
      <c r="Z606" s="3"/>
      <c r="AA606" s="3"/>
      <c r="AB606" s="3"/>
      <c r="AC606" s="3"/>
      <c r="AD606" s="3"/>
      <c r="AE606" s="3"/>
    </row>
    <row r="607">
      <c r="A607" s="3"/>
      <c r="B607" s="3"/>
      <c r="C607" s="3"/>
      <c r="D607" s="3"/>
      <c r="E607" s="3"/>
      <c r="F607" s="3"/>
      <c r="G607" s="3"/>
      <c r="H607" s="4"/>
      <c r="I607" s="8"/>
      <c r="J607" s="8"/>
      <c r="K607" s="3"/>
      <c r="L607" s="3"/>
      <c r="M607" s="3"/>
      <c r="N607" s="3"/>
      <c r="O607" s="3"/>
      <c r="P607" s="3"/>
      <c r="Q607" s="3"/>
      <c r="R607" s="3"/>
      <c r="S607" s="3"/>
      <c r="T607" s="3"/>
      <c r="U607" s="3"/>
      <c r="V607" s="3"/>
      <c r="W607" s="3"/>
      <c r="X607" s="3"/>
      <c r="Y607" s="3"/>
      <c r="Z607" s="3"/>
      <c r="AA607" s="3"/>
      <c r="AB607" s="3"/>
      <c r="AC607" s="3"/>
      <c r="AD607" s="3"/>
      <c r="AE607" s="3"/>
    </row>
    <row r="608">
      <c r="A608" s="3"/>
      <c r="B608" s="3"/>
      <c r="C608" s="3"/>
      <c r="D608" s="3"/>
      <c r="E608" s="3"/>
      <c r="F608" s="3"/>
      <c r="G608" s="3"/>
      <c r="H608" s="4"/>
      <c r="I608" s="8"/>
      <c r="J608" s="8"/>
      <c r="K608" s="3"/>
      <c r="L608" s="3"/>
      <c r="M608" s="3"/>
      <c r="N608" s="3"/>
      <c r="O608" s="3"/>
      <c r="P608" s="3"/>
      <c r="Q608" s="3"/>
      <c r="R608" s="3"/>
      <c r="S608" s="3"/>
      <c r="T608" s="3"/>
      <c r="U608" s="3"/>
      <c r="V608" s="3"/>
      <c r="W608" s="3"/>
      <c r="X608" s="3"/>
      <c r="Y608" s="3"/>
      <c r="Z608" s="3"/>
      <c r="AA608" s="3"/>
      <c r="AB608" s="3"/>
      <c r="AC608" s="3"/>
      <c r="AD608" s="3"/>
      <c r="AE608" s="3"/>
    </row>
    <row r="609">
      <c r="A609" s="3"/>
      <c r="B609" s="3"/>
      <c r="C609" s="3"/>
      <c r="D609" s="3"/>
      <c r="E609" s="3"/>
      <c r="F609" s="3"/>
      <c r="G609" s="3"/>
      <c r="H609" s="4"/>
      <c r="I609" s="8"/>
      <c r="J609" s="8"/>
      <c r="K609" s="3"/>
      <c r="L609" s="3"/>
      <c r="M609" s="3"/>
      <c r="N609" s="3"/>
      <c r="O609" s="3"/>
      <c r="P609" s="3"/>
      <c r="Q609" s="3"/>
      <c r="R609" s="3"/>
      <c r="S609" s="3"/>
      <c r="T609" s="3"/>
      <c r="U609" s="3"/>
      <c r="V609" s="3"/>
      <c r="W609" s="3"/>
      <c r="X609" s="3"/>
      <c r="Y609" s="3"/>
      <c r="Z609" s="3"/>
      <c r="AA609" s="3"/>
      <c r="AB609" s="3"/>
      <c r="AC609" s="3"/>
      <c r="AD609" s="3"/>
      <c r="AE609" s="3"/>
    </row>
    <row r="610">
      <c r="A610" s="3"/>
      <c r="B610" s="3"/>
      <c r="C610" s="3"/>
      <c r="D610" s="3"/>
      <c r="E610" s="3"/>
      <c r="F610" s="3"/>
      <c r="G610" s="3"/>
      <c r="H610" s="4"/>
      <c r="I610" s="8"/>
      <c r="J610" s="8"/>
      <c r="K610" s="3"/>
      <c r="L610" s="3"/>
      <c r="M610" s="3"/>
      <c r="N610" s="3"/>
      <c r="O610" s="3"/>
      <c r="P610" s="3"/>
      <c r="Q610" s="3"/>
      <c r="R610" s="3"/>
      <c r="S610" s="3"/>
      <c r="T610" s="3"/>
      <c r="U610" s="3"/>
      <c r="V610" s="3"/>
      <c r="W610" s="3"/>
      <c r="X610" s="3"/>
      <c r="Y610" s="3"/>
      <c r="Z610" s="3"/>
      <c r="AA610" s="3"/>
      <c r="AB610" s="3"/>
      <c r="AC610" s="3"/>
      <c r="AD610" s="3"/>
      <c r="AE610" s="3"/>
    </row>
    <row r="611">
      <c r="A611" s="3"/>
      <c r="B611" s="3"/>
      <c r="C611" s="3"/>
      <c r="D611" s="3"/>
      <c r="E611" s="3"/>
      <c r="F611" s="3"/>
      <c r="G611" s="3"/>
      <c r="H611" s="4"/>
      <c r="I611" s="8"/>
      <c r="J611" s="8"/>
      <c r="K611" s="3"/>
      <c r="L611" s="3"/>
      <c r="M611" s="3"/>
      <c r="N611" s="3"/>
      <c r="O611" s="3"/>
      <c r="P611" s="3"/>
      <c r="Q611" s="3"/>
      <c r="R611" s="3"/>
      <c r="S611" s="3"/>
      <c r="T611" s="3"/>
      <c r="U611" s="3"/>
      <c r="V611" s="3"/>
      <c r="W611" s="3"/>
      <c r="X611" s="3"/>
      <c r="Y611" s="3"/>
      <c r="Z611" s="3"/>
      <c r="AA611" s="3"/>
      <c r="AB611" s="3"/>
      <c r="AC611" s="3"/>
      <c r="AD611" s="3"/>
      <c r="AE611" s="3"/>
    </row>
    <row r="612">
      <c r="A612" s="3"/>
      <c r="B612" s="3"/>
      <c r="C612" s="3"/>
      <c r="D612" s="3"/>
      <c r="E612" s="3"/>
      <c r="F612" s="3"/>
      <c r="G612" s="3"/>
      <c r="H612" s="4"/>
      <c r="I612" s="8"/>
      <c r="J612" s="8"/>
      <c r="K612" s="3"/>
      <c r="L612" s="3"/>
      <c r="M612" s="3"/>
      <c r="N612" s="3"/>
      <c r="O612" s="3"/>
      <c r="P612" s="3"/>
      <c r="Q612" s="3"/>
      <c r="R612" s="3"/>
      <c r="S612" s="3"/>
      <c r="T612" s="3"/>
      <c r="U612" s="3"/>
      <c r="V612" s="3"/>
      <c r="W612" s="3"/>
      <c r="X612" s="3"/>
      <c r="Y612" s="3"/>
      <c r="Z612" s="3"/>
      <c r="AA612" s="3"/>
      <c r="AB612" s="3"/>
      <c r="AC612" s="3"/>
      <c r="AD612" s="3"/>
      <c r="AE612" s="3"/>
    </row>
    <row r="613">
      <c r="A613" s="3"/>
      <c r="B613" s="3"/>
      <c r="C613" s="3"/>
      <c r="D613" s="3"/>
      <c r="E613" s="3"/>
      <c r="F613" s="3"/>
      <c r="G613" s="3"/>
      <c r="H613" s="4"/>
      <c r="I613" s="8"/>
      <c r="J613" s="8"/>
      <c r="K613" s="3"/>
      <c r="L613" s="3"/>
      <c r="M613" s="3"/>
      <c r="N613" s="3"/>
      <c r="O613" s="3"/>
      <c r="P613" s="3"/>
      <c r="Q613" s="3"/>
      <c r="R613" s="3"/>
      <c r="S613" s="3"/>
      <c r="T613" s="3"/>
      <c r="U613" s="3"/>
      <c r="V613" s="3"/>
      <c r="W613" s="3"/>
      <c r="X613" s="3"/>
      <c r="Y613" s="3"/>
      <c r="Z613" s="3"/>
      <c r="AA613" s="3"/>
      <c r="AB613" s="3"/>
      <c r="AC613" s="3"/>
      <c r="AD613" s="3"/>
      <c r="AE613" s="3"/>
    </row>
    <row r="614">
      <c r="A614" s="3"/>
      <c r="B614" s="3"/>
      <c r="C614" s="3"/>
      <c r="D614" s="3"/>
      <c r="E614" s="3"/>
      <c r="F614" s="3"/>
      <c r="G614" s="3"/>
      <c r="H614" s="4"/>
      <c r="I614" s="8"/>
      <c r="J614" s="8"/>
      <c r="K614" s="3"/>
      <c r="L614" s="3"/>
      <c r="M614" s="3"/>
      <c r="N614" s="3"/>
      <c r="O614" s="3"/>
      <c r="P614" s="3"/>
      <c r="Q614" s="3"/>
      <c r="R614" s="3"/>
      <c r="S614" s="3"/>
      <c r="T614" s="3"/>
      <c r="U614" s="3"/>
      <c r="V614" s="3"/>
      <c r="W614" s="3"/>
      <c r="X614" s="3"/>
      <c r="Y614" s="3"/>
      <c r="Z614" s="3"/>
      <c r="AA614" s="3"/>
      <c r="AB614" s="3"/>
      <c r="AC614" s="3"/>
      <c r="AD614" s="3"/>
      <c r="AE614" s="3"/>
    </row>
    <row r="615">
      <c r="A615" s="3"/>
      <c r="B615" s="3"/>
      <c r="C615" s="3"/>
      <c r="D615" s="3"/>
      <c r="E615" s="3"/>
      <c r="F615" s="3"/>
      <c r="G615" s="3"/>
      <c r="H615" s="4"/>
      <c r="I615" s="8"/>
      <c r="J615" s="8"/>
      <c r="K615" s="3"/>
      <c r="L615" s="3"/>
      <c r="M615" s="3"/>
      <c r="N615" s="3"/>
      <c r="O615" s="3"/>
      <c r="P615" s="3"/>
      <c r="Q615" s="3"/>
      <c r="R615" s="3"/>
      <c r="S615" s="3"/>
      <c r="T615" s="3"/>
      <c r="U615" s="3"/>
      <c r="V615" s="3"/>
      <c r="W615" s="3"/>
      <c r="X615" s="3"/>
      <c r="Y615" s="3"/>
      <c r="Z615" s="3"/>
      <c r="AA615" s="3"/>
      <c r="AB615" s="3"/>
      <c r="AC615" s="3"/>
      <c r="AD615" s="3"/>
      <c r="AE615" s="3"/>
    </row>
    <row r="616">
      <c r="A616" s="3"/>
      <c r="B616" s="3"/>
      <c r="C616" s="3"/>
      <c r="D616" s="3"/>
      <c r="E616" s="3"/>
      <c r="F616" s="3"/>
      <c r="G616" s="3"/>
      <c r="H616" s="4"/>
      <c r="I616" s="8"/>
      <c r="J616" s="8"/>
      <c r="K616" s="3"/>
      <c r="L616" s="3"/>
      <c r="M616" s="3"/>
      <c r="N616" s="3"/>
      <c r="O616" s="3"/>
      <c r="P616" s="3"/>
      <c r="Q616" s="3"/>
      <c r="R616" s="3"/>
      <c r="S616" s="3"/>
      <c r="T616" s="3"/>
      <c r="U616" s="3"/>
      <c r="V616" s="3"/>
      <c r="W616" s="3"/>
      <c r="X616" s="3"/>
      <c r="Y616" s="3"/>
      <c r="Z616" s="3"/>
      <c r="AA616" s="3"/>
      <c r="AB616" s="3"/>
      <c r="AC616" s="3"/>
      <c r="AD616" s="3"/>
      <c r="AE616" s="3"/>
    </row>
    <row r="617">
      <c r="A617" s="3"/>
      <c r="B617" s="3"/>
      <c r="C617" s="3"/>
      <c r="D617" s="3"/>
      <c r="E617" s="3"/>
      <c r="F617" s="3"/>
      <c r="G617" s="3"/>
      <c r="H617" s="4"/>
      <c r="I617" s="8"/>
      <c r="J617" s="8"/>
      <c r="K617" s="3"/>
      <c r="L617" s="3"/>
      <c r="M617" s="3"/>
      <c r="N617" s="3"/>
      <c r="O617" s="3"/>
      <c r="P617" s="3"/>
      <c r="Q617" s="3"/>
      <c r="R617" s="3"/>
      <c r="S617" s="3"/>
      <c r="T617" s="3"/>
      <c r="U617" s="3"/>
      <c r="V617" s="3"/>
      <c r="W617" s="3"/>
      <c r="X617" s="3"/>
      <c r="Y617" s="3"/>
      <c r="Z617" s="3"/>
      <c r="AA617" s="3"/>
      <c r="AB617" s="3"/>
      <c r="AC617" s="3"/>
      <c r="AD617" s="3"/>
      <c r="AE617" s="3"/>
    </row>
    <row r="618">
      <c r="A618" s="3"/>
      <c r="B618" s="3"/>
      <c r="C618" s="3"/>
      <c r="D618" s="3"/>
      <c r="E618" s="3"/>
      <c r="F618" s="3"/>
      <c r="G618" s="3"/>
      <c r="H618" s="4"/>
      <c r="I618" s="8"/>
      <c r="J618" s="8"/>
      <c r="K618" s="3"/>
      <c r="L618" s="3"/>
      <c r="M618" s="3"/>
      <c r="N618" s="3"/>
      <c r="O618" s="3"/>
      <c r="P618" s="3"/>
      <c r="Q618" s="3"/>
      <c r="R618" s="3"/>
      <c r="S618" s="3"/>
      <c r="T618" s="3"/>
      <c r="U618" s="3"/>
      <c r="V618" s="3"/>
      <c r="W618" s="3"/>
      <c r="X618" s="3"/>
      <c r="Y618" s="3"/>
      <c r="Z618" s="3"/>
      <c r="AA618" s="3"/>
      <c r="AB618" s="3"/>
      <c r="AC618" s="3"/>
      <c r="AD618" s="3"/>
      <c r="AE618" s="3"/>
    </row>
    <row r="619">
      <c r="A619" s="3"/>
      <c r="B619" s="3"/>
      <c r="C619" s="3"/>
      <c r="D619" s="3"/>
      <c r="E619" s="3"/>
      <c r="F619" s="3"/>
      <c r="G619" s="3"/>
      <c r="H619" s="4"/>
      <c r="I619" s="8"/>
      <c r="J619" s="8"/>
      <c r="K619" s="3"/>
      <c r="L619" s="3"/>
      <c r="M619" s="3"/>
      <c r="N619" s="3"/>
      <c r="O619" s="3"/>
      <c r="P619" s="3"/>
      <c r="Q619" s="3"/>
      <c r="R619" s="3"/>
      <c r="S619" s="3"/>
      <c r="T619" s="3"/>
      <c r="U619" s="3"/>
      <c r="V619" s="3"/>
      <c r="W619" s="3"/>
      <c r="X619" s="3"/>
      <c r="Y619" s="3"/>
      <c r="Z619" s="3"/>
      <c r="AA619" s="3"/>
      <c r="AB619" s="3"/>
      <c r="AC619" s="3"/>
      <c r="AD619" s="3"/>
      <c r="AE619" s="3"/>
    </row>
    <row r="620">
      <c r="A620" s="3"/>
      <c r="B620" s="3"/>
      <c r="C620" s="3"/>
      <c r="D620" s="3"/>
      <c r="E620" s="3"/>
      <c r="F620" s="3"/>
      <c r="G620" s="3"/>
      <c r="H620" s="4"/>
      <c r="I620" s="8"/>
      <c r="J620" s="8"/>
      <c r="K620" s="3"/>
      <c r="L620" s="3"/>
      <c r="M620" s="3"/>
      <c r="N620" s="3"/>
      <c r="O620" s="3"/>
      <c r="P620" s="3"/>
      <c r="Q620" s="3"/>
      <c r="R620" s="3"/>
      <c r="S620" s="3"/>
      <c r="T620" s="3"/>
      <c r="U620" s="3"/>
      <c r="V620" s="3"/>
      <c r="W620" s="3"/>
      <c r="X620" s="3"/>
      <c r="Y620" s="3"/>
      <c r="Z620" s="3"/>
      <c r="AA620" s="3"/>
      <c r="AB620" s="3"/>
      <c r="AC620" s="3"/>
      <c r="AD620" s="3"/>
      <c r="AE620" s="3"/>
    </row>
    <row r="621">
      <c r="A621" s="3"/>
      <c r="B621" s="3"/>
      <c r="C621" s="3"/>
      <c r="D621" s="3"/>
      <c r="E621" s="3"/>
      <c r="F621" s="3"/>
      <c r="G621" s="3"/>
      <c r="H621" s="4"/>
      <c r="I621" s="8"/>
      <c r="J621" s="8"/>
      <c r="K621" s="3"/>
      <c r="L621" s="3"/>
      <c r="M621" s="3"/>
      <c r="N621" s="3"/>
      <c r="O621" s="3"/>
      <c r="P621" s="3"/>
      <c r="Q621" s="3"/>
      <c r="R621" s="3"/>
      <c r="S621" s="3"/>
      <c r="T621" s="3"/>
      <c r="U621" s="3"/>
      <c r="V621" s="3"/>
      <c r="W621" s="3"/>
      <c r="X621" s="3"/>
      <c r="Y621" s="3"/>
      <c r="Z621" s="3"/>
      <c r="AA621" s="3"/>
      <c r="AB621" s="3"/>
      <c r="AC621" s="3"/>
      <c r="AD621" s="3"/>
      <c r="AE621" s="3"/>
    </row>
    <row r="622">
      <c r="A622" s="3"/>
      <c r="B622" s="3"/>
      <c r="C622" s="3"/>
      <c r="D622" s="3"/>
      <c r="E622" s="3"/>
      <c r="F622" s="3"/>
      <c r="G622" s="3"/>
      <c r="H622" s="4"/>
      <c r="I622" s="8"/>
      <c r="J622" s="8"/>
      <c r="K622" s="3"/>
      <c r="L622" s="3"/>
      <c r="M622" s="3"/>
      <c r="N622" s="3"/>
      <c r="O622" s="3"/>
      <c r="P622" s="3"/>
      <c r="Q622" s="3"/>
      <c r="R622" s="3"/>
      <c r="S622" s="3"/>
      <c r="T622" s="3"/>
      <c r="U622" s="3"/>
      <c r="V622" s="3"/>
      <c r="W622" s="3"/>
      <c r="X622" s="3"/>
      <c r="Y622" s="3"/>
      <c r="Z622" s="3"/>
      <c r="AA622" s="3"/>
      <c r="AB622" s="3"/>
      <c r="AC622" s="3"/>
      <c r="AD622" s="3"/>
      <c r="AE622" s="3"/>
    </row>
    <row r="623">
      <c r="A623" s="3"/>
      <c r="B623" s="3"/>
      <c r="C623" s="3"/>
      <c r="D623" s="3"/>
      <c r="E623" s="3"/>
      <c r="F623" s="3"/>
      <c r="G623" s="3"/>
      <c r="H623" s="4"/>
      <c r="I623" s="8"/>
      <c r="J623" s="8"/>
      <c r="K623" s="3"/>
      <c r="L623" s="3"/>
      <c r="M623" s="3"/>
      <c r="N623" s="3"/>
      <c r="O623" s="3"/>
      <c r="P623" s="3"/>
      <c r="Q623" s="3"/>
      <c r="R623" s="3"/>
      <c r="S623" s="3"/>
      <c r="T623" s="3"/>
      <c r="U623" s="3"/>
      <c r="V623" s="3"/>
      <c r="W623" s="3"/>
      <c r="X623" s="3"/>
      <c r="Y623" s="3"/>
      <c r="Z623" s="3"/>
      <c r="AA623" s="3"/>
      <c r="AB623" s="3"/>
      <c r="AC623" s="3"/>
      <c r="AD623" s="3"/>
      <c r="AE623" s="3"/>
    </row>
    <row r="624">
      <c r="A624" s="3"/>
      <c r="B624" s="3"/>
      <c r="C624" s="3"/>
      <c r="D624" s="3"/>
      <c r="E624" s="3"/>
      <c r="F624" s="3"/>
      <c r="G624" s="3"/>
      <c r="H624" s="4"/>
      <c r="I624" s="8"/>
      <c r="J624" s="8"/>
      <c r="K624" s="3"/>
      <c r="L624" s="3"/>
      <c r="M624" s="3"/>
      <c r="N624" s="3"/>
      <c r="O624" s="3"/>
      <c r="P624" s="3"/>
      <c r="Q624" s="3"/>
      <c r="R624" s="3"/>
      <c r="S624" s="3"/>
      <c r="T624" s="3"/>
      <c r="U624" s="3"/>
      <c r="V624" s="3"/>
      <c r="W624" s="3"/>
      <c r="X624" s="3"/>
      <c r="Y624" s="3"/>
      <c r="Z624" s="3"/>
      <c r="AA624" s="3"/>
      <c r="AB624" s="3"/>
      <c r="AC624" s="3"/>
      <c r="AD624" s="3"/>
      <c r="AE624" s="3"/>
    </row>
    <row r="625">
      <c r="A625" s="3"/>
      <c r="B625" s="3"/>
      <c r="C625" s="3"/>
      <c r="D625" s="3"/>
      <c r="E625" s="3"/>
      <c r="F625" s="3"/>
      <c r="G625" s="3"/>
      <c r="H625" s="4"/>
      <c r="I625" s="8"/>
      <c r="J625" s="8"/>
      <c r="K625" s="3"/>
      <c r="L625" s="3"/>
      <c r="M625" s="3"/>
      <c r="N625" s="3"/>
      <c r="O625" s="3"/>
      <c r="P625" s="3"/>
      <c r="Q625" s="3"/>
      <c r="R625" s="3"/>
      <c r="S625" s="3"/>
      <c r="T625" s="3"/>
      <c r="U625" s="3"/>
      <c r="V625" s="3"/>
      <c r="W625" s="3"/>
      <c r="X625" s="3"/>
      <c r="Y625" s="3"/>
      <c r="Z625" s="3"/>
      <c r="AA625" s="3"/>
      <c r="AB625" s="3"/>
      <c r="AC625" s="3"/>
      <c r="AD625" s="3"/>
      <c r="AE625" s="3"/>
    </row>
    <row r="626">
      <c r="A626" s="3"/>
      <c r="B626" s="3"/>
      <c r="C626" s="3"/>
      <c r="D626" s="3"/>
      <c r="E626" s="3"/>
      <c r="F626" s="3"/>
      <c r="G626" s="3"/>
      <c r="H626" s="4"/>
      <c r="I626" s="8"/>
      <c r="J626" s="8"/>
      <c r="K626" s="3"/>
      <c r="L626" s="3"/>
      <c r="M626" s="3"/>
      <c r="N626" s="3"/>
      <c r="O626" s="3"/>
      <c r="P626" s="3"/>
      <c r="Q626" s="3"/>
      <c r="R626" s="3"/>
      <c r="S626" s="3"/>
      <c r="T626" s="3"/>
      <c r="U626" s="3"/>
      <c r="V626" s="3"/>
      <c r="W626" s="3"/>
      <c r="X626" s="3"/>
      <c r="Y626" s="3"/>
      <c r="Z626" s="3"/>
      <c r="AA626" s="3"/>
      <c r="AB626" s="3"/>
      <c r="AC626" s="3"/>
      <c r="AD626" s="3"/>
      <c r="AE626" s="3"/>
    </row>
    <row r="627">
      <c r="A627" s="3"/>
      <c r="B627" s="3"/>
      <c r="C627" s="3"/>
      <c r="D627" s="3"/>
      <c r="E627" s="3"/>
      <c r="F627" s="3"/>
      <c r="G627" s="3"/>
      <c r="H627" s="4"/>
      <c r="I627" s="8"/>
      <c r="J627" s="8"/>
      <c r="K627" s="3"/>
      <c r="L627" s="3"/>
      <c r="M627" s="3"/>
      <c r="N627" s="3"/>
      <c r="O627" s="3"/>
      <c r="P627" s="3"/>
      <c r="Q627" s="3"/>
      <c r="R627" s="3"/>
      <c r="S627" s="3"/>
      <c r="T627" s="3"/>
      <c r="U627" s="3"/>
      <c r="V627" s="3"/>
      <c r="W627" s="3"/>
      <c r="X627" s="3"/>
      <c r="Y627" s="3"/>
      <c r="Z627" s="3"/>
      <c r="AA627" s="3"/>
      <c r="AB627" s="3"/>
      <c r="AC627" s="3"/>
      <c r="AD627" s="3"/>
      <c r="AE627" s="3"/>
    </row>
    <row r="628">
      <c r="A628" s="3"/>
      <c r="B628" s="3"/>
      <c r="C628" s="3"/>
      <c r="D628" s="3"/>
      <c r="E628" s="3"/>
      <c r="F628" s="3"/>
      <c r="G628" s="3"/>
      <c r="H628" s="4"/>
      <c r="I628" s="8"/>
      <c r="J628" s="8"/>
      <c r="K628" s="3"/>
      <c r="L628" s="3"/>
      <c r="M628" s="3"/>
      <c r="N628" s="3"/>
      <c r="O628" s="3"/>
      <c r="P628" s="3"/>
      <c r="Q628" s="3"/>
      <c r="R628" s="3"/>
      <c r="S628" s="3"/>
      <c r="T628" s="3"/>
      <c r="U628" s="3"/>
      <c r="V628" s="3"/>
      <c r="W628" s="3"/>
      <c r="X628" s="3"/>
      <c r="Y628" s="3"/>
      <c r="Z628" s="3"/>
      <c r="AA628" s="3"/>
      <c r="AB628" s="3"/>
      <c r="AC628" s="3"/>
      <c r="AD628" s="3"/>
      <c r="AE628" s="3"/>
    </row>
    <row r="629">
      <c r="A629" s="3"/>
      <c r="B629" s="3"/>
      <c r="C629" s="3"/>
      <c r="D629" s="3"/>
      <c r="E629" s="3"/>
      <c r="F629" s="3"/>
      <c r="G629" s="3"/>
      <c r="H629" s="4"/>
      <c r="I629" s="8"/>
      <c r="J629" s="8"/>
      <c r="K629" s="3"/>
      <c r="L629" s="3"/>
      <c r="M629" s="3"/>
      <c r="N629" s="3"/>
      <c r="O629" s="3"/>
      <c r="P629" s="3"/>
      <c r="Q629" s="3"/>
      <c r="R629" s="3"/>
      <c r="S629" s="3"/>
      <c r="T629" s="3"/>
      <c r="U629" s="3"/>
      <c r="V629" s="3"/>
      <c r="W629" s="3"/>
      <c r="X629" s="3"/>
      <c r="Y629" s="3"/>
      <c r="Z629" s="3"/>
      <c r="AA629" s="3"/>
      <c r="AB629" s="3"/>
      <c r="AC629" s="3"/>
      <c r="AD629" s="3"/>
      <c r="AE629" s="3"/>
    </row>
    <row r="630">
      <c r="A630" s="3"/>
      <c r="B630" s="3"/>
      <c r="C630" s="3"/>
      <c r="D630" s="3"/>
      <c r="E630" s="3"/>
      <c r="F630" s="3"/>
      <c r="G630" s="3"/>
      <c r="H630" s="4"/>
      <c r="I630" s="8"/>
      <c r="J630" s="8"/>
      <c r="K630" s="3"/>
      <c r="L630" s="3"/>
      <c r="M630" s="3"/>
      <c r="N630" s="3"/>
      <c r="O630" s="3"/>
      <c r="P630" s="3"/>
      <c r="Q630" s="3"/>
      <c r="R630" s="3"/>
      <c r="S630" s="3"/>
      <c r="T630" s="3"/>
      <c r="U630" s="3"/>
      <c r="V630" s="3"/>
      <c r="W630" s="3"/>
      <c r="X630" s="3"/>
      <c r="Y630" s="3"/>
      <c r="Z630" s="3"/>
      <c r="AA630" s="3"/>
      <c r="AB630" s="3"/>
      <c r="AC630" s="3"/>
      <c r="AD630" s="3"/>
      <c r="AE630" s="3"/>
    </row>
    <row r="631">
      <c r="A631" s="3"/>
      <c r="B631" s="3"/>
      <c r="C631" s="3"/>
      <c r="D631" s="3"/>
      <c r="E631" s="3"/>
      <c r="F631" s="3"/>
      <c r="G631" s="3"/>
      <c r="H631" s="4"/>
      <c r="I631" s="8"/>
      <c r="J631" s="8"/>
      <c r="K631" s="3"/>
      <c r="L631" s="3"/>
      <c r="M631" s="3"/>
      <c r="N631" s="3"/>
      <c r="O631" s="3"/>
      <c r="P631" s="3"/>
      <c r="Q631" s="3"/>
      <c r="R631" s="3"/>
      <c r="S631" s="3"/>
      <c r="T631" s="3"/>
      <c r="U631" s="3"/>
      <c r="V631" s="3"/>
      <c r="W631" s="3"/>
      <c r="X631" s="3"/>
      <c r="Y631" s="3"/>
      <c r="Z631" s="3"/>
      <c r="AA631" s="3"/>
      <c r="AB631" s="3"/>
      <c r="AC631" s="3"/>
      <c r="AD631" s="3"/>
      <c r="AE631" s="3"/>
    </row>
    <row r="632">
      <c r="A632" s="3"/>
      <c r="B632" s="3"/>
      <c r="C632" s="3"/>
      <c r="D632" s="3"/>
      <c r="E632" s="3"/>
      <c r="F632" s="3"/>
      <c r="G632" s="3"/>
      <c r="H632" s="4"/>
      <c r="I632" s="8"/>
      <c r="J632" s="8"/>
      <c r="K632" s="3"/>
      <c r="L632" s="3"/>
      <c r="M632" s="3"/>
      <c r="N632" s="3"/>
      <c r="O632" s="3"/>
      <c r="P632" s="3"/>
      <c r="Q632" s="3"/>
      <c r="R632" s="3"/>
      <c r="S632" s="3"/>
      <c r="T632" s="3"/>
      <c r="U632" s="3"/>
      <c r="V632" s="3"/>
      <c r="W632" s="3"/>
      <c r="X632" s="3"/>
      <c r="Y632" s="3"/>
      <c r="Z632" s="3"/>
      <c r="AA632" s="3"/>
      <c r="AB632" s="3"/>
      <c r="AC632" s="3"/>
      <c r="AD632" s="3"/>
      <c r="AE632" s="3"/>
    </row>
    <row r="633">
      <c r="A633" s="3"/>
      <c r="B633" s="3"/>
      <c r="C633" s="3"/>
      <c r="D633" s="3"/>
      <c r="E633" s="3"/>
      <c r="F633" s="3"/>
      <c r="G633" s="3"/>
      <c r="H633" s="4"/>
      <c r="I633" s="8"/>
      <c r="J633" s="8"/>
      <c r="K633" s="3"/>
      <c r="L633" s="3"/>
      <c r="M633" s="3"/>
      <c r="N633" s="3"/>
      <c r="O633" s="3"/>
      <c r="P633" s="3"/>
      <c r="Q633" s="3"/>
      <c r="R633" s="3"/>
      <c r="S633" s="3"/>
      <c r="T633" s="3"/>
      <c r="U633" s="3"/>
      <c r="V633" s="3"/>
      <c r="W633" s="3"/>
      <c r="X633" s="3"/>
      <c r="Y633" s="3"/>
      <c r="Z633" s="3"/>
      <c r="AA633" s="3"/>
      <c r="AB633" s="3"/>
      <c r="AC633" s="3"/>
      <c r="AD633" s="3"/>
      <c r="AE633" s="3"/>
    </row>
    <row r="634">
      <c r="A634" s="3"/>
      <c r="B634" s="3"/>
      <c r="C634" s="3"/>
      <c r="D634" s="3"/>
      <c r="E634" s="3"/>
      <c r="F634" s="3"/>
      <c r="G634" s="3"/>
      <c r="H634" s="4"/>
      <c r="I634" s="8"/>
      <c r="J634" s="8"/>
      <c r="K634" s="3"/>
      <c r="L634" s="3"/>
      <c r="M634" s="3"/>
      <c r="N634" s="3"/>
      <c r="O634" s="3"/>
      <c r="P634" s="3"/>
      <c r="Q634" s="3"/>
      <c r="R634" s="3"/>
      <c r="S634" s="3"/>
      <c r="T634" s="3"/>
      <c r="U634" s="3"/>
      <c r="V634" s="3"/>
      <c r="W634" s="3"/>
      <c r="X634" s="3"/>
      <c r="Y634" s="3"/>
      <c r="Z634" s="3"/>
      <c r="AA634" s="3"/>
      <c r="AB634" s="3"/>
      <c r="AC634" s="3"/>
      <c r="AD634" s="3"/>
      <c r="AE634" s="3"/>
    </row>
    <row r="635">
      <c r="A635" s="3"/>
      <c r="B635" s="3"/>
      <c r="C635" s="3"/>
      <c r="D635" s="3"/>
      <c r="E635" s="3"/>
      <c r="F635" s="3"/>
      <c r="G635" s="3"/>
      <c r="H635" s="4"/>
      <c r="I635" s="8"/>
      <c r="J635" s="8"/>
      <c r="K635" s="3"/>
      <c r="L635" s="3"/>
      <c r="M635" s="3"/>
      <c r="N635" s="3"/>
      <c r="O635" s="3"/>
      <c r="P635" s="3"/>
      <c r="Q635" s="3"/>
      <c r="R635" s="3"/>
      <c r="S635" s="3"/>
      <c r="T635" s="3"/>
      <c r="U635" s="3"/>
      <c r="V635" s="3"/>
      <c r="W635" s="3"/>
      <c r="X635" s="3"/>
      <c r="Y635" s="3"/>
      <c r="Z635" s="3"/>
      <c r="AA635" s="3"/>
      <c r="AB635" s="3"/>
      <c r="AC635" s="3"/>
      <c r="AD635" s="3"/>
      <c r="AE635" s="3"/>
    </row>
    <row r="636">
      <c r="A636" s="3"/>
      <c r="B636" s="3"/>
      <c r="C636" s="3"/>
      <c r="D636" s="3"/>
      <c r="E636" s="3"/>
      <c r="F636" s="3"/>
      <c r="G636" s="3"/>
      <c r="H636" s="4"/>
      <c r="I636" s="8"/>
      <c r="J636" s="8"/>
      <c r="K636" s="3"/>
      <c r="L636" s="3"/>
      <c r="M636" s="3"/>
      <c r="N636" s="3"/>
      <c r="O636" s="3"/>
      <c r="P636" s="3"/>
      <c r="Q636" s="3"/>
      <c r="R636" s="3"/>
      <c r="S636" s="3"/>
      <c r="T636" s="3"/>
      <c r="U636" s="3"/>
      <c r="V636" s="3"/>
      <c r="W636" s="3"/>
      <c r="X636" s="3"/>
      <c r="Y636" s="3"/>
      <c r="Z636" s="3"/>
      <c r="AA636" s="3"/>
      <c r="AB636" s="3"/>
      <c r="AC636" s="3"/>
      <c r="AD636" s="3"/>
      <c r="AE636" s="3"/>
    </row>
    <row r="637">
      <c r="A637" s="3"/>
      <c r="B637" s="3"/>
      <c r="C637" s="3"/>
      <c r="D637" s="3"/>
      <c r="E637" s="3"/>
      <c r="F637" s="3"/>
      <c r="G637" s="3"/>
      <c r="H637" s="4"/>
      <c r="I637" s="8"/>
      <c r="J637" s="8"/>
      <c r="K637" s="3"/>
      <c r="L637" s="3"/>
      <c r="M637" s="3"/>
      <c r="N637" s="3"/>
      <c r="O637" s="3"/>
      <c r="P637" s="3"/>
      <c r="Q637" s="3"/>
      <c r="R637" s="3"/>
      <c r="S637" s="3"/>
      <c r="T637" s="3"/>
      <c r="U637" s="3"/>
      <c r="V637" s="3"/>
      <c r="W637" s="3"/>
      <c r="X637" s="3"/>
      <c r="Y637" s="3"/>
      <c r="Z637" s="3"/>
      <c r="AA637" s="3"/>
      <c r="AB637" s="3"/>
      <c r="AC637" s="3"/>
      <c r="AD637" s="3"/>
      <c r="AE637" s="3"/>
    </row>
    <row r="638">
      <c r="A638" s="3"/>
      <c r="B638" s="3"/>
      <c r="C638" s="3"/>
      <c r="D638" s="3"/>
      <c r="E638" s="3"/>
      <c r="F638" s="3"/>
      <c r="G638" s="3"/>
      <c r="H638" s="4"/>
      <c r="I638" s="8"/>
      <c r="J638" s="8"/>
      <c r="K638" s="3"/>
      <c r="L638" s="3"/>
      <c r="M638" s="3"/>
      <c r="N638" s="3"/>
      <c r="O638" s="3"/>
      <c r="P638" s="3"/>
      <c r="Q638" s="3"/>
      <c r="R638" s="3"/>
      <c r="S638" s="3"/>
      <c r="T638" s="3"/>
      <c r="U638" s="3"/>
      <c r="V638" s="3"/>
      <c r="W638" s="3"/>
      <c r="X638" s="3"/>
      <c r="Y638" s="3"/>
      <c r="Z638" s="3"/>
      <c r="AA638" s="3"/>
      <c r="AB638" s="3"/>
      <c r="AC638" s="3"/>
      <c r="AD638" s="3"/>
      <c r="AE638" s="3"/>
    </row>
    <row r="639">
      <c r="A639" s="3"/>
      <c r="B639" s="3"/>
      <c r="C639" s="3"/>
      <c r="D639" s="3"/>
      <c r="E639" s="3"/>
      <c r="F639" s="3"/>
      <c r="G639" s="3"/>
      <c r="H639" s="4"/>
      <c r="I639" s="8"/>
      <c r="J639" s="8"/>
      <c r="K639" s="3"/>
      <c r="L639" s="3"/>
      <c r="M639" s="3"/>
      <c r="N639" s="3"/>
      <c r="O639" s="3"/>
      <c r="P639" s="3"/>
      <c r="Q639" s="3"/>
      <c r="R639" s="3"/>
      <c r="S639" s="3"/>
      <c r="T639" s="3"/>
      <c r="U639" s="3"/>
      <c r="V639" s="3"/>
      <c r="W639" s="3"/>
      <c r="X639" s="3"/>
      <c r="Y639" s="3"/>
      <c r="Z639" s="3"/>
      <c r="AA639" s="3"/>
      <c r="AB639" s="3"/>
      <c r="AC639" s="3"/>
      <c r="AD639" s="3"/>
      <c r="AE639" s="3"/>
    </row>
    <row r="640">
      <c r="A640" s="3"/>
      <c r="B640" s="3"/>
      <c r="C640" s="3"/>
      <c r="D640" s="3"/>
      <c r="E640" s="3"/>
      <c r="F640" s="3"/>
      <c r="G640" s="3"/>
      <c r="H640" s="4"/>
      <c r="I640" s="8"/>
      <c r="J640" s="8"/>
      <c r="K640" s="3"/>
      <c r="L640" s="3"/>
      <c r="M640" s="3"/>
      <c r="N640" s="3"/>
      <c r="O640" s="3"/>
      <c r="P640" s="3"/>
      <c r="Q640" s="3"/>
      <c r="R640" s="3"/>
      <c r="S640" s="3"/>
      <c r="T640" s="3"/>
      <c r="U640" s="3"/>
      <c r="V640" s="3"/>
      <c r="W640" s="3"/>
      <c r="X640" s="3"/>
      <c r="Y640" s="3"/>
      <c r="Z640" s="3"/>
      <c r="AA640" s="3"/>
      <c r="AB640" s="3"/>
      <c r="AC640" s="3"/>
      <c r="AD640" s="3"/>
      <c r="AE640" s="3"/>
    </row>
    <row r="641">
      <c r="A641" s="3"/>
      <c r="B641" s="3"/>
      <c r="C641" s="3"/>
      <c r="D641" s="3"/>
      <c r="E641" s="3"/>
      <c r="F641" s="3"/>
      <c r="G641" s="3"/>
      <c r="H641" s="4"/>
      <c r="I641" s="8"/>
      <c r="J641" s="8"/>
      <c r="K641" s="3"/>
      <c r="L641" s="3"/>
      <c r="M641" s="3"/>
      <c r="N641" s="3"/>
      <c r="O641" s="3"/>
      <c r="P641" s="3"/>
      <c r="Q641" s="3"/>
      <c r="R641" s="3"/>
      <c r="S641" s="3"/>
      <c r="T641" s="3"/>
      <c r="U641" s="3"/>
      <c r="V641" s="3"/>
      <c r="W641" s="3"/>
      <c r="X641" s="3"/>
      <c r="Y641" s="3"/>
      <c r="Z641" s="3"/>
      <c r="AA641" s="3"/>
      <c r="AB641" s="3"/>
      <c r="AC641" s="3"/>
      <c r="AD641" s="3"/>
      <c r="AE641" s="3"/>
    </row>
    <row r="642">
      <c r="A642" s="3"/>
      <c r="B642" s="3"/>
      <c r="C642" s="3"/>
      <c r="D642" s="3"/>
      <c r="E642" s="3"/>
      <c r="F642" s="3"/>
      <c r="G642" s="3"/>
      <c r="H642" s="4"/>
      <c r="I642" s="8"/>
      <c r="J642" s="8"/>
      <c r="K642" s="3"/>
      <c r="L642" s="3"/>
      <c r="M642" s="3"/>
      <c r="N642" s="3"/>
      <c r="O642" s="3"/>
      <c r="P642" s="3"/>
      <c r="Q642" s="3"/>
      <c r="R642" s="3"/>
      <c r="S642" s="3"/>
      <c r="T642" s="3"/>
      <c r="U642" s="3"/>
      <c r="V642" s="3"/>
      <c r="W642" s="3"/>
      <c r="X642" s="3"/>
      <c r="Y642" s="3"/>
      <c r="Z642" s="3"/>
      <c r="AA642" s="3"/>
      <c r="AB642" s="3"/>
      <c r="AC642" s="3"/>
      <c r="AD642" s="3"/>
      <c r="AE642" s="3"/>
    </row>
    <row r="643">
      <c r="A643" s="3"/>
      <c r="B643" s="3"/>
      <c r="C643" s="3"/>
      <c r="D643" s="3"/>
      <c r="E643" s="3"/>
      <c r="F643" s="3"/>
      <c r="G643" s="3"/>
      <c r="H643" s="4"/>
      <c r="I643" s="8"/>
      <c r="J643" s="8"/>
      <c r="K643" s="3"/>
      <c r="L643" s="3"/>
      <c r="M643" s="3"/>
      <c r="N643" s="3"/>
      <c r="O643" s="3"/>
      <c r="P643" s="3"/>
      <c r="Q643" s="3"/>
      <c r="R643" s="3"/>
      <c r="S643" s="3"/>
      <c r="T643" s="3"/>
      <c r="U643" s="3"/>
      <c r="V643" s="3"/>
      <c r="W643" s="3"/>
      <c r="X643" s="3"/>
      <c r="Y643" s="3"/>
      <c r="Z643" s="3"/>
      <c r="AA643" s="3"/>
      <c r="AB643" s="3"/>
      <c r="AC643" s="3"/>
      <c r="AD643" s="3"/>
      <c r="AE643" s="3"/>
    </row>
    <row r="644">
      <c r="A644" s="3"/>
      <c r="B644" s="3"/>
      <c r="C644" s="3"/>
      <c r="D644" s="3"/>
      <c r="E644" s="3"/>
      <c r="F644" s="3"/>
      <c r="G644" s="3"/>
      <c r="H644" s="4"/>
      <c r="I644" s="8"/>
      <c r="J644" s="8"/>
      <c r="K644" s="3"/>
      <c r="L644" s="3"/>
      <c r="M644" s="3"/>
      <c r="N644" s="3"/>
      <c r="O644" s="3"/>
      <c r="P644" s="3"/>
      <c r="Q644" s="3"/>
      <c r="R644" s="3"/>
      <c r="S644" s="3"/>
      <c r="T644" s="3"/>
      <c r="U644" s="3"/>
      <c r="V644" s="3"/>
      <c r="W644" s="3"/>
      <c r="X644" s="3"/>
      <c r="Y644" s="3"/>
      <c r="Z644" s="3"/>
      <c r="AA644" s="3"/>
      <c r="AB644" s="3"/>
      <c r="AC644" s="3"/>
      <c r="AD644" s="3"/>
      <c r="AE644" s="3"/>
    </row>
    <row r="645">
      <c r="A645" s="3"/>
      <c r="B645" s="3"/>
      <c r="C645" s="3"/>
      <c r="D645" s="3"/>
      <c r="E645" s="3"/>
      <c r="F645" s="3"/>
      <c r="G645" s="3"/>
      <c r="H645" s="4"/>
      <c r="I645" s="8"/>
      <c r="J645" s="8"/>
      <c r="K645" s="3"/>
      <c r="L645" s="3"/>
      <c r="M645" s="3"/>
      <c r="N645" s="3"/>
      <c r="O645" s="3"/>
      <c r="P645" s="3"/>
      <c r="Q645" s="3"/>
      <c r="R645" s="3"/>
      <c r="S645" s="3"/>
      <c r="T645" s="3"/>
      <c r="U645" s="3"/>
      <c r="V645" s="3"/>
      <c r="W645" s="3"/>
      <c r="X645" s="3"/>
      <c r="Y645" s="3"/>
      <c r="Z645" s="3"/>
      <c r="AA645" s="3"/>
      <c r="AB645" s="3"/>
      <c r="AC645" s="3"/>
      <c r="AD645" s="3"/>
      <c r="AE645" s="3"/>
    </row>
    <row r="646">
      <c r="A646" s="3"/>
      <c r="B646" s="3"/>
      <c r="C646" s="3"/>
      <c r="D646" s="3"/>
      <c r="E646" s="3"/>
      <c r="F646" s="3"/>
      <c r="G646" s="3"/>
      <c r="H646" s="4"/>
      <c r="I646" s="8"/>
      <c r="J646" s="8"/>
      <c r="K646" s="3"/>
      <c r="L646" s="3"/>
      <c r="M646" s="3"/>
      <c r="N646" s="3"/>
      <c r="O646" s="3"/>
      <c r="P646" s="3"/>
      <c r="Q646" s="3"/>
      <c r="R646" s="3"/>
      <c r="S646" s="3"/>
      <c r="T646" s="3"/>
      <c r="U646" s="3"/>
      <c r="V646" s="3"/>
      <c r="W646" s="3"/>
      <c r="X646" s="3"/>
      <c r="Y646" s="3"/>
      <c r="Z646" s="3"/>
      <c r="AA646" s="3"/>
      <c r="AB646" s="3"/>
      <c r="AC646" s="3"/>
      <c r="AD646" s="3"/>
      <c r="AE646" s="3"/>
    </row>
    <row r="647">
      <c r="A647" s="3"/>
      <c r="B647" s="3"/>
      <c r="C647" s="3"/>
      <c r="D647" s="3"/>
      <c r="E647" s="3"/>
      <c r="F647" s="3"/>
      <c r="G647" s="3"/>
      <c r="H647" s="4"/>
      <c r="I647" s="8"/>
      <c r="J647" s="8"/>
      <c r="K647" s="3"/>
      <c r="L647" s="3"/>
      <c r="M647" s="3"/>
      <c r="N647" s="3"/>
      <c r="O647" s="3"/>
      <c r="P647" s="3"/>
      <c r="Q647" s="3"/>
      <c r="R647" s="3"/>
      <c r="S647" s="3"/>
      <c r="T647" s="3"/>
      <c r="U647" s="3"/>
      <c r="V647" s="3"/>
      <c r="W647" s="3"/>
      <c r="X647" s="3"/>
      <c r="Y647" s="3"/>
      <c r="Z647" s="3"/>
      <c r="AA647" s="3"/>
      <c r="AB647" s="3"/>
      <c r="AC647" s="3"/>
      <c r="AD647" s="3"/>
      <c r="AE647" s="3"/>
    </row>
    <row r="648">
      <c r="A648" s="3"/>
      <c r="B648" s="3"/>
      <c r="C648" s="3"/>
      <c r="D648" s="3"/>
      <c r="E648" s="3"/>
      <c r="F648" s="3"/>
      <c r="G648" s="3"/>
      <c r="H648" s="4"/>
      <c r="I648" s="8"/>
      <c r="J648" s="8"/>
      <c r="K648" s="3"/>
      <c r="L648" s="3"/>
      <c r="M648" s="3"/>
      <c r="N648" s="3"/>
      <c r="O648" s="3"/>
      <c r="P648" s="3"/>
      <c r="Q648" s="3"/>
      <c r="R648" s="3"/>
      <c r="S648" s="3"/>
      <c r="T648" s="3"/>
      <c r="U648" s="3"/>
      <c r="V648" s="3"/>
      <c r="W648" s="3"/>
      <c r="X648" s="3"/>
      <c r="Y648" s="3"/>
      <c r="Z648" s="3"/>
      <c r="AA648" s="3"/>
      <c r="AB648" s="3"/>
      <c r="AC648" s="3"/>
      <c r="AD648" s="3"/>
      <c r="AE648" s="3"/>
    </row>
    <row r="649">
      <c r="A649" s="3"/>
      <c r="B649" s="3"/>
      <c r="C649" s="3"/>
      <c r="D649" s="3"/>
      <c r="E649" s="3"/>
      <c r="F649" s="3"/>
      <c r="G649" s="3"/>
      <c r="H649" s="4"/>
      <c r="I649" s="8"/>
      <c r="J649" s="8"/>
      <c r="K649" s="3"/>
      <c r="L649" s="3"/>
      <c r="M649" s="3"/>
      <c r="N649" s="3"/>
      <c r="O649" s="3"/>
      <c r="P649" s="3"/>
      <c r="Q649" s="3"/>
      <c r="R649" s="3"/>
      <c r="S649" s="3"/>
      <c r="T649" s="3"/>
      <c r="U649" s="3"/>
      <c r="V649" s="3"/>
      <c r="W649" s="3"/>
      <c r="X649" s="3"/>
      <c r="Y649" s="3"/>
      <c r="Z649" s="3"/>
      <c r="AA649" s="3"/>
      <c r="AB649" s="3"/>
      <c r="AC649" s="3"/>
      <c r="AD649" s="3"/>
      <c r="AE649" s="3"/>
    </row>
    <row r="650">
      <c r="A650" s="3"/>
      <c r="B650" s="3"/>
      <c r="C650" s="3"/>
      <c r="D650" s="3"/>
      <c r="E650" s="3"/>
      <c r="F650" s="3"/>
      <c r="G650" s="3"/>
      <c r="H650" s="4"/>
      <c r="I650" s="8"/>
      <c r="J650" s="8"/>
      <c r="K650" s="3"/>
      <c r="L650" s="3"/>
      <c r="M650" s="3"/>
      <c r="N650" s="3"/>
      <c r="O650" s="3"/>
      <c r="P650" s="3"/>
      <c r="Q650" s="3"/>
      <c r="R650" s="3"/>
      <c r="S650" s="3"/>
      <c r="T650" s="3"/>
      <c r="U650" s="3"/>
      <c r="V650" s="3"/>
      <c r="W650" s="3"/>
      <c r="X650" s="3"/>
      <c r="Y650" s="3"/>
      <c r="Z650" s="3"/>
      <c r="AA650" s="3"/>
      <c r="AB650" s="3"/>
      <c r="AC650" s="3"/>
      <c r="AD650" s="3"/>
      <c r="AE650" s="3"/>
    </row>
    <row r="651">
      <c r="A651" s="3"/>
      <c r="B651" s="3"/>
      <c r="C651" s="3"/>
      <c r="D651" s="3"/>
      <c r="E651" s="3"/>
      <c r="F651" s="3"/>
      <c r="G651" s="3"/>
      <c r="H651" s="4"/>
      <c r="I651" s="8"/>
      <c r="J651" s="8"/>
      <c r="K651" s="3"/>
      <c r="L651" s="3"/>
      <c r="M651" s="3"/>
      <c r="N651" s="3"/>
      <c r="O651" s="3"/>
      <c r="P651" s="3"/>
      <c r="Q651" s="3"/>
      <c r="R651" s="3"/>
      <c r="S651" s="3"/>
      <c r="T651" s="3"/>
      <c r="U651" s="3"/>
      <c r="V651" s="3"/>
      <c r="W651" s="3"/>
      <c r="X651" s="3"/>
      <c r="Y651" s="3"/>
      <c r="Z651" s="3"/>
      <c r="AA651" s="3"/>
      <c r="AB651" s="3"/>
      <c r="AC651" s="3"/>
      <c r="AD651" s="3"/>
      <c r="AE651" s="3"/>
    </row>
    <row r="652">
      <c r="A652" s="3"/>
      <c r="B652" s="3"/>
      <c r="C652" s="3"/>
      <c r="D652" s="3"/>
      <c r="E652" s="3"/>
      <c r="F652" s="3"/>
      <c r="G652" s="3"/>
      <c r="H652" s="4"/>
      <c r="I652" s="8"/>
      <c r="J652" s="8"/>
      <c r="K652" s="3"/>
      <c r="L652" s="3"/>
      <c r="M652" s="3"/>
      <c r="N652" s="3"/>
      <c r="O652" s="3"/>
      <c r="P652" s="3"/>
      <c r="Q652" s="3"/>
      <c r="R652" s="3"/>
      <c r="S652" s="3"/>
      <c r="T652" s="3"/>
      <c r="U652" s="3"/>
      <c r="V652" s="3"/>
      <c r="W652" s="3"/>
      <c r="X652" s="3"/>
      <c r="Y652" s="3"/>
      <c r="Z652" s="3"/>
      <c r="AA652" s="3"/>
      <c r="AB652" s="3"/>
      <c r="AC652" s="3"/>
      <c r="AD652" s="3"/>
      <c r="AE652" s="3"/>
    </row>
    <row r="653">
      <c r="A653" s="3"/>
      <c r="B653" s="3"/>
      <c r="C653" s="3"/>
      <c r="D653" s="3"/>
      <c r="E653" s="3"/>
      <c r="F653" s="3"/>
      <c r="G653" s="3"/>
      <c r="H653" s="4"/>
      <c r="I653" s="8"/>
      <c r="J653" s="8"/>
      <c r="K653" s="3"/>
      <c r="L653" s="3"/>
      <c r="M653" s="3"/>
      <c r="N653" s="3"/>
      <c r="O653" s="3"/>
      <c r="P653" s="3"/>
      <c r="Q653" s="3"/>
      <c r="R653" s="3"/>
      <c r="S653" s="3"/>
      <c r="T653" s="3"/>
      <c r="U653" s="3"/>
      <c r="V653" s="3"/>
      <c r="W653" s="3"/>
      <c r="X653" s="3"/>
      <c r="Y653" s="3"/>
      <c r="Z653" s="3"/>
      <c r="AA653" s="3"/>
      <c r="AB653" s="3"/>
      <c r="AC653" s="3"/>
      <c r="AD653" s="3"/>
      <c r="AE653" s="3"/>
    </row>
    <row r="654">
      <c r="A654" s="3"/>
      <c r="B654" s="3"/>
      <c r="C654" s="3"/>
      <c r="D654" s="3"/>
      <c r="E654" s="3"/>
      <c r="F654" s="3"/>
      <c r="G654" s="3"/>
      <c r="H654" s="4"/>
      <c r="I654" s="8"/>
      <c r="J654" s="8"/>
      <c r="K654" s="3"/>
      <c r="L654" s="3"/>
      <c r="M654" s="3"/>
      <c r="N654" s="3"/>
      <c r="O654" s="3"/>
      <c r="P654" s="3"/>
      <c r="Q654" s="3"/>
      <c r="R654" s="3"/>
      <c r="S654" s="3"/>
      <c r="T654" s="3"/>
      <c r="U654" s="3"/>
      <c r="V654" s="3"/>
      <c r="W654" s="3"/>
      <c r="X654" s="3"/>
      <c r="Y654" s="3"/>
      <c r="Z654" s="3"/>
      <c r="AA654" s="3"/>
      <c r="AB654" s="3"/>
      <c r="AC654" s="3"/>
      <c r="AD654" s="3"/>
      <c r="AE654" s="3"/>
    </row>
    <row r="655">
      <c r="A655" s="3"/>
      <c r="B655" s="3"/>
      <c r="C655" s="3"/>
      <c r="D655" s="3"/>
      <c r="E655" s="3"/>
      <c r="F655" s="3"/>
      <c r="G655" s="3"/>
      <c r="H655" s="4"/>
      <c r="I655" s="8"/>
      <c r="J655" s="8"/>
      <c r="K655" s="3"/>
      <c r="L655" s="3"/>
      <c r="M655" s="3"/>
      <c r="N655" s="3"/>
      <c r="O655" s="3"/>
      <c r="P655" s="3"/>
      <c r="Q655" s="3"/>
      <c r="R655" s="3"/>
      <c r="S655" s="3"/>
      <c r="T655" s="3"/>
      <c r="U655" s="3"/>
      <c r="V655" s="3"/>
      <c r="W655" s="3"/>
      <c r="X655" s="3"/>
      <c r="Y655" s="3"/>
      <c r="Z655" s="3"/>
      <c r="AA655" s="3"/>
      <c r="AB655" s="3"/>
      <c r="AC655" s="3"/>
      <c r="AD655" s="3"/>
      <c r="AE655" s="3"/>
    </row>
    <row r="656">
      <c r="A656" s="3"/>
      <c r="B656" s="3"/>
      <c r="C656" s="3"/>
      <c r="D656" s="3"/>
      <c r="E656" s="3"/>
      <c r="F656" s="3"/>
      <c r="G656" s="3"/>
      <c r="H656" s="4"/>
      <c r="I656" s="8"/>
      <c r="J656" s="8"/>
      <c r="K656" s="3"/>
      <c r="L656" s="3"/>
      <c r="M656" s="3"/>
      <c r="N656" s="3"/>
      <c r="O656" s="3"/>
      <c r="P656" s="3"/>
      <c r="Q656" s="3"/>
      <c r="R656" s="3"/>
      <c r="S656" s="3"/>
      <c r="T656" s="3"/>
      <c r="U656" s="3"/>
      <c r="V656" s="3"/>
      <c r="W656" s="3"/>
      <c r="X656" s="3"/>
      <c r="Y656" s="3"/>
      <c r="Z656" s="3"/>
      <c r="AA656" s="3"/>
      <c r="AB656" s="3"/>
      <c r="AC656" s="3"/>
      <c r="AD656" s="3"/>
      <c r="AE656" s="3"/>
    </row>
    <row r="657">
      <c r="A657" s="3"/>
      <c r="B657" s="3"/>
      <c r="C657" s="3"/>
      <c r="D657" s="3"/>
      <c r="E657" s="3"/>
      <c r="F657" s="3"/>
      <c r="G657" s="3"/>
      <c r="H657" s="4"/>
      <c r="I657" s="8"/>
      <c r="J657" s="8"/>
      <c r="K657" s="3"/>
      <c r="L657" s="3"/>
      <c r="M657" s="3"/>
      <c r="N657" s="3"/>
      <c r="O657" s="3"/>
      <c r="P657" s="3"/>
      <c r="Q657" s="3"/>
      <c r="R657" s="3"/>
      <c r="S657" s="3"/>
      <c r="T657" s="3"/>
      <c r="U657" s="3"/>
      <c r="V657" s="3"/>
      <c r="W657" s="3"/>
      <c r="X657" s="3"/>
      <c r="Y657" s="3"/>
      <c r="Z657" s="3"/>
      <c r="AA657" s="3"/>
      <c r="AB657" s="3"/>
      <c r="AC657" s="3"/>
      <c r="AD657" s="3"/>
      <c r="AE657" s="3"/>
    </row>
    <row r="658">
      <c r="A658" s="3"/>
      <c r="B658" s="3"/>
      <c r="C658" s="3"/>
      <c r="D658" s="3"/>
      <c r="E658" s="3"/>
      <c r="F658" s="3"/>
      <c r="G658" s="3"/>
      <c r="H658" s="4"/>
      <c r="I658" s="8"/>
      <c r="J658" s="8"/>
      <c r="K658" s="3"/>
      <c r="L658" s="3"/>
      <c r="M658" s="3"/>
      <c r="N658" s="3"/>
      <c r="O658" s="3"/>
      <c r="P658" s="3"/>
      <c r="Q658" s="3"/>
      <c r="R658" s="3"/>
      <c r="S658" s="3"/>
      <c r="T658" s="3"/>
      <c r="U658" s="3"/>
      <c r="V658" s="3"/>
      <c r="W658" s="3"/>
      <c r="X658" s="3"/>
      <c r="Y658" s="3"/>
      <c r="Z658" s="3"/>
      <c r="AA658" s="3"/>
      <c r="AB658" s="3"/>
      <c r="AC658" s="3"/>
      <c r="AD658" s="3"/>
      <c r="AE658" s="3"/>
    </row>
    <row r="659">
      <c r="A659" s="3"/>
      <c r="B659" s="3"/>
      <c r="C659" s="3"/>
      <c r="D659" s="3"/>
      <c r="E659" s="3"/>
      <c r="F659" s="3"/>
      <c r="G659" s="3"/>
      <c r="H659" s="4"/>
      <c r="I659" s="8"/>
      <c r="J659" s="8"/>
      <c r="K659" s="3"/>
      <c r="L659" s="3"/>
      <c r="M659" s="3"/>
      <c r="N659" s="3"/>
      <c r="O659" s="3"/>
      <c r="P659" s="3"/>
      <c r="Q659" s="3"/>
      <c r="R659" s="3"/>
      <c r="S659" s="3"/>
      <c r="T659" s="3"/>
      <c r="U659" s="3"/>
      <c r="V659" s="3"/>
      <c r="W659" s="3"/>
      <c r="X659" s="3"/>
      <c r="Y659" s="3"/>
      <c r="Z659" s="3"/>
      <c r="AA659" s="3"/>
      <c r="AB659" s="3"/>
      <c r="AC659" s="3"/>
      <c r="AD659" s="3"/>
      <c r="AE659" s="3"/>
    </row>
    <row r="660">
      <c r="A660" s="3"/>
      <c r="B660" s="3"/>
      <c r="C660" s="3"/>
      <c r="D660" s="3"/>
      <c r="E660" s="3"/>
      <c r="F660" s="3"/>
      <c r="G660" s="3"/>
      <c r="H660" s="4"/>
      <c r="I660" s="8"/>
      <c r="J660" s="8"/>
      <c r="K660" s="3"/>
      <c r="L660" s="3"/>
      <c r="M660" s="3"/>
      <c r="N660" s="3"/>
      <c r="O660" s="3"/>
      <c r="P660" s="3"/>
      <c r="Q660" s="3"/>
      <c r="R660" s="3"/>
      <c r="S660" s="3"/>
      <c r="T660" s="3"/>
      <c r="U660" s="3"/>
      <c r="V660" s="3"/>
      <c r="W660" s="3"/>
      <c r="X660" s="3"/>
      <c r="Y660" s="3"/>
      <c r="Z660" s="3"/>
      <c r="AA660" s="3"/>
      <c r="AB660" s="3"/>
      <c r="AC660" s="3"/>
      <c r="AD660" s="3"/>
      <c r="AE660" s="3"/>
    </row>
    <row r="661">
      <c r="A661" s="3"/>
      <c r="B661" s="3"/>
      <c r="C661" s="3"/>
      <c r="D661" s="3"/>
      <c r="E661" s="3"/>
      <c r="F661" s="3"/>
      <c r="G661" s="3"/>
      <c r="H661" s="4"/>
      <c r="I661" s="8"/>
      <c r="J661" s="8"/>
      <c r="K661" s="3"/>
      <c r="L661" s="3"/>
      <c r="M661" s="3"/>
      <c r="N661" s="3"/>
      <c r="O661" s="3"/>
      <c r="P661" s="3"/>
      <c r="Q661" s="3"/>
      <c r="R661" s="3"/>
      <c r="S661" s="3"/>
      <c r="T661" s="3"/>
      <c r="U661" s="3"/>
      <c r="V661" s="3"/>
      <c r="W661" s="3"/>
      <c r="X661" s="3"/>
      <c r="Y661" s="3"/>
      <c r="Z661" s="3"/>
      <c r="AA661" s="3"/>
      <c r="AB661" s="3"/>
      <c r="AC661" s="3"/>
      <c r="AD661" s="3"/>
      <c r="AE661" s="3"/>
    </row>
    <row r="662">
      <c r="A662" s="3"/>
      <c r="B662" s="3"/>
      <c r="C662" s="3"/>
      <c r="D662" s="3"/>
      <c r="E662" s="3"/>
      <c r="F662" s="3"/>
      <c r="G662" s="3"/>
      <c r="H662" s="4"/>
      <c r="I662" s="8"/>
      <c r="J662" s="8"/>
      <c r="K662" s="3"/>
      <c r="L662" s="3"/>
      <c r="M662" s="3"/>
      <c r="N662" s="3"/>
      <c r="O662" s="3"/>
      <c r="P662" s="3"/>
      <c r="Q662" s="3"/>
      <c r="R662" s="3"/>
      <c r="S662" s="3"/>
      <c r="T662" s="3"/>
      <c r="U662" s="3"/>
      <c r="V662" s="3"/>
      <c r="W662" s="3"/>
      <c r="X662" s="3"/>
      <c r="Y662" s="3"/>
      <c r="Z662" s="3"/>
      <c r="AA662" s="3"/>
      <c r="AB662" s="3"/>
      <c r="AC662" s="3"/>
      <c r="AD662" s="3"/>
      <c r="AE662" s="3"/>
    </row>
    <row r="663">
      <c r="A663" s="3"/>
      <c r="B663" s="3"/>
      <c r="C663" s="3"/>
      <c r="D663" s="3"/>
      <c r="E663" s="3"/>
      <c r="F663" s="3"/>
      <c r="G663" s="3"/>
      <c r="H663" s="4"/>
      <c r="I663" s="8"/>
      <c r="J663" s="8"/>
      <c r="K663" s="3"/>
      <c r="L663" s="3"/>
      <c r="M663" s="3"/>
      <c r="N663" s="3"/>
      <c r="O663" s="3"/>
      <c r="P663" s="3"/>
      <c r="Q663" s="3"/>
      <c r="R663" s="3"/>
      <c r="S663" s="3"/>
      <c r="T663" s="3"/>
      <c r="U663" s="3"/>
      <c r="V663" s="3"/>
      <c r="W663" s="3"/>
      <c r="X663" s="3"/>
      <c r="Y663" s="3"/>
      <c r="Z663" s="3"/>
      <c r="AA663" s="3"/>
      <c r="AB663" s="3"/>
      <c r="AC663" s="3"/>
      <c r="AD663" s="3"/>
      <c r="AE663" s="3"/>
    </row>
    <row r="664">
      <c r="A664" s="3"/>
      <c r="B664" s="3"/>
      <c r="C664" s="3"/>
      <c r="D664" s="3"/>
      <c r="E664" s="3"/>
      <c r="F664" s="3"/>
      <c r="G664" s="3"/>
      <c r="H664" s="4"/>
      <c r="I664" s="8"/>
      <c r="J664" s="8"/>
      <c r="K664" s="3"/>
      <c r="L664" s="3"/>
      <c r="M664" s="3"/>
      <c r="N664" s="3"/>
      <c r="O664" s="3"/>
      <c r="P664" s="3"/>
      <c r="Q664" s="3"/>
      <c r="R664" s="3"/>
      <c r="S664" s="3"/>
      <c r="T664" s="3"/>
      <c r="U664" s="3"/>
      <c r="V664" s="3"/>
      <c r="W664" s="3"/>
      <c r="X664" s="3"/>
      <c r="Y664" s="3"/>
      <c r="Z664" s="3"/>
      <c r="AA664" s="3"/>
      <c r="AB664" s="3"/>
      <c r="AC664" s="3"/>
      <c r="AD664" s="3"/>
      <c r="AE664" s="3"/>
    </row>
    <row r="665">
      <c r="A665" s="3"/>
      <c r="B665" s="3"/>
      <c r="C665" s="3"/>
      <c r="D665" s="3"/>
      <c r="E665" s="3"/>
      <c r="F665" s="3"/>
      <c r="G665" s="3"/>
      <c r="H665" s="4"/>
      <c r="I665" s="8"/>
      <c r="J665" s="8"/>
      <c r="K665" s="3"/>
      <c r="L665" s="3"/>
      <c r="M665" s="3"/>
      <c r="N665" s="3"/>
      <c r="O665" s="3"/>
      <c r="P665" s="3"/>
      <c r="Q665" s="3"/>
      <c r="R665" s="3"/>
      <c r="S665" s="3"/>
      <c r="T665" s="3"/>
      <c r="U665" s="3"/>
      <c r="V665" s="3"/>
      <c r="W665" s="3"/>
      <c r="X665" s="3"/>
      <c r="Y665" s="3"/>
      <c r="Z665" s="3"/>
      <c r="AA665" s="3"/>
      <c r="AB665" s="3"/>
      <c r="AC665" s="3"/>
      <c r="AD665" s="3"/>
      <c r="AE665" s="3"/>
    </row>
    <row r="666">
      <c r="A666" s="3"/>
      <c r="B666" s="3"/>
      <c r="C666" s="3"/>
      <c r="D666" s="3"/>
      <c r="E666" s="3"/>
      <c r="F666" s="3"/>
      <c r="G666" s="3"/>
      <c r="H666" s="4"/>
      <c r="I666" s="8"/>
      <c r="J666" s="8"/>
      <c r="K666" s="3"/>
      <c r="L666" s="3"/>
      <c r="M666" s="3"/>
      <c r="N666" s="3"/>
      <c r="O666" s="3"/>
      <c r="P666" s="3"/>
      <c r="Q666" s="3"/>
      <c r="R666" s="3"/>
      <c r="S666" s="3"/>
      <c r="T666" s="3"/>
      <c r="U666" s="3"/>
      <c r="V666" s="3"/>
      <c r="W666" s="3"/>
      <c r="X666" s="3"/>
      <c r="Y666" s="3"/>
      <c r="Z666" s="3"/>
      <c r="AA666" s="3"/>
      <c r="AB666" s="3"/>
      <c r="AC666" s="3"/>
      <c r="AD666" s="3"/>
      <c r="AE666" s="3"/>
    </row>
    <row r="667">
      <c r="A667" s="3"/>
      <c r="B667" s="3"/>
      <c r="C667" s="3"/>
      <c r="D667" s="3"/>
      <c r="E667" s="3"/>
      <c r="F667" s="3"/>
      <c r="G667" s="3"/>
      <c r="H667" s="4"/>
      <c r="I667" s="8"/>
      <c r="J667" s="8"/>
      <c r="K667" s="3"/>
      <c r="L667" s="3"/>
      <c r="M667" s="3"/>
      <c r="N667" s="3"/>
      <c r="O667" s="3"/>
      <c r="P667" s="3"/>
      <c r="Q667" s="3"/>
      <c r="R667" s="3"/>
      <c r="S667" s="3"/>
      <c r="T667" s="3"/>
      <c r="U667" s="3"/>
      <c r="V667" s="3"/>
      <c r="W667" s="3"/>
      <c r="X667" s="3"/>
      <c r="Y667" s="3"/>
      <c r="Z667" s="3"/>
      <c r="AA667" s="3"/>
      <c r="AB667" s="3"/>
      <c r="AC667" s="3"/>
      <c r="AD667" s="3"/>
      <c r="AE667" s="3"/>
    </row>
    <row r="668">
      <c r="A668" s="3"/>
      <c r="B668" s="3"/>
      <c r="C668" s="3"/>
      <c r="D668" s="3"/>
      <c r="E668" s="3"/>
      <c r="F668" s="3"/>
      <c r="G668" s="3"/>
      <c r="H668" s="4"/>
      <c r="I668" s="8"/>
      <c r="J668" s="8"/>
      <c r="K668" s="3"/>
      <c r="L668" s="3"/>
      <c r="M668" s="3"/>
      <c r="N668" s="3"/>
      <c r="O668" s="3"/>
      <c r="P668" s="3"/>
      <c r="Q668" s="3"/>
      <c r="R668" s="3"/>
      <c r="S668" s="3"/>
      <c r="T668" s="3"/>
      <c r="U668" s="3"/>
      <c r="V668" s="3"/>
      <c r="W668" s="3"/>
      <c r="X668" s="3"/>
      <c r="Y668" s="3"/>
      <c r="Z668" s="3"/>
      <c r="AA668" s="3"/>
      <c r="AB668" s="3"/>
      <c r="AC668" s="3"/>
      <c r="AD668" s="3"/>
      <c r="AE668" s="3"/>
    </row>
    <row r="669">
      <c r="A669" s="3"/>
      <c r="B669" s="3"/>
      <c r="C669" s="3"/>
      <c r="D669" s="3"/>
      <c r="E669" s="3"/>
      <c r="F669" s="3"/>
      <c r="G669" s="3"/>
      <c r="H669" s="4"/>
      <c r="I669" s="8"/>
      <c r="J669" s="8"/>
      <c r="K669" s="3"/>
      <c r="L669" s="3"/>
      <c r="M669" s="3"/>
      <c r="N669" s="3"/>
      <c r="O669" s="3"/>
      <c r="P669" s="3"/>
      <c r="Q669" s="3"/>
      <c r="R669" s="3"/>
      <c r="S669" s="3"/>
      <c r="T669" s="3"/>
      <c r="U669" s="3"/>
      <c r="V669" s="3"/>
      <c r="W669" s="3"/>
      <c r="X669" s="3"/>
      <c r="Y669" s="3"/>
      <c r="Z669" s="3"/>
      <c r="AA669" s="3"/>
      <c r="AB669" s="3"/>
      <c r="AC669" s="3"/>
      <c r="AD669" s="3"/>
      <c r="AE669" s="3"/>
    </row>
    <row r="670">
      <c r="A670" s="3"/>
      <c r="B670" s="3"/>
      <c r="C670" s="3"/>
      <c r="D670" s="3"/>
      <c r="E670" s="3"/>
      <c r="F670" s="3"/>
      <c r="G670" s="3"/>
      <c r="H670" s="4"/>
      <c r="I670" s="8"/>
      <c r="J670" s="8"/>
      <c r="K670" s="3"/>
      <c r="L670" s="3"/>
      <c r="M670" s="3"/>
      <c r="N670" s="3"/>
      <c r="O670" s="3"/>
      <c r="P670" s="3"/>
      <c r="Q670" s="3"/>
      <c r="R670" s="3"/>
      <c r="S670" s="3"/>
      <c r="T670" s="3"/>
      <c r="U670" s="3"/>
      <c r="V670" s="3"/>
      <c r="W670" s="3"/>
      <c r="X670" s="3"/>
      <c r="Y670" s="3"/>
      <c r="Z670" s="3"/>
      <c r="AA670" s="3"/>
      <c r="AB670" s="3"/>
      <c r="AC670" s="3"/>
      <c r="AD670" s="3"/>
      <c r="AE670" s="3"/>
    </row>
    <row r="671">
      <c r="A671" s="3"/>
      <c r="B671" s="3"/>
      <c r="C671" s="3"/>
      <c r="D671" s="3"/>
      <c r="E671" s="3"/>
      <c r="F671" s="3"/>
      <c r="G671" s="3"/>
      <c r="H671" s="4"/>
      <c r="I671" s="8"/>
      <c r="J671" s="8"/>
      <c r="K671" s="3"/>
      <c r="L671" s="3"/>
      <c r="M671" s="3"/>
      <c r="N671" s="3"/>
      <c r="O671" s="3"/>
      <c r="P671" s="3"/>
      <c r="Q671" s="3"/>
      <c r="R671" s="3"/>
      <c r="S671" s="3"/>
      <c r="T671" s="3"/>
      <c r="U671" s="3"/>
      <c r="V671" s="3"/>
      <c r="W671" s="3"/>
      <c r="X671" s="3"/>
      <c r="Y671" s="3"/>
      <c r="Z671" s="3"/>
      <c r="AA671" s="3"/>
      <c r="AB671" s="3"/>
      <c r="AC671" s="3"/>
      <c r="AD671" s="3"/>
      <c r="AE671" s="3"/>
    </row>
    <row r="672">
      <c r="A672" s="3"/>
      <c r="B672" s="3"/>
      <c r="C672" s="3"/>
      <c r="D672" s="3"/>
      <c r="E672" s="3"/>
      <c r="F672" s="3"/>
      <c r="G672" s="3"/>
      <c r="H672" s="4"/>
      <c r="I672" s="8"/>
      <c r="J672" s="8"/>
      <c r="K672" s="3"/>
      <c r="L672" s="3"/>
      <c r="M672" s="3"/>
      <c r="N672" s="3"/>
      <c r="O672" s="3"/>
      <c r="P672" s="3"/>
      <c r="Q672" s="3"/>
      <c r="R672" s="3"/>
      <c r="S672" s="3"/>
      <c r="T672" s="3"/>
      <c r="U672" s="3"/>
      <c r="V672" s="3"/>
      <c r="W672" s="3"/>
      <c r="X672" s="3"/>
      <c r="Y672" s="3"/>
      <c r="Z672" s="3"/>
      <c r="AA672" s="3"/>
      <c r="AB672" s="3"/>
      <c r="AC672" s="3"/>
      <c r="AD672" s="3"/>
      <c r="AE672" s="3"/>
    </row>
    <row r="673">
      <c r="A673" s="3"/>
      <c r="B673" s="3"/>
      <c r="C673" s="3"/>
      <c r="D673" s="3"/>
      <c r="E673" s="3"/>
      <c r="F673" s="3"/>
      <c r="G673" s="3"/>
      <c r="H673" s="4"/>
      <c r="I673" s="8"/>
      <c r="J673" s="8"/>
      <c r="K673" s="3"/>
      <c r="L673" s="3"/>
      <c r="M673" s="3"/>
      <c r="N673" s="3"/>
      <c r="O673" s="3"/>
      <c r="P673" s="3"/>
      <c r="Q673" s="3"/>
      <c r="R673" s="3"/>
      <c r="S673" s="3"/>
      <c r="T673" s="3"/>
      <c r="U673" s="3"/>
      <c r="V673" s="3"/>
      <c r="W673" s="3"/>
      <c r="X673" s="3"/>
      <c r="Y673" s="3"/>
      <c r="Z673" s="3"/>
      <c r="AA673" s="3"/>
      <c r="AB673" s="3"/>
      <c r="AC673" s="3"/>
      <c r="AD673" s="3"/>
      <c r="AE673" s="3"/>
    </row>
    <row r="674">
      <c r="A674" s="3"/>
      <c r="B674" s="3"/>
      <c r="C674" s="3"/>
      <c r="D674" s="3"/>
      <c r="E674" s="3"/>
      <c r="F674" s="3"/>
      <c r="G674" s="3"/>
      <c r="H674" s="4"/>
      <c r="I674" s="8"/>
      <c r="J674" s="8"/>
      <c r="K674" s="3"/>
      <c r="L674" s="3"/>
      <c r="M674" s="3"/>
      <c r="N674" s="3"/>
      <c r="O674" s="3"/>
      <c r="P674" s="3"/>
      <c r="Q674" s="3"/>
      <c r="R674" s="3"/>
      <c r="S674" s="3"/>
      <c r="T674" s="3"/>
      <c r="U674" s="3"/>
      <c r="V674" s="3"/>
      <c r="W674" s="3"/>
      <c r="X674" s="3"/>
      <c r="Y674" s="3"/>
      <c r="Z674" s="3"/>
      <c r="AA674" s="3"/>
      <c r="AB674" s="3"/>
      <c r="AC674" s="3"/>
      <c r="AD674" s="3"/>
      <c r="AE674" s="3"/>
    </row>
    <row r="675">
      <c r="A675" s="3"/>
      <c r="B675" s="3"/>
      <c r="C675" s="3"/>
      <c r="D675" s="3"/>
      <c r="E675" s="3"/>
      <c r="F675" s="3"/>
      <c r="G675" s="3"/>
      <c r="H675" s="4"/>
      <c r="I675" s="8"/>
      <c r="J675" s="8"/>
      <c r="K675" s="3"/>
      <c r="L675" s="3"/>
      <c r="M675" s="3"/>
      <c r="N675" s="3"/>
      <c r="O675" s="3"/>
      <c r="P675" s="3"/>
      <c r="Q675" s="3"/>
      <c r="R675" s="3"/>
      <c r="S675" s="3"/>
      <c r="T675" s="3"/>
      <c r="U675" s="3"/>
      <c r="V675" s="3"/>
      <c r="W675" s="3"/>
      <c r="X675" s="3"/>
      <c r="Y675" s="3"/>
      <c r="Z675" s="3"/>
      <c r="AA675" s="3"/>
      <c r="AB675" s="3"/>
      <c r="AC675" s="3"/>
      <c r="AD675" s="3"/>
      <c r="AE675" s="3"/>
    </row>
    <row r="676">
      <c r="A676" s="3"/>
      <c r="B676" s="3"/>
      <c r="C676" s="3"/>
      <c r="D676" s="3"/>
      <c r="E676" s="3"/>
      <c r="F676" s="3"/>
      <c r="G676" s="3"/>
      <c r="H676" s="4"/>
      <c r="I676" s="8"/>
      <c r="J676" s="8"/>
      <c r="K676" s="3"/>
      <c r="L676" s="3"/>
      <c r="M676" s="3"/>
      <c r="N676" s="3"/>
      <c r="O676" s="3"/>
      <c r="P676" s="3"/>
      <c r="Q676" s="3"/>
      <c r="R676" s="3"/>
      <c r="S676" s="3"/>
      <c r="T676" s="3"/>
      <c r="U676" s="3"/>
      <c r="V676" s="3"/>
      <c r="W676" s="3"/>
      <c r="X676" s="3"/>
      <c r="Y676" s="3"/>
      <c r="Z676" s="3"/>
      <c r="AA676" s="3"/>
      <c r="AB676" s="3"/>
      <c r="AC676" s="3"/>
      <c r="AD676" s="3"/>
      <c r="AE676" s="3"/>
    </row>
    <row r="677">
      <c r="A677" s="3"/>
      <c r="B677" s="3"/>
      <c r="C677" s="3"/>
      <c r="D677" s="3"/>
      <c r="E677" s="3"/>
      <c r="F677" s="3"/>
      <c r="G677" s="3"/>
      <c r="H677" s="4"/>
      <c r="I677" s="8"/>
      <c r="J677" s="8"/>
      <c r="K677" s="3"/>
      <c r="L677" s="3"/>
      <c r="M677" s="3"/>
      <c r="N677" s="3"/>
      <c r="O677" s="3"/>
      <c r="P677" s="3"/>
      <c r="Q677" s="3"/>
      <c r="R677" s="3"/>
      <c r="S677" s="3"/>
      <c r="T677" s="3"/>
      <c r="U677" s="3"/>
      <c r="V677" s="3"/>
      <c r="W677" s="3"/>
      <c r="X677" s="3"/>
      <c r="Y677" s="3"/>
      <c r="Z677" s="3"/>
      <c r="AA677" s="3"/>
      <c r="AB677" s="3"/>
      <c r="AC677" s="3"/>
      <c r="AD677" s="3"/>
      <c r="AE677" s="3"/>
    </row>
    <row r="678">
      <c r="A678" s="3"/>
      <c r="B678" s="3"/>
      <c r="C678" s="3"/>
      <c r="D678" s="3"/>
      <c r="E678" s="3"/>
      <c r="F678" s="3"/>
      <c r="G678" s="3"/>
      <c r="H678" s="4"/>
      <c r="I678" s="8"/>
      <c r="J678" s="8"/>
      <c r="K678" s="3"/>
      <c r="L678" s="3"/>
      <c r="M678" s="3"/>
      <c r="N678" s="3"/>
      <c r="O678" s="3"/>
      <c r="P678" s="3"/>
      <c r="Q678" s="3"/>
      <c r="R678" s="3"/>
      <c r="S678" s="3"/>
      <c r="T678" s="3"/>
      <c r="U678" s="3"/>
      <c r="V678" s="3"/>
      <c r="W678" s="3"/>
      <c r="X678" s="3"/>
      <c r="Y678" s="3"/>
      <c r="Z678" s="3"/>
      <c r="AA678" s="3"/>
      <c r="AB678" s="3"/>
      <c r="AC678" s="3"/>
      <c r="AD678" s="3"/>
      <c r="AE678" s="3"/>
    </row>
    <row r="679">
      <c r="A679" s="3"/>
      <c r="B679" s="3"/>
      <c r="C679" s="3"/>
      <c r="D679" s="3"/>
      <c r="E679" s="3"/>
      <c r="F679" s="3"/>
      <c r="G679" s="3"/>
      <c r="H679" s="4"/>
      <c r="I679" s="8"/>
      <c r="J679" s="8"/>
      <c r="K679" s="3"/>
      <c r="L679" s="3"/>
      <c r="M679" s="3"/>
      <c r="N679" s="3"/>
      <c r="O679" s="3"/>
      <c r="P679" s="3"/>
      <c r="Q679" s="3"/>
      <c r="R679" s="3"/>
      <c r="S679" s="3"/>
      <c r="T679" s="3"/>
      <c r="U679" s="3"/>
      <c r="V679" s="3"/>
      <c r="W679" s="3"/>
      <c r="X679" s="3"/>
      <c r="Y679" s="3"/>
      <c r="Z679" s="3"/>
      <c r="AA679" s="3"/>
      <c r="AB679" s="3"/>
      <c r="AC679" s="3"/>
      <c r="AD679" s="3"/>
      <c r="AE679" s="3"/>
    </row>
    <row r="680">
      <c r="A680" s="3"/>
      <c r="B680" s="3"/>
      <c r="C680" s="3"/>
      <c r="D680" s="3"/>
      <c r="E680" s="3"/>
      <c r="F680" s="3"/>
      <c r="G680" s="3"/>
      <c r="H680" s="4"/>
      <c r="I680" s="8"/>
      <c r="J680" s="8"/>
      <c r="K680" s="3"/>
      <c r="L680" s="3"/>
      <c r="M680" s="3"/>
      <c r="N680" s="3"/>
      <c r="O680" s="3"/>
      <c r="P680" s="3"/>
      <c r="Q680" s="3"/>
      <c r="R680" s="3"/>
      <c r="S680" s="3"/>
      <c r="T680" s="3"/>
      <c r="U680" s="3"/>
      <c r="V680" s="3"/>
      <c r="W680" s="3"/>
      <c r="X680" s="3"/>
      <c r="Y680" s="3"/>
      <c r="Z680" s="3"/>
      <c r="AA680" s="3"/>
      <c r="AB680" s="3"/>
      <c r="AC680" s="3"/>
      <c r="AD680" s="3"/>
      <c r="AE680" s="3"/>
    </row>
    <row r="681">
      <c r="A681" s="3"/>
      <c r="B681" s="3"/>
      <c r="C681" s="3"/>
      <c r="D681" s="3"/>
      <c r="E681" s="3"/>
      <c r="F681" s="3"/>
      <c r="G681" s="3"/>
      <c r="H681" s="4"/>
      <c r="I681" s="8"/>
      <c r="J681" s="8"/>
      <c r="K681" s="3"/>
      <c r="L681" s="3"/>
      <c r="M681" s="3"/>
      <c r="N681" s="3"/>
      <c r="O681" s="3"/>
      <c r="P681" s="3"/>
      <c r="Q681" s="3"/>
      <c r="R681" s="3"/>
      <c r="S681" s="3"/>
      <c r="T681" s="3"/>
      <c r="U681" s="3"/>
      <c r="V681" s="3"/>
      <c r="W681" s="3"/>
      <c r="X681" s="3"/>
      <c r="Y681" s="3"/>
      <c r="Z681" s="3"/>
      <c r="AA681" s="3"/>
      <c r="AB681" s="3"/>
      <c r="AC681" s="3"/>
      <c r="AD681" s="3"/>
      <c r="AE681" s="3"/>
    </row>
    <row r="682">
      <c r="A682" s="3"/>
      <c r="B682" s="3"/>
      <c r="C682" s="3"/>
      <c r="D682" s="3"/>
      <c r="E682" s="3"/>
      <c r="F682" s="3"/>
      <c r="G682" s="3"/>
      <c r="H682" s="4"/>
      <c r="I682" s="8"/>
      <c r="J682" s="8"/>
      <c r="K682" s="3"/>
      <c r="L682" s="3"/>
      <c r="M682" s="3"/>
      <c r="N682" s="3"/>
      <c r="O682" s="3"/>
      <c r="P682" s="3"/>
      <c r="Q682" s="3"/>
      <c r="R682" s="3"/>
      <c r="S682" s="3"/>
      <c r="T682" s="3"/>
      <c r="U682" s="3"/>
      <c r="V682" s="3"/>
      <c r="W682" s="3"/>
      <c r="X682" s="3"/>
      <c r="Y682" s="3"/>
      <c r="Z682" s="3"/>
      <c r="AA682" s="3"/>
      <c r="AB682" s="3"/>
      <c r="AC682" s="3"/>
      <c r="AD682" s="3"/>
      <c r="AE682" s="3"/>
    </row>
    <row r="683">
      <c r="A683" s="3"/>
      <c r="B683" s="3"/>
      <c r="C683" s="3"/>
      <c r="D683" s="3"/>
      <c r="E683" s="3"/>
      <c r="F683" s="3"/>
      <c r="G683" s="3"/>
      <c r="H683" s="4"/>
      <c r="I683" s="8"/>
      <c r="J683" s="8"/>
      <c r="K683" s="3"/>
      <c r="L683" s="3"/>
      <c r="M683" s="3"/>
      <c r="N683" s="3"/>
      <c r="O683" s="3"/>
      <c r="P683" s="3"/>
      <c r="Q683" s="3"/>
      <c r="R683" s="3"/>
      <c r="S683" s="3"/>
      <c r="T683" s="3"/>
      <c r="U683" s="3"/>
      <c r="V683" s="3"/>
      <c r="W683" s="3"/>
      <c r="X683" s="3"/>
      <c r="Y683" s="3"/>
      <c r="Z683" s="3"/>
      <c r="AA683" s="3"/>
      <c r="AB683" s="3"/>
      <c r="AC683" s="3"/>
      <c r="AD683" s="3"/>
      <c r="AE683" s="3"/>
    </row>
    <row r="684">
      <c r="A684" s="3"/>
      <c r="B684" s="3"/>
      <c r="C684" s="3"/>
      <c r="D684" s="3"/>
      <c r="E684" s="3"/>
      <c r="F684" s="3"/>
      <c r="G684" s="3"/>
      <c r="H684" s="4"/>
      <c r="I684" s="8"/>
      <c r="J684" s="8"/>
      <c r="K684" s="3"/>
      <c r="L684" s="3"/>
      <c r="M684" s="3"/>
      <c r="N684" s="3"/>
      <c r="O684" s="3"/>
      <c r="P684" s="3"/>
      <c r="Q684" s="3"/>
      <c r="R684" s="3"/>
      <c r="S684" s="3"/>
      <c r="T684" s="3"/>
      <c r="U684" s="3"/>
      <c r="V684" s="3"/>
      <c r="W684" s="3"/>
      <c r="X684" s="3"/>
      <c r="Y684" s="3"/>
      <c r="Z684" s="3"/>
      <c r="AA684" s="3"/>
      <c r="AB684" s="3"/>
      <c r="AC684" s="3"/>
      <c r="AD684" s="3"/>
      <c r="AE684" s="3"/>
    </row>
    <row r="685">
      <c r="A685" s="3"/>
      <c r="B685" s="3"/>
      <c r="C685" s="3"/>
      <c r="D685" s="3"/>
      <c r="E685" s="3"/>
      <c r="F685" s="3"/>
      <c r="G685" s="3"/>
      <c r="H685" s="4"/>
      <c r="I685" s="8"/>
      <c r="J685" s="8"/>
      <c r="K685" s="3"/>
      <c r="L685" s="3"/>
      <c r="M685" s="3"/>
      <c r="N685" s="3"/>
      <c r="O685" s="3"/>
      <c r="P685" s="3"/>
      <c r="Q685" s="3"/>
      <c r="R685" s="3"/>
      <c r="S685" s="3"/>
      <c r="T685" s="3"/>
      <c r="U685" s="3"/>
      <c r="V685" s="3"/>
      <c r="W685" s="3"/>
      <c r="X685" s="3"/>
      <c r="Y685" s="3"/>
      <c r="Z685" s="3"/>
      <c r="AA685" s="3"/>
      <c r="AB685" s="3"/>
      <c r="AC685" s="3"/>
      <c r="AD685" s="3"/>
      <c r="AE685" s="3"/>
    </row>
    <row r="686">
      <c r="A686" s="3"/>
      <c r="B686" s="3"/>
      <c r="C686" s="3"/>
      <c r="D686" s="3"/>
      <c r="E686" s="3"/>
      <c r="F686" s="3"/>
      <c r="G686" s="3"/>
      <c r="H686" s="4"/>
      <c r="I686" s="8"/>
      <c r="J686" s="8"/>
      <c r="K686" s="3"/>
      <c r="L686" s="3"/>
      <c r="M686" s="3"/>
      <c r="N686" s="3"/>
      <c r="O686" s="3"/>
      <c r="P686" s="3"/>
      <c r="Q686" s="3"/>
      <c r="R686" s="3"/>
      <c r="S686" s="3"/>
      <c r="T686" s="3"/>
      <c r="U686" s="3"/>
      <c r="V686" s="3"/>
      <c r="W686" s="3"/>
      <c r="X686" s="3"/>
      <c r="Y686" s="3"/>
      <c r="Z686" s="3"/>
      <c r="AA686" s="3"/>
      <c r="AB686" s="3"/>
      <c r="AC686" s="3"/>
      <c r="AD686" s="3"/>
      <c r="AE686" s="3"/>
    </row>
    <row r="687">
      <c r="A687" s="3"/>
      <c r="B687" s="3"/>
      <c r="C687" s="3"/>
      <c r="D687" s="3"/>
      <c r="E687" s="3"/>
      <c r="F687" s="3"/>
      <c r="G687" s="3"/>
      <c r="H687" s="4"/>
      <c r="I687" s="8"/>
      <c r="J687" s="8"/>
      <c r="K687" s="3"/>
      <c r="L687" s="3"/>
      <c r="M687" s="3"/>
      <c r="N687" s="3"/>
      <c r="O687" s="3"/>
      <c r="P687" s="3"/>
      <c r="Q687" s="3"/>
      <c r="R687" s="3"/>
      <c r="S687" s="3"/>
      <c r="T687" s="3"/>
      <c r="U687" s="3"/>
      <c r="V687" s="3"/>
      <c r="W687" s="3"/>
      <c r="X687" s="3"/>
      <c r="Y687" s="3"/>
      <c r="Z687" s="3"/>
      <c r="AA687" s="3"/>
      <c r="AB687" s="3"/>
      <c r="AC687" s="3"/>
      <c r="AD687" s="3"/>
      <c r="AE687" s="3"/>
    </row>
    <row r="688">
      <c r="A688" s="3"/>
      <c r="B688" s="3"/>
      <c r="C688" s="3"/>
      <c r="D688" s="3"/>
      <c r="E688" s="3"/>
      <c r="F688" s="3"/>
      <c r="G688" s="3"/>
      <c r="H688" s="4"/>
      <c r="I688" s="8"/>
      <c r="J688" s="8"/>
      <c r="K688" s="3"/>
      <c r="L688" s="3"/>
      <c r="M688" s="3"/>
      <c r="N688" s="3"/>
      <c r="O688" s="3"/>
      <c r="P688" s="3"/>
      <c r="Q688" s="3"/>
      <c r="R688" s="3"/>
      <c r="S688" s="3"/>
      <c r="T688" s="3"/>
      <c r="U688" s="3"/>
      <c r="V688" s="3"/>
      <c r="W688" s="3"/>
      <c r="X688" s="3"/>
      <c r="Y688" s="3"/>
      <c r="Z688" s="3"/>
      <c r="AA688" s="3"/>
      <c r="AB688" s="3"/>
      <c r="AC688" s="3"/>
      <c r="AD688" s="3"/>
      <c r="AE688" s="3"/>
    </row>
    <row r="689">
      <c r="A689" s="3"/>
      <c r="B689" s="3"/>
      <c r="C689" s="3"/>
      <c r="D689" s="3"/>
      <c r="E689" s="3"/>
      <c r="F689" s="3"/>
      <c r="G689" s="3"/>
      <c r="H689" s="4"/>
      <c r="I689" s="8"/>
      <c r="J689" s="8"/>
      <c r="K689" s="3"/>
      <c r="L689" s="3"/>
      <c r="M689" s="3"/>
      <c r="N689" s="3"/>
      <c r="O689" s="3"/>
      <c r="P689" s="3"/>
      <c r="Q689" s="3"/>
      <c r="R689" s="3"/>
      <c r="S689" s="3"/>
      <c r="T689" s="3"/>
      <c r="U689" s="3"/>
      <c r="V689" s="3"/>
      <c r="W689" s="3"/>
      <c r="X689" s="3"/>
      <c r="Y689" s="3"/>
      <c r="Z689" s="3"/>
      <c r="AA689" s="3"/>
      <c r="AB689" s="3"/>
      <c r="AC689" s="3"/>
      <c r="AD689" s="3"/>
      <c r="AE689" s="3"/>
    </row>
    <row r="690">
      <c r="A690" s="3"/>
      <c r="B690" s="3"/>
      <c r="C690" s="3"/>
      <c r="D690" s="3"/>
      <c r="E690" s="3"/>
      <c r="F690" s="3"/>
      <c r="G690" s="3"/>
      <c r="H690" s="4"/>
      <c r="I690" s="8"/>
      <c r="J690" s="8"/>
      <c r="K690" s="3"/>
      <c r="L690" s="3"/>
      <c r="M690" s="3"/>
      <c r="N690" s="3"/>
      <c r="O690" s="3"/>
      <c r="P690" s="3"/>
      <c r="Q690" s="3"/>
      <c r="R690" s="3"/>
      <c r="S690" s="3"/>
      <c r="T690" s="3"/>
      <c r="U690" s="3"/>
      <c r="V690" s="3"/>
      <c r="W690" s="3"/>
      <c r="X690" s="3"/>
      <c r="Y690" s="3"/>
      <c r="Z690" s="3"/>
      <c r="AA690" s="3"/>
      <c r="AB690" s="3"/>
      <c r="AC690" s="3"/>
      <c r="AD690" s="3"/>
      <c r="AE690" s="3"/>
    </row>
    <row r="691">
      <c r="A691" s="3"/>
      <c r="B691" s="3"/>
      <c r="C691" s="3"/>
      <c r="D691" s="3"/>
      <c r="E691" s="3"/>
      <c r="F691" s="3"/>
      <c r="G691" s="3"/>
      <c r="H691" s="4"/>
      <c r="I691" s="8"/>
      <c r="J691" s="8"/>
      <c r="K691" s="3"/>
      <c r="L691" s="3"/>
      <c r="M691" s="3"/>
      <c r="N691" s="3"/>
      <c r="O691" s="3"/>
      <c r="P691" s="3"/>
      <c r="Q691" s="3"/>
      <c r="R691" s="3"/>
      <c r="S691" s="3"/>
      <c r="T691" s="3"/>
      <c r="U691" s="3"/>
      <c r="V691" s="3"/>
      <c r="W691" s="3"/>
      <c r="X691" s="3"/>
      <c r="Y691" s="3"/>
      <c r="Z691" s="3"/>
      <c r="AA691" s="3"/>
      <c r="AB691" s="3"/>
      <c r="AC691" s="3"/>
      <c r="AD691" s="3"/>
      <c r="AE691" s="3"/>
    </row>
    <row r="692">
      <c r="A692" s="3"/>
      <c r="B692" s="3"/>
      <c r="C692" s="3"/>
      <c r="D692" s="3"/>
      <c r="E692" s="3"/>
      <c r="F692" s="3"/>
      <c r="G692" s="3"/>
      <c r="H692" s="4"/>
      <c r="I692" s="8"/>
      <c r="J692" s="8"/>
      <c r="K692" s="3"/>
      <c r="L692" s="3"/>
      <c r="M692" s="3"/>
      <c r="N692" s="3"/>
      <c r="O692" s="3"/>
      <c r="P692" s="3"/>
      <c r="Q692" s="3"/>
      <c r="R692" s="3"/>
      <c r="S692" s="3"/>
      <c r="T692" s="3"/>
      <c r="U692" s="3"/>
      <c r="V692" s="3"/>
      <c r="W692" s="3"/>
      <c r="X692" s="3"/>
      <c r="Y692" s="3"/>
      <c r="Z692" s="3"/>
      <c r="AA692" s="3"/>
      <c r="AB692" s="3"/>
      <c r="AC692" s="3"/>
      <c r="AD692" s="3"/>
      <c r="AE692" s="3"/>
    </row>
    <row r="693">
      <c r="A693" s="3"/>
      <c r="B693" s="3"/>
      <c r="C693" s="3"/>
      <c r="D693" s="3"/>
      <c r="E693" s="3"/>
      <c r="F693" s="3"/>
      <c r="G693" s="3"/>
      <c r="H693" s="4"/>
      <c r="I693" s="8"/>
      <c r="J693" s="8"/>
      <c r="K693" s="3"/>
      <c r="L693" s="3"/>
      <c r="M693" s="3"/>
      <c r="N693" s="3"/>
      <c r="O693" s="3"/>
      <c r="P693" s="3"/>
      <c r="Q693" s="3"/>
      <c r="R693" s="3"/>
      <c r="S693" s="3"/>
      <c r="T693" s="3"/>
      <c r="U693" s="3"/>
      <c r="V693" s="3"/>
      <c r="W693" s="3"/>
      <c r="X693" s="3"/>
      <c r="Y693" s="3"/>
      <c r="Z693" s="3"/>
      <c r="AA693" s="3"/>
      <c r="AB693" s="3"/>
      <c r="AC693" s="3"/>
      <c r="AD693" s="3"/>
      <c r="AE693" s="3"/>
    </row>
    <row r="694">
      <c r="A694" s="3"/>
      <c r="B694" s="3"/>
      <c r="C694" s="3"/>
      <c r="D694" s="3"/>
      <c r="E694" s="3"/>
      <c r="F694" s="3"/>
      <c r="G694" s="3"/>
      <c r="H694" s="4"/>
      <c r="I694" s="8"/>
      <c r="J694" s="8"/>
      <c r="K694" s="3"/>
      <c r="L694" s="3"/>
      <c r="M694" s="3"/>
      <c r="N694" s="3"/>
      <c r="O694" s="3"/>
      <c r="P694" s="3"/>
      <c r="Q694" s="3"/>
      <c r="R694" s="3"/>
      <c r="S694" s="3"/>
      <c r="T694" s="3"/>
      <c r="U694" s="3"/>
      <c r="V694" s="3"/>
      <c r="W694" s="3"/>
      <c r="X694" s="3"/>
      <c r="Y694" s="3"/>
      <c r="Z694" s="3"/>
      <c r="AA694" s="3"/>
      <c r="AB694" s="3"/>
      <c r="AC694" s="3"/>
      <c r="AD694" s="3"/>
      <c r="AE694" s="3"/>
    </row>
    <row r="695">
      <c r="A695" s="3"/>
      <c r="B695" s="3"/>
      <c r="C695" s="3"/>
      <c r="D695" s="3"/>
      <c r="E695" s="3"/>
      <c r="F695" s="3"/>
      <c r="G695" s="3"/>
      <c r="H695" s="4"/>
      <c r="I695" s="8"/>
      <c r="J695" s="8"/>
      <c r="K695" s="3"/>
      <c r="L695" s="3"/>
      <c r="M695" s="3"/>
      <c r="N695" s="3"/>
      <c r="O695" s="3"/>
      <c r="P695" s="3"/>
      <c r="Q695" s="3"/>
      <c r="R695" s="3"/>
      <c r="S695" s="3"/>
      <c r="T695" s="3"/>
      <c r="U695" s="3"/>
      <c r="V695" s="3"/>
      <c r="W695" s="3"/>
      <c r="X695" s="3"/>
      <c r="Y695" s="3"/>
      <c r="Z695" s="3"/>
      <c r="AA695" s="3"/>
      <c r="AB695" s="3"/>
      <c r="AC695" s="3"/>
      <c r="AD695" s="3"/>
      <c r="AE695" s="3"/>
    </row>
    <row r="696">
      <c r="A696" s="3"/>
      <c r="B696" s="3"/>
      <c r="C696" s="3"/>
      <c r="D696" s="3"/>
      <c r="E696" s="3"/>
      <c r="F696" s="3"/>
      <c r="G696" s="3"/>
      <c r="H696" s="4"/>
      <c r="I696" s="8"/>
      <c r="J696" s="8"/>
      <c r="K696" s="3"/>
      <c r="L696" s="3"/>
      <c r="M696" s="3"/>
      <c r="N696" s="3"/>
      <c r="O696" s="3"/>
      <c r="P696" s="3"/>
      <c r="Q696" s="3"/>
      <c r="R696" s="3"/>
      <c r="S696" s="3"/>
      <c r="T696" s="3"/>
      <c r="U696" s="3"/>
      <c r="V696" s="3"/>
      <c r="W696" s="3"/>
      <c r="X696" s="3"/>
      <c r="Y696" s="3"/>
      <c r="Z696" s="3"/>
      <c r="AA696" s="3"/>
      <c r="AB696" s="3"/>
      <c r="AC696" s="3"/>
      <c r="AD696" s="3"/>
      <c r="AE696" s="3"/>
    </row>
    <row r="697">
      <c r="A697" s="3"/>
      <c r="B697" s="3"/>
      <c r="C697" s="3"/>
      <c r="D697" s="3"/>
      <c r="E697" s="3"/>
      <c r="F697" s="3"/>
      <c r="G697" s="3"/>
      <c r="H697" s="4"/>
      <c r="I697" s="8"/>
      <c r="J697" s="8"/>
      <c r="K697" s="3"/>
      <c r="L697" s="3"/>
      <c r="M697" s="3"/>
      <c r="N697" s="3"/>
      <c r="O697" s="3"/>
      <c r="P697" s="3"/>
      <c r="Q697" s="3"/>
      <c r="R697" s="3"/>
      <c r="S697" s="3"/>
      <c r="T697" s="3"/>
      <c r="U697" s="3"/>
      <c r="V697" s="3"/>
      <c r="W697" s="3"/>
      <c r="X697" s="3"/>
      <c r="Y697" s="3"/>
      <c r="Z697" s="3"/>
      <c r="AA697" s="3"/>
      <c r="AB697" s="3"/>
      <c r="AC697" s="3"/>
      <c r="AD697" s="3"/>
      <c r="AE697" s="3"/>
    </row>
    <row r="698">
      <c r="A698" s="3"/>
      <c r="B698" s="3"/>
      <c r="C698" s="3"/>
      <c r="D698" s="3"/>
      <c r="E698" s="3"/>
      <c r="F698" s="3"/>
      <c r="G698" s="3"/>
      <c r="H698" s="4"/>
      <c r="I698" s="8"/>
      <c r="J698" s="8"/>
      <c r="K698" s="3"/>
      <c r="L698" s="3"/>
      <c r="M698" s="3"/>
      <c r="N698" s="3"/>
      <c r="O698" s="3"/>
      <c r="P698" s="3"/>
      <c r="Q698" s="3"/>
      <c r="R698" s="3"/>
      <c r="S698" s="3"/>
      <c r="T698" s="3"/>
      <c r="U698" s="3"/>
      <c r="V698" s="3"/>
      <c r="W698" s="3"/>
      <c r="X698" s="3"/>
      <c r="Y698" s="3"/>
      <c r="Z698" s="3"/>
      <c r="AA698" s="3"/>
      <c r="AB698" s="3"/>
      <c r="AC698" s="3"/>
      <c r="AD698" s="3"/>
      <c r="AE698" s="3"/>
    </row>
    <row r="699">
      <c r="A699" s="3"/>
      <c r="B699" s="3"/>
      <c r="C699" s="3"/>
      <c r="D699" s="3"/>
      <c r="E699" s="3"/>
      <c r="F699" s="3"/>
      <c r="G699" s="3"/>
      <c r="H699" s="4"/>
      <c r="I699" s="8"/>
      <c r="J699" s="8"/>
      <c r="K699" s="3"/>
      <c r="L699" s="3"/>
      <c r="M699" s="3"/>
      <c r="N699" s="3"/>
      <c r="O699" s="3"/>
      <c r="P699" s="3"/>
      <c r="Q699" s="3"/>
      <c r="R699" s="3"/>
      <c r="S699" s="3"/>
      <c r="T699" s="3"/>
      <c r="U699" s="3"/>
      <c r="V699" s="3"/>
      <c r="W699" s="3"/>
      <c r="X699" s="3"/>
      <c r="Y699" s="3"/>
      <c r="Z699" s="3"/>
      <c r="AA699" s="3"/>
      <c r="AB699" s="3"/>
      <c r="AC699" s="3"/>
      <c r="AD699" s="3"/>
      <c r="AE699" s="3"/>
    </row>
    <row r="700">
      <c r="A700" s="3"/>
      <c r="B700" s="3"/>
      <c r="C700" s="3"/>
      <c r="D700" s="3"/>
      <c r="E700" s="3"/>
      <c r="F700" s="3"/>
      <c r="G700" s="3"/>
      <c r="H700" s="4"/>
      <c r="I700" s="8"/>
      <c r="J700" s="8"/>
      <c r="K700" s="3"/>
      <c r="L700" s="3"/>
      <c r="M700" s="3"/>
      <c r="N700" s="3"/>
      <c r="O700" s="3"/>
      <c r="P700" s="3"/>
      <c r="Q700" s="3"/>
      <c r="R700" s="3"/>
      <c r="S700" s="3"/>
      <c r="T700" s="3"/>
      <c r="U700" s="3"/>
      <c r="V700" s="3"/>
      <c r="W700" s="3"/>
      <c r="X700" s="3"/>
      <c r="Y700" s="3"/>
      <c r="Z700" s="3"/>
      <c r="AA700" s="3"/>
      <c r="AB700" s="3"/>
      <c r="AC700" s="3"/>
      <c r="AD700" s="3"/>
      <c r="AE700" s="3"/>
    </row>
    <row r="701">
      <c r="A701" s="3"/>
      <c r="B701" s="3"/>
      <c r="C701" s="3"/>
      <c r="D701" s="3"/>
      <c r="E701" s="3"/>
      <c r="F701" s="3"/>
      <c r="G701" s="3"/>
      <c r="H701" s="4"/>
      <c r="I701" s="8"/>
      <c r="J701" s="8"/>
      <c r="K701" s="3"/>
      <c r="L701" s="3"/>
      <c r="M701" s="3"/>
      <c r="N701" s="3"/>
      <c r="O701" s="3"/>
      <c r="P701" s="3"/>
      <c r="Q701" s="3"/>
      <c r="R701" s="3"/>
      <c r="S701" s="3"/>
      <c r="T701" s="3"/>
      <c r="U701" s="3"/>
      <c r="V701" s="3"/>
      <c r="W701" s="3"/>
      <c r="X701" s="3"/>
      <c r="Y701" s="3"/>
      <c r="Z701" s="3"/>
      <c r="AA701" s="3"/>
      <c r="AB701" s="3"/>
      <c r="AC701" s="3"/>
      <c r="AD701" s="3"/>
      <c r="AE701" s="3"/>
    </row>
    <row r="702">
      <c r="A702" s="3"/>
      <c r="B702" s="3"/>
      <c r="C702" s="3"/>
      <c r="D702" s="3"/>
      <c r="E702" s="3"/>
      <c r="F702" s="3"/>
      <c r="G702" s="3"/>
      <c r="H702" s="4"/>
      <c r="I702" s="8"/>
      <c r="J702" s="8"/>
      <c r="K702" s="3"/>
      <c r="L702" s="3"/>
      <c r="M702" s="3"/>
      <c r="N702" s="3"/>
      <c r="O702" s="3"/>
      <c r="P702" s="3"/>
      <c r="Q702" s="3"/>
      <c r="R702" s="3"/>
      <c r="S702" s="3"/>
      <c r="T702" s="3"/>
      <c r="U702" s="3"/>
      <c r="V702" s="3"/>
      <c r="W702" s="3"/>
      <c r="X702" s="3"/>
      <c r="Y702" s="3"/>
      <c r="Z702" s="3"/>
      <c r="AA702" s="3"/>
      <c r="AB702" s="3"/>
      <c r="AC702" s="3"/>
      <c r="AD702" s="3"/>
      <c r="AE702" s="3"/>
    </row>
    <row r="703">
      <c r="A703" s="3"/>
      <c r="B703" s="3"/>
      <c r="C703" s="3"/>
      <c r="D703" s="3"/>
      <c r="E703" s="3"/>
      <c r="F703" s="3"/>
      <c r="G703" s="3"/>
      <c r="H703" s="4"/>
      <c r="I703" s="8"/>
      <c r="J703" s="8"/>
      <c r="K703" s="3"/>
      <c r="L703" s="3"/>
      <c r="M703" s="3"/>
      <c r="N703" s="3"/>
      <c r="O703" s="3"/>
      <c r="P703" s="3"/>
      <c r="Q703" s="3"/>
      <c r="R703" s="3"/>
      <c r="S703" s="3"/>
      <c r="T703" s="3"/>
      <c r="U703" s="3"/>
      <c r="V703" s="3"/>
      <c r="W703" s="3"/>
      <c r="X703" s="3"/>
      <c r="Y703" s="3"/>
      <c r="Z703" s="3"/>
      <c r="AA703" s="3"/>
      <c r="AB703" s="3"/>
      <c r="AC703" s="3"/>
      <c r="AD703" s="3"/>
      <c r="AE703" s="3"/>
    </row>
    <row r="704">
      <c r="A704" s="3"/>
      <c r="B704" s="3"/>
      <c r="C704" s="3"/>
      <c r="D704" s="3"/>
      <c r="E704" s="3"/>
      <c r="F704" s="3"/>
      <c r="G704" s="3"/>
      <c r="H704" s="4"/>
      <c r="I704" s="8"/>
      <c r="J704" s="8"/>
      <c r="K704" s="3"/>
      <c r="L704" s="3"/>
      <c r="M704" s="3"/>
      <c r="N704" s="3"/>
      <c r="O704" s="3"/>
      <c r="P704" s="3"/>
      <c r="Q704" s="3"/>
      <c r="R704" s="3"/>
      <c r="S704" s="3"/>
      <c r="T704" s="3"/>
      <c r="U704" s="3"/>
      <c r="V704" s="3"/>
      <c r="W704" s="3"/>
      <c r="X704" s="3"/>
      <c r="Y704" s="3"/>
      <c r="Z704" s="3"/>
      <c r="AA704" s="3"/>
      <c r="AB704" s="3"/>
      <c r="AC704" s="3"/>
      <c r="AD704" s="3"/>
      <c r="AE704" s="3"/>
    </row>
    <row r="705">
      <c r="A705" s="3"/>
      <c r="B705" s="3"/>
      <c r="C705" s="3"/>
      <c r="D705" s="3"/>
      <c r="E705" s="3"/>
      <c r="F705" s="3"/>
      <c r="G705" s="3"/>
      <c r="H705" s="4"/>
      <c r="I705" s="8"/>
      <c r="J705" s="8"/>
      <c r="K705" s="3"/>
      <c r="L705" s="3"/>
      <c r="M705" s="3"/>
      <c r="N705" s="3"/>
      <c r="O705" s="3"/>
      <c r="P705" s="3"/>
      <c r="Q705" s="3"/>
      <c r="R705" s="3"/>
      <c r="S705" s="3"/>
      <c r="T705" s="3"/>
      <c r="U705" s="3"/>
      <c r="V705" s="3"/>
      <c r="W705" s="3"/>
      <c r="X705" s="3"/>
      <c r="Y705" s="3"/>
      <c r="Z705" s="3"/>
      <c r="AA705" s="3"/>
      <c r="AB705" s="3"/>
      <c r="AC705" s="3"/>
      <c r="AD705" s="3"/>
      <c r="AE705" s="3"/>
    </row>
    <row r="706">
      <c r="A706" s="3"/>
      <c r="B706" s="3"/>
      <c r="C706" s="3"/>
      <c r="D706" s="3"/>
      <c r="E706" s="3"/>
      <c r="F706" s="3"/>
      <c r="G706" s="3"/>
      <c r="H706" s="4"/>
      <c r="I706" s="8"/>
      <c r="J706" s="8"/>
      <c r="K706" s="3"/>
      <c r="L706" s="3"/>
      <c r="M706" s="3"/>
      <c r="N706" s="3"/>
      <c r="O706" s="3"/>
      <c r="P706" s="3"/>
      <c r="Q706" s="3"/>
      <c r="R706" s="3"/>
      <c r="S706" s="3"/>
      <c r="T706" s="3"/>
      <c r="U706" s="3"/>
      <c r="V706" s="3"/>
      <c r="W706" s="3"/>
      <c r="X706" s="3"/>
      <c r="Y706" s="3"/>
      <c r="Z706" s="3"/>
      <c r="AA706" s="3"/>
      <c r="AB706" s="3"/>
      <c r="AC706" s="3"/>
      <c r="AD706" s="3"/>
      <c r="AE706" s="3"/>
    </row>
    <row r="707">
      <c r="A707" s="3"/>
      <c r="B707" s="3"/>
      <c r="C707" s="3"/>
      <c r="D707" s="3"/>
      <c r="E707" s="3"/>
      <c r="F707" s="3"/>
      <c r="G707" s="3"/>
      <c r="H707" s="4"/>
      <c r="I707" s="8"/>
      <c r="J707" s="8"/>
      <c r="K707" s="3"/>
      <c r="L707" s="3"/>
      <c r="M707" s="3"/>
      <c r="N707" s="3"/>
      <c r="O707" s="3"/>
      <c r="P707" s="3"/>
      <c r="Q707" s="3"/>
      <c r="R707" s="3"/>
      <c r="S707" s="3"/>
      <c r="T707" s="3"/>
      <c r="U707" s="3"/>
      <c r="V707" s="3"/>
      <c r="W707" s="3"/>
      <c r="X707" s="3"/>
      <c r="Y707" s="3"/>
      <c r="Z707" s="3"/>
      <c r="AA707" s="3"/>
      <c r="AB707" s="3"/>
      <c r="AC707" s="3"/>
      <c r="AD707" s="3"/>
      <c r="AE707" s="3"/>
    </row>
    <row r="708">
      <c r="A708" s="3"/>
      <c r="B708" s="3"/>
      <c r="C708" s="3"/>
      <c r="D708" s="3"/>
      <c r="E708" s="3"/>
      <c r="F708" s="3"/>
      <c r="G708" s="3"/>
      <c r="H708" s="4"/>
      <c r="I708" s="8"/>
      <c r="J708" s="8"/>
      <c r="K708" s="3"/>
      <c r="L708" s="3"/>
      <c r="M708" s="3"/>
      <c r="N708" s="3"/>
      <c r="O708" s="3"/>
      <c r="P708" s="3"/>
      <c r="Q708" s="3"/>
      <c r="R708" s="3"/>
      <c r="S708" s="3"/>
      <c r="T708" s="3"/>
      <c r="U708" s="3"/>
      <c r="V708" s="3"/>
      <c r="W708" s="3"/>
      <c r="X708" s="3"/>
      <c r="Y708" s="3"/>
      <c r="Z708" s="3"/>
      <c r="AA708" s="3"/>
      <c r="AB708" s="3"/>
      <c r="AC708" s="3"/>
      <c r="AD708" s="3"/>
      <c r="AE708" s="3"/>
    </row>
    <row r="709">
      <c r="A709" s="3"/>
      <c r="B709" s="3"/>
      <c r="C709" s="3"/>
      <c r="D709" s="3"/>
      <c r="E709" s="3"/>
      <c r="F709" s="3"/>
      <c r="G709" s="3"/>
      <c r="H709" s="4"/>
      <c r="I709" s="8"/>
      <c r="J709" s="8"/>
      <c r="K709" s="3"/>
      <c r="L709" s="3"/>
      <c r="M709" s="3"/>
      <c r="N709" s="3"/>
      <c r="O709" s="3"/>
      <c r="P709" s="3"/>
      <c r="Q709" s="3"/>
      <c r="R709" s="3"/>
      <c r="S709" s="3"/>
      <c r="T709" s="3"/>
      <c r="U709" s="3"/>
      <c r="V709" s="3"/>
      <c r="W709" s="3"/>
      <c r="X709" s="3"/>
      <c r="Y709" s="3"/>
      <c r="Z709" s="3"/>
      <c r="AA709" s="3"/>
      <c r="AB709" s="3"/>
      <c r="AC709" s="3"/>
      <c r="AD709" s="3"/>
      <c r="AE709" s="3"/>
    </row>
    <row r="710">
      <c r="A710" s="3"/>
      <c r="B710" s="3"/>
      <c r="C710" s="3"/>
      <c r="D710" s="3"/>
      <c r="E710" s="3"/>
      <c r="F710" s="3"/>
      <c r="G710" s="3"/>
      <c r="H710" s="4"/>
      <c r="I710" s="8"/>
      <c r="J710" s="8"/>
      <c r="K710" s="3"/>
      <c r="L710" s="3"/>
      <c r="M710" s="3"/>
      <c r="N710" s="3"/>
      <c r="O710" s="3"/>
      <c r="P710" s="3"/>
      <c r="Q710" s="3"/>
      <c r="R710" s="3"/>
      <c r="S710" s="3"/>
      <c r="T710" s="3"/>
      <c r="U710" s="3"/>
      <c r="V710" s="3"/>
      <c r="W710" s="3"/>
      <c r="X710" s="3"/>
      <c r="Y710" s="3"/>
      <c r="Z710" s="3"/>
      <c r="AA710" s="3"/>
      <c r="AB710" s="3"/>
      <c r="AC710" s="3"/>
      <c r="AD710" s="3"/>
      <c r="AE710" s="3"/>
    </row>
    <row r="711">
      <c r="A711" s="3"/>
      <c r="B711" s="3"/>
      <c r="C711" s="3"/>
      <c r="D711" s="3"/>
      <c r="E711" s="3"/>
      <c r="F711" s="3"/>
      <c r="G711" s="3"/>
      <c r="H711" s="4"/>
      <c r="I711" s="8"/>
      <c r="J711" s="8"/>
      <c r="K711" s="3"/>
      <c r="L711" s="3"/>
      <c r="M711" s="3"/>
      <c r="N711" s="3"/>
      <c r="O711" s="3"/>
      <c r="P711" s="3"/>
      <c r="Q711" s="3"/>
      <c r="R711" s="3"/>
      <c r="S711" s="3"/>
      <c r="T711" s="3"/>
      <c r="U711" s="3"/>
      <c r="V711" s="3"/>
      <c r="W711" s="3"/>
      <c r="X711" s="3"/>
      <c r="Y711" s="3"/>
      <c r="Z711" s="3"/>
      <c r="AA711" s="3"/>
      <c r="AB711" s="3"/>
      <c r="AC711" s="3"/>
      <c r="AD711" s="3"/>
      <c r="AE711" s="3"/>
    </row>
    <row r="712">
      <c r="A712" s="3"/>
      <c r="B712" s="3"/>
      <c r="C712" s="3"/>
      <c r="D712" s="3"/>
      <c r="E712" s="3"/>
      <c r="F712" s="3"/>
      <c r="G712" s="3"/>
      <c r="H712" s="4"/>
      <c r="I712" s="8"/>
      <c r="J712" s="8"/>
      <c r="K712" s="3"/>
      <c r="L712" s="3"/>
      <c r="M712" s="3"/>
      <c r="N712" s="3"/>
      <c r="O712" s="3"/>
      <c r="P712" s="3"/>
      <c r="Q712" s="3"/>
      <c r="R712" s="3"/>
      <c r="S712" s="3"/>
      <c r="T712" s="3"/>
      <c r="U712" s="3"/>
      <c r="V712" s="3"/>
      <c r="W712" s="3"/>
      <c r="X712" s="3"/>
      <c r="Y712" s="3"/>
      <c r="Z712" s="3"/>
      <c r="AA712" s="3"/>
      <c r="AB712" s="3"/>
      <c r="AC712" s="3"/>
      <c r="AD712" s="3"/>
      <c r="AE712" s="3"/>
    </row>
    <row r="713">
      <c r="A713" s="3"/>
      <c r="B713" s="3"/>
      <c r="C713" s="3"/>
      <c r="D713" s="3"/>
      <c r="E713" s="3"/>
      <c r="F713" s="3"/>
      <c r="G713" s="3"/>
      <c r="H713" s="4"/>
      <c r="I713" s="8"/>
      <c r="J713" s="8"/>
      <c r="K713" s="3"/>
      <c r="L713" s="3"/>
      <c r="M713" s="3"/>
      <c r="N713" s="3"/>
      <c r="O713" s="3"/>
      <c r="P713" s="3"/>
      <c r="Q713" s="3"/>
      <c r="R713" s="3"/>
      <c r="S713" s="3"/>
      <c r="T713" s="3"/>
      <c r="U713" s="3"/>
      <c r="V713" s="3"/>
      <c r="W713" s="3"/>
      <c r="X713" s="3"/>
      <c r="Y713" s="3"/>
      <c r="Z713" s="3"/>
      <c r="AA713" s="3"/>
      <c r="AB713" s="3"/>
      <c r="AC713" s="3"/>
      <c r="AD713" s="3"/>
      <c r="AE713" s="3"/>
    </row>
    <row r="714">
      <c r="A714" s="3"/>
      <c r="B714" s="3"/>
      <c r="C714" s="3"/>
      <c r="D714" s="3"/>
      <c r="E714" s="3"/>
      <c r="F714" s="3"/>
      <c r="G714" s="3"/>
      <c r="H714" s="4"/>
      <c r="I714" s="8"/>
      <c r="J714" s="8"/>
      <c r="K714" s="3"/>
      <c r="L714" s="3"/>
      <c r="M714" s="3"/>
      <c r="N714" s="3"/>
      <c r="O714" s="3"/>
      <c r="P714" s="3"/>
      <c r="Q714" s="3"/>
      <c r="R714" s="3"/>
      <c r="S714" s="3"/>
      <c r="T714" s="3"/>
      <c r="U714" s="3"/>
      <c r="V714" s="3"/>
      <c r="W714" s="3"/>
      <c r="X714" s="3"/>
      <c r="Y714" s="3"/>
      <c r="Z714" s="3"/>
      <c r="AA714" s="3"/>
      <c r="AB714" s="3"/>
      <c r="AC714" s="3"/>
      <c r="AD714" s="3"/>
      <c r="AE714" s="3"/>
    </row>
    <row r="715">
      <c r="A715" s="3"/>
      <c r="B715" s="3"/>
      <c r="C715" s="3"/>
      <c r="D715" s="3"/>
      <c r="E715" s="3"/>
      <c r="F715" s="3"/>
      <c r="G715" s="3"/>
      <c r="H715" s="4"/>
      <c r="I715" s="8"/>
      <c r="J715" s="8"/>
      <c r="K715" s="3"/>
      <c r="L715" s="3"/>
      <c r="M715" s="3"/>
      <c r="N715" s="3"/>
      <c r="O715" s="3"/>
      <c r="P715" s="3"/>
      <c r="Q715" s="3"/>
      <c r="R715" s="3"/>
      <c r="S715" s="3"/>
      <c r="T715" s="3"/>
      <c r="U715" s="3"/>
      <c r="V715" s="3"/>
      <c r="W715" s="3"/>
      <c r="X715" s="3"/>
      <c r="Y715" s="3"/>
      <c r="Z715" s="3"/>
      <c r="AA715" s="3"/>
      <c r="AB715" s="3"/>
      <c r="AC715" s="3"/>
      <c r="AD715" s="3"/>
      <c r="AE715" s="3"/>
    </row>
    <row r="716">
      <c r="A716" s="3"/>
      <c r="B716" s="3"/>
      <c r="C716" s="3"/>
      <c r="D716" s="3"/>
      <c r="E716" s="3"/>
      <c r="F716" s="3"/>
      <c r="G716" s="3"/>
      <c r="H716" s="4"/>
      <c r="I716" s="8"/>
      <c r="J716" s="8"/>
      <c r="K716" s="3"/>
      <c r="L716" s="3"/>
      <c r="M716" s="3"/>
      <c r="N716" s="3"/>
      <c r="O716" s="3"/>
      <c r="P716" s="3"/>
      <c r="Q716" s="3"/>
      <c r="R716" s="3"/>
      <c r="S716" s="3"/>
      <c r="T716" s="3"/>
      <c r="U716" s="3"/>
      <c r="V716" s="3"/>
      <c r="W716" s="3"/>
      <c r="X716" s="3"/>
      <c r="Y716" s="3"/>
      <c r="Z716" s="3"/>
      <c r="AA716" s="3"/>
      <c r="AB716" s="3"/>
      <c r="AC716" s="3"/>
      <c r="AD716" s="3"/>
      <c r="AE716" s="3"/>
    </row>
    <row r="717">
      <c r="A717" s="3"/>
      <c r="B717" s="3"/>
      <c r="C717" s="3"/>
      <c r="D717" s="3"/>
      <c r="E717" s="3"/>
      <c r="F717" s="3"/>
      <c r="G717" s="3"/>
      <c r="H717" s="4"/>
      <c r="I717" s="8"/>
      <c r="J717" s="8"/>
      <c r="K717" s="3"/>
      <c r="L717" s="3"/>
      <c r="M717" s="3"/>
      <c r="N717" s="3"/>
      <c r="O717" s="3"/>
      <c r="P717" s="3"/>
      <c r="Q717" s="3"/>
      <c r="R717" s="3"/>
      <c r="S717" s="3"/>
      <c r="T717" s="3"/>
      <c r="U717" s="3"/>
      <c r="V717" s="3"/>
      <c r="W717" s="3"/>
      <c r="X717" s="3"/>
      <c r="Y717" s="3"/>
      <c r="Z717" s="3"/>
      <c r="AA717" s="3"/>
      <c r="AB717" s="3"/>
      <c r="AC717" s="3"/>
      <c r="AD717" s="3"/>
      <c r="AE717" s="3"/>
    </row>
    <row r="718">
      <c r="A718" s="3"/>
      <c r="B718" s="3"/>
      <c r="C718" s="3"/>
      <c r="D718" s="3"/>
      <c r="E718" s="3"/>
      <c r="F718" s="3"/>
      <c r="G718" s="3"/>
      <c r="H718" s="4"/>
      <c r="I718" s="8"/>
      <c r="J718" s="8"/>
      <c r="K718" s="3"/>
      <c r="L718" s="3"/>
      <c r="M718" s="3"/>
      <c r="N718" s="3"/>
      <c r="O718" s="3"/>
      <c r="P718" s="3"/>
      <c r="Q718" s="3"/>
      <c r="R718" s="3"/>
      <c r="S718" s="3"/>
      <c r="T718" s="3"/>
      <c r="U718" s="3"/>
      <c r="V718" s="3"/>
      <c r="W718" s="3"/>
      <c r="X718" s="3"/>
      <c r="Y718" s="3"/>
      <c r="Z718" s="3"/>
      <c r="AA718" s="3"/>
      <c r="AB718" s="3"/>
      <c r="AC718" s="3"/>
      <c r="AD718" s="3"/>
      <c r="AE718" s="3"/>
    </row>
    <row r="719">
      <c r="A719" s="3"/>
      <c r="B719" s="3"/>
      <c r="C719" s="3"/>
      <c r="D719" s="3"/>
      <c r="E719" s="3"/>
      <c r="F719" s="3"/>
      <c r="G719" s="3"/>
      <c r="H719" s="4"/>
      <c r="I719" s="8"/>
      <c r="J719" s="8"/>
      <c r="K719" s="3"/>
      <c r="L719" s="3"/>
      <c r="M719" s="3"/>
      <c r="N719" s="3"/>
      <c r="O719" s="3"/>
      <c r="P719" s="3"/>
      <c r="Q719" s="3"/>
      <c r="R719" s="3"/>
      <c r="S719" s="3"/>
      <c r="T719" s="3"/>
      <c r="U719" s="3"/>
      <c r="V719" s="3"/>
      <c r="W719" s="3"/>
      <c r="X719" s="3"/>
      <c r="Y719" s="3"/>
      <c r="Z719" s="3"/>
      <c r="AA719" s="3"/>
      <c r="AB719" s="3"/>
      <c r="AC719" s="3"/>
      <c r="AD719" s="3"/>
      <c r="AE719" s="3"/>
    </row>
    <row r="720">
      <c r="A720" s="3"/>
      <c r="B720" s="3"/>
      <c r="C720" s="3"/>
      <c r="D720" s="3"/>
      <c r="E720" s="3"/>
      <c r="F720" s="3"/>
      <c r="G720" s="3"/>
      <c r="H720" s="4"/>
      <c r="I720" s="8"/>
      <c r="J720" s="8"/>
      <c r="K720" s="3"/>
      <c r="L720" s="3"/>
      <c r="M720" s="3"/>
      <c r="N720" s="3"/>
      <c r="O720" s="3"/>
      <c r="P720" s="3"/>
      <c r="Q720" s="3"/>
      <c r="R720" s="3"/>
      <c r="S720" s="3"/>
      <c r="T720" s="3"/>
      <c r="U720" s="3"/>
      <c r="V720" s="3"/>
      <c r="W720" s="3"/>
      <c r="X720" s="3"/>
      <c r="Y720" s="3"/>
      <c r="Z720" s="3"/>
      <c r="AA720" s="3"/>
      <c r="AB720" s="3"/>
      <c r="AC720" s="3"/>
      <c r="AD720" s="3"/>
      <c r="AE720" s="3"/>
    </row>
    <row r="721">
      <c r="A721" s="3"/>
      <c r="B721" s="3"/>
      <c r="C721" s="3"/>
      <c r="D721" s="3"/>
      <c r="E721" s="3"/>
      <c r="F721" s="3"/>
      <c r="G721" s="3"/>
      <c r="H721" s="4"/>
      <c r="I721" s="8"/>
      <c r="J721" s="8"/>
      <c r="K721" s="3"/>
      <c r="L721" s="3"/>
      <c r="M721" s="3"/>
      <c r="N721" s="3"/>
      <c r="O721" s="3"/>
      <c r="P721" s="3"/>
      <c r="Q721" s="3"/>
      <c r="R721" s="3"/>
      <c r="S721" s="3"/>
      <c r="T721" s="3"/>
      <c r="U721" s="3"/>
      <c r="V721" s="3"/>
      <c r="W721" s="3"/>
      <c r="X721" s="3"/>
      <c r="Y721" s="3"/>
      <c r="Z721" s="3"/>
      <c r="AA721" s="3"/>
      <c r="AB721" s="3"/>
      <c r="AC721" s="3"/>
      <c r="AD721" s="3"/>
      <c r="AE721" s="3"/>
    </row>
    <row r="722">
      <c r="A722" s="3"/>
      <c r="B722" s="3"/>
      <c r="C722" s="3"/>
      <c r="D722" s="3"/>
      <c r="E722" s="3"/>
      <c r="F722" s="3"/>
      <c r="G722" s="3"/>
      <c r="H722" s="4"/>
      <c r="I722" s="8"/>
      <c r="J722" s="8"/>
      <c r="K722" s="3"/>
      <c r="L722" s="3"/>
      <c r="M722" s="3"/>
      <c r="N722" s="3"/>
      <c r="O722" s="3"/>
      <c r="P722" s="3"/>
      <c r="Q722" s="3"/>
      <c r="R722" s="3"/>
      <c r="S722" s="3"/>
      <c r="T722" s="3"/>
      <c r="U722" s="3"/>
      <c r="V722" s="3"/>
      <c r="W722" s="3"/>
      <c r="X722" s="3"/>
      <c r="Y722" s="3"/>
      <c r="Z722" s="3"/>
      <c r="AA722" s="3"/>
      <c r="AB722" s="3"/>
      <c r="AC722" s="3"/>
      <c r="AD722" s="3"/>
      <c r="AE722" s="3"/>
    </row>
    <row r="723">
      <c r="A723" s="3"/>
      <c r="B723" s="3"/>
      <c r="C723" s="3"/>
      <c r="D723" s="3"/>
      <c r="E723" s="3"/>
      <c r="F723" s="3"/>
      <c r="G723" s="3"/>
      <c r="H723" s="4"/>
      <c r="I723" s="8"/>
      <c r="J723" s="8"/>
      <c r="K723" s="3"/>
      <c r="L723" s="3"/>
      <c r="M723" s="3"/>
      <c r="N723" s="3"/>
      <c r="O723" s="3"/>
      <c r="P723" s="3"/>
      <c r="Q723" s="3"/>
      <c r="R723" s="3"/>
      <c r="S723" s="3"/>
      <c r="T723" s="3"/>
      <c r="U723" s="3"/>
      <c r="V723" s="3"/>
      <c r="W723" s="3"/>
      <c r="X723" s="3"/>
      <c r="Y723" s="3"/>
      <c r="Z723" s="3"/>
      <c r="AA723" s="3"/>
      <c r="AB723" s="3"/>
      <c r="AC723" s="3"/>
      <c r="AD723" s="3"/>
      <c r="AE723" s="3"/>
    </row>
    <row r="724">
      <c r="A724" s="3"/>
      <c r="B724" s="3"/>
      <c r="C724" s="3"/>
      <c r="D724" s="3"/>
      <c r="E724" s="3"/>
      <c r="F724" s="3"/>
      <c r="G724" s="3"/>
      <c r="H724" s="4"/>
      <c r="I724" s="8"/>
      <c r="J724" s="8"/>
      <c r="K724" s="3"/>
      <c r="L724" s="3"/>
      <c r="M724" s="3"/>
      <c r="N724" s="3"/>
      <c r="O724" s="3"/>
      <c r="P724" s="3"/>
      <c r="Q724" s="3"/>
      <c r="R724" s="3"/>
      <c r="S724" s="3"/>
      <c r="T724" s="3"/>
      <c r="U724" s="3"/>
      <c r="V724" s="3"/>
      <c r="W724" s="3"/>
      <c r="X724" s="3"/>
      <c r="Y724" s="3"/>
      <c r="Z724" s="3"/>
      <c r="AA724" s="3"/>
      <c r="AB724" s="3"/>
      <c r="AC724" s="3"/>
      <c r="AD724" s="3"/>
      <c r="AE724" s="3"/>
    </row>
    <row r="725">
      <c r="A725" s="3"/>
      <c r="B725" s="3"/>
      <c r="C725" s="3"/>
      <c r="D725" s="3"/>
      <c r="E725" s="3"/>
      <c r="F725" s="3"/>
      <c r="G725" s="3"/>
      <c r="H725" s="4"/>
      <c r="I725" s="8"/>
      <c r="J725" s="8"/>
      <c r="K725" s="3"/>
      <c r="L725" s="3"/>
      <c r="M725" s="3"/>
      <c r="N725" s="3"/>
      <c r="O725" s="3"/>
      <c r="P725" s="3"/>
      <c r="Q725" s="3"/>
      <c r="R725" s="3"/>
      <c r="S725" s="3"/>
      <c r="T725" s="3"/>
      <c r="U725" s="3"/>
      <c r="V725" s="3"/>
      <c r="W725" s="3"/>
      <c r="X725" s="3"/>
      <c r="Y725" s="3"/>
      <c r="Z725" s="3"/>
      <c r="AA725" s="3"/>
      <c r="AB725" s="3"/>
      <c r="AC725" s="3"/>
      <c r="AD725" s="3"/>
      <c r="AE725" s="3"/>
    </row>
    <row r="726">
      <c r="A726" s="3"/>
      <c r="B726" s="3"/>
      <c r="C726" s="3"/>
      <c r="D726" s="3"/>
      <c r="E726" s="3"/>
      <c r="F726" s="3"/>
      <c r="G726" s="3"/>
      <c r="H726" s="4"/>
      <c r="I726" s="8"/>
      <c r="J726" s="8"/>
      <c r="K726" s="3"/>
      <c r="L726" s="3"/>
      <c r="M726" s="3"/>
      <c r="N726" s="3"/>
      <c r="O726" s="3"/>
      <c r="P726" s="3"/>
      <c r="Q726" s="3"/>
      <c r="R726" s="3"/>
      <c r="S726" s="3"/>
      <c r="T726" s="3"/>
      <c r="U726" s="3"/>
      <c r="V726" s="3"/>
      <c r="W726" s="3"/>
      <c r="X726" s="3"/>
      <c r="Y726" s="3"/>
      <c r="Z726" s="3"/>
      <c r="AA726" s="3"/>
      <c r="AB726" s="3"/>
      <c r="AC726" s="3"/>
      <c r="AD726" s="3"/>
      <c r="AE726" s="3"/>
    </row>
    <row r="727">
      <c r="A727" s="3"/>
      <c r="B727" s="3"/>
      <c r="C727" s="3"/>
      <c r="D727" s="3"/>
      <c r="E727" s="3"/>
      <c r="F727" s="3"/>
      <c r="G727" s="3"/>
      <c r="H727" s="4"/>
      <c r="I727" s="8"/>
      <c r="J727" s="8"/>
      <c r="K727" s="3"/>
      <c r="L727" s="3"/>
      <c r="M727" s="3"/>
      <c r="N727" s="3"/>
      <c r="O727" s="3"/>
      <c r="P727" s="3"/>
      <c r="Q727" s="3"/>
      <c r="R727" s="3"/>
      <c r="S727" s="3"/>
      <c r="T727" s="3"/>
      <c r="U727" s="3"/>
      <c r="V727" s="3"/>
      <c r="W727" s="3"/>
      <c r="X727" s="3"/>
      <c r="Y727" s="3"/>
      <c r="Z727" s="3"/>
      <c r="AA727" s="3"/>
      <c r="AB727" s="3"/>
      <c r="AC727" s="3"/>
      <c r="AD727" s="3"/>
      <c r="AE727" s="3"/>
    </row>
    <row r="728">
      <c r="A728" s="3"/>
      <c r="B728" s="3"/>
      <c r="C728" s="3"/>
      <c r="D728" s="3"/>
      <c r="E728" s="3"/>
      <c r="F728" s="3"/>
      <c r="G728" s="3"/>
      <c r="H728" s="4"/>
      <c r="I728" s="8"/>
      <c r="J728" s="8"/>
      <c r="K728" s="3"/>
      <c r="L728" s="3"/>
      <c r="M728" s="3"/>
      <c r="N728" s="3"/>
      <c r="O728" s="3"/>
      <c r="P728" s="3"/>
      <c r="Q728" s="3"/>
      <c r="R728" s="3"/>
      <c r="S728" s="3"/>
      <c r="T728" s="3"/>
      <c r="U728" s="3"/>
      <c r="V728" s="3"/>
      <c r="W728" s="3"/>
      <c r="X728" s="3"/>
      <c r="Y728" s="3"/>
      <c r="Z728" s="3"/>
      <c r="AA728" s="3"/>
      <c r="AB728" s="3"/>
      <c r="AC728" s="3"/>
      <c r="AD728" s="3"/>
      <c r="AE728" s="3"/>
    </row>
    <row r="729">
      <c r="A729" s="3"/>
      <c r="B729" s="3"/>
      <c r="C729" s="3"/>
      <c r="D729" s="3"/>
      <c r="E729" s="3"/>
      <c r="F729" s="3"/>
      <c r="G729" s="3"/>
      <c r="H729" s="4"/>
      <c r="I729" s="8"/>
      <c r="J729" s="8"/>
      <c r="K729" s="3"/>
      <c r="L729" s="3"/>
      <c r="M729" s="3"/>
      <c r="N729" s="3"/>
      <c r="O729" s="3"/>
      <c r="P729" s="3"/>
      <c r="Q729" s="3"/>
      <c r="R729" s="3"/>
      <c r="S729" s="3"/>
      <c r="T729" s="3"/>
      <c r="U729" s="3"/>
      <c r="V729" s="3"/>
      <c r="W729" s="3"/>
      <c r="X729" s="3"/>
      <c r="Y729" s="3"/>
      <c r="Z729" s="3"/>
      <c r="AA729" s="3"/>
      <c r="AB729" s="3"/>
      <c r="AC729" s="3"/>
      <c r="AD729" s="3"/>
      <c r="AE729" s="3"/>
    </row>
    <row r="730">
      <c r="A730" s="3"/>
      <c r="B730" s="3"/>
      <c r="C730" s="3"/>
      <c r="D730" s="3"/>
      <c r="E730" s="3"/>
      <c r="F730" s="3"/>
      <c r="G730" s="3"/>
      <c r="H730" s="4"/>
      <c r="I730" s="8"/>
      <c r="J730" s="8"/>
      <c r="K730" s="3"/>
      <c r="L730" s="3"/>
      <c r="M730" s="3"/>
      <c r="N730" s="3"/>
      <c r="O730" s="3"/>
      <c r="P730" s="3"/>
      <c r="Q730" s="3"/>
      <c r="R730" s="3"/>
      <c r="S730" s="3"/>
      <c r="T730" s="3"/>
      <c r="U730" s="3"/>
      <c r="V730" s="3"/>
      <c r="W730" s="3"/>
      <c r="X730" s="3"/>
      <c r="Y730" s="3"/>
      <c r="Z730" s="3"/>
      <c r="AA730" s="3"/>
      <c r="AB730" s="3"/>
      <c r="AC730" s="3"/>
      <c r="AD730" s="3"/>
      <c r="AE730" s="3"/>
    </row>
    <row r="731">
      <c r="A731" s="3"/>
      <c r="B731" s="3"/>
      <c r="C731" s="3"/>
      <c r="D731" s="3"/>
      <c r="E731" s="3"/>
      <c r="F731" s="3"/>
      <c r="G731" s="3"/>
      <c r="H731" s="4"/>
      <c r="I731" s="8"/>
      <c r="J731" s="8"/>
      <c r="K731" s="3"/>
      <c r="L731" s="3"/>
      <c r="M731" s="3"/>
      <c r="N731" s="3"/>
      <c r="O731" s="3"/>
      <c r="P731" s="3"/>
      <c r="Q731" s="3"/>
      <c r="R731" s="3"/>
      <c r="S731" s="3"/>
      <c r="T731" s="3"/>
      <c r="U731" s="3"/>
      <c r="V731" s="3"/>
      <c r="W731" s="3"/>
      <c r="X731" s="3"/>
      <c r="Y731" s="3"/>
      <c r="Z731" s="3"/>
      <c r="AA731" s="3"/>
      <c r="AB731" s="3"/>
      <c r="AC731" s="3"/>
      <c r="AD731" s="3"/>
      <c r="AE731" s="3"/>
    </row>
    <row r="732">
      <c r="A732" s="3"/>
      <c r="B732" s="3"/>
      <c r="C732" s="3"/>
      <c r="D732" s="3"/>
      <c r="E732" s="3"/>
      <c r="F732" s="3"/>
      <c r="G732" s="3"/>
      <c r="H732" s="4"/>
      <c r="I732" s="8"/>
      <c r="J732" s="8"/>
      <c r="K732" s="3"/>
      <c r="L732" s="3"/>
      <c r="M732" s="3"/>
      <c r="N732" s="3"/>
      <c r="O732" s="3"/>
      <c r="P732" s="3"/>
      <c r="Q732" s="3"/>
      <c r="R732" s="3"/>
      <c r="S732" s="3"/>
      <c r="T732" s="3"/>
      <c r="U732" s="3"/>
      <c r="V732" s="3"/>
      <c r="W732" s="3"/>
      <c r="X732" s="3"/>
      <c r="Y732" s="3"/>
      <c r="Z732" s="3"/>
      <c r="AA732" s="3"/>
      <c r="AB732" s="3"/>
      <c r="AC732" s="3"/>
      <c r="AD732" s="3"/>
      <c r="AE732" s="3"/>
    </row>
    <row r="733">
      <c r="A733" s="3"/>
      <c r="B733" s="3"/>
      <c r="C733" s="3"/>
      <c r="D733" s="3"/>
      <c r="E733" s="3"/>
      <c r="F733" s="3"/>
      <c r="G733" s="3"/>
      <c r="H733" s="4"/>
      <c r="I733" s="8"/>
      <c r="J733" s="8"/>
      <c r="K733" s="3"/>
      <c r="L733" s="3"/>
      <c r="M733" s="3"/>
      <c r="N733" s="3"/>
      <c r="O733" s="3"/>
      <c r="P733" s="3"/>
      <c r="Q733" s="3"/>
      <c r="R733" s="3"/>
      <c r="S733" s="3"/>
      <c r="T733" s="3"/>
      <c r="U733" s="3"/>
      <c r="V733" s="3"/>
      <c r="W733" s="3"/>
      <c r="X733" s="3"/>
      <c r="Y733" s="3"/>
      <c r="Z733" s="3"/>
      <c r="AA733" s="3"/>
      <c r="AB733" s="3"/>
      <c r="AC733" s="3"/>
      <c r="AD733" s="3"/>
      <c r="AE733" s="3"/>
    </row>
    <row r="734">
      <c r="A734" s="3"/>
      <c r="B734" s="3"/>
      <c r="C734" s="3"/>
      <c r="D734" s="3"/>
      <c r="E734" s="3"/>
      <c r="F734" s="3"/>
      <c r="G734" s="3"/>
      <c r="H734" s="4"/>
      <c r="I734" s="8"/>
      <c r="J734" s="8"/>
      <c r="K734" s="3"/>
      <c r="L734" s="3"/>
      <c r="M734" s="3"/>
      <c r="N734" s="3"/>
      <c r="O734" s="3"/>
      <c r="P734" s="3"/>
      <c r="Q734" s="3"/>
      <c r="R734" s="3"/>
      <c r="S734" s="3"/>
      <c r="T734" s="3"/>
      <c r="U734" s="3"/>
      <c r="V734" s="3"/>
      <c r="W734" s="3"/>
      <c r="X734" s="3"/>
      <c r="Y734" s="3"/>
      <c r="Z734" s="3"/>
      <c r="AA734" s="3"/>
      <c r="AB734" s="3"/>
      <c r="AC734" s="3"/>
      <c r="AD734" s="3"/>
      <c r="AE734" s="3"/>
    </row>
    <row r="735">
      <c r="A735" s="3"/>
      <c r="B735" s="3"/>
      <c r="C735" s="3"/>
      <c r="D735" s="3"/>
      <c r="E735" s="3"/>
      <c r="F735" s="3"/>
      <c r="G735" s="3"/>
      <c r="H735" s="4"/>
      <c r="I735" s="8"/>
      <c r="J735" s="8"/>
      <c r="K735" s="3"/>
      <c r="L735" s="3"/>
      <c r="M735" s="3"/>
      <c r="N735" s="3"/>
      <c r="O735" s="3"/>
      <c r="P735" s="3"/>
      <c r="Q735" s="3"/>
      <c r="R735" s="3"/>
      <c r="S735" s="3"/>
      <c r="T735" s="3"/>
      <c r="U735" s="3"/>
      <c r="V735" s="3"/>
      <c r="W735" s="3"/>
      <c r="X735" s="3"/>
      <c r="Y735" s="3"/>
      <c r="Z735" s="3"/>
      <c r="AA735" s="3"/>
      <c r="AB735" s="3"/>
      <c r="AC735" s="3"/>
      <c r="AD735" s="3"/>
      <c r="AE735" s="3"/>
    </row>
    <row r="736">
      <c r="A736" s="3"/>
      <c r="B736" s="3"/>
      <c r="C736" s="3"/>
      <c r="D736" s="3"/>
      <c r="E736" s="3"/>
      <c r="F736" s="3"/>
      <c r="G736" s="3"/>
      <c r="H736" s="4"/>
      <c r="I736" s="8"/>
      <c r="J736" s="8"/>
      <c r="K736" s="3"/>
      <c r="L736" s="3"/>
      <c r="M736" s="3"/>
      <c r="N736" s="3"/>
      <c r="O736" s="3"/>
      <c r="P736" s="3"/>
      <c r="Q736" s="3"/>
      <c r="R736" s="3"/>
      <c r="S736" s="3"/>
      <c r="T736" s="3"/>
      <c r="U736" s="3"/>
      <c r="V736" s="3"/>
      <c r="W736" s="3"/>
      <c r="X736" s="3"/>
      <c r="Y736" s="3"/>
      <c r="Z736" s="3"/>
      <c r="AA736" s="3"/>
      <c r="AB736" s="3"/>
      <c r="AC736" s="3"/>
      <c r="AD736" s="3"/>
      <c r="AE736" s="3"/>
    </row>
    <row r="737">
      <c r="A737" s="3"/>
      <c r="B737" s="3"/>
      <c r="C737" s="3"/>
      <c r="D737" s="3"/>
      <c r="E737" s="3"/>
      <c r="F737" s="3"/>
      <c r="G737" s="3"/>
      <c r="H737" s="4"/>
      <c r="I737" s="8"/>
      <c r="J737" s="8"/>
      <c r="K737" s="3"/>
      <c r="L737" s="3"/>
      <c r="M737" s="3"/>
      <c r="N737" s="3"/>
      <c r="O737" s="3"/>
      <c r="P737" s="3"/>
      <c r="Q737" s="3"/>
      <c r="R737" s="3"/>
      <c r="S737" s="3"/>
      <c r="T737" s="3"/>
      <c r="U737" s="3"/>
      <c r="V737" s="3"/>
      <c r="W737" s="3"/>
      <c r="X737" s="3"/>
      <c r="Y737" s="3"/>
      <c r="Z737" s="3"/>
      <c r="AA737" s="3"/>
      <c r="AB737" s="3"/>
      <c r="AC737" s="3"/>
      <c r="AD737" s="3"/>
      <c r="AE737" s="3"/>
    </row>
    <row r="738">
      <c r="A738" s="3"/>
      <c r="B738" s="3"/>
      <c r="C738" s="3"/>
      <c r="D738" s="3"/>
      <c r="E738" s="3"/>
      <c r="F738" s="3"/>
      <c r="G738" s="3"/>
      <c r="H738" s="4"/>
      <c r="I738" s="8"/>
      <c r="J738" s="8"/>
      <c r="K738" s="3"/>
      <c r="L738" s="3"/>
      <c r="M738" s="3"/>
      <c r="N738" s="3"/>
      <c r="O738" s="3"/>
      <c r="P738" s="3"/>
      <c r="Q738" s="3"/>
      <c r="R738" s="3"/>
      <c r="S738" s="3"/>
      <c r="T738" s="3"/>
      <c r="U738" s="3"/>
      <c r="V738" s="3"/>
      <c r="W738" s="3"/>
      <c r="X738" s="3"/>
      <c r="Y738" s="3"/>
      <c r="Z738" s="3"/>
      <c r="AA738" s="3"/>
      <c r="AB738" s="3"/>
      <c r="AC738" s="3"/>
      <c r="AD738" s="3"/>
      <c r="AE738" s="3"/>
    </row>
    <row r="739">
      <c r="A739" s="3"/>
      <c r="B739" s="3"/>
      <c r="C739" s="3"/>
      <c r="D739" s="3"/>
      <c r="E739" s="3"/>
      <c r="F739" s="3"/>
      <c r="G739" s="3"/>
      <c r="H739" s="4"/>
      <c r="I739" s="8"/>
      <c r="J739" s="8"/>
      <c r="K739" s="3"/>
      <c r="L739" s="3"/>
      <c r="M739" s="3"/>
      <c r="N739" s="3"/>
      <c r="O739" s="3"/>
      <c r="P739" s="3"/>
      <c r="Q739" s="3"/>
      <c r="R739" s="3"/>
      <c r="S739" s="3"/>
      <c r="T739" s="3"/>
      <c r="U739" s="3"/>
      <c r="V739" s="3"/>
      <c r="W739" s="3"/>
      <c r="X739" s="3"/>
      <c r="Y739" s="3"/>
      <c r="Z739" s="3"/>
      <c r="AA739" s="3"/>
      <c r="AB739" s="3"/>
      <c r="AC739" s="3"/>
      <c r="AD739" s="3"/>
      <c r="AE739" s="3"/>
    </row>
    <row r="740">
      <c r="A740" s="3"/>
      <c r="B740" s="3"/>
      <c r="C740" s="3"/>
      <c r="D740" s="3"/>
      <c r="E740" s="3"/>
      <c r="F740" s="3"/>
      <c r="G740" s="3"/>
      <c r="H740" s="4"/>
      <c r="I740" s="8"/>
      <c r="J740" s="8"/>
      <c r="K740" s="3"/>
      <c r="L740" s="3"/>
      <c r="M740" s="3"/>
      <c r="N740" s="3"/>
      <c r="O740" s="3"/>
      <c r="P740" s="3"/>
      <c r="Q740" s="3"/>
      <c r="R740" s="3"/>
      <c r="S740" s="3"/>
      <c r="T740" s="3"/>
      <c r="U740" s="3"/>
      <c r="V740" s="3"/>
      <c r="W740" s="3"/>
      <c r="X740" s="3"/>
      <c r="Y740" s="3"/>
      <c r="Z740" s="3"/>
      <c r="AA740" s="3"/>
      <c r="AB740" s="3"/>
      <c r="AC740" s="3"/>
      <c r="AD740" s="3"/>
      <c r="AE740" s="3"/>
    </row>
    <row r="741">
      <c r="A741" s="3"/>
      <c r="B741" s="3"/>
      <c r="C741" s="3"/>
      <c r="D741" s="3"/>
      <c r="E741" s="3"/>
      <c r="F741" s="3"/>
      <c r="G741" s="3"/>
      <c r="H741" s="4"/>
      <c r="I741" s="8"/>
      <c r="J741" s="8"/>
      <c r="K741" s="3"/>
      <c r="L741" s="3"/>
      <c r="M741" s="3"/>
      <c r="N741" s="3"/>
      <c r="O741" s="3"/>
      <c r="P741" s="3"/>
      <c r="Q741" s="3"/>
      <c r="R741" s="3"/>
      <c r="S741" s="3"/>
      <c r="T741" s="3"/>
      <c r="U741" s="3"/>
      <c r="V741" s="3"/>
      <c r="W741" s="3"/>
      <c r="X741" s="3"/>
      <c r="Y741" s="3"/>
      <c r="Z741" s="3"/>
      <c r="AA741" s="3"/>
      <c r="AB741" s="3"/>
      <c r="AC741" s="3"/>
      <c r="AD741" s="3"/>
      <c r="AE741" s="3"/>
    </row>
    <row r="742">
      <c r="A742" s="3"/>
      <c r="B742" s="3"/>
      <c r="C742" s="3"/>
      <c r="D742" s="3"/>
      <c r="E742" s="3"/>
      <c r="F742" s="3"/>
      <c r="G742" s="3"/>
      <c r="H742" s="4"/>
      <c r="I742" s="8"/>
      <c r="J742" s="8"/>
      <c r="K742" s="3"/>
      <c r="L742" s="3"/>
      <c r="M742" s="3"/>
      <c r="N742" s="3"/>
      <c r="O742" s="3"/>
      <c r="P742" s="3"/>
      <c r="Q742" s="3"/>
      <c r="R742" s="3"/>
      <c r="S742" s="3"/>
      <c r="T742" s="3"/>
      <c r="U742" s="3"/>
      <c r="V742" s="3"/>
      <c r="W742" s="3"/>
      <c r="X742" s="3"/>
      <c r="Y742" s="3"/>
      <c r="Z742" s="3"/>
      <c r="AA742" s="3"/>
      <c r="AB742" s="3"/>
      <c r="AC742" s="3"/>
      <c r="AD742" s="3"/>
      <c r="AE742" s="3"/>
    </row>
    <row r="743">
      <c r="A743" s="3"/>
      <c r="B743" s="3"/>
      <c r="C743" s="3"/>
      <c r="D743" s="3"/>
      <c r="E743" s="3"/>
      <c r="F743" s="3"/>
      <c r="G743" s="3"/>
      <c r="H743" s="4"/>
      <c r="I743" s="8"/>
      <c r="J743" s="8"/>
      <c r="K743" s="3"/>
      <c r="L743" s="3"/>
      <c r="M743" s="3"/>
      <c r="N743" s="3"/>
      <c r="O743" s="3"/>
      <c r="P743" s="3"/>
      <c r="Q743" s="3"/>
      <c r="R743" s="3"/>
      <c r="S743" s="3"/>
      <c r="T743" s="3"/>
      <c r="U743" s="3"/>
      <c r="V743" s="3"/>
      <c r="W743" s="3"/>
      <c r="X743" s="3"/>
      <c r="Y743" s="3"/>
      <c r="Z743" s="3"/>
      <c r="AA743" s="3"/>
      <c r="AB743" s="3"/>
      <c r="AC743" s="3"/>
      <c r="AD743" s="3"/>
      <c r="AE743" s="3"/>
    </row>
    <row r="744">
      <c r="A744" s="3"/>
      <c r="B744" s="3"/>
      <c r="C744" s="3"/>
      <c r="D744" s="3"/>
      <c r="E744" s="3"/>
      <c r="F744" s="3"/>
      <c r="G744" s="3"/>
      <c r="H744" s="4"/>
      <c r="I744" s="8"/>
      <c r="J744" s="8"/>
      <c r="K744" s="3"/>
      <c r="L744" s="3"/>
      <c r="M744" s="3"/>
      <c r="N744" s="3"/>
      <c r="O744" s="3"/>
      <c r="P744" s="3"/>
      <c r="Q744" s="3"/>
      <c r="R744" s="3"/>
      <c r="S744" s="3"/>
      <c r="T744" s="3"/>
      <c r="U744" s="3"/>
      <c r="V744" s="3"/>
      <c r="W744" s="3"/>
      <c r="X744" s="3"/>
      <c r="Y744" s="3"/>
      <c r="Z744" s="3"/>
      <c r="AA744" s="3"/>
      <c r="AB744" s="3"/>
      <c r="AC744" s="3"/>
      <c r="AD744" s="3"/>
      <c r="AE744" s="3"/>
    </row>
    <row r="745">
      <c r="A745" s="3"/>
      <c r="B745" s="3"/>
      <c r="C745" s="3"/>
      <c r="D745" s="3"/>
      <c r="E745" s="3"/>
      <c r="F745" s="3"/>
      <c r="G745" s="3"/>
      <c r="H745" s="4"/>
      <c r="I745" s="8"/>
      <c r="J745" s="8"/>
      <c r="K745" s="3"/>
      <c r="L745" s="3"/>
      <c r="M745" s="3"/>
      <c r="N745" s="3"/>
      <c r="O745" s="3"/>
      <c r="P745" s="3"/>
      <c r="Q745" s="3"/>
      <c r="R745" s="3"/>
      <c r="S745" s="3"/>
      <c r="T745" s="3"/>
      <c r="U745" s="3"/>
      <c r="V745" s="3"/>
      <c r="W745" s="3"/>
      <c r="X745" s="3"/>
      <c r="Y745" s="3"/>
      <c r="Z745" s="3"/>
      <c r="AA745" s="3"/>
      <c r="AB745" s="3"/>
      <c r="AC745" s="3"/>
      <c r="AD745" s="3"/>
      <c r="AE745" s="3"/>
    </row>
    <row r="746">
      <c r="A746" s="3"/>
      <c r="B746" s="3"/>
      <c r="C746" s="3"/>
      <c r="D746" s="3"/>
      <c r="E746" s="3"/>
      <c r="F746" s="3"/>
      <c r="G746" s="3"/>
      <c r="H746" s="4"/>
      <c r="I746" s="8"/>
      <c r="J746" s="8"/>
      <c r="K746" s="3"/>
      <c r="L746" s="3"/>
      <c r="M746" s="3"/>
      <c r="N746" s="3"/>
      <c r="O746" s="3"/>
      <c r="P746" s="3"/>
      <c r="Q746" s="3"/>
      <c r="R746" s="3"/>
      <c r="S746" s="3"/>
      <c r="T746" s="3"/>
      <c r="U746" s="3"/>
      <c r="V746" s="3"/>
      <c r="W746" s="3"/>
      <c r="X746" s="3"/>
      <c r="Y746" s="3"/>
      <c r="Z746" s="3"/>
      <c r="AA746" s="3"/>
      <c r="AB746" s="3"/>
      <c r="AC746" s="3"/>
      <c r="AD746" s="3"/>
      <c r="AE746" s="3"/>
    </row>
    <row r="747">
      <c r="A747" s="3"/>
      <c r="B747" s="3"/>
      <c r="C747" s="3"/>
      <c r="D747" s="3"/>
      <c r="E747" s="3"/>
      <c r="F747" s="3"/>
      <c r="G747" s="3"/>
      <c r="H747" s="4"/>
      <c r="I747" s="8"/>
      <c r="J747" s="8"/>
      <c r="K747" s="3"/>
      <c r="L747" s="3"/>
      <c r="M747" s="3"/>
      <c r="N747" s="3"/>
      <c r="O747" s="3"/>
      <c r="P747" s="3"/>
      <c r="Q747" s="3"/>
      <c r="R747" s="3"/>
      <c r="S747" s="3"/>
      <c r="T747" s="3"/>
      <c r="U747" s="3"/>
      <c r="V747" s="3"/>
      <c r="W747" s="3"/>
      <c r="X747" s="3"/>
      <c r="Y747" s="3"/>
      <c r="Z747" s="3"/>
      <c r="AA747" s="3"/>
      <c r="AB747" s="3"/>
      <c r="AC747" s="3"/>
      <c r="AD747" s="3"/>
      <c r="AE747" s="3"/>
    </row>
    <row r="748">
      <c r="A748" s="3"/>
      <c r="B748" s="3"/>
      <c r="C748" s="3"/>
      <c r="D748" s="3"/>
      <c r="E748" s="3"/>
      <c r="F748" s="3"/>
      <c r="G748" s="3"/>
      <c r="H748" s="4"/>
      <c r="I748" s="8"/>
      <c r="J748" s="8"/>
      <c r="K748" s="3"/>
      <c r="L748" s="3"/>
      <c r="M748" s="3"/>
      <c r="N748" s="3"/>
      <c r="O748" s="3"/>
      <c r="P748" s="3"/>
      <c r="Q748" s="3"/>
      <c r="R748" s="3"/>
      <c r="S748" s="3"/>
      <c r="T748" s="3"/>
      <c r="U748" s="3"/>
      <c r="V748" s="3"/>
      <c r="W748" s="3"/>
      <c r="X748" s="3"/>
      <c r="Y748" s="3"/>
      <c r="Z748" s="3"/>
      <c r="AA748" s="3"/>
      <c r="AB748" s="3"/>
      <c r="AC748" s="3"/>
      <c r="AD748" s="3"/>
      <c r="AE748" s="3"/>
    </row>
    <row r="749">
      <c r="A749" s="3"/>
      <c r="B749" s="3"/>
      <c r="C749" s="3"/>
      <c r="D749" s="3"/>
      <c r="E749" s="3"/>
      <c r="F749" s="3"/>
      <c r="G749" s="3"/>
      <c r="H749" s="4"/>
      <c r="I749" s="8"/>
      <c r="J749" s="8"/>
      <c r="K749" s="3"/>
      <c r="L749" s="3"/>
      <c r="M749" s="3"/>
      <c r="N749" s="3"/>
      <c r="O749" s="3"/>
      <c r="P749" s="3"/>
      <c r="Q749" s="3"/>
      <c r="R749" s="3"/>
      <c r="S749" s="3"/>
      <c r="T749" s="3"/>
      <c r="U749" s="3"/>
      <c r="V749" s="3"/>
      <c r="W749" s="3"/>
      <c r="X749" s="3"/>
      <c r="Y749" s="3"/>
      <c r="Z749" s="3"/>
      <c r="AA749" s="3"/>
      <c r="AB749" s="3"/>
      <c r="AC749" s="3"/>
      <c r="AD749" s="3"/>
      <c r="AE749" s="3"/>
    </row>
    <row r="750">
      <c r="A750" s="3"/>
      <c r="B750" s="3"/>
      <c r="C750" s="3"/>
      <c r="D750" s="3"/>
      <c r="E750" s="3"/>
      <c r="F750" s="3"/>
      <c r="G750" s="3"/>
      <c r="H750" s="4"/>
      <c r="I750" s="8"/>
      <c r="J750" s="8"/>
      <c r="K750" s="3"/>
      <c r="L750" s="3"/>
      <c r="M750" s="3"/>
      <c r="N750" s="3"/>
      <c r="O750" s="3"/>
      <c r="P750" s="3"/>
      <c r="Q750" s="3"/>
      <c r="R750" s="3"/>
      <c r="S750" s="3"/>
      <c r="T750" s="3"/>
      <c r="U750" s="3"/>
      <c r="V750" s="3"/>
      <c r="W750" s="3"/>
      <c r="X750" s="3"/>
      <c r="Y750" s="3"/>
      <c r="Z750" s="3"/>
      <c r="AA750" s="3"/>
      <c r="AB750" s="3"/>
      <c r="AC750" s="3"/>
      <c r="AD750" s="3"/>
      <c r="AE750" s="3"/>
    </row>
    <row r="751">
      <c r="A751" s="3"/>
      <c r="B751" s="3"/>
      <c r="C751" s="3"/>
      <c r="D751" s="3"/>
      <c r="E751" s="3"/>
      <c r="F751" s="3"/>
      <c r="G751" s="3"/>
      <c r="H751" s="4"/>
      <c r="I751" s="8"/>
      <c r="J751" s="8"/>
      <c r="K751" s="3"/>
      <c r="L751" s="3"/>
      <c r="M751" s="3"/>
      <c r="N751" s="3"/>
      <c r="O751" s="3"/>
      <c r="P751" s="3"/>
      <c r="Q751" s="3"/>
      <c r="R751" s="3"/>
      <c r="S751" s="3"/>
      <c r="T751" s="3"/>
      <c r="U751" s="3"/>
      <c r="V751" s="3"/>
      <c r="W751" s="3"/>
      <c r="X751" s="3"/>
      <c r="Y751" s="3"/>
      <c r="Z751" s="3"/>
      <c r="AA751" s="3"/>
      <c r="AB751" s="3"/>
      <c r="AC751" s="3"/>
      <c r="AD751" s="3"/>
      <c r="AE751" s="3"/>
    </row>
    <row r="752">
      <c r="A752" s="3"/>
      <c r="B752" s="3"/>
      <c r="C752" s="3"/>
      <c r="D752" s="3"/>
      <c r="E752" s="3"/>
      <c r="F752" s="3"/>
      <c r="G752" s="3"/>
      <c r="H752" s="4"/>
      <c r="I752" s="8"/>
      <c r="J752" s="8"/>
      <c r="K752" s="3"/>
      <c r="L752" s="3"/>
      <c r="M752" s="3"/>
      <c r="N752" s="3"/>
      <c r="O752" s="3"/>
      <c r="P752" s="3"/>
      <c r="Q752" s="3"/>
      <c r="R752" s="3"/>
      <c r="S752" s="3"/>
      <c r="T752" s="3"/>
      <c r="U752" s="3"/>
      <c r="V752" s="3"/>
      <c r="W752" s="3"/>
      <c r="X752" s="3"/>
      <c r="Y752" s="3"/>
      <c r="Z752" s="3"/>
      <c r="AA752" s="3"/>
      <c r="AB752" s="3"/>
      <c r="AC752" s="3"/>
      <c r="AD752" s="3"/>
      <c r="AE752" s="3"/>
    </row>
    <row r="753">
      <c r="A753" s="3"/>
      <c r="B753" s="3"/>
      <c r="C753" s="3"/>
      <c r="D753" s="3"/>
      <c r="E753" s="3"/>
      <c r="F753" s="3"/>
      <c r="G753" s="3"/>
      <c r="H753" s="4"/>
      <c r="I753" s="8"/>
      <c r="J753" s="8"/>
      <c r="K753" s="3"/>
      <c r="L753" s="3"/>
      <c r="M753" s="3"/>
      <c r="N753" s="3"/>
      <c r="O753" s="3"/>
      <c r="P753" s="3"/>
      <c r="Q753" s="3"/>
      <c r="R753" s="3"/>
      <c r="S753" s="3"/>
      <c r="T753" s="3"/>
      <c r="U753" s="3"/>
      <c r="V753" s="3"/>
      <c r="W753" s="3"/>
      <c r="X753" s="3"/>
      <c r="Y753" s="3"/>
      <c r="Z753" s="3"/>
      <c r="AA753" s="3"/>
      <c r="AB753" s="3"/>
      <c r="AC753" s="3"/>
      <c r="AD753" s="3"/>
      <c r="AE753" s="3"/>
    </row>
    <row r="754">
      <c r="A754" s="3"/>
      <c r="B754" s="3"/>
      <c r="C754" s="3"/>
      <c r="D754" s="3"/>
      <c r="E754" s="3"/>
      <c r="F754" s="3"/>
      <c r="G754" s="3"/>
      <c r="H754" s="4"/>
      <c r="I754" s="8"/>
      <c r="J754" s="8"/>
      <c r="K754" s="3"/>
      <c r="L754" s="3"/>
      <c r="M754" s="3"/>
      <c r="N754" s="3"/>
      <c r="O754" s="3"/>
      <c r="P754" s="3"/>
      <c r="Q754" s="3"/>
      <c r="R754" s="3"/>
      <c r="S754" s="3"/>
      <c r="T754" s="3"/>
      <c r="U754" s="3"/>
      <c r="V754" s="3"/>
      <c r="W754" s="3"/>
      <c r="X754" s="3"/>
      <c r="Y754" s="3"/>
      <c r="Z754" s="3"/>
      <c r="AA754" s="3"/>
      <c r="AB754" s="3"/>
      <c r="AC754" s="3"/>
      <c r="AD754" s="3"/>
      <c r="AE754" s="3"/>
    </row>
    <row r="755">
      <c r="A755" s="3"/>
      <c r="B755" s="3"/>
      <c r="C755" s="3"/>
      <c r="D755" s="3"/>
      <c r="E755" s="3"/>
      <c r="F755" s="3"/>
      <c r="G755" s="3"/>
      <c r="H755" s="4"/>
      <c r="I755" s="8"/>
      <c r="J755" s="8"/>
      <c r="K755" s="3"/>
      <c r="L755" s="3"/>
      <c r="M755" s="3"/>
      <c r="N755" s="3"/>
      <c r="O755" s="3"/>
      <c r="P755" s="3"/>
      <c r="Q755" s="3"/>
      <c r="R755" s="3"/>
      <c r="S755" s="3"/>
      <c r="T755" s="3"/>
      <c r="U755" s="3"/>
      <c r="V755" s="3"/>
      <c r="W755" s="3"/>
      <c r="X755" s="3"/>
      <c r="Y755" s="3"/>
      <c r="Z755" s="3"/>
      <c r="AA755" s="3"/>
      <c r="AB755" s="3"/>
      <c r="AC755" s="3"/>
      <c r="AD755" s="3"/>
      <c r="AE755" s="3"/>
    </row>
    <row r="756">
      <c r="A756" s="3"/>
      <c r="B756" s="3"/>
      <c r="C756" s="3"/>
      <c r="D756" s="3"/>
      <c r="E756" s="3"/>
      <c r="F756" s="3"/>
      <c r="G756" s="3"/>
      <c r="H756" s="4"/>
      <c r="I756" s="8"/>
      <c r="J756" s="8"/>
      <c r="K756" s="3"/>
      <c r="L756" s="3"/>
      <c r="M756" s="3"/>
      <c r="N756" s="3"/>
      <c r="O756" s="3"/>
      <c r="P756" s="3"/>
      <c r="Q756" s="3"/>
      <c r="R756" s="3"/>
      <c r="S756" s="3"/>
      <c r="T756" s="3"/>
      <c r="U756" s="3"/>
      <c r="V756" s="3"/>
      <c r="W756" s="3"/>
      <c r="X756" s="3"/>
      <c r="Y756" s="3"/>
      <c r="Z756" s="3"/>
      <c r="AA756" s="3"/>
      <c r="AB756" s="3"/>
      <c r="AC756" s="3"/>
      <c r="AD756" s="3"/>
      <c r="AE756" s="3"/>
    </row>
    <row r="757">
      <c r="A757" s="3"/>
      <c r="B757" s="3"/>
      <c r="C757" s="3"/>
      <c r="D757" s="3"/>
      <c r="E757" s="3"/>
      <c r="F757" s="3"/>
      <c r="G757" s="3"/>
      <c r="H757" s="4"/>
      <c r="I757" s="8"/>
      <c r="J757" s="8"/>
      <c r="K757" s="3"/>
      <c r="L757" s="3"/>
      <c r="M757" s="3"/>
      <c r="N757" s="3"/>
      <c r="O757" s="3"/>
      <c r="P757" s="3"/>
      <c r="Q757" s="3"/>
      <c r="R757" s="3"/>
      <c r="S757" s="3"/>
      <c r="T757" s="3"/>
      <c r="U757" s="3"/>
      <c r="V757" s="3"/>
      <c r="W757" s="3"/>
      <c r="X757" s="3"/>
      <c r="Y757" s="3"/>
      <c r="Z757" s="3"/>
      <c r="AA757" s="3"/>
      <c r="AB757" s="3"/>
      <c r="AC757" s="3"/>
      <c r="AD757" s="3"/>
      <c r="AE757" s="3"/>
    </row>
    <row r="758">
      <c r="A758" s="3"/>
      <c r="B758" s="3"/>
      <c r="C758" s="3"/>
      <c r="D758" s="3"/>
      <c r="E758" s="3"/>
      <c r="F758" s="3"/>
      <c r="G758" s="3"/>
      <c r="H758" s="4"/>
      <c r="I758" s="8"/>
      <c r="J758" s="8"/>
      <c r="K758" s="3"/>
      <c r="L758" s="3"/>
      <c r="M758" s="3"/>
      <c r="N758" s="3"/>
      <c r="O758" s="3"/>
      <c r="P758" s="3"/>
      <c r="Q758" s="3"/>
      <c r="R758" s="3"/>
      <c r="S758" s="3"/>
      <c r="T758" s="3"/>
      <c r="U758" s="3"/>
      <c r="V758" s="3"/>
      <c r="W758" s="3"/>
      <c r="X758" s="3"/>
      <c r="Y758" s="3"/>
      <c r="Z758" s="3"/>
      <c r="AA758" s="3"/>
      <c r="AB758" s="3"/>
      <c r="AC758" s="3"/>
      <c r="AD758" s="3"/>
      <c r="AE758" s="3"/>
    </row>
    <row r="759">
      <c r="A759" s="3"/>
      <c r="B759" s="3"/>
      <c r="C759" s="3"/>
      <c r="D759" s="3"/>
      <c r="E759" s="3"/>
      <c r="F759" s="3"/>
      <c r="G759" s="3"/>
      <c r="H759" s="4"/>
      <c r="I759" s="8"/>
      <c r="J759" s="8"/>
      <c r="K759" s="3"/>
      <c r="L759" s="3"/>
      <c r="M759" s="3"/>
      <c r="N759" s="3"/>
      <c r="O759" s="3"/>
      <c r="P759" s="3"/>
      <c r="Q759" s="3"/>
      <c r="R759" s="3"/>
      <c r="S759" s="3"/>
      <c r="T759" s="3"/>
      <c r="U759" s="3"/>
      <c r="V759" s="3"/>
      <c r="W759" s="3"/>
      <c r="X759" s="3"/>
      <c r="Y759" s="3"/>
      <c r="Z759" s="3"/>
      <c r="AA759" s="3"/>
      <c r="AB759" s="3"/>
      <c r="AC759" s="3"/>
      <c r="AD759" s="3"/>
      <c r="AE759" s="3"/>
    </row>
    <row r="760">
      <c r="A760" s="3"/>
      <c r="B760" s="3"/>
      <c r="C760" s="3"/>
      <c r="D760" s="3"/>
      <c r="E760" s="3"/>
      <c r="F760" s="3"/>
      <c r="G760" s="3"/>
      <c r="H760" s="4"/>
      <c r="I760" s="8"/>
      <c r="J760" s="8"/>
      <c r="K760" s="3"/>
      <c r="L760" s="3"/>
      <c r="M760" s="3"/>
      <c r="N760" s="3"/>
      <c r="O760" s="3"/>
      <c r="P760" s="3"/>
      <c r="Q760" s="3"/>
      <c r="R760" s="3"/>
      <c r="S760" s="3"/>
      <c r="T760" s="3"/>
      <c r="U760" s="3"/>
      <c r="V760" s="3"/>
      <c r="W760" s="3"/>
      <c r="X760" s="3"/>
      <c r="Y760" s="3"/>
      <c r="Z760" s="3"/>
      <c r="AA760" s="3"/>
      <c r="AB760" s="3"/>
      <c r="AC760" s="3"/>
      <c r="AD760" s="3"/>
      <c r="AE760" s="3"/>
    </row>
    <row r="761">
      <c r="A761" s="3"/>
      <c r="B761" s="3"/>
      <c r="C761" s="3"/>
      <c r="D761" s="3"/>
      <c r="E761" s="3"/>
      <c r="F761" s="3"/>
      <c r="G761" s="3"/>
      <c r="H761" s="4"/>
      <c r="I761" s="8"/>
      <c r="J761" s="8"/>
      <c r="K761" s="3"/>
      <c r="L761" s="3"/>
      <c r="M761" s="3"/>
      <c r="N761" s="3"/>
      <c r="O761" s="3"/>
      <c r="P761" s="3"/>
      <c r="Q761" s="3"/>
      <c r="R761" s="3"/>
      <c r="S761" s="3"/>
      <c r="T761" s="3"/>
      <c r="U761" s="3"/>
      <c r="V761" s="3"/>
      <c r="W761" s="3"/>
      <c r="X761" s="3"/>
      <c r="Y761" s="3"/>
      <c r="Z761" s="3"/>
      <c r="AA761" s="3"/>
      <c r="AB761" s="3"/>
      <c r="AC761" s="3"/>
      <c r="AD761" s="3"/>
      <c r="AE761" s="3"/>
    </row>
    <row r="762">
      <c r="A762" s="3"/>
      <c r="B762" s="3"/>
      <c r="C762" s="3"/>
      <c r="D762" s="3"/>
      <c r="E762" s="3"/>
      <c r="F762" s="3"/>
      <c r="G762" s="3"/>
      <c r="H762" s="4"/>
      <c r="I762" s="8"/>
      <c r="J762" s="8"/>
      <c r="K762" s="3"/>
      <c r="L762" s="3"/>
      <c r="M762" s="3"/>
      <c r="N762" s="3"/>
      <c r="O762" s="3"/>
      <c r="P762" s="3"/>
      <c r="Q762" s="3"/>
      <c r="R762" s="3"/>
      <c r="S762" s="3"/>
      <c r="T762" s="3"/>
      <c r="U762" s="3"/>
      <c r="V762" s="3"/>
      <c r="W762" s="3"/>
      <c r="X762" s="3"/>
      <c r="Y762" s="3"/>
      <c r="Z762" s="3"/>
      <c r="AA762" s="3"/>
      <c r="AB762" s="3"/>
      <c r="AC762" s="3"/>
      <c r="AD762" s="3"/>
      <c r="AE762" s="3"/>
    </row>
    <row r="763">
      <c r="A763" s="3"/>
      <c r="B763" s="3"/>
      <c r="C763" s="3"/>
      <c r="D763" s="3"/>
      <c r="E763" s="3"/>
      <c r="F763" s="3"/>
      <c r="G763" s="3"/>
      <c r="H763" s="4"/>
      <c r="I763" s="8"/>
      <c r="J763" s="8"/>
      <c r="K763" s="3"/>
      <c r="L763" s="3"/>
      <c r="M763" s="3"/>
      <c r="N763" s="3"/>
      <c r="O763" s="3"/>
      <c r="P763" s="3"/>
      <c r="Q763" s="3"/>
      <c r="R763" s="3"/>
      <c r="S763" s="3"/>
      <c r="T763" s="3"/>
      <c r="U763" s="3"/>
      <c r="V763" s="3"/>
      <c r="W763" s="3"/>
      <c r="X763" s="3"/>
      <c r="Y763" s="3"/>
      <c r="Z763" s="3"/>
      <c r="AA763" s="3"/>
      <c r="AB763" s="3"/>
      <c r="AC763" s="3"/>
      <c r="AD763" s="3"/>
      <c r="AE763" s="3"/>
    </row>
    <row r="764">
      <c r="A764" s="3"/>
      <c r="B764" s="3"/>
      <c r="C764" s="3"/>
      <c r="D764" s="3"/>
      <c r="E764" s="3"/>
      <c r="F764" s="3"/>
      <c r="G764" s="3"/>
      <c r="H764" s="4"/>
      <c r="I764" s="8"/>
      <c r="J764" s="8"/>
      <c r="K764" s="3"/>
      <c r="L764" s="3"/>
      <c r="M764" s="3"/>
      <c r="N764" s="3"/>
      <c r="O764" s="3"/>
      <c r="P764" s="3"/>
      <c r="Q764" s="3"/>
      <c r="R764" s="3"/>
      <c r="S764" s="3"/>
      <c r="T764" s="3"/>
      <c r="U764" s="3"/>
      <c r="V764" s="3"/>
      <c r="W764" s="3"/>
      <c r="X764" s="3"/>
      <c r="Y764" s="3"/>
      <c r="Z764" s="3"/>
      <c r="AA764" s="3"/>
      <c r="AB764" s="3"/>
      <c r="AC764" s="3"/>
      <c r="AD764" s="3"/>
      <c r="AE764" s="3"/>
    </row>
    <row r="765">
      <c r="A765" s="3"/>
      <c r="B765" s="3"/>
      <c r="C765" s="3"/>
      <c r="D765" s="3"/>
      <c r="E765" s="3"/>
      <c r="F765" s="3"/>
      <c r="G765" s="3"/>
      <c r="H765" s="4"/>
      <c r="I765" s="8"/>
      <c r="J765" s="8"/>
      <c r="K765" s="3"/>
      <c r="L765" s="3"/>
      <c r="M765" s="3"/>
      <c r="N765" s="3"/>
      <c r="O765" s="3"/>
      <c r="P765" s="3"/>
      <c r="Q765" s="3"/>
      <c r="R765" s="3"/>
      <c r="S765" s="3"/>
      <c r="T765" s="3"/>
      <c r="U765" s="3"/>
      <c r="V765" s="3"/>
      <c r="W765" s="3"/>
      <c r="X765" s="3"/>
      <c r="Y765" s="3"/>
      <c r="Z765" s="3"/>
      <c r="AA765" s="3"/>
      <c r="AB765" s="3"/>
      <c r="AC765" s="3"/>
      <c r="AD765" s="3"/>
      <c r="AE765" s="3"/>
    </row>
    <row r="766">
      <c r="A766" s="3"/>
      <c r="B766" s="3"/>
      <c r="C766" s="3"/>
      <c r="D766" s="3"/>
      <c r="E766" s="3"/>
      <c r="F766" s="3"/>
      <c r="G766" s="3"/>
      <c r="H766" s="4"/>
      <c r="I766" s="8"/>
      <c r="J766" s="8"/>
      <c r="K766" s="3"/>
      <c r="L766" s="3"/>
      <c r="M766" s="3"/>
      <c r="N766" s="3"/>
      <c r="O766" s="3"/>
      <c r="P766" s="3"/>
      <c r="Q766" s="3"/>
      <c r="R766" s="3"/>
      <c r="S766" s="3"/>
      <c r="T766" s="3"/>
      <c r="U766" s="3"/>
      <c r="V766" s="3"/>
      <c r="W766" s="3"/>
      <c r="X766" s="3"/>
      <c r="Y766" s="3"/>
      <c r="Z766" s="3"/>
      <c r="AA766" s="3"/>
      <c r="AB766" s="3"/>
      <c r="AC766" s="3"/>
      <c r="AD766" s="3"/>
      <c r="AE766" s="3"/>
    </row>
    <row r="767">
      <c r="A767" s="3"/>
      <c r="B767" s="3"/>
      <c r="C767" s="3"/>
      <c r="D767" s="3"/>
      <c r="E767" s="3"/>
      <c r="F767" s="3"/>
      <c r="G767" s="3"/>
      <c r="H767" s="4"/>
      <c r="I767" s="8"/>
      <c r="J767" s="8"/>
      <c r="K767" s="3"/>
      <c r="L767" s="3"/>
      <c r="M767" s="3"/>
      <c r="N767" s="3"/>
      <c r="O767" s="3"/>
      <c r="P767" s="3"/>
      <c r="Q767" s="3"/>
      <c r="R767" s="3"/>
      <c r="S767" s="3"/>
      <c r="T767" s="3"/>
      <c r="U767" s="3"/>
      <c r="V767" s="3"/>
      <c r="W767" s="3"/>
      <c r="X767" s="3"/>
      <c r="Y767" s="3"/>
      <c r="Z767" s="3"/>
      <c r="AA767" s="3"/>
      <c r="AB767" s="3"/>
      <c r="AC767" s="3"/>
      <c r="AD767" s="3"/>
      <c r="AE767" s="3"/>
    </row>
    <row r="768">
      <c r="A768" s="3"/>
      <c r="B768" s="3"/>
      <c r="C768" s="3"/>
      <c r="D768" s="3"/>
      <c r="E768" s="3"/>
      <c r="F768" s="3"/>
      <c r="G768" s="3"/>
      <c r="H768" s="4"/>
      <c r="I768" s="8"/>
      <c r="J768" s="8"/>
      <c r="K768" s="3"/>
      <c r="L768" s="3"/>
      <c r="M768" s="3"/>
      <c r="N768" s="3"/>
      <c r="O768" s="3"/>
      <c r="P768" s="3"/>
      <c r="Q768" s="3"/>
      <c r="R768" s="3"/>
      <c r="S768" s="3"/>
      <c r="T768" s="3"/>
      <c r="U768" s="3"/>
      <c r="V768" s="3"/>
      <c r="W768" s="3"/>
      <c r="X768" s="3"/>
      <c r="Y768" s="3"/>
      <c r="Z768" s="3"/>
      <c r="AA768" s="3"/>
      <c r="AB768" s="3"/>
      <c r="AC768" s="3"/>
      <c r="AD768" s="3"/>
      <c r="AE768" s="3"/>
    </row>
    <row r="769">
      <c r="A769" s="3"/>
      <c r="B769" s="3"/>
      <c r="C769" s="3"/>
      <c r="D769" s="3"/>
      <c r="E769" s="3"/>
      <c r="F769" s="3"/>
      <c r="G769" s="3"/>
      <c r="H769" s="4"/>
      <c r="I769" s="8"/>
      <c r="J769" s="8"/>
      <c r="K769" s="3"/>
      <c r="L769" s="3"/>
      <c r="M769" s="3"/>
      <c r="N769" s="3"/>
      <c r="O769" s="3"/>
      <c r="P769" s="3"/>
      <c r="Q769" s="3"/>
      <c r="R769" s="3"/>
      <c r="S769" s="3"/>
      <c r="T769" s="3"/>
      <c r="U769" s="3"/>
      <c r="V769" s="3"/>
      <c r="W769" s="3"/>
      <c r="X769" s="3"/>
      <c r="Y769" s="3"/>
      <c r="Z769" s="3"/>
      <c r="AA769" s="3"/>
      <c r="AB769" s="3"/>
      <c r="AC769" s="3"/>
      <c r="AD769" s="3"/>
      <c r="AE769" s="3"/>
    </row>
    <row r="770">
      <c r="A770" s="3"/>
      <c r="B770" s="3"/>
      <c r="C770" s="3"/>
      <c r="D770" s="3"/>
      <c r="E770" s="3"/>
      <c r="F770" s="3"/>
      <c r="G770" s="3"/>
      <c r="H770" s="4"/>
      <c r="I770" s="8"/>
      <c r="J770" s="8"/>
      <c r="K770" s="3"/>
      <c r="L770" s="3"/>
      <c r="M770" s="3"/>
      <c r="N770" s="3"/>
      <c r="O770" s="3"/>
      <c r="P770" s="3"/>
      <c r="Q770" s="3"/>
      <c r="R770" s="3"/>
      <c r="S770" s="3"/>
      <c r="T770" s="3"/>
      <c r="U770" s="3"/>
      <c r="V770" s="3"/>
      <c r="W770" s="3"/>
      <c r="X770" s="3"/>
      <c r="Y770" s="3"/>
      <c r="Z770" s="3"/>
      <c r="AA770" s="3"/>
      <c r="AB770" s="3"/>
      <c r="AC770" s="3"/>
      <c r="AD770" s="3"/>
      <c r="AE770" s="3"/>
    </row>
    <row r="771">
      <c r="A771" s="3"/>
      <c r="B771" s="3"/>
      <c r="C771" s="3"/>
      <c r="D771" s="3"/>
      <c r="E771" s="3"/>
      <c r="F771" s="3"/>
      <c r="G771" s="3"/>
      <c r="H771" s="4"/>
      <c r="I771" s="8"/>
      <c r="J771" s="8"/>
      <c r="K771" s="3"/>
      <c r="L771" s="3"/>
      <c r="M771" s="3"/>
      <c r="N771" s="3"/>
      <c r="O771" s="3"/>
      <c r="P771" s="3"/>
      <c r="Q771" s="3"/>
      <c r="R771" s="3"/>
      <c r="S771" s="3"/>
      <c r="T771" s="3"/>
      <c r="U771" s="3"/>
      <c r="V771" s="3"/>
      <c r="W771" s="3"/>
      <c r="X771" s="3"/>
      <c r="Y771" s="3"/>
      <c r="Z771" s="3"/>
      <c r="AA771" s="3"/>
      <c r="AB771" s="3"/>
      <c r="AC771" s="3"/>
      <c r="AD771" s="3"/>
      <c r="AE771" s="3"/>
    </row>
    <row r="772">
      <c r="A772" s="3"/>
      <c r="B772" s="3"/>
      <c r="C772" s="3"/>
      <c r="D772" s="3"/>
      <c r="E772" s="3"/>
      <c r="F772" s="3"/>
      <c r="G772" s="3"/>
      <c r="H772" s="4"/>
      <c r="I772" s="8"/>
      <c r="J772" s="8"/>
      <c r="K772" s="3"/>
      <c r="L772" s="3"/>
      <c r="M772" s="3"/>
      <c r="N772" s="3"/>
      <c r="O772" s="3"/>
      <c r="P772" s="3"/>
      <c r="Q772" s="3"/>
      <c r="R772" s="3"/>
      <c r="S772" s="3"/>
      <c r="T772" s="3"/>
      <c r="U772" s="3"/>
      <c r="V772" s="3"/>
      <c r="W772" s="3"/>
      <c r="X772" s="3"/>
      <c r="Y772" s="3"/>
      <c r="Z772" s="3"/>
      <c r="AA772" s="3"/>
      <c r="AB772" s="3"/>
      <c r="AC772" s="3"/>
      <c r="AD772" s="3"/>
      <c r="AE772" s="3"/>
    </row>
    <row r="773">
      <c r="A773" s="3"/>
      <c r="B773" s="3"/>
      <c r="C773" s="3"/>
      <c r="D773" s="3"/>
      <c r="E773" s="3"/>
      <c r="F773" s="3"/>
      <c r="G773" s="3"/>
      <c r="H773" s="4"/>
      <c r="I773" s="8"/>
      <c r="J773" s="8"/>
      <c r="K773" s="3"/>
      <c r="L773" s="3"/>
      <c r="M773" s="3"/>
      <c r="N773" s="3"/>
      <c r="O773" s="3"/>
      <c r="P773" s="3"/>
      <c r="Q773" s="3"/>
      <c r="R773" s="3"/>
      <c r="S773" s="3"/>
      <c r="T773" s="3"/>
      <c r="U773" s="3"/>
      <c r="V773" s="3"/>
      <c r="W773" s="3"/>
      <c r="X773" s="3"/>
      <c r="Y773" s="3"/>
      <c r="Z773" s="3"/>
      <c r="AA773" s="3"/>
      <c r="AB773" s="3"/>
      <c r="AC773" s="3"/>
      <c r="AD773" s="3"/>
      <c r="AE773" s="3"/>
    </row>
    <row r="774">
      <c r="A774" s="3"/>
      <c r="B774" s="3"/>
      <c r="C774" s="3"/>
      <c r="D774" s="3"/>
      <c r="E774" s="3"/>
      <c r="F774" s="3"/>
      <c r="G774" s="3"/>
      <c r="H774" s="4"/>
      <c r="I774" s="8"/>
      <c r="J774" s="8"/>
      <c r="K774" s="3"/>
      <c r="L774" s="3"/>
      <c r="M774" s="3"/>
      <c r="N774" s="3"/>
      <c r="O774" s="3"/>
      <c r="P774" s="3"/>
      <c r="Q774" s="3"/>
      <c r="R774" s="3"/>
      <c r="S774" s="3"/>
      <c r="T774" s="3"/>
      <c r="U774" s="3"/>
      <c r="V774" s="3"/>
      <c r="W774" s="3"/>
      <c r="X774" s="3"/>
      <c r="Y774" s="3"/>
      <c r="Z774" s="3"/>
      <c r="AA774" s="3"/>
      <c r="AB774" s="3"/>
      <c r="AC774" s="3"/>
      <c r="AD774" s="3"/>
      <c r="AE774" s="3"/>
    </row>
    <row r="775">
      <c r="A775" s="3"/>
      <c r="B775" s="3"/>
      <c r="C775" s="3"/>
      <c r="D775" s="3"/>
      <c r="E775" s="3"/>
      <c r="F775" s="3"/>
      <c r="G775" s="3"/>
      <c r="H775" s="4"/>
      <c r="I775" s="8"/>
      <c r="J775" s="8"/>
      <c r="K775" s="3"/>
      <c r="L775" s="3"/>
      <c r="M775" s="3"/>
      <c r="N775" s="3"/>
      <c r="O775" s="3"/>
      <c r="P775" s="3"/>
      <c r="Q775" s="3"/>
      <c r="R775" s="3"/>
      <c r="S775" s="3"/>
      <c r="T775" s="3"/>
      <c r="U775" s="3"/>
      <c r="V775" s="3"/>
      <c r="W775" s="3"/>
      <c r="X775" s="3"/>
      <c r="Y775" s="3"/>
      <c r="Z775" s="3"/>
      <c r="AA775" s="3"/>
      <c r="AB775" s="3"/>
      <c r="AC775" s="3"/>
      <c r="AD775" s="3"/>
      <c r="AE775" s="3"/>
    </row>
    <row r="776">
      <c r="A776" s="3"/>
      <c r="B776" s="3"/>
      <c r="C776" s="3"/>
      <c r="D776" s="3"/>
      <c r="E776" s="3"/>
      <c r="F776" s="3"/>
      <c r="G776" s="3"/>
      <c r="H776" s="4"/>
      <c r="I776" s="8"/>
      <c r="J776" s="8"/>
      <c r="K776" s="3"/>
      <c r="L776" s="3"/>
      <c r="M776" s="3"/>
      <c r="N776" s="3"/>
      <c r="O776" s="3"/>
      <c r="P776" s="3"/>
      <c r="Q776" s="3"/>
      <c r="R776" s="3"/>
      <c r="S776" s="3"/>
      <c r="T776" s="3"/>
      <c r="U776" s="3"/>
      <c r="V776" s="3"/>
      <c r="W776" s="3"/>
      <c r="X776" s="3"/>
      <c r="Y776" s="3"/>
      <c r="Z776" s="3"/>
      <c r="AA776" s="3"/>
      <c r="AB776" s="3"/>
      <c r="AC776" s="3"/>
      <c r="AD776" s="3"/>
      <c r="AE776" s="3"/>
    </row>
    <row r="777">
      <c r="A777" s="3"/>
      <c r="B777" s="3"/>
      <c r="C777" s="3"/>
      <c r="D777" s="3"/>
      <c r="E777" s="3"/>
      <c r="F777" s="3"/>
      <c r="G777" s="3"/>
      <c r="H777" s="4"/>
      <c r="I777" s="8"/>
      <c r="J777" s="8"/>
      <c r="K777" s="3"/>
      <c r="L777" s="3"/>
      <c r="M777" s="3"/>
      <c r="N777" s="3"/>
      <c r="O777" s="3"/>
      <c r="P777" s="3"/>
      <c r="Q777" s="3"/>
      <c r="R777" s="3"/>
      <c r="S777" s="3"/>
      <c r="T777" s="3"/>
      <c r="U777" s="3"/>
      <c r="V777" s="3"/>
      <c r="W777" s="3"/>
      <c r="X777" s="3"/>
      <c r="Y777" s="3"/>
      <c r="Z777" s="3"/>
      <c r="AA777" s="3"/>
      <c r="AB777" s="3"/>
      <c r="AC777" s="3"/>
      <c r="AD777" s="3"/>
      <c r="AE777" s="3"/>
    </row>
    <row r="778">
      <c r="A778" s="3"/>
      <c r="B778" s="3"/>
      <c r="C778" s="3"/>
      <c r="D778" s="3"/>
      <c r="E778" s="3"/>
      <c r="F778" s="3"/>
      <c r="G778" s="3"/>
      <c r="H778" s="4"/>
      <c r="I778" s="8"/>
      <c r="J778" s="8"/>
      <c r="K778" s="3"/>
      <c r="L778" s="3"/>
      <c r="M778" s="3"/>
      <c r="N778" s="3"/>
      <c r="O778" s="3"/>
      <c r="P778" s="3"/>
      <c r="Q778" s="3"/>
      <c r="R778" s="3"/>
      <c r="S778" s="3"/>
      <c r="T778" s="3"/>
      <c r="U778" s="3"/>
      <c r="V778" s="3"/>
      <c r="W778" s="3"/>
      <c r="X778" s="3"/>
      <c r="Y778" s="3"/>
      <c r="Z778" s="3"/>
      <c r="AA778" s="3"/>
      <c r="AB778" s="3"/>
      <c r="AC778" s="3"/>
      <c r="AD778" s="3"/>
      <c r="AE778" s="3"/>
    </row>
    <row r="779">
      <c r="A779" s="3"/>
      <c r="B779" s="3"/>
      <c r="C779" s="3"/>
      <c r="D779" s="3"/>
      <c r="E779" s="3"/>
      <c r="F779" s="3"/>
      <c r="G779" s="3"/>
      <c r="H779" s="4"/>
      <c r="I779" s="8"/>
      <c r="J779" s="8"/>
      <c r="K779" s="3"/>
      <c r="L779" s="3"/>
      <c r="M779" s="3"/>
      <c r="N779" s="3"/>
      <c r="O779" s="3"/>
      <c r="P779" s="3"/>
      <c r="Q779" s="3"/>
      <c r="R779" s="3"/>
      <c r="S779" s="3"/>
      <c r="T779" s="3"/>
      <c r="U779" s="3"/>
      <c r="V779" s="3"/>
      <c r="W779" s="3"/>
      <c r="X779" s="3"/>
      <c r="Y779" s="3"/>
      <c r="Z779" s="3"/>
      <c r="AA779" s="3"/>
      <c r="AB779" s="3"/>
      <c r="AC779" s="3"/>
      <c r="AD779" s="3"/>
      <c r="AE779" s="3"/>
    </row>
    <row r="780">
      <c r="A780" s="3"/>
      <c r="B780" s="3"/>
      <c r="C780" s="3"/>
      <c r="D780" s="3"/>
      <c r="E780" s="3"/>
      <c r="F780" s="3"/>
      <c r="G780" s="3"/>
      <c r="H780" s="4"/>
      <c r="I780" s="8"/>
      <c r="J780" s="8"/>
      <c r="K780" s="3"/>
      <c r="L780" s="3"/>
      <c r="M780" s="3"/>
      <c r="N780" s="3"/>
      <c r="O780" s="3"/>
      <c r="P780" s="3"/>
      <c r="Q780" s="3"/>
      <c r="R780" s="3"/>
      <c r="S780" s="3"/>
      <c r="T780" s="3"/>
      <c r="U780" s="3"/>
      <c r="V780" s="3"/>
      <c r="W780" s="3"/>
      <c r="X780" s="3"/>
      <c r="Y780" s="3"/>
      <c r="Z780" s="3"/>
      <c r="AA780" s="3"/>
      <c r="AB780" s="3"/>
      <c r="AC780" s="3"/>
      <c r="AD780" s="3"/>
      <c r="AE780" s="3"/>
    </row>
    <row r="781">
      <c r="A781" s="3"/>
      <c r="B781" s="3"/>
      <c r="C781" s="3"/>
      <c r="D781" s="3"/>
      <c r="E781" s="3"/>
      <c r="F781" s="3"/>
      <c r="G781" s="3"/>
      <c r="H781" s="4"/>
      <c r="I781" s="8"/>
      <c r="J781" s="8"/>
      <c r="K781" s="3"/>
      <c r="L781" s="3"/>
      <c r="M781" s="3"/>
      <c r="N781" s="3"/>
      <c r="O781" s="3"/>
      <c r="P781" s="3"/>
      <c r="Q781" s="3"/>
      <c r="R781" s="3"/>
      <c r="S781" s="3"/>
      <c r="T781" s="3"/>
      <c r="U781" s="3"/>
      <c r="V781" s="3"/>
      <c r="W781" s="3"/>
      <c r="X781" s="3"/>
      <c r="Y781" s="3"/>
      <c r="Z781" s="3"/>
      <c r="AA781" s="3"/>
      <c r="AB781" s="3"/>
      <c r="AC781" s="3"/>
      <c r="AD781" s="3"/>
      <c r="AE781" s="3"/>
    </row>
    <row r="782">
      <c r="A782" s="3"/>
      <c r="B782" s="3"/>
      <c r="C782" s="3"/>
      <c r="D782" s="3"/>
      <c r="E782" s="3"/>
      <c r="F782" s="3"/>
      <c r="G782" s="3"/>
      <c r="H782" s="4"/>
      <c r="I782" s="8"/>
      <c r="J782" s="8"/>
      <c r="K782" s="3"/>
      <c r="L782" s="3"/>
      <c r="M782" s="3"/>
      <c r="N782" s="3"/>
      <c r="O782" s="3"/>
      <c r="P782" s="3"/>
      <c r="Q782" s="3"/>
      <c r="R782" s="3"/>
      <c r="S782" s="3"/>
      <c r="T782" s="3"/>
      <c r="U782" s="3"/>
      <c r="V782" s="3"/>
      <c r="W782" s="3"/>
      <c r="X782" s="3"/>
      <c r="Y782" s="3"/>
      <c r="Z782" s="3"/>
      <c r="AA782" s="3"/>
      <c r="AB782" s="3"/>
      <c r="AC782" s="3"/>
      <c r="AD782" s="3"/>
      <c r="AE782" s="3"/>
    </row>
    <row r="783">
      <c r="A783" s="3"/>
      <c r="B783" s="3"/>
      <c r="C783" s="3"/>
      <c r="D783" s="3"/>
      <c r="E783" s="3"/>
      <c r="F783" s="3"/>
      <c r="G783" s="3"/>
      <c r="H783" s="4"/>
      <c r="I783" s="8"/>
      <c r="J783" s="8"/>
      <c r="K783" s="3"/>
      <c r="L783" s="3"/>
      <c r="M783" s="3"/>
      <c r="N783" s="3"/>
      <c r="O783" s="3"/>
      <c r="P783" s="3"/>
      <c r="Q783" s="3"/>
      <c r="R783" s="3"/>
      <c r="S783" s="3"/>
      <c r="T783" s="3"/>
      <c r="U783" s="3"/>
      <c r="V783" s="3"/>
      <c r="W783" s="3"/>
      <c r="X783" s="3"/>
      <c r="Y783" s="3"/>
      <c r="Z783" s="3"/>
      <c r="AA783" s="3"/>
      <c r="AB783" s="3"/>
      <c r="AC783" s="3"/>
      <c r="AD783" s="3"/>
      <c r="AE783" s="3"/>
    </row>
    <row r="784">
      <c r="A784" s="3"/>
      <c r="B784" s="3"/>
      <c r="C784" s="3"/>
      <c r="D784" s="3"/>
      <c r="E784" s="3"/>
      <c r="F784" s="3"/>
      <c r="G784" s="3"/>
      <c r="H784" s="4"/>
      <c r="I784" s="8"/>
      <c r="J784" s="8"/>
      <c r="K784" s="3"/>
      <c r="L784" s="3"/>
      <c r="M784" s="3"/>
      <c r="N784" s="3"/>
      <c r="O784" s="3"/>
      <c r="P784" s="3"/>
      <c r="Q784" s="3"/>
      <c r="R784" s="3"/>
      <c r="S784" s="3"/>
      <c r="T784" s="3"/>
      <c r="U784" s="3"/>
      <c r="V784" s="3"/>
      <c r="W784" s="3"/>
      <c r="X784" s="3"/>
      <c r="Y784" s="3"/>
      <c r="Z784" s="3"/>
      <c r="AA784" s="3"/>
      <c r="AB784" s="3"/>
      <c r="AC784" s="3"/>
      <c r="AD784" s="3"/>
      <c r="AE784" s="3"/>
    </row>
    <row r="785">
      <c r="A785" s="3"/>
      <c r="B785" s="3"/>
      <c r="C785" s="3"/>
      <c r="D785" s="3"/>
      <c r="E785" s="3"/>
      <c r="F785" s="3"/>
      <c r="G785" s="3"/>
      <c r="H785" s="4"/>
      <c r="I785" s="8"/>
      <c r="J785" s="8"/>
      <c r="K785" s="3"/>
      <c r="L785" s="3"/>
      <c r="M785" s="3"/>
      <c r="N785" s="3"/>
      <c r="O785" s="3"/>
      <c r="P785" s="3"/>
      <c r="Q785" s="3"/>
      <c r="R785" s="3"/>
      <c r="S785" s="3"/>
      <c r="T785" s="3"/>
      <c r="U785" s="3"/>
      <c r="V785" s="3"/>
      <c r="W785" s="3"/>
      <c r="X785" s="3"/>
      <c r="Y785" s="3"/>
      <c r="Z785" s="3"/>
      <c r="AA785" s="3"/>
      <c r="AB785" s="3"/>
      <c r="AC785" s="3"/>
      <c r="AD785" s="3"/>
      <c r="AE785" s="3"/>
    </row>
    <row r="786">
      <c r="A786" s="3"/>
      <c r="B786" s="3"/>
      <c r="C786" s="3"/>
      <c r="D786" s="3"/>
      <c r="E786" s="3"/>
      <c r="F786" s="3"/>
      <c r="G786" s="3"/>
      <c r="H786" s="4"/>
      <c r="I786" s="8"/>
      <c r="J786" s="8"/>
      <c r="K786" s="3"/>
      <c r="L786" s="3"/>
      <c r="M786" s="3"/>
      <c r="N786" s="3"/>
      <c r="O786" s="3"/>
      <c r="P786" s="3"/>
      <c r="Q786" s="3"/>
      <c r="R786" s="3"/>
      <c r="S786" s="3"/>
      <c r="T786" s="3"/>
      <c r="U786" s="3"/>
      <c r="V786" s="3"/>
      <c r="W786" s="3"/>
      <c r="X786" s="3"/>
      <c r="Y786" s="3"/>
      <c r="Z786" s="3"/>
      <c r="AA786" s="3"/>
      <c r="AB786" s="3"/>
      <c r="AC786" s="3"/>
      <c r="AD786" s="3"/>
      <c r="AE786" s="3"/>
    </row>
    <row r="787">
      <c r="A787" s="3"/>
      <c r="B787" s="3"/>
      <c r="C787" s="3"/>
      <c r="D787" s="3"/>
      <c r="E787" s="3"/>
      <c r="F787" s="3"/>
      <c r="G787" s="3"/>
      <c r="H787" s="4"/>
      <c r="I787" s="8"/>
      <c r="J787" s="8"/>
      <c r="K787" s="3"/>
      <c r="L787" s="3"/>
      <c r="M787" s="3"/>
      <c r="N787" s="3"/>
      <c r="O787" s="3"/>
      <c r="P787" s="3"/>
      <c r="Q787" s="3"/>
      <c r="R787" s="3"/>
      <c r="S787" s="3"/>
      <c r="T787" s="3"/>
      <c r="U787" s="3"/>
      <c r="V787" s="3"/>
      <c r="W787" s="3"/>
      <c r="X787" s="3"/>
      <c r="Y787" s="3"/>
      <c r="Z787" s="3"/>
      <c r="AA787" s="3"/>
      <c r="AB787" s="3"/>
      <c r="AC787" s="3"/>
      <c r="AD787" s="3"/>
      <c r="AE787" s="3"/>
    </row>
    <row r="788">
      <c r="A788" s="3"/>
      <c r="B788" s="3"/>
      <c r="C788" s="3"/>
      <c r="D788" s="3"/>
      <c r="E788" s="3"/>
      <c r="F788" s="3"/>
      <c r="G788" s="3"/>
      <c r="H788" s="4"/>
      <c r="I788" s="8"/>
      <c r="J788" s="8"/>
      <c r="K788" s="3"/>
      <c r="L788" s="3"/>
      <c r="M788" s="3"/>
      <c r="N788" s="3"/>
      <c r="O788" s="3"/>
      <c r="P788" s="3"/>
      <c r="Q788" s="3"/>
      <c r="R788" s="3"/>
      <c r="S788" s="3"/>
      <c r="T788" s="3"/>
      <c r="U788" s="3"/>
      <c r="V788" s="3"/>
      <c r="W788" s="3"/>
      <c r="X788" s="3"/>
      <c r="Y788" s="3"/>
      <c r="Z788" s="3"/>
      <c r="AA788" s="3"/>
      <c r="AB788" s="3"/>
      <c r="AC788" s="3"/>
      <c r="AD788" s="3"/>
      <c r="AE788" s="3"/>
    </row>
    <row r="789">
      <c r="A789" s="3"/>
      <c r="B789" s="3"/>
      <c r="C789" s="3"/>
      <c r="D789" s="3"/>
      <c r="E789" s="3"/>
      <c r="F789" s="3"/>
      <c r="G789" s="3"/>
      <c r="H789" s="4"/>
      <c r="I789" s="8"/>
      <c r="J789" s="8"/>
      <c r="K789" s="3"/>
      <c r="L789" s="3"/>
      <c r="M789" s="3"/>
      <c r="N789" s="3"/>
      <c r="O789" s="3"/>
      <c r="P789" s="3"/>
      <c r="Q789" s="3"/>
      <c r="R789" s="3"/>
      <c r="S789" s="3"/>
      <c r="T789" s="3"/>
      <c r="U789" s="3"/>
      <c r="V789" s="3"/>
      <c r="W789" s="3"/>
      <c r="X789" s="3"/>
      <c r="Y789" s="3"/>
      <c r="Z789" s="3"/>
      <c r="AA789" s="3"/>
      <c r="AB789" s="3"/>
      <c r="AC789" s="3"/>
      <c r="AD789" s="3"/>
      <c r="AE789" s="3"/>
    </row>
    <row r="790">
      <c r="A790" s="3"/>
      <c r="B790" s="3"/>
      <c r="C790" s="3"/>
      <c r="D790" s="3"/>
      <c r="E790" s="3"/>
      <c r="F790" s="3"/>
      <c r="G790" s="3"/>
      <c r="H790" s="4"/>
      <c r="I790" s="8"/>
      <c r="J790" s="8"/>
      <c r="K790" s="3"/>
      <c r="L790" s="3"/>
      <c r="M790" s="3"/>
      <c r="N790" s="3"/>
      <c r="O790" s="3"/>
      <c r="P790" s="3"/>
      <c r="Q790" s="3"/>
      <c r="R790" s="3"/>
      <c r="S790" s="3"/>
      <c r="T790" s="3"/>
      <c r="U790" s="3"/>
      <c r="V790" s="3"/>
      <c r="W790" s="3"/>
      <c r="X790" s="3"/>
      <c r="Y790" s="3"/>
      <c r="Z790" s="3"/>
      <c r="AA790" s="3"/>
      <c r="AB790" s="3"/>
      <c r="AC790" s="3"/>
      <c r="AD790" s="3"/>
      <c r="AE790" s="3"/>
    </row>
    <row r="791">
      <c r="A791" s="3"/>
      <c r="B791" s="3"/>
      <c r="C791" s="3"/>
      <c r="D791" s="3"/>
      <c r="E791" s="3"/>
      <c r="F791" s="3"/>
      <c r="G791" s="3"/>
      <c r="H791" s="4"/>
      <c r="I791" s="8"/>
      <c r="J791" s="8"/>
      <c r="K791" s="3"/>
      <c r="L791" s="3"/>
      <c r="M791" s="3"/>
      <c r="N791" s="3"/>
      <c r="O791" s="3"/>
      <c r="P791" s="3"/>
      <c r="Q791" s="3"/>
      <c r="R791" s="3"/>
      <c r="S791" s="3"/>
      <c r="T791" s="3"/>
      <c r="U791" s="3"/>
      <c r="V791" s="3"/>
      <c r="W791" s="3"/>
      <c r="X791" s="3"/>
      <c r="Y791" s="3"/>
      <c r="Z791" s="3"/>
      <c r="AA791" s="3"/>
      <c r="AB791" s="3"/>
      <c r="AC791" s="3"/>
      <c r="AD791" s="3"/>
      <c r="AE791" s="3"/>
    </row>
    <row r="792">
      <c r="A792" s="3"/>
      <c r="B792" s="3"/>
      <c r="C792" s="3"/>
      <c r="D792" s="3"/>
      <c r="E792" s="3"/>
      <c r="F792" s="3"/>
      <c r="G792" s="3"/>
      <c r="H792" s="4"/>
      <c r="I792" s="8"/>
      <c r="J792" s="8"/>
      <c r="K792" s="3"/>
      <c r="L792" s="3"/>
      <c r="M792" s="3"/>
      <c r="N792" s="3"/>
      <c r="O792" s="3"/>
      <c r="P792" s="3"/>
      <c r="Q792" s="3"/>
      <c r="R792" s="3"/>
      <c r="S792" s="3"/>
      <c r="T792" s="3"/>
      <c r="U792" s="3"/>
      <c r="V792" s="3"/>
      <c r="W792" s="3"/>
      <c r="X792" s="3"/>
      <c r="Y792" s="3"/>
      <c r="Z792" s="3"/>
      <c r="AA792" s="3"/>
      <c r="AB792" s="3"/>
      <c r="AC792" s="3"/>
      <c r="AD792" s="3"/>
      <c r="AE792" s="3"/>
    </row>
    <row r="793">
      <c r="A793" s="3"/>
      <c r="B793" s="3"/>
      <c r="C793" s="3"/>
      <c r="D793" s="3"/>
      <c r="E793" s="3"/>
      <c r="F793" s="3"/>
      <c r="G793" s="3"/>
      <c r="H793" s="4"/>
      <c r="I793" s="8"/>
      <c r="J793" s="8"/>
      <c r="K793" s="3"/>
      <c r="L793" s="3"/>
      <c r="M793" s="3"/>
      <c r="N793" s="3"/>
      <c r="O793" s="3"/>
      <c r="P793" s="3"/>
      <c r="Q793" s="3"/>
      <c r="R793" s="3"/>
      <c r="S793" s="3"/>
      <c r="T793" s="3"/>
      <c r="U793" s="3"/>
      <c r="V793" s="3"/>
      <c r="W793" s="3"/>
      <c r="X793" s="3"/>
      <c r="Y793" s="3"/>
      <c r="Z793" s="3"/>
      <c r="AA793" s="3"/>
      <c r="AB793" s="3"/>
      <c r="AC793" s="3"/>
      <c r="AD793" s="3"/>
      <c r="AE793" s="3"/>
    </row>
    <row r="794">
      <c r="A794" s="3"/>
      <c r="B794" s="3"/>
      <c r="C794" s="3"/>
      <c r="D794" s="3"/>
      <c r="E794" s="3"/>
      <c r="F794" s="3"/>
      <c r="G794" s="3"/>
      <c r="H794" s="4"/>
      <c r="I794" s="8"/>
      <c r="J794" s="8"/>
      <c r="K794" s="3"/>
      <c r="L794" s="3"/>
      <c r="M794" s="3"/>
      <c r="N794" s="3"/>
      <c r="O794" s="3"/>
      <c r="P794" s="3"/>
      <c r="Q794" s="3"/>
      <c r="R794" s="3"/>
      <c r="S794" s="3"/>
      <c r="T794" s="3"/>
      <c r="U794" s="3"/>
      <c r="V794" s="3"/>
      <c r="W794" s="3"/>
      <c r="X794" s="3"/>
      <c r="Y794" s="3"/>
      <c r="Z794" s="3"/>
      <c r="AA794" s="3"/>
      <c r="AB794" s="3"/>
      <c r="AC794" s="3"/>
      <c r="AD794" s="3"/>
      <c r="AE794" s="3"/>
    </row>
    <row r="795">
      <c r="A795" s="3"/>
      <c r="B795" s="3"/>
      <c r="C795" s="3"/>
      <c r="D795" s="3"/>
      <c r="E795" s="3"/>
      <c r="F795" s="3"/>
      <c r="G795" s="3"/>
      <c r="H795" s="4"/>
      <c r="I795" s="8"/>
      <c r="J795" s="8"/>
      <c r="K795" s="3"/>
      <c r="L795" s="3"/>
      <c r="M795" s="3"/>
      <c r="N795" s="3"/>
      <c r="O795" s="3"/>
      <c r="P795" s="3"/>
      <c r="Q795" s="3"/>
      <c r="R795" s="3"/>
      <c r="S795" s="3"/>
      <c r="T795" s="3"/>
      <c r="U795" s="3"/>
      <c r="V795" s="3"/>
      <c r="W795" s="3"/>
      <c r="X795" s="3"/>
      <c r="Y795" s="3"/>
      <c r="Z795" s="3"/>
      <c r="AA795" s="3"/>
      <c r="AB795" s="3"/>
      <c r="AC795" s="3"/>
      <c r="AD795" s="3"/>
      <c r="AE795" s="3"/>
    </row>
    <row r="796">
      <c r="A796" s="3"/>
      <c r="B796" s="3"/>
      <c r="C796" s="3"/>
      <c r="D796" s="3"/>
      <c r="E796" s="3"/>
      <c r="F796" s="3"/>
      <c r="G796" s="3"/>
      <c r="H796" s="4"/>
      <c r="I796" s="8"/>
      <c r="J796" s="8"/>
      <c r="K796" s="3"/>
      <c r="L796" s="3"/>
      <c r="M796" s="3"/>
      <c r="N796" s="3"/>
      <c r="O796" s="3"/>
      <c r="P796" s="3"/>
      <c r="Q796" s="3"/>
      <c r="R796" s="3"/>
      <c r="S796" s="3"/>
      <c r="T796" s="3"/>
      <c r="U796" s="3"/>
      <c r="V796" s="3"/>
      <c r="W796" s="3"/>
      <c r="X796" s="3"/>
      <c r="Y796" s="3"/>
      <c r="Z796" s="3"/>
      <c r="AA796" s="3"/>
      <c r="AB796" s="3"/>
      <c r="AC796" s="3"/>
      <c r="AD796" s="3"/>
      <c r="AE796" s="3"/>
    </row>
    <row r="797">
      <c r="A797" s="3"/>
      <c r="B797" s="3"/>
      <c r="C797" s="3"/>
      <c r="D797" s="3"/>
      <c r="E797" s="3"/>
      <c r="F797" s="3"/>
      <c r="G797" s="3"/>
      <c r="H797" s="4"/>
      <c r="I797" s="8"/>
      <c r="J797" s="8"/>
      <c r="K797" s="3"/>
      <c r="L797" s="3"/>
      <c r="M797" s="3"/>
      <c r="N797" s="3"/>
      <c r="O797" s="3"/>
      <c r="P797" s="3"/>
      <c r="Q797" s="3"/>
      <c r="R797" s="3"/>
      <c r="S797" s="3"/>
      <c r="T797" s="3"/>
      <c r="U797" s="3"/>
      <c r="V797" s="3"/>
      <c r="W797" s="3"/>
      <c r="X797" s="3"/>
      <c r="Y797" s="3"/>
      <c r="Z797" s="3"/>
      <c r="AA797" s="3"/>
      <c r="AB797" s="3"/>
      <c r="AC797" s="3"/>
      <c r="AD797" s="3"/>
      <c r="AE797" s="3"/>
    </row>
    <row r="798">
      <c r="A798" s="3"/>
      <c r="B798" s="3"/>
      <c r="C798" s="3"/>
      <c r="D798" s="3"/>
      <c r="E798" s="3"/>
      <c r="F798" s="3"/>
      <c r="G798" s="3"/>
      <c r="H798" s="4"/>
      <c r="I798" s="8"/>
      <c r="J798" s="8"/>
      <c r="K798" s="3"/>
      <c r="L798" s="3"/>
      <c r="M798" s="3"/>
      <c r="N798" s="3"/>
      <c r="O798" s="3"/>
      <c r="P798" s="3"/>
      <c r="Q798" s="3"/>
      <c r="R798" s="3"/>
      <c r="S798" s="3"/>
      <c r="T798" s="3"/>
      <c r="U798" s="3"/>
      <c r="V798" s="3"/>
      <c r="W798" s="3"/>
      <c r="X798" s="3"/>
      <c r="Y798" s="3"/>
      <c r="Z798" s="3"/>
      <c r="AA798" s="3"/>
      <c r="AB798" s="3"/>
      <c r="AC798" s="3"/>
      <c r="AD798" s="3"/>
      <c r="AE798" s="3"/>
    </row>
    <row r="799">
      <c r="A799" s="3"/>
      <c r="B799" s="3"/>
      <c r="C799" s="3"/>
      <c r="D799" s="3"/>
      <c r="E799" s="3"/>
      <c r="F799" s="3"/>
      <c r="G799" s="3"/>
      <c r="H799" s="4"/>
      <c r="I799" s="8"/>
      <c r="J799" s="8"/>
      <c r="K799" s="3"/>
      <c r="L799" s="3"/>
      <c r="M799" s="3"/>
      <c r="N799" s="3"/>
      <c r="O799" s="3"/>
      <c r="P799" s="3"/>
      <c r="Q799" s="3"/>
      <c r="R799" s="3"/>
      <c r="S799" s="3"/>
      <c r="T799" s="3"/>
      <c r="U799" s="3"/>
      <c r="V799" s="3"/>
      <c r="W799" s="3"/>
      <c r="X799" s="3"/>
      <c r="Y799" s="3"/>
      <c r="Z799" s="3"/>
      <c r="AA799" s="3"/>
      <c r="AB799" s="3"/>
      <c r="AC799" s="3"/>
      <c r="AD799" s="3"/>
      <c r="AE799" s="3"/>
    </row>
    <row r="800">
      <c r="A800" s="3"/>
      <c r="B800" s="3"/>
      <c r="C800" s="3"/>
      <c r="D800" s="3"/>
      <c r="E800" s="3"/>
      <c r="F800" s="3"/>
      <c r="G800" s="3"/>
      <c r="H800" s="4"/>
      <c r="I800" s="8"/>
      <c r="J800" s="8"/>
      <c r="K800" s="3"/>
      <c r="L800" s="3"/>
      <c r="M800" s="3"/>
      <c r="N800" s="3"/>
      <c r="O800" s="3"/>
      <c r="P800" s="3"/>
      <c r="Q800" s="3"/>
      <c r="R800" s="3"/>
      <c r="S800" s="3"/>
      <c r="T800" s="3"/>
      <c r="U800" s="3"/>
      <c r="V800" s="3"/>
      <c r="W800" s="3"/>
      <c r="X800" s="3"/>
      <c r="Y800" s="3"/>
      <c r="Z800" s="3"/>
      <c r="AA800" s="3"/>
      <c r="AB800" s="3"/>
      <c r="AC800" s="3"/>
      <c r="AD800" s="3"/>
      <c r="AE800" s="3"/>
    </row>
    <row r="801">
      <c r="A801" s="3"/>
      <c r="B801" s="3"/>
      <c r="C801" s="3"/>
      <c r="D801" s="3"/>
      <c r="E801" s="3"/>
      <c r="F801" s="3"/>
      <c r="G801" s="3"/>
      <c r="H801" s="4"/>
      <c r="I801" s="8"/>
      <c r="J801" s="8"/>
      <c r="K801" s="3"/>
      <c r="L801" s="3"/>
      <c r="M801" s="3"/>
      <c r="N801" s="3"/>
      <c r="O801" s="3"/>
      <c r="P801" s="3"/>
      <c r="Q801" s="3"/>
      <c r="R801" s="3"/>
      <c r="S801" s="3"/>
      <c r="T801" s="3"/>
      <c r="U801" s="3"/>
      <c r="V801" s="3"/>
      <c r="W801" s="3"/>
      <c r="X801" s="3"/>
      <c r="Y801" s="3"/>
      <c r="Z801" s="3"/>
      <c r="AA801" s="3"/>
      <c r="AB801" s="3"/>
      <c r="AC801" s="3"/>
      <c r="AD801" s="3"/>
      <c r="AE801" s="3"/>
    </row>
    <row r="802">
      <c r="A802" s="3"/>
      <c r="B802" s="3"/>
      <c r="C802" s="3"/>
      <c r="D802" s="3"/>
      <c r="E802" s="3"/>
      <c r="F802" s="3"/>
      <c r="G802" s="3"/>
      <c r="H802" s="4"/>
      <c r="I802" s="8"/>
      <c r="J802" s="8"/>
      <c r="K802" s="3"/>
      <c r="L802" s="3"/>
      <c r="M802" s="3"/>
      <c r="N802" s="3"/>
      <c r="O802" s="3"/>
      <c r="P802" s="3"/>
      <c r="Q802" s="3"/>
      <c r="R802" s="3"/>
      <c r="S802" s="3"/>
      <c r="T802" s="3"/>
      <c r="U802" s="3"/>
      <c r="V802" s="3"/>
      <c r="W802" s="3"/>
      <c r="X802" s="3"/>
      <c r="Y802" s="3"/>
      <c r="Z802" s="3"/>
      <c r="AA802" s="3"/>
      <c r="AB802" s="3"/>
      <c r="AC802" s="3"/>
      <c r="AD802" s="3"/>
      <c r="AE802" s="3"/>
    </row>
    <row r="803">
      <c r="A803" s="3"/>
      <c r="B803" s="3"/>
      <c r="C803" s="3"/>
      <c r="D803" s="3"/>
      <c r="E803" s="3"/>
      <c r="F803" s="3"/>
      <c r="G803" s="3"/>
      <c r="H803" s="4"/>
      <c r="I803" s="8"/>
      <c r="J803" s="8"/>
      <c r="K803" s="3"/>
      <c r="L803" s="3"/>
      <c r="M803" s="3"/>
      <c r="N803" s="3"/>
      <c r="O803" s="3"/>
      <c r="P803" s="3"/>
      <c r="Q803" s="3"/>
      <c r="R803" s="3"/>
      <c r="S803" s="3"/>
      <c r="T803" s="3"/>
      <c r="U803" s="3"/>
      <c r="V803" s="3"/>
      <c r="W803" s="3"/>
      <c r="X803" s="3"/>
      <c r="Y803" s="3"/>
      <c r="Z803" s="3"/>
      <c r="AA803" s="3"/>
      <c r="AB803" s="3"/>
      <c r="AC803" s="3"/>
      <c r="AD803" s="3"/>
      <c r="AE803" s="3"/>
    </row>
    <row r="804">
      <c r="A804" s="3"/>
      <c r="B804" s="3"/>
      <c r="C804" s="3"/>
      <c r="D804" s="3"/>
      <c r="E804" s="3"/>
      <c r="F804" s="3"/>
      <c r="G804" s="3"/>
      <c r="H804" s="4"/>
      <c r="I804" s="8"/>
      <c r="J804" s="8"/>
      <c r="K804" s="3"/>
      <c r="L804" s="3"/>
      <c r="M804" s="3"/>
      <c r="N804" s="3"/>
      <c r="O804" s="3"/>
      <c r="P804" s="3"/>
      <c r="Q804" s="3"/>
      <c r="R804" s="3"/>
      <c r="S804" s="3"/>
      <c r="T804" s="3"/>
      <c r="U804" s="3"/>
      <c r="V804" s="3"/>
      <c r="W804" s="3"/>
      <c r="X804" s="3"/>
      <c r="Y804" s="3"/>
      <c r="Z804" s="3"/>
      <c r="AA804" s="3"/>
      <c r="AB804" s="3"/>
      <c r="AC804" s="3"/>
      <c r="AD804" s="3"/>
      <c r="AE804" s="3"/>
    </row>
    <row r="805">
      <c r="A805" s="3"/>
      <c r="B805" s="3"/>
      <c r="C805" s="3"/>
      <c r="D805" s="3"/>
      <c r="E805" s="3"/>
      <c r="F805" s="3"/>
      <c r="G805" s="3"/>
      <c r="H805" s="4"/>
      <c r="I805" s="8"/>
      <c r="J805" s="8"/>
      <c r="K805" s="3"/>
      <c r="L805" s="3"/>
      <c r="M805" s="3"/>
      <c r="N805" s="3"/>
      <c r="O805" s="3"/>
      <c r="P805" s="3"/>
      <c r="Q805" s="3"/>
      <c r="R805" s="3"/>
      <c r="S805" s="3"/>
      <c r="T805" s="3"/>
      <c r="U805" s="3"/>
      <c r="V805" s="3"/>
      <c r="W805" s="3"/>
      <c r="X805" s="3"/>
      <c r="Y805" s="3"/>
      <c r="Z805" s="3"/>
      <c r="AA805" s="3"/>
      <c r="AB805" s="3"/>
      <c r="AC805" s="3"/>
      <c r="AD805" s="3"/>
      <c r="AE805" s="3"/>
    </row>
    <row r="806">
      <c r="A806" s="3"/>
      <c r="B806" s="3"/>
      <c r="C806" s="3"/>
      <c r="D806" s="3"/>
      <c r="E806" s="3"/>
      <c r="F806" s="3"/>
      <c r="G806" s="3"/>
      <c r="H806" s="4"/>
      <c r="I806" s="8"/>
      <c r="J806" s="8"/>
      <c r="K806" s="3"/>
      <c r="L806" s="3"/>
      <c r="M806" s="3"/>
      <c r="N806" s="3"/>
      <c r="O806" s="3"/>
      <c r="P806" s="3"/>
      <c r="Q806" s="3"/>
      <c r="R806" s="3"/>
      <c r="S806" s="3"/>
      <c r="T806" s="3"/>
      <c r="U806" s="3"/>
      <c r="V806" s="3"/>
      <c r="W806" s="3"/>
      <c r="X806" s="3"/>
      <c r="Y806" s="3"/>
      <c r="Z806" s="3"/>
      <c r="AA806" s="3"/>
      <c r="AB806" s="3"/>
      <c r="AC806" s="3"/>
      <c r="AD806" s="3"/>
      <c r="AE806" s="3"/>
    </row>
    <row r="807">
      <c r="A807" s="3"/>
      <c r="B807" s="3"/>
      <c r="C807" s="3"/>
      <c r="D807" s="3"/>
      <c r="E807" s="3"/>
      <c r="F807" s="3"/>
      <c r="G807" s="3"/>
      <c r="H807" s="4"/>
      <c r="I807" s="8"/>
      <c r="J807" s="8"/>
      <c r="K807" s="3"/>
      <c r="L807" s="3"/>
      <c r="M807" s="3"/>
      <c r="N807" s="3"/>
      <c r="O807" s="3"/>
      <c r="P807" s="3"/>
      <c r="Q807" s="3"/>
      <c r="R807" s="3"/>
      <c r="S807" s="3"/>
      <c r="T807" s="3"/>
      <c r="U807" s="3"/>
      <c r="V807" s="3"/>
      <c r="W807" s="3"/>
      <c r="X807" s="3"/>
      <c r="Y807" s="3"/>
      <c r="Z807" s="3"/>
      <c r="AA807" s="3"/>
      <c r="AB807" s="3"/>
      <c r="AC807" s="3"/>
      <c r="AD807" s="3"/>
      <c r="AE807" s="3"/>
    </row>
    <row r="808">
      <c r="A808" s="3"/>
      <c r="B808" s="3"/>
      <c r="C808" s="3"/>
      <c r="D808" s="3"/>
      <c r="E808" s="3"/>
      <c r="F808" s="3"/>
      <c r="G808" s="3"/>
      <c r="H808" s="4"/>
      <c r="I808" s="8"/>
      <c r="J808" s="8"/>
      <c r="K808" s="3"/>
      <c r="L808" s="3"/>
      <c r="M808" s="3"/>
      <c r="N808" s="3"/>
      <c r="O808" s="3"/>
      <c r="P808" s="3"/>
      <c r="Q808" s="3"/>
      <c r="R808" s="3"/>
      <c r="S808" s="3"/>
      <c r="T808" s="3"/>
      <c r="U808" s="3"/>
      <c r="V808" s="3"/>
      <c r="W808" s="3"/>
      <c r="X808" s="3"/>
      <c r="Y808" s="3"/>
      <c r="Z808" s="3"/>
      <c r="AA808" s="3"/>
      <c r="AB808" s="3"/>
      <c r="AC808" s="3"/>
      <c r="AD808" s="3"/>
      <c r="AE808" s="3"/>
    </row>
    <row r="809">
      <c r="A809" s="3"/>
      <c r="B809" s="3"/>
      <c r="C809" s="3"/>
      <c r="D809" s="3"/>
      <c r="E809" s="3"/>
      <c r="F809" s="3"/>
      <c r="G809" s="3"/>
      <c r="H809" s="4"/>
      <c r="I809" s="8"/>
      <c r="J809" s="8"/>
      <c r="K809" s="3"/>
      <c r="L809" s="3"/>
      <c r="M809" s="3"/>
      <c r="N809" s="3"/>
      <c r="O809" s="3"/>
      <c r="P809" s="3"/>
      <c r="Q809" s="3"/>
      <c r="R809" s="3"/>
      <c r="S809" s="3"/>
      <c r="T809" s="3"/>
      <c r="U809" s="3"/>
      <c r="V809" s="3"/>
      <c r="W809" s="3"/>
      <c r="X809" s="3"/>
      <c r="Y809" s="3"/>
      <c r="Z809" s="3"/>
      <c r="AA809" s="3"/>
      <c r="AB809" s="3"/>
      <c r="AC809" s="3"/>
      <c r="AD809" s="3"/>
      <c r="AE809" s="3"/>
    </row>
    <row r="810">
      <c r="A810" s="3"/>
      <c r="B810" s="3"/>
      <c r="C810" s="3"/>
      <c r="D810" s="3"/>
      <c r="E810" s="3"/>
      <c r="F810" s="3"/>
      <c r="G810" s="3"/>
      <c r="H810" s="4"/>
      <c r="I810" s="8"/>
      <c r="J810" s="8"/>
      <c r="K810" s="3"/>
      <c r="L810" s="3"/>
      <c r="M810" s="3"/>
      <c r="N810" s="3"/>
      <c r="O810" s="3"/>
      <c r="P810" s="3"/>
      <c r="Q810" s="3"/>
      <c r="R810" s="3"/>
      <c r="S810" s="3"/>
      <c r="T810" s="3"/>
      <c r="U810" s="3"/>
      <c r="V810" s="3"/>
      <c r="W810" s="3"/>
      <c r="X810" s="3"/>
      <c r="Y810" s="3"/>
      <c r="Z810" s="3"/>
      <c r="AA810" s="3"/>
      <c r="AB810" s="3"/>
      <c r="AC810" s="3"/>
      <c r="AD810" s="3"/>
      <c r="AE810" s="3"/>
    </row>
    <row r="811">
      <c r="A811" s="3"/>
      <c r="B811" s="3"/>
      <c r="C811" s="3"/>
      <c r="D811" s="3"/>
      <c r="E811" s="3"/>
      <c r="F811" s="3"/>
      <c r="G811" s="3"/>
      <c r="H811" s="4"/>
      <c r="I811" s="8"/>
      <c r="J811" s="8"/>
      <c r="K811" s="3"/>
      <c r="L811" s="3"/>
      <c r="M811" s="3"/>
      <c r="N811" s="3"/>
      <c r="O811" s="3"/>
      <c r="P811" s="3"/>
      <c r="Q811" s="3"/>
      <c r="R811" s="3"/>
      <c r="S811" s="3"/>
      <c r="T811" s="3"/>
      <c r="U811" s="3"/>
      <c r="V811" s="3"/>
      <c r="W811" s="3"/>
      <c r="X811" s="3"/>
      <c r="Y811" s="3"/>
      <c r="Z811" s="3"/>
      <c r="AA811" s="3"/>
      <c r="AB811" s="3"/>
      <c r="AC811" s="3"/>
      <c r="AD811" s="3"/>
      <c r="AE811" s="3"/>
    </row>
    <row r="812">
      <c r="A812" s="3"/>
      <c r="B812" s="3"/>
      <c r="C812" s="3"/>
      <c r="D812" s="3"/>
      <c r="E812" s="3"/>
      <c r="F812" s="3"/>
      <c r="G812" s="3"/>
      <c r="H812" s="4"/>
      <c r="I812" s="8"/>
      <c r="J812" s="8"/>
      <c r="K812" s="3"/>
      <c r="L812" s="3"/>
      <c r="M812" s="3"/>
      <c r="N812" s="3"/>
      <c r="O812" s="3"/>
      <c r="P812" s="3"/>
      <c r="Q812" s="3"/>
      <c r="R812" s="3"/>
      <c r="S812" s="3"/>
      <c r="T812" s="3"/>
      <c r="U812" s="3"/>
      <c r="V812" s="3"/>
      <c r="W812" s="3"/>
      <c r="X812" s="3"/>
      <c r="Y812" s="3"/>
      <c r="Z812" s="3"/>
      <c r="AA812" s="3"/>
      <c r="AB812" s="3"/>
      <c r="AC812" s="3"/>
      <c r="AD812" s="3"/>
      <c r="AE812" s="3"/>
    </row>
    <row r="813">
      <c r="A813" s="3"/>
      <c r="B813" s="3"/>
      <c r="C813" s="3"/>
      <c r="D813" s="3"/>
      <c r="E813" s="3"/>
      <c r="F813" s="3"/>
      <c r="G813" s="3"/>
      <c r="H813" s="4"/>
      <c r="I813" s="8"/>
      <c r="J813" s="8"/>
      <c r="K813" s="3"/>
      <c r="L813" s="3"/>
      <c r="M813" s="3"/>
      <c r="N813" s="3"/>
      <c r="O813" s="3"/>
      <c r="P813" s="3"/>
      <c r="Q813" s="3"/>
      <c r="R813" s="3"/>
      <c r="S813" s="3"/>
      <c r="T813" s="3"/>
      <c r="U813" s="3"/>
      <c r="V813" s="3"/>
      <c r="W813" s="3"/>
      <c r="X813" s="3"/>
      <c r="Y813" s="3"/>
      <c r="Z813" s="3"/>
      <c r="AA813" s="3"/>
      <c r="AB813" s="3"/>
      <c r="AC813" s="3"/>
      <c r="AD813" s="3"/>
      <c r="AE813" s="3"/>
    </row>
    <row r="814">
      <c r="A814" s="3"/>
      <c r="B814" s="3"/>
      <c r="C814" s="3"/>
      <c r="D814" s="3"/>
      <c r="E814" s="3"/>
      <c r="F814" s="3"/>
      <c r="G814" s="3"/>
      <c r="H814" s="4"/>
      <c r="I814" s="8"/>
      <c r="J814" s="8"/>
      <c r="K814" s="3"/>
      <c r="L814" s="3"/>
      <c r="M814" s="3"/>
      <c r="N814" s="3"/>
      <c r="O814" s="3"/>
      <c r="P814" s="3"/>
      <c r="Q814" s="3"/>
      <c r="R814" s="3"/>
      <c r="S814" s="3"/>
      <c r="T814" s="3"/>
      <c r="U814" s="3"/>
      <c r="V814" s="3"/>
      <c r="W814" s="3"/>
      <c r="X814" s="3"/>
      <c r="Y814" s="3"/>
      <c r="Z814" s="3"/>
      <c r="AA814" s="3"/>
      <c r="AB814" s="3"/>
      <c r="AC814" s="3"/>
      <c r="AD814" s="3"/>
      <c r="AE814" s="3"/>
    </row>
    <row r="815">
      <c r="A815" s="3"/>
      <c r="B815" s="3"/>
      <c r="C815" s="3"/>
      <c r="D815" s="3"/>
      <c r="E815" s="3"/>
      <c r="F815" s="3"/>
      <c r="G815" s="3"/>
      <c r="H815" s="4"/>
      <c r="I815" s="8"/>
      <c r="J815" s="8"/>
      <c r="K815" s="3"/>
      <c r="L815" s="3"/>
      <c r="M815" s="3"/>
      <c r="N815" s="3"/>
      <c r="O815" s="3"/>
      <c r="P815" s="3"/>
      <c r="Q815" s="3"/>
      <c r="R815" s="3"/>
      <c r="S815" s="3"/>
      <c r="T815" s="3"/>
      <c r="U815" s="3"/>
      <c r="V815" s="3"/>
      <c r="W815" s="3"/>
      <c r="X815" s="3"/>
      <c r="Y815" s="3"/>
      <c r="Z815" s="3"/>
      <c r="AA815" s="3"/>
      <c r="AB815" s="3"/>
      <c r="AC815" s="3"/>
      <c r="AD815" s="3"/>
      <c r="AE815" s="3"/>
    </row>
    <row r="816">
      <c r="A816" s="3"/>
      <c r="B816" s="3"/>
      <c r="C816" s="3"/>
      <c r="D816" s="3"/>
      <c r="E816" s="3"/>
      <c r="F816" s="3"/>
      <c r="G816" s="3"/>
      <c r="H816" s="4"/>
      <c r="I816" s="8"/>
      <c r="J816" s="8"/>
      <c r="K816" s="3"/>
      <c r="L816" s="3"/>
      <c r="M816" s="3"/>
      <c r="N816" s="3"/>
      <c r="O816" s="3"/>
      <c r="P816" s="3"/>
      <c r="Q816" s="3"/>
      <c r="R816" s="3"/>
      <c r="S816" s="3"/>
      <c r="T816" s="3"/>
      <c r="U816" s="3"/>
      <c r="V816" s="3"/>
      <c r="W816" s="3"/>
      <c r="X816" s="3"/>
      <c r="Y816" s="3"/>
      <c r="Z816" s="3"/>
      <c r="AA816" s="3"/>
      <c r="AB816" s="3"/>
      <c r="AC816" s="3"/>
      <c r="AD816" s="3"/>
      <c r="AE816" s="3"/>
    </row>
    <row r="817">
      <c r="A817" s="3"/>
      <c r="B817" s="3"/>
      <c r="C817" s="3"/>
      <c r="D817" s="3"/>
      <c r="E817" s="3"/>
      <c r="F817" s="3"/>
      <c r="G817" s="3"/>
      <c r="H817" s="4"/>
      <c r="I817" s="8"/>
      <c r="J817" s="8"/>
      <c r="K817" s="3"/>
      <c r="L817" s="3"/>
      <c r="M817" s="3"/>
      <c r="N817" s="3"/>
      <c r="O817" s="3"/>
      <c r="P817" s="3"/>
      <c r="Q817" s="3"/>
      <c r="R817" s="3"/>
      <c r="S817" s="3"/>
      <c r="T817" s="3"/>
      <c r="U817" s="3"/>
      <c r="V817" s="3"/>
      <c r="W817" s="3"/>
      <c r="X817" s="3"/>
      <c r="Y817" s="3"/>
      <c r="Z817" s="3"/>
      <c r="AA817" s="3"/>
      <c r="AB817" s="3"/>
      <c r="AC817" s="3"/>
      <c r="AD817" s="3"/>
      <c r="AE817" s="3"/>
    </row>
    <row r="818">
      <c r="A818" s="3"/>
      <c r="B818" s="3"/>
      <c r="C818" s="3"/>
      <c r="D818" s="3"/>
      <c r="E818" s="3"/>
      <c r="F818" s="3"/>
      <c r="G818" s="3"/>
      <c r="H818" s="4"/>
      <c r="I818" s="8"/>
      <c r="J818" s="8"/>
      <c r="K818" s="3"/>
      <c r="L818" s="3"/>
      <c r="M818" s="3"/>
      <c r="N818" s="3"/>
      <c r="O818" s="3"/>
      <c r="P818" s="3"/>
      <c r="Q818" s="3"/>
      <c r="R818" s="3"/>
      <c r="S818" s="3"/>
      <c r="T818" s="3"/>
      <c r="U818" s="3"/>
      <c r="V818" s="3"/>
      <c r="W818" s="3"/>
      <c r="X818" s="3"/>
      <c r="Y818" s="3"/>
      <c r="Z818" s="3"/>
      <c r="AA818" s="3"/>
      <c r="AB818" s="3"/>
      <c r="AC818" s="3"/>
      <c r="AD818" s="3"/>
      <c r="AE818" s="3"/>
    </row>
    <row r="819">
      <c r="A819" s="3"/>
      <c r="B819" s="3"/>
      <c r="C819" s="3"/>
      <c r="D819" s="3"/>
      <c r="E819" s="3"/>
      <c r="F819" s="3"/>
      <c r="G819" s="3"/>
      <c r="H819" s="4"/>
      <c r="I819" s="8"/>
      <c r="J819" s="8"/>
      <c r="K819" s="3"/>
      <c r="L819" s="3"/>
      <c r="M819" s="3"/>
      <c r="N819" s="3"/>
      <c r="O819" s="3"/>
      <c r="P819" s="3"/>
      <c r="Q819" s="3"/>
      <c r="R819" s="3"/>
      <c r="S819" s="3"/>
      <c r="T819" s="3"/>
      <c r="U819" s="3"/>
      <c r="V819" s="3"/>
      <c r="W819" s="3"/>
      <c r="X819" s="3"/>
      <c r="Y819" s="3"/>
      <c r="Z819" s="3"/>
      <c r="AA819" s="3"/>
      <c r="AB819" s="3"/>
      <c r="AC819" s="3"/>
      <c r="AD819" s="3"/>
      <c r="AE819" s="3"/>
    </row>
    <row r="820">
      <c r="A820" s="3"/>
      <c r="B820" s="3"/>
      <c r="C820" s="3"/>
      <c r="D820" s="3"/>
      <c r="E820" s="3"/>
      <c r="F820" s="3"/>
      <c r="G820" s="3"/>
      <c r="H820" s="4"/>
      <c r="I820" s="8"/>
      <c r="J820" s="8"/>
      <c r="K820" s="3"/>
      <c r="L820" s="3"/>
      <c r="M820" s="3"/>
      <c r="N820" s="3"/>
      <c r="O820" s="3"/>
      <c r="P820" s="3"/>
      <c r="Q820" s="3"/>
      <c r="R820" s="3"/>
      <c r="S820" s="3"/>
      <c r="T820" s="3"/>
      <c r="U820" s="3"/>
      <c r="V820" s="3"/>
      <c r="W820" s="3"/>
      <c r="X820" s="3"/>
      <c r="Y820" s="3"/>
      <c r="Z820" s="3"/>
      <c r="AA820" s="3"/>
      <c r="AB820" s="3"/>
      <c r="AC820" s="3"/>
      <c r="AD820" s="3"/>
      <c r="AE820" s="3"/>
    </row>
    <row r="821">
      <c r="A821" s="3"/>
      <c r="B821" s="3"/>
      <c r="C821" s="3"/>
      <c r="D821" s="3"/>
      <c r="E821" s="3"/>
      <c r="F821" s="3"/>
      <c r="G821" s="3"/>
      <c r="H821" s="4"/>
      <c r="I821" s="8"/>
      <c r="J821" s="8"/>
      <c r="K821" s="3"/>
      <c r="L821" s="3"/>
      <c r="M821" s="3"/>
      <c r="N821" s="3"/>
      <c r="O821" s="3"/>
      <c r="P821" s="3"/>
      <c r="Q821" s="3"/>
      <c r="R821" s="3"/>
      <c r="S821" s="3"/>
      <c r="T821" s="3"/>
      <c r="U821" s="3"/>
      <c r="V821" s="3"/>
      <c r="W821" s="3"/>
      <c r="X821" s="3"/>
      <c r="Y821" s="3"/>
      <c r="Z821" s="3"/>
      <c r="AA821" s="3"/>
      <c r="AB821" s="3"/>
      <c r="AC821" s="3"/>
      <c r="AD821" s="3"/>
      <c r="AE821" s="3"/>
    </row>
    <row r="822">
      <c r="A822" s="3"/>
      <c r="B822" s="3"/>
      <c r="C822" s="3"/>
      <c r="D822" s="3"/>
      <c r="E822" s="3"/>
      <c r="F822" s="3"/>
      <c r="G822" s="3"/>
      <c r="H822" s="4"/>
      <c r="I822" s="8"/>
      <c r="J822" s="8"/>
      <c r="K822" s="3"/>
      <c r="L822" s="3"/>
      <c r="M822" s="3"/>
      <c r="N822" s="3"/>
      <c r="O822" s="3"/>
      <c r="P822" s="3"/>
      <c r="Q822" s="3"/>
      <c r="R822" s="3"/>
      <c r="S822" s="3"/>
      <c r="T822" s="3"/>
      <c r="U822" s="3"/>
      <c r="V822" s="3"/>
      <c r="W822" s="3"/>
      <c r="X822" s="3"/>
      <c r="Y822" s="3"/>
      <c r="Z822" s="3"/>
      <c r="AA822" s="3"/>
      <c r="AB822" s="3"/>
      <c r="AC822" s="3"/>
      <c r="AD822" s="3"/>
      <c r="AE822" s="3"/>
    </row>
    <row r="823">
      <c r="A823" s="3"/>
      <c r="B823" s="3"/>
      <c r="C823" s="3"/>
      <c r="D823" s="3"/>
      <c r="E823" s="3"/>
      <c r="F823" s="3"/>
      <c r="G823" s="3"/>
      <c r="H823" s="4"/>
      <c r="I823" s="8"/>
      <c r="J823" s="8"/>
      <c r="K823" s="3"/>
      <c r="L823" s="3"/>
      <c r="M823" s="3"/>
      <c r="N823" s="3"/>
      <c r="O823" s="3"/>
      <c r="P823" s="3"/>
      <c r="Q823" s="3"/>
      <c r="R823" s="3"/>
      <c r="S823" s="3"/>
      <c r="T823" s="3"/>
      <c r="U823" s="3"/>
      <c r="V823" s="3"/>
      <c r="W823" s="3"/>
      <c r="X823" s="3"/>
      <c r="Y823" s="3"/>
      <c r="Z823" s="3"/>
      <c r="AA823" s="3"/>
      <c r="AB823" s="3"/>
      <c r="AC823" s="3"/>
      <c r="AD823" s="3"/>
      <c r="AE823" s="3"/>
    </row>
    <row r="824">
      <c r="A824" s="3"/>
      <c r="B824" s="3"/>
      <c r="C824" s="3"/>
      <c r="D824" s="3"/>
      <c r="E824" s="3"/>
      <c r="F824" s="3"/>
      <c r="G824" s="3"/>
      <c r="H824" s="4"/>
      <c r="I824" s="8"/>
      <c r="J824" s="8"/>
      <c r="K824" s="3"/>
      <c r="L824" s="3"/>
      <c r="M824" s="3"/>
      <c r="N824" s="3"/>
      <c r="O824" s="3"/>
      <c r="P824" s="3"/>
      <c r="Q824" s="3"/>
      <c r="R824" s="3"/>
      <c r="S824" s="3"/>
      <c r="T824" s="3"/>
      <c r="U824" s="3"/>
      <c r="V824" s="3"/>
      <c r="W824" s="3"/>
      <c r="X824" s="3"/>
      <c r="Y824" s="3"/>
      <c r="Z824" s="3"/>
      <c r="AA824" s="3"/>
      <c r="AB824" s="3"/>
      <c r="AC824" s="3"/>
      <c r="AD824" s="3"/>
      <c r="AE824" s="3"/>
    </row>
    <row r="825">
      <c r="A825" s="3"/>
      <c r="B825" s="3"/>
      <c r="C825" s="3"/>
      <c r="D825" s="3"/>
      <c r="E825" s="3"/>
      <c r="F825" s="3"/>
      <c r="G825" s="3"/>
      <c r="H825" s="4"/>
      <c r="I825" s="8"/>
      <c r="J825" s="8"/>
      <c r="K825" s="3"/>
      <c r="L825" s="3"/>
      <c r="M825" s="3"/>
      <c r="N825" s="3"/>
      <c r="O825" s="3"/>
      <c r="P825" s="3"/>
      <c r="Q825" s="3"/>
      <c r="R825" s="3"/>
      <c r="S825" s="3"/>
      <c r="T825" s="3"/>
      <c r="U825" s="3"/>
      <c r="V825" s="3"/>
      <c r="W825" s="3"/>
      <c r="X825" s="3"/>
      <c r="Y825" s="3"/>
      <c r="Z825" s="3"/>
      <c r="AA825" s="3"/>
      <c r="AB825" s="3"/>
      <c r="AC825" s="3"/>
      <c r="AD825" s="3"/>
      <c r="AE825" s="3"/>
    </row>
    <row r="826">
      <c r="A826" s="3"/>
      <c r="B826" s="3"/>
      <c r="C826" s="3"/>
      <c r="D826" s="3"/>
      <c r="E826" s="3"/>
      <c r="F826" s="3"/>
      <c r="G826" s="3"/>
      <c r="H826" s="4"/>
      <c r="I826" s="8"/>
      <c r="J826" s="8"/>
      <c r="K826" s="3"/>
      <c r="L826" s="3"/>
      <c r="M826" s="3"/>
      <c r="N826" s="3"/>
      <c r="O826" s="3"/>
      <c r="P826" s="3"/>
      <c r="Q826" s="3"/>
      <c r="R826" s="3"/>
      <c r="S826" s="3"/>
      <c r="T826" s="3"/>
      <c r="U826" s="3"/>
      <c r="V826" s="3"/>
      <c r="W826" s="3"/>
      <c r="X826" s="3"/>
      <c r="Y826" s="3"/>
      <c r="Z826" s="3"/>
      <c r="AA826" s="3"/>
      <c r="AB826" s="3"/>
      <c r="AC826" s="3"/>
      <c r="AD826" s="3"/>
      <c r="AE826" s="3"/>
    </row>
    <row r="827">
      <c r="A827" s="3"/>
      <c r="B827" s="3"/>
      <c r="C827" s="3"/>
      <c r="D827" s="3"/>
      <c r="E827" s="3"/>
      <c r="F827" s="3"/>
      <c r="G827" s="3"/>
      <c r="H827" s="4"/>
      <c r="I827" s="8"/>
      <c r="J827" s="8"/>
      <c r="K827" s="3"/>
      <c r="L827" s="3"/>
      <c r="M827" s="3"/>
      <c r="N827" s="3"/>
      <c r="O827" s="3"/>
      <c r="P827" s="3"/>
      <c r="Q827" s="3"/>
      <c r="R827" s="3"/>
      <c r="S827" s="3"/>
      <c r="T827" s="3"/>
      <c r="U827" s="3"/>
      <c r="V827" s="3"/>
      <c r="W827" s="3"/>
      <c r="X827" s="3"/>
      <c r="Y827" s="3"/>
      <c r="Z827" s="3"/>
      <c r="AA827" s="3"/>
      <c r="AB827" s="3"/>
      <c r="AC827" s="3"/>
      <c r="AD827" s="3"/>
      <c r="AE827" s="3"/>
    </row>
    <row r="828">
      <c r="A828" s="3"/>
      <c r="B828" s="3"/>
      <c r="C828" s="3"/>
      <c r="D828" s="3"/>
      <c r="E828" s="3"/>
      <c r="F828" s="3"/>
      <c r="G828" s="3"/>
      <c r="H828" s="4"/>
      <c r="I828" s="8"/>
      <c r="J828" s="8"/>
      <c r="K828" s="3"/>
      <c r="L828" s="3"/>
      <c r="M828" s="3"/>
      <c r="N828" s="3"/>
      <c r="O828" s="3"/>
      <c r="P828" s="3"/>
      <c r="Q828" s="3"/>
      <c r="R828" s="3"/>
      <c r="S828" s="3"/>
      <c r="T828" s="3"/>
      <c r="U828" s="3"/>
      <c r="V828" s="3"/>
      <c r="W828" s="3"/>
      <c r="X828" s="3"/>
      <c r="Y828" s="3"/>
      <c r="Z828" s="3"/>
      <c r="AA828" s="3"/>
      <c r="AB828" s="3"/>
      <c r="AC828" s="3"/>
      <c r="AD828" s="3"/>
      <c r="AE828" s="3"/>
    </row>
    <row r="829">
      <c r="A829" s="3"/>
      <c r="B829" s="3"/>
      <c r="C829" s="3"/>
      <c r="D829" s="3"/>
      <c r="E829" s="3"/>
      <c r="F829" s="3"/>
      <c r="G829" s="3"/>
      <c r="H829" s="4"/>
      <c r="I829" s="8"/>
      <c r="J829" s="8"/>
      <c r="K829" s="3"/>
      <c r="L829" s="3"/>
      <c r="M829" s="3"/>
      <c r="N829" s="3"/>
      <c r="O829" s="3"/>
      <c r="P829" s="3"/>
      <c r="Q829" s="3"/>
      <c r="R829" s="3"/>
      <c r="S829" s="3"/>
      <c r="T829" s="3"/>
      <c r="U829" s="3"/>
      <c r="V829" s="3"/>
      <c r="W829" s="3"/>
      <c r="X829" s="3"/>
      <c r="Y829" s="3"/>
      <c r="Z829" s="3"/>
      <c r="AA829" s="3"/>
      <c r="AB829" s="3"/>
      <c r="AC829" s="3"/>
      <c r="AD829" s="3"/>
      <c r="AE829" s="3"/>
    </row>
    <row r="830">
      <c r="A830" s="3"/>
      <c r="B830" s="3"/>
      <c r="C830" s="3"/>
      <c r="D830" s="3"/>
      <c r="E830" s="3"/>
      <c r="F830" s="3"/>
      <c r="G830" s="3"/>
      <c r="H830" s="4"/>
      <c r="I830" s="8"/>
      <c r="J830" s="8"/>
      <c r="K830" s="3"/>
      <c r="L830" s="3"/>
      <c r="M830" s="3"/>
      <c r="N830" s="3"/>
      <c r="O830" s="3"/>
      <c r="P830" s="3"/>
      <c r="Q830" s="3"/>
      <c r="R830" s="3"/>
      <c r="S830" s="3"/>
      <c r="T830" s="3"/>
      <c r="U830" s="3"/>
      <c r="V830" s="3"/>
      <c r="W830" s="3"/>
      <c r="X830" s="3"/>
      <c r="Y830" s="3"/>
      <c r="Z830" s="3"/>
      <c r="AA830" s="3"/>
      <c r="AB830" s="3"/>
      <c r="AC830" s="3"/>
      <c r="AD830" s="3"/>
      <c r="AE830" s="3"/>
    </row>
    <row r="831">
      <c r="A831" s="3"/>
      <c r="B831" s="3"/>
      <c r="C831" s="3"/>
      <c r="D831" s="3"/>
      <c r="E831" s="3"/>
      <c r="F831" s="3"/>
      <c r="G831" s="3"/>
      <c r="H831" s="4"/>
      <c r="I831" s="8"/>
      <c r="J831" s="8"/>
      <c r="K831" s="3"/>
      <c r="L831" s="3"/>
      <c r="M831" s="3"/>
      <c r="N831" s="3"/>
      <c r="O831" s="3"/>
      <c r="P831" s="3"/>
      <c r="Q831" s="3"/>
      <c r="R831" s="3"/>
      <c r="S831" s="3"/>
      <c r="T831" s="3"/>
      <c r="U831" s="3"/>
      <c r="V831" s="3"/>
      <c r="W831" s="3"/>
      <c r="X831" s="3"/>
      <c r="Y831" s="3"/>
      <c r="Z831" s="3"/>
      <c r="AA831" s="3"/>
      <c r="AB831" s="3"/>
      <c r="AC831" s="3"/>
      <c r="AD831" s="3"/>
      <c r="AE831" s="3"/>
    </row>
    <row r="832">
      <c r="A832" s="3"/>
      <c r="B832" s="3"/>
      <c r="C832" s="3"/>
      <c r="D832" s="3"/>
      <c r="E832" s="3"/>
      <c r="F832" s="3"/>
      <c r="G832" s="3"/>
      <c r="H832" s="4"/>
      <c r="I832" s="8"/>
      <c r="J832" s="8"/>
      <c r="K832" s="3"/>
      <c r="L832" s="3"/>
      <c r="M832" s="3"/>
      <c r="N832" s="3"/>
      <c r="O832" s="3"/>
      <c r="P832" s="3"/>
      <c r="Q832" s="3"/>
      <c r="R832" s="3"/>
      <c r="S832" s="3"/>
      <c r="T832" s="3"/>
      <c r="U832" s="3"/>
      <c r="V832" s="3"/>
      <c r="W832" s="3"/>
      <c r="X832" s="3"/>
      <c r="Y832" s="3"/>
      <c r="Z832" s="3"/>
      <c r="AA832" s="3"/>
      <c r="AB832" s="3"/>
      <c r="AC832" s="3"/>
      <c r="AD832" s="3"/>
      <c r="AE832" s="3"/>
    </row>
    <row r="833">
      <c r="A833" s="3"/>
      <c r="B833" s="3"/>
      <c r="C833" s="3"/>
      <c r="D833" s="3"/>
      <c r="E833" s="3"/>
      <c r="F833" s="3"/>
      <c r="G833" s="3"/>
      <c r="H833" s="4"/>
      <c r="I833" s="8"/>
      <c r="J833" s="8"/>
      <c r="K833" s="3"/>
      <c r="L833" s="3"/>
      <c r="M833" s="3"/>
      <c r="N833" s="3"/>
      <c r="O833" s="3"/>
      <c r="P833" s="3"/>
      <c r="Q833" s="3"/>
      <c r="R833" s="3"/>
      <c r="S833" s="3"/>
      <c r="T833" s="3"/>
      <c r="U833" s="3"/>
      <c r="V833" s="3"/>
      <c r="W833" s="3"/>
      <c r="X833" s="3"/>
      <c r="Y833" s="3"/>
      <c r="Z833" s="3"/>
      <c r="AA833" s="3"/>
      <c r="AB833" s="3"/>
      <c r="AC833" s="3"/>
      <c r="AD833" s="3"/>
      <c r="AE833" s="3"/>
    </row>
    <row r="834">
      <c r="A834" s="3"/>
      <c r="B834" s="3"/>
      <c r="C834" s="3"/>
      <c r="D834" s="3"/>
      <c r="E834" s="3"/>
      <c r="F834" s="3"/>
      <c r="G834" s="3"/>
      <c r="H834" s="4"/>
      <c r="I834" s="8"/>
      <c r="J834" s="8"/>
      <c r="K834" s="3"/>
      <c r="L834" s="3"/>
      <c r="M834" s="3"/>
      <c r="N834" s="3"/>
      <c r="O834" s="3"/>
      <c r="P834" s="3"/>
      <c r="Q834" s="3"/>
      <c r="R834" s="3"/>
      <c r="S834" s="3"/>
      <c r="T834" s="3"/>
      <c r="U834" s="3"/>
      <c r="V834" s="3"/>
      <c r="W834" s="3"/>
      <c r="X834" s="3"/>
      <c r="Y834" s="3"/>
      <c r="Z834" s="3"/>
      <c r="AA834" s="3"/>
      <c r="AB834" s="3"/>
      <c r="AC834" s="3"/>
      <c r="AD834" s="3"/>
      <c r="AE834" s="3"/>
    </row>
    <row r="835">
      <c r="A835" s="3"/>
      <c r="B835" s="3"/>
      <c r="C835" s="3"/>
      <c r="D835" s="3"/>
      <c r="E835" s="3"/>
      <c r="F835" s="3"/>
      <c r="G835" s="3"/>
      <c r="H835" s="4"/>
      <c r="I835" s="8"/>
      <c r="J835" s="8"/>
      <c r="K835" s="3"/>
      <c r="L835" s="3"/>
      <c r="M835" s="3"/>
      <c r="N835" s="3"/>
      <c r="O835" s="3"/>
      <c r="P835" s="3"/>
      <c r="Q835" s="3"/>
      <c r="R835" s="3"/>
      <c r="S835" s="3"/>
      <c r="T835" s="3"/>
      <c r="U835" s="3"/>
      <c r="V835" s="3"/>
      <c r="W835" s="3"/>
      <c r="X835" s="3"/>
      <c r="Y835" s="3"/>
      <c r="Z835" s="3"/>
      <c r="AA835" s="3"/>
      <c r="AB835" s="3"/>
      <c r="AC835" s="3"/>
      <c r="AD835" s="3"/>
      <c r="AE835" s="3"/>
    </row>
    <row r="836">
      <c r="A836" s="3"/>
      <c r="B836" s="3"/>
      <c r="C836" s="3"/>
      <c r="D836" s="3"/>
      <c r="E836" s="3"/>
      <c r="F836" s="3"/>
      <c r="G836" s="3"/>
      <c r="H836" s="4"/>
      <c r="I836" s="8"/>
      <c r="J836" s="8"/>
      <c r="K836" s="3"/>
      <c r="L836" s="3"/>
      <c r="M836" s="3"/>
      <c r="N836" s="3"/>
      <c r="O836" s="3"/>
      <c r="P836" s="3"/>
      <c r="Q836" s="3"/>
      <c r="R836" s="3"/>
      <c r="S836" s="3"/>
      <c r="T836" s="3"/>
      <c r="U836" s="3"/>
      <c r="V836" s="3"/>
      <c r="W836" s="3"/>
      <c r="X836" s="3"/>
      <c r="Y836" s="3"/>
      <c r="Z836" s="3"/>
      <c r="AA836" s="3"/>
      <c r="AB836" s="3"/>
      <c r="AC836" s="3"/>
      <c r="AD836" s="3"/>
      <c r="AE836" s="3"/>
    </row>
    <row r="837">
      <c r="A837" s="3"/>
      <c r="B837" s="3"/>
      <c r="C837" s="3"/>
      <c r="D837" s="3"/>
      <c r="E837" s="3"/>
      <c r="F837" s="3"/>
      <c r="G837" s="3"/>
      <c r="H837" s="4"/>
      <c r="I837" s="8"/>
      <c r="J837" s="8"/>
      <c r="K837" s="3"/>
      <c r="L837" s="3"/>
      <c r="M837" s="3"/>
      <c r="N837" s="3"/>
      <c r="O837" s="3"/>
      <c r="P837" s="3"/>
      <c r="Q837" s="3"/>
      <c r="R837" s="3"/>
      <c r="S837" s="3"/>
      <c r="T837" s="3"/>
      <c r="U837" s="3"/>
      <c r="V837" s="3"/>
      <c r="W837" s="3"/>
      <c r="X837" s="3"/>
      <c r="Y837" s="3"/>
      <c r="Z837" s="3"/>
      <c r="AA837" s="3"/>
      <c r="AB837" s="3"/>
      <c r="AC837" s="3"/>
      <c r="AD837" s="3"/>
      <c r="AE837" s="3"/>
    </row>
    <row r="838">
      <c r="A838" s="3"/>
      <c r="B838" s="3"/>
      <c r="C838" s="3"/>
      <c r="D838" s="3"/>
      <c r="E838" s="3"/>
      <c r="F838" s="3"/>
      <c r="G838" s="3"/>
      <c r="H838" s="4"/>
      <c r="I838" s="8"/>
      <c r="J838" s="8"/>
      <c r="K838" s="3"/>
      <c r="L838" s="3"/>
      <c r="M838" s="3"/>
      <c r="N838" s="3"/>
      <c r="O838" s="3"/>
      <c r="P838" s="3"/>
      <c r="Q838" s="3"/>
      <c r="R838" s="3"/>
      <c r="S838" s="3"/>
      <c r="T838" s="3"/>
      <c r="U838" s="3"/>
      <c r="V838" s="3"/>
      <c r="W838" s="3"/>
      <c r="X838" s="3"/>
      <c r="Y838" s="3"/>
      <c r="Z838" s="3"/>
      <c r="AA838" s="3"/>
      <c r="AB838" s="3"/>
      <c r="AC838" s="3"/>
      <c r="AD838" s="3"/>
      <c r="AE838" s="3"/>
    </row>
    <row r="839">
      <c r="A839" s="3"/>
      <c r="B839" s="3"/>
      <c r="C839" s="3"/>
      <c r="D839" s="3"/>
      <c r="E839" s="3"/>
      <c r="F839" s="3"/>
      <c r="G839" s="3"/>
      <c r="H839" s="4"/>
      <c r="I839" s="8"/>
      <c r="J839" s="8"/>
      <c r="K839" s="3"/>
      <c r="L839" s="3"/>
      <c r="M839" s="3"/>
      <c r="N839" s="3"/>
      <c r="O839" s="3"/>
      <c r="P839" s="3"/>
      <c r="Q839" s="3"/>
      <c r="R839" s="3"/>
      <c r="S839" s="3"/>
      <c r="T839" s="3"/>
      <c r="U839" s="3"/>
      <c r="V839" s="3"/>
      <c r="W839" s="3"/>
      <c r="X839" s="3"/>
      <c r="Y839" s="3"/>
      <c r="Z839" s="3"/>
      <c r="AA839" s="3"/>
      <c r="AB839" s="3"/>
      <c r="AC839" s="3"/>
      <c r="AD839" s="3"/>
      <c r="AE839" s="3"/>
    </row>
    <row r="840">
      <c r="A840" s="3"/>
      <c r="B840" s="3"/>
      <c r="C840" s="3"/>
      <c r="D840" s="3"/>
      <c r="E840" s="3"/>
      <c r="F840" s="3"/>
      <c r="G840" s="3"/>
      <c r="H840" s="4"/>
      <c r="I840" s="8"/>
      <c r="J840" s="8"/>
      <c r="K840" s="3"/>
      <c r="L840" s="3"/>
      <c r="M840" s="3"/>
      <c r="N840" s="3"/>
      <c r="O840" s="3"/>
      <c r="P840" s="3"/>
      <c r="Q840" s="3"/>
      <c r="R840" s="3"/>
      <c r="S840" s="3"/>
      <c r="T840" s="3"/>
      <c r="U840" s="3"/>
      <c r="V840" s="3"/>
      <c r="W840" s="3"/>
      <c r="X840" s="3"/>
      <c r="Y840" s="3"/>
      <c r="Z840" s="3"/>
      <c r="AA840" s="3"/>
      <c r="AB840" s="3"/>
      <c r="AC840" s="3"/>
      <c r="AD840" s="3"/>
      <c r="AE840" s="3"/>
    </row>
    <row r="841">
      <c r="A841" s="3"/>
      <c r="B841" s="3"/>
      <c r="C841" s="3"/>
      <c r="D841" s="3"/>
      <c r="E841" s="3"/>
      <c r="F841" s="3"/>
      <c r="G841" s="3"/>
      <c r="H841" s="4"/>
      <c r="I841" s="8"/>
      <c r="J841" s="8"/>
      <c r="K841" s="3"/>
      <c r="L841" s="3"/>
      <c r="M841" s="3"/>
      <c r="N841" s="3"/>
      <c r="O841" s="3"/>
      <c r="P841" s="3"/>
      <c r="Q841" s="3"/>
      <c r="R841" s="3"/>
      <c r="S841" s="3"/>
      <c r="T841" s="3"/>
      <c r="U841" s="3"/>
      <c r="V841" s="3"/>
      <c r="W841" s="3"/>
      <c r="X841" s="3"/>
      <c r="Y841" s="3"/>
      <c r="Z841" s="3"/>
      <c r="AA841" s="3"/>
      <c r="AB841" s="3"/>
      <c r="AC841" s="3"/>
      <c r="AD841" s="3"/>
      <c r="AE841" s="3"/>
    </row>
    <row r="842">
      <c r="A842" s="3"/>
      <c r="B842" s="3"/>
      <c r="C842" s="3"/>
      <c r="D842" s="3"/>
      <c r="E842" s="3"/>
      <c r="F842" s="3"/>
      <c r="G842" s="3"/>
      <c r="H842" s="4"/>
      <c r="I842" s="8"/>
      <c r="J842" s="8"/>
      <c r="K842" s="3"/>
      <c r="L842" s="3"/>
      <c r="M842" s="3"/>
      <c r="N842" s="3"/>
      <c r="O842" s="3"/>
      <c r="P842" s="3"/>
      <c r="Q842" s="3"/>
      <c r="R842" s="3"/>
      <c r="S842" s="3"/>
      <c r="T842" s="3"/>
      <c r="U842" s="3"/>
      <c r="V842" s="3"/>
      <c r="W842" s="3"/>
      <c r="X842" s="3"/>
      <c r="Y842" s="3"/>
      <c r="Z842" s="3"/>
      <c r="AA842" s="3"/>
      <c r="AB842" s="3"/>
      <c r="AC842" s="3"/>
      <c r="AD842" s="3"/>
      <c r="AE842" s="3"/>
    </row>
    <row r="843">
      <c r="A843" s="3"/>
      <c r="B843" s="3"/>
      <c r="C843" s="3"/>
      <c r="D843" s="3"/>
      <c r="E843" s="3"/>
      <c r="F843" s="3"/>
      <c r="G843" s="3"/>
      <c r="H843" s="4"/>
      <c r="I843" s="8"/>
      <c r="J843" s="8"/>
      <c r="K843" s="3"/>
      <c r="L843" s="3"/>
      <c r="M843" s="3"/>
      <c r="N843" s="3"/>
      <c r="O843" s="3"/>
      <c r="P843" s="3"/>
      <c r="Q843" s="3"/>
      <c r="R843" s="3"/>
      <c r="S843" s="3"/>
      <c r="T843" s="3"/>
      <c r="U843" s="3"/>
      <c r="V843" s="3"/>
      <c r="W843" s="3"/>
      <c r="X843" s="3"/>
      <c r="Y843" s="3"/>
      <c r="Z843" s="3"/>
      <c r="AA843" s="3"/>
      <c r="AB843" s="3"/>
      <c r="AC843" s="3"/>
      <c r="AD843" s="3"/>
      <c r="AE843" s="3"/>
    </row>
    <row r="844">
      <c r="A844" s="3"/>
      <c r="B844" s="3"/>
      <c r="C844" s="3"/>
      <c r="D844" s="3"/>
      <c r="E844" s="3"/>
      <c r="F844" s="3"/>
      <c r="G844" s="3"/>
      <c r="H844" s="4"/>
      <c r="I844" s="8"/>
      <c r="J844" s="8"/>
      <c r="K844" s="3"/>
      <c r="L844" s="3"/>
      <c r="M844" s="3"/>
      <c r="N844" s="3"/>
      <c r="O844" s="3"/>
      <c r="P844" s="3"/>
      <c r="Q844" s="3"/>
      <c r="R844" s="3"/>
      <c r="S844" s="3"/>
      <c r="T844" s="3"/>
      <c r="U844" s="3"/>
      <c r="V844" s="3"/>
      <c r="W844" s="3"/>
      <c r="X844" s="3"/>
      <c r="Y844" s="3"/>
      <c r="Z844" s="3"/>
      <c r="AA844" s="3"/>
      <c r="AB844" s="3"/>
      <c r="AC844" s="3"/>
      <c r="AD844" s="3"/>
      <c r="AE844" s="3"/>
    </row>
    <row r="845">
      <c r="A845" s="3"/>
      <c r="B845" s="3"/>
      <c r="C845" s="3"/>
      <c r="D845" s="3"/>
      <c r="E845" s="3"/>
      <c r="F845" s="3"/>
      <c r="G845" s="3"/>
      <c r="H845" s="4"/>
      <c r="I845" s="8"/>
      <c r="J845" s="8"/>
      <c r="K845" s="3"/>
      <c r="L845" s="3"/>
      <c r="M845" s="3"/>
      <c r="N845" s="3"/>
      <c r="O845" s="3"/>
      <c r="P845" s="3"/>
      <c r="Q845" s="3"/>
      <c r="R845" s="3"/>
      <c r="S845" s="3"/>
      <c r="T845" s="3"/>
      <c r="U845" s="3"/>
      <c r="V845" s="3"/>
      <c r="W845" s="3"/>
      <c r="X845" s="3"/>
      <c r="Y845" s="3"/>
      <c r="Z845" s="3"/>
      <c r="AA845" s="3"/>
      <c r="AB845" s="3"/>
      <c r="AC845" s="3"/>
      <c r="AD845" s="3"/>
      <c r="AE845" s="3"/>
    </row>
    <row r="846">
      <c r="A846" s="3"/>
      <c r="B846" s="3"/>
      <c r="C846" s="3"/>
      <c r="D846" s="3"/>
      <c r="E846" s="3"/>
      <c r="F846" s="3"/>
      <c r="G846" s="3"/>
      <c r="H846" s="4"/>
      <c r="I846" s="8"/>
      <c r="J846" s="8"/>
      <c r="K846" s="3"/>
      <c r="L846" s="3"/>
      <c r="M846" s="3"/>
      <c r="N846" s="3"/>
      <c r="O846" s="3"/>
      <c r="P846" s="3"/>
      <c r="Q846" s="3"/>
      <c r="R846" s="3"/>
      <c r="S846" s="3"/>
      <c r="T846" s="3"/>
      <c r="U846" s="3"/>
      <c r="V846" s="3"/>
      <c r="W846" s="3"/>
      <c r="X846" s="3"/>
      <c r="Y846" s="3"/>
      <c r="Z846" s="3"/>
      <c r="AA846" s="3"/>
      <c r="AB846" s="3"/>
      <c r="AC846" s="3"/>
      <c r="AD846" s="3"/>
      <c r="AE846" s="3"/>
    </row>
    <row r="847">
      <c r="A847" s="3"/>
      <c r="B847" s="3"/>
      <c r="C847" s="3"/>
      <c r="D847" s="3"/>
      <c r="E847" s="3"/>
      <c r="F847" s="3"/>
      <c r="G847" s="3"/>
      <c r="H847" s="4"/>
      <c r="I847" s="8"/>
      <c r="J847" s="8"/>
      <c r="K847" s="3"/>
      <c r="L847" s="3"/>
      <c r="M847" s="3"/>
      <c r="N847" s="3"/>
      <c r="O847" s="3"/>
      <c r="P847" s="3"/>
      <c r="Q847" s="3"/>
      <c r="R847" s="3"/>
      <c r="S847" s="3"/>
      <c r="T847" s="3"/>
      <c r="U847" s="3"/>
      <c r="V847" s="3"/>
      <c r="W847" s="3"/>
      <c r="X847" s="3"/>
      <c r="Y847" s="3"/>
      <c r="Z847" s="3"/>
      <c r="AA847" s="3"/>
      <c r="AB847" s="3"/>
      <c r="AC847" s="3"/>
      <c r="AD847" s="3"/>
      <c r="AE847" s="3"/>
    </row>
    <row r="848">
      <c r="A848" s="3"/>
      <c r="B848" s="3"/>
      <c r="C848" s="3"/>
      <c r="D848" s="3"/>
      <c r="E848" s="3"/>
      <c r="F848" s="3"/>
      <c r="G848" s="3"/>
      <c r="H848" s="4"/>
      <c r="I848" s="8"/>
      <c r="J848" s="8"/>
      <c r="K848" s="3"/>
      <c r="L848" s="3"/>
      <c r="M848" s="3"/>
      <c r="N848" s="3"/>
      <c r="O848" s="3"/>
      <c r="P848" s="3"/>
      <c r="Q848" s="3"/>
      <c r="R848" s="3"/>
      <c r="S848" s="3"/>
      <c r="T848" s="3"/>
      <c r="U848" s="3"/>
      <c r="V848" s="3"/>
      <c r="W848" s="3"/>
      <c r="X848" s="3"/>
      <c r="Y848" s="3"/>
      <c r="Z848" s="3"/>
      <c r="AA848" s="3"/>
      <c r="AB848" s="3"/>
      <c r="AC848" s="3"/>
      <c r="AD848" s="3"/>
      <c r="AE848" s="3"/>
    </row>
    <row r="849">
      <c r="A849" s="3"/>
      <c r="B849" s="3"/>
      <c r="C849" s="3"/>
      <c r="D849" s="3"/>
      <c r="E849" s="3"/>
      <c r="F849" s="3"/>
      <c r="G849" s="3"/>
      <c r="H849" s="4"/>
      <c r="I849" s="8"/>
      <c r="J849" s="8"/>
      <c r="K849" s="3"/>
      <c r="L849" s="3"/>
      <c r="M849" s="3"/>
      <c r="N849" s="3"/>
      <c r="O849" s="3"/>
      <c r="P849" s="3"/>
      <c r="Q849" s="3"/>
      <c r="R849" s="3"/>
      <c r="S849" s="3"/>
      <c r="T849" s="3"/>
      <c r="U849" s="3"/>
      <c r="V849" s="3"/>
      <c r="W849" s="3"/>
      <c r="X849" s="3"/>
      <c r="Y849" s="3"/>
      <c r="Z849" s="3"/>
      <c r="AA849" s="3"/>
      <c r="AB849" s="3"/>
      <c r="AC849" s="3"/>
      <c r="AD849" s="3"/>
      <c r="AE849" s="3"/>
    </row>
    <row r="850">
      <c r="A850" s="3"/>
      <c r="B850" s="3"/>
      <c r="C850" s="3"/>
      <c r="D850" s="3"/>
      <c r="E850" s="3"/>
      <c r="F850" s="3"/>
      <c r="G850" s="3"/>
      <c r="H850" s="4"/>
      <c r="I850" s="8"/>
      <c r="J850" s="8"/>
      <c r="K850" s="3"/>
      <c r="L850" s="3"/>
      <c r="M850" s="3"/>
      <c r="N850" s="3"/>
      <c r="O850" s="3"/>
      <c r="P850" s="3"/>
      <c r="Q850" s="3"/>
      <c r="R850" s="3"/>
      <c r="S850" s="3"/>
      <c r="T850" s="3"/>
      <c r="U850" s="3"/>
      <c r="V850" s="3"/>
      <c r="W850" s="3"/>
      <c r="X850" s="3"/>
      <c r="Y850" s="3"/>
      <c r="Z850" s="3"/>
      <c r="AA850" s="3"/>
      <c r="AB850" s="3"/>
      <c r="AC850" s="3"/>
      <c r="AD850" s="3"/>
      <c r="AE850" s="3"/>
    </row>
    <row r="851">
      <c r="A851" s="3"/>
      <c r="B851" s="3"/>
      <c r="C851" s="3"/>
      <c r="D851" s="3"/>
      <c r="E851" s="3"/>
      <c r="F851" s="3"/>
      <c r="G851" s="3"/>
      <c r="H851" s="4"/>
      <c r="I851" s="8"/>
      <c r="J851" s="8"/>
      <c r="K851" s="3"/>
      <c r="L851" s="3"/>
      <c r="M851" s="3"/>
      <c r="N851" s="3"/>
      <c r="O851" s="3"/>
      <c r="P851" s="3"/>
      <c r="Q851" s="3"/>
      <c r="R851" s="3"/>
      <c r="S851" s="3"/>
      <c r="T851" s="3"/>
      <c r="U851" s="3"/>
      <c r="V851" s="3"/>
      <c r="W851" s="3"/>
      <c r="X851" s="3"/>
      <c r="Y851" s="3"/>
      <c r="Z851" s="3"/>
      <c r="AA851" s="3"/>
      <c r="AB851" s="3"/>
      <c r="AC851" s="3"/>
      <c r="AD851" s="3"/>
      <c r="AE851" s="3"/>
    </row>
    <row r="852">
      <c r="A852" s="3"/>
      <c r="B852" s="3"/>
      <c r="C852" s="3"/>
      <c r="D852" s="3"/>
      <c r="E852" s="3"/>
      <c r="F852" s="3"/>
      <c r="G852" s="3"/>
      <c r="H852" s="4"/>
      <c r="I852" s="8"/>
      <c r="J852" s="8"/>
      <c r="K852" s="3"/>
      <c r="L852" s="3"/>
      <c r="M852" s="3"/>
      <c r="N852" s="3"/>
      <c r="O852" s="3"/>
      <c r="P852" s="3"/>
      <c r="Q852" s="3"/>
      <c r="R852" s="3"/>
      <c r="S852" s="3"/>
      <c r="T852" s="3"/>
      <c r="U852" s="3"/>
      <c r="V852" s="3"/>
      <c r="W852" s="3"/>
      <c r="X852" s="3"/>
      <c r="Y852" s="3"/>
      <c r="Z852" s="3"/>
      <c r="AA852" s="3"/>
      <c r="AB852" s="3"/>
      <c r="AC852" s="3"/>
      <c r="AD852" s="3"/>
      <c r="AE852" s="3"/>
    </row>
    <row r="853">
      <c r="A853" s="3"/>
      <c r="B853" s="3"/>
      <c r="C853" s="3"/>
      <c r="D853" s="3"/>
      <c r="E853" s="3"/>
      <c r="F853" s="3"/>
      <c r="G853" s="3"/>
      <c r="H853" s="4"/>
      <c r="I853" s="8"/>
      <c r="J853" s="8"/>
      <c r="K853" s="3"/>
      <c r="L853" s="3"/>
      <c r="M853" s="3"/>
      <c r="N853" s="3"/>
      <c r="O853" s="3"/>
      <c r="P853" s="3"/>
      <c r="Q853" s="3"/>
      <c r="R853" s="3"/>
      <c r="S853" s="3"/>
      <c r="T853" s="3"/>
      <c r="U853" s="3"/>
      <c r="V853" s="3"/>
      <c r="W853" s="3"/>
      <c r="X853" s="3"/>
      <c r="Y853" s="3"/>
      <c r="Z853" s="3"/>
      <c r="AA853" s="3"/>
      <c r="AB853" s="3"/>
      <c r="AC853" s="3"/>
      <c r="AD853" s="3"/>
      <c r="AE853" s="3"/>
    </row>
    <row r="854">
      <c r="A854" s="3"/>
      <c r="B854" s="3"/>
      <c r="C854" s="3"/>
      <c r="D854" s="3"/>
      <c r="E854" s="3"/>
      <c r="F854" s="3"/>
      <c r="G854" s="3"/>
      <c r="H854" s="4"/>
      <c r="I854" s="8"/>
      <c r="J854" s="8"/>
      <c r="K854" s="3"/>
      <c r="L854" s="3"/>
      <c r="M854" s="3"/>
      <c r="N854" s="3"/>
      <c r="O854" s="3"/>
      <c r="P854" s="3"/>
      <c r="Q854" s="3"/>
      <c r="R854" s="3"/>
      <c r="S854" s="3"/>
      <c r="T854" s="3"/>
      <c r="U854" s="3"/>
      <c r="V854" s="3"/>
      <c r="W854" s="3"/>
      <c r="X854" s="3"/>
      <c r="Y854" s="3"/>
      <c r="Z854" s="3"/>
      <c r="AA854" s="3"/>
      <c r="AB854" s="3"/>
      <c r="AC854" s="3"/>
      <c r="AD854" s="3"/>
      <c r="AE854" s="3"/>
    </row>
    <row r="855">
      <c r="A855" s="3"/>
      <c r="B855" s="3"/>
      <c r="C855" s="3"/>
      <c r="D855" s="3"/>
      <c r="E855" s="3"/>
      <c r="F855" s="3"/>
      <c r="G855" s="3"/>
      <c r="H855" s="4"/>
      <c r="I855" s="8"/>
      <c r="J855" s="8"/>
      <c r="K855" s="3"/>
      <c r="L855" s="3"/>
      <c r="M855" s="3"/>
      <c r="N855" s="3"/>
      <c r="O855" s="3"/>
      <c r="P855" s="3"/>
      <c r="Q855" s="3"/>
      <c r="R855" s="3"/>
      <c r="S855" s="3"/>
      <c r="T855" s="3"/>
      <c r="U855" s="3"/>
      <c r="V855" s="3"/>
      <c r="W855" s="3"/>
      <c r="X855" s="3"/>
      <c r="Y855" s="3"/>
      <c r="Z855" s="3"/>
      <c r="AA855" s="3"/>
      <c r="AB855" s="3"/>
      <c r="AC855" s="3"/>
      <c r="AD855" s="3"/>
      <c r="AE855" s="3"/>
    </row>
    <row r="856">
      <c r="A856" s="3"/>
      <c r="B856" s="3"/>
      <c r="C856" s="3"/>
      <c r="D856" s="3"/>
      <c r="E856" s="3"/>
      <c r="F856" s="3"/>
      <c r="G856" s="3"/>
      <c r="H856" s="4"/>
      <c r="I856" s="8"/>
      <c r="J856" s="8"/>
      <c r="K856" s="3"/>
      <c r="L856" s="3"/>
      <c r="M856" s="3"/>
      <c r="N856" s="3"/>
      <c r="O856" s="3"/>
      <c r="P856" s="3"/>
      <c r="Q856" s="3"/>
      <c r="R856" s="3"/>
      <c r="S856" s="3"/>
      <c r="T856" s="3"/>
      <c r="U856" s="3"/>
      <c r="V856" s="3"/>
      <c r="W856" s="3"/>
      <c r="X856" s="3"/>
      <c r="Y856" s="3"/>
      <c r="Z856" s="3"/>
      <c r="AA856" s="3"/>
      <c r="AB856" s="3"/>
      <c r="AC856" s="3"/>
      <c r="AD856" s="3"/>
      <c r="AE856" s="3"/>
    </row>
    <row r="857">
      <c r="A857" s="3"/>
      <c r="B857" s="3"/>
      <c r="C857" s="3"/>
      <c r="D857" s="3"/>
      <c r="E857" s="3"/>
      <c r="F857" s="3"/>
      <c r="G857" s="3"/>
      <c r="H857" s="4"/>
      <c r="I857" s="8"/>
      <c r="J857" s="8"/>
      <c r="K857" s="3"/>
      <c r="L857" s="3"/>
      <c r="M857" s="3"/>
      <c r="N857" s="3"/>
      <c r="O857" s="3"/>
      <c r="P857" s="3"/>
      <c r="Q857" s="3"/>
      <c r="R857" s="3"/>
      <c r="S857" s="3"/>
      <c r="T857" s="3"/>
      <c r="U857" s="3"/>
      <c r="V857" s="3"/>
      <c r="W857" s="3"/>
      <c r="X857" s="3"/>
      <c r="Y857" s="3"/>
      <c r="Z857" s="3"/>
      <c r="AA857" s="3"/>
      <c r="AB857" s="3"/>
      <c r="AC857" s="3"/>
      <c r="AD857" s="3"/>
      <c r="AE857" s="3"/>
    </row>
    <row r="858">
      <c r="A858" s="3"/>
      <c r="B858" s="3"/>
      <c r="C858" s="3"/>
      <c r="D858" s="3"/>
      <c r="E858" s="3"/>
      <c r="F858" s="3"/>
      <c r="G858" s="3"/>
      <c r="H858" s="4"/>
      <c r="I858" s="8"/>
      <c r="J858" s="8"/>
      <c r="K858" s="3"/>
      <c r="L858" s="3"/>
      <c r="M858" s="3"/>
      <c r="N858" s="3"/>
      <c r="O858" s="3"/>
      <c r="P858" s="3"/>
      <c r="Q858" s="3"/>
      <c r="R858" s="3"/>
      <c r="S858" s="3"/>
      <c r="T858" s="3"/>
      <c r="U858" s="3"/>
      <c r="V858" s="3"/>
      <c r="W858" s="3"/>
      <c r="X858" s="3"/>
      <c r="Y858" s="3"/>
      <c r="Z858" s="3"/>
      <c r="AA858" s="3"/>
      <c r="AB858" s="3"/>
      <c r="AC858" s="3"/>
      <c r="AD858" s="3"/>
      <c r="AE858" s="3"/>
    </row>
    <row r="859">
      <c r="A859" s="3"/>
      <c r="B859" s="3"/>
      <c r="C859" s="3"/>
      <c r="D859" s="3"/>
      <c r="E859" s="3"/>
      <c r="F859" s="3"/>
      <c r="G859" s="3"/>
      <c r="H859" s="4"/>
      <c r="I859" s="8"/>
      <c r="J859" s="8"/>
      <c r="K859" s="3"/>
      <c r="L859" s="3"/>
      <c r="M859" s="3"/>
      <c r="N859" s="3"/>
      <c r="O859" s="3"/>
      <c r="P859" s="3"/>
      <c r="Q859" s="3"/>
      <c r="R859" s="3"/>
      <c r="S859" s="3"/>
      <c r="T859" s="3"/>
      <c r="U859" s="3"/>
      <c r="V859" s="3"/>
      <c r="W859" s="3"/>
      <c r="X859" s="3"/>
      <c r="Y859" s="3"/>
      <c r="Z859" s="3"/>
      <c r="AA859" s="3"/>
      <c r="AB859" s="3"/>
      <c r="AC859" s="3"/>
      <c r="AD859" s="3"/>
      <c r="AE859" s="3"/>
    </row>
    <row r="860">
      <c r="A860" s="3"/>
      <c r="B860" s="3"/>
      <c r="C860" s="3"/>
      <c r="D860" s="3"/>
      <c r="E860" s="3"/>
      <c r="F860" s="3"/>
      <c r="G860" s="3"/>
      <c r="H860" s="4"/>
      <c r="I860" s="8"/>
      <c r="J860" s="8"/>
      <c r="K860" s="3"/>
      <c r="L860" s="3"/>
      <c r="M860" s="3"/>
      <c r="N860" s="3"/>
      <c r="O860" s="3"/>
      <c r="P860" s="3"/>
      <c r="Q860" s="3"/>
      <c r="R860" s="3"/>
      <c r="S860" s="3"/>
      <c r="T860" s="3"/>
      <c r="U860" s="3"/>
      <c r="V860" s="3"/>
      <c r="W860" s="3"/>
      <c r="X860" s="3"/>
      <c r="Y860" s="3"/>
      <c r="Z860" s="3"/>
      <c r="AA860" s="3"/>
      <c r="AB860" s="3"/>
      <c r="AC860" s="3"/>
      <c r="AD860" s="3"/>
      <c r="AE860" s="3"/>
    </row>
    <row r="861">
      <c r="A861" s="3"/>
      <c r="B861" s="3"/>
      <c r="C861" s="3"/>
      <c r="D861" s="3"/>
      <c r="E861" s="3"/>
      <c r="F861" s="3"/>
      <c r="G861" s="3"/>
      <c r="H861" s="4"/>
      <c r="I861" s="8"/>
      <c r="J861" s="8"/>
      <c r="K861" s="3"/>
      <c r="L861" s="3"/>
      <c r="M861" s="3"/>
      <c r="N861" s="3"/>
      <c r="O861" s="3"/>
      <c r="P861" s="3"/>
      <c r="Q861" s="3"/>
      <c r="R861" s="3"/>
      <c r="S861" s="3"/>
      <c r="T861" s="3"/>
      <c r="U861" s="3"/>
      <c r="V861" s="3"/>
      <c r="W861" s="3"/>
      <c r="X861" s="3"/>
      <c r="Y861" s="3"/>
      <c r="Z861" s="3"/>
      <c r="AA861" s="3"/>
      <c r="AB861" s="3"/>
      <c r="AC861" s="3"/>
      <c r="AD861" s="3"/>
      <c r="AE861" s="3"/>
    </row>
    <row r="862">
      <c r="A862" s="3"/>
      <c r="B862" s="3"/>
      <c r="C862" s="3"/>
      <c r="D862" s="3"/>
      <c r="E862" s="3"/>
      <c r="F862" s="3"/>
      <c r="G862" s="3"/>
      <c r="H862" s="4"/>
      <c r="I862" s="8"/>
      <c r="J862" s="8"/>
      <c r="K862" s="3"/>
      <c r="L862" s="3"/>
      <c r="M862" s="3"/>
      <c r="N862" s="3"/>
      <c r="O862" s="3"/>
      <c r="P862" s="3"/>
      <c r="Q862" s="3"/>
      <c r="R862" s="3"/>
      <c r="S862" s="3"/>
      <c r="T862" s="3"/>
      <c r="U862" s="3"/>
      <c r="V862" s="3"/>
      <c r="W862" s="3"/>
      <c r="X862" s="3"/>
      <c r="Y862" s="3"/>
      <c r="Z862" s="3"/>
      <c r="AA862" s="3"/>
      <c r="AB862" s="3"/>
      <c r="AC862" s="3"/>
      <c r="AD862" s="3"/>
      <c r="AE862" s="3"/>
    </row>
    <row r="863">
      <c r="A863" s="3"/>
      <c r="B863" s="3"/>
      <c r="C863" s="3"/>
      <c r="D863" s="3"/>
      <c r="E863" s="3"/>
      <c r="F863" s="3"/>
      <c r="G863" s="3"/>
      <c r="H863" s="4"/>
      <c r="I863" s="8"/>
      <c r="J863" s="8"/>
      <c r="K863" s="3"/>
      <c r="L863" s="3"/>
      <c r="M863" s="3"/>
      <c r="N863" s="3"/>
      <c r="O863" s="3"/>
      <c r="P863" s="3"/>
      <c r="Q863" s="3"/>
      <c r="R863" s="3"/>
      <c r="S863" s="3"/>
      <c r="T863" s="3"/>
      <c r="U863" s="3"/>
      <c r="V863" s="3"/>
      <c r="W863" s="3"/>
      <c r="X863" s="3"/>
      <c r="Y863" s="3"/>
      <c r="Z863" s="3"/>
      <c r="AA863" s="3"/>
      <c r="AB863" s="3"/>
      <c r="AC863" s="3"/>
      <c r="AD863" s="3"/>
      <c r="AE863" s="3"/>
    </row>
    <row r="864">
      <c r="A864" s="3"/>
      <c r="B864" s="3"/>
      <c r="C864" s="3"/>
      <c r="D864" s="3"/>
      <c r="E864" s="3"/>
      <c r="F864" s="3"/>
      <c r="G864" s="3"/>
      <c r="H864" s="4"/>
      <c r="I864" s="8"/>
      <c r="J864" s="8"/>
      <c r="K864" s="3"/>
      <c r="L864" s="3"/>
      <c r="M864" s="3"/>
      <c r="N864" s="3"/>
      <c r="O864" s="3"/>
      <c r="P864" s="3"/>
      <c r="Q864" s="3"/>
      <c r="R864" s="3"/>
      <c r="S864" s="3"/>
      <c r="T864" s="3"/>
      <c r="U864" s="3"/>
      <c r="V864" s="3"/>
      <c r="W864" s="3"/>
      <c r="X864" s="3"/>
      <c r="Y864" s="3"/>
      <c r="Z864" s="3"/>
      <c r="AA864" s="3"/>
      <c r="AB864" s="3"/>
      <c r="AC864" s="3"/>
      <c r="AD864" s="3"/>
      <c r="AE864" s="3"/>
    </row>
    <row r="865">
      <c r="A865" s="3"/>
      <c r="B865" s="3"/>
      <c r="C865" s="3"/>
      <c r="D865" s="3"/>
      <c r="E865" s="3"/>
      <c r="F865" s="3"/>
      <c r="G865" s="3"/>
      <c r="H865" s="4"/>
      <c r="I865" s="8"/>
      <c r="J865" s="8"/>
      <c r="K865" s="3"/>
      <c r="L865" s="3"/>
      <c r="M865" s="3"/>
      <c r="N865" s="3"/>
      <c r="O865" s="3"/>
      <c r="P865" s="3"/>
      <c r="Q865" s="3"/>
      <c r="R865" s="3"/>
      <c r="S865" s="3"/>
      <c r="T865" s="3"/>
      <c r="U865" s="3"/>
      <c r="V865" s="3"/>
      <c r="W865" s="3"/>
      <c r="X865" s="3"/>
      <c r="Y865" s="3"/>
      <c r="Z865" s="3"/>
      <c r="AA865" s="3"/>
      <c r="AB865" s="3"/>
      <c r="AC865" s="3"/>
      <c r="AD865" s="3"/>
      <c r="AE865" s="3"/>
    </row>
    <row r="866">
      <c r="A866" s="3"/>
      <c r="B866" s="3"/>
      <c r="C866" s="3"/>
      <c r="D866" s="3"/>
      <c r="E866" s="3"/>
      <c r="F866" s="3"/>
      <c r="G866" s="3"/>
      <c r="H866" s="4"/>
      <c r="I866" s="8"/>
      <c r="J866" s="8"/>
      <c r="K866" s="3"/>
      <c r="L866" s="3"/>
      <c r="M866" s="3"/>
      <c r="N866" s="3"/>
      <c r="O866" s="3"/>
      <c r="P866" s="3"/>
      <c r="Q866" s="3"/>
      <c r="R866" s="3"/>
      <c r="S866" s="3"/>
      <c r="T866" s="3"/>
      <c r="U866" s="3"/>
      <c r="V866" s="3"/>
      <c r="W866" s="3"/>
      <c r="X866" s="3"/>
      <c r="Y866" s="3"/>
      <c r="Z866" s="3"/>
      <c r="AA866" s="3"/>
      <c r="AB866" s="3"/>
      <c r="AC866" s="3"/>
      <c r="AD866" s="3"/>
      <c r="AE866" s="3"/>
    </row>
    <row r="867">
      <c r="A867" s="3"/>
      <c r="B867" s="3"/>
      <c r="C867" s="3"/>
      <c r="D867" s="3"/>
      <c r="E867" s="3"/>
      <c r="F867" s="3"/>
      <c r="G867" s="3"/>
      <c r="H867" s="4"/>
      <c r="I867" s="8"/>
      <c r="J867" s="8"/>
      <c r="K867" s="3"/>
      <c r="L867" s="3"/>
      <c r="M867" s="3"/>
      <c r="N867" s="3"/>
      <c r="O867" s="3"/>
      <c r="P867" s="3"/>
      <c r="Q867" s="3"/>
      <c r="R867" s="3"/>
      <c r="S867" s="3"/>
      <c r="T867" s="3"/>
      <c r="U867" s="3"/>
      <c r="V867" s="3"/>
      <c r="W867" s="3"/>
      <c r="X867" s="3"/>
      <c r="Y867" s="3"/>
      <c r="Z867" s="3"/>
      <c r="AA867" s="3"/>
      <c r="AB867" s="3"/>
      <c r="AC867" s="3"/>
      <c r="AD867" s="3"/>
      <c r="AE867" s="3"/>
    </row>
    <row r="868">
      <c r="A868" s="3"/>
      <c r="B868" s="3"/>
      <c r="C868" s="3"/>
      <c r="D868" s="3"/>
      <c r="E868" s="3"/>
      <c r="F868" s="3"/>
      <c r="G868" s="3"/>
      <c r="H868" s="4"/>
      <c r="I868" s="8"/>
      <c r="J868" s="8"/>
      <c r="K868" s="3"/>
      <c r="L868" s="3"/>
      <c r="M868" s="3"/>
      <c r="N868" s="3"/>
      <c r="O868" s="3"/>
      <c r="P868" s="3"/>
      <c r="Q868" s="3"/>
      <c r="R868" s="3"/>
      <c r="S868" s="3"/>
      <c r="T868" s="3"/>
      <c r="U868" s="3"/>
      <c r="V868" s="3"/>
      <c r="W868" s="3"/>
      <c r="X868" s="3"/>
      <c r="Y868" s="3"/>
      <c r="Z868" s="3"/>
      <c r="AA868" s="3"/>
      <c r="AB868" s="3"/>
      <c r="AC868" s="3"/>
      <c r="AD868" s="3"/>
      <c r="AE868" s="3"/>
    </row>
    <row r="869">
      <c r="A869" s="3"/>
      <c r="B869" s="3"/>
      <c r="C869" s="3"/>
      <c r="D869" s="3"/>
      <c r="E869" s="3"/>
      <c r="F869" s="3"/>
      <c r="G869" s="3"/>
      <c r="H869" s="4"/>
      <c r="I869" s="8"/>
      <c r="J869" s="8"/>
      <c r="K869" s="3"/>
      <c r="L869" s="3"/>
      <c r="M869" s="3"/>
      <c r="N869" s="3"/>
      <c r="O869" s="3"/>
      <c r="P869" s="3"/>
      <c r="Q869" s="3"/>
      <c r="R869" s="3"/>
      <c r="S869" s="3"/>
      <c r="T869" s="3"/>
      <c r="U869" s="3"/>
      <c r="V869" s="3"/>
      <c r="W869" s="3"/>
      <c r="X869" s="3"/>
      <c r="Y869" s="3"/>
      <c r="Z869" s="3"/>
      <c r="AA869" s="3"/>
      <c r="AB869" s="3"/>
      <c r="AC869" s="3"/>
      <c r="AD869" s="3"/>
      <c r="AE869" s="3"/>
    </row>
    <row r="870">
      <c r="A870" s="3"/>
      <c r="B870" s="3"/>
      <c r="C870" s="3"/>
      <c r="D870" s="3"/>
      <c r="E870" s="3"/>
      <c r="F870" s="3"/>
      <c r="G870" s="3"/>
      <c r="H870" s="4"/>
      <c r="I870" s="8"/>
      <c r="J870" s="8"/>
      <c r="K870" s="3"/>
      <c r="L870" s="3"/>
      <c r="M870" s="3"/>
      <c r="N870" s="3"/>
      <c r="O870" s="3"/>
      <c r="P870" s="3"/>
      <c r="Q870" s="3"/>
      <c r="R870" s="3"/>
      <c r="S870" s="3"/>
      <c r="T870" s="3"/>
      <c r="U870" s="3"/>
      <c r="V870" s="3"/>
      <c r="W870" s="3"/>
      <c r="X870" s="3"/>
      <c r="Y870" s="3"/>
      <c r="Z870" s="3"/>
      <c r="AA870" s="3"/>
      <c r="AB870" s="3"/>
      <c r="AC870" s="3"/>
      <c r="AD870" s="3"/>
      <c r="AE870" s="3"/>
    </row>
    <row r="871">
      <c r="A871" s="3"/>
      <c r="B871" s="3"/>
      <c r="C871" s="3"/>
      <c r="D871" s="3"/>
      <c r="E871" s="3"/>
      <c r="F871" s="3"/>
      <c r="G871" s="3"/>
      <c r="H871" s="4"/>
      <c r="I871" s="8"/>
      <c r="J871" s="8"/>
      <c r="K871" s="3"/>
      <c r="L871" s="3"/>
      <c r="M871" s="3"/>
      <c r="N871" s="3"/>
      <c r="O871" s="3"/>
      <c r="P871" s="3"/>
      <c r="Q871" s="3"/>
      <c r="R871" s="3"/>
      <c r="S871" s="3"/>
      <c r="T871" s="3"/>
      <c r="U871" s="3"/>
      <c r="V871" s="3"/>
      <c r="W871" s="3"/>
      <c r="X871" s="3"/>
      <c r="Y871" s="3"/>
      <c r="Z871" s="3"/>
      <c r="AA871" s="3"/>
      <c r="AB871" s="3"/>
      <c r="AC871" s="3"/>
      <c r="AD871" s="3"/>
      <c r="AE871" s="3"/>
    </row>
    <row r="872">
      <c r="A872" s="3"/>
      <c r="B872" s="3"/>
      <c r="C872" s="3"/>
      <c r="D872" s="3"/>
      <c r="E872" s="3"/>
      <c r="F872" s="3"/>
      <c r="G872" s="3"/>
      <c r="H872" s="4"/>
      <c r="I872" s="8"/>
      <c r="J872" s="8"/>
      <c r="K872" s="3"/>
      <c r="L872" s="3"/>
      <c r="M872" s="3"/>
      <c r="N872" s="3"/>
      <c r="O872" s="3"/>
      <c r="P872" s="3"/>
      <c r="Q872" s="3"/>
      <c r="R872" s="3"/>
      <c r="S872" s="3"/>
      <c r="T872" s="3"/>
      <c r="U872" s="3"/>
      <c r="V872" s="3"/>
      <c r="W872" s="3"/>
      <c r="X872" s="3"/>
      <c r="Y872" s="3"/>
      <c r="Z872" s="3"/>
      <c r="AA872" s="3"/>
      <c r="AB872" s="3"/>
      <c r="AC872" s="3"/>
      <c r="AD872" s="3"/>
      <c r="AE872" s="3"/>
    </row>
    <row r="873">
      <c r="A873" s="3"/>
      <c r="B873" s="3"/>
      <c r="C873" s="3"/>
      <c r="D873" s="3"/>
      <c r="E873" s="3"/>
      <c r="F873" s="3"/>
      <c r="G873" s="3"/>
      <c r="H873" s="4"/>
      <c r="I873" s="8"/>
      <c r="J873" s="8"/>
      <c r="K873" s="3"/>
      <c r="L873" s="3"/>
      <c r="M873" s="3"/>
      <c r="N873" s="3"/>
      <c r="O873" s="3"/>
      <c r="P873" s="3"/>
      <c r="Q873" s="3"/>
      <c r="R873" s="3"/>
      <c r="S873" s="3"/>
      <c r="T873" s="3"/>
      <c r="U873" s="3"/>
      <c r="V873" s="3"/>
      <c r="W873" s="3"/>
      <c r="X873" s="3"/>
      <c r="Y873" s="3"/>
      <c r="Z873" s="3"/>
      <c r="AA873" s="3"/>
      <c r="AB873" s="3"/>
      <c r="AC873" s="3"/>
      <c r="AD873" s="3"/>
      <c r="AE873" s="3"/>
    </row>
    <row r="874">
      <c r="A874" s="3"/>
      <c r="B874" s="3"/>
      <c r="C874" s="3"/>
      <c r="D874" s="3"/>
      <c r="E874" s="3"/>
      <c r="F874" s="3"/>
      <c r="G874" s="3"/>
      <c r="H874" s="4"/>
      <c r="I874" s="8"/>
      <c r="J874" s="8"/>
      <c r="K874" s="3"/>
      <c r="L874" s="3"/>
      <c r="M874" s="3"/>
      <c r="N874" s="3"/>
      <c r="O874" s="3"/>
      <c r="P874" s="3"/>
      <c r="Q874" s="3"/>
      <c r="R874" s="3"/>
      <c r="S874" s="3"/>
      <c r="T874" s="3"/>
      <c r="U874" s="3"/>
      <c r="V874" s="3"/>
      <c r="W874" s="3"/>
      <c r="X874" s="3"/>
      <c r="Y874" s="3"/>
      <c r="Z874" s="3"/>
      <c r="AA874" s="3"/>
      <c r="AB874" s="3"/>
      <c r="AC874" s="3"/>
      <c r="AD874" s="3"/>
      <c r="AE874" s="3"/>
    </row>
    <row r="875">
      <c r="A875" s="3"/>
      <c r="B875" s="3"/>
      <c r="C875" s="3"/>
      <c r="D875" s="3"/>
      <c r="E875" s="3"/>
      <c r="F875" s="3"/>
      <c r="G875" s="3"/>
      <c r="H875" s="4"/>
      <c r="I875" s="8"/>
      <c r="J875" s="8"/>
      <c r="K875" s="3"/>
      <c r="L875" s="3"/>
      <c r="M875" s="3"/>
      <c r="N875" s="3"/>
      <c r="O875" s="3"/>
      <c r="P875" s="3"/>
      <c r="Q875" s="3"/>
      <c r="R875" s="3"/>
      <c r="S875" s="3"/>
      <c r="T875" s="3"/>
      <c r="U875" s="3"/>
      <c r="V875" s="3"/>
      <c r="W875" s="3"/>
      <c r="X875" s="3"/>
      <c r="Y875" s="3"/>
      <c r="Z875" s="3"/>
      <c r="AA875" s="3"/>
      <c r="AB875" s="3"/>
      <c r="AC875" s="3"/>
      <c r="AD875" s="3"/>
      <c r="AE875" s="3"/>
    </row>
    <row r="876">
      <c r="A876" s="3"/>
      <c r="B876" s="3"/>
      <c r="C876" s="3"/>
      <c r="D876" s="3"/>
      <c r="E876" s="3"/>
      <c r="F876" s="3"/>
      <c r="G876" s="3"/>
      <c r="H876" s="4"/>
      <c r="I876" s="8"/>
      <c r="J876" s="8"/>
      <c r="K876" s="3"/>
      <c r="L876" s="3"/>
      <c r="M876" s="3"/>
      <c r="N876" s="3"/>
      <c r="O876" s="3"/>
      <c r="P876" s="3"/>
      <c r="Q876" s="3"/>
      <c r="R876" s="3"/>
      <c r="S876" s="3"/>
      <c r="T876" s="3"/>
      <c r="U876" s="3"/>
      <c r="V876" s="3"/>
      <c r="W876" s="3"/>
      <c r="X876" s="3"/>
      <c r="Y876" s="3"/>
      <c r="Z876" s="3"/>
      <c r="AA876" s="3"/>
      <c r="AB876" s="3"/>
      <c r="AC876" s="3"/>
      <c r="AD876" s="3"/>
      <c r="AE876" s="3"/>
    </row>
    <row r="877">
      <c r="A877" s="3"/>
      <c r="B877" s="3"/>
      <c r="C877" s="3"/>
      <c r="D877" s="3"/>
      <c r="E877" s="3"/>
      <c r="F877" s="3"/>
      <c r="G877" s="3"/>
      <c r="H877" s="4"/>
      <c r="I877" s="8"/>
      <c r="J877" s="8"/>
      <c r="K877" s="3"/>
      <c r="L877" s="3"/>
      <c r="M877" s="3"/>
      <c r="N877" s="3"/>
      <c r="O877" s="3"/>
      <c r="P877" s="3"/>
      <c r="Q877" s="3"/>
      <c r="R877" s="3"/>
      <c r="S877" s="3"/>
      <c r="T877" s="3"/>
      <c r="U877" s="3"/>
      <c r="V877" s="3"/>
      <c r="W877" s="3"/>
      <c r="X877" s="3"/>
      <c r="Y877" s="3"/>
      <c r="Z877" s="3"/>
      <c r="AA877" s="3"/>
      <c r="AB877" s="3"/>
      <c r="AC877" s="3"/>
      <c r="AD877" s="3"/>
      <c r="AE877" s="3"/>
    </row>
    <row r="878">
      <c r="A878" s="3"/>
      <c r="B878" s="3"/>
      <c r="C878" s="3"/>
      <c r="D878" s="3"/>
      <c r="E878" s="3"/>
      <c r="F878" s="3"/>
      <c r="G878" s="3"/>
      <c r="H878" s="4"/>
      <c r="I878" s="8"/>
      <c r="J878" s="8"/>
      <c r="K878" s="3"/>
      <c r="L878" s="3"/>
      <c r="M878" s="3"/>
      <c r="N878" s="3"/>
      <c r="O878" s="3"/>
      <c r="P878" s="3"/>
      <c r="Q878" s="3"/>
      <c r="R878" s="3"/>
      <c r="S878" s="3"/>
      <c r="T878" s="3"/>
      <c r="U878" s="3"/>
      <c r="V878" s="3"/>
      <c r="W878" s="3"/>
      <c r="X878" s="3"/>
      <c r="Y878" s="3"/>
      <c r="Z878" s="3"/>
      <c r="AA878" s="3"/>
      <c r="AB878" s="3"/>
      <c r="AC878" s="3"/>
      <c r="AD878" s="3"/>
      <c r="AE878" s="3"/>
    </row>
    <row r="879">
      <c r="A879" s="3"/>
      <c r="B879" s="3"/>
      <c r="C879" s="3"/>
      <c r="D879" s="3"/>
      <c r="E879" s="3"/>
      <c r="F879" s="3"/>
      <c r="G879" s="3"/>
      <c r="H879" s="4"/>
      <c r="I879" s="8"/>
      <c r="J879" s="8"/>
      <c r="K879" s="3"/>
      <c r="L879" s="3"/>
      <c r="M879" s="3"/>
      <c r="N879" s="3"/>
      <c r="O879" s="3"/>
      <c r="P879" s="3"/>
      <c r="Q879" s="3"/>
      <c r="R879" s="3"/>
      <c r="S879" s="3"/>
      <c r="T879" s="3"/>
      <c r="U879" s="3"/>
      <c r="V879" s="3"/>
      <c r="W879" s="3"/>
      <c r="X879" s="3"/>
      <c r="Y879" s="3"/>
      <c r="Z879" s="3"/>
      <c r="AA879" s="3"/>
      <c r="AB879" s="3"/>
      <c r="AC879" s="3"/>
      <c r="AD879" s="3"/>
      <c r="AE879" s="3"/>
    </row>
    <row r="880">
      <c r="A880" s="3"/>
      <c r="B880" s="3"/>
      <c r="C880" s="3"/>
      <c r="D880" s="3"/>
      <c r="E880" s="3"/>
      <c r="F880" s="3"/>
      <c r="G880" s="3"/>
      <c r="H880" s="4"/>
      <c r="I880" s="8"/>
      <c r="J880" s="8"/>
      <c r="K880" s="3"/>
      <c r="L880" s="3"/>
      <c r="M880" s="3"/>
      <c r="N880" s="3"/>
      <c r="O880" s="3"/>
      <c r="P880" s="3"/>
      <c r="Q880" s="3"/>
      <c r="R880" s="3"/>
      <c r="S880" s="3"/>
      <c r="T880" s="3"/>
      <c r="U880" s="3"/>
      <c r="V880" s="3"/>
      <c r="W880" s="3"/>
      <c r="X880" s="3"/>
      <c r="Y880" s="3"/>
      <c r="Z880" s="3"/>
      <c r="AA880" s="3"/>
      <c r="AB880" s="3"/>
      <c r="AC880" s="3"/>
      <c r="AD880" s="3"/>
      <c r="AE880" s="3"/>
    </row>
    <row r="881">
      <c r="A881" s="3"/>
      <c r="B881" s="3"/>
      <c r="C881" s="3"/>
      <c r="D881" s="3"/>
      <c r="E881" s="3"/>
      <c r="F881" s="3"/>
      <c r="G881" s="3"/>
      <c r="H881" s="4"/>
      <c r="I881" s="8"/>
      <c r="J881" s="8"/>
      <c r="K881" s="3"/>
      <c r="L881" s="3"/>
      <c r="M881" s="3"/>
      <c r="N881" s="3"/>
      <c r="O881" s="3"/>
      <c r="P881" s="3"/>
      <c r="Q881" s="3"/>
      <c r="R881" s="3"/>
      <c r="S881" s="3"/>
      <c r="T881" s="3"/>
      <c r="U881" s="3"/>
      <c r="V881" s="3"/>
      <c r="W881" s="3"/>
      <c r="X881" s="3"/>
      <c r="Y881" s="3"/>
      <c r="Z881" s="3"/>
      <c r="AA881" s="3"/>
      <c r="AB881" s="3"/>
      <c r="AC881" s="3"/>
      <c r="AD881" s="3"/>
      <c r="AE881" s="3"/>
    </row>
    <row r="882">
      <c r="A882" s="3"/>
      <c r="B882" s="3"/>
      <c r="C882" s="3"/>
      <c r="D882" s="3"/>
      <c r="E882" s="3"/>
      <c r="F882" s="3"/>
      <c r="G882" s="3"/>
      <c r="H882" s="4"/>
      <c r="I882" s="8"/>
      <c r="J882" s="8"/>
      <c r="K882" s="3"/>
      <c r="L882" s="3"/>
      <c r="M882" s="3"/>
      <c r="N882" s="3"/>
      <c r="O882" s="3"/>
      <c r="P882" s="3"/>
      <c r="Q882" s="3"/>
      <c r="R882" s="3"/>
      <c r="S882" s="3"/>
      <c r="T882" s="3"/>
      <c r="U882" s="3"/>
      <c r="V882" s="3"/>
      <c r="W882" s="3"/>
      <c r="X882" s="3"/>
      <c r="Y882" s="3"/>
      <c r="Z882" s="3"/>
      <c r="AA882" s="3"/>
      <c r="AB882" s="3"/>
      <c r="AC882" s="3"/>
      <c r="AD882" s="3"/>
      <c r="AE882" s="3"/>
    </row>
    <row r="883">
      <c r="A883" s="3"/>
      <c r="B883" s="3"/>
      <c r="C883" s="3"/>
      <c r="D883" s="3"/>
      <c r="E883" s="3"/>
      <c r="F883" s="3"/>
      <c r="G883" s="3"/>
      <c r="H883" s="4"/>
      <c r="I883" s="8"/>
      <c r="J883" s="8"/>
      <c r="K883" s="3"/>
      <c r="L883" s="3"/>
      <c r="M883" s="3"/>
      <c r="N883" s="3"/>
      <c r="O883" s="3"/>
      <c r="P883" s="3"/>
      <c r="Q883" s="3"/>
      <c r="R883" s="3"/>
      <c r="S883" s="3"/>
      <c r="T883" s="3"/>
      <c r="U883" s="3"/>
      <c r="V883" s="3"/>
      <c r="W883" s="3"/>
      <c r="X883" s="3"/>
      <c r="Y883" s="3"/>
      <c r="Z883" s="3"/>
      <c r="AA883" s="3"/>
      <c r="AB883" s="3"/>
      <c r="AC883" s="3"/>
      <c r="AD883" s="3"/>
      <c r="AE883" s="3"/>
    </row>
    <row r="884">
      <c r="A884" s="3"/>
      <c r="B884" s="3"/>
      <c r="C884" s="3"/>
      <c r="D884" s="3"/>
      <c r="E884" s="3"/>
      <c r="F884" s="3"/>
      <c r="G884" s="3"/>
      <c r="H884" s="4"/>
      <c r="I884" s="8"/>
      <c r="J884" s="8"/>
      <c r="K884" s="3"/>
      <c r="L884" s="3"/>
      <c r="M884" s="3"/>
      <c r="N884" s="3"/>
      <c r="O884" s="3"/>
      <c r="P884" s="3"/>
      <c r="Q884" s="3"/>
      <c r="R884" s="3"/>
      <c r="S884" s="3"/>
      <c r="T884" s="3"/>
      <c r="U884" s="3"/>
      <c r="V884" s="3"/>
      <c r="W884" s="3"/>
      <c r="X884" s="3"/>
      <c r="Y884" s="3"/>
      <c r="Z884" s="3"/>
      <c r="AA884" s="3"/>
      <c r="AB884" s="3"/>
      <c r="AC884" s="3"/>
      <c r="AD884" s="3"/>
      <c r="AE884" s="3"/>
    </row>
    <row r="885">
      <c r="A885" s="3"/>
      <c r="B885" s="3"/>
      <c r="C885" s="3"/>
      <c r="D885" s="3"/>
      <c r="E885" s="3"/>
      <c r="F885" s="3"/>
      <c r="G885" s="3"/>
      <c r="H885" s="4"/>
      <c r="I885" s="8"/>
      <c r="J885" s="8"/>
      <c r="K885" s="3"/>
      <c r="L885" s="3"/>
      <c r="M885" s="3"/>
      <c r="N885" s="3"/>
      <c r="O885" s="3"/>
      <c r="P885" s="3"/>
      <c r="Q885" s="3"/>
      <c r="R885" s="3"/>
      <c r="S885" s="3"/>
      <c r="T885" s="3"/>
      <c r="U885" s="3"/>
      <c r="V885" s="3"/>
      <c r="W885" s="3"/>
      <c r="X885" s="3"/>
      <c r="Y885" s="3"/>
      <c r="Z885" s="3"/>
      <c r="AA885" s="3"/>
      <c r="AB885" s="3"/>
      <c r="AC885" s="3"/>
      <c r="AD885" s="3"/>
      <c r="AE885" s="3"/>
    </row>
    <row r="886">
      <c r="A886" s="3"/>
      <c r="B886" s="3"/>
      <c r="C886" s="3"/>
      <c r="D886" s="3"/>
      <c r="E886" s="3"/>
      <c r="F886" s="3"/>
      <c r="G886" s="3"/>
      <c r="H886" s="4"/>
      <c r="I886" s="8"/>
      <c r="J886" s="8"/>
      <c r="K886" s="3"/>
      <c r="L886" s="3"/>
      <c r="M886" s="3"/>
      <c r="N886" s="3"/>
      <c r="O886" s="3"/>
      <c r="P886" s="3"/>
      <c r="Q886" s="3"/>
      <c r="R886" s="3"/>
      <c r="S886" s="3"/>
      <c r="T886" s="3"/>
      <c r="U886" s="3"/>
      <c r="V886" s="3"/>
      <c r="W886" s="3"/>
      <c r="X886" s="3"/>
      <c r="Y886" s="3"/>
      <c r="Z886" s="3"/>
      <c r="AA886" s="3"/>
      <c r="AB886" s="3"/>
      <c r="AC886" s="3"/>
      <c r="AD886" s="3"/>
      <c r="AE886" s="3"/>
    </row>
    <row r="887">
      <c r="A887" s="3"/>
      <c r="B887" s="3"/>
      <c r="C887" s="3"/>
      <c r="D887" s="3"/>
      <c r="E887" s="3"/>
      <c r="F887" s="3"/>
      <c r="G887" s="3"/>
      <c r="H887" s="4"/>
      <c r="I887" s="8"/>
      <c r="J887" s="8"/>
      <c r="K887" s="3"/>
      <c r="L887" s="3"/>
      <c r="M887" s="3"/>
      <c r="N887" s="3"/>
      <c r="O887" s="3"/>
      <c r="P887" s="3"/>
      <c r="Q887" s="3"/>
      <c r="R887" s="3"/>
      <c r="S887" s="3"/>
      <c r="T887" s="3"/>
      <c r="U887" s="3"/>
      <c r="V887" s="3"/>
      <c r="W887" s="3"/>
      <c r="X887" s="3"/>
      <c r="Y887" s="3"/>
      <c r="Z887" s="3"/>
      <c r="AA887" s="3"/>
      <c r="AB887" s="3"/>
      <c r="AC887" s="3"/>
      <c r="AD887" s="3"/>
      <c r="AE887" s="3"/>
    </row>
    <row r="888">
      <c r="A888" s="3"/>
      <c r="B888" s="3"/>
      <c r="C888" s="3"/>
      <c r="D888" s="3"/>
      <c r="E888" s="3"/>
      <c r="F888" s="3"/>
      <c r="G888" s="3"/>
      <c r="H888" s="4"/>
      <c r="I888" s="8"/>
      <c r="J888" s="8"/>
      <c r="K888" s="3"/>
      <c r="L888" s="3"/>
      <c r="M888" s="3"/>
      <c r="N888" s="3"/>
      <c r="O888" s="3"/>
      <c r="P888" s="3"/>
      <c r="Q888" s="3"/>
      <c r="R888" s="3"/>
      <c r="S888" s="3"/>
      <c r="T888" s="3"/>
      <c r="U888" s="3"/>
      <c r="V888" s="3"/>
      <c r="W888" s="3"/>
      <c r="X888" s="3"/>
      <c r="Y888" s="3"/>
      <c r="Z888" s="3"/>
      <c r="AA888" s="3"/>
      <c r="AB888" s="3"/>
      <c r="AC888" s="3"/>
      <c r="AD888" s="3"/>
      <c r="AE888" s="3"/>
    </row>
    <row r="889">
      <c r="A889" s="3"/>
      <c r="B889" s="3"/>
      <c r="C889" s="3"/>
      <c r="D889" s="3"/>
      <c r="E889" s="3"/>
      <c r="F889" s="3"/>
      <c r="G889" s="3"/>
      <c r="H889" s="4"/>
      <c r="I889" s="8"/>
      <c r="J889" s="8"/>
      <c r="K889" s="3"/>
      <c r="L889" s="3"/>
      <c r="M889" s="3"/>
      <c r="N889" s="3"/>
      <c r="O889" s="3"/>
      <c r="P889" s="3"/>
      <c r="Q889" s="3"/>
      <c r="R889" s="3"/>
      <c r="S889" s="3"/>
      <c r="T889" s="3"/>
      <c r="U889" s="3"/>
      <c r="V889" s="3"/>
      <c r="W889" s="3"/>
      <c r="X889" s="3"/>
      <c r="Y889" s="3"/>
      <c r="Z889" s="3"/>
      <c r="AA889" s="3"/>
      <c r="AB889" s="3"/>
      <c r="AC889" s="3"/>
      <c r="AD889" s="3"/>
      <c r="AE889" s="3"/>
    </row>
    <row r="890">
      <c r="A890" s="3"/>
      <c r="B890" s="3"/>
      <c r="C890" s="3"/>
      <c r="D890" s="3"/>
      <c r="E890" s="3"/>
      <c r="F890" s="3"/>
      <c r="G890" s="3"/>
      <c r="H890" s="4"/>
      <c r="I890" s="8"/>
      <c r="J890" s="8"/>
      <c r="K890" s="3"/>
      <c r="L890" s="3"/>
      <c r="M890" s="3"/>
      <c r="N890" s="3"/>
      <c r="O890" s="3"/>
      <c r="P890" s="3"/>
      <c r="Q890" s="3"/>
      <c r="R890" s="3"/>
      <c r="S890" s="3"/>
      <c r="T890" s="3"/>
      <c r="U890" s="3"/>
      <c r="V890" s="3"/>
      <c r="W890" s="3"/>
      <c r="X890" s="3"/>
      <c r="Y890" s="3"/>
      <c r="Z890" s="3"/>
      <c r="AA890" s="3"/>
      <c r="AB890" s="3"/>
      <c r="AC890" s="3"/>
      <c r="AD890" s="3"/>
      <c r="AE890" s="3"/>
    </row>
    <row r="891">
      <c r="A891" s="3"/>
      <c r="B891" s="3"/>
      <c r="C891" s="3"/>
      <c r="D891" s="3"/>
      <c r="E891" s="3"/>
      <c r="F891" s="3"/>
      <c r="G891" s="3"/>
      <c r="H891" s="4"/>
      <c r="I891" s="8"/>
      <c r="J891" s="8"/>
      <c r="K891" s="3"/>
      <c r="L891" s="3"/>
      <c r="M891" s="3"/>
      <c r="N891" s="3"/>
      <c r="O891" s="3"/>
      <c r="P891" s="3"/>
      <c r="Q891" s="3"/>
      <c r="R891" s="3"/>
      <c r="S891" s="3"/>
      <c r="T891" s="3"/>
      <c r="U891" s="3"/>
      <c r="V891" s="3"/>
      <c r="W891" s="3"/>
      <c r="X891" s="3"/>
      <c r="Y891" s="3"/>
      <c r="Z891" s="3"/>
      <c r="AA891" s="3"/>
      <c r="AB891" s="3"/>
      <c r="AC891" s="3"/>
      <c r="AD891" s="3"/>
      <c r="AE891" s="3"/>
    </row>
    <row r="892">
      <c r="A892" s="3"/>
      <c r="B892" s="3"/>
      <c r="C892" s="3"/>
      <c r="D892" s="3"/>
      <c r="E892" s="3"/>
      <c r="F892" s="3"/>
      <c r="G892" s="3"/>
      <c r="H892" s="4"/>
      <c r="I892" s="8"/>
      <c r="J892" s="8"/>
      <c r="K892" s="3"/>
      <c r="L892" s="3"/>
      <c r="M892" s="3"/>
      <c r="N892" s="3"/>
      <c r="O892" s="3"/>
      <c r="P892" s="3"/>
      <c r="Q892" s="3"/>
      <c r="R892" s="3"/>
      <c r="S892" s="3"/>
      <c r="T892" s="3"/>
      <c r="U892" s="3"/>
      <c r="V892" s="3"/>
      <c r="W892" s="3"/>
      <c r="X892" s="3"/>
      <c r="Y892" s="3"/>
      <c r="Z892" s="3"/>
      <c r="AA892" s="3"/>
      <c r="AB892" s="3"/>
      <c r="AC892" s="3"/>
      <c r="AD892" s="3"/>
      <c r="AE892" s="3"/>
    </row>
    <row r="893">
      <c r="A893" s="3"/>
      <c r="B893" s="3"/>
      <c r="C893" s="3"/>
      <c r="D893" s="3"/>
      <c r="E893" s="3"/>
      <c r="F893" s="3"/>
      <c r="G893" s="3"/>
      <c r="H893" s="4"/>
      <c r="I893" s="8"/>
      <c r="J893" s="8"/>
      <c r="K893" s="3"/>
      <c r="L893" s="3"/>
      <c r="M893" s="3"/>
      <c r="N893" s="3"/>
      <c r="O893" s="3"/>
      <c r="P893" s="3"/>
      <c r="Q893" s="3"/>
      <c r="R893" s="3"/>
      <c r="S893" s="3"/>
      <c r="T893" s="3"/>
      <c r="U893" s="3"/>
      <c r="V893" s="3"/>
      <c r="W893" s="3"/>
      <c r="X893" s="3"/>
      <c r="Y893" s="3"/>
      <c r="Z893" s="3"/>
      <c r="AA893" s="3"/>
      <c r="AB893" s="3"/>
      <c r="AC893" s="3"/>
      <c r="AD893" s="3"/>
      <c r="AE893" s="3"/>
    </row>
    <row r="894">
      <c r="A894" s="3"/>
      <c r="B894" s="3"/>
      <c r="C894" s="3"/>
      <c r="D894" s="3"/>
      <c r="E894" s="3"/>
      <c r="F894" s="3"/>
      <c r="G894" s="3"/>
      <c r="H894" s="4"/>
      <c r="I894" s="8"/>
      <c r="J894" s="8"/>
      <c r="K894" s="3"/>
      <c r="L894" s="3"/>
      <c r="M894" s="3"/>
      <c r="N894" s="3"/>
      <c r="O894" s="3"/>
      <c r="P894" s="3"/>
      <c r="Q894" s="3"/>
      <c r="R894" s="3"/>
      <c r="S894" s="3"/>
      <c r="T894" s="3"/>
      <c r="U894" s="3"/>
      <c r="V894" s="3"/>
      <c r="W894" s="3"/>
      <c r="X894" s="3"/>
      <c r="Y894" s="3"/>
      <c r="Z894" s="3"/>
      <c r="AA894" s="3"/>
      <c r="AB894" s="3"/>
      <c r="AC894" s="3"/>
      <c r="AD894" s="3"/>
      <c r="AE894" s="3"/>
    </row>
    <row r="895">
      <c r="A895" s="3"/>
      <c r="B895" s="3"/>
      <c r="C895" s="3"/>
      <c r="D895" s="3"/>
      <c r="E895" s="3"/>
      <c r="F895" s="3"/>
      <c r="G895" s="3"/>
      <c r="H895" s="4"/>
      <c r="I895" s="8"/>
      <c r="J895" s="8"/>
      <c r="K895" s="3"/>
      <c r="L895" s="3"/>
      <c r="M895" s="3"/>
      <c r="N895" s="3"/>
      <c r="O895" s="3"/>
      <c r="P895" s="3"/>
      <c r="Q895" s="3"/>
      <c r="R895" s="3"/>
      <c r="S895" s="3"/>
      <c r="T895" s="3"/>
      <c r="U895" s="3"/>
      <c r="V895" s="3"/>
      <c r="W895" s="3"/>
      <c r="X895" s="3"/>
      <c r="Y895" s="3"/>
      <c r="Z895" s="3"/>
      <c r="AA895" s="3"/>
      <c r="AB895" s="3"/>
      <c r="AC895" s="3"/>
      <c r="AD895" s="3"/>
      <c r="AE895" s="3"/>
    </row>
    <row r="896">
      <c r="A896" s="3"/>
      <c r="B896" s="3"/>
      <c r="C896" s="3"/>
      <c r="D896" s="3"/>
      <c r="E896" s="3"/>
      <c r="F896" s="3"/>
      <c r="G896" s="3"/>
      <c r="H896" s="4"/>
      <c r="I896" s="8"/>
      <c r="J896" s="8"/>
      <c r="K896" s="3"/>
      <c r="L896" s="3"/>
      <c r="M896" s="3"/>
      <c r="N896" s="3"/>
      <c r="O896" s="3"/>
      <c r="P896" s="3"/>
      <c r="Q896" s="3"/>
      <c r="R896" s="3"/>
      <c r="S896" s="3"/>
      <c r="T896" s="3"/>
      <c r="U896" s="3"/>
      <c r="V896" s="3"/>
      <c r="W896" s="3"/>
      <c r="X896" s="3"/>
      <c r="Y896" s="3"/>
      <c r="Z896" s="3"/>
      <c r="AA896" s="3"/>
      <c r="AB896" s="3"/>
      <c r="AC896" s="3"/>
      <c r="AD896" s="3"/>
      <c r="AE896" s="3"/>
    </row>
    <row r="897">
      <c r="A897" s="3"/>
      <c r="B897" s="3"/>
      <c r="C897" s="3"/>
      <c r="D897" s="3"/>
      <c r="E897" s="3"/>
      <c r="F897" s="3"/>
      <c r="G897" s="3"/>
      <c r="H897" s="4"/>
      <c r="I897" s="8"/>
      <c r="J897" s="8"/>
      <c r="K897" s="3"/>
      <c r="L897" s="3"/>
      <c r="M897" s="3"/>
      <c r="N897" s="3"/>
      <c r="O897" s="3"/>
      <c r="P897" s="3"/>
      <c r="Q897" s="3"/>
      <c r="R897" s="3"/>
      <c r="S897" s="3"/>
      <c r="T897" s="3"/>
      <c r="U897" s="3"/>
      <c r="V897" s="3"/>
      <c r="W897" s="3"/>
      <c r="X897" s="3"/>
      <c r="Y897" s="3"/>
      <c r="Z897" s="3"/>
      <c r="AA897" s="3"/>
      <c r="AB897" s="3"/>
      <c r="AC897" s="3"/>
      <c r="AD897" s="3"/>
      <c r="AE897" s="3"/>
    </row>
    <row r="898">
      <c r="A898" s="3"/>
      <c r="B898" s="3"/>
      <c r="C898" s="3"/>
      <c r="D898" s="3"/>
      <c r="E898" s="3"/>
      <c r="F898" s="3"/>
      <c r="G898" s="3"/>
      <c r="H898" s="4"/>
      <c r="I898" s="8"/>
      <c r="J898" s="8"/>
      <c r="K898" s="3"/>
      <c r="L898" s="3"/>
      <c r="M898" s="3"/>
      <c r="N898" s="3"/>
      <c r="O898" s="3"/>
      <c r="P898" s="3"/>
      <c r="Q898" s="3"/>
      <c r="R898" s="3"/>
      <c r="S898" s="3"/>
      <c r="T898" s="3"/>
      <c r="U898" s="3"/>
      <c r="V898" s="3"/>
      <c r="W898" s="3"/>
      <c r="X898" s="3"/>
      <c r="Y898" s="3"/>
      <c r="Z898" s="3"/>
      <c r="AA898" s="3"/>
      <c r="AB898" s="3"/>
      <c r="AC898" s="3"/>
      <c r="AD898" s="3"/>
      <c r="AE898" s="3"/>
    </row>
    <row r="899">
      <c r="A899" s="3"/>
      <c r="B899" s="3"/>
      <c r="C899" s="3"/>
      <c r="D899" s="3"/>
      <c r="E899" s="3"/>
      <c r="F899" s="3"/>
      <c r="G899" s="3"/>
      <c r="H899" s="4"/>
      <c r="I899" s="8"/>
      <c r="J899" s="8"/>
      <c r="K899" s="3"/>
      <c r="L899" s="3"/>
      <c r="M899" s="3"/>
      <c r="N899" s="3"/>
      <c r="O899" s="3"/>
      <c r="P899" s="3"/>
      <c r="Q899" s="3"/>
      <c r="R899" s="3"/>
      <c r="S899" s="3"/>
      <c r="T899" s="3"/>
      <c r="U899" s="3"/>
      <c r="V899" s="3"/>
      <c r="W899" s="3"/>
      <c r="X899" s="3"/>
      <c r="Y899" s="3"/>
      <c r="Z899" s="3"/>
      <c r="AA899" s="3"/>
      <c r="AB899" s="3"/>
      <c r="AC899" s="3"/>
      <c r="AD899" s="3"/>
      <c r="AE899" s="3"/>
    </row>
    <row r="900">
      <c r="A900" s="3"/>
      <c r="B900" s="3"/>
      <c r="C900" s="3"/>
      <c r="D900" s="3"/>
      <c r="E900" s="3"/>
      <c r="F900" s="3"/>
      <c r="G900" s="3"/>
      <c r="H900" s="4"/>
      <c r="I900" s="8"/>
      <c r="J900" s="8"/>
      <c r="K900" s="3"/>
      <c r="L900" s="3"/>
      <c r="M900" s="3"/>
      <c r="N900" s="3"/>
      <c r="O900" s="3"/>
      <c r="P900" s="3"/>
      <c r="Q900" s="3"/>
      <c r="R900" s="3"/>
      <c r="S900" s="3"/>
      <c r="T900" s="3"/>
      <c r="U900" s="3"/>
      <c r="V900" s="3"/>
      <c r="W900" s="3"/>
      <c r="X900" s="3"/>
      <c r="Y900" s="3"/>
      <c r="Z900" s="3"/>
      <c r="AA900" s="3"/>
      <c r="AB900" s="3"/>
      <c r="AC900" s="3"/>
      <c r="AD900" s="3"/>
      <c r="AE900" s="3"/>
    </row>
    <row r="901">
      <c r="A901" s="3"/>
      <c r="B901" s="3"/>
      <c r="C901" s="3"/>
      <c r="D901" s="3"/>
      <c r="E901" s="3"/>
      <c r="F901" s="3"/>
      <c r="G901" s="3"/>
      <c r="H901" s="4"/>
      <c r="I901" s="8"/>
      <c r="J901" s="8"/>
      <c r="K901" s="3"/>
      <c r="L901" s="3"/>
      <c r="M901" s="3"/>
      <c r="N901" s="3"/>
      <c r="O901" s="3"/>
      <c r="P901" s="3"/>
      <c r="Q901" s="3"/>
      <c r="R901" s="3"/>
      <c r="S901" s="3"/>
      <c r="T901" s="3"/>
      <c r="U901" s="3"/>
      <c r="V901" s="3"/>
      <c r="W901" s="3"/>
      <c r="X901" s="3"/>
      <c r="Y901" s="3"/>
      <c r="Z901" s="3"/>
      <c r="AA901" s="3"/>
      <c r="AB901" s="3"/>
      <c r="AC901" s="3"/>
      <c r="AD901" s="3"/>
      <c r="AE901" s="3"/>
    </row>
    <row r="902">
      <c r="A902" s="3"/>
      <c r="B902" s="3"/>
      <c r="C902" s="3"/>
      <c r="D902" s="3"/>
      <c r="E902" s="3"/>
      <c r="F902" s="3"/>
      <c r="G902" s="3"/>
      <c r="H902" s="4"/>
      <c r="I902" s="8"/>
      <c r="J902" s="8"/>
      <c r="K902" s="3"/>
      <c r="L902" s="3"/>
      <c r="M902" s="3"/>
      <c r="N902" s="3"/>
      <c r="O902" s="3"/>
      <c r="P902" s="3"/>
      <c r="Q902" s="3"/>
      <c r="R902" s="3"/>
      <c r="S902" s="3"/>
      <c r="T902" s="3"/>
      <c r="U902" s="3"/>
      <c r="V902" s="3"/>
      <c r="W902" s="3"/>
      <c r="X902" s="3"/>
      <c r="Y902" s="3"/>
      <c r="Z902" s="3"/>
      <c r="AA902" s="3"/>
      <c r="AB902" s="3"/>
      <c r="AC902" s="3"/>
      <c r="AD902" s="3"/>
      <c r="AE902" s="3"/>
    </row>
    <row r="903">
      <c r="A903" s="3"/>
      <c r="B903" s="3"/>
      <c r="C903" s="3"/>
      <c r="D903" s="3"/>
      <c r="E903" s="3"/>
      <c r="F903" s="3"/>
      <c r="G903" s="3"/>
      <c r="H903" s="4"/>
      <c r="I903" s="8"/>
      <c r="J903" s="8"/>
      <c r="K903" s="3"/>
      <c r="L903" s="3"/>
      <c r="M903" s="3"/>
      <c r="N903" s="3"/>
      <c r="O903" s="3"/>
      <c r="P903" s="3"/>
      <c r="Q903" s="3"/>
      <c r="R903" s="3"/>
      <c r="S903" s="3"/>
      <c r="T903" s="3"/>
      <c r="U903" s="3"/>
      <c r="V903" s="3"/>
      <c r="W903" s="3"/>
      <c r="X903" s="3"/>
      <c r="Y903" s="3"/>
      <c r="Z903" s="3"/>
      <c r="AA903" s="3"/>
      <c r="AB903" s="3"/>
      <c r="AC903" s="3"/>
      <c r="AD903" s="3"/>
      <c r="AE903" s="3"/>
    </row>
    <row r="904">
      <c r="A904" s="3"/>
      <c r="B904" s="3"/>
      <c r="C904" s="3"/>
      <c r="D904" s="3"/>
      <c r="E904" s="3"/>
      <c r="F904" s="3"/>
      <c r="G904" s="3"/>
      <c r="H904" s="4"/>
      <c r="I904" s="8"/>
      <c r="J904" s="8"/>
      <c r="K904" s="3"/>
      <c r="L904" s="3"/>
      <c r="M904" s="3"/>
      <c r="N904" s="3"/>
      <c r="O904" s="3"/>
      <c r="P904" s="3"/>
      <c r="Q904" s="3"/>
      <c r="R904" s="3"/>
      <c r="S904" s="3"/>
      <c r="T904" s="3"/>
      <c r="U904" s="3"/>
      <c r="V904" s="3"/>
      <c r="W904" s="3"/>
      <c r="X904" s="3"/>
      <c r="Y904" s="3"/>
      <c r="Z904" s="3"/>
      <c r="AA904" s="3"/>
      <c r="AB904" s="3"/>
      <c r="AC904" s="3"/>
      <c r="AD904" s="3"/>
      <c r="AE904" s="3"/>
    </row>
    <row r="905">
      <c r="A905" s="3"/>
      <c r="B905" s="3"/>
      <c r="C905" s="3"/>
      <c r="D905" s="3"/>
      <c r="E905" s="3"/>
      <c r="F905" s="3"/>
      <c r="G905" s="3"/>
      <c r="H905" s="4"/>
      <c r="I905" s="8"/>
      <c r="J905" s="8"/>
      <c r="K905" s="3"/>
      <c r="L905" s="3"/>
      <c r="M905" s="3"/>
      <c r="N905" s="3"/>
      <c r="O905" s="3"/>
      <c r="P905" s="3"/>
      <c r="Q905" s="3"/>
      <c r="R905" s="3"/>
      <c r="S905" s="3"/>
      <c r="T905" s="3"/>
      <c r="U905" s="3"/>
      <c r="V905" s="3"/>
      <c r="W905" s="3"/>
      <c r="X905" s="3"/>
      <c r="Y905" s="3"/>
      <c r="Z905" s="3"/>
      <c r="AA905" s="3"/>
      <c r="AB905" s="3"/>
      <c r="AC905" s="3"/>
      <c r="AD905" s="3"/>
      <c r="AE905" s="3"/>
    </row>
    <row r="906">
      <c r="A906" s="3"/>
      <c r="B906" s="3"/>
      <c r="C906" s="3"/>
      <c r="D906" s="3"/>
      <c r="E906" s="3"/>
      <c r="F906" s="3"/>
      <c r="G906" s="3"/>
      <c r="H906" s="4"/>
      <c r="I906" s="8"/>
      <c r="J906" s="8"/>
      <c r="K906" s="3"/>
      <c r="L906" s="3"/>
      <c r="M906" s="3"/>
      <c r="N906" s="3"/>
      <c r="O906" s="3"/>
      <c r="P906" s="3"/>
      <c r="Q906" s="3"/>
      <c r="R906" s="3"/>
      <c r="S906" s="3"/>
      <c r="T906" s="3"/>
      <c r="U906" s="3"/>
      <c r="V906" s="3"/>
      <c r="W906" s="3"/>
      <c r="X906" s="3"/>
      <c r="Y906" s="3"/>
      <c r="Z906" s="3"/>
      <c r="AA906" s="3"/>
      <c r="AB906" s="3"/>
      <c r="AC906" s="3"/>
      <c r="AD906" s="3"/>
      <c r="AE906" s="3"/>
    </row>
    <row r="907">
      <c r="A907" s="3"/>
      <c r="B907" s="3"/>
      <c r="C907" s="3"/>
      <c r="D907" s="3"/>
      <c r="E907" s="3"/>
      <c r="F907" s="3"/>
      <c r="G907" s="3"/>
      <c r="H907" s="4"/>
      <c r="I907" s="8"/>
      <c r="J907" s="8"/>
      <c r="K907" s="3"/>
      <c r="L907" s="3"/>
      <c r="M907" s="3"/>
      <c r="N907" s="3"/>
      <c r="O907" s="3"/>
      <c r="P907" s="3"/>
      <c r="Q907" s="3"/>
      <c r="R907" s="3"/>
      <c r="S907" s="3"/>
      <c r="T907" s="3"/>
      <c r="U907" s="3"/>
      <c r="V907" s="3"/>
      <c r="W907" s="3"/>
      <c r="X907" s="3"/>
      <c r="Y907" s="3"/>
      <c r="Z907" s="3"/>
      <c r="AA907" s="3"/>
      <c r="AB907" s="3"/>
      <c r="AC907" s="3"/>
      <c r="AD907" s="3"/>
      <c r="AE907" s="3"/>
    </row>
    <row r="908">
      <c r="A908" s="3"/>
      <c r="B908" s="3"/>
      <c r="C908" s="3"/>
      <c r="D908" s="3"/>
      <c r="E908" s="3"/>
      <c r="F908" s="3"/>
      <c r="G908" s="3"/>
      <c r="H908" s="4"/>
      <c r="I908" s="8"/>
      <c r="J908" s="8"/>
      <c r="K908" s="3"/>
      <c r="L908" s="3"/>
      <c r="M908" s="3"/>
      <c r="N908" s="3"/>
      <c r="O908" s="3"/>
      <c r="P908" s="3"/>
      <c r="Q908" s="3"/>
      <c r="R908" s="3"/>
      <c r="S908" s="3"/>
      <c r="T908" s="3"/>
      <c r="U908" s="3"/>
      <c r="V908" s="3"/>
      <c r="W908" s="3"/>
      <c r="X908" s="3"/>
      <c r="Y908" s="3"/>
      <c r="Z908" s="3"/>
      <c r="AA908" s="3"/>
      <c r="AB908" s="3"/>
      <c r="AC908" s="3"/>
      <c r="AD908" s="3"/>
      <c r="AE908" s="3"/>
    </row>
    <row r="909">
      <c r="A909" s="3"/>
      <c r="B909" s="3"/>
      <c r="C909" s="3"/>
      <c r="D909" s="3"/>
      <c r="E909" s="3"/>
      <c r="F909" s="3"/>
      <c r="G909" s="3"/>
      <c r="H909" s="4"/>
      <c r="I909" s="8"/>
      <c r="J909" s="8"/>
      <c r="K909" s="3"/>
      <c r="L909" s="3"/>
      <c r="M909" s="3"/>
      <c r="N909" s="3"/>
      <c r="O909" s="3"/>
      <c r="P909" s="3"/>
      <c r="Q909" s="3"/>
      <c r="R909" s="3"/>
      <c r="S909" s="3"/>
      <c r="T909" s="3"/>
      <c r="U909" s="3"/>
      <c r="V909" s="3"/>
      <c r="W909" s="3"/>
      <c r="X909" s="3"/>
      <c r="Y909" s="3"/>
      <c r="Z909" s="3"/>
      <c r="AA909" s="3"/>
      <c r="AB909" s="3"/>
      <c r="AC909" s="3"/>
      <c r="AD909" s="3"/>
      <c r="AE909" s="3"/>
    </row>
    <row r="910">
      <c r="A910" s="3"/>
      <c r="B910" s="3"/>
      <c r="C910" s="3"/>
      <c r="D910" s="3"/>
      <c r="E910" s="3"/>
      <c r="F910" s="3"/>
      <c r="G910" s="3"/>
      <c r="H910" s="4"/>
      <c r="I910" s="8"/>
      <c r="J910" s="8"/>
      <c r="K910" s="3"/>
      <c r="L910" s="3"/>
      <c r="M910" s="3"/>
      <c r="N910" s="3"/>
      <c r="O910" s="3"/>
      <c r="P910" s="3"/>
      <c r="Q910" s="3"/>
      <c r="R910" s="3"/>
      <c r="S910" s="3"/>
      <c r="T910" s="3"/>
      <c r="U910" s="3"/>
      <c r="V910" s="3"/>
      <c r="W910" s="3"/>
      <c r="X910" s="3"/>
      <c r="Y910" s="3"/>
      <c r="Z910" s="3"/>
      <c r="AA910" s="3"/>
      <c r="AB910" s="3"/>
      <c r="AC910" s="3"/>
      <c r="AD910" s="3"/>
      <c r="AE910" s="3"/>
    </row>
    <row r="911">
      <c r="A911" s="3"/>
      <c r="B911" s="3"/>
      <c r="C911" s="3"/>
      <c r="D911" s="3"/>
      <c r="E911" s="3"/>
      <c r="F911" s="3"/>
      <c r="G911" s="3"/>
      <c r="H911" s="4"/>
      <c r="I911" s="8"/>
      <c r="J911" s="8"/>
      <c r="K911" s="3"/>
      <c r="L911" s="3"/>
      <c r="M911" s="3"/>
      <c r="N911" s="3"/>
      <c r="O911" s="3"/>
      <c r="P911" s="3"/>
      <c r="Q911" s="3"/>
      <c r="R911" s="3"/>
      <c r="S911" s="3"/>
      <c r="T911" s="3"/>
      <c r="U911" s="3"/>
      <c r="V911" s="3"/>
      <c r="W911" s="3"/>
      <c r="X911" s="3"/>
      <c r="Y911" s="3"/>
      <c r="Z911" s="3"/>
      <c r="AA911" s="3"/>
      <c r="AB911" s="3"/>
      <c r="AC911" s="3"/>
      <c r="AD911" s="3"/>
      <c r="AE911" s="3"/>
    </row>
    <row r="912">
      <c r="A912" s="3"/>
      <c r="B912" s="3"/>
      <c r="C912" s="3"/>
      <c r="D912" s="3"/>
      <c r="E912" s="3"/>
      <c r="F912" s="3"/>
      <c r="G912" s="3"/>
      <c r="H912" s="4"/>
      <c r="I912" s="8"/>
      <c r="J912" s="8"/>
      <c r="K912" s="3"/>
      <c r="L912" s="3"/>
      <c r="M912" s="3"/>
      <c r="N912" s="3"/>
      <c r="O912" s="3"/>
      <c r="P912" s="3"/>
      <c r="Q912" s="3"/>
      <c r="R912" s="3"/>
      <c r="S912" s="3"/>
      <c r="T912" s="3"/>
      <c r="U912" s="3"/>
      <c r="V912" s="3"/>
      <c r="W912" s="3"/>
      <c r="X912" s="3"/>
      <c r="Y912" s="3"/>
      <c r="Z912" s="3"/>
      <c r="AA912" s="3"/>
      <c r="AB912" s="3"/>
      <c r="AC912" s="3"/>
      <c r="AD912" s="3"/>
      <c r="AE912" s="3"/>
    </row>
    <row r="913">
      <c r="A913" s="3"/>
      <c r="B913" s="3"/>
      <c r="C913" s="3"/>
      <c r="D913" s="3"/>
      <c r="E913" s="3"/>
      <c r="F913" s="3"/>
      <c r="G913" s="3"/>
      <c r="H913" s="4"/>
      <c r="I913" s="8"/>
      <c r="J913" s="8"/>
      <c r="K913" s="3"/>
      <c r="L913" s="3"/>
      <c r="M913" s="3"/>
      <c r="N913" s="3"/>
      <c r="O913" s="3"/>
      <c r="P913" s="3"/>
      <c r="Q913" s="3"/>
      <c r="R913" s="3"/>
      <c r="S913" s="3"/>
      <c r="T913" s="3"/>
      <c r="U913" s="3"/>
      <c r="V913" s="3"/>
      <c r="W913" s="3"/>
      <c r="X913" s="3"/>
      <c r="Y913" s="3"/>
      <c r="Z913" s="3"/>
      <c r="AA913" s="3"/>
      <c r="AB913" s="3"/>
      <c r="AC913" s="3"/>
      <c r="AD913" s="3"/>
      <c r="AE913" s="3"/>
    </row>
    <row r="914">
      <c r="A914" s="3"/>
      <c r="B914" s="3"/>
      <c r="C914" s="3"/>
      <c r="D914" s="3"/>
      <c r="E914" s="3"/>
      <c r="F914" s="3"/>
      <c r="G914" s="3"/>
      <c r="H914" s="4"/>
      <c r="I914" s="8"/>
      <c r="J914" s="8"/>
      <c r="K914" s="3"/>
      <c r="L914" s="3"/>
      <c r="M914" s="3"/>
      <c r="N914" s="3"/>
      <c r="O914" s="3"/>
      <c r="P914" s="3"/>
      <c r="Q914" s="3"/>
      <c r="R914" s="3"/>
      <c r="S914" s="3"/>
      <c r="T914" s="3"/>
      <c r="U914" s="3"/>
      <c r="V914" s="3"/>
      <c r="W914" s="3"/>
      <c r="X914" s="3"/>
      <c r="Y914" s="3"/>
      <c r="Z914" s="3"/>
      <c r="AA914" s="3"/>
      <c r="AB914" s="3"/>
      <c r="AC914" s="3"/>
      <c r="AD914" s="3"/>
      <c r="AE914" s="3"/>
    </row>
    <row r="915">
      <c r="A915" s="3"/>
      <c r="B915" s="3"/>
      <c r="C915" s="3"/>
      <c r="D915" s="3"/>
      <c r="E915" s="3"/>
      <c r="F915" s="3"/>
      <c r="G915" s="3"/>
      <c r="H915" s="4"/>
      <c r="I915" s="8"/>
      <c r="J915" s="8"/>
      <c r="K915" s="3"/>
      <c r="L915" s="3"/>
      <c r="M915" s="3"/>
      <c r="N915" s="3"/>
      <c r="O915" s="3"/>
      <c r="P915" s="3"/>
      <c r="Q915" s="3"/>
      <c r="R915" s="3"/>
      <c r="S915" s="3"/>
      <c r="T915" s="3"/>
      <c r="U915" s="3"/>
      <c r="V915" s="3"/>
      <c r="W915" s="3"/>
      <c r="X915" s="3"/>
      <c r="Y915" s="3"/>
      <c r="Z915" s="3"/>
      <c r="AA915" s="3"/>
      <c r="AB915" s="3"/>
      <c r="AC915" s="3"/>
      <c r="AD915" s="3"/>
      <c r="AE915" s="3"/>
    </row>
    <row r="916">
      <c r="A916" s="3"/>
      <c r="B916" s="3"/>
      <c r="C916" s="3"/>
      <c r="D916" s="3"/>
      <c r="E916" s="3"/>
      <c r="F916" s="3"/>
      <c r="G916" s="3"/>
      <c r="H916" s="4"/>
      <c r="I916" s="8"/>
      <c r="J916" s="8"/>
      <c r="K916" s="3"/>
      <c r="L916" s="3"/>
      <c r="M916" s="3"/>
      <c r="N916" s="3"/>
      <c r="O916" s="3"/>
      <c r="P916" s="3"/>
      <c r="Q916" s="3"/>
      <c r="R916" s="3"/>
      <c r="S916" s="3"/>
      <c r="T916" s="3"/>
      <c r="U916" s="3"/>
      <c r="V916" s="3"/>
      <c r="W916" s="3"/>
      <c r="X916" s="3"/>
      <c r="Y916" s="3"/>
      <c r="Z916" s="3"/>
      <c r="AA916" s="3"/>
      <c r="AB916" s="3"/>
      <c r="AC916" s="3"/>
      <c r="AD916" s="3"/>
      <c r="AE916" s="3"/>
    </row>
    <row r="917">
      <c r="A917" s="3"/>
      <c r="B917" s="3"/>
      <c r="C917" s="3"/>
      <c r="D917" s="3"/>
      <c r="E917" s="3"/>
      <c r="F917" s="3"/>
      <c r="G917" s="3"/>
      <c r="H917" s="4"/>
      <c r="I917" s="8"/>
      <c r="J917" s="8"/>
      <c r="K917" s="3"/>
      <c r="L917" s="3"/>
      <c r="M917" s="3"/>
      <c r="N917" s="3"/>
      <c r="O917" s="3"/>
      <c r="P917" s="3"/>
      <c r="Q917" s="3"/>
      <c r="R917" s="3"/>
      <c r="S917" s="3"/>
      <c r="T917" s="3"/>
      <c r="U917" s="3"/>
      <c r="V917" s="3"/>
      <c r="W917" s="3"/>
      <c r="X917" s="3"/>
      <c r="Y917" s="3"/>
      <c r="Z917" s="3"/>
      <c r="AA917" s="3"/>
      <c r="AB917" s="3"/>
      <c r="AC917" s="3"/>
      <c r="AD917" s="3"/>
      <c r="AE917" s="3"/>
    </row>
    <row r="918">
      <c r="A918" s="3"/>
      <c r="B918" s="3"/>
      <c r="C918" s="3"/>
      <c r="D918" s="3"/>
      <c r="E918" s="3"/>
      <c r="F918" s="3"/>
      <c r="G918" s="3"/>
      <c r="H918" s="4"/>
      <c r="I918" s="8"/>
      <c r="J918" s="8"/>
      <c r="K918" s="3"/>
      <c r="L918" s="3"/>
      <c r="M918" s="3"/>
      <c r="N918" s="3"/>
      <c r="O918" s="3"/>
      <c r="P918" s="3"/>
      <c r="Q918" s="3"/>
      <c r="R918" s="3"/>
      <c r="S918" s="3"/>
      <c r="T918" s="3"/>
      <c r="U918" s="3"/>
      <c r="V918" s="3"/>
      <c r="W918" s="3"/>
      <c r="X918" s="3"/>
      <c r="Y918" s="3"/>
      <c r="Z918" s="3"/>
      <c r="AA918" s="3"/>
      <c r="AB918" s="3"/>
      <c r="AC918" s="3"/>
      <c r="AD918" s="3"/>
      <c r="AE918" s="3"/>
    </row>
    <row r="919">
      <c r="A919" s="3"/>
      <c r="B919" s="3"/>
      <c r="C919" s="3"/>
      <c r="D919" s="3"/>
      <c r="E919" s="3"/>
      <c r="F919" s="3"/>
      <c r="G919" s="3"/>
      <c r="H919" s="4"/>
      <c r="I919" s="8"/>
      <c r="J919" s="8"/>
      <c r="K919" s="3"/>
      <c r="L919" s="3"/>
      <c r="M919" s="3"/>
      <c r="N919" s="3"/>
      <c r="O919" s="3"/>
      <c r="P919" s="3"/>
      <c r="Q919" s="3"/>
      <c r="R919" s="3"/>
      <c r="S919" s="3"/>
      <c r="T919" s="3"/>
      <c r="U919" s="3"/>
      <c r="V919" s="3"/>
      <c r="W919" s="3"/>
      <c r="X919" s="3"/>
      <c r="Y919" s="3"/>
      <c r="Z919" s="3"/>
      <c r="AA919" s="3"/>
      <c r="AB919" s="3"/>
      <c r="AC919" s="3"/>
      <c r="AD919" s="3"/>
      <c r="AE919" s="3"/>
    </row>
    <row r="920">
      <c r="A920" s="3"/>
      <c r="B920" s="3"/>
      <c r="C920" s="3"/>
      <c r="D920" s="3"/>
      <c r="E920" s="3"/>
      <c r="F920" s="3"/>
      <c r="G920" s="3"/>
      <c r="H920" s="4"/>
      <c r="I920" s="8"/>
      <c r="J920" s="8"/>
      <c r="K920" s="3"/>
      <c r="L920" s="3"/>
      <c r="M920" s="3"/>
      <c r="N920" s="3"/>
      <c r="O920" s="3"/>
      <c r="P920" s="3"/>
      <c r="Q920" s="3"/>
      <c r="R920" s="3"/>
      <c r="S920" s="3"/>
      <c r="T920" s="3"/>
      <c r="U920" s="3"/>
      <c r="V920" s="3"/>
      <c r="W920" s="3"/>
      <c r="X920" s="3"/>
      <c r="Y920" s="3"/>
      <c r="Z920" s="3"/>
      <c r="AA920" s="3"/>
      <c r="AB920" s="3"/>
      <c r="AC920" s="3"/>
      <c r="AD920" s="3"/>
      <c r="AE920" s="3"/>
    </row>
    <row r="921">
      <c r="A921" s="3"/>
      <c r="B921" s="3"/>
      <c r="C921" s="3"/>
      <c r="D921" s="3"/>
      <c r="E921" s="3"/>
      <c r="F921" s="3"/>
      <c r="G921" s="3"/>
      <c r="H921" s="4"/>
      <c r="I921" s="8"/>
      <c r="J921" s="8"/>
      <c r="K921" s="3"/>
      <c r="L921" s="3"/>
      <c r="M921" s="3"/>
      <c r="N921" s="3"/>
      <c r="O921" s="3"/>
      <c r="P921" s="3"/>
      <c r="Q921" s="3"/>
      <c r="R921" s="3"/>
      <c r="S921" s="3"/>
      <c r="T921" s="3"/>
      <c r="U921" s="3"/>
      <c r="V921" s="3"/>
      <c r="W921" s="3"/>
      <c r="X921" s="3"/>
      <c r="Y921" s="3"/>
      <c r="Z921" s="3"/>
      <c r="AA921" s="3"/>
      <c r="AB921" s="3"/>
      <c r="AC921" s="3"/>
      <c r="AD921" s="3"/>
      <c r="AE921" s="3"/>
    </row>
    <row r="922">
      <c r="A922" s="3"/>
      <c r="B922" s="3"/>
      <c r="C922" s="3"/>
      <c r="D922" s="3"/>
      <c r="E922" s="3"/>
      <c r="F922" s="3"/>
      <c r="G922" s="3"/>
      <c r="H922" s="4"/>
      <c r="I922" s="8"/>
      <c r="J922" s="8"/>
      <c r="K922" s="3"/>
      <c r="L922" s="3"/>
      <c r="M922" s="3"/>
      <c r="N922" s="3"/>
      <c r="O922" s="3"/>
      <c r="P922" s="3"/>
      <c r="Q922" s="3"/>
      <c r="R922" s="3"/>
      <c r="S922" s="3"/>
      <c r="T922" s="3"/>
      <c r="U922" s="3"/>
      <c r="V922" s="3"/>
      <c r="W922" s="3"/>
      <c r="X922" s="3"/>
      <c r="Y922" s="3"/>
      <c r="Z922" s="3"/>
      <c r="AA922" s="3"/>
      <c r="AB922" s="3"/>
      <c r="AC922" s="3"/>
      <c r="AD922" s="3"/>
      <c r="AE922" s="3"/>
    </row>
    <row r="923">
      <c r="A923" s="3"/>
      <c r="B923" s="3"/>
      <c r="C923" s="3"/>
      <c r="D923" s="3"/>
      <c r="E923" s="3"/>
      <c r="F923" s="3"/>
      <c r="G923" s="3"/>
      <c r="H923" s="4"/>
      <c r="I923" s="8"/>
      <c r="J923" s="8"/>
      <c r="K923" s="3"/>
      <c r="L923" s="3"/>
      <c r="M923" s="3"/>
      <c r="N923" s="3"/>
      <c r="O923" s="3"/>
      <c r="P923" s="3"/>
      <c r="Q923" s="3"/>
      <c r="R923" s="3"/>
      <c r="S923" s="3"/>
      <c r="T923" s="3"/>
      <c r="U923" s="3"/>
      <c r="V923" s="3"/>
      <c r="W923" s="3"/>
      <c r="X923" s="3"/>
      <c r="Y923" s="3"/>
      <c r="Z923" s="3"/>
      <c r="AA923" s="3"/>
      <c r="AB923" s="3"/>
      <c r="AC923" s="3"/>
      <c r="AD923" s="3"/>
      <c r="AE923" s="3"/>
    </row>
    <row r="924">
      <c r="A924" s="3"/>
      <c r="B924" s="3"/>
      <c r="C924" s="3"/>
      <c r="D924" s="3"/>
      <c r="E924" s="3"/>
      <c r="F924" s="3"/>
      <c r="G924" s="3"/>
      <c r="H924" s="4"/>
      <c r="I924" s="8"/>
      <c r="J924" s="8"/>
      <c r="K924" s="3"/>
      <c r="L924" s="3"/>
      <c r="M924" s="3"/>
      <c r="N924" s="3"/>
      <c r="O924" s="3"/>
      <c r="P924" s="3"/>
      <c r="Q924" s="3"/>
      <c r="R924" s="3"/>
      <c r="S924" s="3"/>
      <c r="T924" s="3"/>
      <c r="U924" s="3"/>
      <c r="V924" s="3"/>
      <c r="W924" s="3"/>
      <c r="X924" s="3"/>
      <c r="Y924" s="3"/>
      <c r="Z924" s="3"/>
      <c r="AA924" s="3"/>
      <c r="AB924" s="3"/>
      <c r="AC924" s="3"/>
      <c r="AD924" s="3"/>
      <c r="AE924" s="3"/>
    </row>
    <row r="925">
      <c r="A925" s="3"/>
      <c r="B925" s="3"/>
      <c r="C925" s="3"/>
      <c r="D925" s="3"/>
      <c r="E925" s="3"/>
      <c r="F925" s="3"/>
      <c r="G925" s="3"/>
      <c r="H925" s="4"/>
      <c r="I925" s="8"/>
      <c r="J925" s="8"/>
      <c r="K925" s="3"/>
      <c r="L925" s="3"/>
      <c r="M925" s="3"/>
      <c r="N925" s="3"/>
      <c r="O925" s="3"/>
      <c r="P925" s="3"/>
      <c r="Q925" s="3"/>
      <c r="R925" s="3"/>
      <c r="S925" s="3"/>
      <c r="T925" s="3"/>
      <c r="U925" s="3"/>
      <c r="V925" s="3"/>
      <c r="W925" s="3"/>
      <c r="X925" s="3"/>
      <c r="Y925" s="3"/>
      <c r="Z925" s="3"/>
      <c r="AA925" s="3"/>
      <c r="AB925" s="3"/>
      <c r="AC925" s="3"/>
      <c r="AD925" s="3"/>
      <c r="AE925" s="3"/>
    </row>
    <row r="926">
      <c r="A926" s="3"/>
      <c r="B926" s="3"/>
      <c r="C926" s="3"/>
      <c r="D926" s="3"/>
      <c r="E926" s="3"/>
      <c r="F926" s="3"/>
      <c r="G926" s="3"/>
      <c r="H926" s="4"/>
      <c r="I926" s="8"/>
      <c r="J926" s="8"/>
      <c r="K926" s="3"/>
      <c r="L926" s="3"/>
      <c r="M926" s="3"/>
      <c r="N926" s="3"/>
      <c r="O926" s="3"/>
      <c r="P926" s="3"/>
      <c r="Q926" s="3"/>
      <c r="R926" s="3"/>
      <c r="S926" s="3"/>
      <c r="T926" s="3"/>
      <c r="U926" s="3"/>
      <c r="V926" s="3"/>
      <c r="W926" s="3"/>
      <c r="X926" s="3"/>
      <c r="Y926" s="3"/>
      <c r="Z926" s="3"/>
      <c r="AA926" s="3"/>
      <c r="AB926" s="3"/>
      <c r="AC926" s="3"/>
      <c r="AD926" s="3"/>
      <c r="AE926" s="3"/>
    </row>
    <row r="927">
      <c r="A927" s="3"/>
      <c r="B927" s="3"/>
      <c r="C927" s="3"/>
      <c r="D927" s="3"/>
      <c r="E927" s="3"/>
      <c r="F927" s="3"/>
      <c r="G927" s="3"/>
      <c r="H927" s="4"/>
      <c r="I927" s="8"/>
      <c r="J927" s="8"/>
      <c r="K927" s="3"/>
      <c r="L927" s="3"/>
      <c r="M927" s="3"/>
      <c r="N927" s="3"/>
      <c r="O927" s="3"/>
      <c r="P927" s="3"/>
      <c r="Q927" s="3"/>
      <c r="R927" s="3"/>
      <c r="S927" s="3"/>
      <c r="T927" s="3"/>
      <c r="U927" s="3"/>
      <c r="V927" s="3"/>
      <c r="W927" s="3"/>
      <c r="X927" s="3"/>
      <c r="Y927" s="3"/>
      <c r="Z927" s="3"/>
      <c r="AA927" s="3"/>
      <c r="AB927" s="3"/>
      <c r="AC927" s="3"/>
      <c r="AD927" s="3"/>
      <c r="AE927" s="3"/>
    </row>
    <row r="928">
      <c r="A928" s="3"/>
      <c r="B928" s="3"/>
      <c r="C928" s="3"/>
      <c r="D928" s="3"/>
      <c r="E928" s="3"/>
      <c r="F928" s="3"/>
      <c r="G928" s="3"/>
      <c r="H928" s="4"/>
      <c r="I928" s="8"/>
      <c r="J928" s="8"/>
      <c r="K928" s="3"/>
      <c r="L928" s="3"/>
      <c r="M928" s="3"/>
      <c r="N928" s="3"/>
      <c r="O928" s="3"/>
      <c r="P928" s="3"/>
      <c r="Q928" s="3"/>
      <c r="R928" s="3"/>
      <c r="S928" s="3"/>
      <c r="T928" s="3"/>
      <c r="U928" s="3"/>
      <c r="V928" s="3"/>
      <c r="W928" s="3"/>
      <c r="X928" s="3"/>
      <c r="Y928" s="3"/>
      <c r="Z928" s="3"/>
      <c r="AA928" s="3"/>
      <c r="AB928" s="3"/>
      <c r="AC928" s="3"/>
      <c r="AD928" s="3"/>
      <c r="AE928" s="3"/>
    </row>
    <row r="929">
      <c r="A929" s="3"/>
      <c r="B929" s="3"/>
      <c r="C929" s="3"/>
      <c r="D929" s="3"/>
      <c r="E929" s="3"/>
      <c r="F929" s="3"/>
      <c r="G929" s="3"/>
      <c r="H929" s="4"/>
      <c r="I929" s="8"/>
      <c r="J929" s="8"/>
      <c r="K929" s="3"/>
      <c r="L929" s="3"/>
      <c r="M929" s="3"/>
      <c r="N929" s="3"/>
      <c r="O929" s="3"/>
      <c r="P929" s="3"/>
      <c r="Q929" s="3"/>
      <c r="R929" s="3"/>
      <c r="S929" s="3"/>
      <c r="T929" s="3"/>
      <c r="U929" s="3"/>
      <c r="V929" s="3"/>
      <c r="W929" s="3"/>
      <c r="X929" s="3"/>
      <c r="Y929" s="3"/>
      <c r="Z929" s="3"/>
      <c r="AA929" s="3"/>
      <c r="AB929" s="3"/>
      <c r="AC929" s="3"/>
      <c r="AD929" s="3"/>
      <c r="AE929" s="3"/>
    </row>
    <row r="930">
      <c r="A930" s="3"/>
      <c r="B930" s="3"/>
      <c r="C930" s="3"/>
      <c r="D930" s="3"/>
      <c r="E930" s="3"/>
      <c r="F930" s="3"/>
      <c r="G930" s="3"/>
      <c r="H930" s="4"/>
      <c r="I930" s="8"/>
      <c r="J930" s="8"/>
      <c r="K930" s="3"/>
      <c r="L930" s="3"/>
      <c r="M930" s="3"/>
      <c r="N930" s="3"/>
      <c r="O930" s="3"/>
      <c r="P930" s="3"/>
      <c r="Q930" s="3"/>
      <c r="R930" s="3"/>
      <c r="S930" s="3"/>
      <c r="T930" s="3"/>
      <c r="U930" s="3"/>
      <c r="V930" s="3"/>
      <c r="W930" s="3"/>
      <c r="X930" s="3"/>
      <c r="Y930" s="3"/>
      <c r="Z930" s="3"/>
      <c r="AA930" s="3"/>
      <c r="AB930" s="3"/>
      <c r="AC930" s="3"/>
      <c r="AD930" s="3"/>
      <c r="AE930" s="3"/>
    </row>
    <row r="931">
      <c r="A931" s="3"/>
      <c r="B931" s="3"/>
      <c r="C931" s="3"/>
      <c r="D931" s="3"/>
      <c r="E931" s="3"/>
      <c r="F931" s="3"/>
      <c r="G931" s="3"/>
      <c r="H931" s="4"/>
      <c r="I931" s="8"/>
      <c r="J931" s="8"/>
      <c r="K931" s="3"/>
      <c r="L931" s="3"/>
      <c r="M931" s="3"/>
      <c r="N931" s="3"/>
      <c r="O931" s="3"/>
      <c r="P931" s="3"/>
      <c r="Q931" s="3"/>
      <c r="R931" s="3"/>
      <c r="S931" s="3"/>
      <c r="T931" s="3"/>
      <c r="U931" s="3"/>
      <c r="V931" s="3"/>
      <c r="W931" s="3"/>
      <c r="X931" s="3"/>
      <c r="Y931" s="3"/>
      <c r="Z931" s="3"/>
      <c r="AA931" s="3"/>
      <c r="AB931" s="3"/>
      <c r="AC931" s="3"/>
      <c r="AD931" s="3"/>
      <c r="AE931" s="3"/>
    </row>
    <row r="932">
      <c r="A932" s="3"/>
      <c r="B932" s="3"/>
      <c r="C932" s="3"/>
      <c r="D932" s="3"/>
      <c r="E932" s="3"/>
      <c r="F932" s="3"/>
      <c r="G932" s="3"/>
      <c r="H932" s="4"/>
      <c r="I932" s="8"/>
      <c r="J932" s="8"/>
      <c r="K932" s="3"/>
      <c r="L932" s="3"/>
      <c r="M932" s="3"/>
      <c r="N932" s="3"/>
      <c r="O932" s="3"/>
      <c r="P932" s="3"/>
      <c r="Q932" s="3"/>
      <c r="R932" s="3"/>
      <c r="S932" s="3"/>
      <c r="T932" s="3"/>
      <c r="U932" s="3"/>
      <c r="V932" s="3"/>
      <c r="W932" s="3"/>
      <c r="X932" s="3"/>
      <c r="Y932" s="3"/>
      <c r="Z932" s="3"/>
      <c r="AA932" s="3"/>
      <c r="AB932" s="3"/>
      <c r="AC932" s="3"/>
      <c r="AD932" s="3"/>
      <c r="AE932" s="3"/>
    </row>
    <row r="933">
      <c r="A933" s="3"/>
      <c r="B933" s="3"/>
      <c r="C933" s="3"/>
      <c r="D933" s="3"/>
      <c r="E933" s="3"/>
      <c r="F933" s="3"/>
      <c r="G933" s="3"/>
      <c r="H933" s="4"/>
      <c r="I933" s="8"/>
      <c r="J933" s="8"/>
      <c r="K933" s="3"/>
      <c r="L933" s="3"/>
      <c r="M933" s="3"/>
      <c r="N933" s="3"/>
      <c r="O933" s="3"/>
      <c r="P933" s="3"/>
      <c r="Q933" s="3"/>
      <c r="R933" s="3"/>
      <c r="S933" s="3"/>
      <c r="T933" s="3"/>
      <c r="U933" s="3"/>
      <c r="V933" s="3"/>
      <c r="W933" s="3"/>
      <c r="X933" s="3"/>
      <c r="Y933" s="3"/>
      <c r="Z933" s="3"/>
      <c r="AA933" s="3"/>
      <c r="AB933" s="3"/>
      <c r="AC933" s="3"/>
      <c r="AD933" s="3"/>
      <c r="AE933" s="3"/>
    </row>
    <row r="934">
      <c r="A934" s="3"/>
      <c r="B934" s="3"/>
      <c r="C934" s="3"/>
      <c r="D934" s="3"/>
      <c r="E934" s="3"/>
      <c r="F934" s="3"/>
      <c r="G934" s="3"/>
      <c r="H934" s="4"/>
      <c r="I934" s="8"/>
      <c r="J934" s="8"/>
      <c r="K934" s="3"/>
      <c r="L934" s="3"/>
      <c r="M934" s="3"/>
      <c r="N934" s="3"/>
      <c r="O934" s="3"/>
      <c r="P934" s="3"/>
      <c r="Q934" s="3"/>
      <c r="R934" s="3"/>
      <c r="S934" s="3"/>
      <c r="T934" s="3"/>
      <c r="U934" s="3"/>
      <c r="V934" s="3"/>
      <c r="W934" s="3"/>
      <c r="X934" s="3"/>
      <c r="Y934" s="3"/>
      <c r="Z934" s="3"/>
      <c r="AA934" s="3"/>
      <c r="AB934" s="3"/>
      <c r="AC934" s="3"/>
      <c r="AD934" s="3"/>
      <c r="AE934" s="3"/>
    </row>
    <row r="935">
      <c r="A935" s="3"/>
      <c r="B935" s="3"/>
      <c r="C935" s="3"/>
      <c r="D935" s="3"/>
      <c r="E935" s="3"/>
      <c r="F935" s="3"/>
      <c r="G935" s="3"/>
      <c r="H935" s="4"/>
      <c r="I935" s="8"/>
      <c r="J935" s="8"/>
      <c r="K935" s="3"/>
      <c r="L935" s="3"/>
      <c r="M935" s="3"/>
      <c r="N935" s="3"/>
      <c r="O935" s="3"/>
      <c r="P935" s="3"/>
      <c r="Q935" s="3"/>
      <c r="R935" s="3"/>
      <c r="S935" s="3"/>
      <c r="T935" s="3"/>
      <c r="U935" s="3"/>
      <c r="V935" s="3"/>
      <c r="W935" s="3"/>
      <c r="X935" s="3"/>
      <c r="Y935" s="3"/>
      <c r="Z935" s="3"/>
      <c r="AA935" s="3"/>
      <c r="AB935" s="3"/>
      <c r="AC935" s="3"/>
      <c r="AD935" s="3"/>
      <c r="AE935" s="3"/>
    </row>
    <row r="936">
      <c r="A936" s="3"/>
      <c r="B936" s="3"/>
      <c r="C936" s="3"/>
      <c r="D936" s="3"/>
      <c r="E936" s="3"/>
      <c r="F936" s="3"/>
      <c r="G936" s="3"/>
      <c r="H936" s="4"/>
      <c r="I936" s="8"/>
      <c r="J936" s="8"/>
      <c r="K936" s="3"/>
      <c r="L936" s="3"/>
      <c r="M936" s="3"/>
      <c r="N936" s="3"/>
      <c r="O936" s="3"/>
      <c r="P936" s="3"/>
      <c r="Q936" s="3"/>
      <c r="R936" s="3"/>
      <c r="S936" s="3"/>
      <c r="T936" s="3"/>
      <c r="U936" s="3"/>
      <c r="V936" s="3"/>
      <c r="W936" s="3"/>
      <c r="X936" s="3"/>
      <c r="Y936" s="3"/>
      <c r="Z936" s="3"/>
      <c r="AA936" s="3"/>
      <c r="AB936" s="3"/>
      <c r="AC936" s="3"/>
      <c r="AD936" s="3"/>
      <c r="AE936" s="3"/>
    </row>
    <row r="937">
      <c r="A937" s="3"/>
      <c r="B937" s="3"/>
      <c r="C937" s="3"/>
      <c r="D937" s="3"/>
      <c r="E937" s="3"/>
      <c r="F937" s="3"/>
      <c r="G937" s="3"/>
      <c r="H937" s="4"/>
      <c r="I937" s="8"/>
      <c r="J937" s="8"/>
      <c r="K937" s="3"/>
      <c r="L937" s="3"/>
      <c r="M937" s="3"/>
      <c r="N937" s="3"/>
      <c r="O937" s="3"/>
      <c r="P937" s="3"/>
      <c r="Q937" s="3"/>
      <c r="R937" s="3"/>
      <c r="S937" s="3"/>
      <c r="T937" s="3"/>
      <c r="U937" s="3"/>
      <c r="V937" s="3"/>
      <c r="W937" s="3"/>
      <c r="X937" s="3"/>
      <c r="Y937" s="3"/>
      <c r="Z937" s="3"/>
      <c r="AA937" s="3"/>
      <c r="AB937" s="3"/>
      <c r="AC937" s="3"/>
      <c r="AD937" s="3"/>
      <c r="AE937" s="3"/>
    </row>
    <row r="938">
      <c r="A938" s="3"/>
      <c r="B938" s="3"/>
      <c r="C938" s="3"/>
      <c r="D938" s="3"/>
      <c r="E938" s="3"/>
      <c r="F938" s="3"/>
      <c r="G938" s="3"/>
      <c r="H938" s="4"/>
      <c r="I938" s="8"/>
      <c r="J938" s="8"/>
      <c r="K938" s="3"/>
      <c r="L938" s="3"/>
      <c r="M938" s="3"/>
      <c r="N938" s="3"/>
      <c r="O938" s="3"/>
      <c r="P938" s="3"/>
      <c r="Q938" s="3"/>
      <c r="R938" s="3"/>
      <c r="S938" s="3"/>
      <c r="T938" s="3"/>
      <c r="U938" s="3"/>
      <c r="V938" s="3"/>
      <c r="W938" s="3"/>
      <c r="X938" s="3"/>
      <c r="Y938" s="3"/>
      <c r="Z938" s="3"/>
      <c r="AA938" s="3"/>
      <c r="AB938" s="3"/>
      <c r="AC938" s="3"/>
      <c r="AD938" s="3"/>
      <c r="AE938" s="3"/>
    </row>
    <row r="939">
      <c r="A939" s="3"/>
      <c r="B939" s="3"/>
      <c r="C939" s="3"/>
      <c r="D939" s="3"/>
      <c r="E939" s="3"/>
      <c r="F939" s="3"/>
      <c r="G939" s="3"/>
      <c r="H939" s="4"/>
      <c r="I939" s="8"/>
      <c r="J939" s="8"/>
      <c r="K939" s="3"/>
      <c r="L939" s="3"/>
      <c r="M939" s="3"/>
      <c r="N939" s="3"/>
      <c r="O939" s="3"/>
      <c r="P939" s="3"/>
      <c r="Q939" s="3"/>
      <c r="R939" s="3"/>
      <c r="S939" s="3"/>
      <c r="T939" s="3"/>
      <c r="U939" s="3"/>
      <c r="V939" s="3"/>
      <c r="W939" s="3"/>
      <c r="X939" s="3"/>
      <c r="Y939" s="3"/>
      <c r="Z939" s="3"/>
      <c r="AA939" s="3"/>
      <c r="AB939" s="3"/>
      <c r="AC939" s="3"/>
      <c r="AD939" s="3"/>
      <c r="AE939" s="3"/>
    </row>
    <row r="940">
      <c r="A940" s="3"/>
      <c r="B940" s="3"/>
      <c r="C940" s="3"/>
      <c r="D940" s="3"/>
      <c r="E940" s="3"/>
      <c r="F940" s="3"/>
      <c r="G940" s="3"/>
      <c r="H940" s="4"/>
      <c r="I940" s="8"/>
      <c r="J940" s="8"/>
      <c r="K940" s="3"/>
      <c r="L940" s="3"/>
      <c r="M940" s="3"/>
      <c r="N940" s="3"/>
      <c r="O940" s="3"/>
      <c r="P940" s="3"/>
      <c r="Q940" s="3"/>
      <c r="R940" s="3"/>
      <c r="S940" s="3"/>
      <c r="T940" s="3"/>
      <c r="U940" s="3"/>
      <c r="V940" s="3"/>
      <c r="W940" s="3"/>
      <c r="X940" s="3"/>
      <c r="Y940" s="3"/>
      <c r="Z940" s="3"/>
      <c r="AA940" s="3"/>
      <c r="AB940" s="3"/>
      <c r="AC940" s="3"/>
      <c r="AD940" s="3"/>
      <c r="AE940" s="3"/>
    </row>
    <row r="941">
      <c r="A941" s="3"/>
      <c r="B941" s="3"/>
      <c r="C941" s="3"/>
      <c r="D941" s="3"/>
      <c r="E941" s="3"/>
      <c r="F941" s="3"/>
      <c r="G941" s="3"/>
      <c r="H941" s="4"/>
      <c r="I941" s="8"/>
      <c r="J941" s="8"/>
      <c r="K941" s="3"/>
      <c r="L941" s="3"/>
      <c r="M941" s="3"/>
      <c r="N941" s="3"/>
      <c r="O941" s="3"/>
      <c r="P941" s="3"/>
      <c r="Q941" s="3"/>
      <c r="R941" s="3"/>
      <c r="S941" s="3"/>
      <c r="T941" s="3"/>
      <c r="U941" s="3"/>
      <c r="V941" s="3"/>
      <c r="W941" s="3"/>
      <c r="X941" s="3"/>
      <c r="Y941" s="3"/>
      <c r="Z941" s="3"/>
      <c r="AA941" s="3"/>
      <c r="AB941" s="3"/>
      <c r="AC941" s="3"/>
      <c r="AD941" s="3"/>
      <c r="AE941" s="3"/>
    </row>
    <row r="942">
      <c r="A942" s="3"/>
      <c r="B942" s="3"/>
      <c r="C942" s="3"/>
      <c r="D942" s="3"/>
      <c r="E942" s="3"/>
      <c r="F942" s="3"/>
      <c r="G942" s="3"/>
      <c r="H942" s="4"/>
      <c r="I942" s="8"/>
      <c r="J942" s="8"/>
      <c r="K942" s="3"/>
      <c r="L942" s="3"/>
      <c r="M942" s="3"/>
      <c r="N942" s="3"/>
      <c r="O942" s="3"/>
      <c r="P942" s="3"/>
      <c r="Q942" s="3"/>
      <c r="R942" s="3"/>
      <c r="S942" s="3"/>
      <c r="T942" s="3"/>
      <c r="U942" s="3"/>
      <c r="V942" s="3"/>
      <c r="W942" s="3"/>
      <c r="X942" s="3"/>
      <c r="Y942" s="3"/>
      <c r="Z942" s="3"/>
      <c r="AA942" s="3"/>
      <c r="AB942" s="3"/>
      <c r="AC942" s="3"/>
      <c r="AD942" s="3"/>
      <c r="AE942" s="3"/>
    </row>
    <row r="943">
      <c r="A943" s="3"/>
      <c r="B943" s="3"/>
      <c r="C943" s="3"/>
      <c r="D943" s="3"/>
      <c r="E943" s="3"/>
      <c r="F943" s="3"/>
      <c r="G943" s="3"/>
      <c r="H943" s="4"/>
      <c r="I943" s="8"/>
      <c r="J943" s="8"/>
      <c r="K943" s="3"/>
      <c r="L943" s="3"/>
      <c r="M943" s="3"/>
      <c r="N943" s="3"/>
      <c r="O943" s="3"/>
      <c r="P943" s="3"/>
      <c r="Q943" s="3"/>
      <c r="R943" s="3"/>
      <c r="S943" s="3"/>
      <c r="T943" s="3"/>
      <c r="U943" s="3"/>
      <c r="V943" s="3"/>
      <c r="W943" s="3"/>
      <c r="X943" s="3"/>
      <c r="Y943" s="3"/>
      <c r="Z943" s="3"/>
      <c r="AA943" s="3"/>
      <c r="AB943" s="3"/>
      <c r="AC943" s="3"/>
      <c r="AD943" s="3"/>
      <c r="AE943" s="3"/>
    </row>
    <row r="944">
      <c r="A944" s="3"/>
      <c r="B944" s="3"/>
      <c r="C944" s="3"/>
      <c r="D944" s="3"/>
      <c r="E944" s="3"/>
      <c r="F944" s="3"/>
      <c r="G944" s="3"/>
      <c r="H944" s="4"/>
      <c r="I944" s="8"/>
      <c r="J944" s="8"/>
      <c r="K944" s="3"/>
      <c r="L944" s="3"/>
      <c r="M944" s="3"/>
      <c r="N944" s="3"/>
      <c r="O944" s="3"/>
      <c r="P944" s="3"/>
      <c r="Q944" s="3"/>
      <c r="R944" s="3"/>
      <c r="S944" s="3"/>
      <c r="T944" s="3"/>
      <c r="U944" s="3"/>
      <c r="V944" s="3"/>
      <c r="W944" s="3"/>
      <c r="X944" s="3"/>
      <c r="Y944" s="3"/>
      <c r="Z944" s="3"/>
      <c r="AA944" s="3"/>
      <c r="AB944" s="3"/>
      <c r="AC944" s="3"/>
      <c r="AD944" s="3"/>
      <c r="AE944" s="3"/>
    </row>
    <row r="945">
      <c r="A945" s="3"/>
      <c r="B945" s="3"/>
      <c r="C945" s="3"/>
      <c r="D945" s="3"/>
      <c r="E945" s="3"/>
      <c r="F945" s="3"/>
      <c r="G945" s="3"/>
      <c r="H945" s="4"/>
      <c r="I945" s="8"/>
      <c r="J945" s="8"/>
      <c r="K945" s="3"/>
      <c r="L945" s="3"/>
      <c r="M945" s="3"/>
      <c r="N945" s="3"/>
      <c r="O945" s="3"/>
      <c r="P945" s="3"/>
      <c r="Q945" s="3"/>
      <c r="R945" s="3"/>
      <c r="S945" s="3"/>
      <c r="T945" s="3"/>
      <c r="U945" s="3"/>
      <c r="V945" s="3"/>
      <c r="W945" s="3"/>
      <c r="X945" s="3"/>
      <c r="Y945" s="3"/>
      <c r="Z945" s="3"/>
      <c r="AA945" s="3"/>
      <c r="AB945" s="3"/>
      <c r="AC945" s="3"/>
      <c r="AD945" s="3"/>
      <c r="AE945" s="3"/>
    </row>
    <row r="946">
      <c r="A946" s="3"/>
      <c r="B946" s="3"/>
      <c r="C946" s="3"/>
      <c r="D946" s="3"/>
      <c r="E946" s="3"/>
      <c r="F946" s="3"/>
      <c r="G946" s="3"/>
      <c r="H946" s="4"/>
      <c r="I946" s="8"/>
      <c r="J946" s="8"/>
      <c r="K946" s="3"/>
      <c r="L946" s="3"/>
      <c r="M946" s="3"/>
      <c r="N946" s="3"/>
      <c r="O946" s="3"/>
      <c r="P946" s="3"/>
      <c r="Q946" s="3"/>
      <c r="R946" s="3"/>
      <c r="S946" s="3"/>
      <c r="T946" s="3"/>
      <c r="U946" s="3"/>
      <c r="V946" s="3"/>
      <c r="W946" s="3"/>
      <c r="X946" s="3"/>
      <c r="Y946" s="3"/>
      <c r="Z946" s="3"/>
      <c r="AA946" s="3"/>
      <c r="AB946" s="3"/>
      <c r="AC946" s="3"/>
      <c r="AD946" s="3"/>
      <c r="AE946" s="3"/>
    </row>
    <row r="947">
      <c r="A947" s="3"/>
      <c r="B947" s="3"/>
      <c r="C947" s="3"/>
      <c r="D947" s="3"/>
      <c r="E947" s="3"/>
      <c r="F947" s="3"/>
      <c r="G947" s="3"/>
      <c r="H947" s="4"/>
      <c r="I947" s="8"/>
      <c r="J947" s="8"/>
      <c r="K947" s="3"/>
      <c r="L947" s="3"/>
      <c r="M947" s="3"/>
      <c r="N947" s="3"/>
      <c r="O947" s="3"/>
      <c r="P947" s="3"/>
      <c r="Q947" s="3"/>
      <c r="R947" s="3"/>
      <c r="S947" s="3"/>
      <c r="T947" s="3"/>
      <c r="U947" s="3"/>
      <c r="V947" s="3"/>
      <c r="W947" s="3"/>
      <c r="X947" s="3"/>
      <c r="Y947" s="3"/>
      <c r="Z947" s="3"/>
      <c r="AA947" s="3"/>
      <c r="AB947" s="3"/>
      <c r="AC947" s="3"/>
      <c r="AD947" s="3"/>
      <c r="AE947" s="3"/>
    </row>
    <row r="948">
      <c r="A948" s="3"/>
      <c r="B948" s="3"/>
      <c r="C948" s="3"/>
      <c r="D948" s="3"/>
      <c r="E948" s="3"/>
      <c r="F948" s="3"/>
      <c r="G948" s="3"/>
      <c r="H948" s="4"/>
      <c r="I948" s="8"/>
      <c r="J948" s="8"/>
      <c r="K948" s="3"/>
      <c r="L948" s="3"/>
      <c r="M948" s="3"/>
      <c r="N948" s="3"/>
      <c r="O948" s="3"/>
      <c r="P948" s="3"/>
      <c r="Q948" s="3"/>
      <c r="R948" s="3"/>
      <c r="S948" s="3"/>
      <c r="T948" s="3"/>
      <c r="U948" s="3"/>
      <c r="V948" s="3"/>
      <c r="W948" s="3"/>
      <c r="X948" s="3"/>
      <c r="Y948" s="3"/>
      <c r="Z948" s="3"/>
      <c r="AA948" s="3"/>
      <c r="AB948" s="3"/>
      <c r="AC948" s="3"/>
      <c r="AD948" s="3"/>
      <c r="AE948" s="3"/>
    </row>
    <row r="949">
      <c r="A949" s="3"/>
      <c r="B949" s="3"/>
      <c r="C949" s="3"/>
      <c r="D949" s="3"/>
      <c r="E949" s="3"/>
      <c r="F949" s="3"/>
      <c r="G949" s="3"/>
      <c r="H949" s="4"/>
      <c r="I949" s="8"/>
      <c r="J949" s="8"/>
      <c r="K949" s="3"/>
      <c r="L949" s="3"/>
      <c r="M949" s="3"/>
      <c r="N949" s="3"/>
      <c r="O949" s="3"/>
      <c r="P949" s="3"/>
      <c r="Q949" s="3"/>
      <c r="R949" s="3"/>
      <c r="S949" s="3"/>
      <c r="T949" s="3"/>
      <c r="U949" s="3"/>
      <c r="V949" s="3"/>
      <c r="W949" s="3"/>
      <c r="X949" s="3"/>
      <c r="Y949" s="3"/>
      <c r="Z949" s="3"/>
      <c r="AA949" s="3"/>
      <c r="AB949" s="3"/>
      <c r="AC949" s="3"/>
      <c r="AD949" s="3"/>
      <c r="AE949" s="3"/>
    </row>
    <row r="950">
      <c r="A950" s="3"/>
      <c r="B950" s="3"/>
      <c r="C950" s="3"/>
      <c r="D950" s="3"/>
      <c r="E950" s="3"/>
      <c r="F950" s="3"/>
      <c r="G950" s="3"/>
      <c r="H950" s="4"/>
      <c r="I950" s="8"/>
      <c r="J950" s="8"/>
      <c r="K950" s="3"/>
      <c r="L950" s="3"/>
      <c r="M950" s="3"/>
      <c r="N950" s="3"/>
      <c r="O950" s="3"/>
      <c r="P950" s="3"/>
      <c r="Q950" s="3"/>
      <c r="R950" s="3"/>
      <c r="S950" s="3"/>
      <c r="T950" s="3"/>
      <c r="U950" s="3"/>
      <c r="V950" s="3"/>
      <c r="W950" s="3"/>
      <c r="X950" s="3"/>
      <c r="Y950" s="3"/>
      <c r="Z950" s="3"/>
      <c r="AA950" s="3"/>
      <c r="AB950" s="3"/>
      <c r="AC950" s="3"/>
      <c r="AD950" s="3"/>
      <c r="AE950" s="3"/>
    </row>
    <row r="951">
      <c r="A951" s="3"/>
      <c r="B951" s="3"/>
      <c r="C951" s="3"/>
      <c r="D951" s="3"/>
      <c r="E951" s="3"/>
      <c r="F951" s="3"/>
      <c r="G951" s="3"/>
      <c r="H951" s="4"/>
      <c r="I951" s="8"/>
      <c r="J951" s="8"/>
      <c r="K951" s="3"/>
      <c r="L951" s="3"/>
      <c r="M951" s="3"/>
      <c r="N951" s="3"/>
      <c r="O951" s="3"/>
      <c r="P951" s="3"/>
      <c r="Q951" s="3"/>
      <c r="R951" s="3"/>
      <c r="S951" s="3"/>
      <c r="T951" s="3"/>
      <c r="U951" s="3"/>
      <c r="V951" s="3"/>
      <c r="W951" s="3"/>
      <c r="X951" s="3"/>
      <c r="Y951" s="3"/>
      <c r="Z951" s="3"/>
      <c r="AA951" s="3"/>
      <c r="AB951" s="3"/>
      <c r="AC951" s="3"/>
      <c r="AD951" s="3"/>
      <c r="AE951" s="3"/>
    </row>
    <row r="952">
      <c r="A952" s="3"/>
      <c r="B952" s="3"/>
      <c r="C952" s="3"/>
      <c r="D952" s="3"/>
      <c r="E952" s="3"/>
      <c r="F952" s="3"/>
      <c r="G952" s="3"/>
      <c r="H952" s="4"/>
      <c r="I952" s="8"/>
      <c r="J952" s="8"/>
      <c r="K952" s="3"/>
      <c r="L952" s="3"/>
      <c r="M952" s="3"/>
      <c r="N952" s="3"/>
      <c r="O952" s="3"/>
      <c r="P952" s="3"/>
      <c r="Q952" s="3"/>
      <c r="R952" s="3"/>
      <c r="S952" s="3"/>
      <c r="T952" s="3"/>
      <c r="U952" s="3"/>
      <c r="V952" s="3"/>
      <c r="W952" s="3"/>
      <c r="X952" s="3"/>
      <c r="Y952" s="3"/>
      <c r="Z952" s="3"/>
      <c r="AA952" s="3"/>
      <c r="AB952" s="3"/>
      <c r="AC952" s="3"/>
      <c r="AD952" s="3"/>
      <c r="AE952" s="3"/>
    </row>
    <row r="953">
      <c r="A953" s="3"/>
      <c r="B953" s="3"/>
      <c r="C953" s="3"/>
      <c r="D953" s="3"/>
      <c r="E953" s="3"/>
      <c r="F953" s="3"/>
      <c r="G953" s="3"/>
      <c r="H953" s="4"/>
      <c r="I953" s="8"/>
      <c r="J953" s="8"/>
      <c r="K953" s="3"/>
      <c r="L953" s="3"/>
      <c r="M953" s="3"/>
      <c r="N953" s="3"/>
      <c r="O953" s="3"/>
      <c r="P953" s="3"/>
      <c r="Q953" s="3"/>
      <c r="R953" s="3"/>
      <c r="S953" s="3"/>
      <c r="T953" s="3"/>
      <c r="U953" s="3"/>
      <c r="V953" s="3"/>
      <c r="W953" s="3"/>
      <c r="X953" s="3"/>
      <c r="Y953" s="3"/>
      <c r="Z953" s="3"/>
      <c r="AA953" s="3"/>
      <c r="AB953" s="3"/>
      <c r="AC953" s="3"/>
      <c r="AD953" s="3"/>
      <c r="AE953" s="3"/>
    </row>
    <row r="954">
      <c r="A954" s="3"/>
      <c r="B954" s="3"/>
      <c r="C954" s="3"/>
      <c r="D954" s="3"/>
      <c r="E954" s="3"/>
      <c r="F954" s="3"/>
      <c r="G954" s="3"/>
      <c r="H954" s="4"/>
      <c r="I954" s="8"/>
      <c r="J954" s="8"/>
      <c r="K954" s="3"/>
      <c r="L954" s="3"/>
      <c r="M954" s="3"/>
      <c r="N954" s="3"/>
      <c r="O954" s="3"/>
      <c r="P954" s="3"/>
      <c r="Q954" s="3"/>
      <c r="R954" s="3"/>
      <c r="S954" s="3"/>
      <c r="T954" s="3"/>
      <c r="U954" s="3"/>
      <c r="V954" s="3"/>
      <c r="W954" s="3"/>
      <c r="X954" s="3"/>
      <c r="Y954" s="3"/>
      <c r="Z954" s="3"/>
      <c r="AA954" s="3"/>
      <c r="AB954" s="3"/>
      <c r="AC954" s="3"/>
      <c r="AD954" s="3"/>
      <c r="AE954" s="3"/>
    </row>
    <row r="955">
      <c r="A955" s="3"/>
      <c r="B955" s="3"/>
      <c r="C955" s="3"/>
      <c r="D955" s="3"/>
      <c r="E955" s="3"/>
      <c r="F955" s="3"/>
      <c r="G955" s="3"/>
      <c r="H955" s="4"/>
      <c r="I955" s="8"/>
      <c r="J955" s="8"/>
      <c r="K955" s="3"/>
      <c r="L955" s="3"/>
      <c r="M955" s="3"/>
      <c r="N955" s="3"/>
      <c r="O955" s="3"/>
      <c r="P955" s="3"/>
      <c r="Q955" s="3"/>
      <c r="R955" s="3"/>
      <c r="S955" s="3"/>
      <c r="T955" s="3"/>
      <c r="U955" s="3"/>
      <c r="V955" s="3"/>
      <c r="W955" s="3"/>
      <c r="X955" s="3"/>
      <c r="Y955" s="3"/>
      <c r="Z955" s="3"/>
      <c r="AA955" s="3"/>
      <c r="AB955" s="3"/>
      <c r="AC955" s="3"/>
      <c r="AD955" s="3"/>
      <c r="AE955" s="3"/>
    </row>
    <row r="956">
      <c r="A956" s="3"/>
      <c r="B956" s="3"/>
      <c r="C956" s="3"/>
      <c r="D956" s="3"/>
      <c r="E956" s="3"/>
      <c r="F956" s="3"/>
      <c r="G956" s="3"/>
      <c r="H956" s="4"/>
      <c r="I956" s="8"/>
      <c r="J956" s="8"/>
      <c r="K956" s="3"/>
      <c r="L956" s="3"/>
      <c r="M956" s="3"/>
      <c r="N956" s="3"/>
      <c r="O956" s="3"/>
      <c r="P956" s="3"/>
      <c r="Q956" s="3"/>
      <c r="R956" s="3"/>
      <c r="S956" s="3"/>
      <c r="T956" s="3"/>
      <c r="U956" s="3"/>
      <c r="V956" s="3"/>
      <c r="W956" s="3"/>
      <c r="X956" s="3"/>
      <c r="Y956" s="3"/>
      <c r="Z956" s="3"/>
      <c r="AA956" s="3"/>
      <c r="AB956" s="3"/>
      <c r="AC956" s="3"/>
      <c r="AD956" s="3"/>
      <c r="AE956" s="3"/>
    </row>
    <row r="957">
      <c r="A957" s="3"/>
      <c r="B957" s="3"/>
      <c r="C957" s="3"/>
      <c r="D957" s="3"/>
      <c r="E957" s="3"/>
      <c r="F957" s="3"/>
      <c r="G957" s="3"/>
      <c r="H957" s="4"/>
      <c r="I957" s="8"/>
      <c r="J957" s="8"/>
      <c r="K957" s="3"/>
      <c r="L957" s="3"/>
      <c r="M957" s="3"/>
      <c r="N957" s="3"/>
      <c r="O957" s="3"/>
      <c r="P957" s="3"/>
      <c r="Q957" s="3"/>
      <c r="R957" s="3"/>
      <c r="S957" s="3"/>
      <c r="T957" s="3"/>
      <c r="U957" s="3"/>
      <c r="V957" s="3"/>
      <c r="W957" s="3"/>
      <c r="X957" s="3"/>
      <c r="Y957" s="3"/>
      <c r="Z957" s="3"/>
      <c r="AA957" s="3"/>
      <c r="AB957" s="3"/>
      <c r="AC957" s="3"/>
      <c r="AD957" s="3"/>
      <c r="AE957" s="3"/>
    </row>
    <row r="958">
      <c r="A958" s="3"/>
      <c r="B958" s="3"/>
      <c r="C958" s="3"/>
      <c r="D958" s="3"/>
      <c r="E958" s="3"/>
      <c r="F958" s="3"/>
      <c r="G958" s="3"/>
      <c r="H958" s="4"/>
      <c r="I958" s="8"/>
      <c r="J958" s="8"/>
      <c r="K958" s="3"/>
      <c r="L958" s="3"/>
      <c r="M958" s="3"/>
      <c r="N958" s="3"/>
      <c r="O958" s="3"/>
      <c r="P958" s="3"/>
      <c r="Q958" s="3"/>
      <c r="R958" s="3"/>
      <c r="S958" s="3"/>
      <c r="T958" s="3"/>
      <c r="U958" s="3"/>
      <c r="V958" s="3"/>
      <c r="W958" s="3"/>
      <c r="X958" s="3"/>
      <c r="Y958" s="3"/>
      <c r="Z958" s="3"/>
      <c r="AA958" s="3"/>
      <c r="AB958" s="3"/>
      <c r="AC958" s="3"/>
      <c r="AD958" s="3"/>
      <c r="AE958" s="3"/>
    </row>
    <row r="959">
      <c r="A959" s="3"/>
      <c r="B959" s="3"/>
      <c r="C959" s="3"/>
      <c r="D959" s="3"/>
      <c r="E959" s="3"/>
      <c r="F959" s="3"/>
      <c r="G959" s="3"/>
      <c r="H959" s="4"/>
      <c r="I959" s="8"/>
      <c r="J959" s="8"/>
      <c r="K959" s="3"/>
      <c r="L959" s="3"/>
      <c r="M959" s="3"/>
      <c r="N959" s="3"/>
      <c r="O959" s="3"/>
      <c r="P959" s="3"/>
      <c r="Q959" s="3"/>
      <c r="R959" s="3"/>
      <c r="S959" s="3"/>
      <c r="T959" s="3"/>
      <c r="U959" s="3"/>
      <c r="V959" s="3"/>
      <c r="W959" s="3"/>
      <c r="X959" s="3"/>
      <c r="Y959" s="3"/>
      <c r="Z959" s="3"/>
      <c r="AA959" s="3"/>
      <c r="AB959" s="3"/>
      <c r="AC959" s="3"/>
      <c r="AD959" s="3"/>
      <c r="AE959" s="3"/>
    </row>
    <row r="960">
      <c r="A960" s="3"/>
      <c r="B960" s="3"/>
      <c r="C960" s="3"/>
      <c r="D960" s="3"/>
      <c r="E960" s="3"/>
      <c r="F960" s="3"/>
      <c r="G960" s="3"/>
      <c r="H960" s="4"/>
      <c r="I960" s="8"/>
      <c r="J960" s="8"/>
      <c r="K960" s="3"/>
      <c r="L960" s="3"/>
      <c r="M960" s="3"/>
      <c r="N960" s="3"/>
      <c r="O960" s="3"/>
      <c r="P960" s="3"/>
      <c r="Q960" s="3"/>
      <c r="R960" s="3"/>
      <c r="S960" s="3"/>
      <c r="T960" s="3"/>
      <c r="U960" s="3"/>
      <c r="V960" s="3"/>
      <c r="W960" s="3"/>
      <c r="X960" s="3"/>
      <c r="Y960" s="3"/>
      <c r="Z960" s="3"/>
      <c r="AA960" s="3"/>
      <c r="AB960" s="3"/>
      <c r="AC960" s="3"/>
      <c r="AD960" s="3"/>
      <c r="AE960" s="3"/>
    </row>
    <row r="961">
      <c r="A961" s="3"/>
      <c r="B961" s="3"/>
      <c r="C961" s="3"/>
      <c r="D961" s="3"/>
      <c r="E961" s="3"/>
      <c r="F961" s="3"/>
      <c r="G961" s="3"/>
      <c r="H961" s="4"/>
      <c r="I961" s="8"/>
      <c r="J961" s="8"/>
      <c r="K961" s="3"/>
      <c r="L961" s="3"/>
      <c r="M961" s="3"/>
      <c r="N961" s="3"/>
      <c r="O961" s="3"/>
      <c r="P961" s="3"/>
      <c r="Q961" s="3"/>
      <c r="R961" s="3"/>
      <c r="S961" s="3"/>
      <c r="T961" s="3"/>
      <c r="U961" s="3"/>
      <c r="V961" s="3"/>
      <c r="W961" s="3"/>
      <c r="X961" s="3"/>
      <c r="Y961" s="3"/>
      <c r="Z961" s="3"/>
      <c r="AA961" s="3"/>
      <c r="AB961" s="3"/>
      <c r="AC961" s="3"/>
      <c r="AD961" s="3"/>
      <c r="AE961" s="3"/>
    </row>
    <row r="962">
      <c r="A962" s="3"/>
      <c r="B962" s="3"/>
      <c r="C962" s="3"/>
      <c r="D962" s="3"/>
      <c r="E962" s="3"/>
      <c r="F962" s="3"/>
      <c r="G962" s="3"/>
      <c r="H962" s="4"/>
      <c r="I962" s="8"/>
      <c r="J962" s="8"/>
      <c r="K962" s="3"/>
      <c r="L962" s="3"/>
      <c r="M962" s="3"/>
      <c r="N962" s="3"/>
      <c r="O962" s="3"/>
      <c r="P962" s="3"/>
      <c r="Q962" s="3"/>
      <c r="R962" s="3"/>
      <c r="S962" s="3"/>
      <c r="T962" s="3"/>
      <c r="U962" s="3"/>
      <c r="V962" s="3"/>
      <c r="W962" s="3"/>
      <c r="X962" s="3"/>
      <c r="Y962" s="3"/>
      <c r="Z962" s="3"/>
      <c r="AA962" s="3"/>
      <c r="AB962" s="3"/>
      <c r="AC962" s="3"/>
      <c r="AD962" s="3"/>
      <c r="AE962" s="3"/>
    </row>
    <row r="963">
      <c r="A963" s="3"/>
      <c r="B963" s="3"/>
      <c r="C963" s="3"/>
      <c r="D963" s="3"/>
      <c r="E963" s="3"/>
      <c r="F963" s="3"/>
      <c r="G963" s="3"/>
      <c r="H963" s="4"/>
      <c r="I963" s="8"/>
      <c r="J963" s="8"/>
      <c r="K963" s="3"/>
      <c r="L963" s="3"/>
      <c r="M963" s="3"/>
      <c r="N963" s="3"/>
      <c r="O963" s="3"/>
      <c r="P963" s="3"/>
      <c r="Q963" s="3"/>
      <c r="R963" s="3"/>
      <c r="S963" s="3"/>
      <c r="T963" s="3"/>
      <c r="U963" s="3"/>
      <c r="V963" s="3"/>
      <c r="W963" s="3"/>
      <c r="X963" s="3"/>
      <c r="Y963" s="3"/>
      <c r="Z963" s="3"/>
      <c r="AA963" s="3"/>
      <c r="AB963" s="3"/>
      <c r="AC963" s="3"/>
      <c r="AD963" s="3"/>
      <c r="AE963" s="3"/>
    </row>
    <row r="964">
      <c r="A964" s="3"/>
      <c r="B964" s="3"/>
      <c r="C964" s="3"/>
      <c r="D964" s="3"/>
      <c r="E964" s="3"/>
      <c r="F964" s="3"/>
      <c r="G964" s="3"/>
      <c r="H964" s="4"/>
      <c r="I964" s="8"/>
      <c r="J964" s="8"/>
      <c r="K964" s="3"/>
      <c r="L964" s="3"/>
      <c r="M964" s="3"/>
      <c r="N964" s="3"/>
      <c r="O964" s="3"/>
      <c r="P964" s="3"/>
      <c r="Q964" s="3"/>
      <c r="R964" s="3"/>
      <c r="S964" s="3"/>
      <c r="T964" s="3"/>
      <c r="U964" s="3"/>
      <c r="V964" s="3"/>
      <c r="W964" s="3"/>
      <c r="X964" s="3"/>
      <c r="Y964" s="3"/>
      <c r="Z964" s="3"/>
      <c r="AA964" s="3"/>
      <c r="AB964" s="3"/>
      <c r="AC964" s="3"/>
      <c r="AD964" s="3"/>
      <c r="AE964" s="3"/>
    </row>
    <row r="965">
      <c r="A965" s="3"/>
      <c r="B965" s="3"/>
      <c r="C965" s="3"/>
      <c r="D965" s="3"/>
      <c r="E965" s="3"/>
      <c r="F965" s="3"/>
      <c r="G965" s="3"/>
      <c r="H965" s="4"/>
      <c r="I965" s="8"/>
      <c r="J965" s="8"/>
      <c r="K965" s="3"/>
      <c r="L965" s="3"/>
      <c r="M965" s="3"/>
      <c r="N965" s="3"/>
      <c r="O965" s="3"/>
      <c r="P965" s="3"/>
      <c r="Q965" s="3"/>
      <c r="R965" s="3"/>
      <c r="S965" s="3"/>
      <c r="T965" s="3"/>
      <c r="U965" s="3"/>
      <c r="V965" s="3"/>
      <c r="W965" s="3"/>
      <c r="X965" s="3"/>
      <c r="Y965" s="3"/>
      <c r="Z965" s="3"/>
      <c r="AA965" s="3"/>
      <c r="AB965" s="3"/>
      <c r="AC965" s="3"/>
      <c r="AD965" s="3"/>
      <c r="AE965" s="3"/>
    </row>
    <row r="966">
      <c r="A966" s="3"/>
      <c r="B966" s="3"/>
      <c r="C966" s="3"/>
      <c r="D966" s="3"/>
      <c r="E966" s="3"/>
      <c r="F966" s="3"/>
      <c r="G966" s="3"/>
      <c r="H966" s="4"/>
      <c r="I966" s="8"/>
      <c r="J966" s="8"/>
      <c r="K966" s="3"/>
      <c r="L966" s="3"/>
      <c r="M966" s="3"/>
      <c r="N966" s="3"/>
      <c r="O966" s="3"/>
      <c r="P966" s="3"/>
      <c r="Q966" s="3"/>
      <c r="R966" s="3"/>
      <c r="S966" s="3"/>
      <c r="T966" s="3"/>
      <c r="U966" s="3"/>
      <c r="V966" s="3"/>
      <c r="W966" s="3"/>
      <c r="X966" s="3"/>
      <c r="Y966" s="3"/>
      <c r="Z966" s="3"/>
      <c r="AA966" s="3"/>
      <c r="AB966" s="3"/>
      <c r="AC966" s="3"/>
      <c r="AD966" s="3"/>
      <c r="AE966" s="3"/>
    </row>
    <row r="967">
      <c r="A967" s="3"/>
      <c r="B967" s="3"/>
      <c r="C967" s="3"/>
      <c r="D967" s="3"/>
      <c r="E967" s="3"/>
      <c r="F967" s="3"/>
      <c r="G967" s="3"/>
      <c r="H967" s="4"/>
      <c r="I967" s="8"/>
      <c r="J967" s="8"/>
      <c r="K967" s="3"/>
      <c r="L967" s="3"/>
      <c r="M967" s="3"/>
      <c r="N967" s="3"/>
      <c r="O967" s="3"/>
      <c r="P967" s="3"/>
      <c r="Q967" s="3"/>
      <c r="R967" s="3"/>
      <c r="S967" s="3"/>
      <c r="T967" s="3"/>
      <c r="U967" s="3"/>
      <c r="V967" s="3"/>
      <c r="W967" s="3"/>
      <c r="X967" s="3"/>
      <c r="Y967" s="3"/>
      <c r="Z967" s="3"/>
      <c r="AA967" s="3"/>
      <c r="AB967" s="3"/>
      <c r="AC967" s="3"/>
      <c r="AD967" s="3"/>
      <c r="AE967" s="3"/>
    </row>
    <row r="968">
      <c r="A968" s="3"/>
      <c r="B968" s="3"/>
      <c r="C968" s="3"/>
      <c r="D968" s="3"/>
      <c r="E968" s="3"/>
      <c r="F968" s="3"/>
      <c r="G968" s="3"/>
      <c r="H968" s="4"/>
      <c r="I968" s="8"/>
      <c r="J968" s="8"/>
      <c r="K968" s="3"/>
      <c r="L968" s="3"/>
      <c r="M968" s="3"/>
      <c r="N968" s="3"/>
      <c r="O968" s="3"/>
      <c r="P968" s="3"/>
      <c r="Q968" s="3"/>
      <c r="R968" s="3"/>
      <c r="S968" s="3"/>
      <c r="T968" s="3"/>
      <c r="U968" s="3"/>
      <c r="V968" s="3"/>
      <c r="W968" s="3"/>
      <c r="X968" s="3"/>
      <c r="Y968" s="3"/>
      <c r="Z968" s="3"/>
      <c r="AA968" s="3"/>
      <c r="AB968" s="3"/>
      <c r="AC968" s="3"/>
      <c r="AD968" s="3"/>
      <c r="AE968" s="3"/>
    </row>
    <row r="969">
      <c r="A969" s="3"/>
      <c r="B969" s="3"/>
      <c r="C969" s="3"/>
      <c r="D969" s="3"/>
      <c r="E969" s="3"/>
      <c r="F969" s="3"/>
      <c r="G969" s="3"/>
      <c r="H969" s="4"/>
      <c r="I969" s="8"/>
      <c r="J969" s="8"/>
      <c r="K969" s="3"/>
      <c r="L969" s="3"/>
      <c r="M969" s="3"/>
      <c r="N969" s="3"/>
      <c r="O969" s="3"/>
      <c r="P969" s="3"/>
      <c r="Q969" s="3"/>
      <c r="R969" s="3"/>
      <c r="S969" s="3"/>
      <c r="T969" s="3"/>
      <c r="U969" s="3"/>
      <c r="V969" s="3"/>
      <c r="W969" s="3"/>
      <c r="X969" s="3"/>
      <c r="Y969" s="3"/>
      <c r="Z969" s="3"/>
      <c r="AA969" s="3"/>
      <c r="AB969" s="3"/>
      <c r="AC969" s="3"/>
      <c r="AD969" s="3"/>
      <c r="AE969" s="3"/>
    </row>
    <row r="970">
      <c r="A970" s="3"/>
      <c r="B970" s="3"/>
      <c r="C970" s="3"/>
      <c r="D970" s="3"/>
      <c r="E970" s="3"/>
      <c r="F970" s="3"/>
      <c r="G970" s="3"/>
      <c r="H970" s="4"/>
      <c r="I970" s="8"/>
      <c r="J970" s="8"/>
      <c r="K970" s="3"/>
      <c r="L970" s="3"/>
      <c r="M970" s="3"/>
      <c r="N970" s="3"/>
      <c r="O970" s="3"/>
      <c r="P970" s="3"/>
      <c r="Q970" s="3"/>
      <c r="R970" s="3"/>
      <c r="S970" s="3"/>
      <c r="T970" s="3"/>
      <c r="U970" s="3"/>
      <c r="V970" s="3"/>
      <c r="W970" s="3"/>
      <c r="X970" s="3"/>
      <c r="Y970" s="3"/>
      <c r="Z970" s="3"/>
      <c r="AA970" s="3"/>
      <c r="AB970" s="3"/>
      <c r="AC970" s="3"/>
      <c r="AD970" s="3"/>
      <c r="AE970" s="3"/>
    </row>
    <row r="971">
      <c r="A971" s="3"/>
      <c r="B971" s="3"/>
      <c r="C971" s="3"/>
      <c r="D971" s="3"/>
      <c r="E971" s="3"/>
      <c r="F971" s="3"/>
      <c r="G971" s="3"/>
      <c r="H971" s="4"/>
      <c r="I971" s="8"/>
      <c r="J971" s="8"/>
      <c r="K971" s="3"/>
      <c r="L971" s="3"/>
      <c r="M971" s="3"/>
      <c r="N971" s="3"/>
      <c r="O971" s="3"/>
      <c r="P971" s="3"/>
      <c r="Q971" s="3"/>
      <c r="R971" s="3"/>
      <c r="S971" s="3"/>
      <c r="T971" s="3"/>
      <c r="U971" s="3"/>
      <c r="V971" s="3"/>
      <c r="W971" s="3"/>
      <c r="X971" s="3"/>
      <c r="Y971" s="3"/>
      <c r="Z971" s="3"/>
      <c r="AA971" s="3"/>
      <c r="AB971" s="3"/>
      <c r="AC971" s="3"/>
      <c r="AD971" s="3"/>
      <c r="AE971" s="3"/>
    </row>
    <row r="972">
      <c r="A972" s="3"/>
      <c r="B972" s="3"/>
      <c r="C972" s="3"/>
      <c r="D972" s="3"/>
      <c r="E972" s="3"/>
      <c r="F972" s="3"/>
      <c r="G972" s="3"/>
      <c r="H972" s="4"/>
      <c r="I972" s="8"/>
      <c r="J972" s="8"/>
      <c r="K972" s="3"/>
      <c r="L972" s="3"/>
      <c r="M972" s="3"/>
      <c r="N972" s="3"/>
      <c r="O972" s="3"/>
      <c r="P972" s="3"/>
      <c r="Q972" s="3"/>
      <c r="R972" s="3"/>
      <c r="S972" s="3"/>
      <c r="T972" s="3"/>
      <c r="U972" s="3"/>
      <c r="V972" s="3"/>
      <c r="W972" s="3"/>
      <c r="X972" s="3"/>
      <c r="Y972" s="3"/>
      <c r="Z972" s="3"/>
      <c r="AA972" s="3"/>
      <c r="AB972" s="3"/>
      <c r="AC972" s="3"/>
      <c r="AD972" s="3"/>
      <c r="AE972" s="3"/>
    </row>
    <row r="973">
      <c r="A973" s="3"/>
      <c r="B973" s="3"/>
      <c r="C973" s="3"/>
      <c r="D973" s="3"/>
      <c r="E973" s="3"/>
      <c r="F973" s="3"/>
      <c r="G973" s="3"/>
      <c r="H973" s="4"/>
      <c r="I973" s="8"/>
      <c r="J973" s="8"/>
      <c r="K973" s="3"/>
      <c r="L973" s="3"/>
      <c r="M973" s="3"/>
      <c r="N973" s="3"/>
      <c r="O973" s="3"/>
      <c r="P973" s="3"/>
      <c r="Q973" s="3"/>
      <c r="R973" s="3"/>
      <c r="S973" s="3"/>
      <c r="T973" s="3"/>
      <c r="U973" s="3"/>
      <c r="V973" s="3"/>
      <c r="W973" s="3"/>
      <c r="X973" s="3"/>
      <c r="Y973" s="3"/>
      <c r="Z973" s="3"/>
      <c r="AA973" s="3"/>
      <c r="AB973" s="3"/>
      <c r="AC973" s="3"/>
      <c r="AD973" s="3"/>
      <c r="AE973" s="3"/>
    </row>
    <row r="974">
      <c r="A974" s="3"/>
      <c r="B974" s="3"/>
      <c r="C974" s="3"/>
      <c r="D974" s="3"/>
      <c r="E974" s="3"/>
      <c r="F974" s="3"/>
      <c r="G974" s="3"/>
      <c r="H974" s="4"/>
      <c r="I974" s="8"/>
      <c r="J974" s="8"/>
      <c r="K974" s="3"/>
      <c r="L974" s="3"/>
      <c r="M974" s="3"/>
      <c r="N974" s="3"/>
      <c r="O974" s="3"/>
      <c r="P974" s="3"/>
      <c r="Q974" s="3"/>
      <c r="R974" s="3"/>
      <c r="S974" s="3"/>
      <c r="T974" s="3"/>
      <c r="U974" s="3"/>
      <c r="V974" s="3"/>
      <c r="W974" s="3"/>
      <c r="X974" s="3"/>
      <c r="Y974" s="3"/>
      <c r="Z974" s="3"/>
      <c r="AA974" s="3"/>
      <c r="AB974" s="3"/>
      <c r="AC974" s="3"/>
      <c r="AD974" s="3"/>
      <c r="AE974" s="3"/>
    </row>
    <row r="975">
      <c r="A975" s="3"/>
      <c r="B975" s="3"/>
      <c r="C975" s="3"/>
      <c r="D975" s="3"/>
      <c r="E975" s="3"/>
      <c r="F975" s="3"/>
      <c r="G975" s="3"/>
      <c r="H975" s="4"/>
      <c r="I975" s="8"/>
      <c r="J975" s="8"/>
      <c r="K975" s="3"/>
      <c r="L975" s="3"/>
      <c r="M975" s="3"/>
      <c r="N975" s="3"/>
      <c r="O975" s="3"/>
      <c r="P975" s="3"/>
      <c r="Q975" s="3"/>
      <c r="R975" s="3"/>
      <c r="S975" s="3"/>
      <c r="T975" s="3"/>
      <c r="U975" s="3"/>
      <c r="V975" s="3"/>
      <c r="W975" s="3"/>
      <c r="X975" s="3"/>
      <c r="Y975" s="3"/>
      <c r="Z975" s="3"/>
      <c r="AA975" s="3"/>
      <c r="AB975" s="3"/>
      <c r="AC975" s="3"/>
      <c r="AD975" s="3"/>
      <c r="AE975" s="3"/>
    </row>
    <row r="976">
      <c r="A976" s="3"/>
      <c r="B976" s="3"/>
      <c r="C976" s="3"/>
      <c r="D976" s="3"/>
      <c r="E976" s="3"/>
      <c r="F976" s="3"/>
      <c r="G976" s="3"/>
      <c r="H976" s="4"/>
      <c r="I976" s="8"/>
      <c r="J976" s="8"/>
      <c r="K976" s="3"/>
      <c r="L976" s="3"/>
      <c r="M976" s="3"/>
      <c r="N976" s="3"/>
      <c r="O976" s="3"/>
      <c r="P976" s="3"/>
      <c r="Q976" s="3"/>
      <c r="R976" s="3"/>
      <c r="S976" s="3"/>
      <c r="T976" s="3"/>
      <c r="U976" s="3"/>
      <c r="V976" s="3"/>
      <c r="W976" s="3"/>
      <c r="X976" s="3"/>
      <c r="Y976" s="3"/>
      <c r="Z976" s="3"/>
      <c r="AA976" s="3"/>
      <c r="AB976" s="3"/>
      <c r="AC976" s="3"/>
      <c r="AD976" s="3"/>
      <c r="AE976" s="3"/>
    </row>
    <row r="977">
      <c r="A977" s="3"/>
      <c r="B977" s="3"/>
      <c r="C977" s="3"/>
      <c r="D977" s="3"/>
      <c r="E977" s="3"/>
      <c r="F977" s="3"/>
      <c r="G977" s="3"/>
      <c r="H977" s="4"/>
      <c r="I977" s="8"/>
      <c r="J977" s="8"/>
      <c r="K977" s="3"/>
      <c r="L977" s="3"/>
      <c r="M977" s="3"/>
      <c r="N977" s="3"/>
      <c r="O977" s="3"/>
      <c r="P977" s="3"/>
      <c r="Q977" s="3"/>
      <c r="R977" s="3"/>
      <c r="S977" s="3"/>
      <c r="T977" s="3"/>
      <c r="U977" s="3"/>
      <c r="V977" s="3"/>
      <c r="W977" s="3"/>
      <c r="X977" s="3"/>
      <c r="Y977" s="3"/>
      <c r="Z977" s="3"/>
      <c r="AA977" s="3"/>
      <c r="AB977" s="3"/>
      <c r="AC977" s="3"/>
      <c r="AD977" s="3"/>
      <c r="AE977" s="3"/>
    </row>
    <row r="978">
      <c r="A978" s="3"/>
      <c r="B978" s="3"/>
      <c r="C978" s="3"/>
      <c r="D978" s="3"/>
      <c r="E978" s="3"/>
      <c r="F978" s="3"/>
      <c r="G978" s="3"/>
      <c r="H978" s="4"/>
      <c r="I978" s="8"/>
      <c r="J978" s="8"/>
      <c r="K978" s="3"/>
      <c r="L978" s="3"/>
      <c r="M978" s="3"/>
      <c r="N978" s="3"/>
      <c r="O978" s="3"/>
      <c r="P978" s="3"/>
      <c r="Q978" s="3"/>
      <c r="R978" s="3"/>
      <c r="S978" s="3"/>
      <c r="T978" s="3"/>
      <c r="U978" s="3"/>
      <c r="V978" s="3"/>
      <c r="W978" s="3"/>
      <c r="X978" s="3"/>
      <c r="Y978" s="3"/>
      <c r="Z978" s="3"/>
      <c r="AA978" s="3"/>
      <c r="AB978" s="3"/>
      <c r="AC978" s="3"/>
      <c r="AD978" s="3"/>
      <c r="AE978" s="3"/>
    </row>
    <row r="979">
      <c r="A979" s="3"/>
      <c r="B979" s="3"/>
      <c r="C979" s="3"/>
      <c r="D979" s="3"/>
      <c r="E979" s="3"/>
      <c r="F979" s="3"/>
      <c r="G979" s="3"/>
      <c r="H979" s="4"/>
      <c r="I979" s="8"/>
      <c r="J979" s="8"/>
      <c r="K979" s="3"/>
      <c r="L979" s="3"/>
      <c r="M979" s="3"/>
      <c r="N979" s="3"/>
      <c r="O979" s="3"/>
      <c r="P979" s="3"/>
      <c r="Q979" s="3"/>
      <c r="R979" s="3"/>
      <c r="S979" s="3"/>
      <c r="T979" s="3"/>
      <c r="U979" s="3"/>
      <c r="V979" s="3"/>
      <c r="W979" s="3"/>
      <c r="X979" s="3"/>
      <c r="Y979" s="3"/>
      <c r="Z979" s="3"/>
      <c r="AA979" s="3"/>
      <c r="AB979" s="3"/>
      <c r="AC979" s="3"/>
      <c r="AD979" s="3"/>
      <c r="AE979" s="3"/>
    </row>
    <row r="980">
      <c r="A980" s="3"/>
      <c r="B980" s="3"/>
      <c r="C980" s="3"/>
      <c r="D980" s="3"/>
      <c r="E980" s="3"/>
      <c r="F980" s="3"/>
      <c r="G980" s="3"/>
      <c r="H980" s="4"/>
      <c r="I980" s="8"/>
      <c r="J980" s="8"/>
      <c r="K980" s="3"/>
      <c r="L980" s="3"/>
      <c r="M980" s="3"/>
      <c r="N980" s="3"/>
      <c r="O980" s="3"/>
      <c r="P980" s="3"/>
      <c r="Q980" s="3"/>
      <c r="R980" s="3"/>
      <c r="S980" s="3"/>
      <c r="T980" s="3"/>
      <c r="U980" s="3"/>
      <c r="V980" s="3"/>
      <c r="W980" s="3"/>
      <c r="X980" s="3"/>
      <c r="Y980" s="3"/>
      <c r="Z980" s="3"/>
      <c r="AA980" s="3"/>
      <c r="AB980" s="3"/>
      <c r="AC980" s="3"/>
      <c r="AD980" s="3"/>
      <c r="AE980" s="3"/>
    </row>
    <row r="981">
      <c r="A981" s="3"/>
      <c r="B981" s="3"/>
      <c r="C981" s="3"/>
      <c r="D981" s="3"/>
      <c r="E981" s="3"/>
      <c r="F981" s="3"/>
      <c r="G981" s="3"/>
      <c r="H981" s="4"/>
      <c r="I981" s="8"/>
      <c r="J981" s="8"/>
      <c r="K981" s="3"/>
      <c r="L981" s="3"/>
      <c r="M981" s="3"/>
      <c r="N981" s="3"/>
      <c r="O981" s="3"/>
      <c r="P981" s="3"/>
      <c r="Q981" s="3"/>
      <c r="R981" s="3"/>
      <c r="S981" s="3"/>
      <c r="T981" s="3"/>
      <c r="U981" s="3"/>
      <c r="V981" s="3"/>
      <c r="W981" s="3"/>
      <c r="X981" s="3"/>
      <c r="Y981" s="3"/>
      <c r="Z981" s="3"/>
      <c r="AA981" s="3"/>
      <c r="AB981" s="3"/>
      <c r="AC981" s="3"/>
      <c r="AD981" s="3"/>
      <c r="AE981" s="3"/>
    </row>
    <row r="982">
      <c r="A982" s="3"/>
      <c r="B982" s="3"/>
      <c r="C982" s="3"/>
      <c r="D982" s="3"/>
      <c r="E982" s="3"/>
      <c r="F982" s="3"/>
      <c r="G982" s="3"/>
      <c r="H982" s="4"/>
      <c r="I982" s="8"/>
      <c r="J982" s="8"/>
      <c r="K982" s="3"/>
      <c r="L982" s="3"/>
      <c r="M982" s="3"/>
      <c r="N982" s="3"/>
      <c r="O982" s="3"/>
      <c r="P982" s="3"/>
      <c r="Q982" s="3"/>
      <c r="R982" s="3"/>
      <c r="S982" s="3"/>
      <c r="T982" s="3"/>
      <c r="U982" s="3"/>
      <c r="V982" s="3"/>
      <c r="W982" s="3"/>
      <c r="X982" s="3"/>
      <c r="Y982" s="3"/>
      <c r="Z982" s="3"/>
      <c r="AA982" s="3"/>
      <c r="AB982" s="3"/>
      <c r="AC982" s="3"/>
      <c r="AD982" s="3"/>
      <c r="AE982" s="3"/>
    </row>
    <row r="983">
      <c r="A983" s="3"/>
      <c r="B983" s="3"/>
      <c r="C983" s="3"/>
      <c r="D983" s="3"/>
      <c r="E983" s="3"/>
      <c r="F983" s="3"/>
      <c r="G983" s="3"/>
      <c r="H983" s="4"/>
      <c r="I983" s="8"/>
      <c r="J983" s="8"/>
      <c r="K983" s="3"/>
      <c r="L983" s="3"/>
      <c r="M983" s="3"/>
      <c r="N983" s="3"/>
      <c r="O983" s="3"/>
      <c r="P983" s="3"/>
      <c r="Q983" s="3"/>
      <c r="R983" s="3"/>
      <c r="S983" s="3"/>
      <c r="T983" s="3"/>
      <c r="U983" s="3"/>
      <c r="V983" s="3"/>
      <c r="W983" s="3"/>
      <c r="X983" s="3"/>
      <c r="Y983" s="3"/>
      <c r="Z983" s="3"/>
      <c r="AA983" s="3"/>
      <c r="AB983" s="3"/>
      <c r="AC983" s="3"/>
      <c r="AD983" s="3"/>
      <c r="AE983" s="3"/>
    </row>
    <row r="984">
      <c r="A984" s="3"/>
      <c r="B984" s="3"/>
      <c r="C984" s="3"/>
      <c r="D984" s="3"/>
      <c r="E984" s="3"/>
      <c r="F984" s="3"/>
      <c r="G984" s="3"/>
      <c r="H984" s="4"/>
      <c r="I984" s="8"/>
      <c r="J984" s="8"/>
      <c r="K984" s="3"/>
      <c r="L984" s="3"/>
      <c r="M984" s="3"/>
      <c r="N984" s="3"/>
      <c r="O984" s="3"/>
      <c r="P984" s="3"/>
      <c r="Q984" s="3"/>
      <c r="R984" s="3"/>
      <c r="S984" s="3"/>
      <c r="T984" s="3"/>
      <c r="U984" s="3"/>
      <c r="V984" s="3"/>
      <c r="W984" s="3"/>
      <c r="X984" s="3"/>
      <c r="Y984" s="3"/>
      <c r="Z984" s="3"/>
      <c r="AA984" s="3"/>
      <c r="AB984" s="3"/>
      <c r="AC984" s="3"/>
      <c r="AD984" s="3"/>
      <c r="AE984" s="3"/>
    </row>
    <row r="985">
      <c r="A985" s="3"/>
      <c r="B985" s="3"/>
      <c r="C985" s="3"/>
      <c r="D985" s="3"/>
      <c r="E985" s="3"/>
      <c r="F985" s="3"/>
      <c r="G985" s="3"/>
      <c r="H985" s="4"/>
      <c r="I985" s="8"/>
      <c r="J985" s="8"/>
      <c r="K985" s="3"/>
      <c r="L985" s="3"/>
      <c r="M985" s="3"/>
      <c r="N985" s="3"/>
      <c r="O985" s="3"/>
      <c r="P985" s="3"/>
      <c r="Q985" s="3"/>
      <c r="R985" s="3"/>
      <c r="S985" s="3"/>
      <c r="T985" s="3"/>
      <c r="U985" s="3"/>
      <c r="V985" s="3"/>
      <c r="W985" s="3"/>
      <c r="X985" s="3"/>
      <c r="Y985" s="3"/>
      <c r="Z985" s="3"/>
      <c r="AA985" s="3"/>
      <c r="AB985" s="3"/>
      <c r="AC985" s="3"/>
      <c r="AD985" s="3"/>
      <c r="AE985" s="3"/>
    </row>
    <row r="986">
      <c r="A986" s="3"/>
      <c r="B986" s="3"/>
      <c r="C986" s="3"/>
      <c r="D986" s="3"/>
      <c r="E986" s="3"/>
      <c r="F986" s="3"/>
      <c r="G986" s="3"/>
      <c r="H986" s="4"/>
      <c r="I986" s="8"/>
      <c r="J986" s="8"/>
      <c r="K986" s="3"/>
      <c r="L986" s="3"/>
      <c r="M986" s="3"/>
      <c r="N986" s="3"/>
      <c r="O986" s="3"/>
      <c r="P986" s="3"/>
      <c r="Q986" s="3"/>
      <c r="R986" s="3"/>
      <c r="S986" s="3"/>
      <c r="T986" s="3"/>
      <c r="U986" s="3"/>
      <c r="V986" s="3"/>
      <c r="W986" s="3"/>
      <c r="X986" s="3"/>
      <c r="Y986" s="3"/>
      <c r="Z986" s="3"/>
      <c r="AA986" s="3"/>
      <c r="AB986" s="3"/>
      <c r="AC986" s="3"/>
      <c r="AD986" s="3"/>
      <c r="AE986" s="3"/>
    </row>
    <row r="987">
      <c r="A987" s="3"/>
      <c r="B987" s="3"/>
      <c r="C987" s="3"/>
      <c r="D987" s="3"/>
      <c r="E987" s="3"/>
      <c r="F987" s="3"/>
      <c r="G987" s="3"/>
      <c r="H987" s="4"/>
      <c r="I987" s="8"/>
      <c r="J987" s="8"/>
      <c r="K987" s="3"/>
      <c r="L987" s="3"/>
      <c r="M987" s="3"/>
      <c r="N987" s="3"/>
      <c r="O987" s="3"/>
      <c r="P987" s="3"/>
      <c r="Q987" s="3"/>
      <c r="R987" s="3"/>
      <c r="S987" s="3"/>
      <c r="T987" s="3"/>
      <c r="U987" s="3"/>
      <c r="V987" s="3"/>
      <c r="W987" s="3"/>
      <c r="X987" s="3"/>
      <c r="Y987" s="3"/>
      <c r="Z987" s="3"/>
      <c r="AA987" s="3"/>
      <c r="AB987" s="3"/>
      <c r="AC987" s="3"/>
      <c r="AD987" s="3"/>
      <c r="AE987" s="3"/>
    </row>
    <row r="988">
      <c r="A988" s="3"/>
      <c r="B988" s="3"/>
      <c r="C988" s="3"/>
      <c r="D988" s="3"/>
      <c r="E988" s="3"/>
      <c r="F988" s="3"/>
      <c r="G988" s="3"/>
      <c r="H988" s="4"/>
      <c r="I988" s="8"/>
      <c r="J988" s="8"/>
      <c r="K988" s="3"/>
      <c r="L988" s="3"/>
      <c r="M988" s="3"/>
      <c r="N988" s="3"/>
      <c r="O988" s="3"/>
      <c r="P988" s="3"/>
      <c r="Q988" s="3"/>
      <c r="R988" s="3"/>
      <c r="S988" s="3"/>
      <c r="T988" s="3"/>
      <c r="U988" s="3"/>
      <c r="V988" s="3"/>
      <c r="W988" s="3"/>
      <c r="X988" s="3"/>
      <c r="Y988" s="3"/>
      <c r="Z988" s="3"/>
      <c r="AA988" s="3"/>
      <c r="AB988" s="3"/>
      <c r="AC988" s="3"/>
      <c r="AD988" s="3"/>
      <c r="AE988" s="3"/>
    </row>
    <row r="989">
      <c r="A989" s="3"/>
      <c r="B989" s="3"/>
      <c r="C989" s="3"/>
      <c r="D989" s="3"/>
      <c r="E989" s="3"/>
      <c r="F989" s="3"/>
      <c r="G989" s="3"/>
      <c r="H989" s="4"/>
      <c r="I989" s="8"/>
      <c r="J989" s="8"/>
      <c r="K989" s="3"/>
      <c r="L989" s="3"/>
      <c r="M989" s="3"/>
      <c r="N989" s="3"/>
      <c r="O989" s="3"/>
      <c r="P989" s="3"/>
      <c r="Q989" s="3"/>
      <c r="R989" s="3"/>
      <c r="S989" s="3"/>
      <c r="T989" s="3"/>
      <c r="U989" s="3"/>
      <c r="V989" s="3"/>
      <c r="W989" s="3"/>
      <c r="X989" s="3"/>
      <c r="Y989" s="3"/>
      <c r="Z989" s="3"/>
      <c r="AA989" s="3"/>
      <c r="AB989" s="3"/>
      <c r="AC989" s="3"/>
      <c r="AD989" s="3"/>
      <c r="AE989" s="3"/>
    </row>
    <row r="990">
      <c r="A990" s="3"/>
      <c r="B990" s="3"/>
      <c r="C990" s="3"/>
      <c r="D990" s="3"/>
      <c r="E990" s="3"/>
      <c r="F990" s="3"/>
      <c r="G990" s="3"/>
      <c r="H990" s="4"/>
      <c r="I990" s="8"/>
      <c r="J990" s="8"/>
      <c r="K990" s="3"/>
      <c r="L990" s="3"/>
      <c r="M990" s="3"/>
      <c r="N990" s="3"/>
      <c r="O990" s="3"/>
      <c r="P990" s="3"/>
      <c r="Q990" s="3"/>
      <c r="R990" s="3"/>
      <c r="S990" s="3"/>
      <c r="T990" s="3"/>
      <c r="U990" s="3"/>
      <c r="V990" s="3"/>
      <c r="W990" s="3"/>
      <c r="X990" s="3"/>
      <c r="Y990" s="3"/>
      <c r="Z990" s="3"/>
      <c r="AA990" s="3"/>
      <c r="AB990" s="3"/>
      <c r="AC990" s="3"/>
      <c r="AD990" s="3"/>
      <c r="AE990" s="3"/>
    </row>
    <row r="991">
      <c r="A991" s="3"/>
      <c r="B991" s="3"/>
      <c r="C991" s="3"/>
      <c r="D991" s="3"/>
      <c r="E991" s="3"/>
      <c r="F991" s="3"/>
      <c r="G991" s="3"/>
      <c r="H991" s="4"/>
      <c r="I991" s="8"/>
      <c r="J991" s="8"/>
      <c r="K991" s="3"/>
      <c r="L991" s="3"/>
      <c r="M991" s="3"/>
      <c r="N991" s="3"/>
      <c r="O991" s="3"/>
      <c r="P991" s="3"/>
      <c r="Q991" s="3"/>
      <c r="R991" s="3"/>
      <c r="S991" s="3"/>
      <c r="T991" s="3"/>
      <c r="U991" s="3"/>
      <c r="V991" s="3"/>
      <c r="W991" s="3"/>
      <c r="X991" s="3"/>
      <c r="Y991" s="3"/>
      <c r="Z991" s="3"/>
      <c r="AA991" s="3"/>
      <c r="AB991" s="3"/>
      <c r="AC991" s="3"/>
      <c r="AD991" s="3"/>
      <c r="AE991" s="3"/>
    </row>
  </sheetData>
  <autoFilter ref="$A$1:$L$62"/>
  <conditionalFormatting sqref="O52">
    <cfRule type="notContainsBlanks" dxfId="0" priority="1">
      <formula>LEN(TRIM(O52))&gt;0</formula>
    </cfRule>
  </conditionalFormatting>
  <conditionalFormatting sqref="M46">
    <cfRule type="notContainsBlanks" dxfId="0" priority="2">
      <formula>LEN(TRIM(M46))&gt;0</formula>
    </cfRule>
  </conditionalFormatting>
  <dataValidations>
    <dataValidation type="list" allowBlank="1" showErrorMessage="1" sqref="G2:G43 G45:G61 G63:G66">
      <formula1>"CUB,DBS,SBI,IOB,UBI,OGB,CB,IPOS,KVB,IB,JIO,HDFC"</formula1>
    </dataValidation>
    <dataValidation type="list" allowBlank="1" showErrorMessage="1" sqref="L2:L991">
      <formula1>"Employed,Fired,Resigned,Absconded,Temporary Break"</formula1>
    </dataValidation>
    <dataValidation type="custom" allowBlank="1" showDropDown="1" sqref="C54:D991">
      <formula1>OR(NOT(ISERROR(DATEVALUE(C54))), AND(ISNUMBER(C54), LEFT(CELL("format", C54))="D"))</formula1>
    </dataValidation>
    <dataValidation type="custom" allowBlank="1" showDropDown="1" showErrorMessage="1" sqref="C2:D53">
      <formula1>OR(NOT(ISERROR(DATEVALUE(C2))), AND(ISNUMBER(C2), LEFT(CELL("format", C2))="D"))</formula1>
    </dataValidation>
    <dataValidation type="list" allowBlank="1" showErrorMessage="1" sqref="G44 G62">
      <formula1>"CUB,DBS,SBI,IOB,UBI,OGB,CB,IPOS,KVB,IB,JIO,HDFC,G-Pay"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outlineLevelRow="1"/>
  <cols>
    <col customWidth="1" hidden="1" min="1" max="1" width="20.13"/>
    <col customWidth="1" min="2" max="3" width="15.5"/>
    <col customWidth="1" min="4" max="4" width="25.5"/>
    <col customWidth="1" min="5" max="5" width="15.25"/>
    <col customWidth="1" min="6" max="7" width="3.5"/>
    <col customWidth="1" min="8" max="8" width="3.75"/>
    <col customWidth="1" min="9" max="9" width="3.5"/>
    <col customWidth="1" min="10" max="10" width="3.75"/>
    <col customWidth="1" min="11" max="11" width="3.5"/>
    <col customWidth="1" min="12" max="12" width="3.75"/>
    <col customWidth="1" min="13" max="13" width="3.5"/>
    <col customWidth="1" min="14" max="14" width="3.75"/>
    <col customWidth="1" min="15" max="15" width="3.5"/>
    <col customWidth="1" min="16" max="16" width="3.75"/>
    <col customWidth="1" min="17" max="17" width="3.5"/>
    <col customWidth="1" min="18" max="18" width="3.75"/>
    <col customWidth="1" min="19" max="19" width="3.5"/>
    <col customWidth="1" min="20" max="20" width="3.75"/>
    <col customWidth="1" min="21" max="21" width="3.5"/>
    <col customWidth="1" min="22" max="22" width="3.75"/>
    <col customWidth="1" min="23" max="23" width="3.5"/>
    <col customWidth="1" min="24" max="24" width="3.75"/>
    <col customWidth="1" min="25" max="25" width="3.5"/>
    <col customWidth="1" min="26" max="26" width="3.75"/>
    <col customWidth="1" min="27" max="27" width="3.5"/>
    <col customWidth="1" min="28" max="28" width="3.75"/>
    <col customWidth="1" min="29" max="29" width="3.5"/>
    <col customWidth="1" min="30" max="30" width="3.75"/>
    <col customWidth="1" min="31" max="31" width="3.5"/>
    <col customWidth="1" min="32" max="32" width="3.75"/>
    <col customWidth="1" min="33" max="33" width="3.5"/>
    <col customWidth="1" min="34" max="34" width="3.75"/>
    <col customWidth="1" min="35" max="35" width="3.5"/>
    <col customWidth="1" min="36" max="36" width="3.75"/>
    <col customWidth="1" min="37" max="37" width="3.5"/>
    <col customWidth="1" min="38" max="38" width="3.75"/>
    <col customWidth="1" min="39" max="39" width="3.5"/>
    <col customWidth="1" min="40" max="40" width="3.75"/>
    <col customWidth="1" min="41" max="41" width="3.5"/>
    <col customWidth="1" min="42" max="42" width="3.75"/>
    <col customWidth="1" min="43" max="43" width="3.5"/>
    <col customWidth="1" min="44" max="44" width="3.75"/>
    <col customWidth="1" min="45" max="45" width="3.5"/>
    <col customWidth="1" min="46" max="46" width="3.75"/>
    <col customWidth="1" min="47" max="47" width="3.5"/>
    <col customWidth="1" min="48" max="48" width="3.75"/>
    <col customWidth="1" min="49" max="49" width="3.5"/>
    <col customWidth="1" min="50" max="50" width="3.75"/>
    <col customWidth="1" min="51" max="51" width="3.5"/>
    <col customWidth="1" min="52" max="52" width="3.75"/>
    <col customWidth="1" min="53" max="53" width="3.5"/>
    <col customWidth="1" min="54" max="54" width="3.75"/>
    <col customWidth="1" min="55" max="55" width="3.5"/>
    <col customWidth="1" min="56" max="56" width="3.75"/>
    <col customWidth="1" min="57" max="57" width="3.5"/>
    <col customWidth="1" min="58" max="58" width="3.75"/>
    <col customWidth="1" min="59" max="59" width="3.5"/>
    <col customWidth="1" min="60" max="60" width="3.75"/>
    <col customWidth="1" min="61" max="61" width="3.5"/>
    <col customWidth="1" min="62" max="62" width="3.75"/>
    <col customWidth="1" min="63" max="63" width="3.5"/>
    <col customWidth="1" min="64" max="64" width="3.75"/>
    <col customWidth="1" min="65" max="65" width="3.5"/>
    <col customWidth="1" min="66" max="66" width="3.75"/>
    <col customWidth="1" min="67" max="67" width="3.5"/>
  </cols>
  <sheetData>
    <row r="1">
      <c r="A1" s="14"/>
      <c r="B1" s="15"/>
      <c r="C1" s="16"/>
      <c r="D1" s="17"/>
      <c r="E1" s="18"/>
      <c r="F1" s="19">
        <v>1.0</v>
      </c>
      <c r="G1" s="17"/>
      <c r="H1" s="19">
        <v>2.0</v>
      </c>
      <c r="I1" s="17"/>
      <c r="J1" s="19">
        <v>3.0</v>
      </c>
      <c r="K1" s="17"/>
      <c r="L1" s="19">
        <v>4.0</v>
      </c>
      <c r="M1" s="17"/>
      <c r="N1" s="19">
        <v>5.0</v>
      </c>
      <c r="O1" s="17"/>
      <c r="P1" s="19">
        <v>6.0</v>
      </c>
      <c r="Q1" s="17"/>
      <c r="R1" s="19">
        <v>7.0</v>
      </c>
      <c r="S1" s="17"/>
      <c r="T1" s="19">
        <v>8.0</v>
      </c>
      <c r="U1" s="17"/>
      <c r="V1" s="19">
        <v>9.0</v>
      </c>
      <c r="W1" s="17"/>
      <c r="X1" s="19">
        <v>10.0</v>
      </c>
      <c r="Y1" s="17"/>
      <c r="Z1" s="19">
        <v>11.0</v>
      </c>
      <c r="AA1" s="17"/>
      <c r="AB1" s="19">
        <v>12.0</v>
      </c>
      <c r="AC1" s="17"/>
      <c r="AD1" s="19">
        <v>13.0</v>
      </c>
      <c r="AE1" s="17"/>
      <c r="AF1" s="19">
        <v>14.0</v>
      </c>
      <c r="AG1" s="17"/>
      <c r="AH1" s="19">
        <v>15.0</v>
      </c>
      <c r="AI1" s="17"/>
      <c r="AJ1" s="19">
        <v>16.0</v>
      </c>
      <c r="AK1" s="17"/>
      <c r="AL1" s="19">
        <v>17.0</v>
      </c>
      <c r="AM1" s="17"/>
      <c r="AN1" s="19">
        <v>18.0</v>
      </c>
      <c r="AO1" s="17"/>
      <c r="AP1" s="19">
        <v>19.0</v>
      </c>
      <c r="AQ1" s="17"/>
      <c r="AR1" s="19">
        <v>20.0</v>
      </c>
      <c r="AS1" s="17"/>
      <c r="AT1" s="19">
        <v>21.0</v>
      </c>
      <c r="AU1" s="17"/>
      <c r="AV1" s="19">
        <v>22.0</v>
      </c>
      <c r="AW1" s="17"/>
      <c r="AX1" s="19">
        <v>23.0</v>
      </c>
      <c r="AY1" s="17"/>
      <c r="AZ1" s="19">
        <v>24.0</v>
      </c>
      <c r="BA1" s="17"/>
      <c r="BB1" s="19">
        <v>25.0</v>
      </c>
      <c r="BC1" s="17"/>
      <c r="BD1" s="19">
        <v>26.0</v>
      </c>
      <c r="BE1" s="17"/>
      <c r="BF1" s="19">
        <v>27.0</v>
      </c>
      <c r="BG1" s="17"/>
      <c r="BH1" s="19">
        <v>28.0</v>
      </c>
      <c r="BI1" s="17"/>
      <c r="BJ1" s="19">
        <v>29.0</v>
      </c>
      <c r="BK1" s="17"/>
      <c r="BL1" s="19">
        <v>30.0</v>
      </c>
      <c r="BM1" s="17"/>
      <c r="BN1" s="19">
        <v>31.0</v>
      </c>
      <c r="BO1" s="17"/>
    </row>
    <row r="2" collapsed="1">
      <c r="A2" s="14"/>
      <c r="B2" s="15"/>
      <c r="C2" s="20">
        <v>45748.0</v>
      </c>
      <c r="D2" s="17"/>
      <c r="E2" s="18"/>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row>
    <row r="3" hidden="1" outlineLevel="1">
      <c r="A3" s="22"/>
      <c r="B3" s="23"/>
      <c r="C3" s="24" t="s">
        <v>1</v>
      </c>
      <c r="D3" s="24" t="s">
        <v>4</v>
      </c>
      <c r="E3" s="25" t="s">
        <v>166</v>
      </c>
      <c r="F3" s="24" t="s">
        <v>167</v>
      </c>
      <c r="G3" s="24" t="s">
        <v>168</v>
      </c>
      <c r="H3" s="24" t="s">
        <v>167</v>
      </c>
      <c r="I3" s="24" t="s">
        <v>168</v>
      </c>
      <c r="J3" s="24" t="s">
        <v>167</v>
      </c>
      <c r="K3" s="24" t="s">
        <v>168</v>
      </c>
      <c r="L3" s="24" t="s">
        <v>167</v>
      </c>
      <c r="M3" s="24" t="s">
        <v>168</v>
      </c>
      <c r="N3" s="24" t="s">
        <v>167</v>
      </c>
      <c r="O3" s="24" t="s">
        <v>168</v>
      </c>
      <c r="P3" s="24" t="s">
        <v>167</v>
      </c>
      <c r="Q3" s="24" t="s">
        <v>168</v>
      </c>
      <c r="R3" s="24" t="s">
        <v>167</v>
      </c>
      <c r="S3" s="24" t="s">
        <v>168</v>
      </c>
      <c r="T3" s="24" t="s">
        <v>167</v>
      </c>
      <c r="U3" s="24" t="s">
        <v>168</v>
      </c>
      <c r="V3" s="24" t="s">
        <v>167</v>
      </c>
      <c r="W3" s="24" t="s">
        <v>168</v>
      </c>
      <c r="X3" s="24" t="s">
        <v>167</v>
      </c>
      <c r="Y3" s="24" t="s">
        <v>168</v>
      </c>
      <c r="Z3" s="24" t="s">
        <v>167</v>
      </c>
      <c r="AA3" s="24" t="s">
        <v>168</v>
      </c>
      <c r="AB3" s="24" t="s">
        <v>167</v>
      </c>
      <c r="AC3" s="24" t="s">
        <v>168</v>
      </c>
      <c r="AD3" s="24" t="s">
        <v>167</v>
      </c>
      <c r="AE3" s="24" t="s">
        <v>168</v>
      </c>
      <c r="AF3" s="24" t="s">
        <v>167</v>
      </c>
      <c r="AG3" s="24" t="s">
        <v>168</v>
      </c>
      <c r="AH3" s="24" t="s">
        <v>167</v>
      </c>
      <c r="AI3" s="24" t="s">
        <v>168</v>
      </c>
      <c r="AJ3" s="24" t="s">
        <v>167</v>
      </c>
      <c r="AK3" s="24" t="s">
        <v>168</v>
      </c>
      <c r="AL3" s="24" t="s">
        <v>167</v>
      </c>
      <c r="AM3" s="24" t="s">
        <v>168</v>
      </c>
      <c r="AN3" s="24" t="s">
        <v>167</v>
      </c>
      <c r="AO3" s="24" t="s">
        <v>168</v>
      </c>
      <c r="AP3" s="24" t="s">
        <v>167</v>
      </c>
      <c r="AQ3" s="24" t="s">
        <v>168</v>
      </c>
      <c r="AR3" s="24" t="s">
        <v>167</v>
      </c>
      <c r="AS3" s="24" t="s">
        <v>168</v>
      </c>
      <c r="AT3" s="24" t="s">
        <v>167</v>
      </c>
      <c r="AU3" s="24" t="s">
        <v>168</v>
      </c>
      <c r="AV3" s="24" t="s">
        <v>167</v>
      </c>
      <c r="AW3" s="24" t="s">
        <v>168</v>
      </c>
      <c r="AX3" s="24" t="s">
        <v>167</v>
      </c>
      <c r="AY3" s="24" t="s">
        <v>168</v>
      </c>
      <c r="AZ3" s="24" t="s">
        <v>167</v>
      </c>
      <c r="BA3" s="24" t="s">
        <v>168</v>
      </c>
      <c r="BB3" s="24" t="s">
        <v>167</v>
      </c>
      <c r="BC3" s="24" t="s">
        <v>168</v>
      </c>
      <c r="BD3" s="24" t="s">
        <v>167</v>
      </c>
      <c r="BE3" s="24" t="s">
        <v>168</v>
      </c>
      <c r="BF3" s="24" t="s">
        <v>167</v>
      </c>
      <c r="BG3" s="24" t="s">
        <v>168</v>
      </c>
      <c r="BH3" s="24" t="s">
        <v>167</v>
      </c>
      <c r="BI3" s="24" t="s">
        <v>168</v>
      </c>
      <c r="BJ3" s="24" t="s">
        <v>167</v>
      </c>
      <c r="BK3" s="24" t="s">
        <v>168</v>
      </c>
      <c r="BL3" s="24" t="s">
        <v>167</v>
      </c>
      <c r="BM3" s="24" t="s">
        <v>168</v>
      </c>
      <c r="BN3" s="24" t="s">
        <v>167</v>
      </c>
      <c r="BO3" s="24" t="s">
        <v>168</v>
      </c>
    </row>
    <row r="4" hidden="1" outlineLevel="1">
      <c r="A4" s="26" t="str">
        <f>B4&amp;D4</f>
        <v>AprilBHUVANESHWARAN.V</v>
      </c>
      <c r="B4" s="27" t="s">
        <v>12</v>
      </c>
      <c r="C4" s="27" t="s">
        <v>13</v>
      </c>
      <c r="D4" s="28" t="str">
        <f>IFERROR(VLOOKUP(C4,'Employees List'!$B$2:$E1424,4,0),"")</f>
        <v>BHUVANESHWARAN.V</v>
      </c>
      <c r="E4" s="29">
        <f>COUNTIF(F4:BO4,TRUE)/2</f>
        <v>30</v>
      </c>
      <c r="F4" s="30" t="b">
        <v>1</v>
      </c>
      <c r="G4" s="30" t="b">
        <v>1</v>
      </c>
      <c r="H4" s="30" t="b">
        <v>1</v>
      </c>
      <c r="I4" s="30" t="b">
        <v>1</v>
      </c>
      <c r="J4" s="30" t="b">
        <v>1</v>
      </c>
      <c r="K4" s="30" t="b">
        <v>1</v>
      </c>
      <c r="L4" s="30" t="b">
        <v>1</v>
      </c>
      <c r="M4" s="30" t="b">
        <v>1</v>
      </c>
      <c r="N4" s="30" t="b">
        <v>1</v>
      </c>
      <c r="O4" s="30" t="b">
        <v>1</v>
      </c>
      <c r="P4" s="30" t="b">
        <v>1</v>
      </c>
      <c r="Q4" s="30" t="b">
        <v>1</v>
      </c>
      <c r="R4" s="30" t="b">
        <v>1</v>
      </c>
      <c r="S4" s="30" t="b">
        <v>1</v>
      </c>
      <c r="T4" s="30" t="b">
        <v>1</v>
      </c>
      <c r="U4" s="30" t="b">
        <v>1</v>
      </c>
      <c r="V4" s="30" t="b">
        <v>1</v>
      </c>
      <c r="W4" s="30" t="b">
        <v>1</v>
      </c>
      <c r="X4" s="30" t="b">
        <v>1</v>
      </c>
      <c r="Y4" s="30" t="b">
        <v>1</v>
      </c>
      <c r="Z4" s="30" t="b">
        <v>1</v>
      </c>
      <c r="AA4" s="30" t="b">
        <v>1</v>
      </c>
      <c r="AB4" s="30" t="b">
        <v>1</v>
      </c>
      <c r="AC4" s="30" t="b">
        <v>1</v>
      </c>
      <c r="AD4" s="30" t="b">
        <v>1</v>
      </c>
      <c r="AE4" s="30" t="b">
        <v>1</v>
      </c>
      <c r="AF4" s="30" t="b">
        <v>1</v>
      </c>
      <c r="AG4" s="30" t="b">
        <v>1</v>
      </c>
      <c r="AH4" s="30" t="b">
        <v>1</v>
      </c>
      <c r="AI4" s="30" t="b">
        <v>1</v>
      </c>
      <c r="AJ4" s="30" t="b">
        <v>1</v>
      </c>
      <c r="AK4" s="30" t="b">
        <v>1</v>
      </c>
      <c r="AL4" s="30" t="b">
        <v>1</v>
      </c>
      <c r="AM4" s="30" t="b">
        <v>1</v>
      </c>
      <c r="AN4" s="30" t="b">
        <v>1</v>
      </c>
      <c r="AO4" s="30" t="b">
        <v>1</v>
      </c>
      <c r="AP4" s="30" t="b">
        <v>1</v>
      </c>
      <c r="AQ4" s="30" t="b">
        <v>1</v>
      </c>
      <c r="AR4" s="30" t="b">
        <v>1</v>
      </c>
      <c r="AS4" s="30" t="b">
        <v>1</v>
      </c>
      <c r="AT4" s="30" t="b">
        <v>1</v>
      </c>
      <c r="AU4" s="30" t="b">
        <v>1</v>
      </c>
      <c r="AV4" s="30" t="b">
        <v>1</v>
      </c>
      <c r="AW4" s="30" t="b">
        <v>1</v>
      </c>
      <c r="AX4" s="30" t="b">
        <v>1</v>
      </c>
      <c r="AY4" s="30" t="b">
        <v>1</v>
      </c>
      <c r="AZ4" s="30" t="b">
        <v>1</v>
      </c>
      <c r="BA4" s="30" t="b">
        <v>1</v>
      </c>
      <c r="BB4" s="30" t="b">
        <v>1</v>
      </c>
      <c r="BC4" s="30" t="b">
        <v>1</v>
      </c>
      <c r="BD4" s="30" t="b">
        <v>1</v>
      </c>
      <c r="BE4" s="30" t="b">
        <v>1</v>
      </c>
      <c r="BF4" s="30" t="b">
        <v>1</v>
      </c>
      <c r="BG4" s="30" t="b">
        <v>1</v>
      </c>
      <c r="BH4" s="30" t="b">
        <v>1</v>
      </c>
      <c r="BI4" s="30" t="b">
        <v>1</v>
      </c>
      <c r="BJ4" s="30" t="b">
        <v>1</v>
      </c>
      <c r="BK4" s="30" t="b">
        <v>1</v>
      </c>
      <c r="BL4" s="30" t="b">
        <v>1</v>
      </c>
      <c r="BM4" s="30" t="b">
        <v>1</v>
      </c>
      <c r="BN4" s="30" t="b">
        <v>0</v>
      </c>
      <c r="BO4" s="30" t="b">
        <v>0</v>
      </c>
    </row>
    <row r="5" hidden="1" outlineLevel="1">
      <c r="A5" s="31" t="str">
        <f>A4&amp;C5</f>
        <v>AprilBHUVANESHWARAN.VOT HOURS</v>
      </c>
      <c r="B5" s="32"/>
      <c r="C5" s="33" t="s">
        <v>169</v>
      </c>
      <c r="D5" s="17"/>
      <c r="E5" s="29">
        <f>SUM($F$5:$BO$5)</f>
        <v>0</v>
      </c>
      <c r="F5" s="34"/>
      <c r="G5" s="17"/>
      <c r="H5" s="34"/>
      <c r="I5" s="17"/>
      <c r="J5" s="34"/>
      <c r="K5" s="17"/>
      <c r="L5" s="34"/>
      <c r="M5" s="17"/>
      <c r="N5" s="34"/>
      <c r="O5" s="17"/>
      <c r="P5" s="34"/>
      <c r="Q5" s="17"/>
      <c r="R5" s="34"/>
      <c r="S5" s="17"/>
      <c r="T5" s="34"/>
      <c r="U5" s="17"/>
      <c r="V5" s="34"/>
      <c r="W5" s="17"/>
      <c r="X5" s="34"/>
      <c r="Y5" s="17"/>
      <c r="Z5" s="34"/>
      <c r="AA5" s="17"/>
      <c r="AB5" s="34"/>
      <c r="AC5" s="17"/>
      <c r="AD5" s="34"/>
      <c r="AE5" s="17"/>
      <c r="AF5" s="34"/>
      <c r="AG5" s="17"/>
      <c r="AH5" s="34"/>
      <c r="AI5" s="17"/>
      <c r="AJ5" s="34"/>
      <c r="AK5" s="17"/>
      <c r="AL5" s="34"/>
      <c r="AM5" s="17"/>
      <c r="AN5" s="34"/>
      <c r="AO5" s="17"/>
      <c r="AP5" s="34"/>
      <c r="AQ5" s="17"/>
      <c r="AR5" s="34"/>
      <c r="AS5" s="17"/>
      <c r="AT5" s="34"/>
      <c r="AU5" s="17"/>
      <c r="AV5" s="34"/>
      <c r="AW5" s="17"/>
      <c r="AX5" s="34"/>
      <c r="AY5" s="17"/>
      <c r="AZ5" s="34"/>
      <c r="BA5" s="17"/>
      <c r="BB5" s="34"/>
      <c r="BC5" s="17"/>
      <c r="BD5" s="34"/>
      <c r="BE5" s="17"/>
      <c r="BF5" s="34"/>
      <c r="BG5" s="17"/>
      <c r="BH5" s="34"/>
      <c r="BI5" s="17"/>
      <c r="BJ5" s="34"/>
      <c r="BK5" s="17"/>
      <c r="BL5" s="34"/>
      <c r="BM5" s="17"/>
      <c r="BN5" s="34"/>
      <c r="BO5" s="17"/>
    </row>
    <row r="6" hidden="1" outlineLevel="1">
      <c r="A6" s="26" t="str">
        <f>B6&amp;D6</f>
        <v>AprilTHIRIPURA SUNDARI.R</v>
      </c>
      <c r="B6" s="27" t="s">
        <v>12</v>
      </c>
      <c r="C6" s="27" t="s">
        <v>71</v>
      </c>
      <c r="D6" s="28" t="str">
        <f>IFERROR(VLOOKUP(C6,'Employees List'!$B$2:$E1424,4,0),"")</f>
        <v>THIRIPURA SUNDARI.R</v>
      </c>
      <c r="E6" s="29">
        <f>COUNTIF(F6:BO6,TRUE)/2</f>
        <v>30</v>
      </c>
      <c r="F6" s="30" t="b">
        <v>1</v>
      </c>
      <c r="G6" s="30" t="b">
        <v>1</v>
      </c>
      <c r="H6" s="30" t="b">
        <v>1</v>
      </c>
      <c r="I6" s="30" t="b">
        <v>1</v>
      </c>
      <c r="J6" s="30" t="b">
        <v>1</v>
      </c>
      <c r="K6" s="30" t="b">
        <v>1</v>
      </c>
      <c r="L6" s="30" t="b">
        <v>1</v>
      </c>
      <c r="M6" s="30" t="b">
        <v>1</v>
      </c>
      <c r="N6" s="30" t="b">
        <v>1</v>
      </c>
      <c r="O6" s="30" t="b">
        <v>1</v>
      </c>
      <c r="P6" s="30" t="b">
        <v>1</v>
      </c>
      <c r="Q6" s="30" t="b">
        <v>1</v>
      </c>
      <c r="R6" s="30" t="b">
        <v>1</v>
      </c>
      <c r="S6" s="30" t="b">
        <v>1</v>
      </c>
      <c r="T6" s="30" t="b">
        <v>1</v>
      </c>
      <c r="U6" s="30" t="b">
        <v>1</v>
      </c>
      <c r="V6" s="30" t="b">
        <v>1</v>
      </c>
      <c r="W6" s="30" t="b">
        <v>1</v>
      </c>
      <c r="X6" s="30" t="b">
        <v>1</v>
      </c>
      <c r="Y6" s="30" t="b">
        <v>1</v>
      </c>
      <c r="Z6" s="30" t="b">
        <v>1</v>
      </c>
      <c r="AA6" s="30" t="b">
        <v>1</v>
      </c>
      <c r="AB6" s="30" t="b">
        <v>1</v>
      </c>
      <c r="AC6" s="30" t="b">
        <v>1</v>
      </c>
      <c r="AD6" s="30" t="b">
        <v>1</v>
      </c>
      <c r="AE6" s="30" t="b">
        <v>1</v>
      </c>
      <c r="AF6" s="30" t="b">
        <v>1</v>
      </c>
      <c r="AG6" s="30" t="b">
        <v>1</v>
      </c>
      <c r="AH6" s="30" t="b">
        <v>1</v>
      </c>
      <c r="AI6" s="30" t="b">
        <v>1</v>
      </c>
      <c r="AJ6" s="30" t="b">
        <v>1</v>
      </c>
      <c r="AK6" s="30" t="b">
        <v>1</v>
      </c>
      <c r="AL6" s="30" t="b">
        <v>1</v>
      </c>
      <c r="AM6" s="30" t="b">
        <v>1</v>
      </c>
      <c r="AN6" s="30" t="b">
        <v>1</v>
      </c>
      <c r="AO6" s="30" t="b">
        <v>1</v>
      </c>
      <c r="AP6" s="30" t="b">
        <v>1</v>
      </c>
      <c r="AQ6" s="30" t="b">
        <v>1</v>
      </c>
      <c r="AR6" s="30" t="b">
        <v>1</v>
      </c>
      <c r="AS6" s="30" t="b">
        <v>1</v>
      </c>
      <c r="AT6" s="30" t="b">
        <v>1</v>
      </c>
      <c r="AU6" s="30" t="b">
        <v>1</v>
      </c>
      <c r="AV6" s="30" t="b">
        <v>1</v>
      </c>
      <c r="AW6" s="30" t="b">
        <v>1</v>
      </c>
      <c r="AX6" s="30" t="b">
        <v>1</v>
      </c>
      <c r="AY6" s="30" t="b">
        <v>1</v>
      </c>
      <c r="AZ6" s="30" t="b">
        <v>1</v>
      </c>
      <c r="BA6" s="30" t="b">
        <v>1</v>
      </c>
      <c r="BB6" s="30" t="b">
        <v>1</v>
      </c>
      <c r="BC6" s="30" t="b">
        <v>1</v>
      </c>
      <c r="BD6" s="30" t="b">
        <v>1</v>
      </c>
      <c r="BE6" s="30" t="b">
        <v>1</v>
      </c>
      <c r="BF6" s="30" t="b">
        <v>1</v>
      </c>
      <c r="BG6" s="30" t="b">
        <v>1</v>
      </c>
      <c r="BH6" s="30" t="b">
        <v>1</v>
      </c>
      <c r="BI6" s="30" t="b">
        <v>1</v>
      </c>
      <c r="BJ6" s="30" t="b">
        <v>1</v>
      </c>
      <c r="BK6" s="30" t="b">
        <v>1</v>
      </c>
      <c r="BL6" s="30" t="b">
        <v>1</v>
      </c>
      <c r="BM6" s="30" t="b">
        <v>1</v>
      </c>
      <c r="BN6" s="30" t="b">
        <v>0</v>
      </c>
      <c r="BO6" s="30" t="b">
        <v>0</v>
      </c>
    </row>
    <row r="7" hidden="1" outlineLevel="1">
      <c r="A7" s="31" t="str">
        <f>A6&amp;C7</f>
        <v>AprilTHIRIPURA SUNDARI.ROT HOURS</v>
      </c>
      <c r="B7" s="32"/>
      <c r="C7" s="33" t="s">
        <v>169</v>
      </c>
      <c r="D7" s="17"/>
      <c r="E7" s="29">
        <f>SUM($F$7:$BO$7)</f>
        <v>8</v>
      </c>
      <c r="F7" s="34"/>
      <c r="G7" s="17"/>
      <c r="H7" s="34"/>
      <c r="I7" s="17"/>
      <c r="J7" s="34">
        <v>1.0</v>
      </c>
      <c r="K7" s="17"/>
      <c r="L7" s="34"/>
      <c r="M7" s="17"/>
      <c r="N7" s="34"/>
      <c r="O7" s="17"/>
      <c r="P7" s="34"/>
      <c r="Q7" s="17"/>
      <c r="R7" s="34"/>
      <c r="S7" s="17"/>
      <c r="T7" s="34"/>
      <c r="U7" s="17"/>
      <c r="V7" s="34"/>
      <c r="W7" s="17"/>
      <c r="X7" s="34">
        <v>1.0</v>
      </c>
      <c r="Y7" s="17"/>
      <c r="Z7" s="34"/>
      <c r="AA7" s="17"/>
      <c r="AB7" s="34"/>
      <c r="AC7" s="17"/>
      <c r="AD7" s="34"/>
      <c r="AE7" s="17"/>
      <c r="AF7" s="34"/>
      <c r="AG7" s="17"/>
      <c r="AH7" s="34"/>
      <c r="AI7" s="17"/>
      <c r="AJ7" s="34">
        <v>1.0</v>
      </c>
      <c r="AK7" s="17"/>
      <c r="AL7" s="34">
        <v>1.0</v>
      </c>
      <c r="AM7" s="17"/>
      <c r="AN7" s="34"/>
      <c r="AO7" s="17"/>
      <c r="AP7" s="34">
        <v>1.0</v>
      </c>
      <c r="AQ7" s="17"/>
      <c r="AR7" s="34"/>
      <c r="AS7" s="17"/>
      <c r="AT7" s="34"/>
      <c r="AU7" s="17"/>
      <c r="AV7" s="34"/>
      <c r="AW7" s="17"/>
      <c r="AX7" s="34"/>
      <c r="AY7" s="17"/>
      <c r="AZ7" s="34">
        <v>1.0</v>
      </c>
      <c r="BA7" s="17"/>
      <c r="BB7" s="34">
        <v>1.0</v>
      </c>
      <c r="BC7" s="17"/>
      <c r="BD7" s="34"/>
      <c r="BE7" s="17"/>
      <c r="BF7" s="34"/>
      <c r="BG7" s="17"/>
      <c r="BH7" s="34">
        <v>1.0</v>
      </c>
      <c r="BI7" s="17"/>
      <c r="BJ7" s="34"/>
      <c r="BK7" s="17"/>
      <c r="BL7" s="34"/>
      <c r="BM7" s="17"/>
      <c r="BN7" s="34"/>
      <c r="BO7" s="17"/>
    </row>
    <row r="8" hidden="1" outlineLevel="1">
      <c r="A8" s="26" t="str">
        <f>B8&amp;D8</f>
        <v>AprilGANESH</v>
      </c>
      <c r="B8" s="27" t="s">
        <v>12</v>
      </c>
      <c r="C8" s="27" t="s">
        <v>22</v>
      </c>
      <c r="D8" s="28" t="str">
        <f>IFERROR(VLOOKUP(C8,'Employees List'!$B$2:$E1424,4,0),"")</f>
        <v>GANESH</v>
      </c>
      <c r="E8" s="29">
        <f>COUNTIF(F8:BO8,TRUE)/2</f>
        <v>22</v>
      </c>
      <c r="F8" s="30" t="b">
        <v>1</v>
      </c>
      <c r="G8" s="30" t="b">
        <v>1</v>
      </c>
      <c r="H8" s="30" t="b">
        <v>0</v>
      </c>
      <c r="I8" s="30" t="b">
        <v>0</v>
      </c>
      <c r="J8" s="30" t="b">
        <v>0</v>
      </c>
      <c r="K8" s="30" t="b">
        <v>0</v>
      </c>
      <c r="L8" s="30" t="b">
        <v>1</v>
      </c>
      <c r="M8" s="30" t="b">
        <v>1</v>
      </c>
      <c r="N8" s="30" t="b">
        <v>1</v>
      </c>
      <c r="O8" s="30" t="b">
        <v>1</v>
      </c>
      <c r="P8" s="30" t="b">
        <v>1</v>
      </c>
      <c r="Q8" s="30" t="b">
        <v>1</v>
      </c>
      <c r="R8" s="30" t="b">
        <v>1</v>
      </c>
      <c r="S8" s="30" t="b">
        <v>1</v>
      </c>
      <c r="T8" s="30" t="b">
        <v>1</v>
      </c>
      <c r="U8" s="30" t="b">
        <v>1</v>
      </c>
      <c r="V8" s="30" t="b">
        <v>1</v>
      </c>
      <c r="W8" s="30" t="b">
        <v>1</v>
      </c>
      <c r="X8" s="30" t="b">
        <v>0</v>
      </c>
      <c r="Y8" s="30" t="b">
        <v>0</v>
      </c>
      <c r="Z8" s="30" t="b">
        <v>0</v>
      </c>
      <c r="AA8" s="30" t="b">
        <v>0</v>
      </c>
      <c r="AB8" s="30" t="b">
        <v>0</v>
      </c>
      <c r="AC8" s="30" t="b">
        <v>0</v>
      </c>
      <c r="AD8" s="30" t="b">
        <v>0</v>
      </c>
      <c r="AE8" s="30" t="b">
        <v>0</v>
      </c>
      <c r="AF8" s="30" t="b">
        <v>0</v>
      </c>
      <c r="AG8" s="30" t="b">
        <v>0</v>
      </c>
      <c r="AH8" s="30" t="b">
        <v>0</v>
      </c>
      <c r="AI8" s="30" t="b">
        <v>0</v>
      </c>
      <c r="AJ8" s="30" t="b">
        <v>1</v>
      </c>
      <c r="AK8" s="30" t="b">
        <v>1</v>
      </c>
      <c r="AL8" s="30" t="b">
        <v>1</v>
      </c>
      <c r="AM8" s="30" t="b">
        <v>1</v>
      </c>
      <c r="AN8" s="30" t="b">
        <v>1</v>
      </c>
      <c r="AO8" s="30" t="b">
        <v>1</v>
      </c>
      <c r="AP8" s="30" t="b">
        <v>1</v>
      </c>
      <c r="AQ8" s="30" t="b">
        <v>1</v>
      </c>
      <c r="AR8" s="30" t="b">
        <v>1</v>
      </c>
      <c r="AS8" s="30" t="b">
        <v>1</v>
      </c>
      <c r="AT8" s="30" t="b">
        <v>1</v>
      </c>
      <c r="AU8" s="30" t="b">
        <v>1</v>
      </c>
      <c r="AV8" s="30" t="b">
        <v>1</v>
      </c>
      <c r="AW8" s="30" t="b">
        <v>1</v>
      </c>
      <c r="AX8" s="30" t="b">
        <v>1</v>
      </c>
      <c r="AY8" s="30" t="b">
        <v>1</v>
      </c>
      <c r="AZ8" s="30" t="b">
        <v>1</v>
      </c>
      <c r="BA8" s="30" t="b">
        <v>1</v>
      </c>
      <c r="BB8" s="30" t="b">
        <v>1</v>
      </c>
      <c r="BC8" s="30" t="b">
        <v>1</v>
      </c>
      <c r="BD8" s="30" t="b">
        <v>1</v>
      </c>
      <c r="BE8" s="30" t="b">
        <v>1</v>
      </c>
      <c r="BF8" s="30" t="b">
        <v>1</v>
      </c>
      <c r="BG8" s="30" t="b">
        <v>1</v>
      </c>
      <c r="BH8" s="30" t="b">
        <v>1</v>
      </c>
      <c r="BI8" s="30" t="b">
        <v>1</v>
      </c>
      <c r="BJ8" s="30" t="b">
        <v>1</v>
      </c>
      <c r="BK8" s="30" t="b">
        <v>1</v>
      </c>
      <c r="BL8" s="30" t="b">
        <v>1</v>
      </c>
      <c r="BM8" s="30" t="b">
        <v>1</v>
      </c>
      <c r="BN8" s="30" t="b">
        <v>0</v>
      </c>
      <c r="BO8" s="30" t="b">
        <v>0</v>
      </c>
    </row>
    <row r="9" hidden="1" outlineLevel="1">
      <c r="A9" s="31" t="str">
        <f>A8&amp;C9</f>
        <v>AprilGANESHOT HOURS</v>
      </c>
      <c r="B9" s="32"/>
      <c r="C9" s="33" t="s">
        <v>169</v>
      </c>
      <c r="D9" s="17"/>
      <c r="E9" s="29">
        <f>SUM($F$9:$BO$9)</f>
        <v>22</v>
      </c>
      <c r="F9" s="34"/>
      <c r="G9" s="17"/>
      <c r="H9" s="34"/>
      <c r="I9" s="17"/>
      <c r="J9" s="34"/>
      <c r="K9" s="17"/>
      <c r="L9" s="34"/>
      <c r="M9" s="17"/>
      <c r="N9" s="34">
        <v>2.0</v>
      </c>
      <c r="O9" s="17"/>
      <c r="P9" s="34"/>
      <c r="Q9" s="17"/>
      <c r="R9" s="34"/>
      <c r="S9" s="17"/>
      <c r="T9" s="34"/>
      <c r="U9" s="17"/>
      <c r="V9" s="34"/>
      <c r="W9" s="17"/>
      <c r="X9" s="34"/>
      <c r="Y9" s="17"/>
      <c r="Z9" s="34"/>
      <c r="AA9" s="17"/>
      <c r="AB9" s="34"/>
      <c r="AC9" s="17"/>
      <c r="AD9" s="34"/>
      <c r="AE9" s="17"/>
      <c r="AF9" s="34"/>
      <c r="AG9" s="17"/>
      <c r="AH9" s="34"/>
      <c r="AI9" s="17"/>
      <c r="AJ9" s="34">
        <v>2.0</v>
      </c>
      <c r="AK9" s="17"/>
      <c r="AL9" s="34">
        <v>2.0</v>
      </c>
      <c r="AM9" s="17"/>
      <c r="AN9" s="34">
        <v>3.0</v>
      </c>
      <c r="AO9" s="17"/>
      <c r="AP9" s="34">
        <v>3.0</v>
      </c>
      <c r="AQ9" s="17"/>
      <c r="AR9" s="34">
        <v>2.0</v>
      </c>
      <c r="AS9" s="17"/>
      <c r="AT9" s="34">
        <v>3.0</v>
      </c>
      <c r="AU9" s="17"/>
      <c r="AV9" s="34"/>
      <c r="AW9" s="17"/>
      <c r="AX9" s="34"/>
      <c r="AY9" s="17"/>
      <c r="AZ9" s="34">
        <v>2.0</v>
      </c>
      <c r="BA9" s="17"/>
      <c r="BB9" s="34"/>
      <c r="BC9" s="17"/>
      <c r="BD9" s="34"/>
      <c r="BE9" s="17"/>
      <c r="BF9" s="34"/>
      <c r="BG9" s="17"/>
      <c r="BH9" s="34"/>
      <c r="BI9" s="17"/>
      <c r="BJ9" s="34">
        <v>3.0</v>
      </c>
      <c r="BK9" s="17"/>
      <c r="BL9" s="34"/>
      <c r="BM9" s="17"/>
      <c r="BN9" s="34"/>
      <c r="BO9" s="17"/>
    </row>
    <row r="10" hidden="1" outlineLevel="1">
      <c r="A10" s="26" t="str">
        <f>B10&amp;D10</f>
        <v>AprilILAMATHIVANAN.S</v>
      </c>
      <c r="B10" s="27" t="s">
        <v>12</v>
      </c>
      <c r="C10" s="27" t="s">
        <v>77</v>
      </c>
      <c r="D10" s="28" t="str">
        <f>IFERROR(VLOOKUP(C10,'Employees List'!$B$2:$E1424,4,0),"")</f>
        <v>ILAMATHIVANAN.S</v>
      </c>
      <c r="E10" s="29">
        <f>COUNTIF(F10:BO10,TRUE)/2</f>
        <v>23</v>
      </c>
      <c r="F10" s="30" t="b">
        <v>1</v>
      </c>
      <c r="G10" s="30" t="b">
        <v>1</v>
      </c>
      <c r="H10" s="30" t="b">
        <v>1</v>
      </c>
      <c r="I10" s="30" t="b">
        <v>1</v>
      </c>
      <c r="J10" s="30" t="b">
        <v>1</v>
      </c>
      <c r="K10" s="30" t="b">
        <v>1</v>
      </c>
      <c r="L10" s="30" t="b">
        <v>1</v>
      </c>
      <c r="M10" s="30" t="b">
        <v>1</v>
      </c>
      <c r="N10" s="30" t="b">
        <v>1</v>
      </c>
      <c r="O10" s="30" t="b">
        <v>1</v>
      </c>
      <c r="P10" s="30" t="b">
        <v>1</v>
      </c>
      <c r="Q10" s="30" t="b">
        <v>1</v>
      </c>
      <c r="R10" s="30" t="b">
        <v>0</v>
      </c>
      <c r="S10" s="30" t="b">
        <v>0</v>
      </c>
      <c r="T10" s="30" t="b">
        <v>1</v>
      </c>
      <c r="U10" s="30" t="b">
        <v>1</v>
      </c>
      <c r="V10" s="30" t="b">
        <v>1</v>
      </c>
      <c r="W10" s="30" t="b">
        <v>1</v>
      </c>
      <c r="X10" s="30" t="b">
        <v>1</v>
      </c>
      <c r="Y10" s="30" t="b">
        <v>1</v>
      </c>
      <c r="Z10" s="30" t="b">
        <v>0</v>
      </c>
      <c r="AA10" s="30" t="b">
        <v>0</v>
      </c>
      <c r="AB10" s="30" t="b">
        <v>0</v>
      </c>
      <c r="AC10" s="30" t="b">
        <v>0</v>
      </c>
      <c r="AD10" s="30" t="b">
        <v>0</v>
      </c>
      <c r="AE10" s="30" t="b">
        <v>0</v>
      </c>
      <c r="AF10" s="30" t="b">
        <v>0</v>
      </c>
      <c r="AG10" s="30" t="b">
        <v>0</v>
      </c>
      <c r="AH10" s="30" t="b">
        <v>0</v>
      </c>
      <c r="AI10" s="30" t="b">
        <v>0</v>
      </c>
      <c r="AJ10" s="30" t="b">
        <v>1</v>
      </c>
      <c r="AK10" s="30" t="b">
        <v>1</v>
      </c>
      <c r="AL10" s="30" t="b">
        <v>1</v>
      </c>
      <c r="AM10" s="30" t="b">
        <v>1</v>
      </c>
      <c r="AN10" s="30" t="b">
        <v>1</v>
      </c>
      <c r="AO10" s="30" t="b">
        <v>1</v>
      </c>
      <c r="AP10" s="30" t="b">
        <v>1</v>
      </c>
      <c r="AQ10" s="30" t="b">
        <v>1</v>
      </c>
      <c r="AR10" s="30" t="b">
        <v>1</v>
      </c>
      <c r="AS10" s="30" t="b">
        <v>1</v>
      </c>
      <c r="AT10" s="30" t="b">
        <v>0</v>
      </c>
      <c r="AU10" s="30" t="b">
        <v>0</v>
      </c>
      <c r="AV10" s="30" t="b">
        <v>1</v>
      </c>
      <c r="AW10" s="30" t="b">
        <v>1</v>
      </c>
      <c r="AX10" s="30" t="b">
        <v>1</v>
      </c>
      <c r="AY10" s="30" t="b">
        <v>1</v>
      </c>
      <c r="AZ10" s="30" t="b">
        <v>1</v>
      </c>
      <c r="BA10" s="30" t="b">
        <v>1</v>
      </c>
      <c r="BB10" s="30" t="b">
        <v>1</v>
      </c>
      <c r="BC10" s="30" t="b">
        <v>1</v>
      </c>
      <c r="BD10" s="30" t="b">
        <v>1</v>
      </c>
      <c r="BE10" s="30" t="b">
        <v>1</v>
      </c>
      <c r="BF10" s="30" t="b">
        <v>1</v>
      </c>
      <c r="BG10" s="30" t="b">
        <v>1</v>
      </c>
      <c r="BH10" s="30" t="b">
        <v>1</v>
      </c>
      <c r="BI10" s="30" t="b">
        <v>1</v>
      </c>
      <c r="BJ10" s="30" t="b">
        <v>1</v>
      </c>
      <c r="BK10" s="30" t="b">
        <v>1</v>
      </c>
      <c r="BL10" s="30" t="b">
        <v>1</v>
      </c>
      <c r="BM10" s="30" t="b">
        <v>1</v>
      </c>
      <c r="BN10" s="30" t="b">
        <v>0</v>
      </c>
      <c r="BO10" s="30" t="b">
        <v>0</v>
      </c>
    </row>
    <row r="11" hidden="1" outlineLevel="1">
      <c r="A11" s="31" t="str">
        <f>A10&amp;C11</f>
        <v>AprilILAMATHIVANAN.SOT HOURS</v>
      </c>
      <c r="B11" s="32"/>
      <c r="C11" s="33" t="s">
        <v>169</v>
      </c>
      <c r="D11" s="17"/>
      <c r="E11" s="29">
        <f>SUM(F11:BO11)</f>
        <v>41</v>
      </c>
      <c r="F11" s="34">
        <v>1.0</v>
      </c>
      <c r="G11" s="17"/>
      <c r="H11" s="34">
        <v>2.0</v>
      </c>
      <c r="I11" s="17"/>
      <c r="J11" s="34"/>
      <c r="K11" s="17"/>
      <c r="L11" s="34"/>
      <c r="M11" s="17"/>
      <c r="N11" s="34">
        <v>2.0</v>
      </c>
      <c r="O11" s="17"/>
      <c r="P11" s="34"/>
      <c r="Q11" s="17"/>
      <c r="R11" s="34"/>
      <c r="S11" s="17"/>
      <c r="T11" s="34">
        <v>1.0</v>
      </c>
      <c r="U11" s="17"/>
      <c r="V11" s="34">
        <v>3.0</v>
      </c>
      <c r="W11" s="17"/>
      <c r="X11" s="34"/>
      <c r="Y11" s="17"/>
      <c r="Z11" s="34"/>
      <c r="AA11" s="17"/>
      <c r="AB11" s="34"/>
      <c r="AC11" s="17"/>
      <c r="AD11" s="34"/>
      <c r="AE11" s="17"/>
      <c r="AF11" s="34"/>
      <c r="AG11" s="17"/>
      <c r="AH11" s="34"/>
      <c r="AI11" s="17"/>
      <c r="AJ11" s="34">
        <v>4.0</v>
      </c>
      <c r="AK11" s="17"/>
      <c r="AL11" s="34">
        <v>4.0</v>
      </c>
      <c r="AM11" s="17"/>
      <c r="AN11" s="34">
        <v>1.0</v>
      </c>
      <c r="AO11" s="17"/>
      <c r="AP11" s="34">
        <v>4.0</v>
      </c>
      <c r="AQ11" s="17"/>
      <c r="AR11" s="34"/>
      <c r="AS11" s="17"/>
      <c r="AT11" s="34"/>
      <c r="AU11" s="17"/>
      <c r="AV11" s="34">
        <v>5.0</v>
      </c>
      <c r="AW11" s="17"/>
      <c r="AX11" s="34">
        <v>1.0</v>
      </c>
      <c r="AY11" s="17"/>
      <c r="AZ11" s="34">
        <v>3.0</v>
      </c>
      <c r="BA11" s="17"/>
      <c r="BB11" s="34"/>
      <c r="BC11" s="17"/>
      <c r="BD11" s="34">
        <v>2.0</v>
      </c>
      <c r="BE11" s="17"/>
      <c r="BF11" s="34"/>
      <c r="BG11" s="17"/>
      <c r="BH11" s="34">
        <v>1.0</v>
      </c>
      <c r="BI11" s="17"/>
      <c r="BJ11" s="34">
        <v>5.0</v>
      </c>
      <c r="BK11" s="17"/>
      <c r="BL11" s="34">
        <v>2.0</v>
      </c>
      <c r="BM11" s="17"/>
      <c r="BN11" s="34"/>
      <c r="BO11" s="17"/>
    </row>
    <row r="12" hidden="1" outlineLevel="1">
      <c r="A12" s="26" t="str">
        <f>B12&amp;D12</f>
        <v>AprilAMMU.S</v>
      </c>
      <c r="B12" s="27" t="s">
        <v>12</v>
      </c>
      <c r="C12" s="27" t="s">
        <v>42</v>
      </c>
      <c r="D12" s="28" t="str">
        <f>IFERROR(VLOOKUP(C12,'Employees List'!$B$2:$E1424,4,0),"")</f>
        <v>AMMU.S</v>
      </c>
      <c r="E12" s="29">
        <f>COUNTIF(F12:BO12,TRUE)/2</f>
        <v>30</v>
      </c>
      <c r="F12" s="30" t="b">
        <v>1</v>
      </c>
      <c r="G12" s="30" t="b">
        <v>1</v>
      </c>
      <c r="H12" s="30" t="b">
        <v>1</v>
      </c>
      <c r="I12" s="30" t="b">
        <v>1</v>
      </c>
      <c r="J12" s="30" t="b">
        <v>1</v>
      </c>
      <c r="K12" s="30" t="b">
        <v>1</v>
      </c>
      <c r="L12" s="30" t="b">
        <v>1</v>
      </c>
      <c r="M12" s="30" t="b">
        <v>1</v>
      </c>
      <c r="N12" s="30" t="b">
        <v>1</v>
      </c>
      <c r="O12" s="30" t="b">
        <v>1</v>
      </c>
      <c r="P12" s="30" t="b">
        <v>1</v>
      </c>
      <c r="Q12" s="30" t="b">
        <v>1</v>
      </c>
      <c r="R12" s="30" t="b">
        <v>1</v>
      </c>
      <c r="S12" s="30" t="b">
        <v>1</v>
      </c>
      <c r="T12" s="30" t="b">
        <v>1</v>
      </c>
      <c r="U12" s="30" t="b">
        <v>1</v>
      </c>
      <c r="V12" s="30" t="b">
        <v>1</v>
      </c>
      <c r="W12" s="30" t="b">
        <v>1</v>
      </c>
      <c r="X12" s="30" t="b">
        <v>1</v>
      </c>
      <c r="Y12" s="30" t="b">
        <v>1</v>
      </c>
      <c r="Z12" s="30" t="b">
        <v>1</v>
      </c>
      <c r="AA12" s="30" t="b">
        <v>1</v>
      </c>
      <c r="AB12" s="30" t="b">
        <v>1</v>
      </c>
      <c r="AC12" s="30" t="b">
        <v>1</v>
      </c>
      <c r="AD12" s="30" t="b">
        <v>1</v>
      </c>
      <c r="AE12" s="30" t="b">
        <v>1</v>
      </c>
      <c r="AF12" s="30" t="b">
        <v>1</v>
      </c>
      <c r="AG12" s="30" t="b">
        <v>1</v>
      </c>
      <c r="AH12" s="30" t="b">
        <v>1</v>
      </c>
      <c r="AI12" s="30" t="b">
        <v>1</v>
      </c>
      <c r="AJ12" s="30" t="b">
        <v>1</v>
      </c>
      <c r="AK12" s="30" t="b">
        <v>1</v>
      </c>
      <c r="AL12" s="30" t="b">
        <v>1</v>
      </c>
      <c r="AM12" s="30" t="b">
        <v>1</v>
      </c>
      <c r="AN12" s="30" t="b">
        <v>1</v>
      </c>
      <c r="AO12" s="30" t="b">
        <v>1</v>
      </c>
      <c r="AP12" s="30" t="b">
        <v>1</v>
      </c>
      <c r="AQ12" s="30" t="b">
        <v>1</v>
      </c>
      <c r="AR12" s="30" t="b">
        <v>1</v>
      </c>
      <c r="AS12" s="30" t="b">
        <v>1</v>
      </c>
      <c r="AT12" s="30" t="b">
        <v>1</v>
      </c>
      <c r="AU12" s="30" t="b">
        <v>1</v>
      </c>
      <c r="AV12" s="30" t="b">
        <v>1</v>
      </c>
      <c r="AW12" s="30" t="b">
        <v>1</v>
      </c>
      <c r="AX12" s="30" t="b">
        <v>1</v>
      </c>
      <c r="AY12" s="30" t="b">
        <v>1</v>
      </c>
      <c r="AZ12" s="30" t="b">
        <v>1</v>
      </c>
      <c r="BA12" s="30" t="b">
        <v>1</v>
      </c>
      <c r="BB12" s="30" t="b">
        <v>1</v>
      </c>
      <c r="BC12" s="30" t="b">
        <v>1</v>
      </c>
      <c r="BD12" s="30" t="b">
        <v>1</v>
      </c>
      <c r="BE12" s="30" t="b">
        <v>1</v>
      </c>
      <c r="BF12" s="30" t="b">
        <v>1</v>
      </c>
      <c r="BG12" s="30" t="b">
        <v>1</v>
      </c>
      <c r="BH12" s="30" t="b">
        <v>1</v>
      </c>
      <c r="BI12" s="30" t="b">
        <v>1</v>
      </c>
      <c r="BJ12" s="30" t="b">
        <v>1</v>
      </c>
      <c r="BK12" s="30" t="b">
        <v>1</v>
      </c>
      <c r="BL12" s="30" t="b">
        <v>1</v>
      </c>
      <c r="BM12" s="30" t="b">
        <v>1</v>
      </c>
      <c r="BN12" s="30" t="b">
        <v>0</v>
      </c>
      <c r="BO12" s="30" t="b">
        <v>0</v>
      </c>
    </row>
    <row r="13" hidden="1" outlineLevel="1">
      <c r="A13" s="31" t="str">
        <f>A12&amp;C13</f>
        <v>AprilAMMU.SOT HOURS</v>
      </c>
      <c r="B13" s="32"/>
      <c r="C13" s="33" t="s">
        <v>169</v>
      </c>
      <c r="D13" s="17"/>
      <c r="E13" s="29">
        <f>SUM(F13:BO13)</f>
        <v>11</v>
      </c>
      <c r="F13" s="34"/>
      <c r="G13" s="17"/>
      <c r="H13" s="34"/>
      <c r="I13" s="17"/>
      <c r="J13" s="34"/>
      <c r="K13" s="17"/>
      <c r="L13" s="34"/>
      <c r="M13" s="17"/>
      <c r="N13" s="34"/>
      <c r="O13" s="17"/>
      <c r="P13" s="34"/>
      <c r="Q13" s="17"/>
      <c r="R13" s="34"/>
      <c r="S13" s="17"/>
      <c r="T13" s="34"/>
      <c r="U13" s="17"/>
      <c r="V13" s="34"/>
      <c r="W13" s="17"/>
      <c r="X13" s="34"/>
      <c r="Y13" s="17"/>
      <c r="Z13" s="34"/>
      <c r="AA13" s="17"/>
      <c r="AB13" s="34"/>
      <c r="AC13" s="17"/>
      <c r="AD13" s="34"/>
      <c r="AE13" s="17"/>
      <c r="AF13" s="34"/>
      <c r="AG13" s="17"/>
      <c r="AH13" s="34"/>
      <c r="AI13" s="17"/>
      <c r="AJ13" s="34">
        <v>2.0</v>
      </c>
      <c r="AK13" s="17"/>
      <c r="AL13" s="34">
        <v>1.0</v>
      </c>
      <c r="AM13" s="17"/>
      <c r="AN13" s="34"/>
      <c r="AO13" s="17"/>
      <c r="AP13" s="34">
        <v>2.0</v>
      </c>
      <c r="AQ13" s="17"/>
      <c r="AR13" s="34"/>
      <c r="AS13" s="17"/>
      <c r="AT13" s="34">
        <v>2.0</v>
      </c>
      <c r="AU13" s="17"/>
      <c r="AV13" s="34">
        <v>2.0</v>
      </c>
      <c r="AW13" s="17"/>
      <c r="AX13" s="34"/>
      <c r="AY13" s="17"/>
      <c r="AZ13" s="34"/>
      <c r="BA13" s="17"/>
      <c r="BB13" s="34"/>
      <c r="BC13" s="17"/>
      <c r="BD13" s="34"/>
      <c r="BE13" s="17"/>
      <c r="BF13" s="34"/>
      <c r="BG13" s="17"/>
      <c r="BH13" s="34"/>
      <c r="BI13" s="17"/>
      <c r="BJ13" s="34">
        <v>2.0</v>
      </c>
      <c r="BK13" s="17"/>
      <c r="BL13" s="34"/>
      <c r="BM13" s="17"/>
      <c r="BN13" s="34"/>
      <c r="BO13" s="17"/>
    </row>
    <row r="14" hidden="1" outlineLevel="1">
      <c r="A14" s="26" t="str">
        <f>B14&amp;D14</f>
        <v>AprilREVATHI.S</v>
      </c>
      <c r="B14" s="27" t="s">
        <v>12</v>
      </c>
      <c r="C14" s="27" t="s">
        <v>46</v>
      </c>
      <c r="D14" s="28" t="str">
        <f>IFERROR(VLOOKUP(C14,'Employees List'!$B$2:$E1424,4,0),"")</f>
        <v>REVATHI.S</v>
      </c>
      <c r="E14" s="29">
        <f>COUNTIF(F14:BO14,TRUE)/2</f>
        <v>29</v>
      </c>
      <c r="F14" s="30" t="b">
        <v>0</v>
      </c>
      <c r="G14" s="30" t="b">
        <v>0</v>
      </c>
      <c r="H14" s="30" t="b">
        <v>1</v>
      </c>
      <c r="I14" s="30" t="b">
        <v>1</v>
      </c>
      <c r="J14" s="30" t="b">
        <v>1</v>
      </c>
      <c r="K14" s="30" t="b">
        <v>1</v>
      </c>
      <c r="L14" s="30" t="b">
        <v>1</v>
      </c>
      <c r="M14" s="30" t="b">
        <v>1</v>
      </c>
      <c r="N14" s="30" t="b">
        <v>1</v>
      </c>
      <c r="O14" s="30" t="b">
        <v>1</v>
      </c>
      <c r="P14" s="30" t="b">
        <v>1</v>
      </c>
      <c r="Q14" s="30" t="b">
        <v>1</v>
      </c>
      <c r="R14" s="30" t="b">
        <v>1</v>
      </c>
      <c r="S14" s="30" t="b">
        <v>1</v>
      </c>
      <c r="T14" s="30" t="b">
        <v>1</v>
      </c>
      <c r="U14" s="30" t="b">
        <v>1</v>
      </c>
      <c r="V14" s="30" t="b">
        <v>1</v>
      </c>
      <c r="W14" s="30" t="b">
        <v>1</v>
      </c>
      <c r="X14" s="30" t="b">
        <v>1</v>
      </c>
      <c r="Y14" s="30" t="b">
        <v>1</v>
      </c>
      <c r="Z14" s="30" t="b">
        <v>1</v>
      </c>
      <c r="AA14" s="30" t="b">
        <v>1</v>
      </c>
      <c r="AB14" s="30" t="b">
        <v>1</v>
      </c>
      <c r="AC14" s="30" t="b">
        <v>1</v>
      </c>
      <c r="AD14" s="30" t="b">
        <v>1</v>
      </c>
      <c r="AE14" s="30" t="b">
        <v>1</v>
      </c>
      <c r="AF14" s="30" t="b">
        <v>1</v>
      </c>
      <c r="AG14" s="30" t="b">
        <v>1</v>
      </c>
      <c r="AH14" s="30" t="b">
        <v>1</v>
      </c>
      <c r="AI14" s="30" t="b">
        <v>1</v>
      </c>
      <c r="AJ14" s="30" t="b">
        <v>1</v>
      </c>
      <c r="AK14" s="30" t="b">
        <v>1</v>
      </c>
      <c r="AL14" s="30" t="b">
        <v>1</v>
      </c>
      <c r="AM14" s="30" t="b">
        <v>1</v>
      </c>
      <c r="AN14" s="30" t="b">
        <v>1</v>
      </c>
      <c r="AO14" s="30" t="b">
        <v>1</v>
      </c>
      <c r="AP14" s="30" t="b">
        <v>1</v>
      </c>
      <c r="AQ14" s="30" t="b">
        <v>1</v>
      </c>
      <c r="AR14" s="30" t="b">
        <v>1</v>
      </c>
      <c r="AS14" s="30" t="b">
        <v>1</v>
      </c>
      <c r="AT14" s="30" t="b">
        <v>1</v>
      </c>
      <c r="AU14" s="30" t="b">
        <v>1</v>
      </c>
      <c r="AV14" s="30" t="b">
        <v>1</v>
      </c>
      <c r="AW14" s="30" t="b">
        <v>1</v>
      </c>
      <c r="AX14" s="30" t="b">
        <v>1</v>
      </c>
      <c r="AY14" s="30" t="b">
        <v>1</v>
      </c>
      <c r="AZ14" s="30" t="b">
        <v>1</v>
      </c>
      <c r="BA14" s="30" t="b">
        <v>1</v>
      </c>
      <c r="BB14" s="30" t="b">
        <v>1</v>
      </c>
      <c r="BC14" s="30" t="b">
        <v>1</v>
      </c>
      <c r="BD14" s="30" t="b">
        <v>1</v>
      </c>
      <c r="BE14" s="30" t="b">
        <v>1</v>
      </c>
      <c r="BF14" s="30" t="b">
        <v>1</v>
      </c>
      <c r="BG14" s="30" t="b">
        <v>1</v>
      </c>
      <c r="BH14" s="30" t="b">
        <v>1</v>
      </c>
      <c r="BI14" s="30" t="b">
        <v>1</v>
      </c>
      <c r="BJ14" s="30" t="b">
        <v>1</v>
      </c>
      <c r="BK14" s="30" t="b">
        <v>1</v>
      </c>
      <c r="BL14" s="30" t="b">
        <v>1</v>
      </c>
      <c r="BM14" s="30" t="b">
        <v>1</v>
      </c>
      <c r="BN14" s="30" t="b">
        <v>0</v>
      </c>
      <c r="BO14" s="30" t="b">
        <v>0</v>
      </c>
    </row>
    <row r="15" hidden="1" outlineLevel="1">
      <c r="A15" s="31" t="str">
        <f>A14&amp;C15</f>
        <v>AprilREVATHI.SOT HOURS</v>
      </c>
      <c r="B15" s="32"/>
      <c r="C15" s="33" t="s">
        <v>169</v>
      </c>
      <c r="D15" s="17"/>
      <c r="E15" s="29">
        <f>SUM(F15:BO15)</f>
        <v>9</v>
      </c>
      <c r="F15" s="34"/>
      <c r="G15" s="17"/>
      <c r="H15" s="34"/>
      <c r="I15" s="17"/>
      <c r="J15" s="34"/>
      <c r="K15" s="17"/>
      <c r="L15" s="34"/>
      <c r="M15" s="17"/>
      <c r="N15" s="34"/>
      <c r="O15" s="17"/>
      <c r="P15" s="34"/>
      <c r="Q15" s="17"/>
      <c r="R15" s="34"/>
      <c r="S15" s="17"/>
      <c r="T15" s="34"/>
      <c r="U15" s="17"/>
      <c r="V15" s="34"/>
      <c r="W15" s="17"/>
      <c r="X15" s="34"/>
      <c r="Y15" s="17"/>
      <c r="Z15" s="34"/>
      <c r="AA15" s="17"/>
      <c r="AB15" s="34"/>
      <c r="AC15" s="17"/>
      <c r="AD15" s="34"/>
      <c r="AE15" s="17"/>
      <c r="AF15" s="34"/>
      <c r="AG15" s="17"/>
      <c r="AH15" s="34"/>
      <c r="AI15" s="17"/>
      <c r="AJ15" s="34">
        <v>2.0</v>
      </c>
      <c r="AK15" s="17"/>
      <c r="AL15" s="34">
        <v>1.0</v>
      </c>
      <c r="AM15" s="17"/>
      <c r="AN15" s="34"/>
      <c r="AO15" s="17"/>
      <c r="AP15" s="34">
        <v>2.0</v>
      </c>
      <c r="AQ15" s="17"/>
      <c r="AR15" s="34"/>
      <c r="AS15" s="17"/>
      <c r="AT15" s="34"/>
      <c r="AU15" s="17"/>
      <c r="AV15" s="34">
        <v>2.0</v>
      </c>
      <c r="AW15" s="17"/>
      <c r="AX15" s="34"/>
      <c r="AY15" s="17"/>
      <c r="AZ15" s="34"/>
      <c r="BA15" s="17"/>
      <c r="BB15" s="34"/>
      <c r="BC15" s="17"/>
      <c r="BD15" s="34"/>
      <c r="BE15" s="17"/>
      <c r="BF15" s="34"/>
      <c r="BG15" s="17"/>
      <c r="BH15" s="34"/>
      <c r="BI15" s="17"/>
      <c r="BJ15" s="34">
        <v>2.0</v>
      </c>
      <c r="BK15" s="17"/>
      <c r="BL15" s="34"/>
      <c r="BM15" s="17"/>
      <c r="BN15" s="34"/>
      <c r="BO15" s="17"/>
    </row>
    <row r="16" hidden="1" outlineLevel="1">
      <c r="A16" s="26" t="str">
        <f>B16&amp;D16</f>
        <v>AprilLEELAVATHI.M</v>
      </c>
      <c r="B16" s="27" t="s">
        <v>12</v>
      </c>
      <c r="C16" s="27" t="s">
        <v>74</v>
      </c>
      <c r="D16" s="28" t="str">
        <f>IFERROR(VLOOKUP(C16,'Employees List'!$B$2:$E1424,4,0),"")</f>
        <v>LEELAVATHI.M</v>
      </c>
      <c r="E16" s="29">
        <f>COUNTIF(F16:BO16,TRUE)/2</f>
        <v>30</v>
      </c>
      <c r="F16" s="30" t="b">
        <v>1</v>
      </c>
      <c r="G16" s="30" t="b">
        <v>1</v>
      </c>
      <c r="H16" s="30" t="b">
        <v>1</v>
      </c>
      <c r="I16" s="30" t="b">
        <v>1</v>
      </c>
      <c r="J16" s="30" t="b">
        <v>1</v>
      </c>
      <c r="K16" s="30" t="b">
        <v>1</v>
      </c>
      <c r="L16" s="30" t="b">
        <v>1</v>
      </c>
      <c r="M16" s="30" t="b">
        <v>1</v>
      </c>
      <c r="N16" s="30" t="b">
        <v>1</v>
      </c>
      <c r="O16" s="30" t="b">
        <v>1</v>
      </c>
      <c r="P16" s="30" t="b">
        <v>1</v>
      </c>
      <c r="Q16" s="30" t="b">
        <v>1</v>
      </c>
      <c r="R16" s="30" t="b">
        <v>1</v>
      </c>
      <c r="S16" s="30" t="b">
        <v>1</v>
      </c>
      <c r="T16" s="30" t="b">
        <v>1</v>
      </c>
      <c r="U16" s="30" t="b">
        <v>1</v>
      </c>
      <c r="V16" s="30" t="b">
        <v>1</v>
      </c>
      <c r="W16" s="30" t="b">
        <v>1</v>
      </c>
      <c r="X16" s="30" t="b">
        <v>1</v>
      </c>
      <c r="Y16" s="30" t="b">
        <v>1</v>
      </c>
      <c r="Z16" s="30" t="b">
        <v>1</v>
      </c>
      <c r="AA16" s="30" t="b">
        <v>1</v>
      </c>
      <c r="AB16" s="30" t="b">
        <v>1</v>
      </c>
      <c r="AC16" s="30" t="b">
        <v>1</v>
      </c>
      <c r="AD16" s="30" t="b">
        <v>1</v>
      </c>
      <c r="AE16" s="30" t="b">
        <v>1</v>
      </c>
      <c r="AF16" s="30" t="b">
        <v>1</v>
      </c>
      <c r="AG16" s="30" t="b">
        <v>1</v>
      </c>
      <c r="AH16" s="30" t="b">
        <v>1</v>
      </c>
      <c r="AI16" s="30" t="b">
        <v>1</v>
      </c>
      <c r="AJ16" s="30" t="b">
        <v>1</v>
      </c>
      <c r="AK16" s="30" t="b">
        <v>1</v>
      </c>
      <c r="AL16" s="30" t="b">
        <v>1</v>
      </c>
      <c r="AM16" s="30" t="b">
        <v>1</v>
      </c>
      <c r="AN16" s="30" t="b">
        <v>1</v>
      </c>
      <c r="AO16" s="30" t="b">
        <v>1</v>
      </c>
      <c r="AP16" s="30" t="b">
        <v>1</v>
      </c>
      <c r="AQ16" s="30" t="b">
        <v>1</v>
      </c>
      <c r="AR16" s="30" t="b">
        <v>1</v>
      </c>
      <c r="AS16" s="30" t="b">
        <v>1</v>
      </c>
      <c r="AT16" s="30" t="b">
        <v>1</v>
      </c>
      <c r="AU16" s="30" t="b">
        <v>1</v>
      </c>
      <c r="AV16" s="30" t="b">
        <v>1</v>
      </c>
      <c r="AW16" s="30" t="b">
        <v>1</v>
      </c>
      <c r="AX16" s="30" t="b">
        <v>1</v>
      </c>
      <c r="AY16" s="30" t="b">
        <v>1</v>
      </c>
      <c r="AZ16" s="30" t="b">
        <v>1</v>
      </c>
      <c r="BA16" s="30" t="b">
        <v>1</v>
      </c>
      <c r="BB16" s="30" t="b">
        <v>1</v>
      </c>
      <c r="BC16" s="30" t="b">
        <v>1</v>
      </c>
      <c r="BD16" s="30" t="b">
        <v>1</v>
      </c>
      <c r="BE16" s="30" t="b">
        <v>1</v>
      </c>
      <c r="BF16" s="30" t="b">
        <v>1</v>
      </c>
      <c r="BG16" s="30" t="b">
        <v>1</v>
      </c>
      <c r="BH16" s="30" t="b">
        <v>1</v>
      </c>
      <c r="BI16" s="30" t="b">
        <v>1</v>
      </c>
      <c r="BJ16" s="30" t="b">
        <v>1</v>
      </c>
      <c r="BK16" s="30" t="b">
        <v>1</v>
      </c>
      <c r="BL16" s="30" t="b">
        <v>1</v>
      </c>
      <c r="BM16" s="30" t="b">
        <v>1</v>
      </c>
      <c r="BN16" s="30" t="b">
        <v>0</v>
      </c>
      <c r="BO16" s="30" t="b">
        <v>0</v>
      </c>
    </row>
    <row r="17" hidden="1" outlineLevel="1">
      <c r="A17" s="31" t="str">
        <f>A16&amp;C17</f>
        <v>AprilLEELAVATHI.MOT HOURS</v>
      </c>
      <c r="B17" s="32"/>
      <c r="C17" s="33" t="s">
        <v>169</v>
      </c>
      <c r="D17" s="17"/>
      <c r="E17" s="29">
        <f>SUM(F17:BO17)</f>
        <v>3</v>
      </c>
      <c r="F17" s="34"/>
      <c r="G17" s="17"/>
      <c r="H17" s="34"/>
      <c r="I17" s="17"/>
      <c r="J17" s="34"/>
      <c r="K17" s="17"/>
      <c r="L17" s="34"/>
      <c r="M17" s="17"/>
      <c r="N17" s="34"/>
      <c r="O17" s="17"/>
      <c r="P17" s="34"/>
      <c r="Q17" s="17"/>
      <c r="R17" s="34"/>
      <c r="S17" s="17"/>
      <c r="T17" s="34"/>
      <c r="U17" s="17"/>
      <c r="V17" s="34"/>
      <c r="W17" s="17"/>
      <c r="X17" s="34"/>
      <c r="Y17" s="17"/>
      <c r="Z17" s="34"/>
      <c r="AA17" s="17"/>
      <c r="AB17" s="34"/>
      <c r="AC17" s="17"/>
      <c r="AD17" s="34"/>
      <c r="AE17" s="17"/>
      <c r="AF17" s="34"/>
      <c r="AG17" s="17"/>
      <c r="AH17" s="34"/>
      <c r="AI17" s="17"/>
      <c r="AJ17" s="34">
        <v>1.0</v>
      </c>
      <c r="AK17" s="17"/>
      <c r="AL17" s="34">
        <v>1.0</v>
      </c>
      <c r="AM17" s="17"/>
      <c r="AN17" s="34"/>
      <c r="AO17" s="17"/>
      <c r="AP17" s="34"/>
      <c r="AQ17" s="17"/>
      <c r="AR17" s="34"/>
      <c r="AS17" s="17"/>
      <c r="AT17" s="34">
        <v>1.0</v>
      </c>
      <c r="AU17" s="17"/>
      <c r="AV17" s="34"/>
      <c r="AW17" s="17"/>
      <c r="AX17" s="34"/>
      <c r="AY17" s="17"/>
      <c r="AZ17" s="34"/>
      <c r="BA17" s="17"/>
      <c r="BB17" s="34"/>
      <c r="BC17" s="17"/>
      <c r="BD17" s="34"/>
      <c r="BE17" s="17"/>
      <c r="BF17" s="34"/>
      <c r="BG17" s="17"/>
      <c r="BH17" s="34"/>
      <c r="BI17" s="17"/>
      <c r="BJ17" s="34"/>
      <c r="BK17" s="17"/>
      <c r="BL17" s="34"/>
      <c r="BM17" s="17"/>
      <c r="BN17" s="34"/>
      <c r="BO17" s="17"/>
    </row>
    <row r="18" hidden="1" outlineLevel="1">
      <c r="A18" s="26" t="str">
        <f>B18&amp;D18</f>
        <v>AprilPARSHU BAGH</v>
      </c>
      <c r="B18" s="27" t="s">
        <v>12</v>
      </c>
      <c r="C18" s="27" t="s">
        <v>96</v>
      </c>
      <c r="D18" s="35" t="str">
        <f>IFERROR(VLOOKUP(C18,'Employees List'!$B$2:$E1424,4,0),"")</f>
        <v>PARSHU BAGH</v>
      </c>
      <c r="E18" s="29">
        <f>COUNTIF(F18:BO18,TRUE)/2</f>
        <v>9</v>
      </c>
      <c r="F18" s="30" t="b">
        <v>1</v>
      </c>
      <c r="G18" s="30" t="b">
        <v>1</v>
      </c>
      <c r="H18" s="30" t="b">
        <v>1</v>
      </c>
      <c r="I18" s="30" t="b">
        <v>1</v>
      </c>
      <c r="J18" s="30" t="b">
        <v>1</v>
      </c>
      <c r="K18" s="30" t="b">
        <v>1</v>
      </c>
      <c r="L18" s="30" t="b">
        <v>1</v>
      </c>
      <c r="M18" s="30" t="b">
        <v>1</v>
      </c>
      <c r="N18" s="30" t="b">
        <v>1</v>
      </c>
      <c r="O18" s="30" t="b">
        <v>1</v>
      </c>
      <c r="P18" s="30" t="b">
        <v>1</v>
      </c>
      <c r="Q18" s="30" t="b">
        <v>1</v>
      </c>
      <c r="R18" s="30" t="b">
        <v>1</v>
      </c>
      <c r="S18" s="30" t="b">
        <v>1</v>
      </c>
      <c r="T18" s="30" t="b">
        <v>1</v>
      </c>
      <c r="U18" s="30" t="b">
        <v>1</v>
      </c>
      <c r="V18" s="30" t="b">
        <v>1</v>
      </c>
      <c r="W18" s="30" t="b">
        <v>1</v>
      </c>
      <c r="X18" s="30" t="b">
        <v>0</v>
      </c>
      <c r="Y18" s="30" t="b">
        <v>0</v>
      </c>
      <c r="Z18" s="30" t="b">
        <v>0</v>
      </c>
      <c r="AA18" s="30" t="b">
        <v>0</v>
      </c>
      <c r="AB18" s="30" t="b">
        <v>0</v>
      </c>
      <c r="AC18" s="30" t="b">
        <v>0</v>
      </c>
      <c r="AD18" s="30" t="b">
        <v>0</v>
      </c>
      <c r="AE18" s="30" t="b">
        <v>0</v>
      </c>
      <c r="AF18" s="30" t="b">
        <v>0</v>
      </c>
      <c r="AG18" s="30" t="b">
        <v>0</v>
      </c>
      <c r="AH18" s="30" t="b">
        <v>0</v>
      </c>
      <c r="AI18" s="30" t="b">
        <v>0</v>
      </c>
      <c r="AJ18" s="30" t="b">
        <v>0</v>
      </c>
      <c r="AK18" s="30" t="b">
        <v>0</v>
      </c>
      <c r="AL18" s="30" t="b">
        <v>0</v>
      </c>
      <c r="AM18" s="30" t="b">
        <v>0</v>
      </c>
      <c r="AN18" s="30" t="b">
        <v>0</v>
      </c>
      <c r="AO18" s="30" t="b">
        <v>0</v>
      </c>
      <c r="AP18" s="30" t="b">
        <v>0</v>
      </c>
      <c r="AQ18" s="30" t="b">
        <v>0</v>
      </c>
      <c r="AR18" s="30" t="b">
        <v>0</v>
      </c>
      <c r="AS18" s="30" t="b">
        <v>0</v>
      </c>
      <c r="AT18" s="30" t="b">
        <v>0</v>
      </c>
      <c r="AU18" s="30" t="b">
        <v>0</v>
      </c>
      <c r="AV18" s="30" t="b">
        <v>0</v>
      </c>
      <c r="AW18" s="30" t="b">
        <v>0</v>
      </c>
      <c r="AX18" s="30" t="b">
        <v>0</v>
      </c>
      <c r="AY18" s="30" t="b">
        <v>0</v>
      </c>
      <c r="AZ18" s="30" t="b">
        <v>0</v>
      </c>
      <c r="BA18" s="30" t="b">
        <v>0</v>
      </c>
      <c r="BB18" s="30" t="b">
        <v>0</v>
      </c>
      <c r="BC18" s="30" t="b">
        <v>0</v>
      </c>
      <c r="BD18" s="30" t="b">
        <v>0</v>
      </c>
      <c r="BE18" s="30" t="b">
        <v>0</v>
      </c>
      <c r="BF18" s="30" t="b">
        <v>0</v>
      </c>
      <c r="BG18" s="30" t="b">
        <v>0</v>
      </c>
      <c r="BH18" s="30" t="b">
        <v>0</v>
      </c>
      <c r="BI18" s="30" t="b">
        <v>0</v>
      </c>
      <c r="BJ18" s="30" t="b">
        <v>0</v>
      </c>
      <c r="BK18" s="30" t="b">
        <v>0</v>
      </c>
      <c r="BL18" s="30" t="b">
        <v>0</v>
      </c>
      <c r="BM18" s="30" t="b">
        <v>0</v>
      </c>
      <c r="BN18" s="30" t="b">
        <v>0</v>
      </c>
      <c r="BO18" s="30" t="b">
        <v>0</v>
      </c>
    </row>
    <row r="19" hidden="1" outlineLevel="1">
      <c r="A19" s="31" t="str">
        <f>A18&amp;C19</f>
        <v>AprilPARSHU BAGHOT HOURS</v>
      </c>
      <c r="B19" s="32"/>
      <c r="C19" s="33" t="s">
        <v>169</v>
      </c>
      <c r="D19" s="17"/>
      <c r="E19" s="29">
        <f>SUM(F19:BO19)</f>
        <v>2</v>
      </c>
      <c r="F19" s="34"/>
      <c r="G19" s="17"/>
      <c r="H19" s="34"/>
      <c r="I19" s="17"/>
      <c r="J19" s="34"/>
      <c r="K19" s="17"/>
      <c r="L19" s="34"/>
      <c r="M19" s="17"/>
      <c r="N19" s="34">
        <v>2.0</v>
      </c>
      <c r="O19" s="17"/>
      <c r="P19" s="34"/>
      <c r="Q19" s="17"/>
      <c r="R19" s="34"/>
      <c r="S19" s="17"/>
      <c r="T19" s="34"/>
      <c r="U19" s="17"/>
      <c r="V19" s="34"/>
      <c r="W19" s="17"/>
      <c r="X19" s="34"/>
      <c r="Y19" s="17"/>
      <c r="Z19" s="34"/>
      <c r="AA19" s="17"/>
      <c r="AB19" s="34"/>
      <c r="AC19" s="17"/>
      <c r="AD19" s="34"/>
      <c r="AE19" s="17"/>
      <c r="AF19" s="34"/>
      <c r="AG19" s="17"/>
      <c r="AH19" s="34"/>
      <c r="AI19" s="17"/>
      <c r="AJ19" s="34"/>
      <c r="AK19" s="17"/>
      <c r="AL19" s="34"/>
      <c r="AM19" s="17"/>
      <c r="AN19" s="34"/>
      <c r="AO19" s="17"/>
      <c r="AP19" s="34"/>
      <c r="AQ19" s="17"/>
      <c r="AR19" s="34"/>
      <c r="AS19" s="17"/>
      <c r="AT19" s="34"/>
      <c r="AU19" s="17"/>
      <c r="AV19" s="34"/>
      <c r="AW19" s="17"/>
      <c r="AX19" s="34"/>
      <c r="AY19" s="17"/>
      <c r="AZ19" s="34"/>
      <c r="BA19" s="17"/>
      <c r="BB19" s="34"/>
      <c r="BC19" s="17"/>
      <c r="BD19" s="34"/>
      <c r="BE19" s="17"/>
      <c r="BF19" s="34"/>
      <c r="BG19" s="17"/>
      <c r="BH19" s="34"/>
      <c r="BI19" s="17"/>
      <c r="BJ19" s="34"/>
      <c r="BK19" s="17"/>
      <c r="BL19" s="34"/>
      <c r="BM19" s="17"/>
      <c r="BN19" s="34"/>
      <c r="BO19" s="17"/>
    </row>
    <row r="20" hidden="1" outlineLevel="1">
      <c r="A20" s="26" t="str">
        <f>B20&amp;D20</f>
        <v>AprilPINU </v>
      </c>
      <c r="B20" s="27" t="s">
        <v>12</v>
      </c>
      <c r="C20" s="27" t="s">
        <v>58</v>
      </c>
      <c r="D20" s="28" t="str">
        <f>IFERROR(VLOOKUP(C20,'Employees List'!$B$2:$E1424,4,0),"")</f>
        <v>PINU </v>
      </c>
      <c r="E20" s="29">
        <f>COUNTIF(F20:BO20,TRUE)/2</f>
        <v>9</v>
      </c>
      <c r="F20" s="30" t="b">
        <v>1</v>
      </c>
      <c r="G20" s="30" t="b">
        <v>1</v>
      </c>
      <c r="H20" s="30" t="b">
        <v>1</v>
      </c>
      <c r="I20" s="30" t="b">
        <v>1</v>
      </c>
      <c r="J20" s="30" t="b">
        <v>1</v>
      </c>
      <c r="K20" s="30" t="b">
        <v>1</v>
      </c>
      <c r="L20" s="30" t="b">
        <v>1</v>
      </c>
      <c r="M20" s="30" t="b">
        <v>1</v>
      </c>
      <c r="N20" s="30" t="b">
        <v>1</v>
      </c>
      <c r="O20" s="30" t="b">
        <v>1</v>
      </c>
      <c r="P20" s="30" t="b">
        <v>1</v>
      </c>
      <c r="Q20" s="30" t="b">
        <v>1</v>
      </c>
      <c r="R20" s="30" t="b">
        <v>1</v>
      </c>
      <c r="S20" s="30" t="b">
        <v>1</v>
      </c>
      <c r="T20" s="30" t="b">
        <v>1</v>
      </c>
      <c r="U20" s="30" t="b">
        <v>1</v>
      </c>
      <c r="V20" s="30" t="b">
        <v>1</v>
      </c>
      <c r="W20" s="30" t="b">
        <v>1</v>
      </c>
      <c r="X20" s="30" t="b">
        <v>0</v>
      </c>
      <c r="Y20" s="30" t="b">
        <v>0</v>
      </c>
      <c r="Z20" s="30" t="b">
        <v>0</v>
      </c>
      <c r="AA20" s="30" t="b">
        <v>0</v>
      </c>
      <c r="AB20" s="30" t="b">
        <v>0</v>
      </c>
      <c r="AC20" s="30" t="b">
        <v>0</v>
      </c>
      <c r="AD20" s="30" t="b">
        <v>0</v>
      </c>
      <c r="AE20" s="30" t="b">
        <v>0</v>
      </c>
      <c r="AF20" s="30" t="b">
        <v>0</v>
      </c>
      <c r="AG20" s="30" t="b">
        <v>0</v>
      </c>
      <c r="AH20" s="30" t="b">
        <v>0</v>
      </c>
      <c r="AI20" s="30" t="b">
        <v>0</v>
      </c>
      <c r="AJ20" s="30" t="b">
        <v>0</v>
      </c>
      <c r="AK20" s="30" t="b">
        <v>0</v>
      </c>
      <c r="AL20" s="30" t="b">
        <v>0</v>
      </c>
      <c r="AM20" s="30" t="b">
        <v>0</v>
      </c>
      <c r="AN20" s="30" t="b">
        <v>0</v>
      </c>
      <c r="AO20" s="30" t="b">
        <v>0</v>
      </c>
      <c r="AP20" s="30" t="b">
        <v>0</v>
      </c>
      <c r="AQ20" s="30" t="b">
        <v>0</v>
      </c>
      <c r="AR20" s="30" t="b">
        <v>0</v>
      </c>
      <c r="AS20" s="30" t="b">
        <v>0</v>
      </c>
      <c r="AT20" s="30" t="b">
        <v>0</v>
      </c>
      <c r="AU20" s="30" t="b">
        <v>0</v>
      </c>
      <c r="AV20" s="30" t="b">
        <v>0</v>
      </c>
      <c r="AW20" s="30" t="b">
        <v>0</v>
      </c>
      <c r="AX20" s="30" t="b">
        <v>0</v>
      </c>
      <c r="AY20" s="30" t="b">
        <v>0</v>
      </c>
      <c r="AZ20" s="30" t="b">
        <v>0</v>
      </c>
      <c r="BA20" s="30" t="b">
        <v>0</v>
      </c>
      <c r="BB20" s="30" t="b">
        <v>0</v>
      </c>
      <c r="BC20" s="30" t="b">
        <v>0</v>
      </c>
      <c r="BD20" s="30" t="b">
        <v>0</v>
      </c>
      <c r="BE20" s="30" t="b">
        <v>0</v>
      </c>
      <c r="BF20" s="30" t="b">
        <v>0</v>
      </c>
      <c r="BG20" s="30" t="b">
        <v>0</v>
      </c>
      <c r="BH20" s="30" t="b">
        <v>0</v>
      </c>
      <c r="BI20" s="30" t="b">
        <v>0</v>
      </c>
      <c r="BJ20" s="30" t="b">
        <v>0</v>
      </c>
      <c r="BK20" s="30" t="b">
        <v>0</v>
      </c>
      <c r="BL20" s="30" t="b">
        <v>0</v>
      </c>
      <c r="BM20" s="30" t="b">
        <v>0</v>
      </c>
      <c r="BN20" s="30" t="b">
        <v>0</v>
      </c>
      <c r="BO20" s="30" t="b">
        <v>0</v>
      </c>
    </row>
    <row r="21" hidden="1" outlineLevel="1">
      <c r="A21" s="31" t="str">
        <f>A20&amp;C21</f>
        <v>AprilPINU OT HOURS</v>
      </c>
      <c r="B21" s="32"/>
      <c r="C21" s="33" t="s">
        <v>169</v>
      </c>
      <c r="D21" s="17"/>
      <c r="E21" s="29">
        <f>SUM(F21:BO21)</f>
        <v>15</v>
      </c>
      <c r="F21" s="34">
        <v>2.0</v>
      </c>
      <c r="G21" s="17"/>
      <c r="H21" s="34">
        <v>5.0</v>
      </c>
      <c r="I21" s="17"/>
      <c r="J21" s="34"/>
      <c r="K21" s="17"/>
      <c r="L21" s="34">
        <v>4.0</v>
      </c>
      <c r="M21" s="17"/>
      <c r="N21" s="34">
        <v>2.0</v>
      </c>
      <c r="O21" s="17"/>
      <c r="P21" s="34"/>
      <c r="Q21" s="17"/>
      <c r="R21" s="34">
        <v>2.0</v>
      </c>
      <c r="S21" s="17"/>
      <c r="T21" s="34"/>
      <c r="U21" s="17"/>
      <c r="V21" s="34"/>
      <c r="W21" s="17"/>
      <c r="X21" s="34"/>
      <c r="Y21" s="17"/>
      <c r="Z21" s="34"/>
      <c r="AA21" s="17"/>
      <c r="AB21" s="34"/>
      <c r="AC21" s="17"/>
      <c r="AD21" s="34"/>
      <c r="AE21" s="17"/>
      <c r="AF21" s="34"/>
      <c r="AG21" s="17"/>
      <c r="AH21" s="34"/>
      <c r="AI21" s="17"/>
      <c r="AJ21" s="34"/>
      <c r="AK21" s="17"/>
      <c r="AL21" s="34"/>
      <c r="AM21" s="17"/>
      <c r="AN21" s="34"/>
      <c r="AO21" s="17"/>
      <c r="AP21" s="34"/>
      <c r="AQ21" s="17"/>
      <c r="AR21" s="34"/>
      <c r="AS21" s="17"/>
      <c r="AT21" s="34"/>
      <c r="AU21" s="17"/>
      <c r="AV21" s="34"/>
      <c r="AW21" s="17"/>
      <c r="AX21" s="34"/>
      <c r="AY21" s="17"/>
      <c r="AZ21" s="34"/>
      <c r="BA21" s="17"/>
      <c r="BB21" s="34"/>
      <c r="BC21" s="17"/>
      <c r="BD21" s="34"/>
      <c r="BE21" s="17"/>
      <c r="BF21" s="34"/>
      <c r="BG21" s="17"/>
      <c r="BH21" s="34"/>
      <c r="BI21" s="17"/>
      <c r="BJ21" s="34"/>
      <c r="BK21" s="17"/>
      <c r="BL21" s="34"/>
      <c r="BM21" s="17"/>
      <c r="BN21" s="34"/>
      <c r="BO21" s="17"/>
    </row>
    <row r="22" hidden="1" outlineLevel="1">
      <c r="A22" s="26" t="str">
        <f>B22&amp;D22</f>
        <v>AprilSANJAY BAGARTTI.K</v>
      </c>
      <c r="B22" s="27" t="s">
        <v>12</v>
      </c>
      <c r="C22" s="27" t="s">
        <v>34</v>
      </c>
      <c r="D22" s="28" t="str">
        <f>IFERROR(VLOOKUP(C22,'Employees List'!$B$2:$E1424,4,0),"")</f>
        <v>SANJAY BAGARTTI.K</v>
      </c>
      <c r="E22" s="29">
        <f>COUNTIF(F22:BO22,TRUE)/2</f>
        <v>30</v>
      </c>
      <c r="F22" s="30" t="b">
        <v>1</v>
      </c>
      <c r="G22" s="30" t="b">
        <v>1</v>
      </c>
      <c r="H22" s="30" t="b">
        <v>1</v>
      </c>
      <c r="I22" s="30" t="b">
        <v>1</v>
      </c>
      <c r="J22" s="30" t="b">
        <v>1</v>
      </c>
      <c r="K22" s="30" t="b">
        <v>1</v>
      </c>
      <c r="L22" s="30" t="b">
        <v>1</v>
      </c>
      <c r="M22" s="30" t="b">
        <v>1</v>
      </c>
      <c r="N22" s="30" t="b">
        <v>1</v>
      </c>
      <c r="O22" s="30" t="b">
        <v>1</v>
      </c>
      <c r="P22" s="30" t="b">
        <v>1</v>
      </c>
      <c r="Q22" s="30" t="b">
        <v>1</v>
      </c>
      <c r="R22" s="30" t="b">
        <v>1</v>
      </c>
      <c r="S22" s="30" t="b">
        <v>1</v>
      </c>
      <c r="T22" s="30" t="b">
        <v>1</v>
      </c>
      <c r="U22" s="30" t="b">
        <v>1</v>
      </c>
      <c r="V22" s="30" t="b">
        <v>1</v>
      </c>
      <c r="W22" s="30" t="b">
        <v>1</v>
      </c>
      <c r="X22" s="30" t="b">
        <v>1</v>
      </c>
      <c r="Y22" s="30" t="b">
        <v>1</v>
      </c>
      <c r="Z22" s="30" t="b">
        <v>1</v>
      </c>
      <c r="AA22" s="30" t="b">
        <v>1</v>
      </c>
      <c r="AB22" s="30" t="b">
        <v>1</v>
      </c>
      <c r="AC22" s="30" t="b">
        <v>1</v>
      </c>
      <c r="AD22" s="30" t="b">
        <v>1</v>
      </c>
      <c r="AE22" s="30" t="b">
        <v>1</v>
      </c>
      <c r="AF22" s="30" t="b">
        <v>1</v>
      </c>
      <c r="AG22" s="30" t="b">
        <v>1</v>
      </c>
      <c r="AH22" s="30" t="b">
        <v>1</v>
      </c>
      <c r="AI22" s="30" t="b">
        <v>1</v>
      </c>
      <c r="AJ22" s="30" t="b">
        <v>1</v>
      </c>
      <c r="AK22" s="30" t="b">
        <v>1</v>
      </c>
      <c r="AL22" s="30" t="b">
        <v>1</v>
      </c>
      <c r="AM22" s="30" t="b">
        <v>1</v>
      </c>
      <c r="AN22" s="30" t="b">
        <v>1</v>
      </c>
      <c r="AO22" s="30" t="b">
        <v>1</v>
      </c>
      <c r="AP22" s="30" t="b">
        <v>1</v>
      </c>
      <c r="AQ22" s="30" t="b">
        <v>1</v>
      </c>
      <c r="AR22" s="30" t="b">
        <v>1</v>
      </c>
      <c r="AS22" s="30" t="b">
        <v>1</v>
      </c>
      <c r="AT22" s="30" t="b">
        <v>1</v>
      </c>
      <c r="AU22" s="30" t="b">
        <v>1</v>
      </c>
      <c r="AV22" s="30" t="b">
        <v>1</v>
      </c>
      <c r="AW22" s="30" t="b">
        <v>1</v>
      </c>
      <c r="AX22" s="30" t="b">
        <v>1</v>
      </c>
      <c r="AY22" s="30" t="b">
        <v>1</v>
      </c>
      <c r="AZ22" s="30" t="b">
        <v>1</v>
      </c>
      <c r="BA22" s="30" t="b">
        <v>1</v>
      </c>
      <c r="BB22" s="30" t="b">
        <v>1</v>
      </c>
      <c r="BC22" s="30" t="b">
        <v>1</v>
      </c>
      <c r="BD22" s="30" t="b">
        <v>1</v>
      </c>
      <c r="BE22" s="30" t="b">
        <v>1</v>
      </c>
      <c r="BF22" s="30" t="b">
        <v>1</v>
      </c>
      <c r="BG22" s="30" t="b">
        <v>1</v>
      </c>
      <c r="BH22" s="30" t="b">
        <v>1</v>
      </c>
      <c r="BI22" s="30" t="b">
        <v>1</v>
      </c>
      <c r="BJ22" s="30" t="b">
        <v>1</v>
      </c>
      <c r="BK22" s="30" t="b">
        <v>1</v>
      </c>
      <c r="BL22" s="30" t="b">
        <v>1</v>
      </c>
      <c r="BM22" s="30" t="b">
        <v>1</v>
      </c>
      <c r="BN22" s="30" t="b">
        <v>0</v>
      </c>
      <c r="BO22" s="30" t="b">
        <v>0</v>
      </c>
    </row>
    <row r="23" hidden="1" outlineLevel="1">
      <c r="A23" s="31" t="str">
        <f>A22&amp;C23</f>
        <v>AprilSANJAY BAGARTTI.KOT HOURS</v>
      </c>
      <c r="B23" s="32"/>
      <c r="C23" s="33" t="s">
        <v>169</v>
      </c>
      <c r="D23" s="17"/>
      <c r="E23" s="29">
        <f>SUM(F23:BO23)</f>
        <v>87</v>
      </c>
      <c r="F23" s="34">
        <v>2.0</v>
      </c>
      <c r="G23" s="17"/>
      <c r="H23" s="34">
        <v>2.0</v>
      </c>
      <c r="I23" s="17"/>
      <c r="J23" s="34"/>
      <c r="K23" s="17"/>
      <c r="L23" s="34">
        <v>2.0</v>
      </c>
      <c r="M23" s="17"/>
      <c r="N23" s="34">
        <v>2.0</v>
      </c>
      <c r="O23" s="17"/>
      <c r="P23" s="34">
        <v>3.0</v>
      </c>
      <c r="Q23" s="17"/>
      <c r="R23" s="34">
        <v>2.0</v>
      </c>
      <c r="S23" s="17"/>
      <c r="T23" s="34">
        <v>3.0</v>
      </c>
      <c r="U23" s="17"/>
      <c r="V23" s="34">
        <v>2.0</v>
      </c>
      <c r="W23" s="17"/>
      <c r="X23" s="34">
        <v>3.0</v>
      </c>
      <c r="Y23" s="17"/>
      <c r="Z23" s="34">
        <v>2.0</v>
      </c>
      <c r="AA23" s="17"/>
      <c r="AB23" s="34">
        <v>2.0</v>
      </c>
      <c r="AC23" s="17"/>
      <c r="AD23" s="34"/>
      <c r="AE23" s="17"/>
      <c r="AF23" s="34"/>
      <c r="AG23" s="17"/>
      <c r="AH23" s="34">
        <v>6.0</v>
      </c>
      <c r="AI23" s="17"/>
      <c r="AJ23" s="34">
        <v>4.0</v>
      </c>
      <c r="AK23" s="17"/>
      <c r="AL23" s="34">
        <v>2.0</v>
      </c>
      <c r="AM23" s="17"/>
      <c r="AN23" s="34">
        <v>4.0</v>
      </c>
      <c r="AO23" s="17"/>
      <c r="AP23" s="34">
        <v>6.0</v>
      </c>
      <c r="AQ23" s="17"/>
      <c r="AR23" s="34"/>
      <c r="AS23" s="17"/>
      <c r="AT23" s="34">
        <v>7.0</v>
      </c>
      <c r="AU23" s="17"/>
      <c r="AV23" s="34">
        <v>8.0</v>
      </c>
      <c r="AW23" s="17"/>
      <c r="AX23" s="34">
        <v>6.0</v>
      </c>
      <c r="AY23" s="17"/>
      <c r="AZ23" s="34">
        <v>4.0</v>
      </c>
      <c r="BA23" s="17"/>
      <c r="BB23" s="34">
        <v>2.0</v>
      </c>
      <c r="BC23" s="17"/>
      <c r="BD23" s="34">
        <v>6.0</v>
      </c>
      <c r="BE23" s="17"/>
      <c r="BF23" s="34"/>
      <c r="BG23" s="17"/>
      <c r="BH23" s="34"/>
      <c r="BI23" s="17"/>
      <c r="BJ23" s="34">
        <v>3.0</v>
      </c>
      <c r="BK23" s="17"/>
      <c r="BL23" s="34">
        <v>4.0</v>
      </c>
      <c r="BM23" s="17"/>
      <c r="BN23" s="34"/>
      <c r="BO23" s="17"/>
    </row>
    <row r="24" hidden="1" outlineLevel="1">
      <c r="A24" s="26" t="str">
        <f>B24&amp;D24</f>
        <v>AprilADHIKARI BALIA.A</v>
      </c>
      <c r="B24" s="27" t="s">
        <v>12</v>
      </c>
      <c r="C24" s="27" t="s">
        <v>26</v>
      </c>
      <c r="D24" s="28" t="str">
        <f>IFERROR(VLOOKUP(C24,'Employees List'!$B$2:$E1424,4,0),"")</f>
        <v>ADHIKARI BALIA.A</v>
      </c>
      <c r="E24" s="29">
        <f>COUNTIF(F24:BO24,TRUE)/2</f>
        <v>10</v>
      </c>
      <c r="F24" s="30" t="b">
        <v>0</v>
      </c>
      <c r="G24" s="30" t="b">
        <v>0</v>
      </c>
      <c r="H24" s="30" t="b">
        <v>0</v>
      </c>
      <c r="I24" s="30" t="b">
        <v>0</v>
      </c>
      <c r="J24" s="30" t="b">
        <v>0</v>
      </c>
      <c r="K24" s="30" t="b">
        <v>0</v>
      </c>
      <c r="L24" s="30" t="b">
        <v>0</v>
      </c>
      <c r="M24" s="30" t="b">
        <v>0</v>
      </c>
      <c r="N24" s="30" t="b">
        <v>0</v>
      </c>
      <c r="O24" s="30" t="b">
        <v>0</v>
      </c>
      <c r="P24" s="30" t="b">
        <v>0</v>
      </c>
      <c r="Q24" s="30" t="b">
        <v>0</v>
      </c>
      <c r="R24" s="30" t="b">
        <v>0</v>
      </c>
      <c r="S24" s="30" t="b">
        <v>0</v>
      </c>
      <c r="T24" s="30" t="b">
        <v>0</v>
      </c>
      <c r="U24" s="30" t="b">
        <v>0</v>
      </c>
      <c r="V24" s="30" t="b">
        <v>0</v>
      </c>
      <c r="W24" s="30" t="b">
        <v>0</v>
      </c>
      <c r="X24" s="30" t="b">
        <v>0</v>
      </c>
      <c r="Y24" s="30" t="b">
        <v>0</v>
      </c>
      <c r="Z24" s="30" t="b">
        <v>0</v>
      </c>
      <c r="AA24" s="30" t="b">
        <v>0</v>
      </c>
      <c r="AB24" s="30" t="b">
        <v>0</v>
      </c>
      <c r="AC24" s="30" t="b">
        <v>0</v>
      </c>
      <c r="AD24" s="30" t="b">
        <v>0</v>
      </c>
      <c r="AE24" s="30" t="b">
        <v>0</v>
      </c>
      <c r="AF24" s="30" t="b">
        <v>0</v>
      </c>
      <c r="AG24" s="30" t="b">
        <v>0</v>
      </c>
      <c r="AH24" s="30" t="b">
        <v>0</v>
      </c>
      <c r="AI24" s="30" t="b">
        <v>0</v>
      </c>
      <c r="AJ24" s="30" t="b">
        <v>0</v>
      </c>
      <c r="AK24" s="30" t="b">
        <v>0</v>
      </c>
      <c r="AL24" s="30" t="b">
        <v>0</v>
      </c>
      <c r="AM24" s="30" t="b">
        <v>0</v>
      </c>
      <c r="AN24" s="30" t="b">
        <v>0</v>
      </c>
      <c r="AO24" s="30" t="b">
        <v>0</v>
      </c>
      <c r="AP24" s="30" t="b">
        <v>0</v>
      </c>
      <c r="AQ24" s="30" t="b">
        <v>0</v>
      </c>
      <c r="AR24" s="30" t="b">
        <v>0</v>
      </c>
      <c r="AS24" s="30" t="b">
        <v>0</v>
      </c>
      <c r="AT24" s="30" t="b">
        <v>1</v>
      </c>
      <c r="AU24" s="30" t="b">
        <v>1</v>
      </c>
      <c r="AV24" s="30" t="b">
        <v>1</v>
      </c>
      <c r="AW24" s="30" t="b">
        <v>1</v>
      </c>
      <c r="AX24" s="30" t="b">
        <v>1</v>
      </c>
      <c r="AY24" s="30" t="b">
        <v>1</v>
      </c>
      <c r="AZ24" s="30" t="b">
        <v>1</v>
      </c>
      <c r="BA24" s="30" t="b">
        <v>1</v>
      </c>
      <c r="BB24" s="30" t="b">
        <v>1</v>
      </c>
      <c r="BC24" s="30" t="b">
        <v>1</v>
      </c>
      <c r="BD24" s="30" t="b">
        <v>1</v>
      </c>
      <c r="BE24" s="30" t="b">
        <v>1</v>
      </c>
      <c r="BF24" s="30" t="b">
        <v>1</v>
      </c>
      <c r="BG24" s="30" t="b">
        <v>1</v>
      </c>
      <c r="BH24" s="30" t="b">
        <v>1</v>
      </c>
      <c r="BI24" s="30" t="b">
        <v>1</v>
      </c>
      <c r="BJ24" s="30" t="b">
        <v>1</v>
      </c>
      <c r="BK24" s="30" t="b">
        <v>1</v>
      </c>
      <c r="BL24" s="30" t="b">
        <v>1</v>
      </c>
      <c r="BM24" s="30" t="b">
        <v>1</v>
      </c>
      <c r="BN24" s="30" t="b">
        <v>0</v>
      </c>
      <c r="BO24" s="30" t="b">
        <v>0</v>
      </c>
    </row>
    <row r="25" hidden="1" outlineLevel="1">
      <c r="A25" s="31" t="str">
        <f>A24&amp;C25</f>
        <v>AprilADHIKARI BALIA.AOT HOURS</v>
      </c>
      <c r="B25" s="32"/>
      <c r="C25" s="33" t="s">
        <v>169</v>
      </c>
      <c r="D25" s="17"/>
      <c r="E25" s="29">
        <f>SUM(F25:BO25)</f>
        <v>34</v>
      </c>
      <c r="F25" s="34"/>
      <c r="G25" s="17"/>
      <c r="H25" s="34"/>
      <c r="I25" s="17"/>
      <c r="J25" s="34"/>
      <c r="K25" s="17"/>
      <c r="L25" s="34"/>
      <c r="M25" s="17"/>
      <c r="N25" s="34"/>
      <c r="O25" s="17"/>
      <c r="P25" s="34"/>
      <c r="Q25" s="17"/>
      <c r="R25" s="34"/>
      <c r="S25" s="17"/>
      <c r="T25" s="34"/>
      <c r="U25" s="17"/>
      <c r="V25" s="34"/>
      <c r="W25" s="17"/>
      <c r="X25" s="34"/>
      <c r="Y25" s="17"/>
      <c r="Z25" s="34"/>
      <c r="AA25" s="17"/>
      <c r="AB25" s="34"/>
      <c r="AC25" s="17"/>
      <c r="AD25" s="34"/>
      <c r="AE25" s="17"/>
      <c r="AF25" s="34"/>
      <c r="AG25" s="17"/>
      <c r="AH25" s="34"/>
      <c r="AI25" s="17"/>
      <c r="AJ25" s="34"/>
      <c r="AK25" s="17"/>
      <c r="AL25" s="34"/>
      <c r="AM25" s="17"/>
      <c r="AN25" s="34"/>
      <c r="AO25" s="17"/>
      <c r="AP25" s="34"/>
      <c r="AQ25" s="17"/>
      <c r="AR25" s="34"/>
      <c r="AS25" s="17"/>
      <c r="AT25" s="34">
        <v>5.0</v>
      </c>
      <c r="AU25" s="17"/>
      <c r="AV25" s="34">
        <v>8.0</v>
      </c>
      <c r="AW25" s="17"/>
      <c r="AX25" s="34">
        <v>4.0</v>
      </c>
      <c r="AY25" s="17"/>
      <c r="AZ25" s="34">
        <v>4.0</v>
      </c>
      <c r="BA25" s="17"/>
      <c r="BB25" s="34"/>
      <c r="BC25" s="17"/>
      <c r="BD25" s="34">
        <v>6.0</v>
      </c>
      <c r="BE25" s="17"/>
      <c r="BF25" s="34"/>
      <c r="BG25" s="17"/>
      <c r="BH25" s="34"/>
      <c r="BI25" s="17"/>
      <c r="BJ25" s="34">
        <v>3.0</v>
      </c>
      <c r="BK25" s="17"/>
      <c r="BL25" s="34">
        <v>4.0</v>
      </c>
      <c r="BM25" s="17"/>
      <c r="BN25" s="34"/>
      <c r="BO25" s="17"/>
    </row>
    <row r="26" hidden="1" outlineLevel="1">
      <c r="A26" s="26" t="str">
        <f>B26&amp;D26</f>
        <v>AprilRUPESH KISAN</v>
      </c>
      <c r="B26" s="27" t="s">
        <v>12</v>
      </c>
      <c r="C26" s="27" t="s">
        <v>30</v>
      </c>
      <c r="D26" s="28" t="str">
        <f>IFERROR(VLOOKUP(C26,'Employees List'!$B$2:$E1424,4,0),"")</f>
        <v>RUPESH KISAN</v>
      </c>
      <c r="E26" s="29">
        <f>COUNTIF(F26:BO26,TRUE)/2</f>
        <v>10</v>
      </c>
      <c r="F26" s="30" t="b">
        <v>0</v>
      </c>
      <c r="G26" s="30" t="b">
        <v>0</v>
      </c>
      <c r="H26" s="30" t="b">
        <v>0</v>
      </c>
      <c r="I26" s="30" t="b">
        <v>0</v>
      </c>
      <c r="J26" s="30" t="b">
        <v>0</v>
      </c>
      <c r="K26" s="30" t="b">
        <v>0</v>
      </c>
      <c r="L26" s="30" t="b">
        <v>0</v>
      </c>
      <c r="M26" s="30" t="b">
        <v>0</v>
      </c>
      <c r="N26" s="30" t="b">
        <v>0</v>
      </c>
      <c r="O26" s="30" t="b">
        <v>0</v>
      </c>
      <c r="P26" s="30" t="b">
        <v>0</v>
      </c>
      <c r="Q26" s="30" t="b">
        <v>0</v>
      </c>
      <c r="R26" s="30" t="b">
        <v>0</v>
      </c>
      <c r="S26" s="30" t="b">
        <v>0</v>
      </c>
      <c r="T26" s="30" t="b">
        <v>0</v>
      </c>
      <c r="U26" s="30" t="b">
        <v>0</v>
      </c>
      <c r="V26" s="30" t="b">
        <v>0</v>
      </c>
      <c r="W26" s="30" t="b">
        <v>0</v>
      </c>
      <c r="X26" s="30" t="b">
        <v>0</v>
      </c>
      <c r="Y26" s="30" t="b">
        <v>0</v>
      </c>
      <c r="Z26" s="30" t="b">
        <v>0</v>
      </c>
      <c r="AA26" s="30" t="b">
        <v>0</v>
      </c>
      <c r="AB26" s="30" t="b">
        <v>0</v>
      </c>
      <c r="AC26" s="30" t="b">
        <v>0</v>
      </c>
      <c r="AD26" s="30" t="b">
        <v>0</v>
      </c>
      <c r="AE26" s="30" t="b">
        <v>0</v>
      </c>
      <c r="AF26" s="30" t="b">
        <v>0</v>
      </c>
      <c r="AG26" s="30" t="b">
        <v>0</v>
      </c>
      <c r="AH26" s="30" t="b">
        <v>0</v>
      </c>
      <c r="AI26" s="30" t="b">
        <v>0</v>
      </c>
      <c r="AJ26" s="30" t="b">
        <v>0</v>
      </c>
      <c r="AK26" s="30" t="b">
        <v>0</v>
      </c>
      <c r="AL26" s="30" t="b">
        <v>0</v>
      </c>
      <c r="AM26" s="30" t="b">
        <v>0</v>
      </c>
      <c r="AN26" s="30" t="b">
        <v>0</v>
      </c>
      <c r="AO26" s="30" t="b">
        <v>0</v>
      </c>
      <c r="AP26" s="30" t="b">
        <v>0</v>
      </c>
      <c r="AQ26" s="30" t="b">
        <v>0</v>
      </c>
      <c r="AR26" s="30" t="b">
        <v>0</v>
      </c>
      <c r="AS26" s="30" t="b">
        <v>0</v>
      </c>
      <c r="AT26" s="30" t="b">
        <v>1</v>
      </c>
      <c r="AU26" s="30" t="b">
        <v>1</v>
      </c>
      <c r="AV26" s="30" t="b">
        <v>1</v>
      </c>
      <c r="AW26" s="30" t="b">
        <v>1</v>
      </c>
      <c r="AX26" s="30" t="b">
        <v>1</v>
      </c>
      <c r="AY26" s="30" t="b">
        <v>1</v>
      </c>
      <c r="AZ26" s="30" t="b">
        <v>1</v>
      </c>
      <c r="BA26" s="30" t="b">
        <v>1</v>
      </c>
      <c r="BB26" s="30" t="b">
        <v>1</v>
      </c>
      <c r="BC26" s="30" t="b">
        <v>1</v>
      </c>
      <c r="BD26" s="30" t="b">
        <v>1</v>
      </c>
      <c r="BE26" s="30" t="b">
        <v>1</v>
      </c>
      <c r="BF26" s="30" t="b">
        <v>1</v>
      </c>
      <c r="BG26" s="30" t="b">
        <v>1</v>
      </c>
      <c r="BH26" s="30" t="b">
        <v>1</v>
      </c>
      <c r="BI26" s="30" t="b">
        <v>1</v>
      </c>
      <c r="BJ26" s="30" t="b">
        <v>1</v>
      </c>
      <c r="BK26" s="30" t="b">
        <v>1</v>
      </c>
      <c r="BL26" s="30" t="b">
        <v>1</v>
      </c>
      <c r="BM26" s="30" t="b">
        <v>1</v>
      </c>
      <c r="BN26" s="30" t="b">
        <v>0</v>
      </c>
      <c r="BO26" s="30" t="b">
        <v>0</v>
      </c>
    </row>
    <row r="27" hidden="1" outlineLevel="1">
      <c r="A27" s="31" t="str">
        <f>A26&amp;C27</f>
        <v>AprilRUPESH KISANOT HOURS</v>
      </c>
      <c r="B27" s="32"/>
      <c r="C27" s="33" t="s">
        <v>169</v>
      </c>
      <c r="D27" s="17"/>
      <c r="E27" s="29">
        <f>SUM(F27:BO27)</f>
        <v>24</v>
      </c>
      <c r="F27" s="34"/>
      <c r="G27" s="17"/>
      <c r="H27" s="34"/>
      <c r="I27" s="17"/>
      <c r="J27" s="34"/>
      <c r="K27" s="17"/>
      <c r="L27" s="34"/>
      <c r="M27" s="17"/>
      <c r="N27" s="34"/>
      <c r="O27" s="17"/>
      <c r="P27" s="34"/>
      <c r="Q27" s="17"/>
      <c r="R27" s="34"/>
      <c r="S27" s="17"/>
      <c r="T27" s="34"/>
      <c r="U27" s="17"/>
      <c r="V27" s="34"/>
      <c r="W27" s="17"/>
      <c r="X27" s="34"/>
      <c r="Y27" s="17"/>
      <c r="Z27" s="34"/>
      <c r="AA27" s="17"/>
      <c r="AB27" s="34"/>
      <c r="AC27" s="17"/>
      <c r="AD27" s="34"/>
      <c r="AE27" s="17"/>
      <c r="AF27" s="34"/>
      <c r="AG27" s="17"/>
      <c r="AH27" s="34"/>
      <c r="AI27" s="17"/>
      <c r="AJ27" s="34"/>
      <c r="AK27" s="17"/>
      <c r="AL27" s="34"/>
      <c r="AM27" s="17"/>
      <c r="AN27" s="34"/>
      <c r="AO27" s="17"/>
      <c r="AP27" s="34"/>
      <c r="AQ27" s="17"/>
      <c r="AR27" s="34"/>
      <c r="AS27" s="17"/>
      <c r="AT27" s="34">
        <v>3.0</v>
      </c>
      <c r="AU27" s="17"/>
      <c r="AV27" s="34">
        <v>2.0</v>
      </c>
      <c r="AW27" s="17"/>
      <c r="AX27" s="34">
        <v>6.0</v>
      </c>
      <c r="AY27" s="17"/>
      <c r="AZ27" s="34">
        <v>6.0</v>
      </c>
      <c r="BA27" s="17"/>
      <c r="BB27" s="34"/>
      <c r="BC27" s="17"/>
      <c r="BD27" s="34"/>
      <c r="BE27" s="17"/>
      <c r="BF27" s="34"/>
      <c r="BG27" s="17"/>
      <c r="BH27" s="34"/>
      <c r="BI27" s="17"/>
      <c r="BJ27" s="34">
        <v>3.0</v>
      </c>
      <c r="BK27" s="17"/>
      <c r="BL27" s="34">
        <v>4.0</v>
      </c>
      <c r="BM27" s="17"/>
      <c r="BN27" s="34"/>
      <c r="BO27" s="17"/>
    </row>
    <row r="28" hidden="1" outlineLevel="1">
      <c r="A28" s="26" t="str">
        <f>B28&amp;D28</f>
        <v>AprilLIPAN</v>
      </c>
      <c r="B28" s="27" t="s">
        <v>12</v>
      </c>
      <c r="C28" s="27" t="s">
        <v>87</v>
      </c>
      <c r="D28" s="28" t="str">
        <f>IFERROR(VLOOKUP(C28,'Employees List'!$B$2:$E1424,4,0),"")</f>
        <v>LIPAN</v>
      </c>
      <c r="E28" s="29">
        <f>COUNTIF(F28:BO28,TRUE)/2</f>
        <v>10</v>
      </c>
      <c r="F28" s="30" t="b">
        <v>0</v>
      </c>
      <c r="G28" s="30" t="b">
        <v>0</v>
      </c>
      <c r="H28" s="30" t="b">
        <v>0</v>
      </c>
      <c r="I28" s="30" t="b">
        <v>0</v>
      </c>
      <c r="J28" s="30" t="b">
        <v>0</v>
      </c>
      <c r="K28" s="30" t="b">
        <v>0</v>
      </c>
      <c r="L28" s="30" t="b">
        <v>0</v>
      </c>
      <c r="M28" s="30" t="b">
        <v>0</v>
      </c>
      <c r="N28" s="30" t="b">
        <v>0</v>
      </c>
      <c r="O28" s="30" t="b">
        <v>0</v>
      </c>
      <c r="P28" s="30" t="b">
        <v>0</v>
      </c>
      <c r="Q28" s="30" t="b">
        <v>0</v>
      </c>
      <c r="R28" s="30" t="b">
        <v>0</v>
      </c>
      <c r="S28" s="30" t="b">
        <v>0</v>
      </c>
      <c r="T28" s="30" t="b">
        <v>0</v>
      </c>
      <c r="U28" s="30" t="b">
        <v>0</v>
      </c>
      <c r="V28" s="30" t="b">
        <v>0</v>
      </c>
      <c r="W28" s="30" t="b">
        <v>0</v>
      </c>
      <c r="X28" s="30" t="b">
        <v>0</v>
      </c>
      <c r="Y28" s="30" t="b">
        <v>0</v>
      </c>
      <c r="Z28" s="30" t="b">
        <v>0</v>
      </c>
      <c r="AA28" s="30" t="b">
        <v>0</v>
      </c>
      <c r="AB28" s="30" t="b">
        <v>0</v>
      </c>
      <c r="AC28" s="30" t="b">
        <v>0</v>
      </c>
      <c r="AD28" s="30" t="b">
        <v>0</v>
      </c>
      <c r="AE28" s="30" t="b">
        <v>0</v>
      </c>
      <c r="AF28" s="30" t="b">
        <v>0</v>
      </c>
      <c r="AG28" s="30" t="b">
        <v>0</v>
      </c>
      <c r="AH28" s="30" t="b">
        <v>0</v>
      </c>
      <c r="AI28" s="30" t="b">
        <v>0</v>
      </c>
      <c r="AJ28" s="30" t="b">
        <v>0</v>
      </c>
      <c r="AK28" s="30" t="b">
        <v>0</v>
      </c>
      <c r="AL28" s="30" t="b">
        <v>0</v>
      </c>
      <c r="AM28" s="30" t="b">
        <v>0</v>
      </c>
      <c r="AN28" s="30" t="b">
        <v>0</v>
      </c>
      <c r="AO28" s="30" t="b">
        <v>0</v>
      </c>
      <c r="AP28" s="30" t="b">
        <v>0</v>
      </c>
      <c r="AQ28" s="30" t="b">
        <v>0</v>
      </c>
      <c r="AR28" s="30" t="b">
        <v>0</v>
      </c>
      <c r="AS28" s="30" t="b">
        <v>0</v>
      </c>
      <c r="AT28" s="30" t="b">
        <v>1</v>
      </c>
      <c r="AU28" s="30" t="b">
        <v>1</v>
      </c>
      <c r="AV28" s="30" t="b">
        <v>1</v>
      </c>
      <c r="AW28" s="30" t="b">
        <v>1</v>
      </c>
      <c r="AX28" s="30" t="b">
        <v>1</v>
      </c>
      <c r="AY28" s="30" t="b">
        <v>1</v>
      </c>
      <c r="AZ28" s="30" t="b">
        <v>1</v>
      </c>
      <c r="BA28" s="30" t="b">
        <v>1</v>
      </c>
      <c r="BB28" s="30" t="b">
        <v>1</v>
      </c>
      <c r="BC28" s="30" t="b">
        <v>1</v>
      </c>
      <c r="BD28" s="30" t="b">
        <v>1</v>
      </c>
      <c r="BE28" s="30" t="b">
        <v>1</v>
      </c>
      <c r="BF28" s="30" t="b">
        <v>1</v>
      </c>
      <c r="BG28" s="30" t="b">
        <v>1</v>
      </c>
      <c r="BH28" s="30" t="b">
        <v>1</v>
      </c>
      <c r="BI28" s="30" t="b">
        <v>1</v>
      </c>
      <c r="BJ28" s="30" t="b">
        <v>1</v>
      </c>
      <c r="BK28" s="30" t="b">
        <v>1</v>
      </c>
      <c r="BL28" s="30" t="b">
        <v>1</v>
      </c>
      <c r="BM28" s="30" t="b">
        <v>1</v>
      </c>
      <c r="BN28" s="30" t="b">
        <v>0</v>
      </c>
      <c r="BO28" s="30" t="b">
        <v>0</v>
      </c>
    </row>
    <row r="29" hidden="1" outlineLevel="1">
      <c r="A29" s="31" t="str">
        <f>A28&amp;C29</f>
        <v>AprilLIPANOT HOURS</v>
      </c>
      <c r="B29" s="32"/>
      <c r="C29" s="33" t="s">
        <v>169</v>
      </c>
      <c r="D29" s="17"/>
      <c r="E29" s="29">
        <f>SUM(F29:BO29)</f>
        <v>38</v>
      </c>
      <c r="F29" s="34"/>
      <c r="G29" s="17"/>
      <c r="H29" s="34"/>
      <c r="I29" s="17"/>
      <c r="J29" s="34"/>
      <c r="K29" s="17"/>
      <c r="L29" s="34"/>
      <c r="M29" s="17"/>
      <c r="N29" s="34"/>
      <c r="O29" s="17"/>
      <c r="P29" s="34"/>
      <c r="Q29" s="17"/>
      <c r="R29" s="34"/>
      <c r="S29" s="17"/>
      <c r="T29" s="34"/>
      <c r="U29" s="17"/>
      <c r="V29" s="34"/>
      <c r="W29" s="17"/>
      <c r="X29" s="34"/>
      <c r="Y29" s="17"/>
      <c r="Z29" s="34"/>
      <c r="AA29" s="17"/>
      <c r="AB29" s="34"/>
      <c r="AC29" s="17"/>
      <c r="AD29" s="34"/>
      <c r="AE29" s="17"/>
      <c r="AF29" s="34"/>
      <c r="AG29" s="17"/>
      <c r="AH29" s="34"/>
      <c r="AI29" s="17"/>
      <c r="AJ29" s="34"/>
      <c r="AK29" s="17"/>
      <c r="AL29" s="34"/>
      <c r="AM29" s="17"/>
      <c r="AN29" s="34"/>
      <c r="AO29" s="17"/>
      <c r="AP29" s="34"/>
      <c r="AQ29" s="17"/>
      <c r="AR29" s="34"/>
      <c r="AS29" s="17"/>
      <c r="AT29" s="34">
        <v>5.0</v>
      </c>
      <c r="AU29" s="17"/>
      <c r="AV29" s="34">
        <v>8.0</v>
      </c>
      <c r="AW29" s="17"/>
      <c r="AX29" s="34">
        <v>6.0</v>
      </c>
      <c r="AY29" s="17"/>
      <c r="AZ29" s="34">
        <v>6.0</v>
      </c>
      <c r="BA29" s="17"/>
      <c r="BB29" s="34"/>
      <c r="BC29" s="17"/>
      <c r="BD29" s="34">
        <v>6.0</v>
      </c>
      <c r="BE29" s="17"/>
      <c r="BF29" s="34"/>
      <c r="BG29" s="17"/>
      <c r="BH29" s="34"/>
      <c r="BI29" s="17"/>
      <c r="BJ29" s="34">
        <v>3.0</v>
      </c>
      <c r="BK29" s="17"/>
      <c r="BL29" s="34">
        <v>4.0</v>
      </c>
      <c r="BM29" s="17"/>
      <c r="BN29" s="34"/>
      <c r="BO29" s="17"/>
    </row>
    <row r="30" hidden="1" outlineLevel="1">
      <c r="A30" s="26" t="str">
        <f>B30&amp;D30</f>
        <v>AprilNILAMANI KISAN.B</v>
      </c>
      <c r="B30" s="27" t="s">
        <v>12</v>
      </c>
      <c r="C30" s="27" t="s">
        <v>92</v>
      </c>
      <c r="D30" s="28" t="str">
        <f>IFERROR(VLOOKUP(C30,'Employees List'!$B$2:$E1424,4,0),"")</f>
        <v>NILAMANI KISAN.B</v>
      </c>
      <c r="E30" s="29">
        <f>COUNTIF(F30:BO30,TRUE)/2</f>
        <v>27</v>
      </c>
      <c r="F30" s="30" t="b">
        <v>0</v>
      </c>
      <c r="G30" s="30" t="b">
        <v>0</v>
      </c>
      <c r="H30" s="30" t="b">
        <v>0</v>
      </c>
      <c r="I30" s="30" t="b">
        <v>0</v>
      </c>
      <c r="J30" s="30" t="b">
        <v>0</v>
      </c>
      <c r="K30" s="30" t="b">
        <v>0</v>
      </c>
      <c r="L30" s="30" t="b">
        <v>1</v>
      </c>
      <c r="M30" s="30" t="b">
        <v>1</v>
      </c>
      <c r="N30" s="30" t="b">
        <v>1</v>
      </c>
      <c r="O30" s="30" t="b">
        <v>1</v>
      </c>
      <c r="P30" s="30" t="b">
        <v>1</v>
      </c>
      <c r="Q30" s="30" t="b">
        <v>1</v>
      </c>
      <c r="R30" s="30" t="b">
        <v>1</v>
      </c>
      <c r="S30" s="30" t="b">
        <v>1</v>
      </c>
      <c r="T30" s="30" t="b">
        <v>1</v>
      </c>
      <c r="U30" s="30" t="b">
        <v>1</v>
      </c>
      <c r="V30" s="30" t="b">
        <v>1</v>
      </c>
      <c r="W30" s="30" t="b">
        <v>1</v>
      </c>
      <c r="X30" s="30" t="b">
        <v>1</v>
      </c>
      <c r="Y30" s="30" t="b">
        <v>1</v>
      </c>
      <c r="Z30" s="30" t="b">
        <v>1</v>
      </c>
      <c r="AA30" s="30" t="b">
        <v>1</v>
      </c>
      <c r="AB30" s="30" t="b">
        <v>1</v>
      </c>
      <c r="AC30" s="30" t="b">
        <v>1</v>
      </c>
      <c r="AD30" s="30" t="b">
        <v>1</v>
      </c>
      <c r="AE30" s="30" t="b">
        <v>1</v>
      </c>
      <c r="AF30" s="30" t="b">
        <v>1</v>
      </c>
      <c r="AG30" s="30" t="b">
        <v>1</v>
      </c>
      <c r="AH30" s="30" t="b">
        <v>1</v>
      </c>
      <c r="AI30" s="30" t="b">
        <v>1</v>
      </c>
      <c r="AJ30" s="30" t="b">
        <v>1</v>
      </c>
      <c r="AK30" s="30" t="b">
        <v>1</v>
      </c>
      <c r="AL30" s="30" t="b">
        <v>1</v>
      </c>
      <c r="AM30" s="30" t="b">
        <v>1</v>
      </c>
      <c r="AN30" s="30" t="b">
        <v>1</v>
      </c>
      <c r="AO30" s="30" t="b">
        <v>1</v>
      </c>
      <c r="AP30" s="30" t="b">
        <v>1</v>
      </c>
      <c r="AQ30" s="30" t="b">
        <v>1</v>
      </c>
      <c r="AR30" s="30" t="b">
        <v>1</v>
      </c>
      <c r="AS30" s="30" t="b">
        <v>1</v>
      </c>
      <c r="AT30" s="30" t="b">
        <v>1</v>
      </c>
      <c r="AU30" s="30" t="b">
        <v>1</v>
      </c>
      <c r="AV30" s="30" t="b">
        <v>1</v>
      </c>
      <c r="AW30" s="30" t="b">
        <v>1</v>
      </c>
      <c r="AX30" s="30" t="b">
        <v>1</v>
      </c>
      <c r="AY30" s="30" t="b">
        <v>1</v>
      </c>
      <c r="AZ30" s="30" t="b">
        <v>1</v>
      </c>
      <c r="BA30" s="30" t="b">
        <v>1</v>
      </c>
      <c r="BB30" s="30" t="b">
        <v>1</v>
      </c>
      <c r="BC30" s="30" t="b">
        <v>1</v>
      </c>
      <c r="BD30" s="30" t="b">
        <v>1</v>
      </c>
      <c r="BE30" s="30" t="b">
        <v>1</v>
      </c>
      <c r="BF30" s="30" t="b">
        <v>1</v>
      </c>
      <c r="BG30" s="30" t="b">
        <v>1</v>
      </c>
      <c r="BH30" s="30" t="b">
        <v>1</v>
      </c>
      <c r="BI30" s="30" t="b">
        <v>1</v>
      </c>
      <c r="BJ30" s="30" t="b">
        <v>1</v>
      </c>
      <c r="BK30" s="30" t="b">
        <v>1</v>
      </c>
      <c r="BL30" s="30" t="b">
        <v>1</v>
      </c>
      <c r="BM30" s="30" t="b">
        <v>1</v>
      </c>
      <c r="BN30" s="30" t="b">
        <v>0</v>
      </c>
      <c r="BO30" s="30" t="b">
        <v>0</v>
      </c>
    </row>
    <row r="31" hidden="1" outlineLevel="1">
      <c r="A31" s="31" t="str">
        <f>A30&amp;C31</f>
        <v>AprilNILAMANI KISAN.BOT HOURS</v>
      </c>
      <c r="B31" s="32"/>
      <c r="C31" s="33" t="s">
        <v>169</v>
      </c>
      <c r="D31" s="17"/>
      <c r="E31" s="29">
        <f>SUM(F31:BO31)</f>
        <v>40</v>
      </c>
      <c r="F31" s="34"/>
      <c r="G31" s="17"/>
      <c r="H31" s="34"/>
      <c r="I31" s="17"/>
      <c r="J31" s="34"/>
      <c r="K31" s="17"/>
      <c r="L31" s="34"/>
      <c r="M31" s="17"/>
      <c r="N31" s="34">
        <v>2.0</v>
      </c>
      <c r="O31" s="17"/>
      <c r="P31" s="34"/>
      <c r="Q31" s="17"/>
      <c r="R31" s="34">
        <v>2.0</v>
      </c>
      <c r="S31" s="17"/>
      <c r="T31" s="34">
        <v>2.0</v>
      </c>
      <c r="U31" s="17"/>
      <c r="V31" s="34">
        <v>2.0</v>
      </c>
      <c r="W31" s="17"/>
      <c r="X31" s="34">
        <v>2.0</v>
      </c>
      <c r="Y31" s="17"/>
      <c r="Z31" s="34"/>
      <c r="AA31" s="17"/>
      <c r="AB31" s="34"/>
      <c r="AC31" s="17"/>
      <c r="AD31" s="34"/>
      <c r="AE31" s="17"/>
      <c r="AF31" s="34"/>
      <c r="AG31" s="17"/>
      <c r="AH31" s="34">
        <v>2.0</v>
      </c>
      <c r="AI31" s="17"/>
      <c r="AJ31" s="34">
        <v>4.0</v>
      </c>
      <c r="AK31" s="17"/>
      <c r="AL31" s="34">
        <v>2.0</v>
      </c>
      <c r="AM31" s="17"/>
      <c r="AN31" s="34">
        <v>4.0</v>
      </c>
      <c r="AO31" s="17"/>
      <c r="AP31" s="34">
        <v>6.0</v>
      </c>
      <c r="AQ31" s="17"/>
      <c r="AR31" s="34"/>
      <c r="AS31" s="17"/>
      <c r="AT31" s="34">
        <v>3.0</v>
      </c>
      <c r="AU31" s="17"/>
      <c r="AV31" s="34">
        <v>2.0</v>
      </c>
      <c r="AW31" s="17"/>
      <c r="AX31" s="34">
        <v>2.0</v>
      </c>
      <c r="AY31" s="17"/>
      <c r="AZ31" s="34">
        <v>2.0</v>
      </c>
      <c r="BA31" s="17"/>
      <c r="BB31" s="34"/>
      <c r="BC31" s="17"/>
      <c r="BD31" s="34"/>
      <c r="BE31" s="17"/>
      <c r="BF31" s="34"/>
      <c r="BG31" s="17"/>
      <c r="BH31" s="34"/>
      <c r="BI31" s="17"/>
      <c r="BJ31" s="34">
        <v>3.0</v>
      </c>
      <c r="BK31" s="17"/>
      <c r="BL31" s="34"/>
      <c r="BM31" s="17"/>
      <c r="BN31" s="34"/>
      <c r="BO31" s="17"/>
    </row>
    <row r="32" hidden="1" outlineLevel="1">
      <c r="A32" s="31"/>
      <c r="B32" s="32"/>
      <c r="C32" s="36"/>
      <c r="D32" s="37"/>
      <c r="E32" s="38"/>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row>
    <row r="33" hidden="1" outlineLevel="1">
      <c r="A33" s="31"/>
      <c r="B33" s="32"/>
      <c r="C33" s="36"/>
      <c r="D33" s="37"/>
      <c r="E33" s="38"/>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row>
    <row r="34" collapsed="1">
      <c r="A34" s="14"/>
      <c r="B34" s="15"/>
      <c r="C34" s="20">
        <v>45778.0</v>
      </c>
      <c r="D34" s="17"/>
      <c r="E34" s="18"/>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row>
    <row r="35" hidden="1" outlineLevel="1">
      <c r="A35" s="22"/>
      <c r="B35" s="23"/>
      <c r="C35" s="24" t="s">
        <v>1</v>
      </c>
      <c r="D35" s="24" t="s">
        <v>4</v>
      </c>
      <c r="E35" s="25" t="s">
        <v>166</v>
      </c>
      <c r="F35" s="24" t="s">
        <v>167</v>
      </c>
      <c r="G35" s="24" t="s">
        <v>168</v>
      </c>
      <c r="H35" s="24" t="s">
        <v>167</v>
      </c>
      <c r="I35" s="24" t="s">
        <v>168</v>
      </c>
      <c r="J35" s="24" t="s">
        <v>167</v>
      </c>
      <c r="K35" s="24" t="s">
        <v>168</v>
      </c>
      <c r="L35" s="24" t="s">
        <v>167</v>
      </c>
      <c r="M35" s="24" t="s">
        <v>168</v>
      </c>
      <c r="N35" s="24" t="s">
        <v>167</v>
      </c>
      <c r="O35" s="24" t="s">
        <v>168</v>
      </c>
      <c r="P35" s="24" t="s">
        <v>167</v>
      </c>
      <c r="Q35" s="24" t="s">
        <v>168</v>
      </c>
      <c r="R35" s="24" t="s">
        <v>167</v>
      </c>
      <c r="S35" s="24" t="s">
        <v>168</v>
      </c>
      <c r="T35" s="24" t="s">
        <v>167</v>
      </c>
      <c r="U35" s="24" t="s">
        <v>168</v>
      </c>
      <c r="V35" s="24" t="s">
        <v>167</v>
      </c>
      <c r="W35" s="24" t="s">
        <v>168</v>
      </c>
      <c r="X35" s="24" t="s">
        <v>167</v>
      </c>
      <c r="Y35" s="24" t="s">
        <v>168</v>
      </c>
      <c r="Z35" s="24" t="s">
        <v>167</v>
      </c>
      <c r="AA35" s="24" t="s">
        <v>168</v>
      </c>
      <c r="AB35" s="24" t="s">
        <v>167</v>
      </c>
      <c r="AC35" s="24" t="s">
        <v>168</v>
      </c>
      <c r="AD35" s="24" t="s">
        <v>167</v>
      </c>
      <c r="AE35" s="24" t="s">
        <v>168</v>
      </c>
      <c r="AF35" s="24" t="s">
        <v>167</v>
      </c>
      <c r="AG35" s="24" t="s">
        <v>168</v>
      </c>
      <c r="AH35" s="24" t="s">
        <v>167</v>
      </c>
      <c r="AI35" s="24" t="s">
        <v>168</v>
      </c>
      <c r="AJ35" s="24" t="s">
        <v>167</v>
      </c>
      <c r="AK35" s="24" t="s">
        <v>168</v>
      </c>
      <c r="AL35" s="24" t="s">
        <v>167</v>
      </c>
      <c r="AM35" s="24" t="s">
        <v>168</v>
      </c>
      <c r="AN35" s="24" t="s">
        <v>167</v>
      </c>
      <c r="AO35" s="24" t="s">
        <v>168</v>
      </c>
      <c r="AP35" s="24" t="s">
        <v>167</v>
      </c>
      <c r="AQ35" s="24" t="s">
        <v>168</v>
      </c>
      <c r="AR35" s="24" t="s">
        <v>167</v>
      </c>
      <c r="AS35" s="24" t="s">
        <v>168</v>
      </c>
      <c r="AT35" s="24" t="s">
        <v>167</v>
      </c>
      <c r="AU35" s="24" t="s">
        <v>168</v>
      </c>
      <c r="AV35" s="24" t="s">
        <v>167</v>
      </c>
      <c r="AW35" s="24" t="s">
        <v>168</v>
      </c>
      <c r="AX35" s="24" t="s">
        <v>167</v>
      </c>
      <c r="AY35" s="24" t="s">
        <v>168</v>
      </c>
      <c r="AZ35" s="24" t="s">
        <v>167</v>
      </c>
      <c r="BA35" s="24" t="s">
        <v>168</v>
      </c>
      <c r="BB35" s="24" t="s">
        <v>167</v>
      </c>
      <c r="BC35" s="24" t="s">
        <v>168</v>
      </c>
      <c r="BD35" s="24" t="s">
        <v>167</v>
      </c>
      <c r="BE35" s="24" t="s">
        <v>168</v>
      </c>
      <c r="BF35" s="24" t="s">
        <v>167</v>
      </c>
      <c r="BG35" s="24" t="s">
        <v>168</v>
      </c>
      <c r="BH35" s="24" t="s">
        <v>167</v>
      </c>
      <c r="BI35" s="24" t="s">
        <v>168</v>
      </c>
      <c r="BJ35" s="24" t="s">
        <v>167</v>
      </c>
      <c r="BK35" s="24" t="s">
        <v>168</v>
      </c>
      <c r="BL35" s="24" t="s">
        <v>167</v>
      </c>
      <c r="BM35" s="24" t="s">
        <v>168</v>
      </c>
      <c r="BN35" s="24" t="s">
        <v>167</v>
      </c>
      <c r="BO35" s="24" t="s">
        <v>168</v>
      </c>
    </row>
    <row r="36" hidden="1" outlineLevel="1">
      <c r="A36" s="26" t="str">
        <f>B36&amp;D36</f>
        <v>MayBHUVANESHWARAN.V</v>
      </c>
      <c r="B36" s="27" t="s">
        <v>16</v>
      </c>
      <c r="C36" s="27" t="s">
        <v>13</v>
      </c>
      <c r="D36" s="39" t="str">
        <f>IFERROR(VLOOKUP(C36,'Employees List'!$B$2:$E1424,4,0),"")</f>
        <v>BHUVANESHWARAN.V</v>
      </c>
      <c r="E36" s="29">
        <f>COUNTIF(F36:BO36,TRUE)/2</f>
        <v>31</v>
      </c>
      <c r="F36" s="30" t="b">
        <v>1</v>
      </c>
      <c r="G36" s="30" t="b">
        <v>1</v>
      </c>
      <c r="H36" s="30" t="b">
        <v>1</v>
      </c>
      <c r="I36" s="30" t="b">
        <v>1</v>
      </c>
      <c r="J36" s="30" t="b">
        <v>1</v>
      </c>
      <c r="K36" s="30" t="b">
        <v>1</v>
      </c>
      <c r="L36" s="30" t="b">
        <v>1</v>
      </c>
      <c r="M36" s="30" t="b">
        <v>1</v>
      </c>
      <c r="N36" s="30" t="b">
        <v>1</v>
      </c>
      <c r="O36" s="30" t="b">
        <v>1</v>
      </c>
      <c r="P36" s="30" t="b">
        <v>1</v>
      </c>
      <c r="Q36" s="30" t="b">
        <v>1</v>
      </c>
      <c r="R36" s="30" t="b">
        <v>1</v>
      </c>
      <c r="S36" s="30" t="b">
        <v>1</v>
      </c>
      <c r="T36" s="30" t="b">
        <v>1</v>
      </c>
      <c r="U36" s="30" t="b">
        <v>1</v>
      </c>
      <c r="V36" s="30" t="b">
        <v>1</v>
      </c>
      <c r="W36" s="30" t="b">
        <v>1</v>
      </c>
      <c r="X36" s="30" t="b">
        <v>1</v>
      </c>
      <c r="Y36" s="30" t="b">
        <v>1</v>
      </c>
      <c r="Z36" s="30" t="b">
        <v>1</v>
      </c>
      <c r="AA36" s="30" t="b">
        <v>1</v>
      </c>
      <c r="AB36" s="30" t="b">
        <v>1</v>
      </c>
      <c r="AC36" s="30" t="b">
        <v>1</v>
      </c>
      <c r="AD36" s="30" t="b">
        <v>1</v>
      </c>
      <c r="AE36" s="30" t="b">
        <v>1</v>
      </c>
      <c r="AF36" s="30" t="b">
        <v>1</v>
      </c>
      <c r="AG36" s="30" t="b">
        <v>1</v>
      </c>
      <c r="AH36" s="30" t="b">
        <v>1</v>
      </c>
      <c r="AI36" s="30" t="b">
        <v>1</v>
      </c>
      <c r="AJ36" s="30" t="b">
        <v>1</v>
      </c>
      <c r="AK36" s="30" t="b">
        <v>1</v>
      </c>
      <c r="AL36" s="30" t="b">
        <v>1</v>
      </c>
      <c r="AM36" s="30" t="b">
        <v>1</v>
      </c>
      <c r="AN36" s="30" t="b">
        <v>1</v>
      </c>
      <c r="AO36" s="30" t="b">
        <v>1</v>
      </c>
      <c r="AP36" s="30" t="b">
        <v>1</v>
      </c>
      <c r="AQ36" s="30" t="b">
        <v>1</v>
      </c>
      <c r="AR36" s="30" t="b">
        <v>1</v>
      </c>
      <c r="AS36" s="30" t="b">
        <v>1</v>
      </c>
      <c r="AT36" s="30" t="b">
        <v>1</v>
      </c>
      <c r="AU36" s="30" t="b">
        <v>1</v>
      </c>
      <c r="AV36" s="30" t="b">
        <v>1</v>
      </c>
      <c r="AW36" s="30" t="b">
        <v>1</v>
      </c>
      <c r="AX36" s="30" t="b">
        <v>1</v>
      </c>
      <c r="AY36" s="30" t="b">
        <v>1</v>
      </c>
      <c r="AZ36" s="30" t="b">
        <v>1</v>
      </c>
      <c r="BA36" s="30" t="b">
        <v>1</v>
      </c>
      <c r="BB36" s="30" t="b">
        <v>1</v>
      </c>
      <c r="BC36" s="30" t="b">
        <v>1</v>
      </c>
      <c r="BD36" s="30" t="b">
        <v>1</v>
      </c>
      <c r="BE36" s="30" t="b">
        <v>1</v>
      </c>
      <c r="BF36" s="30" t="b">
        <v>1</v>
      </c>
      <c r="BG36" s="30" t="b">
        <v>1</v>
      </c>
      <c r="BH36" s="30" t="b">
        <v>1</v>
      </c>
      <c r="BI36" s="30" t="b">
        <v>1</v>
      </c>
      <c r="BJ36" s="30" t="b">
        <v>1</v>
      </c>
      <c r="BK36" s="30" t="b">
        <v>1</v>
      </c>
      <c r="BL36" s="30" t="b">
        <v>1</v>
      </c>
      <c r="BM36" s="30" t="b">
        <v>1</v>
      </c>
      <c r="BN36" s="30" t="b">
        <v>1</v>
      </c>
      <c r="BO36" s="30" t="b">
        <v>1</v>
      </c>
    </row>
    <row r="37" hidden="1" outlineLevel="1">
      <c r="A37" s="31" t="str">
        <f>A36&amp;C37</f>
        <v>MayBHUVANESHWARAN.VOT HOURS</v>
      </c>
      <c r="B37" s="32"/>
      <c r="C37" s="33" t="s">
        <v>169</v>
      </c>
      <c r="D37" s="17"/>
      <c r="E37" s="29">
        <f>SUM(F37:BO37)</f>
        <v>0</v>
      </c>
      <c r="F37" s="34"/>
      <c r="G37" s="17"/>
      <c r="H37" s="34"/>
      <c r="I37" s="17"/>
      <c r="J37" s="34"/>
      <c r="K37" s="17"/>
      <c r="L37" s="34"/>
      <c r="M37" s="17"/>
      <c r="N37" s="34"/>
      <c r="O37" s="17"/>
      <c r="P37" s="34"/>
      <c r="Q37" s="17"/>
      <c r="R37" s="34"/>
      <c r="S37" s="17"/>
      <c r="T37" s="34"/>
      <c r="U37" s="17"/>
      <c r="V37" s="34"/>
      <c r="W37" s="17"/>
      <c r="X37" s="34"/>
      <c r="Y37" s="17"/>
      <c r="Z37" s="34"/>
      <c r="AA37" s="17"/>
      <c r="AB37" s="34"/>
      <c r="AC37" s="17"/>
      <c r="AD37" s="34"/>
      <c r="AE37" s="17"/>
      <c r="AF37" s="34"/>
      <c r="AG37" s="17"/>
      <c r="AH37" s="34"/>
      <c r="AI37" s="17"/>
      <c r="AJ37" s="34"/>
      <c r="AK37" s="17"/>
      <c r="AL37" s="34"/>
      <c r="AM37" s="17"/>
      <c r="AN37" s="34"/>
      <c r="AO37" s="17"/>
      <c r="AP37" s="34"/>
      <c r="AQ37" s="17"/>
      <c r="AR37" s="34"/>
      <c r="AS37" s="17"/>
      <c r="AT37" s="34"/>
      <c r="AU37" s="17"/>
      <c r="AV37" s="34"/>
      <c r="AW37" s="17"/>
      <c r="AX37" s="34"/>
      <c r="AY37" s="17"/>
      <c r="AZ37" s="34"/>
      <c r="BA37" s="17"/>
      <c r="BB37" s="34"/>
      <c r="BC37" s="17"/>
      <c r="BD37" s="34"/>
      <c r="BE37" s="17"/>
      <c r="BF37" s="34"/>
      <c r="BG37" s="17"/>
      <c r="BH37" s="34"/>
      <c r="BI37" s="17"/>
      <c r="BJ37" s="34"/>
      <c r="BK37" s="17"/>
      <c r="BL37" s="34"/>
      <c r="BM37" s="17"/>
      <c r="BN37" s="34"/>
      <c r="BO37" s="17"/>
    </row>
    <row r="38" hidden="1" outlineLevel="1">
      <c r="A38" s="26" t="str">
        <f>B38&amp;D38</f>
        <v>MayTHIRIPURA SUNDARI.R</v>
      </c>
      <c r="B38" s="27" t="s">
        <v>16</v>
      </c>
      <c r="C38" s="27" t="s">
        <v>71</v>
      </c>
      <c r="D38" s="28" t="str">
        <f>IFERROR(VLOOKUP(C38,'Employees List'!$B$2:$E1424,4,0),"")</f>
        <v>THIRIPURA SUNDARI.R</v>
      </c>
      <c r="E38" s="29">
        <f>COUNTIF(F38:BO38,TRUE)/2</f>
        <v>31</v>
      </c>
      <c r="F38" s="30" t="b">
        <v>1</v>
      </c>
      <c r="G38" s="30" t="b">
        <v>1</v>
      </c>
      <c r="H38" s="30" t="b">
        <v>1</v>
      </c>
      <c r="I38" s="30" t="b">
        <v>1</v>
      </c>
      <c r="J38" s="30" t="b">
        <v>1</v>
      </c>
      <c r="K38" s="30" t="b">
        <v>1</v>
      </c>
      <c r="L38" s="30" t="b">
        <v>1</v>
      </c>
      <c r="M38" s="30" t="b">
        <v>1</v>
      </c>
      <c r="N38" s="30" t="b">
        <v>1</v>
      </c>
      <c r="O38" s="30" t="b">
        <v>1</v>
      </c>
      <c r="P38" s="30" t="b">
        <v>1</v>
      </c>
      <c r="Q38" s="30" t="b">
        <v>1</v>
      </c>
      <c r="R38" s="30" t="b">
        <v>1</v>
      </c>
      <c r="S38" s="30" t="b">
        <v>1</v>
      </c>
      <c r="T38" s="30" t="b">
        <v>1</v>
      </c>
      <c r="U38" s="30" t="b">
        <v>1</v>
      </c>
      <c r="V38" s="30" t="b">
        <v>1</v>
      </c>
      <c r="W38" s="30" t="b">
        <v>1</v>
      </c>
      <c r="X38" s="30" t="b">
        <v>1</v>
      </c>
      <c r="Y38" s="30" t="b">
        <v>1</v>
      </c>
      <c r="Z38" s="30" t="b">
        <v>1</v>
      </c>
      <c r="AA38" s="30" t="b">
        <v>1</v>
      </c>
      <c r="AB38" s="30" t="b">
        <v>1</v>
      </c>
      <c r="AC38" s="30" t="b">
        <v>1</v>
      </c>
      <c r="AD38" s="30" t="b">
        <v>1</v>
      </c>
      <c r="AE38" s="30" t="b">
        <v>1</v>
      </c>
      <c r="AF38" s="30" t="b">
        <v>1</v>
      </c>
      <c r="AG38" s="30" t="b">
        <v>1</v>
      </c>
      <c r="AH38" s="30" t="b">
        <v>1</v>
      </c>
      <c r="AI38" s="30" t="b">
        <v>1</v>
      </c>
      <c r="AJ38" s="30" t="b">
        <v>1</v>
      </c>
      <c r="AK38" s="30" t="b">
        <v>1</v>
      </c>
      <c r="AL38" s="30" t="b">
        <v>1</v>
      </c>
      <c r="AM38" s="30" t="b">
        <v>1</v>
      </c>
      <c r="AN38" s="30" t="b">
        <v>1</v>
      </c>
      <c r="AO38" s="30" t="b">
        <v>1</v>
      </c>
      <c r="AP38" s="30" t="b">
        <v>1</v>
      </c>
      <c r="AQ38" s="30" t="b">
        <v>1</v>
      </c>
      <c r="AR38" s="30" t="b">
        <v>1</v>
      </c>
      <c r="AS38" s="30" t="b">
        <v>1</v>
      </c>
      <c r="AT38" s="30" t="b">
        <v>1</v>
      </c>
      <c r="AU38" s="30" t="b">
        <v>1</v>
      </c>
      <c r="AV38" s="30" t="b">
        <v>1</v>
      </c>
      <c r="AW38" s="30" t="b">
        <v>1</v>
      </c>
      <c r="AX38" s="30" t="b">
        <v>1</v>
      </c>
      <c r="AY38" s="30" t="b">
        <v>1</v>
      </c>
      <c r="AZ38" s="30" t="b">
        <v>1</v>
      </c>
      <c r="BA38" s="30" t="b">
        <v>1</v>
      </c>
      <c r="BB38" s="30" t="b">
        <v>1</v>
      </c>
      <c r="BC38" s="30" t="b">
        <v>1</v>
      </c>
      <c r="BD38" s="30" t="b">
        <v>1</v>
      </c>
      <c r="BE38" s="30" t="b">
        <v>1</v>
      </c>
      <c r="BF38" s="30" t="b">
        <v>1</v>
      </c>
      <c r="BG38" s="30" t="b">
        <v>1</v>
      </c>
      <c r="BH38" s="30" t="b">
        <v>1</v>
      </c>
      <c r="BI38" s="30" t="b">
        <v>1</v>
      </c>
      <c r="BJ38" s="30" t="b">
        <v>1</v>
      </c>
      <c r="BK38" s="30" t="b">
        <v>1</v>
      </c>
      <c r="BL38" s="30" t="b">
        <v>1</v>
      </c>
      <c r="BM38" s="30" t="b">
        <v>1</v>
      </c>
      <c r="BN38" s="30" t="b">
        <v>1</v>
      </c>
      <c r="BO38" s="30" t="b">
        <v>1</v>
      </c>
    </row>
    <row r="39" hidden="1" outlineLevel="1">
      <c r="A39" s="31" t="str">
        <f>A38&amp;C39</f>
        <v>MayTHIRIPURA SUNDARI.ROT HOURS</v>
      </c>
      <c r="B39" s="32"/>
      <c r="C39" s="33" t="s">
        <v>169</v>
      </c>
      <c r="D39" s="17"/>
      <c r="E39" s="29">
        <f>SUM(F39:BO39)</f>
        <v>10</v>
      </c>
      <c r="F39" s="34"/>
      <c r="G39" s="17"/>
      <c r="H39" s="34"/>
      <c r="I39" s="17"/>
      <c r="J39" s="34"/>
      <c r="K39" s="17"/>
      <c r="L39" s="34"/>
      <c r="M39" s="17"/>
      <c r="N39" s="34">
        <v>1.0</v>
      </c>
      <c r="O39" s="17"/>
      <c r="P39" s="34">
        <v>1.0</v>
      </c>
      <c r="Q39" s="17"/>
      <c r="R39" s="34">
        <v>1.0</v>
      </c>
      <c r="S39" s="17"/>
      <c r="T39" s="34"/>
      <c r="U39" s="17"/>
      <c r="V39" s="34"/>
      <c r="W39" s="17"/>
      <c r="X39" s="34">
        <v>1.0</v>
      </c>
      <c r="Y39" s="17"/>
      <c r="Z39" s="34"/>
      <c r="AA39" s="17"/>
      <c r="AB39" s="34"/>
      <c r="AC39" s="17"/>
      <c r="AD39" s="34"/>
      <c r="AE39" s="17"/>
      <c r="AF39" s="34"/>
      <c r="AG39" s="17"/>
      <c r="AH39" s="34"/>
      <c r="AI39" s="17"/>
      <c r="AJ39" s="34"/>
      <c r="AK39" s="17"/>
      <c r="AL39" s="34">
        <v>2.0</v>
      </c>
      <c r="AM39" s="17"/>
      <c r="AN39" s="34"/>
      <c r="AO39" s="17"/>
      <c r="AP39" s="34"/>
      <c r="AQ39" s="17"/>
      <c r="AR39" s="34">
        <v>1.0</v>
      </c>
      <c r="AS39" s="17"/>
      <c r="AT39" s="34"/>
      <c r="AU39" s="17"/>
      <c r="AV39" s="34"/>
      <c r="AW39" s="17"/>
      <c r="AX39" s="34"/>
      <c r="AY39" s="17"/>
      <c r="AZ39" s="34"/>
      <c r="BA39" s="17"/>
      <c r="BB39" s="34"/>
      <c r="BC39" s="17"/>
      <c r="BD39" s="34">
        <v>1.0</v>
      </c>
      <c r="BE39" s="17"/>
      <c r="BF39" s="34">
        <v>2.0</v>
      </c>
      <c r="BG39" s="17"/>
      <c r="BH39" s="34"/>
      <c r="BI39" s="17"/>
      <c r="BJ39" s="34"/>
      <c r="BK39" s="17"/>
      <c r="BL39" s="34"/>
      <c r="BM39" s="17"/>
      <c r="BN39" s="34"/>
      <c r="BO39" s="17"/>
    </row>
    <row r="40" hidden="1" outlineLevel="1">
      <c r="A40" s="26" t="str">
        <f>B40&amp;D40</f>
        <v>MayGANESH</v>
      </c>
      <c r="B40" s="27" t="s">
        <v>16</v>
      </c>
      <c r="C40" s="27" t="s">
        <v>22</v>
      </c>
      <c r="D40" s="28" t="str">
        <f>IFERROR(VLOOKUP(C40,'Employees List'!$B$2:$E1424,4,0),"")</f>
        <v>GANESH</v>
      </c>
      <c r="E40" s="29">
        <f>COUNTIF(F40:BO40,TRUE)/2</f>
        <v>24.5</v>
      </c>
      <c r="F40" s="30" t="b">
        <v>1</v>
      </c>
      <c r="G40" s="30" t="b">
        <v>1</v>
      </c>
      <c r="H40" s="30" t="b">
        <v>1</v>
      </c>
      <c r="I40" s="30" t="b">
        <v>1</v>
      </c>
      <c r="J40" s="30" t="b">
        <v>1</v>
      </c>
      <c r="K40" s="30" t="b">
        <v>1</v>
      </c>
      <c r="L40" s="30" t="b">
        <v>1</v>
      </c>
      <c r="M40" s="30" t="b">
        <v>1</v>
      </c>
      <c r="N40" s="30" t="b">
        <v>1</v>
      </c>
      <c r="O40" s="30" t="b">
        <v>1</v>
      </c>
      <c r="P40" s="30" t="b">
        <v>1</v>
      </c>
      <c r="Q40" s="30" t="b">
        <v>1</v>
      </c>
      <c r="R40" s="30" t="b">
        <v>1</v>
      </c>
      <c r="S40" s="30" t="b">
        <v>1</v>
      </c>
      <c r="T40" s="30" t="b">
        <v>1</v>
      </c>
      <c r="U40" s="30" t="b">
        <v>1</v>
      </c>
      <c r="V40" s="30" t="b">
        <v>1</v>
      </c>
      <c r="W40" s="30" t="b">
        <v>1</v>
      </c>
      <c r="X40" s="30" t="b">
        <v>1</v>
      </c>
      <c r="Y40" s="30" t="b">
        <v>1</v>
      </c>
      <c r="Z40" s="30" t="b">
        <v>1</v>
      </c>
      <c r="AA40" s="30" t="b">
        <v>1</v>
      </c>
      <c r="AB40" s="30" t="b">
        <v>0</v>
      </c>
      <c r="AC40" s="30" t="b">
        <v>0</v>
      </c>
      <c r="AD40" s="30" t="b">
        <v>1</v>
      </c>
      <c r="AE40" s="30" t="b">
        <v>1</v>
      </c>
      <c r="AF40" s="30" t="b">
        <v>1</v>
      </c>
      <c r="AG40" s="30" t="b">
        <v>0</v>
      </c>
      <c r="AH40" s="30" t="b">
        <v>0</v>
      </c>
      <c r="AI40" s="30" t="b">
        <v>0</v>
      </c>
      <c r="AJ40" s="30" t="b">
        <v>0</v>
      </c>
      <c r="AK40" s="30" t="b">
        <v>0</v>
      </c>
      <c r="AL40" s="30" t="b">
        <v>0</v>
      </c>
      <c r="AM40" s="30" t="b">
        <v>0</v>
      </c>
      <c r="AN40" s="30" t="b">
        <v>0</v>
      </c>
      <c r="AO40" s="30" t="b">
        <v>0</v>
      </c>
      <c r="AP40" s="30" t="b">
        <v>0</v>
      </c>
      <c r="AQ40" s="30" t="b">
        <v>0</v>
      </c>
      <c r="AR40" s="30" t="b">
        <v>1</v>
      </c>
      <c r="AS40" s="30" t="b">
        <v>1</v>
      </c>
      <c r="AT40" s="30" t="b">
        <v>1</v>
      </c>
      <c r="AU40" s="30" t="b">
        <v>1</v>
      </c>
      <c r="AV40" s="30" t="b">
        <v>1</v>
      </c>
      <c r="AW40" s="30" t="b">
        <v>1</v>
      </c>
      <c r="AX40" s="30" t="b">
        <v>1</v>
      </c>
      <c r="AY40" s="30" t="b">
        <v>1</v>
      </c>
      <c r="AZ40" s="30" t="b">
        <v>1</v>
      </c>
      <c r="BA40" s="30" t="b">
        <v>1</v>
      </c>
      <c r="BB40" s="30" t="b">
        <v>1</v>
      </c>
      <c r="BC40" s="30" t="b">
        <v>1</v>
      </c>
      <c r="BD40" s="30" t="b">
        <v>1</v>
      </c>
      <c r="BE40" s="30" t="b">
        <v>1</v>
      </c>
      <c r="BF40" s="30" t="b">
        <v>1</v>
      </c>
      <c r="BG40" s="30" t="b">
        <v>1</v>
      </c>
      <c r="BH40" s="30" t="b">
        <v>1</v>
      </c>
      <c r="BI40" s="30" t="b">
        <v>1</v>
      </c>
      <c r="BJ40" s="30" t="b">
        <v>1</v>
      </c>
      <c r="BK40" s="30" t="b">
        <v>1</v>
      </c>
      <c r="BL40" s="30" t="b">
        <v>1</v>
      </c>
      <c r="BM40" s="30" t="b">
        <v>1</v>
      </c>
      <c r="BN40" s="30" t="b">
        <v>1</v>
      </c>
      <c r="BO40" s="30" t="b">
        <v>1</v>
      </c>
    </row>
    <row r="41" hidden="1" outlineLevel="1">
      <c r="A41" s="31" t="str">
        <f>A40&amp;C41</f>
        <v>MayGANESHOT HOURS</v>
      </c>
      <c r="B41" s="32"/>
      <c r="C41" s="33" t="s">
        <v>169</v>
      </c>
      <c r="D41" s="17"/>
      <c r="E41" s="29">
        <f>SUM(F41:BO41)</f>
        <v>45</v>
      </c>
      <c r="F41" s="34"/>
      <c r="G41" s="17"/>
      <c r="H41" s="34"/>
      <c r="I41" s="17"/>
      <c r="J41" s="34">
        <v>2.0</v>
      </c>
      <c r="K41" s="17"/>
      <c r="L41" s="34"/>
      <c r="M41" s="17"/>
      <c r="N41" s="34"/>
      <c r="O41" s="17"/>
      <c r="P41" s="34">
        <v>2.0</v>
      </c>
      <c r="Q41" s="17"/>
      <c r="R41" s="34"/>
      <c r="S41" s="17"/>
      <c r="T41" s="34">
        <v>4.0</v>
      </c>
      <c r="U41" s="17"/>
      <c r="V41" s="34">
        <v>3.0</v>
      </c>
      <c r="W41" s="17"/>
      <c r="X41" s="34">
        <v>2.0</v>
      </c>
      <c r="Y41" s="17"/>
      <c r="Z41" s="34"/>
      <c r="AA41" s="17"/>
      <c r="AB41" s="34"/>
      <c r="AC41" s="17"/>
      <c r="AD41" s="34">
        <v>3.0</v>
      </c>
      <c r="AE41" s="17"/>
      <c r="AF41" s="34"/>
      <c r="AG41" s="17"/>
      <c r="AH41" s="34"/>
      <c r="AI41" s="17"/>
      <c r="AJ41" s="34"/>
      <c r="AK41" s="17"/>
      <c r="AL41" s="34"/>
      <c r="AM41" s="17"/>
      <c r="AN41" s="34"/>
      <c r="AO41" s="17"/>
      <c r="AP41" s="34"/>
      <c r="AQ41" s="17"/>
      <c r="AR41" s="34">
        <v>2.0</v>
      </c>
      <c r="AS41" s="17"/>
      <c r="AT41" s="34">
        <v>4.0</v>
      </c>
      <c r="AU41" s="17"/>
      <c r="AV41" s="34">
        <v>2.0</v>
      </c>
      <c r="AW41" s="17"/>
      <c r="AX41" s="34">
        <v>2.0</v>
      </c>
      <c r="AY41" s="17"/>
      <c r="AZ41" s="34">
        <v>7.0</v>
      </c>
      <c r="BA41" s="17"/>
      <c r="BB41" s="34"/>
      <c r="BC41" s="17"/>
      <c r="BD41" s="34">
        <v>3.0</v>
      </c>
      <c r="BE41" s="17"/>
      <c r="BF41" s="34">
        <v>3.0</v>
      </c>
      <c r="BG41" s="17"/>
      <c r="BH41" s="34">
        <v>2.0</v>
      </c>
      <c r="BI41" s="17"/>
      <c r="BJ41" s="34">
        <v>2.0</v>
      </c>
      <c r="BK41" s="17"/>
      <c r="BL41" s="34"/>
      <c r="BM41" s="17"/>
      <c r="BN41" s="34">
        <v>2.0</v>
      </c>
      <c r="BO41" s="17"/>
    </row>
    <row r="42" hidden="1" outlineLevel="1">
      <c r="A42" s="26" t="str">
        <f>B42&amp;D42</f>
        <v>MayILAMATHIVANAN.S</v>
      </c>
      <c r="B42" s="27" t="s">
        <v>16</v>
      </c>
      <c r="C42" s="27" t="s">
        <v>77</v>
      </c>
      <c r="D42" s="28" t="str">
        <f>IFERROR(VLOOKUP(C42,'Employees List'!$B$2:$E1424,4,0),"")</f>
        <v>ILAMATHIVANAN.S</v>
      </c>
      <c r="E42" s="29">
        <f>COUNTIF(F42:BO42,TRUE)/2</f>
        <v>28.5</v>
      </c>
      <c r="F42" s="30" t="b">
        <v>1</v>
      </c>
      <c r="G42" s="30" t="b">
        <v>1</v>
      </c>
      <c r="H42" s="30" t="b">
        <v>1</v>
      </c>
      <c r="I42" s="30" t="b">
        <v>1</v>
      </c>
      <c r="J42" s="30" t="b">
        <v>0</v>
      </c>
      <c r="K42" s="30" t="b">
        <v>1</v>
      </c>
      <c r="L42" s="30" t="b">
        <v>1</v>
      </c>
      <c r="M42" s="30" t="b">
        <v>1</v>
      </c>
      <c r="N42" s="30" t="b">
        <v>1</v>
      </c>
      <c r="O42" s="30" t="b">
        <v>1</v>
      </c>
      <c r="P42" s="30" t="b">
        <v>1</v>
      </c>
      <c r="Q42" s="30" t="b">
        <v>1</v>
      </c>
      <c r="R42" s="30" t="b">
        <v>1</v>
      </c>
      <c r="S42" s="30" t="b">
        <v>1</v>
      </c>
      <c r="T42" s="30" t="b">
        <v>0</v>
      </c>
      <c r="U42" s="30" t="b">
        <v>0</v>
      </c>
      <c r="V42" s="30" t="b">
        <v>1</v>
      </c>
      <c r="W42" s="30" t="b">
        <v>1</v>
      </c>
      <c r="X42" s="30" t="b">
        <v>1</v>
      </c>
      <c r="Y42" s="30" t="b">
        <v>1</v>
      </c>
      <c r="Z42" s="30" t="b">
        <v>1</v>
      </c>
      <c r="AA42" s="30" t="b">
        <v>1</v>
      </c>
      <c r="AB42" s="30" t="b">
        <v>1</v>
      </c>
      <c r="AC42" s="30" t="b">
        <v>1</v>
      </c>
      <c r="AD42" s="30" t="b">
        <v>1</v>
      </c>
      <c r="AE42" s="30" t="b">
        <v>1</v>
      </c>
      <c r="AF42" s="30" t="b">
        <v>1</v>
      </c>
      <c r="AG42" s="30" t="b">
        <v>1</v>
      </c>
      <c r="AH42" s="30" t="b">
        <v>1</v>
      </c>
      <c r="AI42" s="30" t="b">
        <v>1</v>
      </c>
      <c r="AJ42" s="30" t="b">
        <v>0</v>
      </c>
      <c r="AK42" s="30" t="b">
        <v>0</v>
      </c>
      <c r="AL42" s="30" t="b">
        <v>1</v>
      </c>
      <c r="AM42" s="30" t="b">
        <v>1</v>
      </c>
      <c r="AN42" s="30" t="b">
        <v>1</v>
      </c>
      <c r="AO42" s="30" t="b">
        <v>1</v>
      </c>
      <c r="AP42" s="30" t="b">
        <v>1</v>
      </c>
      <c r="AQ42" s="30" t="b">
        <v>1</v>
      </c>
      <c r="AR42" s="30" t="b">
        <v>1</v>
      </c>
      <c r="AS42" s="30" t="b">
        <v>1</v>
      </c>
      <c r="AT42" s="30" t="b">
        <v>1</v>
      </c>
      <c r="AU42" s="30" t="b">
        <v>1</v>
      </c>
      <c r="AV42" s="30" t="b">
        <v>1</v>
      </c>
      <c r="AW42" s="30" t="b">
        <v>1</v>
      </c>
      <c r="AX42" s="30" t="b">
        <v>1</v>
      </c>
      <c r="AY42" s="30" t="b">
        <v>1</v>
      </c>
      <c r="AZ42" s="30" t="b">
        <v>1</v>
      </c>
      <c r="BA42" s="30" t="b">
        <v>1</v>
      </c>
      <c r="BB42" s="30" t="b">
        <v>1</v>
      </c>
      <c r="BC42" s="30" t="b">
        <v>1</v>
      </c>
      <c r="BD42" s="30" t="b">
        <v>1</v>
      </c>
      <c r="BE42" s="30" t="b">
        <v>1</v>
      </c>
      <c r="BF42" s="30" t="b">
        <v>1</v>
      </c>
      <c r="BG42" s="30" t="b">
        <v>1</v>
      </c>
      <c r="BH42" s="30" t="b">
        <v>1</v>
      </c>
      <c r="BI42" s="30" t="b">
        <v>1</v>
      </c>
      <c r="BJ42" s="30" t="b">
        <v>1</v>
      </c>
      <c r="BK42" s="30" t="b">
        <v>1</v>
      </c>
      <c r="BL42" s="30" t="b">
        <v>1</v>
      </c>
      <c r="BM42" s="30" t="b">
        <v>1</v>
      </c>
      <c r="BN42" s="30" t="b">
        <v>1</v>
      </c>
      <c r="BO42" s="30" t="b">
        <v>1</v>
      </c>
    </row>
    <row r="43" hidden="1" outlineLevel="1">
      <c r="A43" s="31" t="str">
        <f>A42&amp;C43</f>
        <v>MayILAMATHIVANAN.SOT HOURS</v>
      </c>
      <c r="B43" s="32"/>
      <c r="C43" s="33" t="s">
        <v>169</v>
      </c>
      <c r="D43" s="17"/>
      <c r="E43" s="29">
        <f>SUM(F43:BO43)</f>
        <v>76</v>
      </c>
      <c r="F43" s="34">
        <v>4.0</v>
      </c>
      <c r="G43" s="17"/>
      <c r="H43" s="34">
        <v>2.0</v>
      </c>
      <c r="I43" s="17"/>
      <c r="J43" s="34"/>
      <c r="K43" s="17"/>
      <c r="L43" s="34"/>
      <c r="M43" s="17"/>
      <c r="N43" s="34"/>
      <c r="O43" s="17"/>
      <c r="P43" s="34"/>
      <c r="Q43" s="17"/>
      <c r="R43" s="34">
        <v>1.0</v>
      </c>
      <c r="S43" s="17"/>
      <c r="T43" s="34"/>
      <c r="U43" s="17"/>
      <c r="V43" s="34">
        <v>4.0</v>
      </c>
      <c r="W43" s="17"/>
      <c r="X43" s="34">
        <v>5.0</v>
      </c>
      <c r="Y43" s="17"/>
      <c r="Z43" s="34"/>
      <c r="AA43" s="17"/>
      <c r="AB43" s="34">
        <v>2.0</v>
      </c>
      <c r="AC43" s="17"/>
      <c r="AD43" s="34">
        <v>4.0</v>
      </c>
      <c r="AE43" s="17"/>
      <c r="AF43" s="34">
        <v>2.0</v>
      </c>
      <c r="AG43" s="17"/>
      <c r="AH43" s="34"/>
      <c r="AI43" s="17"/>
      <c r="AJ43" s="34"/>
      <c r="AK43" s="17"/>
      <c r="AL43" s="34">
        <v>4.0</v>
      </c>
      <c r="AM43" s="17"/>
      <c r="AN43" s="34"/>
      <c r="AO43" s="17"/>
      <c r="AP43" s="34">
        <v>4.0</v>
      </c>
      <c r="AQ43" s="17"/>
      <c r="AR43" s="34">
        <v>2.0</v>
      </c>
      <c r="AS43" s="17"/>
      <c r="AT43" s="34">
        <v>5.0</v>
      </c>
      <c r="AU43" s="17"/>
      <c r="AV43" s="34">
        <v>5.0</v>
      </c>
      <c r="AW43" s="17"/>
      <c r="AX43" s="34">
        <v>4.0</v>
      </c>
      <c r="AY43" s="17"/>
      <c r="AZ43" s="34">
        <v>7.0</v>
      </c>
      <c r="BA43" s="17"/>
      <c r="BB43" s="34"/>
      <c r="BC43" s="17"/>
      <c r="BD43" s="34">
        <v>5.0</v>
      </c>
      <c r="BE43" s="17"/>
      <c r="BF43" s="34">
        <v>5.0</v>
      </c>
      <c r="BG43" s="17"/>
      <c r="BH43" s="34">
        <v>1.0</v>
      </c>
      <c r="BI43" s="17"/>
      <c r="BJ43" s="34">
        <v>4.0</v>
      </c>
      <c r="BK43" s="17"/>
      <c r="BL43" s="34">
        <v>3.0</v>
      </c>
      <c r="BM43" s="17"/>
      <c r="BN43" s="34">
        <v>3.0</v>
      </c>
      <c r="BO43" s="17"/>
    </row>
    <row r="44" hidden="1" outlineLevel="1">
      <c r="A44" s="26" t="str">
        <f>B44&amp;D44</f>
        <v>MayAMMU.S</v>
      </c>
      <c r="B44" s="27" t="s">
        <v>16</v>
      </c>
      <c r="C44" s="27" t="s">
        <v>42</v>
      </c>
      <c r="D44" s="28" t="str">
        <f>IFERROR(VLOOKUP(C44,'Employees List'!$B$2:$E1424,4,0),"")</f>
        <v>AMMU.S</v>
      </c>
      <c r="E44" s="29">
        <f>COUNTIF(F44:BO44,TRUE)/2</f>
        <v>27</v>
      </c>
      <c r="F44" s="30" t="b">
        <v>1</v>
      </c>
      <c r="G44" s="30" t="b">
        <v>1</v>
      </c>
      <c r="H44" s="30" t="b">
        <v>1</v>
      </c>
      <c r="I44" s="30" t="b">
        <v>1</v>
      </c>
      <c r="J44" s="30" t="b">
        <v>1</v>
      </c>
      <c r="K44" s="30" t="b">
        <v>1</v>
      </c>
      <c r="L44" s="30" t="b">
        <v>1</v>
      </c>
      <c r="M44" s="30" t="b">
        <v>1</v>
      </c>
      <c r="N44" s="30" t="b">
        <v>1</v>
      </c>
      <c r="O44" s="30" t="b">
        <v>1</v>
      </c>
      <c r="P44" s="30" t="b">
        <v>1</v>
      </c>
      <c r="Q44" s="30" t="b">
        <v>1</v>
      </c>
      <c r="R44" s="30" t="b">
        <v>0</v>
      </c>
      <c r="S44" s="30" t="b">
        <v>0</v>
      </c>
      <c r="T44" s="30" t="b">
        <v>0</v>
      </c>
      <c r="U44" s="30" t="b">
        <v>0</v>
      </c>
      <c r="V44" s="30" t="b">
        <v>0</v>
      </c>
      <c r="W44" s="30" t="b">
        <v>0</v>
      </c>
      <c r="X44" s="30" t="b">
        <v>0</v>
      </c>
      <c r="Y44" s="30" t="b">
        <v>0</v>
      </c>
      <c r="Z44" s="30" t="b">
        <v>1</v>
      </c>
      <c r="AA44" s="30" t="b">
        <v>1</v>
      </c>
      <c r="AB44" s="30" t="b">
        <v>1</v>
      </c>
      <c r="AC44" s="30" t="b">
        <v>1</v>
      </c>
      <c r="AD44" s="30" t="b">
        <v>1</v>
      </c>
      <c r="AE44" s="30" t="b">
        <v>1</v>
      </c>
      <c r="AF44" s="30" t="b">
        <v>1</v>
      </c>
      <c r="AG44" s="30" t="b">
        <v>1</v>
      </c>
      <c r="AH44" s="30" t="b">
        <v>1</v>
      </c>
      <c r="AI44" s="30" t="b">
        <v>1</v>
      </c>
      <c r="AJ44" s="30" t="b">
        <v>1</v>
      </c>
      <c r="AK44" s="30" t="b">
        <v>1</v>
      </c>
      <c r="AL44" s="30" t="b">
        <v>1</v>
      </c>
      <c r="AM44" s="30" t="b">
        <v>1</v>
      </c>
      <c r="AN44" s="30" t="b">
        <v>1</v>
      </c>
      <c r="AO44" s="30" t="b">
        <v>1</v>
      </c>
      <c r="AP44" s="30" t="b">
        <v>1</v>
      </c>
      <c r="AQ44" s="30" t="b">
        <v>1</v>
      </c>
      <c r="AR44" s="30" t="b">
        <v>1</v>
      </c>
      <c r="AS44" s="30" t="b">
        <v>1</v>
      </c>
      <c r="AT44" s="30" t="b">
        <v>1</v>
      </c>
      <c r="AU44" s="30" t="b">
        <v>1</v>
      </c>
      <c r="AV44" s="30" t="b">
        <v>1</v>
      </c>
      <c r="AW44" s="30" t="b">
        <v>1</v>
      </c>
      <c r="AX44" s="30" t="b">
        <v>1</v>
      </c>
      <c r="AY44" s="30" t="b">
        <v>1</v>
      </c>
      <c r="AZ44" s="30" t="b">
        <v>1</v>
      </c>
      <c r="BA44" s="30" t="b">
        <v>1</v>
      </c>
      <c r="BB44" s="30" t="b">
        <v>1</v>
      </c>
      <c r="BC44" s="30" t="b">
        <v>1</v>
      </c>
      <c r="BD44" s="30" t="b">
        <v>1</v>
      </c>
      <c r="BE44" s="30" t="b">
        <v>1</v>
      </c>
      <c r="BF44" s="30" t="b">
        <v>1</v>
      </c>
      <c r="BG44" s="30" t="b">
        <v>1</v>
      </c>
      <c r="BH44" s="30" t="b">
        <v>1</v>
      </c>
      <c r="BI44" s="30" t="b">
        <v>1</v>
      </c>
      <c r="BJ44" s="30" t="b">
        <v>1</v>
      </c>
      <c r="BK44" s="30" t="b">
        <v>1</v>
      </c>
      <c r="BL44" s="30" t="b">
        <v>1</v>
      </c>
      <c r="BM44" s="30" t="b">
        <v>1</v>
      </c>
      <c r="BN44" s="30" t="b">
        <v>1</v>
      </c>
      <c r="BO44" s="30" t="b">
        <v>1</v>
      </c>
    </row>
    <row r="45" hidden="1" outlineLevel="1">
      <c r="A45" s="31" t="str">
        <f>A44&amp;C45</f>
        <v>MayAMMU.SOT HOURS</v>
      </c>
      <c r="B45" s="32"/>
      <c r="C45" s="33" t="s">
        <v>169</v>
      </c>
      <c r="D45" s="17"/>
      <c r="E45" s="29">
        <f>SUM(F45:BO45)</f>
        <v>33</v>
      </c>
      <c r="F45" s="34"/>
      <c r="G45" s="17"/>
      <c r="H45" s="34">
        <v>2.0</v>
      </c>
      <c r="I45" s="17"/>
      <c r="J45" s="34">
        <v>2.0</v>
      </c>
      <c r="K45" s="17"/>
      <c r="L45" s="34"/>
      <c r="M45" s="17"/>
      <c r="N45" s="34">
        <v>2.0</v>
      </c>
      <c r="O45" s="17"/>
      <c r="P45" s="34"/>
      <c r="Q45" s="17"/>
      <c r="R45" s="34"/>
      <c r="S45" s="17"/>
      <c r="T45" s="34"/>
      <c r="U45" s="17"/>
      <c r="V45" s="34"/>
      <c r="W45" s="17"/>
      <c r="X45" s="34"/>
      <c r="Y45" s="17"/>
      <c r="Z45" s="34"/>
      <c r="AA45" s="17"/>
      <c r="AB45" s="34"/>
      <c r="AC45" s="17"/>
      <c r="AD45" s="34">
        <v>2.0</v>
      </c>
      <c r="AE45" s="17"/>
      <c r="AF45" s="34">
        <v>2.0</v>
      </c>
      <c r="AG45" s="17"/>
      <c r="AH45" s="34">
        <v>2.0</v>
      </c>
      <c r="AI45" s="17"/>
      <c r="AJ45" s="34"/>
      <c r="AK45" s="17"/>
      <c r="AL45" s="34">
        <v>2.0</v>
      </c>
      <c r="AM45" s="17"/>
      <c r="AN45" s="34"/>
      <c r="AO45" s="17"/>
      <c r="AP45" s="34">
        <v>2.0</v>
      </c>
      <c r="AQ45" s="17"/>
      <c r="AR45" s="34">
        <v>2.0</v>
      </c>
      <c r="AS45" s="17"/>
      <c r="AT45" s="34">
        <v>2.0</v>
      </c>
      <c r="AU45" s="17"/>
      <c r="AV45" s="34">
        <v>2.0</v>
      </c>
      <c r="AW45" s="17"/>
      <c r="AX45" s="34"/>
      <c r="AY45" s="17"/>
      <c r="AZ45" s="34">
        <v>2.0</v>
      </c>
      <c r="BA45" s="17"/>
      <c r="BB45" s="34"/>
      <c r="BC45" s="17"/>
      <c r="BD45" s="34">
        <v>2.0</v>
      </c>
      <c r="BE45" s="17"/>
      <c r="BF45" s="34">
        <v>2.0</v>
      </c>
      <c r="BG45" s="17"/>
      <c r="BH45" s="34">
        <v>1.0</v>
      </c>
      <c r="BI45" s="17"/>
      <c r="BJ45" s="34">
        <v>2.0</v>
      </c>
      <c r="BK45" s="17"/>
      <c r="BL45" s="34"/>
      <c r="BM45" s="17"/>
      <c r="BN45" s="34">
        <v>2.0</v>
      </c>
      <c r="BO45" s="17"/>
    </row>
    <row r="46" hidden="1" outlineLevel="1">
      <c r="A46" s="26" t="str">
        <f>B46&amp;D46</f>
        <v>MayREVATHI.S</v>
      </c>
      <c r="B46" s="27" t="s">
        <v>16</v>
      </c>
      <c r="C46" s="27" t="s">
        <v>46</v>
      </c>
      <c r="D46" s="28" t="str">
        <f>IFERROR(VLOOKUP(C46,'Employees List'!$B$2:$E1424,4,0),"")</f>
        <v>REVATHI.S</v>
      </c>
      <c r="E46" s="29">
        <f>COUNTIF(F46:BO46,TRUE)/2</f>
        <v>30</v>
      </c>
      <c r="F46" s="30" t="b">
        <v>1</v>
      </c>
      <c r="G46" s="30" t="b">
        <v>1</v>
      </c>
      <c r="H46" s="30" t="b">
        <v>1</v>
      </c>
      <c r="I46" s="30" t="b">
        <v>1</v>
      </c>
      <c r="J46" s="30" t="b">
        <v>1</v>
      </c>
      <c r="K46" s="30" t="b">
        <v>1</v>
      </c>
      <c r="L46" s="30" t="b">
        <v>1</v>
      </c>
      <c r="M46" s="30" t="b">
        <v>1</v>
      </c>
      <c r="N46" s="30" t="b">
        <v>0</v>
      </c>
      <c r="O46" s="30" t="b">
        <v>0</v>
      </c>
      <c r="P46" s="30" t="b">
        <v>1</v>
      </c>
      <c r="Q46" s="30" t="b">
        <v>1</v>
      </c>
      <c r="R46" s="30" t="b">
        <v>1</v>
      </c>
      <c r="S46" s="30" t="b">
        <v>1</v>
      </c>
      <c r="T46" s="30" t="b">
        <v>1</v>
      </c>
      <c r="U46" s="30" t="b">
        <v>1</v>
      </c>
      <c r="V46" s="30" t="b">
        <v>1</v>
      </c>
      <c r="W46" s="30" t="b">
        <v>1</v>
      </c>
      <c r="X46" s="30" t="b">
        <v>1</v>
      </c>
      <c r="Y46" s="30" t="b">
        <v>1</v>
      </c>
      <c r="Z46" s="30" t="b">
        <v>1</v>
      </c>
      <c r="AA46" s="30" t="b">
        <v>1</v>
      </c>
      <c r="AB46" s="30" t="b">
        <v>1</v>
      </c>
      <c r="AC46" s="30" t="b">
        <v>1</v>
      </c>
      <c r="AD46" s="30" t="b">
        <v>1</v>
      </c>
      <c r="AE46" s="30" t="b">
        <v>1</v>
      </c>
      <c r="AF46" s="30" t="b">
        <v>1</v>
      </c>
      <c r="AG46" s="30" t="b">
        <v>1</v>
      </c>
      <c r="AH46" s="30" t="b">
        <v>1</v>
      </c>
      <c r="AI46" s="30" t="b">
        <v>1</v>
      </c>
      <c r="AJ46" s="30" t="b">
        <v>1</v>
      </c>
      <c r="AK46" s="30" t="b">
        <v>1</v>
      </c>
      <c r="AL46" s="30" t="b">
        <v>1</v>
      </c>
      <c r="AM46" s="30" t="b">
        <v>1</v>
      </c>
      <c r="AN46" s="30" t="b">
        <v>1</v>
      </c>
      <c r="AO46" s="30" t="b">
        <v>1</v>
      </c>
      <c r="AP46" s="30" t="b">
        <v>1</v>
      </c>
      <c r="AQ46" s="30" t="b">
        <v>1</v>
      </c>
      <c r="AR46" s="30" t="b">
        <v>1</v>
      </c>
      <c r="AS46" s="30" t="b">
        <v>1</v>
      </c>
      <c r="AT46" s="30" t="b">
        <v>1</v>
      </c>
      <c r="AU46" s="30" t="b">
        <v>1</v>
      </c>
      <c r="AV46" s="30" t="b">
        <v>1</v>
      </c>
      <c r="AW46" s="30" t="b">
        <v>1</v>
      </c>
      <c r="AX46" s="30" t="b">
        <v>1</v>
      </c>
      <c r="AY46" s="30" t="b">
        <v>1</v>
      </c>
      <c r="AZ46" s="30" t="b">
        <v>1</v>
      </c>
      <c r="BA46" s="30" t="b">
        <v>1</v>
      </c>
      <c r="BB46" s="30" t="b">
        <v>1</v>
      </c>
      <c r="BC46" s="30" t="b">
        <v>1</v>
      </c>
      <c r="BD46" s="30" t="b">
        <v>1</v>
      </c>
      <c r="BE46" s="30" t="b">
        <v>1</v>
      </c>
      <c r="BF46" s="30" t="b">
        <v>1</v>
      </c>
      <c r="BG46" s="30" t="b">
        <v>1</v>
      </c>
      <c r="BH46" s="30" t="b">
        <v>1</v>
      </c>
      <c r="BI46" s="30" t="b">
        <v>1</v>
      </c>
      <c r="BJ46" s="30" t="b">
        <v>1</v>
      </c>
      <c r="BK46" s="30" t="b">
        <v>1</v>
      </c>
      <c r="BL46" s="30" t="b">
        <v>1</v>
      </c>
      <c r="BM46" s="30" t="b">
        <v>1</v>
      </c>
      <c r="BN46" s="30" t="b">
        <v>1</v>
      </c>
      <c r="BO46" s="30" t="b">
        <v>1</v>
      </c>
    </row>
    <row r="47" hidden="1" outlineLevel="1">
      <c r="A47" s="31" t="str">
        <f>A46&amp;C47</f>
        <v>MayREVATHI.SOT HOURS</v>
      </c>
      <c r="B47" s="32"/>
      <c r="C47" s="33" t="s">
        <v>169</v>
      </c>
      <c r="D47" s="17"/>
      <c r="E47" s="29">
        <f>SUM(F47:BO47)</f>
        <v>39</v>
      </c>
      <c r="F47" s="34"/>
      <c r="G47" s="17"/>
      <c r="H47" s="34">
        <v>2.0</v>
      </c>
      <c r="I47" s="17"/>
      <c r="J47" s="34">
        <v>2.0</v>
      </c>
      <c r="K47" s="17"/>
      <c r="L47" s="34"/>
      <c r="M47" s="17"/>
      <c r="N47" s="34"/>
      <c r="O47" s="17"/>
      <c r="P47" s="34"/>
      <c r="Q47" s="17"/>
      <c r="R47" s="34"/>
      <c r="S47" s="17"/>
      <c r="T47" s="34"/>
      <c r="U47" s="17"/>
      <c r="V47" s="34">
        <v>2.0</v>
      </c>
      <c r="W47" s="17"/>
      <c r="X47" s="34">
        <v>2.0</v>
      </c>
      <c r="Y47" s="17"/>
      <c r="Z47" s="34">
        <v>6.0</v>
      </c>
      <c r="AA47" s="17"/>
      <c r="AB47" s="34"/>
      <c r="AC47" s="17"/>
      <c r="AD47" s="34">
        <v>2.0</v>
      </c>
      <c r="AE47" s="17"/>
      <c r="AF47" s="34">
        <v>2.0</v>
      </c>
      <c r="AG47" s="17"/>
      <c r="AH47" s="34">
        <v>2.0</v>
      </c>
      <c r="AI47" s="17"/>
      <c r="AJ47" s="34"/>
      <c r="AK47" s="17"/>
      <c r="AL47" s="34">
        <v>2.0</v>
      </c>
      <c r="AM47" s="17"/>
      <c r="AN47" s="34"/>
      <c r="AO47" s="17"/>
      <c r="AP47" s="34"/>
      <c r="AQ47" s="17"/>
      <c r="AR47" s="34">
        <v>2.0</v>
      </c>
      <c r="AS47" s="17"/>
      <c r="AT47" s="34">
        <v>2.0</v>
      </c>
      <c r="AU47" s="17"/>
      <c r="AV47" s="34">
        <v>2.0</v>
      </c>
      <c r="AW47" s="17"/>
      <c r="AX47" s="34"/>
      <c r="AY47" s="17"/>
      <c r="AZ47" s="34">
        <v>2.0</v>
      </c>
      <c r="BA47" s="17"/>
      <c r="BB47" s="34"/>
      <c r="BC47" s="17"/>
      <c r="BD47" s="34">
        <v>2.0</v>
      </c>
      <c r="BE47" s="17"/>
      <c r="BF47" s="34">
        <v>2.0</v>
      </c>
      <c r="BG47" s="17"/>
      <c r="BH47" s="34">
        <v>1.0</v>
      </c>
      <c r="BI47" s="17"/>
      <c r="BJ47" s="34">
        <v>2.0</v>
      </c>
      <c r="BK47" s="17"/>
      <c r="BL47" s="34"/>
      <c r="BM47" s="17"/>
      <c r="BN47" s="34">
        <v>2.0</v>
      </c>
      <c r="BO47" s="17"/>
    </row>
    <row r="48" hidden="1" outlineLevel="1">
      <c r="A48" s="26" t="str">
        <f>B48&amp;D48</f>
        <v>MayLEELAVATHI.M</v>
      </c>
      <c r="B48" s="27" t="s">
        <v>16</v>
      </c>
      <c r="C48" s="27" t="s">
        <v>74</v>
      </c>
      <c r="D48" s="28" t="str">
        <f>IFERROR(VLOOKUP(C48,'Employees List'!$B$2:$E1424,4,0),"")</f>
        <v>LEELAVATHI.M</v>
      </c>
      <c r="E48" s="29">
        <f>COUNTIF(F48:BO48,TRUE)/2</f>
        <v>29</v>
      </c>
      <c r="F48" s="30" t="b">
        <v>1</v>
      </c>
      <c r="G48" s="30" t="b">
        <v>1</v>
      </c>
      <c r="H48" s="30" t="b">
        <v>0</v>
      </c>
      <c r="I48" s="30" t="b">
        <v>1</v>
      </c>
      <c r="J48" s="30" t="b">
        <v>1</v>
      </c>
      <c r="K48" s="30" t="b">
        <v>1</v>
      </c>
      <c r="L48" s="30" t="b">
        <v>1</v>
      </c>
      <c r="M48" s="30" t="b">
        <v>1</v>
      </c>
      <c r="N48" s="30" t="b">
        <v>1</v>
      </c>
      <c r="O48" s="30" t="b">
        <v>1</v>
      </c>
      <c r="P48" s="30" t="b">
        <v>1</v>
      </c>
      <c r="Q48" s="30" t="b">
        <v>1</v>
      </c>
      <c r="R48" s="30" t="b">
        <v>0</v>
      </c>
      <c r="S48" s="30" t="b">
        <v>1</v>
      </c>
      <c r="T48" s="30" t="b">
        <v>1</v>
      </c>
      <c r="U48" s="30" t="b">
        <v>1</v>
      </c>
      <c r="V48" s="30" t="b">
        <v>1</v>
      </c>
      <c r="W48" s="30" t="b">
        <v>1</v>
      </c>
      <c r="X48" s="30" t="b">
        <v>1</v>
      </c>
      <c r="Y48" s="30" t="b">
        <v>1</v>
      </c>
      <c r="Z48" s="30" t="b">
        <v>1</v>
      </c>
      <c r="AA48" s="30" t="b">
        <v>1</v>
      </c>
      <c r="AB48" s="30" t="b">
        <v>1</v>
      </c>
      <c r="AC48" s="30" t="b">
        <v>1</v>
      </c>
      <c r="AD48" s="30" t="b">
        <v>1</v>
      </c>
      <c r="AE48" s="30" t="b">
        <v>1</v>
      </c>
      <c r="AF48" s="30" t="b">
        <v>1</v>
      </c>
      <c r="AG48" s="30" t="b">
        <v>1</v>
      </c>
      <c r="AH48" s="30" t="b">
        <v>1</v>
      </c>
      <c r="AI48" s="30" t="b">
        <v>1</v>
      </c>
      <c r="AJ48" s="30" t="b">
        <v>1</v>
      </c>
      <c r="AK48" s="30" t="b">
        <v>1</v>
      </c>
      <c r="AL48" s="30" t="b">
        <v>1</v>
      </c>
      <c r="AM48" s="30" t="b">
        <v>1</v>
      </c>
      <c r="AN48" s="30" t="b">
        <v>1</v>
      </c>
      <c r="AO48" s="30" t="b">
        <v>1</v>
      </c>
      <c r="AP48" s="30" t="b">
        <v>1</v>
      </c>
      <c r="AQ48" s="30" t="b">
        <v>1</v>
      </c>
      <c r="AR48" s="30" t="b">
        <v>1</v>
      </c>
      <c r="AS48" s="30" t="b">
        <v>1</v>
      </c>
      <c r="AT48" s="30" t="b">
        <v>1</v>
      </c>
      <c r="AU48" s="30" t="b">
        <v>1</v>
      </c>
      <c r="AV48" s="30" t="b">
        <v>1</v>
      </c>
      <c r="AW48" s="30" t="b">
        <v>1</v>
      </c>
      <c r="AX48" s="30" t="b">
        <v>1</v>
      </c>
      <c r="AY48" s="30" t="b">
        <v>1</v>
      </c>
      <c r="AZ48" s="30" t="b">
        <v>0</v>
      </c>
      <c r="BA48" s="30" t="b">
        <v>0</v>
      </c>
      <c r="BB48" s="30" t="b">
        <v>1</v>
      </c>
      <c r="BC48" s="30" t="b">
        <v>1</v>
      </c>
      <c r="BD48" s="30" t="b">
        <v>1</v>
      </c>
      <c r="BE48" s="30" t="b">
        <v>1</v>
      </c>
      <c r="BF48" s="30" t="b">
        <v>1</v>
      </c>
      <c r="BG48" s="30" t="b">
        <v>1</v>
      </c>
      <c r="BH48" s="30" t="b">
        <v>1</v>
      </c>
      <c r="BI48" s="30" t="b">
        <v>1</v>
      </c>
      <c r="BJ48" s="30" t="b">
        <v>1</v>
      </c>
      <c r="BK48" s="30" t="b">
        <v>1</v>
      </c>
      <c r="BL48" s="30" t="b">
        <v>1</v>
      </c>
      <c r="BM48" s="30" t="b">
        <v>1</v>
      </c>
      <c r="BN48" s="30" t="b">
        <v>1</v>
      </c>
      <c r="BO48" s="30" t="b">
        <v>1</v>
      </c>
    </row>
    <row r="49" hidden="1" outlineLevel="1">
      <c r="A49" s="31" t="str">
        <f>A48&amp;C49</f>
        <v>MayLEELAVATHI.MOT HOURS</v>
      </c>
      <c r="B49" s="32"/>
      <c r="C49" s="33" t="s">
        <v>169</v>
      </c>
      <c r="D49" s="17"/>
      <c r="E49" s="29">
        <f>SUM(F49:BO49)</f>
        <v>5</v>
      </c>
      <c r="F49" s="34"/>
      <c r="G49" s="17"/>
      <c r="H49" s="34"/>
      <c r="I49" s="17"/>
      <c r="J49" s="34"/>
      <c r="K49" s="17"/>
      <c r="L49" s="34"/>
      <c r="M49" s="17"/>
      <c r="N49" s="34">
        <v>2.0</v>
      </c>
      <c r="O49" s="17"/>
      <c r="P49" s="34"/>
      <c r="Q49" s="17"/>
      <c r="R49" s="34"/>
      <c r="S49" s="17"/>
      <c r="T49" s="34">
        <v>1.0</v>
      </c>
      <c r="U49" s="17"/>
      <c r="V49" s="34"/>
      <c r="W49" s="17"/>
      <c r="X49" s="34">
        <v>1.0</v>
      </c>
      <c r="Y49" s="17"/>
      <c r="Z49" s="34"/>
      <c r="AA49" s="17"/>
      <c r="AB49" s="34"/>
      <c r="AC49" s="17"/>
      <c r="AD49" s="34"/>
      <c r="AE49" s="17"/>
      <c r="AF49" s="34"/>
      <c r="AG49" s="17"/>
      <c r="AH49" s="34"/>
      <c r="AI49" s="17"/>
      <c r="AJ49" s="34"/>
      <c r="AK49" s="17"/>
      <c r="AL49" s="34"/>
      <c r="AM49" s="17"/>
      <c r="AN49" s="34"/>
      <c r="AO49" s="17"/>
      <c r="AP49" s="34"/>
      <c r="AQ49" s="17"/>
      <c r="AR49" s="34"/>
      <c r="AS49" s="17"/>
      <c r="AT49" s="34"/>
      <c r="AU49" s="17"/>
      <c r="AV49" s="34"/>
      <c r="AW49" s="17"/>
      <c r="AX49" s="34"/>
      <c r="AY49" s="17"/>
      <c r="AZ49" s="34"/>
      <c r="BA49" s="17"/>
      <c r="BB49" s="34"/>
      <c r="BC49" s="17"/>
      <c r="BD49" s="34"/>
      <c r="BE49" s="17"/>
      <c r="BF49" s="34">
        <v>1.0</v>
      </c>
      <c r="BG49" s="17"/>
      <c r="BH49" s="34"/>
      <c r="BI49" s="17"/>
      <c r="BJ49" s="34"/>
      <c r="BK49" s="17"/>
      <c r="BL49" s="34"/>
      <c r="BM49" s="17"/>
      <c r="BN49" s="34"/>
      <c r="BO49" s="17"/>
    </row>
    <row r="50" hidden="1" outlineLevel="1">
      <c r="A50" s="26" t="str">
        <f>B50&amp;D50</f>
        <v>MaySANJAY BAGARTTI.K</v>
      </c>
      <c r="B50" s="27" t="s">
        <v>16</v>
      </c>
      <c r="C50" s="27" t="s">
        <v>34</v>
      </c>
      <c r="D50" s="28" t="str">
        <f>IFERROR(VLOOKUP(C50,'Employees List'!$B$2:$E1424,4,0),"")</f>
        <v>SANJAY BAGARTTI.K</v>
      </c>
      <c r="E50" s="29">
        <f>COUNTIF(F50:BO50,TRUE)/2</f>
        <v>31</v>
      </c>
      <c r="F50" s="30" t="b">
        <v>1</v>
      </c>
      <c r="G50" s="30" t="b">
        <v>1</v>
      </c>
      <c r="H50" s="30" t="b">
        <v>1</v>
      </c>
      <c r="I50" s="30" t="b">
        <v>1</v>
      </c>
      <c r="J50" s="30" t="b">
        <v>1</v>
      </c>
      <c r="K50" s="30" t="b">
        <v>1</v>
      </c>
      <c r="L50" s="30" t="b">
        <v>1</v>
      </c>
      <c r="M50" s="30" t="b">
        <v>1</v>
      </c>
      <c r="N50" s="30" t="b">
        <v>1</v>
      </c>
      <c r="O50" s="30" t="b">
        <v>1</v>
      </c>
      <c r="P50" s="30" t="b">
        <v>1</v>
      </c>
      <c r="Q50" s="30" t="b">
        <v>1</v>
      </c>
      <c r="R50" s="30" t="b">
        <v>1</v>
      </c>
      <c r="S50" s="30" t="b">
        <v>1</v>
      </c>
      <c r="T50" s="30" t="b">
        <v>1</v>
      </c>
      <c r="U50" s="30" t="b">
        <v>1</v>
      </c>
      <c r="V50" s="30" t="b">
        <v>1</v>
      </c>
      <c r="W50" s="30" t="b">
        <v>1</v>
      </c>
      <c r="X50" s="30" t="b">
        <v>1</v>
      </c>
      <c r="Y50" s="30" t="b">
        <v>1</v>
      </c>
      <c r="Z50" s="30" t="b">
        <v>1</v>
      </c>
      <c r="AA50" s="30" t="b">
        <v>1</v>
      </c>
      <c r="AB50" s="30" t="b">
        <v>1</v>
      </c>
      <c r="AC50" s="30" t="b">
        <v>1</v>
      </c>
      <c r="AD50" s="30" t="b">
        <v>1</v>
      </c>
      <c r="AE50" s="30" t="b">
        <v>1</v>
      </c>
      <c r="AF50" s="30" t="b">
        <v>1</v>
      </c>
      <c r="AG50" s="30" t="b">
        <v>1</v>
      </c>
      <c r="AH50" s="30" t="b">
        <v>1</v>
      </c>
      <c r="AI50" s="30" t="b">
        <v>1</v>
      </c>
      <c r="AJ50" s="30" t="b">
        <v>1</v>
      </c>
      <c r="AK50" s="30" t="b">
        <v>1</v>
      </c>
      <c r="AL50" s="30" t="b">
        <v>1</v>
      </c>
      <c r="AM50" s="30" t="b">
        <v>1</v>
      </c>
      <c r="AN50" s="30" t="b">
        <v>1</v>
      </c>
      <c r="AO50" s="30" t="b">
        <v>1</v>
      </c>
      <c r="AP50" s="30" t="b">
        <v>1</v>
      </c>
      <c r="AQ50" s="30" t="b">
        <v>1</v>
      </c>
      <c r="AR50" s="30" t="b">
        <v>1</v>
      </c>
      <c r="AS50" s="30" t="b">
        <v>1</v>
      </c>
      <c r="AT50" s="30" t="b">
        <v>1</v>
      </c>
      <c r="AU50" s="30" t="b">
        <v>1</v>
      </c>
      <c r="AV50" s="30" t="b">
        <v>1</v>
      </c>
      <c r="AW50" s="30" t="b">
        <v>1</v>
      </c>
      <c r="AX50" s="30" t="b">
        <v>1</v>
      </c>
      <c r="AY50" s="30" t="b">
        <v>1</v>
      </c>
      <c r="AZ50" s="30" t="b">
        <v>1</v>
      </c>
      <c r="BA50" s="30" t="b">
        <v>1</v>
      </c>
      <c r="BB50" s="30" t="b">
        <v>1</v>
      </c>
      <c r="BC50" s="30" t="b">
        <v>1</v>
      </c>
      <c r="BD50" s="30" t="b">
        <v>1</v>
      </c>
      <c r="BE50" s="30" t="b">
        <v>1</v>
      </c>
      <c r="BF50" s="30" t="b">
        <v>1</v>
      </c>
      <c r="BG50" s="30" t="b">
        <v>1</v>
      </c>
      <c r="BH50" s="30" t="b">
        <v>1</v>
      </c>
      <c r="BI50" s="30" t="b">
        <v>1</v>
      </c>
      <c r="BJ50" s="30" t="b">
        <v>1</v>
      </c>
      <c r="BK50" s="30" t="b">
        <v>1</v>
      </c>
      <c r="BL50" s="30" t="b">
        <v>1</v>
      </c>
      <c r="BM50" s="30" t="b">
        <v>1</v>
      </c>
      <c r="BN50" s="30" t="b">
        <v>1</v>
      </c>
      <c r="BO50" s="30" t="b">
        <v>1</v>
      </c>
    </row>
    <row r="51" hidden="1" outlineLevel="1">
      <c r="A51" s="31" t="str">
        <f>A50&amp;C51</f>
        <v>MaySANJAY BAGARTTI.KOT HOURS</v>
      </c>
      <c r="B51" s="32"/>
      <c r="C51" s="33" t="s">
        <v>169</v>
      </c>
      <c r="D51" s="17"/>
      <c r="E51" s="29">
        <f>SUM(F51:BO51)</f>
        <v>150</v>
      </c>
      <c r="F51" s="34"/>
      <c r="G51" s="17"/>
      <c r="H51" s="34">
        <v>7.0</v>
      </c>
      <c r="I51" s="17"/>
      <c r="J51" s="34">
        <v>6.0</v>
      </c>
      <c r="K51" s="17"/>
      <c r="L51" s="34"/>
      <c r="M51" s="17"/>
      <c r="N51" s="34">
        <v>2.0</v>
      </c>
      <c r="O51" s="17"/>
      <c r="P51" s="34">
        <v>5.0</v>
      </c>
      <c r="Q51" s="17"/>
      <c r="R51" s="34">
        <v>2.0</v>
      </c>
      <c r="S51" s="17"/>
      <c r="T51" s="34">
        <v>6.0</v>
      </c>
      <c r="U51" s="17"/>
      <c r="V51" s="34">
        <v>5.0</v>
      </c>
      <c r="W51" s="17"/>
      <c r="X51" s="34">
        <v>6.0</v>
      </c>
      <c r="Y51" s="17"/>
      <c r="Z51" s="34">
        <v>8.0</v>
      </c>
      <c r="AA51" s="17"/>
      <c r="AB51" s="34"/>
      <c r="AC51" s="17"/>
      <c r="AD51" s="34">
        <v>3.0</v>
      </c>
      <c r="AE51" s="17"/>
      <c r="AF51" s="34">
        <v>4.0</v>
      </c>
      <c r="AG51" s="17"/>
      <c r="AH51" s="34">
        <v>5.0</v>
      </c>
      <c r="AI51" s="17"/>
      <c r="AJ51" s="34">
        <v>5.0</v>
      </c>
      <c r="AK51" s="17"/>
      <c r="AL51" s="34">
        <v>8.0</v>
      </c>
      <c r="AM51" s="17"/>
      <c r="AN51" s="34">
        <v>8.0</v>
      </c>
      <c r="AO51" s="17"/>
      <c r="AP51" s="34">
        <v>7.0</v>
      </c>
      <c r="AQ51" s="17"/>
      <c r="AR51" s="34">
        <v>4.0</v>
      </c>
      <c r="AS51" s="17"/>
      <c r="AT51" s="34">
        <v>7.0</v>
      </c>
      <c r="AU51" s="17"/>
      <c r="AV51" s="34">
        <v>5.0</v>
      </c>
      <c r="AW51" s="17"/>
      <c r="AX51" s="34">
        <v>5.0</v>
      </c>
      <c r="AY51" s="17"/>
      <c r="AZ51" s="34">
        <v>9.0</v>
      </c>
      <c r="BA51" s="17"/>
      <c r="BB51" s="34">
        <v>6.0</v>
      </c>
      <c r="BC51" s="17"/>
      <c r="BD51" s="34">
        <v>6.0</v>
      </c>
      <c r="BE51" s="17"/>
      <c r="BF51" s="34">
        <v>7.0</v>
      </c>
      <c r="BG51" s="17"/>
      <c r="BH51" s="34">
        <v>5.0</v>
      </c>
      <c r="BI51" s="17"/>
      <c r="BJ51" s="34">
        <v>2.0</v>
      </c>
      <c r="BK51" s="17"/>
      <c r="BL51" s="34">
        <v>2.0</v>
      </c>
      <c r="BM51" s="17"/>
      <c r="BN51" s="34">
        <v>5.0</v>
      </c>
      <c r="BO51" s="17"/>
    </row>
    <row r="52" hidden="1" outlineLevel="1">
      <c r="A52" s="26" t="str">
        <f>B52&amp;D52</f>
        <v>MayADHIKARI BALIA.A</v>
      </c>
      <c r="B52" s="27" t="s">
        <v>16</v>
      </c>
      <c r="C52" s="27" t="s">
        <v>26</v>
      </c>
      <c r="D52" s="28" t="str">
        <f>IFERROR(VLOOKUP(C52,'Employees List'!$B$2:$E1424,4,0),"")</f>
        <v>ADHIKARI BALIA.A</v>
      </c>
      <c r="E52" s="29">
        <f>COUNTIF(F52:BO52,TRUE)/2</f>
        <v>31</v>
      </c>
      <c r="F52" s="30" t="b">
        <v>1</v>
      </c>
      <c r="G52" s="30" t="b">
        <v>1</v>
      </c>
      <c r="H52" s="30" t="b">
        <v>1</v>
      </c>
      <c r="I52" s="30" t="b">
        <v>1</v>
      </c>
      <c r="J52" s="30" t="b">
        <v>1</v>
      </c>
      <c r="K52" s="30" t="b">
        <v>1</v>
      </c>
      <c r="L52" s="30" t="b">
        <v>1</v>
      </c>
      <c r="M52" s="30" t="b">
        <v>1</v>
      </c>
      <c r="N52" s="30" t="b">
        <v>1</v>
      </c>
      <c r="O52" s="30" t="b">
        <v>1</v>
      </c>
      <c r="P52" s="30" t="b">
        <v>1</v>
      </c>
      <c r="Q52" s="30" t="b">
        <v>1</v>
      </c>
      <c r="R52" s="30" t="b">
        <v>1</v>
      </c>
      <c r="S52" s="30" t="b">
        <v>1</v>
      </c>
      <c r="T52" s="30" t="b">
        <v>1</v>
      </c>
      <c r="U52" s="30" t="b">
        <v>1</v>
      </c>
      <c r="V52" s="30" t="b">
        <v>1</v>
      </c>
      <c r="W52" s="30" t="b">
        <v>1</v>
      </c>
      <c r="X52" s="30" t="b">
        <v>1</v>
      </c>
      <c r="Y52" s="30" t="b">
        <v>1</v>
      </c>
      <c r="Z52" s="30" t="b">
        <v>1</v>
      </c>
      <c r="AA52" s="30" t="b">
        <v>1</v>
      </c>
      <c r="AB52" s="30" t="b">
        <v>1</v>
      </c>
      <c r="AC52" s="30" t="b">
        <v>1</v>
      </c>
      <c r="AD52" s="30" t="b">
        <v>1</v>
      </c>
      <c r="AE52" s="30" t="b">
        <v>1</v>
      </c>
      <c r="AF52" s="30" t="b">
        <v>1</v>
      </c>
      <c r="AG52" s="30" t="b">
        <v>1</v>
      </c>
      <c r="AH52" s="30" t="b">
        <v>1</v>
      </c>
      <c r="AI52" s="30" t="b">
        <v>1</v>
      </c>
      <c r="AJ52" s="30" t="b">
        <v>1</v>
      </c>
      <c r="AK52" s="30" t="b">
        <v>1</v>
      </c>
      <c r="AL52" s="30" t="b">
        <v>1</v>
      </c>
      <c r="AM52" s="30" t="b">
        <v>1</v>
      </c>
      <c r="AN52" s="30" t="b">
        <v>1</v>
      </c>
      <c r="AO52" s="30" t="b">
        <v>1</v>
      </c>
      <c r="AP52" s="30" t="b">
        <v>1</v>
      </c>
      <c r="AQ52" s="30" t="b">
        <v>1</v>
      </c>
      <c r="AR52" s="30" t="b">
        <v>1</v>
      </c>
      <c r="AS52" s="30" t="b">
        <v>1</v>
      </c>
      <c r="AT52" s="30" t="b">
        <v>1</v>
      </c>
      <c r="AU52" s="30" t="b">
        <v>1</v>
      </c>
      <c r="AV52" s="30" t="b">
        <v>1</v>
      </c>
      <c r="AW52" s="30" t="b">
        <v>1</v>
      </c>
      <c r="AX52" s="30" t="b">
        <v>1</v>
      </c>
      <c r="AY52" s="30" t="b">
        <v>1</v>
      </c>
      <c r="AZ52" s="30" t="b">
        <v>1</v>
      </c>
      <c r="BA52" s="30" t="b">
        <v>1</v>
      </c>
      <c r="BB52" s="30" t="b">
        <v>1</v>
      </c>
      <c r="BC52" s="30" t="b">
        <v>1</v>
      </c>
      <c r="BD52" s="30" t="b">
        <v>1</v>
      </c>
      <c r="BE52" s="30" t="b">
        <v>1</v>
      </c>
      <c r="BF52" s="30" t="b">
        <v>1</v>
      </c>
      <c r="BG52" s="30" t="b">
        <v>1</v>
      </c>
      <c r="BH52" s="30" t="b">
        <v>1</v>
      </c>
      <c r="BI52" s="30" t="b">
        <v>1</v>
      </c>
      <c r="BJ52" s="30" t="b">
        <v>1</v>
      </c>
      <c r="BK52" s="30" t="b">
        <v>1</v>
      </c>
      <c r="BL52" s="30" t="b">
        <v>1</v>
      </c>
      <c r="BM52" s="30" t="b">
        <v>1</v>
      </c>
      <c r="BN52" s="30" t="b">
        <v>1</v>
      </c>
      <c r="BO52" s="30" t="b">
        <v>1</v>
      </c>
    </row>
    <row r="53" hidden="1" outlineLevel="1">
      <c r="A53" s="31" t="str">
        <f>A52&amp;C53</f>
        <v>MayADHIKARI BALIA.AOT HOURS</v>
      </c>
      <c r="B53" s="32"/>
      <c r="C53" s="33" t="s">
        <v>169</v>
      </c>
      <c r="D53" s="17"/>
      <c r="E53" s="29">
        <f>SUM(F53:BO53)</f>
        <v>130</v>
      </c>
      <c r="F53" s="34"/>
      <c r="G53" s="17"/>
      <c r="H53" s="34">
        <v>7.0</v>
      </c>
      <c r="I53" s="17"/>
      <c r="J53" s="34">
        <v>6.0</v>
      </c>
      <c r="K53" s="17"/>
      <c r="L53" s="34"/>
      <c r="M53" s="17"/>
      <c r="N53" s="34">
        <v>2.0</v>
      </c>
      <c r="O53" s="17"/>
      <c r="P53" s="34">
        <v>5.0</v>
      </c>
      <c r="Q53" s="17"/>
      <c r="R53" s="34"/>
      <c r="S53" s="17"/>
      <c r="T53" s="34">
        <v>6.0</v>
      </c>
      <c r="U53" s="17"/>
      <c r="V53" s="34">
        <v>4.0</v>
      </c>
      <c r="W53" s="17"/>
      <c r="X53" s="34">
        <v>4.0</v>
      </c>
      <c r="Y53" s="17"/>
      <c r="Z53" s="34">
        <v>8.0</v>
      </c>
      <c r="AA53" s="17"/>
      <c r="AB53" s="34"/>
      <c r="AC53" s="17"/>
      <c r="AD53" s="34">
        <v>3.0</v>
      </c>
      <c r="AE53" s="17"/>
      <c r="AF53" s="34">
        <v>4.0</v>
      </c>
      <c r="AG53" s="17"/>
      <c r="AH53" s="34">
        <v>5.0</v>
      </c>
      <c r="AI53" s="17"/>
      <c r="AJ53" s="34">
        <v>5.0</v>
      </c>
      <c r="AK53" s="17"/>
      <c r="AL53" s="34">
        <v>6.0</v>
      </c>
      <c r="AM53" s="17"/>
      <c r="AN53" s="34">
        <v>6.0</v>
      </c>
      <c r="AO53" s="17"/>
      <c r="AP53" s="34">
        <v>7.0</v>
      </c>
      <c r="AQ53" s="17"/>
      <c r="AR53" s="34">
        <v>4.0</v>
      </c>
      <c r="AS53" s="17"/>
      <c r="AT53" s="34">
        <v>7.0</v>
      </c>
      <c r="AU53" s="17"/>
      <c r="AV53" s="34">
        <v>7.0</v>
      </c>
      <c r="AW53" s="17"/>
      <c r="AX53" s="34">
        <v>5.0</v>
      </c>
      <c r="AY53" s="17"/>
      <c r="AZ53" s="34">
        <v>7.0</v>
      </c>
      <c r="BA53" s="17"/>
      <c r="BB53" s="34">
        <v>4.0</v>
      </c>
      <c r="BC53" s="17"/>
      <c r="BD53" s="34">
        <v>3.0</v>
      </c>
      <c r="BE53" s="17"/>
      <c r="BF53" s="34">
        <v>2.0</v>
      </c>
      <c r="BG53" s="17"/>
      <c r="BH53" s="34">
        <v>4.0</v>
      </c>
      <c r="BI53" s="17"/>
      <c r="BJ53" s="34">
        <v>2.0</v>
      </c>
      <c r="BK53" s="17"/>
      <c r="BL53" s="34">
        <v>2.0</v>
      </c>
      <c r="BM53" s="17"/>
      <c r="BN53" s="34">
        <v>5.0</v>
      </c>
      <c r="BO53" s="17"/>
    </row>
    <row r="54" hidden="1" outlineLevel="1">
      <c r="A54" s="26" t="str">
        <f>B54&amp;D54</f>
        <v>MayRUPESH KISAN</v>
      </c>
      <c r="B54" s="27" t="s">
        <v>16</v>
      </c>
      <c r="C54" s="27" t="s">
        <v>30</v>
      </c>
      <c r="D54" s="28" t="str">
        <f>IFERROR(VLOOKUP(C54,'Employees List'!$B$2:$E1424,4,0),"")</f>
        <v>RUPESH KISAN</v>
      </c>
      <c r="E54" s="29">
        <f>COUNTIF(F54:BO54,TRUE)/2</f>
        <v>31</v>
      </c>
      <c r="F54" s="30" t="b">
        <v>1</v>
      </c>
      <c r="G54" s="30" t="b">
        <v>1</v>
      </c>
      <c r="H54" s="30" t="b">
        <v>1</v>
      </c>
      <c r="I54" s="30" t="b">
        <v>1</v>
      </c>
      <c r="J54" s="30" t="b">
        <v>1</v>
      </c>
      <c r="K54" s="30" t="b">
        <v>1</v>
      </c>
      <c r="L54" s="30" t="b">
        <v>1</v>
      </c>
      <c r="M54" s="30" t="b">
        <v>1</v>
      </c>
      <c r="N54" s="30" t="b">
        <v>1</v>
      </c>
      <c r="O54" s="30" t="b">
        <v>1</v>
      </c>
      <c r="P54" s="30" t="b">
        <v>1</v>
      </c>
      <c r="Q54" s="30" t="b">
        <v>1</v>
      </c>
      <c r="R54" s="30" t="b">
        <v>1</v>
      </c>
      <c r="S54" s="30" t="b">
        <v>1</v>
      </c>
      <c r="T54" s="30" t="b">
        <v>1</v>
      </c>
      <c r="U54" s="30" t="b">
        <v>1</v>
      </c>
      <c r="V54" s="30" t="b">
        <v>1</v>
      </c>
      <c r="W54" s="30" t="b">
        <v>1</v>
      </c>
      <c r="X54" s="30" t="b">
        <v>1</v>
      </c>
      <c r="Y54" s="30" t="b">
        <v>1</v>
      </c>
      <c r="Z54" s="30" t="b">
        <v>1</v>
      </c>
      <c r="AA54" s="30" t="b">
        <v>1</v>
      </c>
      <c r="AB54" s="30" t="b">
        <v>1</v>
      </c>
      <c r="AC54" s="30" t="b">
        <v>1</v>
      </c>
      <c r="AD54" s="30" t="b">
        <v>1</v>
      </c>
      <c r="AE54" s="30" t="b">
        <v>1</v>
      </c>
      <c r="AF54" s="30" t="b">
        <v>1</v>
      </c>
      <c r="AG54" s="30" t="b">
        <v>1</v>
      </c>
      <c r="AH54" s="30" t="b">
        <v>1</v>
      </c>
      <c r="AI54" s="30" t="b">
        <v>1</v>
      </c>
      <c r="AJ54" s="30" t="b">
        <v>1</v>
      </c>
      <c r="AK54" s="30" t="b">
        <v>1</v>
      </c>
      <c r="AL54" s="30" t="b">
        <v>1</v>
      </c>
      <c r="AM54" s="30" t="b">
        <v>1</v>
      </c>
      <c r="AN54" s="30" t="b">
        <v>1</v>
      </c>
      <c r="AO54" s="30" t="b">
        <v>1</v>
      </c>
      <c r="AP54" s="30" t="b">
        <v>1</v>
      </c>
      <c r="AQ54" s="30" t="b">
        <v>1</v>
      </c>
      <c r="AR54" s="30" t="b">
        <v>1</v>
      </c>
      <c r="AS54" s="30" t="b">
        <v>1</v>
      </c>
      <c r="AT54" s="30" t="b">
        <v>1</v>
      </c>
      <c r="AU54" s="30" t="b">
        <v>1</v>
      </c>
      <c r="AV54" s="30" t="b">
        <v>1</v>
      </c>
      <c r="AW54" s="30" t="b">
        <v>1</v>
      </c>
      <c r="AX54" s="30" t="b">
        <v>1</v>
      </c>
      <c r="AY54" s="30" t="b">
        <v>1</v>
      </c>
      <c r="AZ54" s="30" t="b">
        <v>1</v>
      </c>
      <c r="BA54" s="30" t="b">
        <v>1</v>
      </c>
      <c r="BB54" s="30" t="b">
        <v>1</v>
      </c>
      <c r="BC54" s="30" t="b">
        <v>1</v>
      </c>
      <c r="BD54" s="30" t="b">
        <v>1</v>
      </c>
      <c r="BE54" s="30" t="b">
        <v>1</v>
      </c>
      <c r="BF54" s="30" t="b">
        <v>1</v>
      </c>
      <c r="BG54" s="30" t="b">
        <v>1</v>
      </c>
      <c r="BH54" s="30" t="b">
        <v>1</v>
      </c>
      <c r="BI54" s="30" t="b">
        <v>1</v>
      </c>
      <c r="BJ54" s="30" t="b">
        <v>1</v>
      </c>
      <c r="BK54" s="30" t="b">
        <v>1</v>
      </c>
      <c r="BL54" s="30" t="b">
        <v>1</v>
      </c>
      <c r="BM54" s="30" t="b">
        <v>1</v>
      </c>
      <c r="BN54" s="30" t="b">
        <v>1</v>
      </c>
      <c r="BO54" s="30" t="b">
        <v>1</v>
      </c>
    </row>
    <row r="55" hidden="1" outlineLevel="1">
      <c r="A55" s="31" t="str">
        <f>A54&amp;C55</f>
        <v>MayRUPESH KISANOT HOURS</v>
      </c>
      <c r="B55" s="32"/>
      <c r="C55" s="33" t="s">
        <v>169</v>
      </c>
      <c r="D55" s="17"/>
      <c r="E55" s="29">
        <f>SUM(F55:BO55)</f>
        <v>131</v>
      </c>
      <c r="F55" s="34"/>
      <c r="G55" s="17"/>
      <c r="H55" s="34">
        <v>4.0</v>
      </c>
      <c r="I55" s="17"/>
      <c r="J55" s="34">
        <v>4.0</v>
      </c>
      <c r="K55" s="17"/>
      <c r="L55" s="34"/>
      <c r="M55" s="17"/>
      <c r="N55" s="34">
        <v>2.0</v>
      </c>
      <c r="O55" s="17"/>
      <c r="P55" s="34">
        <v>4.0</v>
      </c>
      <c r="Q55" s="17"/>
      <c r="R55" s="34">
        <v>2.0</v>
      </c>
      <c r="S55" s="17"/>
      <c r="T55" s="34">
        <v>4.0</v>
      </c>
      <c r="U55" s="17"/>
      <c r="V55" s="34">
        <v>4.0</v>
      </c>
      <c r="W55" s="17"/>
      <c r="X55" s="34">
        <v>4.0</v>
      </c>
      <c r="Y55" s="17"/>
      <c r="Z55" s="34">
        <v>8.0</v>
      </c>
      <c r="AA55" s="17"/>
      <c r="AB55" s="34">
        <v>3.0</v>
      </c>
      <c r="AC55" s="17"/>
      <c r="AD55" s="34">
        <v>5.0</v>
      </c>
      <c r="AE55" s="17"/>
      <c r="AF55" s="34">
        <v>4.0</v>
      </c>
      <c r="AG55" s="17"/>
      <c r="AH55" s="34">
        <v>8.0</v>
      </c>
      <c r="AI55" s="17"/>
      <c r="AJ55" s="34">
        <v>5.0</v>
      </c>
      <c r="AK55" s="17"/>
      <c r="AL55" s="34">
        <v>4.0</v>
      </c>
      <c r="AM55" s="17"/>
      <c r="AN55" s="34">
        <v>6.0</v>
      </c>
      <c r="AO55" s="17"/>
      <c r="AP55" s="34">
        <v>4.0</v>
      </c>
      <c r="AQ55" s="17"/>
      <c r="AR55" s="34">
        <v>3.0</v>
      </c>
      <c r="AS55" s="17"/>
      <c r="AT55" s="34">
        <v>6.0</v>
      </c>
      <c r="AU55" s="17"/>
      <c r="AV55" s="34">
        <v>7.0</v>
      </c>
      <c r="AW55" s="17"/>
      <c r="AX55" s="34">
        <v>4.0</v>
      </c>
      <c r="AY55" s="17"/>
      <c r="AZ55" s="34">
        <v>9.0</v>
      </c>
      <c r="BA55" s="17"/>
      <c r="BB55" s="34">
        <v>6.0</v>
      </c>
      <c r="BC55" s="17"/>
      <c r="BD55" s="34">
        <v>3.0</v>
      </c>
      <c r="BE55" s="17"/>
      <c r="BF55" s="34">
        <v>5.0</v>
      </c>
      <c r="BG55" s="17"/>
      <c r="BH55" s="34">
        <v>6.0</v>
      </c>
      <c r="BI55" s="17"/>
      <c r="BJ55" s="34">
        <v>2.0</v>
      </c>
      <c r="BK55" s="17"/>
      <c r="BL55" s="34">
        <v>2.0</v>
      </c>
      <c r="BM55" s="17"/>
      <c r="BN55" s="34">
        <v>3.0</v>
      </c>
      <c r="BO55" s="17"/>
    </row>
    <row r="56" hidden="1" outlineLevel="1">
      <c r="A56" s="26" t="str">
        <f>B56&amp;D56</f>
        <v>MayLIPAN</v>
      </c>
      <c r="B56" s="27" t="s">
        <v>16</v>
      </c>
      <c r="C56" s="27" t="s">
        <v>87</v>
      </c>
      <c r="D56" s="28" t="str">
        <f>IFERROR(VLOOKUP(C56,'Employees List'!$B$2:$E1424,4,0),"")</f>
        <v>LIPAN</v>
      </c>
      <c r="E56" s="29">
        <f>COUNTIF(F56:BO56,TRUE)/2</f>
        <v>30</v>
      </c>
      <c r="F56" s="30" t="b">
        <v>1</v>
      </c>
      <c r="G56" s="30" t="b">
        <v>1</v>
      </c>
      <c r="H56" s="30" t="b">
        <v>1</v>
      </c>
      <c r="I56" s="30" t="b">
        <v>1</v>
      </c>
      <c r="J56" s="30" t="b">
        <v>1</v>
      </c>
      <c r="K56" s="30" t="b">
        <v>1</v>
      </c>
      <c r="L56" s="30" t="b">
        <v>1</v>
      </c>
      <c r="M56" s="30" t="b">
        <v>1</v>
      </c>
      <c r="N56" s="30" t="b">
        <v>1</v>
      </c>
      <c r="O56" s="30" t="b">
        <v>1</v>
      </c>
      <c r="P56" s="30" t="b">
        <v>1</v>
      </c>
      <c r="Q56" s="30" t="b">
        <v>1</v>
      </c>
      <c r="R56" s="30" t="b">
        <v>1</v>
      </c>
      <c r="S56" s="30" t="b">
        <v>1</v>
      </c>
      <c r="T56" s="30" t="b">
        <v>1</v>
      </c>
      <c r="U56" s="30" t="b">
        <v>1</v>
      </c>
      <c r="V56" s="30" t="b">
        <v>1</v>
      </c>
      <c r="W56" s="30" t="b">
        <v>1</v>
      </c>
      <c r="X56" s="30" t="b">
        <v>1</v>
      </c>
      <c r="Y56" s="30" t="b">
        <v>1</v>
      </c>
      <c r="Z56" s="30" t="b">
        <v>1</v>
      </c>
      <c r="AA56" s="30" t="b">
        <v>1</v>
      </c>
      <c r="AB56" s="30" t="b">
        <v>1</v>
      </c>
      <c r="AC56" s="30" t="b">
        <v>1</v>
      </c>
      <c r="AD56" s="30" t="b">
        <v>1</v>
      </c>
      <c r="AE56" s="30" t="b">
        <v>1</v>
      </c>
      <c r="AF56" s="30" t="b">
        <v>1</v>
      </c>
      <c r="AG56" s="30" t="b">
        <v>1</v>
      </c>
      <c r="AH56" s="30" t="b">
        <v>1</v>
      </c>
      <c r="AI56" s="30" t="b">
        <v>1</v>
      </c>
      <c r="AJ56" s="30" t="b">
        <v>1</v>
      </c>
      <c r="AK56" s="30" t="b">
        <v>1</v>
      </c>
      <c r="AL56" s="30" t="b">
        <v>1</v>
      </c>
      <c r="AM56" s="30" t="b">
        <v>1</v>
      </c>
      <c r="AN56" s="30" t="b">
        <v>1</v>
      </c>
      <c r="AO56" s="30" t="b">
        <v>1</v>
      </c>
      <c r="AP56" s="30" t="b">
        <v>1</v>
      </c>
      <c r="AQ56" s="30" t="b">
        <v>1</v>
      </c>
      <c r="AR56" s="30" t="b">
        <v>1</v>
      </c>
      <c r="AS56" s="30" t="b">
        <v>1</v>
      </c>
      <c r="AT56" s="30" t="b">
        <v>1</v>
      </c>
      <c r="AU56" s="30" t="b">
        <v>1</v>
      </c>
      <c r="AV56" s="30" t="b">
        <v>1</v>
      </c>
      <c r="AW56" s="30" t="b">
        <v>1</v>
      </c>
      <c r="AX56" s="30" t="b">
        <v>1</v>
      </c>
      <c r="AY56" s="30" t="b">
        <v>1</v>
      </c>
      <c r="AZ56" s="30" t="b">
        <v>1</v>
      </c>
      <c r="BA56" s="30" t="b">
        <v>1</v>
      </c>
      <c r="BB56" s="30" t="b">
        <v>1</v>
      </c>
      <c r="BC56" s="30" t="b">
        <v>1</v>
      </c>
      <c r="BD56" s="30" t="b">
        <v>1</v>
      </c>
      <c r="BE56" s="30" t="b">
        <v>1</v>
      </c>
      <c r="BF56" s="30" t="b">
        <v>1</v>
      </c>
      <c r="BG56" s="30" t="b">
        <v>1</v>
      </c>
      <c r="BH56" s="30" t="b">
        <v>0</v>
      </c>
      <c r="BI56" s="30" t="b">
        <v>0</v>
      </c>
      <c r="BJ56" s="30" t="b">
        <v>1</v>
      </c>
      <c r="BK56" s="30" t="b">
        <v>1</v>
      </c>
      <c r="BL56" s="30" t="b">
        <v>1</v>
      </c>
      <c r="BM56" s="30" t="b">
        <v>1</v>
      </c>
      <c r="BN56" s="30" t="b">
        <v>1</v>
      </c>
      <c r="BO56" s="30" t="b">
        <v>1</v>
      </c>
    </row>
    <row r="57" hidden="1" outlineLevel="1">
      <c r="A57" s="31" t="str">
        <f>A56&amp;C57</f>
        <v>MayLIPANOT HOURS</v>
      </c>
      <c r="B57" s="32"/>
      <c r="C57" s="33" t="s">
        <v>169</v>
      </c>
      <c r="D57" s="17"/>
      <c r="E57" s="29">
        <f>SUM(F57:BO57)</f>
        <v>135</v>
      </c>
      <c r="F57" s="34"/>
      <c r="G57" s="17"/>
      <c r="H57" s="34">
        <v>7.0</v>
      </c>
      <c r="I57" s="17"/>
      <c r="J57" s="34">
        <v>6.0</v>
      </c>
      <c r="K57" s="17"/>
      <c r="L57" s="34"/>
      <c r="M57" s="17"/>
      <c r="N57" s="34"/>
      <c r="O57" s="17"/>
      <c r="P57" s="34">
        <v>4.0</v>
      </c>
      <c r="Q57" s="17"/>
      <c r="R57" s="34">
        <v>2.0</v>
      </c>
      <c r="S57" s="17"/>
      <c r="T57" s="34">
        <v>6.0</v>
      </c>
      <c r="U57" s="17"/>
      <c r="V57" s="34">
        <v>4.0</v>
      </c>
      <c r="W57" s="17"/>
      <c r="X57" s="34">
        <v>6.0</v>
      </c>
      <c r="Y57" s="17"/>
      <c r="Z57" s="34">
        <v>8.0</v>
      </c>
      <c r="AA57" s="17"/>
      <c r="AB57" s="34"/>
      <c r="AC57" s="17"/>
      <c r="AD57" s="34">
        <v>3.0</v>
      </c>
      <c r="AE57" s="17"/>
      <c r="AF57" s="34">
        <v>4.0</v>
      </c>
      <c r="AG57" s="17"/>
      <c r="AH57" s="34">
        <v>5.0</v>
      </c>
      <c r="AI57" s="17"/>
      <c r="AJ57" s="34">
        <v>5.0</v>
      </c>
      <c r="AK57" s="17"/>
      <c r="AL57" s="34">
        <v>8.0</v>
      </c>
      <c r="AM57" s="17"/>
      <c r="AN57" s="34">
        <v>8.0</v>
      </c>
      <c r="AO57" s="17"/>
      <c r="AP57" s="34">
        <v>4.0</v>
      </c>
      <c r="AQ57" s="17"/>
      <c r="AR57" s="34">
        <v>2.0</v>
      </c>
      <c r="AS57" s="17"/>
      <c r="AT57" s="34">
        <v>6.0</v>
      </c>
      <c r="AU57" s="17"/>
      <c r="AV57" s="34">
        <v>7.0</v>
      </c>
      <c r="AW57" s="17"/>
      <c r="AX57" s="34">
        <v>5.0</v>
      </c>
      <c r="AY57" s="17"/>
      <c r="AZ57" s="34">
        <v>7.0</v>
      </c>
      <c r="BA57" s="17"/>
      <c r="BB57" s="34">
        <v>4.0</v>
      </c>
      <c r="BC57" s="17"/>
      <c r="BD57" s="34">
        <v>6.0</v>
      </c>
      <c r="BE57" s="17"/>
      <c r="BF57" s="34">
        <v>7.0</v>
      </c>
      <c r="BG57" s="17"/>
      <c r="BH57" s="34"/>
      <c r="BI57" s="17"/>
      <c r="BJ57" s="34">
        <v>2.0</v>
      </c>
      <c r="BK57" s="17"/>
      <c r="BL57" s="34">
        <v>4.0</v>
      </c>
      <c r="BM57" s="17"/>
      <c r="BN57" s="34">
        <v>5.0</v>
      </c>
      <c r="BO57" s="17"/>
    </row>
    <row r="58" hidden="1" outlineLevel="1">
      <c r="A58" s="26" t="str">
        <f>B58&amp;D58</f>
        <v>MayNILAMANI KISAN.B</v>
      </c>
      <c r="B58" s="27" t="s">
        <v>16</v>
      </c>
      <c r="C58" s="27" t="s">
        <v>92</v>
      </c>
      <c r="D58" s="28" t="str">
        <f>IFERROR(VLOOKUP(C58,'Employees List'!$B$2:$E1424,4,0),"")</f>
        <v>NILAMANI KISAN.B</v>
      </c>
      <c r="E58" s="29">
        <f>COUNTIF(F58:BO58,TRUE)/2</f>
        <v>29</v>
      </c>
      <c r="F58" s="30" t="b">
        <v>1</v>
      </c>
      <c r="G58" s="30" t="b">
        <v>1</v>
      </c>
      <c r="H58" s="30" t="b">
        <v>1</v>
      </c>
      <c r="I58" s="30" t="b">
        <v>1</v>
      </c>
      <c r="J58" s="30" t="b">
        <v>1</v>
      </c>
      <c r="K58" s="30" t="b">
        <v>1</v>
      </c>
      <c r="L58" s="30" t="b">
        <v>1</v>
      </c>
      <c r="M58" s="30" t="b">
        <v>1</v>
      </c>
      <c r="N58" s="30" t="b">
        <v>1</v>
      </c>
      <c r="O58" s="30" t="b">
        <v>1</v>
      </c>
      <c r="P58" s="30" t="b">
        <v>1</v>
      </c>
      <c r="Q58" s="30" t="b">
        <v>1</v>
      </c>
      <c r="R58" s="30" t="b">
        <v>1</v>
      </c>
      <c r="S58" s="30" t="b">
        <v>1</v>
      </c>
      <c r="T58" s="30" t="b">
        <v>1</v>
      </c>
      <c r="U58" s="30" t="b">
        <v>1</v>
      </c>
      <c r="V58" s="30" t="b">
        <v>1</v>
      </c>
      <c r="W58" s="30" t="b">
        <v>1</v>
      </c>
      <c r="X58" s="30" t="b">
        <v>1</v>
      </c>
      <c r="Y58" s="30" t="b">
        <v>1</v>
      </c>
      <c r="Z58" s="30" t="b">
        <v>1</v>
      </c>
      <c r="AA58" s="30" t="b">
        <v>1</v>
      </c>
      <c r="AB58" s="30" t="b">
        <v>1</v>
      </c>
      <c r="AC58" s="30" t="b">
        <v>1</v>
      </c>
      <c r="AD58" s="30" t="b">
        <v>1</v>
      </c>
      <c r="AE58" s="30" t="b">
        <v>1</v>
      </c>
      <c r="AF58" s="30" t="b">
        <v>0</v>
      </c>
      <c r="AG58" s="30" t="b">
        <v>0</v>
      </c>
      <c r="AH58" s="30" t="b">
        <v>0</v>
      </c>
      <c r="AI58" s="30" t="b">
        <v>0</v>
      </c>
      <c r="AJ58" s="30" t="b">
        <v>1</v>
      </c>
      <c r="AK58" s="30" t="b">
        <v>1</v>
      </c>
      <c r="AL58" s="30" t="b">
        <v>1</v>
      </c>
      <c r="AM58" s="30" t="b">
        <v>1</v>
      </c>
      <c r="AN58" s="30" t="b">
        <v>1</v>
      </c>
      <c r="AO58" s="30" t="b">
        <v>1</v>
      </c>
      <c r="AP58" s="30" t="b">
        <v>1</v>
      </c>
      <c r="AQ58" s="30" t="b">
        <v>1</v>
      </c>
      <c r="AR58" s="30" t="b">
        <v>1</v>
      </c>
      <c r="AS58" s="30" t="b">
        <v>1</v>
      </c>
      <c r="AT58" s="30" t="b">
        <v>1</v>
      </c>
      <c r="AU58" s="30" t="b">
        <v>1</v>
      </c>
      <c r="AV58" s="30" t="b">
        <v>1</v>
      </c>
      <c r="AW58" s="30" t="b">
        <v>1</v>
      </c>
      <c r="AX58" s="30" t="b">
        <v>1</v>
      </c>
      <c r="AY58" s="30" t="b">
        <v>1</v>
      </c>
      <c r="AZ58" s="30" t="b">
        <v>1</v>
      </c>
      <c r="BA58" s="30" t="b">
        <v>1</v>
      </c>
      <c r="BB58" s="30" t="b">
        <v>1</v>
      </c>
      <c r="BC58" s="30" t="b">
        <v>1</v>
      </c>
      <c r="BD58" s="30" t="b">
        <v>1</v>
      </c>
      <c r="BE58" s="30" t="b">
        <v>1</v>
      </c>
      <c r="BF58" s="30" t="b">
        <v>1</v>
      </c>
      <c r="BG58" s="30" t="b">
        <v>1</v>
      </c>
      <c r="BH58" s="30" t="b">
        <v>1</v>
      </c>
      <c r="BI58" s="30" t="b">
        <v>1</v>
      </c>
      <c r="BJ58" s="30" t="b">
        <v>1</v>
      </c>
      <c r="BK58" s="30" t="b">
        <v>1</v>
      </c>
      <c r="BL58" s="30" t="b">
        <v>1</v>
      </c>
      <c r="BM58" s="30" t="b">
        <v>1</v>
      </c>
      <c r="BN58" s="30" t="b">
        <v>1</v>
      </c>
      <c r="BO58" s="30" t="b">
        <v>1</v>
      </c>
    </row>
    <row r="59" hidden="1" outlineLevel="1">
      <c r="A59" s="31" t="str">
        <f>A58&amp;C59</f>
        <v>MayNILAMANI KISAN.BOT HOURS</v>
      </c>
      <c r="B59" s="32"/>
      <c r="C59" s="33" t="s">
        <v>169</v>
      </c>
      <c r="D59" s="17"/>
      <c r="E59" s="29">
        <f>SUM(F59:BO59)</f>
        <v>101</v>
      </c>
      <c r="F59" s="34"/>
      <c r="G59" s="17"/>
      <c r="H59" s="34">
        <v>2.0</v>
      </c>
      <c r="I59" s="17"/>
      <c r="J59" s="34">
        <v>4.0</v>
      </c>
      <c r="K59" s="17"/>
      <c r="L59" s="34"/>
      <c r="M59" s="17"/>
      <c r="N59" s="34">
        <v>2.0</v>
      </c>
      <c r="O59" s="17"/>
      <c r="P59" s="34">
        <v>2.0</v>
      </c>
      <c r="Q59" s="17"/>
      <c r="R59" s="34"/>
      <c r="S59" s="17"/>
      <c r="T59" s="34">
        <v>4.0</v>
      </c>
      <c r="U59" s="17"/>
      <c r="V59" s="34">
        <v>3.0</v>
      </c>
      <c r="W59" s="17"/>
      <c r="X59" s="34">
        <v>2.0</v>
      </c>
      <c r="Y59" s="17"/>
      <c r="Z59" s="34">
        <v>8.0</v>
      </c>
      <c r="AA59" s="17"/>
      <c r="AB59" s="34"/>
      <c r="AC59" s="17"/>
      <c r="AD59" s="34">
        <v>3.0</v>
      </c>
      <c r="AE59" s="17"/>
      <c r="AF59" s="34"/>
      <c r="AG59" s="17"/>
      <c r="AH59" s="34"/>
      <c r="AI59" s="17"/>
      <c r="AJ59" s="34">
        <v>5.0</v>
      </c>
      <c r="AK59" s="17"/>
      <c r="AL59" s="34">
        <v>4.0</v>
      </c>
      <c r="AM59" s="17"/>
      <c r="AN59" s="34">
        <v>6.0</v>
      </c>
      <c r="AO59" s="17"/>
      <c r="AP59" s="34">
        <v>4.0</v>
      </c>
      <c r="AQ59" s="17"/>
      <c r="AR59" s="34">
        <v>3.0</v>
      </c>
      <c r="AS59" s="17"/>
      <c r="AT59" s="34">
        <v>4.0</v>
      </c>
      <c r="AU59" s="17"/>
      <c r="AV59" s="34">
        <v>7.0</v>
      </c>
      <c r="AW59" s="17"/>
      <c r="AX59" s="34">
        <v>4.0</v>
      </c>
      <c r="AY59" s="17"/>
      <c r="AZ59" s="34">
        <v>7.0</v>
      </c>
      <c r="BA59" s="17"/>
      <c r="BB59" s="34">
        <v>4.0</v>
      </c>
      <c r="BC59" s="17"/>
      <c r="BD59" s="34">
        <v>2.0</v>
      </c>
      <c r="BE59" s="17"/>
      <c r="BF59" s="34">
        <v>8.0</v>
      </c>
      <c r="BG59" s="17"/>
      <c r="BH59" s="34">
        <v>2.0</v>
      </c>
      <c r="BI59" s="17"/>
      <c r="BJ59" s="34">
        <v>5.0</v>
      </c>
      <c r="BK59" s="17"/>
      <c r="BL59" s="34">
        <v>4.0</v>
      </c>
      <c r="BM59" s="17"/>
      <c r="BN59" s="34">
        <v>2.0</v>
      </c>
      <c r="BO59" s="17"/>
    </row>
    <row r="60" collapsed="1">
      <c r="A60" s="14"/>
      <c r="B60" s="15"/>
      <c r="C60" s="20">
        <v>45809.0</v>
      </c>
      <c r="D60" s="17"/>
      <c r="E60" s="18"/>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row>
    <row r="61" hidden="1" outlineLevel="1">
      <c r="A61" s="22"/>
      <c r="B61" s="23"/>
      <c r="C61" s="24" t="s">
        <v>1</v>
      </c>
      <c r="D61" s="24" t="s">
        <v>4</v>
      </c>
      <c r="E61" s="25" t="s">
        <v>166</v>
      </c>
      <c r="F61" s="24" t="s">
        <v>167</v>
      </c>
      <c r="G61" s="24" t="s">
        <v>168</v>
      </c>
      <c r="H61" s="24" t="s">
        <v>167</v>
      </c>
      <c r="I61" s="24" t="s">
        <v>168</v>
      </c>
      <c r="J61" s="24" t="s">
        <v>167</v>
      </c>
      <c r="K61" s="24" t="s">
        <v>168</v>
      </c>
      <c r="L61" s="24" t="s">
        <v>167</v>
      </c>
      <c r="M61" s="24" t="s">
        <v>168</v>
      </c>
      <c r="N61" s="24" t="s">
        <v>167</v>
      </c>
      <c r="O61" s="24" t="s">
        <v>168</v>
      </c>
      <c r="P61" s="24" t="s">
        <v>167</v>
      </c>
      <c r="Q61" s="24" t="s">
        <v>168</v>
      </c>
      <c r="R61" s="24" t="s">
        <v>167</v>
      </c>
      <c r="S61" s="24" t="s">
        <v>168</v>
      </c>
      <c r="T61" s="24" t="s">
        <v>167</v>
      </c>
      <c r="U61" s="24" t="s">
        <v>168</v>
      </c>
      <c r="V61" s="24" t="s">
        <v>167</v>
      </c>
      <c r="W61" s="24" t="s">
        <v>168</v>
      </c>
      <c r="X61" s="24" t="s">
        <v>167</v>
      </c>
      <c r="Y61" s="24" t="s">
        <v>168</v>
      </c>
      <c r="Z61" s="24" t="s">
        <v>167</v>
      </c>
      <c r="AA61" s="24" t="s">
        <v>168</v>
      </c>
      <c r="AB61" s="24" t="s">
        <v>167</v>
      </c>
      <c r="AC61" s="24" t="s">
        <v>168</v>
      </c>
      <c r="AD61" s="24" t="s">
        <v>167</v>
      </c>
      <c r="AE61" s="24" t="s">
        <v>168</v>
      </c>
      <c r="AF61" s="24" t="s">
        <v>167</v>
      </c>
      <c r="AG61" s="24" t="s">
        <v>168</v>
      </c>
      <c r="AH61" s="24" t="s">
        <v>167</v>
      </c>
      <c r="AI61" s="24" t="s">
        <v>168</v>
      </c>
      <c r="AJ61" s="24" t="s">
        <v>167</v>
      </c>
      <c r="AK61" s="24" t="s">
        <v>168</v>
      </c>
      <c r="AL61" s="24" t="s">
        <v>167</v>
      </c>
      <c r="AM61" s="24" t="s">
        <v>168</v>
      </c>
      <c r="AN61" s="24" t="s">
        <v>167</v>
      </c>
      <c r="AO61" s="24" t="s">
        <v>168</v>
      </c>
      <c r="AP61" s="24" t="s">
        <v>167</v>
      </c>
      <c r="AQ61" s="24" t="s">
        <v>168</v>
      </c>
      <c r="AR61" s="24" t="s">
        <v>167</v>
      </c>
      <c r="AS61" s="24" t="s">
        <v>168</v>
      </c>
      <c r="AT61" s="24" t="s">
        <v>167</v>
      </c>
      <c r="AU61" s="24" t="s">
        <v>168</v>
      </c>
      <c r="AV61" s="24" t="s">
        <v>167</v>
      </c>
      <c r="AW61" s="24" t="s">
        <v>168</v>
      </c>
      <c r="AX61" s="24" t="s">
        <v>167</v>
      </c>
      <c r="AY61" s="24" t="s">
        <v>168</v>
      </c>
      <c r="AZ61" s="24" t="s">
        <v>167</v>
      </c>
      <c r="BA61" s="24" t="s">
        <v>168</v>
      </c>
      <c r="BB61" s="24" t="s">
        <v>167</v>
      </c>
      <c r="BC61" s="24" t="s">
        <v>168</v>
      </c>
      <c r="BD61" s="24" t="s">
        <v>167</v>
      </c>
      <c r="BE61" s="24" t="s">
        <v>168</v>
      </c>
      <c r="BF61" s="24" t="s">
        <v>167</v>
      </c>
      <c r="BG61" s="24" t="s">
        <v>168</v>
      </c>
      <c r="BH61" s="24" t="s">
        <v>167</v>
      </c>
      <c r="BI61" s="24" t="s">
        <v>168</v>
      </c>
      <c r="BJ61" s="24" t="s">
        <v>167</v>
      </c>
      <c r="BK61" s="24" t="s">
        <v>168</v>
      </c>
      <c r="BL61" s="24" t="s">
        <v>167</v>
      </c>
      <c r="BM61" s="24" t="s">
        <v>168</v>
      </c>
      <c r="BN61" s="24" t="s">
        <v>167</v>
      </c>
      <c r="BO61" s="24" t="s">
        <v>168</v>
      </c>
    </row>
    <row r="62" hidden="1" outlineLevel="1">
      <c r="A62" s="26" t="str">
        <f>B62&amp;D62</f>
        <v>JuneBHUVANESHWARAN.V</v>
      </c>
      <c r="B62" s="27" t="s">
        <v>21</v>
      </c>
      <c r="C62" s="27" t="s">
        <v>13</v>
      </c>
      <c r="D62" s="39" t="str">
        <f>IFERROR(VLOOKUP(C62,'Employees List'!$B$2:$E1424,4,0),"")</f>
        <v>BHUVANESHWARAN.V</v>
      </c>
      <c r="E62" s="29">
        <f t="shared" ref="E62:E64" si="1">COUNTIF(F62:BO62,TRUE)/2</f>
        <v>30</v>
      </c>
      <c r="F62" s="30" t="b">
        <v>1</v>
      </c>
      <c r="G62" s="30" t="b">
        <v>1</v>
      </c>
      <c r="H62" s="30" t="b">
        <v>1</v>
      </c>
      <c r="I62" s="30" t="b">
        <v>1</v>
      </c>
      <c r="J62" s="30" t="b">
        <v>1</v>
      </c>
      <c r="K62" s="30" t="b">
        <v>1</v>
      </c>
      <c r="L62" s="30" t="b">
        <v>1</v>
      </c>
      <c r="M62" s="30" t="b">
        <v>1</v>
      </c>
      <c r="N62" s="30" t="b">
        <v>1</v>
      </c>
      <c r="O62" s="30" t="b">
        <v>1</v>
      </c>
      <c r="P62" s="30" t="b">
        <v>1</v>
      </c>
      <c r="Q62" s="30" t="b">
        <v>1</v>
      </c>
      <c r="R62" s="30" t="b">
        <v>1</v>
      </c>
      <c r="S62" s="30" t="b">
        <v>1</v>
      </c>
      <c r="T62" s="30" t="b">
        <v>1</v>
      </c>
      <c r="U62" s="30" t="b">
        <v>1</v>
      </c>
      <c r="V62" s="30" t="b">
        <v>1</v>
      </c>
      <c r="W62" s="30" t="b">
        <v>1</v>
      </c>
      <c r="X62" s="30" t="b">
        <v>1</v>
      </c>
      <c r="Y62" s="30" t="b">
        <v>1</v>
      </c>
      <c r="Z62" s="30" t="b">
        <v>1</v>
      </c>
      <c r="AA62" s="30" t="b">
        <v>1</v>
      </c>
      <c r="AB62" s="30" t="b">
        <v>1</v>
      </c>
      <c r="AC62" s="30" t="b">
        <v>1</v>
      </c>
      <c r="AD62" s="30" t="b">
        <v>1</v>
      </c>
      <c r="AE62" s="30" t="b">
        <v>1</v>
      </c>
      <c r="AF62" s="30" t="b">
        <v>1</v>
      </c>
      <c r="AG62" s="30" t="b">
        <v>1</v>
      </c>
      <c r="AH62" s="30" t="b">
        <v>1</v>
      </c>
      <c r="AI62" s="30" t="b">
        <v>1</v>
      </c>
      <c r="AJ62" s="30" t="b">
        <v>1</v>
      </c>
      <c r="AK62" s="30" t="b">
        <v>1</v>
      </c>
      <c r="AL62" s="30" t="b">
        <v>1</v>
      </c>
      <c r="AM62" s="30" t="b">
        <v>1</v>
      </c>
      <c r="AN62" s="30" t="b">
        <v>1</v>
      </c>
      <c r="AO62" s="30" t="b">
        <v>1</v>
      </c>
      <c r="AP62" s="30" t="b">
        <v>1</v>
      </c>
      <c r="AQ62" s="30" t="b">
        <v>1</v>
      </c>
      <c r="AR62" s="30" t="b">
        <v>1</v>
      </c>
      <c r="AS62" s="30" t="b">
        <v>1</v>
      </c>
      <c r="AT62" s="30" t="b">
        <v>1</v>
      </c>
      <c r="AU62" s="30" t="b">
        <v>1</v>
      </c>
      <c r="AV62" s="30" t="b">
        <v>1</v>
      </c>
      <c r="AW62" s="30" t="b">
        <v>1</v>
      </c>
      <c r="AX62" s="30" t="b">
        <v>1</v>
      </c>
      <c r="AY62" s="30" t="b">
        <v>1</v>
      </c>
      <c r="AZ62" s="30" t="b">
        <v>1</v>
      </c>
      <c r="BA62" s="30" t="b">
        <v>1</v>
      </c>
      <c r="BB62" s="30" t="b">
        <v>1</v>
      </c>
      <c r="BC62" s="30" t="b">
        <v>1</v>
      </c>
      <c r="BD62" s="30" t="b">
        <v>1</v>
      </c>
      <c r="BE62" s="30" t="b">
        <v>1</v>
      </c>
      <c r="BF62" s="30" t="b">
        <v>1</v>
      </c>
      <c r="BG62" s="30" t="b">
        <v>1</v>
      </c>
      <c r="BH62" s="30" t="b">
        <v>1</v>
      </c>
      <c r="BI62" s="30" t="b">
        <v>1</v>
      </c>
      <c r="BJ62" s="30" t="b">
        <v>1</v>
      </c>
      <c r="BK62" s="30" t="b">
        <v>1</v>
      </c>
      <c r="BL62" s="30" t="b">
        <v>1</v>
      </c>
      <c r="BM62" s="30" t="b">
        <v>1</v>
      </c>
      <c r="BN62" s="30" t="b">
        <v>0</v>
      </c>
      <c r="BO62" s="30" t="b">
        <v>0</v>
      </c>
    </row>
    <row r="63" hidden="1" outlineLevel="1">
      <c r="A63" s="31" t="str">
        <f>A62&amp;C63</f>
        <v>JuneBHUVANESHWARAN.VOT HOURS</v>
      </c>
      <c r="B63" s="32"/>
      <c r="C63" s="33" t="s">
        <v>169</v>
      </c>
      <c r="D63" s="17"/>
      <c r="E63" s="29">
        <f t="shared" si="1"/>
        <v>0</v>
      </c>
      <c r="F63" s="34"/>
      <c r="G63" s="17"/>
      <c r="H63" s="34"/>
      <c r="I63" s="17"/>
      <c r="J63" s="34"/>
      <c r="K63" s="17"/>
      <c r="L63" s="34"/>
      <c r="M63" s="17"/>
      <c r="N63" s="34"/>
      <c r="O63" s="17"/>
      <c r="P63" s="34"/>
      <c r="Q63" s="17"/>
      <c r="R63" s="34"/>
      <c r="S63" s="17"/>
      <c r="T63" s="34"/>
      <c r="U63" s="17"/>
      <c r="V63" s="34"/>
      <c r="W63" s="17"/>
      <c r="X63" s="34"/>
      <c r="Y63" s="17"/>
      <c r="Z63" s="34"/>
      <c r="AA63" s="17"/>
      <c r="AB63" s="34"/>
      <c r="AC63" s="17"/>
      <c r="AD63" s="34"/>
      <c r="AE63" s="17"/>
      <c r="AF63" s="34"/>
      <c r="AG63" s="17"/>
      <c r="AH63" s="34"/>
      <c r="AI63" s="17"/>
      <c r="AJ63" s="34"/>
      <c r="AK63" s="17"/>
      <c r="AL63" s="34"/>
      <c r="AM63" s="17"/>
      <c r="AN63" s="34"/>
      <c r="AO63" s="17"/>
      <c r="AP63" s="34"/>
      <c r="AQ63" s="17"/>
      <c r="AR63" s="34"/>
      <c r="AS63" s="17"/>
      <c r="AT63" s="34"/>
      <c r="AU63" s="17"/>
      <c r="AV63" s="34"/>
      <c r="AW63" s="17"/>
      <c r="AX63" s="34"/>
      <c r="AY63" s="17"/>
      <c r="AZ63" s="34"/>
      <c r="BA63" s="17"/>
      <c r="BB63" s="34"/>
      <c r="BC63" s="17"/>
      <c r="BD63" s="34"/>
      <c r="BE63" s="17"/>
      <c r="BF63" s="34"/>
      <c r="BG63" s="17"/>
      <c r="BH63" s="34"/>
      <c r="BI63" s="17"/>
      <c r="BJ63" s="34"/>
      <c r="BK63" s="17"/>
      <c r="BL63" s="34"/>
      <c r="BM63" s="17"/>
      <c r="BN63" s="34"/>
      <c r="BO63" s="17"/>
    </row>
    <row r="64" hidden="1" outlineLevel="1">
      <c r="A64" s="26" t="str">
        <f>B64&amp;D64</f>
        <v>JuneTHIRIPURA SUNDARI.R</v>
      </c>
      <c r="B64" s="27" t="s">
        <v>21</v>
      </c>
      <c r="C64" s="27" t="s">
        <v>71</v>
      </c>
      <c r="D64" s="28" t="str">
        <f>IFERROR(VLOOKUP(C64,'Employees List'!$B$2:$E1424,4,0),"")</f>
        <v>THIRIPURA SUNDARI.R</v>
      </c>
      <c r="E64" s="29">
        <f t="shared" si="1"/>
        <v>30</v>
      </c>
      <c r="F64" s="30" t="b">
        <v>1</v>
      </c>
      <c r="G64" s="30" t="b">
        <v>1</v>
      </c>
      <c r="H64" s="30" t="b">
        <v>1</v>
      </c>
      <c r="I64" s="30" t="b">
        <v>1</v>
      </c>
      <c r="J64" s="30" t="b">
        <v>1</v>
      </c>
      <c r="K64" s="30" t="b">
        <v>1</v>
      </c>
      <c r="L64" s="30" t="b">
        <v>1</v>
      </c>
      <c r="M64" s="30" t="b">
        <v>1</v>
      </c>
      <c r="N64" s="30" t="b">
        <v>1</v>
      </c>
      <c r="O64" s="30" t="b">
        <v>1</v>
      </c>
      <c r="P64" s="30" t="b">
        <v>1</v>
      </c>
      <c r="Q64" s="30" t="b">
        <v>1</v>
      </c>
      <c r="R64" s="30" t="b">
        <v>1</v>
      </c>
      <c r="S64" s="30" t="b">
        <v>1</v>
      </c>
      <c r="T64" s="30" t="b">
        <v>1</v>
      </c>
      <c r="U64" s="30" t="b">
        <v>1</v>
      </c>
      <c r="V64" s="30" t="b">
        <v>1</v>
      </c>
      <c r="W64" s="30" t="b">
        <v>1</v>
      </c>
      <c r="X64" s="30" t="b">
        <v>1</v>
      </c>
      <c r="Y64" s="30" t="b">
        <v>1</v>
      </c>
      <c r="Z64" s="30" t="b">
        <v>1</v>
      </c>
      <c r="AA64" s="30" t="b">
        <v>1</v>
      </c>
      <c r="AB64" s="30" t="b">
        <v>1</v>
      </c>
      <c r="AC64" s="30" t="b">
        <v>1</v>
      </c>
      <c r="AD64" s="30" t="b">
        <v>1</v>
      </c>
      <c r="AE64" s="30" t="b">
        <v>1</v>
      </c>
      <c r="AF64" s="30" t="b">
        <v>1</v>
      </c>
      <c r="AG64" s="30" t="b">
        <v>1</v>
      </c>
      <c r="AH64" s="30" t="b">
        <v>1</v>
      </c>
      <c r="AI64" s="30" t="b">
        <v>1</v>
      </c>
      <c r="AJ64" s="30" t="b">
        <v>1</v>
      </c>
      <c r="AK64" s="30" t="b">
        <v>1</v>
      </c>
      <c r="AL64" s="30" t="b">
        <v>1</v>
      </c>
      <c r="AM64" s="30" t="b">
        <v>1</v>
      </c>
      <c r="AN64" s="30" t="b">
        <v>1</v>
      </c>
      <c r="AO64" s="30" t="b">
        <v>1</v>
      </c>
      <c r="AP64" s="30" t="b">
        <v>1</v>
      </c>
      <c r="AQ64" s="30" t="b">
        <v>1</v>
      </c>
      <c r="AR64" s="30" t="b">
        <v>1</v>
      </c>
      <c r="AS64" s="30" t="b">
        <v>1</v>
      </c>
      <c r="AT64" s="30" t="b">
        <v>1</v>
      </c>
      <c r="AU64" s="30" t="b">
        <v>1</v>
      </c>
      <c r="AV64" s="30" t="b">
        <v>1</v>
      </c>
      <c r="AW64" s="30" t="b">
        <v>1</v>
      </c>
      <c r="AX64" s="30" t="b">
        <v>1</v>
      </c>
      <c r="AY64" s="30" t="b">
        <v>1</v>
      </c>
      <c r="AZ64" s="30" t="b">
        <v>1</v>
      </c>
      <c r="BA64" s="30" t="b">
        <v>1</v>
      </c>
      <c r="BB64" s="30" t="b">
        <v>1</v>
      </c>
      <c r="BC64" s="30" t="b">
        <v>1</v>
      </c>
      <c r="BD64" s="30" t="b">
        <v>1</v>
      </c>
      <c r="BE64" s="30" t="b">
        <v>1</v>
      </c>
      <c r="BF64" s="30" t="b">
        <v>1</v>
      </c>
      <c r="BG64" s="30" t="b">
        <v>1</v>
      </c>
      <c r="BH64" s="30" t="b">
        <v>1</v>
      </c>
      <c r="BI64" s="30" t="b">
        <v>1</v>
      </c>
      <c r="BJ64" s="30" t="b">
        <v>1</v>
      </c>
      <c r="BK64" s="30" t="b">
        <v>1</v>
      </c>
      <c r="BL64" s="30" t="b">
        <v>1</v>
      </c>
      <c r="BM64" s="30" t="b">
        <v>1</v>
      </c>
      <c r="BN64" s="30" t="b">
        <v>0</v>
      </c>
      <c r="BO64" s="30" t="b">
        <v>0</v>
      </c>
    </row>
    <row r="65" hidden="1" outlineLevel="1">
      <c r="A65" s="31" t="str">
        <f>A64&amp;C65</f>
        <v>JuneTHIRIPURA SUNDARI.ROT HOURS</v>
      </c>
      <c r="B65" s="32"/>
      <c r="C65" s="33" t="s">
        <v>169</v>
      </c>
      <c r="D65" s="17"/>
      <c r="E65" s="29">
        <f>SUM(F65:BO65)</f>
        <v>6</v>
      </c>
      <c r="F65" s="34"/>
      <c r="G65" s="17"/>
      <c r="H65" s="34"/>
      <c r="I65" s="17"/>
      <c r="J65" s="34">
        <v>1.0</v>
      </c>
      <c r="K65" s="17"/>
      <c r="L65" s="34"/>
      <c r="M65" s="17"/>
      <c r="N65" s="34"/>
      <c r="O65" s="17"/>
      <c r="P65" s="34"/>
      <c r="Q65" s="17"/>
      <c r="R65" s="34"/>
      <c r="S65" s="17"/>
      <c r="T65" s="34"/>
      <c r="U65" s="17"/>
      <c r="V65" s="34"/>
      <c r="W65" s="17"/>
      <c r="X65" s="34"/>
      <c r="Y65" s="17"/>
      <c r="Z65" s="34">
        <v>1.0</v>
      </c>
      <c r="AA65" s="17"/>
      <c r="AB65" s="34"/>
      <c r="AC65" s="17"/>
      <c r="AD65" s="34"/>
      <c r="AE65" s="17"/>
      <c r="AF65" s="34">
        <v>1.0</v>
      </c>
      <c r="AG65" s="17"/>
      <c r="AH65" s="34">
        <v>2.0</v>
      </c>
      <c r="AI65" s="17"/>
      <c r="AJ65" s="34"/>
      <c r="AK65" s="17"/>
      <c r="AL65" s="34"/>
      <c r="AM65" s="17"/>
      <c r="AN65" s="34"/>
      <c r="AO65" s="17"/>
      <c r="AP65" s="34"/>
      <c r="AQ65" s="17"/>
      <c r="AR65" s="34"/>
      <c r="AS65" s="17"/>
      <c r="AT65" s="34"/>
      <c r="AU65" s="17"/>
      <c r="AV65" s="34">
        <v>1.0</v>
      </c>
      <c r="AW65" s="17"/>
      <c r="AX65" s="34"/>
      <c r="AY65" s="17"/>
      <c r="AZ65" s="34"/>
      <c r="BA65" s="17"/>
      <c r="BB65" s="34"/>
      <c r="BC65" s="17"/>
      <c r="BD65" s="34"/>
      <c r="BE65" s="17"/>
      <c r="BF65" s="34"/>
      <c r="BG65" s="17"/>
      <c r="BH65" s="34"/>
      <c r="BI65" s="17"/>
      <c r="BJ65" s="34"/>
      <c r="BK65" s="17"/>
      <c r="BL65" s="34"/>
      <c r="BM65" s="17"/>
      <c r="BN65" s="34"/>
      <c r="BO65" s="17"/>
    </row>
    <row r="66" hidden="1" outlineLevel="1">
      <c r="A66" s="26" t="str">
        <f>B66&amp;D66</f>
        <v>JuneGANESH</v>
      </c>
      <c r="B66" s="27" t="s">
        <v>21</v>
      </c>
      <c r="C66" s="27" t="s">
        <v>22</v>
      </c>
      <c r="D66" s="28" t="str">
        <f>IFERROR(VLOOKUP(C66,'Employees List'!$B$2:$E1424,4,0),"")</f>
        <v>GANESH</v>
      </c>
      <c r="E66" s="29">
        <f>COUNTIF(F66:BO66,TRUE)/2</f>
        <v>25</v>
      </c>
      <c r="F66" s="30" t="b">
        <v>1</v>
      </c>
      <c r="G66" s="30" t="b">
        <v>1</v>
      </c>
      <c r="H66" s="30" t="b">
        <v>1</v>
      </c>
      <c r="I66" s="30" t="b">
        <v>1</v>
      </c>
      <c r="J66" s="30" t="b">
        <v>1</v>
      </c>
      <c r="K66" s="30" t="b">
        <v>1</v>
      </c>
      <c r="L66" s="30" t="b">
        <v>1</v>
      </c>
      <c r="M66" s="30" t="b">
        <v>1</v>
      </c>
      <c r="N66" s="30" t="b">
        <v>1</v>
      </c>
      <c r="O66" s="30" t="b">
        <v>1</v>
      </c>
      <c r="P66" s="30" t="b">
        <v>1</v>
      </c>
      <c r="Q66" s="30" t="b">
        <v>1</v>
      </c>
      <c r="R66" s="30" t="b">
        <v>1</v>
      </c>
      <c r="S66" s="30" t="b">
        <v>1</v>
      </c>
      <c r="T66" s="30" t="b">
        <v>1</v>
      </c>
      <c r="U66" s="30" t="b">
        <v>1</v>
      </c>
      <c r="V66" s="30" t="b">
        <v>0</v>
      </c>
      <c r="W66" s="30" t="b">
        <v>0</v>
      </c>
      <c r="X66" s="30" t="b">
        <v>0</v>
      </c>
      <c r="Y66" s="30" t="b">
        <v>0</v>
      </c>
      <c r="Z66" s="30" t="b">
        <v>0</v>
      </c>
      <c r="AA66" s="30" t="b">
        <v>0</v>
      </c>
      <c r="AB66" s="30" t="b">
        <v>0</v>
      </c>
      <c r="AC66" s="30" t="b">
        <v>0</v>
      </c>
      <c r="AD66" s="30" t="b">
        <v>1</v>
      </c>
      <c r="AE66" s="30" t="b">
        <v>1</v>
      </c>
      <c r="AF66" s="30" t="b">
        <v>1</v>
      </c>
      <c r="AG66" s="30" t="b">
        <v>1</v>
      </c>
      <c r="AH66" s="30" t="b">
        <v>1</v>
      </c>
      <c r="AI66" s="30" t="b">
        <v>1</v>
      </c>
      <c r="AJ66" s="30" t="b">
        <v>1</v>
      </c>
      <c r="AK66" s="30" t="b">
        <v>1</v>
      </c>
      <c r="AL66" s="30" t="b">
        <v>1</v>
      </c>
      <c r="AM66" s="30" t="b">
        <v>1</v>
      </c>
      <c r="AN66" s="30" t="b">
        <v>1</v>
      </c>
      <c r="AO66" s="30" t="b">
        <v>1</v>
      </c>
      <c r="AP66" s="30" t="b">
        <v>1</v>
      </c>
      <c r="AQ66" s="30" t="b">
        <v>1</v>
      </c>
      <c r="AR66" s="30" t="b">
        <v>1</v>
      </c>
      <c r="AS66" s="30" t="b">
        <v>1</v>
      </c>
      <c r="AT66" s="30" t="b">
        <v>1</v>
      </c>
      <c r="AU66" s="30" t="b">
        <v>1</v>
      </c>
      <c r="AV66" s="30" t="b">
        <v>1</v>
      </c>
      <c r="AW66" s="30" t="b">
        <v>1</v>
      </c>
      <c r="AX66" s="30" t="b">
        <v>1</v>
      </c>
      <c r="AY66" s="30" t="b">
        <v>1</v>
      </c>
      <c r="AZ66" s="30" t="b">
        <v>0</v>
      </c>
      <c r="BA66" s="30" t="b">
        <v>0</v>
      </c>
      <c r="BB66" s="30" t="b">
        <v>1</v>
      </c>
      <c r="BC66" s="30" t="b">
        <v>1</v>
      </c>
      <c r="BD66" s="30" t="b">
        <v>1</v>
      </c>
      <c r="BE66" s="30" t="b">
        <v>1</v>
      </c>
      <c r="BF66" s="30" t="b">
        <v>1</v>
      </c>
      <c r="BG66" s="30" t="b">
        <v>1</v>
      </c>
      <c r="BH66" s="30" t="b">
        <v>1</v>
      </c>
      <c r="BI66" s="30" t="b">
        <v>1</v>
      </c>
      <c r="BJ66" s="30" t="b">
        <v>1</v>
      </c>
      <c r="BK66" s="30" t="b">
        <v>1</v>
      </c>
      <c r="BL66" s="30" t="b">
        <v>1</v>
      </c>
      <c r="BM66" s="30" t="b">
        <v>1</v>
      </c>
      <c r="BN66" s="30" t="b">
        <v>0</v>
      </c>
      <c r="BO66" s="30" t="b">
        <v>0</v>
      </c>
    </row>
    <row r="67" hidden="1" outlineLevel="1">
      <c r="A67" s="31" t="str">
        <f>A66&amp;C67</f>
        <v>JuneGANESHOT HOURS</v>
      </c>
      <c r="B67" s="32"/>
      <c r="C67" s="33" t="s">
        <v>169</v>
      </c>
      <c r="D67" s="17"/>
      <c r="E67" s="29">
        <f>SUM(F67:BO67)</f>
        <v>30</v>
      </c>
      <c r="F67" s="34"/>
      <c r="G67" s="17"/>
      <c r="H67" s="34">
        <v>2.0</v>
      </c>
      <c r="I67" s="17"/>
      <c r="J67" s="34">
        <v>3.0</v>
      </c>
      <c r="K67" s="17"/>
      <c r="L67" s="34">
        <v>2.0</v>
      </c>
      <c r="M67" s="17"/>
      <c r="N67" s="34"/>
      <c r="O67" s="17"/>
      <c r="P67" s="34">
        <v>2.0</v>
      </c>
      <c r="Q67" s="17"/>
      <c r="R67" s="34"/>
      <c r="S67" s="17"/>
      <c r="T67" s="34"/>
      <c r="U67" s="17"/>
      <c r="V67" s="34"/>
      <c r="W67" s="17"/>
      <c r="X67" s="34"/>
      <c r="Y67" s="17"/>
      <c r="Z67" s="34"/>
      <c r="AA67" s="17"/>
      <c r="AB67" s="34"/>
      <c r="AC67" s="17"/>
      <c r="AD67" s="34">
        <v>2.0</v>
      </c>
      <c r="AE67" s="17"/>
      <c r="AF67" s="34">
        <v>3.0</v>
      </c>
      <c r="AG67" s="17"/>
      <c r="AH67" s="34"/>
      <c r="AI67" s="17"/>
      <c r="AJ67" s="34">
        <v>2.0</v>
      </c>
      <c r="AK67" s="17"/>
      <c r="AL67" s="34"/>
      <c r="AM67" s="17"/>
      <c r="AN67" s="34"/>
      <c r="AO67" s="17"/>
      <c r="AP67" s="34">
        <v>3.0</v>
      </c>
      <c r="AQ67" s="17"/>
      <c r="AR67" s="34">
        <v>4.0</v>
      </c>
      <c r="AS67" s="17"/>
      <c r="AT67" s="34">
        <v>2.0</v>
      </c>
      <c r="AU67" s="17"/>
      <c r="AV67" s="34"/>
      <c r="AW67" s="17"/>
      <c r="AX67" s="34">
        <v>2.0</v>
      </c>
      <c r="AY67" s="17"/>
      <c r="AZ67" s="34"/>
      <c r="BA67" s="17"/>
      <c r="BB67" s="34"/>
      <c r="BC67" s="17"/>
      <c r="BD67" s="34"/>
      <c r="BE67" s="17"/>
      <c r="BF67" s="34"/>
      <c r="BG67" s="17"/>
      <c r="BH67" s="34"/>
      <c r="BI67" s="17"/>
      <c r="BJ67" s="34"/>
      <c r="BK67" s="17"/>
      <c r="BL67" s="34">
        <v>3.0</v>
      </c>
      <c r="BM67" s="17"/>
      <c r="BN67" s="34"/>
      <c r="BO67" s="17"/>
    </row>
    <row r="68" hidden="1" outlineLevel="1">
      <c r="A68" s="26" t="str">
        <f>B68&amp;D68</f>
        <v>JuneILAMATHIVANAN.S</v>
      </c>
      <c r="B68" s="27" t="s">
        <v>21</v>
      </c>
      <c r="C68" s="27" t="s">
        <v>77</v>
      </c>
      <c r="D68" s="28" t="str">
        <f>IFERROR(VLOOKUP(C68,'Employees List'!$B$2:$E1424,4,0),"")</f>
        <v>ILAMATHIVANAN.S</v>
      </c>
      <c r="E68" s="29">
        <f>COUNTIF(F68:BO68,TRUE)/2</f>
        <v>22</v>
      </c>
      <c r="F68" s="30" t="b">
        <v>1</v>
      </c>
      <c r="G68" s="30" t="b">
        <v>1</v>
      </c>
      <c r="H68" s="30" t="b">
        <v>0</v>
      </c>
      <c r="I68" s="30" t="b">
        <v>0</v>
      </c>
      <c r="J68" s="30" t="b">
        <v>0</v>
      </c>
      <c r="K68" s="30" t="b">
        <v>0</v>
      </c>
      <c r="L68" s="30" t="b">
        <v>0</v>
      </c>
      <c r="M68" s="30" t="b">
        <v>0</v>
      </c>
      <c r="N68" s="30" t="b">
        <v>1</v>
      </c>
      <c r="O68" s="30" t="b">
        <v>1</v>
      </c>
      <c r="P68" s="30" t="b">
        <v>1</v>
      </c>
      <c r="Q68" s="30" t="b">
        <v>1</v>
      </c>
      <c r="R68" s="30" t="b">
        <v>1</v>
      </c>
      <c r="S68" s="30" t="b">
        <v>1</v>
      </c>
      <c r="T68" s="30" t="b">
        <v>1</v>
      </c>
      <c r="U68" s="30" t="b">
        <v>1</v>
      </c>
      <c r="V68" s="30" t="b">
        <v>1</v>
      </c>
      <c r="W68" s="30" t="b">
        <v>1</v>
      </c>
      <c r="X68" s="30" t="b">
        <v>0</v>
      </c>
      <c r="Y68" s="30" t="b">
        <v>0</v>
      </c>
      <c r="Z68" s="30" t="b">
        <v>0</v>
      </c>
      <c r="AA68" s="30" t="b">
        <v>0</v>
      </c>
      <c r="AB68" s="30" t="b">
        <v>1</v>
      </c>
      <c r="AC68" s="30" t="b">
        <v>1</v>
      </c>
      <c r="AD68" s="30" t="b">
        <v>1</v>
      </c>
      <c r="AE68" s="30" t="b">
        <v>1</v>
      </c>
      <c r="AF68" s="30" t="b">
        <v>1</v>
      </c>
      <c r="AG68" s="30" t="b">
        <v>1</v>
      </c>
      <c r="AH68" s="30" t="b">
        <v>1</v>
      </c>
      <c r="AI68" s="30" t="b">
        <v>1</v>
      </c>
      <c r="AJ68" s="30" t="b">
        <v>1</v>
      </c>
      <c r="AK68" s="30" t="b">
        <v>1</v>
      </c>
      <c r="AL68" s="30" t="b">
        <v>0</v>
      </c>
      <c r="AM68" s="30" t="b">
        <v>0</v>
      </c>
      <c r="AN68" s="30" t="b">
        <v>1</v>
      </c>
      <c r="AO68" s="30" t="b">
        <v>1</v>
      </c>
      <c r="AP68" s="30" t="b">
        <v>1</v>
      </c>
      <c r="AQ68" s="30" t="b">
        <v>1</v>
      </c>
      <c r="AR68" s="30" t="b">
        <v>1</v>
      </c>
      <c r="AS68" s="30" t="b">
        <v>1</v>
      </c>
      <c r="AT68" s="30" t="b">
        <v>1</v>
      </c>
      <c r="AU68" s="30" t="b">
        <v>1</v>
      </c>
      <c r="AV68" s="30" t="b">
        <v>1</v>
      </c>
      <c r="AW68" s="30" t="b">
        <v>1</v>
      </c>
      <c r="AX68" s="30" t="b">
        <v>0</v>
      </c>
      <c r="AY68" s="30" t="b">
        <v>0</v>
      </c>
      <c r="AZ68" s="30" t="b">
        <v>1</v>
      </c>
      <c r="BA68" s="30" t="b">
        <v>1</v>
      </c>
      <c r="BB68" s="30" t="b">
        <v>1</v>
      </c>
      <c r="BC68" s="30" t="b">
        <v>1</v>
      </c>
      <c r="BD68" s="30" t="b">
        <v>1</v>
      </c>
      <c r="BE68" s="30" t="b">
        <v>1</v>
      </c>
      <c r="BF68" s="30" t="b">
        <v>1</v>
      </c>
      <c r="BG68" s="30" t="b">
        <v>1</v>
      </c>
      <c r="BH68" s="30" t="b">
        <v>1</v>
      </c>
      <c r="BI68" s="30" t="b">
        <v>1</v>
      </c>
      <c r="BJ68" s="30" t="b">
        <v>1</v>
      </c>
      <c r="BK68" s="30" t="b">
        <v>1</v>
      </c>
      <c r="BL68" s="30" t="b">
        <v>0</v>
      </c>
      <c r="BM68" s="30" t="b">
        <v>0</v>
      </c>
      <c r="BN68" s="30" t="b">
        <v>0</v>
      </c>
      <c r="BO68" s="30" t="b">
        <v>0</v>
      </c>
    </row>
    <row r="69" hidden="1" outlineLevel="1">
      <c r="A69" s="31" t="str">
        <f>A68&amp;C69</f>
        <v>JuneILAMATHIVANAN.SOT HOURS</v>
      </c>
      <c r="B69" s="32"/>
      <c r="C69" s="33" t="s">
        <v>169</v>
      </c>
      <c r="D69" s="17"/>
      <c r="E69" s="29">
        <f>SUM(F69:BO69)</f>
        <v>37</v>
      </c>
      <c r="F69" s="34"/>
      <c r="G69" s="17"/>
      <c r="H69" s="34"/>
      <c r="I69" s="17"/>
      <c r="J69" s="34"/>
      <c r="K69" s="17"/>
      <c r="L69" s="34"/>
      <c r="M69" s="17"/>
      <c r="N69" s="34">
        <v>4.0</v>
      </c>
      <c r="O69" s="17"/>
      <c r="P69" s="34">
        <v>4.0</v>
      </c>
      <c r="Q69" s="17"/>
      <c r="R69" s="34">
        <v>1.0</v>
      </c>
      <c r="S69" s="17"/>
      <c r="T69" s="34"/>
      <c r="U69" s="17"/>
      <c r="V69" s="34">
        <v>1.0</v>
      </c>
      <c r="W69" s="17"/>
      <c r="X69" s="34"/>
      <c r="Y69" s="17"/>
      <c r="Z69" s="34"/>
      <c r="AA69" s="17"/>
      <c r="AB69" s="34">
        <v>5.0</v>
      </c>
      <c r="AC69" s="17"/>
      <c r="AD69" s="34">
        <v>4.0</v>
      </c>
      <c r="AE69" s="17"/>
      <c r="AF69" s="34">
        <v>5.0</v>
      </c>
      <c r="AG69" s="17"/>
      <c r="AH69" s="34"/>
      <c r="AI69" s="17"/>
      <c r="AJ69" s="34"/>
      <c r="AK69" s="17"/>
      <c r="AL69" s="34"/>
      <c r="AM69" s="17"/>
      <c r="AN69" s="34">
        <v>1.0</v>
      </c>
      <c r="AO69" s="17"/>
      <c r="AP69" s="34">
        <v>4.0</v>
      </c>
      <c r="AQ69" s="17"/>
      <c r="AR69" s="34">
        <v>4.0</v>
      </c>
      <c r="AS69" s="17"/>
      <c r="AT69" s="34">
        <v>3.0</v>
      </c>
      <c r="AU69" s="17"/>
      <c r="AV69" s="34"/>
      <c r="AW69" s="17"/>
      <c r="AX69" s="34"/>
      <c r="AY69" s="17"/>
      <c r="AZ69" s="34">
        <v>1.0</v>
      </c>
      <c r="BA69" s="17"/>
      <c r="BB69" s="34"/>
      <c r="BC69" s="17"/>
      <c r="BD69" s="34"/>
      <c r="BE69" s="17"/>
      <c r="BF69" s="34"/>
      <c r="BG69" s="17"/>
      <c r="BH69" s="34"/>
      <c r="BI69" s="17"/>
      <c r="BJ69" s="34"/>
      <c r="BK69" s="17"/>
      <c r="BL69" s="34"/>
      <c r="BM69" s="17"/>
      <c r="BN69" s="34"/>
      <c r="BO69" s="17"/>
    </row>
    <row r="70" hidden="1" outlineLevel="1">
      <c r="A70" s="26" t="str">
        <f>B70&amp;D70</f>
        <v>JuneAMMU.S</v>
      </c>
      <c r="B70" s="27" t="s">
        <v>21</v>
      </c>
      <c r="C70" s="27" t="s">
        <v>42</v>
      </c>
      <c r="D70" s="28" t="str">
        <f>IFERROR(VLOOKUP(C70,'Employees List'!$B$2:$E1424,4,0),"")</f>
        <v>AMMU.S</v>
      </c>
      <c r="E70" s="29">
        <f>COUNTIF(F70:BO70,TRUE)/2</f>
        <v>28</v>
      </c>
      <c r="F70" s="30" t="b">
        <v>1</v>
      </c>
      <c r="G70" s="30" t="b">
        <v>1</v>
      </c>
      <c r="H70" s="30" t="b">
        <v>1</v>
      </c>
      <c r="I70" s="30" t="b">
        <v>1</v>
      </c>
      <c r="J70" s="30" t="b">
        <v>1</v>
      </c>
      <c r="K70" s="30" t="b">
        <v>1</v>
      </c>
      <c r="L70" s="30" t="b">
        <v>1</v>
      </c>
      <c r="M70" s="30" t="b">
        <v>1</v>
      </c>
      <c r="N70" s="30" t="b">
        <v>1</v>
      </c>
      <c r="O70" s="30" t="b">
        <v>1</v>
      </c>
      <c r="P70" s="30" t="b">
        <v>0</v>
      </c>
      <c r="Q70" s="30" t="b">
        <v>0</v>
      </c>
      <c r="R70" s="30" t="b">
        <v>1</v>
      </c>
      <c r="S70" s="30" t="b">
        <v>1</v>
      </c>
      <c r="T70" s="30" t="b">
        <v>1</v>
      </c>
      <c r="U70" s="30" t="b">
        <v>1</v>
      </c>
      <c r="V70" s="30" t="b">
        <v>1</v>
      </c>
      <c r="W70" s="30" t="b">
        <v>1</v>
      </c>
      <c r="X70" s="30" t="b">
        <v>1</v>
      </c>
      <c r="Y70" s="30" t="b">
        <v>1</v>
      </c>
      <c r="Z70" s="30" t="b">
        <v>1</v>
      </c>
      <c r="AA70" s="30" t="b">
        <v>1</v>
      </c>
      <c r="AB70" s="30" t="b">
        <v>1</v>
      </c>
      <c r="AC70" s="30" t="b">
        <v>1</v>
      </c>
      <c r="AD70" s="30" t="b">
        <v>1</v>
      </c>
      <c r="AE70" s="30" t="b">
        <v>1</v>
      </c>
      <c r="AF70" s="30" t="b">
        <v>1</v>
      </c>
      <c r="AG70" s="30" t="b">
        <v>1</v>
      </c>
      <c r="AH70" s="30" t="b">
        <v>1</v>
      </c>
      <c r="AI70" s="30" t="b">
        <v>1</v>
      </c>
      <c r="AJ70" s="30" t="b">
        <v>1</v>
      </c>
      <c r="AK70" s="30" t="b">
        <v>1</v>
      </c>
      <c r="AL70" s="30" t="b">
        <v>1</v>
      </c>
      <c r="AM70" s="30" t="b">
        <v>1</v>
      </c>
      <c r="AN70" s="30" t="b">
        <v>1</v>
      </c>
      <c r="AO70" s="30" t="b">
        <v>1</v>
      </c>
      <c r="AP70" s="30" t="b">
        <v>1</v>
      </c>
      <c r="AQ70" s="30" t="b">
        <v>1</v>
      </c>
      <c r="AR70" s="30" t="b">
        <v>1</v>
      </c>
      <c r="AS70" s="30" t="b">
        <v>1</v>
      </c>
      <c r="AT70" s="30" t="b">
        <v>1</v>
      </c>
      <c r="AU70" s="30" t="b">
        <v>1</v>
      </c>
      <c r="AV70" s="30" t="b">
        <v>1</v>
      </c>
      <c r="AW70" s="30" t="b">
        <v>1</v>
      </c>
      <c r="AX70" s="30" t="b">
        <v>1</v>
      </c>
      <c r="AY70" s="30" t="b">
        <v>1</v>
      </c>
      <c r="AZ70" s="30" t="b">
        <v>1</v>
      </c>
      <c r="BA70" s="30" t="b">
        <v>1</v>
      </c>
      <c r="BB70" s="30" t="b">
        <v>1</v>
      </c>
      <c r="BC70" s="30" t="b">
        <v>1</v>
      </c>
      <c r="BD70" s="30" t="b">
        <v>1</v>
      </c>
      <c r="BE70" s="30" t="b">
        <v>1</v>
      </c>
      <c r="BF70" s="30" t="b">
        <v>1</v>
      </c>
      <c r="BG70" s="30" t="b">
        <v>1</v>
      </c>
      <c r="BH70" s="30" t="b">
        <v>1</v>
      </c>
      <c r="BI70" s="30" t="b">
        <v>1</v>
      </c>
      <c r="BJ70" s="30" t="b">
        <v>1</v>
      </c>
      <c r="BK70" s="30" t="b">
        <v>1</v>
      </c>
      <c r="BL70" s="30" t="b">
        <v>0</v>
      </c>
      <c r="BM70" s="30" t="b">
        <v>0</v>
      </c>
      <c r="BN70" s="30" t="b">
        <v>0</v>
      </c>
      <c r="BO70" s="30" t="b">
        <v>0</v>
      </c>
    </row>
    <row r="71" hidden="1" outlineLevel="1">
      <c r="A71" s="31" t="str">
        <f>A70&amp;C71</f>
        <v>JuneAMMU.SOT HOURS</v>
      </c>
      <c r="B71" s="32"/>
      <c r="C71" s="33" t="s">
        <v>169</v>
      </c>
      <c r="D71" s="17"/>
      <c r="E71" s="29">
        <f>SUM(F71:BO71)</f>
        <v>38</v>
      </c>
      <c r="F71" s="34"/>
      <c r="G71" s="17"/>
      <c r="H71" s="34">
        <v>2.0</v>
      </c>
      <c r="I71" s="17"/>
      <c r="J71" s="34">
        <v>1.0</v>
      </c>
      <c r="K71" s="17"/>
      <c r="L71" s="34">
        <v>2.0</v>
      </c>
      <c r="M71" s="17"/>
      <c r="N71" s="34">
        <v>2.0</v>
      </c>
      <c r="O71" s="17"/>
      <c r="P71" s="34"/>
      <c r="Q71" s="17"/>
      <c r="R71" s="34">
        <v>2.0</v>
      </c>
      <c r="S71" s="17"/>
      <c r="T71" s="34"/>
      <c r="U71" s="17"/>
      <c r="V71" s="34"/>
      <c r="W71" s="17"/>
      <c r="X71" s="34">
        <v>2.0</v>
      </c>
      <c r="Y71" s="17"/>
      <c r="Z71" s="34">
        <v>2.0</v>
      </c>
      <c r="AA71" s="17"/>
      <c r="AB71" s="34">
        <v>2.0</v>
      </c>
      <c r="AC71" s="17"/>
      <c r="AD71" s="34">
        <v>2.0</v>
      </c>
      <c r="AE71" s="17"/>
      <c r="AF71" s="34">
        <v>2.0</v>
      </c>
      <c r="AG71" s="17"/>
      <c r="AH71" s="34">
        <v>5.0</v>
      </c>
      <c r="AI71" s="17"/>
      <c r="AJ71" s="34">
        <v>2.0</v>
      </c>
      <c r="AK71" s="17"/>
      <c r="AL71" s="34">
        <v>2.0</v>
      </c>
      <c r="AM71" s="17"/>
      <c r="AN71" s="34"/>
      <c r="AO71" s="17"/>
      <c r="AP71" s="34">
        <v>2.0</v>
      </c>
      <c r="AQ71" s="17"/>
      <c r="AR71" s="34">
        <v>2.0</v>
      </c>
      <c r="AS71" s="17"/>
      <c r="AT71" s="34">
        <v>2.0</v>
      </c>
      <c r="AU71" s="17"/>
      <c r="AV71" s="34"/>
      <c r="AW71" s="17"/>
      <c r="AX71" s="34">
        <v>2.0</v>
      </c>
      <c r="AY71" s="17"/>
      <c r="AZ71" s="34">
        <v>2.0</v>
      </c>
      <c r="BA71" s="17"/>
      <c r="BB71" s="34"/>
      <c r="BC71" s="17"/>
      <c r="BD71" s="34"/>
      <c r="BE71" s="17"/>
      <c r="BF71" s="34"/>
      <c r="BG71" s="17"/>
      <c r="BH71" s="34"/>
      <c r="BI71" s="17"/>
      <c r="BJ71" s="34"/>
      <c r="BK71" s="17"/>
      <c r="BL71" s="34"/>
      <c r="BM71" s="17"/>
      <c r="BN71" s="34"/>
      <c r="BO71" s="17"/>
    </row>
    <row r="72" hidden="1" outlineLevel="1">
      <c r="A72" s="26" t="str">
        <f>B72&amp;D72</f>
        <v>JuneREVATHI.S</v>
      </c>
      <c r="B72" s="27" t="s">
        <v>21</v>
      </c>
      <c r="C72" s="27" t="s">
        <v>46</v>
      </c>
      <c r="D72" s="28" t="str">
        <f>IFERROR(VLOOKUP(C72,'Employees List'!$B$2:$E1424,4,0),"")</f>
        <v>REVATHI.S</v>
      </c>
      <c r="E72" s="29">
        <f>COUNTIF(F72:BO72,TRUE)/2</f>
        <v>29</v>
      </c>
      <c r="F72" s="30" t="b">
        <v>1</v>
      </c>
      <c r="G72" s="30" t="b">
        <v>1</v>
      </c>
      <c r="H72" s="30" t="b">
        <v>0</v>
      </c>
      <c r="I72" s="30" t="b">
        <v>0</v>
      </c>
      <c r="J72" s="30" t="b">
        <v>1</v>
      </c>
      <c r="K72" s="30" t="b">
        <v>1</v>
      </c>
      <c r="L72" s="30" t="b">
        <v>1</v>
      </c>
      <c r="M72" s="30" t="b">
        <v>1</v>
      </c>
      <c r="N72" s="30" t="b">
        <v>1</v>
      </c>
      <c r="O72" s="30" t="b">
        <v>1</v>
      </c>
      <c r="P72" s="30" t="b">
        <v>1</v>
      </c>
      <c r="Q72" s="30" t="b">
        <v>1</v>
      </c>
      <c r="R72" s="30" t="b">
        <v>1</v>
      </c>
      <c r="S72" s="30" t="b">
        <v>1</v>
      </c>
      <c r="T72" s="30" t="b">
        <v>1</v>
      </c>
      <c r="U72" s="30" t="b">
        <v>1</v>
      </c>
      <c r="V72" s="30" t="b">
        <v>1</v>
      </c>
      <c r="W72" s="30" t="b">
        <v>1</v>
      </c>
      <c r="X72" s="30" t="b">
        <v>1</v>
      </c>
      <c r="Y72" s="30" t="b">
        <v>1</v>
      </c>
      <c r="Z72" s="30" t="b">
        <v>1</v>
      </c>
      <c r="AA72" s="30" t="b">
        <v>1</v>
      </c>
      <c r="AB72" s="30" t="b">
        <v>1</v>
      </c>
      <c r="AC72" s="30" t="b">
        <v>1</v>
      </c>
      <c r="AD72" s="30" t="b">
        <v>1</v>
      </c>
      <c r="AE72" s="30" t="b">
        <v>1</v>
      </c>
      <c r="AF72" s="30" t="b">
        <v>1</v>
      </c>
      <c r="AG72" s="30" t="b">
        <v>1</v>
      </c>
      <c r="AH72" s="30" t="b">
        <v>1</v>
      </c>
      <c r="AI72" s="30" t="b">
        <v>1</v>
      </c>
      <c r="AJ72" s="30" t="b">
        <v>1</v>
      </c>
      <c r="AK72" s="30" t="b">
        <v>1</v>
      </c>
      <c r="AL72" s="30" t="b">
        <v>1</v>
      </c>
      <c r="AM72" s="30" t="b">
        <v>1</v>
      </c>
      <c r="AN72" s="30" t="b">
        <v>1</v>
      </c>
      <c r="AO72" s="30" t="b">
        <v>1</v>
      </c>
      <c r="AP72" s="30" t="b">
        <v>1</v>
      </c>
      <c r="AQ72" s="30" t="b">
        <v>1</v>
      </c>
      <c r="AR72" s="30" t="b">
        <v>1</v>
      </c>
      <c r="AS72" s="30" t="b">
        <v>1</v>
      </c>
      <c r="AT72" s="30" t="b">
        <v>1</v>
      </c>
      <c r="AU72" s="30" t="b">
        <v>1</v>
      </c>
      <c r="AV72" s="30" t="b">
        <v>1</v>
      </c>
      <c r="AW72" s="30" t="b">
        <v>1</v>
      </c>
      <c r="AX72" s="30" t="b">
        <v>1</v>
      </c>
      <c r="AY72" s="30" t="b">
        <v>1</v>
      </c>
      <c r="AZ72" s="30" t="b">
        <v>1</v>
      </c>
      <c r="BA72" s="30" t="b">
        <v>1</v>
      </c>
      <c r="BB72" s="30" t="b">
        <v>1</v>
      </c>
      <c r="BC72" s="30" t="b">
        <v>1</v>
      </c>
      <c r="BD72" s="30" t="b">
        <v>1</v>
      </c>
      <c r="BE72" s="30" t="b">
        <v>1</v>
      </c>
      <c r="BF72" s="30" t="b">
        <v>1</v>
      </c>
      <c r="BG72" s="30" t="b">
        <v>1</v>
      </c>
      <c r="BH72" s="30" t="b">
        <v>1</v>
      </c>
      <c r="BI72" s="30" t="b">
        <v>1</v>
      </c>
      <c r="BJ72" s="30" t="b">
        <v>1</v>
      </c>
      <c r="BK72" s="30" t="b">
        <v>1</v>
      </c>
      <c r="BL72" s="30" t="b">
        <v>1</v>
      </c>
      <c r="BM72" s="30" t="b">
        <v>1</v>
      </c>
      <c r="BN72" s="30" t="b">
        <v>0</v>
      </c>
      <c r="BO72" s="30" t="b">
        <v>0</v>
      </c>
    </row>
    <row r="73" hidden="1" outlineLevel="1">
      <c r="A73" s="31" t="str">
        <f>A72&amp;C73</f>
        <v>JuneREVATHI.SOT HOURS</v>
      </c>
      <c r="B73" s="32"/>
      <c r="C73" s="33" t="s">
        <v>169</v>
      </c>
      <c r="D73" s="17"/>
      <c r="E73" s="29">
        <f>SUM(F73:BO73)</f>
        <v>38</v>
      </c>
      <c r="F73" s="34"/>
      <c r="G73" s="17"/>
      <c r="H73" s="34"/>
      <c r="I73" s="17"/>
      <c r="J73" s="34">
        <v>1.0</v>
      </c>
      <c r="K73" s="17"/>
      <c r="L73" s="34">
        <v>2.0</v>
      </c>
      <c r="M73" s="17"/>
      <c r="N73" s="34">
        <v>2.0</v>
      </c>
      <c r="O73" s="17"/>
      <c r="P73" s="34">
        <v>2.0</v>
      </c>
      <c r="Q73" s="17"/>
      <c r="R73" s="34">
        <v>2.0</v>
      </c>
      <c r="S73" s="17"/>
      <c r="T73" s="34"/>
      <c r="U73" s="17"/>
      <c r="V73" s="34"/>
      <c r="W73" s="17"/>
      <c r="X73" s="34">
        <v>2.0</v>
      </c>
      <c r="Y73" s="17"/>
      <c r="Z73" s="34">
        <v>2.0</v>
      </c>
      <c r="AA73" s="17"/>
      <c r="AB73" s="34">
        <v>2.0</v>
      </c>
      <c r="AC73" s="17"/>
      <c r="AD73" s="34">
        <v>2.0</v>
      </c>
      <c r="AE73" s="17"/>
      <c r="AF73" s="34">
        <v>2.0</v>
      </c>
      <c r="AG73" s="17"/>
      <c r="AH73" s="34">
        <v>5.0</v>
      </c>
      <c r="AI73" s="17"/>
      <c r="AJ73" s="34">
        <v>2.0</v>
      </c>
      <c r="AK73" s="17"/>
      <c r="AL73" s="34"/>
      <c r="AM73" s="17"/>
      <c r="AN73" s="34"/>
      <c r="AO73" s="17"/>
      <c r="AP73" s="34">
        <v>2.0</v>
      </c>
      <c r="AQ73" s="17"/>
      <c r="AR73" s="34">
        <v>2.0</v>
      </c>
      <c r="AS73" s="17"/>
      <c r="AT73" s="34">
        <v>2.0</v>
      </c>
      <c r="AU73" s="17"/>
      <c r="AV73" s="34"/>
      <c r="AW73" s="17"/>
      <c r="AX73" s="34">
        <v>2.0</v>
      </c>
      <c r="AY73" s="17"/>
      <c r="AZ73" s="34">
        <v>2.0</v>
      </c>
      <c r="BA73" s="17"/>
      <c r="BB73" s="34"/>
      <c r="BC73" s="17"/>
      <c r="BD73" s="34"/>
      <c r="BE73" s="17"/>
      <c r="BF73" s="34"/>
      <c r="BG73" s="17"/>
      <c r="BH73" s="34"/>
      <c r="BI73" s="17"/>
      <c r="BJ73" s="34"/>
      <c r="BK73" s="17"/>
      <c r="BL73" s="34">
        <v>2.0</v>
      </c>
      <c r="BM73" s="17"/>
      <c r="BN73" s="34"/>
      <c r="BO73" s="17"/>
    </row>
    <row r="74" hidden="1" outlineLevel="1">
      <c r="A74" s="26" t="str">
        <f>B74&amp;D74</f>
        <v>JuneLEELAVATHI.M</v>
      </c>
      <c r="B74" s="27" t="s">
        <v>21</v>
      </c>
      <c r="C74" s="27" t="s">
        <v>74</v>
      </c>
      <c r="D74" s="28" t="str">
        <f>IFERROR(VLOOKUP(C74,'Employees List'!$B$2:$E1424,4,0),"")</f>
        <v>LEELAVATHI.M</v>
      </c>
      <c r="E74" s="29">
        <f>COUNTIF(F74:BO74,TRUE)/2</f>
        <v>29</v>
      </c>
      <c r="F74" s="30" t="b">
        <v>1</v>
      </c>
      <c r="G74" s="30" t="b">
        <v>1</v>
      </c>
      <c r="H74" s="30" t="b">
        <v>1</v>
      </c>
      <c r="I74" s="30" t="b">
        <v>1</v>
      </c>
      <c r="J74" s="30" t="b">
        <v>1</v>
      </c>
      <c r="K74" s="30" t="b">
        <v>1</v>
      </c>
      <c r="L74" s="30" t="b">
        <v>1</v>
      </c>
      <c r="M74" s="30" t="b">
        <v>1</v>
      </c>
      <c r="N74" s="30" t="b">
        <v>1</v>
      </c>
      <c r="O74" s="30" t="b">
        <v>1</v>
      </c>
      <c r="P74" s="30" t="b">
        <v>1</v>
      </c>
      <c r="Q74" s="30" t="b">
        <v>1</v>
      </c>
      <c r="R74" s="30" t="b">
        <v>1</v>
      </c>
      <c r="S74" s="30" t="b">
        <v>1</v>
      </c>
      <c r="T74" s="30" t="b">
        <v>1</v>
      </c>
      <c r="U74" s="30" t="b">
        <v>1</v>
      </c>
      <c r="V74" s="30" t="b">
        <v>1</v>
      </c>
      <c r="W74" s="30" t="b">
        <v>1</v>
      </c>
      <c r="X74" s="30" t="b">
        <v>1</v>
      </c>
      <c r="Y74" s="30" t="b">
        <v>1</v>
      </c>
      <c r="Z74" s="30" t="b">
        <v>1</v>
      </c>
      <c r="AA74" s="30" t="b">
        <v>1</v>
      </c>
      <c r="AB74" s="30" t="b">
        <v>1</v>
      </c>
      <c r="AC74" s="30" t="b">
        <v>1</v>
      </c>
      <c r="AD74" s="30" t="b">
        <v>1</v>
      </c>
      <c r="AE74" s="30" t="b">
        <v>1</v>
      </c>
      <c r="AF74" s="30" t="b">
        <v>1</v>
      </c>
      <c r="AG74" s="30" t="b">
        <v>1</v>
      </c>
      <c r="AH74" s="30" t="b">
        <v>1</v>
      </c>
      <c r="AI74" s="30" t="b">
        <v>1</v>
      </c>
      <c r="AJ74" s="30" t="b">
        <v>1</v>
      </c>
      <c r="AK74" s="30" t="b">
        <v>1</v>
      </c>
      <c r="AL74" s="30" t="b">
        <v>1</v>
      </c>
      <c r="AM74" s="30" t="b">
        <v>1</v>
      </c>
      <c r="AN74" s="30" t="b">
        <v>1</v>
      </c>
      <c r="AO74" s="30" t="b">
        <v>1</v>
      </c>
      <c r="AP74" s="30" t="b">
        <v>1</v>
      </c>
      <c r="AQ74" s="30" t="b">
        <v>1</v>
      </c>
      <c r="AR74" s="30" t="b">
        <v>1</v>
      </c>
      <c r="AS74" s="30" t="b">
        <v>1</v>
      </c>
      <c r="AT74" s="30" t="b">
        <v>1</v>
      </c>
      <c r="AU74" s="30" t="b">
        <v>1</v>
      </c>
      <c r="AV74" s="30" t="b">
        <v>1</v>
      </c>
      <c r="AW74" s="30" t="b">
        <v>1</v>
      </c>
      <c r="AX74" s="30" t="b">
        <v>1</v>
      </c>
      <c r="AY74" s="30" t="b">
        <v>1</v>
      </c>
      <c r="AZ74" s="30" t="b">
        <v>1</v>
      </c>
      <c r="BA74" s="30" t="b">
        <v>1</v>
      </c>
      <c r="BB74" s="30" t="b">
        <v>0</v>
      </c>
      <c r="BC74" s="30" t="b">
        <v>0</v>
      </c>
      <c r="BD74" s="30" t="b">
        <v>1</v>
      </c>
      <c r="BE74" s="30" t="b">
        <v>1</v>
      </c>
      <c r="BF74" s="30" t="b">
        <v>1</v>
      </c>
      <c r="BG74" s="30" t="b">
        <v>1</v>
      </c>
      <c r="BH74" s="30" t="b">
        <v>1</v>
      </c>
      <c r="BI74" s="30" t="b">
        <v>1</v>
      </c>
      <c r="BJ74" s="30" t="b">
        <v>1</v>
      </c>
      <c r="BK74" s="30" t="b">
        <v>1</v>
      </c>
      <c r="BL74" s="30" t="b">
        <v>1</v>
      </c>
      <c r="BM74" s="30" t="b">
        <v>1</v>
      </c>
      <c r="BN74" s="30" t="b">
        <v>0</v>
      </c>
      <c r="BO74" s="30" t="b">
        <v>0</v>
      </c>
    </row>
    <row r="75" hidden="1" outlineLevel="1">
      <c r="A75" s="31" t="str">
        <f>A74&amp;C75</f>
        <v>JuneLEELAVATHI.MOT HOURS</v>
      </c>
      <c r="B75" s="32"/>
      <c r="C75" s="33" t="s">
        <v>169</v>
      </c>
      <c r="D75" s="17"/>
      <c r="E75" s="29">
        <f>SUM(F75:BO75)</f>
        <v>3</v>
      </c>
      <c r="F75" s="34"/>
      <c r="G75" s="17"/>
      <c r="H75" s="34">
        <v>1.0</v>
      </c>
      <c r="I75" s="17"/>
      <c r="J75" s="34"/>
      <c r="K75" s="17"/>
      <c r="L75" s="34"/>
      <c r="M75" s="17"/>
      <c r="N75" s="34"/>
      <c r="O75" s="17"/>
      <c r="P75" s="34"/>
      <c r="Q75" s="17"/>
      <c r="R75" s="34"/>
      <c r="S75" s="17"/>
      <c r="T75" s="34"/>
      <c r="U75" s="17"/>
      <c r="V75" s="34"/>
      <c r="W75" s="17"/>
      <c r="X75" s="34"/>
      <c r="Y75" s="17"/>
      <c r="Z75" s="34">
        <v>1.0</v>
      </c>
      <c r="AA75" s="17"/>
      <c r="AB75" s="34">
        <v>1.0</v>
      </c>
      <c r="AC75" s="17"/>
      <c r="AD75" s="34"/>
      <c r="AE75" s="17"/>
      <c r="AF75" s="34"/>
      <c r="AG75" s="17"/>
      <c r="AH75" s="34"/>
      <c r="AI75" s="17"/>
      <c r="AJ75" s="34"/>
      <c r="AK75" s="17"/>
      <c r="AL75" s="34"/>
      <c r="AM75" s="17"/>
      <c r="AN75" s="34"/>
      <c r="AO75" s="17"/>
      <c r="AP75" s="34"/>
      <c r="AQ75" s="17"/>
      <c r="AR75" s="34"/>
      <c r="AS75" s="17"/>
      <c r="AT75" s="34"/>
      <c r="AU75" s="17"/>
      <c r="AV75" s="34"/>
      <c r="AW75" s="17"/>
      <c r="AX75" s="34"/>
      <c r="AY75" s="17"/>
      <c r="AZ75" s="34"/>
      <c r="BA75" s="17"/>
      <c r="BB75" s="34"/>
      <c r="BC75" s="17"/>
      <c r="BD75" s="34"/>
      <c r="BE75" s="17"/>
      <c r="BF75" s="34"/>
      <c r="BG75" s="17"/>
      <c r="BH75" s="34"/>
      <c r="BI75" s="17"/>
      <c r="BJ75" s="34"/>
      <c r="BK75" s="17"/>
      <c r="BL75" s="34"/>
      <c r="BM75" s="17"/>
      <c r="BN75" s="34"/>
      <c r="BO75" s="17"/>
    </row>
    <row r="76" hidden="1" outlineLevel="1">
      <c r="A76" s="26" t="str">
        <f>B76&amp;D76</f>
        <v>JuneSANJAY BAGARTTI.K</v>
      </c>
      <c r="B76" s="27" t="s">
        <v>21</v>
      </c>
      <c r="C76" s="27" t="s">
        <v>34</v>
      </c>
      <c r="D76" s="28" t="str">
        <f>IFERROR(VLOOKUP(C76,'Employees List'!$B$2:$E1424,4,0),"")</f>
        <v>SANJAY BAGARTTI.K</v>
      </c>
      <c r="E76" s="29">
        <f>COUNTIF(F76:BO76,TRUE)/2</f>
        <v>29</v>
      </c>
      <c r="F76" s="30" t="b">
        <v>1</v>
      </c>
      <c r="G76" s="30" t="b">
        <v>1</v>
      </c>
      <c r="H76" s="30" t="b">
        <v>1</v>
      </c>
      <c r="I76" s="30" t="b">
        <v>1</v>
      </c>
      <c r="J76" s="30" t="b">
        <v>1</v>
      </c>
      <c r="K76" s="30" t="b">
        <v>1</v>
      </c>
      <c r="L76" s="30" t="b">
        <v>1</v>
      </c>
      <c r="M76" s="30" t="b">
        <v>1</v>
      </c>
      <c r="N76" s="30" t="b">
        <v>1</v>
      </c>
      <c r="O76" s="30" t="b">
        <v>1</v>
      </c>
      <c r="P76" s="30" t="b">
        <v>1</v>
      </c>
      <c r="Q76" s="30" t="b">
        <v>1</v>
      </c>
      <c r="R76" s="30" t="b">
        <v>1</v>
      </c>
      <c r="S76" s="30" t="b">
        <v>1</v>
      </c>
      <c r="T76" s="30" t="b">
        <v>1</v>
      </c>
      <c r="U76" s="30" t="b">
        <v>1</v>
      </c>
      <c r="V76" s="30" t="b">
        <v>1</v>
      </c>
      <c r="W76" s="30" t="b">
        <v>1</v>
      </c>
      <c r="X76" s="30" t="b">
        <v>1</v>
      </c>
      <c r="Y76" s="30" t="b">
        <v>1</v>
      </c>
      <c r="Z76" s="30" t="b">
        <v>1</v>
      </c>
      <c r="AA76" s="30" t="b">
        <v>1</v>
      </c>
      <c r="AB76" s="30" t="b">
        <v>1</v>
      </c>
      <c r="AC76" s="30" t="b">
        <v>1</v>
      </c>
      <c r="AD76" s="30" t="b">
        <v>1</v>
      </c>
      <c r="AE76" s="30" t="b">
        <v>1</v>
      </c>
      <c r="AF76" s="30" t="b">
        <v>1</v>
      </c>
      <c r="AG76" s="30" t="b">
        <v>1</v>
      </c>
      <c r="AH76" s="30" t="b">
        <v>1</v>
      </c>
      <c r="AI76" s="30" t="b">
        <v>1</v>
      </c>
      <c r="AJ76" s="30" t="b">
        <v>1</v>
      </c>
      <c r="AK76" s="30" t="b">
        <v>1</v>
      </c>
      <c r="AL76" s="30" t="b">
        <v>1</v>
      </c>
      <c r="AM76" s="30" t="b">
        <v>1</v>
      </c>
      <c r="AN76" s="30" t="b">
        <v>1</v>
      </c>
      <c r="AO76" s="30" t="b">
        <v>1</v>
      </c>
      <c r="AP76" s="30" t="b">
        <v>1</v>
      </c>
      <c r="AQ76" s="30" t="b">
        <v>1</v>
      </c>
      <c r="AR76" s="30" t="b">
        <v>1</v>
      </c>
      <c r="AS76" s="30" t="b">
        <v>1</v>
      </c>
      <c r="AT76" s="30" t="b">
        <v>1</v>
      </c>
      <c r="AU76" s="30" t="b">
        <v>1</v>
      </c>
      <c r="AV76" s="30" t="b">
        <v>1</v>
      </c>
      <c r="AW76" s="30" t="b">
        <v>1</v>
      </c>
      <c r="AX76" s="30" t="b">
        <v>1</v>
      </c>
      <c r="AY76" s="30" t="b">
        <v>1</v>
      </c>
      <c r="AZ76" s="30" t="b">
        <v>1</v>
      </c>
      <c r="BA76" s="30" t="b">
        <v>1</v>
      </c>
      <c r="BB76" s="30" t="b">
        <v>1</v>
      </c>
      <c r="BC76" s="30" t="b">
        <v>1</v>
      </c>
      <c r="BD76" s="30" t="b">
        <v>1</v>
      </c>
      <c r="BE76" s="30" t="b">
        <v>1</v>
      </c>
      <c r="BF76" s="30" t="b">
        <v>0</v>
      </c>
      <c r="BG76" s="30" t="b">
        <v>0</v>
      </c>
      <c r="BH76" s="30" t="b">
        <v>1</v>
      </c>
      <c r="BI76" s="30" t="b">
        <v>1</v>
      </c>
      <c r="BJ76" s="30" t="b">
        <v>1</v>
      </c>
      <c r="BK76" s="30" t="b">
        <v>1</v>
      </c>
      <c r="BL76" s="30" t="b">
        <v>1</v>
      </c>
      <c r="BM76" s="30" t="b">
        <v>1</v>
      </c>
      <c r="BN76" s="30" t="b">
        <v>0</v>
      </c>
      <c r="BO76" s="30" t="b">
        <v>0</v>
      </c>
    </row>
    <row r="77" hidden="1" outlineLevel="1">
      <c r="A77" s="31" t="str">
        <f>A76&amp;C77</f>
        <v>JuneSANJAY BAGARTTI.KOT HOURS</v>
      </c>
      <c r="B77" s="32"/>
      <c r="C77" s="33" t="s">
        <v>169</v>
      </c>
      <c r="D77" s="17"/>
      <c r="E77" s="29">
        <f>SUM(F77:BO77)</f>
        <v>98</v>
      </c>
      <c r="F77" s="34"/>
      <c r="G77" s="17"/>
      <c r="H77" s="34">
        <v>2.0</v>
      </c>
      <c r="I77" s="17"/>
      <c r="J77" s="34">
        <v>3.0</v>
      </c>
      <c r="K77" s="17"/>
      <c r="L77" s="34">
        <v>4.0</v>
      </c>
      <c r="M77" s="17"/>
      <c r="N77" s="34">
        <v>4.0</v>
      </c>
      <c r="O77" s="17"/>
      <c r="P77" s="34">
        <v>2.0</v>
      </c>
      <c r="Q77" s="17"/>
      <c r="R77" s="34">
        <v>6.0</v>
      </c>
      <c r="S77" s="17"/>
      <c r="T77" s="34">
        <v>4.0</v>
      </c>
      <c r="U77" s="17"/>
      <c r="V77" s="34">
        <v>4.0</v>
      </c>
      <c r="W77" s="17"/>
      <c r="X77" s="34">
        <v>5.0</v>
      </c>
      <c r="Y77" s="17"/>
      <c r="Z77" s="34">
        <v>7.0</v>
      </c>
      <c r="AA77" s="17"/>
      <c r="AB77" s="34">
        <v>4.0</v>
      </c>
      <c r="AC77" s="17"/>
      <c r="AD77" s="34">
        <v>5.0</v>
      </c>
      <c r="AE77" s="17"/>
      <c r="AF77" s="34">
        <v>6.0</v>
      </c>
      <c r="AG77" s="17"/>
      <c r="AH77" s="34">
        <v>5.0</v>
      </c>
      <c r="AI77" s="17"/>
      <c r="AJ77" s="34">
        <v>2.0</v>
      </c>
      <c r="AK77" s="17"/>
      <c r="AL77" s="34">
        <v>4.0</v>
      </c>
      <c r="AM77" s="17"/>
      <c r="AN77" s="34">
        <v>2.0</v>
      </c>
      <c r="AO77" s="17"/>
      <c r="AP77" s="34">
        <v>7.0</v>
      </c>
      <c r="AQ77" s="17"/>
      <c r="AR77" s="34">
        <v>4.0</v>
      </c>
      <c r="AS77" s="17"/>
      <c r="AT77" s="34">
        <v>5.0</v>
      </c>
      <c r="AU77" s="17"/>
      <c r="AV77" s="34"/>
      <c r="AW77" s="17"/>
      <c r="AX77" s="34">
        <v>2.0</v>
      </c>
      <c r="AY77" s="17"/>
      <c r="AZ77" s="34">
        <v>4.0</v>
      </c>
      <c r="BA77" s="17"/>
      <c r="BB77" s="34">
        <v>4.0</v>
      </c>
      <c r="BC77" s="17"/>
      <c r="BD77" s="34"/>
      <c r="BE77" s="17"/>
      <c r="BF77" s="34"/>
      <c r="BG77" s="17"/>
      <c r="BH77" s="34"/>
      <c r="BI77" s="17"/>
      <c r="BJ77" s="34"/>
      <c r="BK77" s="17"/>
      <c r="BL77" s="34">
        <v>3.0</v>
      </c>
      <c r="BM77" s="17"/>
      <c r="BN77" s="34"/>
      <c r="BO77" s="17"/>
    </row>
    <row r="78" hidden="1" outlineLevel="1">
      <c r="A78" s="26" t="str">
        <f>B78&amp;D78</f>
        <v>JuneADHIKARI BALIA.A</v>
      </c>
      <c r="B78" s="27" t="s">
        <v>21</v>
      </c>
      <c r="C78" s="27" t="s">
        <v>26</v>
      </c>
      <c r="D78" s="28" t="str">
        <f>IFERROR(VLOOKUP(C78,'Employees List'!$B$2:$E1424,4,0),"")</f>
        <v>ADHIKARI BALIA.A</v>
      </c>
      <c r="E78" s="29">
        <f>COUNTIF(F78:BO78,TRUE)/2</f>
        <v>29</v>
      </c>
      <c r="F78" s="30" t="b">
        <v>1</v>
      </c>
      <c r="G78" s="30" t="b">
        <v>1</v>
      </c>
      <c r="H78" s="30" t="b">
        <v>1</v>
      </c>
      <c r="I78" s="30" t="b">
        <v>1</v>
      </c>
      <c r="J78" s="30" t="b">
        <v>1</v>
      </c>
      <c r="K78" s="30" t="b">
        <v>1</v>
      </c>
      <c r="L78" s="30" t="b">
        <v>1</v>
      </c>
      <c r="M78" s="30" t="b">
        <v>1</v>
      </c>
      <c r="N78" s="30" t="b">
        <v>1</v>
      </c>
      <c r="O78" s="30" t="b">
        <v>1</v>
      </c>
      <c r="P78" s="30" t="b">
        <v>1</v>
      </c>
      <c r="Q78" s="30" t="b">
        <v>1</v>
      </c>
      <c r="R78" s="30" t="b">
        <v>1</v>
      </c>
      <c r="S78" s="30" t="b">
        <v>1</v>
      </c>
      <c r="T78" s="30" t="b">
        <v>1</v>
      </c>
      <c r="U78" s="30" t="b">
        <v>1</v>
      </c>
      <c r="V78" s="30" t="b">
        <v>0</v>
      </c>
      <c r="W78" s="30" t="b">
        <v>0</v>
      </c>
      <c r="X78" s="30" t="b">
        <v>1</v>
      </c>
      <c r="Y78" s="30" t="b">
        <v>1</v>
      </c>
      <c r="Z78" s="30" t="b">
        <v>1</v>
      </c>
      <c r="AA78" s="30" t="b">
        <v>1</v>
      </c>
      <c r="AB78" s="30" t="b">
        <v>1</v>
      </c>
      <c r="AC78" s="30" t="b">
        <v>1</v>
      </c>
      <c r="AD78" s="30" t="b">
        <v>1</v>
      </c>
      <c r="AE78" s="30" t="b">
        <v>1</v>
      </c>
      <c r="AF78" s="30" t="b">
        <v>1</v>
      </c>
      <c r="AG78" s="30" t="b">
        <v>1</v>
      </c>
      <c r="AH78" s="30" t="b">
        <v>1</v>
      </c>
      <c r="AI78" s="30" t="b">
        <v>1</v>
      </c>
      <c r="AJ78" s="30" t="b">
        <v>1</v>
      </c>
      <c r="AK78" s="30" t="b">
        <v>1</v>
      </c>
      <c r="AL78" s="30" t="b">
        <v>1</v>
      </c>
      <c r="AM78" s="30" t="b">
        <v>1</v>
      </c>
      <c r="AN78" s="30" t="b">
        <v>1</v>
      </c>
      <c r="AO78" s="30" t="b">
        <v>1</v>
      </c>
      <c r="AP78" s="30" t="b">
        <v>1</v>
      </c>
      <c r="AQ78" s="30" t="b">
        <v>1</v>
      </c>
      <c r="AR78" s="30" t="b">
        <v>1</v>
      </c>
      <c r="AS78" s="30" t="b">
        <v>1</v>
      </c>
      <c r="AT78" s="30" t="b">
        <v>1</v>
      </c>
      <c r="AU78" s="30" t="b">
        <v>1</v>
      </c>
      <c r="AV78" s="30" t="b">
        <v>1</v>
      </c>
      <c r="AW78" s="30" t="b">
        <v>1</v>
      </c>
      <c r="AX78" s="30" t="b">
        <v>1</v>
      </c>
      <c r="AY78" s="30" t="b">
        <v>1</v>
      </c>
      <c r="AZ78" s="30" t="b">
        <v>1</v>
      </c>
      <c r="BA78" s="30" t="b">
        <v>1</v>
      </c>
      <c r="BB78" s="30" t="b">
        <v>1</v>
      </c>
      <c r="BC78" s="30" t="b">
        <v>1</v>
      </c>
      <c r="BD78" s="30" t="b">
        <v>1</v>
      </c>
      <c r="BE78" s="30" t="b">
        <v>1</v>
      </c>
      <c r="BF78" s="30" t="b">
        <v>1</v>
      </c>
      <c r="BG78" s="30" t="b">
        <v>1</v>
      </c>
      <c r="BH78" s="30" t="b">
        <v>1</v>
      </c>
      <c r="BI78" s="30" t="b">
        <v>1</v>
      </c>
      <c r="BJ78" s="30" t="b">
        <v>1</v>
      </c>
      <c r="BK78" s="30" t="b">
        <v>1</v>
      </c>
      <c r="BL78" s="30" t="b">
        <v>1</v>
      </c>
      <c r="BM78" s="30" t="b">
        <v>1</v>
      </c>
      <c r="BN78" s="30" t="b">
        <v>0</v>
      </c>
      <c r="BO78" s="30" t="b">
        <v>0</v>
      </c>
    </row>
    <row r="79" hidden="1" outlineLevel="1">
      <c r="A79" s="31" t="str">
        <f>A78&amp;C79</f>
        <v>JuneADHIKARI BALIA.AOT HOURS</v>
      </c>
      <c r="B79" s="32"/>
      <c r="C79" s="33" t="s">
        <v>169</v>
      </c>
      <c r="D79" s="17"/>
      <c r="E79" s="29">
        <f>SUM(F79:BO79)</f>
        <v>88</v>
      </c>
      <c r="F79" s="34"/>
      <c r="G79" s="17"/>
      <c r="H79" s="34">
        <v>2.0</v>
      </c>
      <c r="I79" s="17"/>
      <c r="J79" s="34">
        <v>3.0</v>
      </c>
      <c r="K79" s="17"/>
      <c r="L79" s="34">
        <v>4.0</v>
      </c>
      <c r="M79" s="17"/>
      <c r="N79" s="34">
        <v>4.0</v>
      </c>
      <c r="O79" s="17"/>
      <c r="P79" s="34">
        <v>2.0</v>
      </c>
      <c r="Q79" s="17"/>
      <c r="R79" s="34">
        <v>6.0</v>
      </c>
      <c r="S79" s="17"/>
      <c r="T79" s="34">
        <v>4.0</v>
      </c>
      <c r="U79" s="17"/>
      <c r="V79" s="34"/>
      <c r="W79" s="17"/>
      <c r="X79" s="34">
        <v>5.0</v>
      </c>
      <c r="Y79" s="17"/>
      <c r="Z79" s="34">
        <v>5.0</v>
      </c>
      <c r="AA79" s="17"/>
      <c r="AB79" s="34">
        <v>4.0</v>
      </c>
      <c r="AC79" s="17"/>
      <c r="AD79" s="34">
        <v>5.0</v>
      </c>
      <c r="AE79" s="17"/>
      <c r="AF79" s="34">
        <v>6.0</v>
      </c>
      <c r="AG79" s="17"/>
      <c r="AH79" s="34">
        <v>5.0</v>
      </c>
      <c r="AI79" s="17"/>
      <c r="AJ79" s="34">
        <v>2.0</v>
      </c>
      <c r="AK79" s="17"/>
      <c r="AL79" s="34">
        <v>4.0</v>
      </c>
      <c r="AM79" s="17"/>
      <c r="AN79" s="34">
        <v>2.0</v>
      </c>
      <c r="AO79" s="17"/>
      <c r="AP79" s="34">
        <v>7.0</v>
      </c>
      <c r="AQ79" s="17"/>
      <c r="AR79" s="34">
        <v>4.0</v>
      </c>
      <c r="AS79" s="17"/>
      <c r="AT79" s="34">
        <v>4.0</v>
      </c>
      <c r="AU79" s="17"/>
      <c r="AV79" s="34"/>
      <c r="AW79" s="17"/>
      <c r="AX79" s="34">
        <v>2.0</v>
      </c>
      <c r="AY79" s="17"/>
      <c r="AZ79" s="34">
        <v>3.0</v>
      </c>
      <c r="BA79" s="17"/>
      <c r="BB79" s="34">
        <v>2.0</v>
      </c>
      <c r="BC79" s="17"/>
      <c r="BD79" s="34"/>
      <c r="BE79" s="17"/>
      <c r="BF79" s="34"/>
      <c r="BG79" s="17"/>
      <c r="BH79" s="34"/>
      <c r="BI79" s="17"/>
      <c r="BJ79" s="34"/>
      <c r="BK79" s="17"/>
      <c r="BL79" s="34">
        <v>3.0</v>
      </c>
      <c r="BM79" s="17"/>
      <c r="BN79" s="34"/>
      <c r="BO79" s="17"/>
    </row>
    <row r="80" hidden="1" outlineLevel="1">
      <c r="A80" s="26" t="str">
        <f>B80&amp;D80</f>
        <v>JuneRUPESH KISAN</v>
      </c>
      <c r="B80" s="27" t="s">
        <v>21</v>
      </c>
      <c r="C80" s="27" t="s">
        <v>30</v>
      </c>
      <c r="D80" s="28" t="str">
        <f>IFERROR(VLOOKUP(C80,'Employees List'!$B$2:$E1424,4,0),"")</f>
        <v>RUPESH KISAN</v>
      </c>
      <c r="E80" s="29">
        <f>COUNTIF(F80:BO80,TRUE)/2</f>
        <v>29</v>
      </c>
      <c r="F80" s="30" t="b">
        <v>1</v>
      </c>
      <c r="G80" s="30" t="b">
        <v>1</v>
      </c>
      <c r="H80" s="30" t="b">
        <v>1</v>
      </c>
      <c r="I80" s="30" t="b">
        <v>1</v>
      </c>
      <c r="J80" s="30" t="b">
        <v>1</v>
      </c>
      <c r="K80" s="30" t="b">
        <v>1</v>
      </c>
      <c r="L80" s="30" t="b">
        <v>1</v>
      </c>
      <c r="M80" s="30" t="b">
        <v>1</v>
      </c>
      <c r="N80" s="30" t="b">
        <v>1</v>
      </c>
      <c r="O80" s="30" t="b">
        <v>1</v>
      </c>
      <c r="P80" s="30" t="b">
        <v>1</v>
      </c>
      <c r="Q80" s="30" t="b">
        <v>1</v>
      </c>
      <c r="R80" s="30" t="b">
        <v>1</v>
      </c>
      <c r="S80" s="30" t="b">
        <v>1</v>
      </c>
      <c r="T80" s="30" t="b">
        <v>1</v>
      </c>
      <c r="U80" s="30" t="b">
        <v>1</v>
      </c>
      <c r="V80" s="30" t="b">
        <v>1</v>
      </c>
      <c r="W80" s="30" t="b">
        <v>1</v>
      </c>
      <c r="X80" s="30" t="b">
        <v>1</v>
      </c>
      <c r="Y80" s="30" t="b">
        <v>1</v>
      </c>
      <c r="Z80" s="30" t="b">
        <v>1</v>
      </c>
      <c r="AA80" s="30" t="b">
        <v>1</v>
      </c>
      <c r="AB80" s="30" t="b">
        <v>1</v>
      </c>
      <c r="AC80" s="30" t="b">
        <v>1</v>
      </c>
      <c r="AD80" s="30" t="b">
        <v>1</v>
      </c>
      <c r="AE80" s="30" t="b">
        <v>1</v>
      </c>
      <c r="AF80" s="30" t="b">
        <v>1</v>
      </c>
      <c r="AG80" s="30" t="b">
        <v>1</v>
      </c>
      <c r="AH80" s="30" t="b">
        <v>1</v>
      </c>
      <c r="AI80" s="30" t="b">
        <v>1</v>
      </c>
      <c r="AJ80" s="30" t="b">
        <v>1</v>
      </c>
      <c r="AK80" s="30" t="b">
        <v>1</v>
      </c>
      <c r="AL80" s="30" t="b">
        <v>1</v>
      </c>
      <c r="AM80" s="30" t="b">
        <v>1</v>
      </c>
      <c r="AN80" s="30" t="b">
        <v>1</v>
      </c>
      <c r="AO80" s="30" t="b">
        <v>1</v>
      </c>
      <c r="AP80" s="30" t="b">
        <v>1</v>
      </c>
      <c r="AQ80" s="30" t="b">
        <v>1</v>
      </c>
      <c r="AR80" s="30" t="b">
        <v>1</v>
      </c>
      <c r="AS80" s="30" t="b">
        <v>1</v>
      </c>
      <c r="AT80" s="30" t="b">
        <v>1</v>
      </c>
      <c r="AU80" s="30" t="b">
        <v>1</v>
      </c>
      <c r="AV80" s="30" t="b">
        <v>1</v>
      </c>
      <c r="AW80" s="30" t="b">
        <v>1</v>
      </c>
      <c r="AX80" s="30" t="b">
        <v>0</v>
      </c>
      <c r="AY80" s="30" t="b">
        <v>0</v>
      </c>
      <c r="AZ80" s="30" t="b">
        <v>1</v>
      </c>
      <c r="BA80" s="30" t="b">
        <v>1</v>
      </c>
      <c r="BB80" s="30" t="b">
        <v>1</v>
      </c>
      <c r="BC80" s="30" t="b">
        <v>1</v>
      </c>
      <c r="BD80" s="30" t="b">
        <v>1</v>
      </c>
      <c r="BE80" s="30" t="b">
        <v>1</v>
      </c>
      <c r="BF80" s="30" t="b">
        <v>1</v>
      </c>
      <c r="BG80" s="30" t="b">
        <v>1</v>
      </c>
      <c r="BH80" s="30" t="b">
        <v>1</v>
      </c>
      <c r="BI80" s="30" t="b">
        <v>1</v>
      </c>
      <c r="BJ80" s="30" t="b">
        <v>1</v>
      </c>
      <c r="BK80" s="30" t="b">
        <v>1</v>
      </c>
      <c r="BL80" s="30" t="b">
        <v>1</v>
      </c>
      <c r="BM80" s="30" t="b">
        <v>1</v>
      </c>
      <c r="BN80" s="30" t="b">
        <v>0</v>
      </c>
      <c r="BO80" s="30" t="b">
        <v>0</v>
      </c>
    </row>
    <row r="81" hidden="1" outlineLevel="1">
      <c r="A81" s="31" t="str">
        <f>A80&amp;C81</f>
        <v>JuneRUPESH KISANOT HOURS</v>
      </c>
      <c r="B81" s="32"/>
      <c r="C81" s="33" t="s">
        <v>169</v>
      </c>
      <c r="D81" s="17"/>
      <c r="E81" s="29">
        <f>SUM(F81:BO81)</f>
        <v>80</v>
      </c>
      <c r="F81" s="34"/>
      <c r="G81" s="17"/>
      <c r="H81" s="34">
        <v>2.0</v>
      </c>
      <c r="I81" s="17"/>
      <c r="J81" s="34">
        <v>3.0</v>
      </c>
      <c r="K81" s="17"/>
      <c r="L81" s="34">
        <v>8.0</v>
      </c>
      <c r="M81" s="17"/>
      <c r="N81" s="34">
        <v>4.0</v>
      </c>
      <c r="O81" s="17"/>
      <c r="P81" s="34">
        <v>2.0</v>
      </c>
      <c r="Q81" s="17"/>
      <c r="R81" s="34">
        <v>2.0</v>
      </c>
      <c r="S81" s="17"/>
      <c r="T81" s="34">
        <v>4.0</v>
      </c>
      <c r="U81" s="17"/>
      <c r="V81" s="34">
        <v>2.0</v>
      </c>
      <c r="W81" s="17"/>
      <c r="X81" s="34">
        <v>5.0</v>
      </c>
      <c r="Y81" s="17"/>
      <c r="Z81" s="34">
        <v>5.0</v>
      </c>
      <c r="AA81" s="17"/>
      <c r="AB81" s="34">
        <v>4.0</v>
      </c>
      <c r="AC81" s="17"/>
      <c r="AD81" s="34">
        <v>4.0</v>
      </c>
      <c r="AE81" s="17"/>
      <c r="AF81" s="34">
        <v>5.0</v>
      </c>
      <c r="AG81" s="17"/>
      <c r="AH81" s="34">
        <v>5.0</v>
      </c>
      <c r="AI81" s="17"/>
      <c r="AJ81" s="34">
        <v>2.0</v>
      </c>
      <c r="AK81" s="17"/>
      <c r="AL81" s="34">
        <v>4.0</v>
      </c>
      <c r="AM81" s="17"/>
      <c r="AN81" s="34">
        <v>2.0</v>
      </c>
      <c r="AO81" s="17"/>
      <c r="AP81" s="34">
        <v>4.0</v>
      </c>
      <c r="AQ81" s="17"/>
      <c r="AR81" s="34">
        <v>4.0</v>
      </c>
      <c r="AS81" s="17"/>
      <c r="AT81" s="34">
        <v>2.0</v>
      </c>
      <c r="AU81" s="17"/>
      <c r="AV81" s="34"/>
      <c r="AW81" s="17"/>
      <c r="AX81" s="34"/>
      <c r="AY81" s="17"/>
      <c r="AZ81" s="34">
        <v>3.0</v>
      </c>
      <c r="BA81" s="17"/>
      <c r="BB81" s="34">
        <v>2.0</v>
      </c>
      <c r="BC81" s="17"/>
      <c r="BD81" s="34"/>
      <c r="BE81" s="17"/>
      <c r="BF81" s="34"/>
      <c r="BG81" s="17"/>
      <c r="BH81" s="34"/>
      <c r="BI81" s="17"/>
      <c r="BJ81" s="34"/>
      <c r="BK81" s="17"/>
      <c r="BL81" s="34">
        <v>2.0</v>
      </c>
      <c r="BM81" s="17"/>
      <c r="BN81" s="34"/>
      <c r="BO81" s="17"/>
    </row>
    <row r="82" hidden="1" outlineLevel="1">
      <c r="A82" s="26" t="str">
        <f>B82&amp;D82</f>
        <v>JuneLIPAN</v>
      </c>
      <c r="B82" s="27" t="s">
        <v>21</v>
      </c>
      <c r="C82" s="27" t="s">
        <v>87</v>
      </c>
      <c r="D82" s="28" t="str">
        <f>IFERROR(VLOOKUP(C82,'Employees List'!$B$2:$E1424,4,0),"")</f>
        <v>LIPAN</v>
      </c>
      <c r="E82" s="29">
        <f>COUNTIF(F82:BO82,TRUE)/2</f>
        <v>30</v>
      </c>
      <c r="F82" s="30" t="b">
        <v>1</v>
      </c>
      <c r="G82" s="30" t="b">
        <v>1</v>
      </c>
      <c r="H82" s="30" t="b">
        <v>1</v>
      </c>
      <c r="I82" s="30" t="b">
        <v>1</v>
      </c>
      <c r="J82" s="30" t="b">
        <v>1</v>
      </c>
      <c r="K82" s="30" t="b">
        <v>1</v>
      </c>
      <c r="L82" s="30" t="b">
        <v>1</v>
      </c>
      <c r="M82" s="30" t="b">
        <v>1</v>
      </c>
      <c r="N82" s="30" t="b">
        <v>1</v>
      </c>
      <c r="O82" s="30" t="b">
        <v>1</v>
      </c>
      <c r="P82" s="30" t="b">
        <v>1</v>
      </c>
      <c r="Q82" s="30" t="b">
        <v>1</v>
      </c>
      <c r="R82" s="30" t="b">
        <v>1</v>
      </c>
      <c r="S82" s="30" t="b">
        <v>1</v>
      </c>
      <c r="T82" s="30" t="b">
        <v>1</v>
      </c>
      <c r="U82" s="30" t="b">
        <v>1</v>
      </c>
      <c r="V82" s="30" t="b">
        <v>1</v>
      </c>
      <c r="W82" s="30" t="b">
        <v>1</v>
      </c>
      <c r="X82" s="30" t="b">
        <v>1</v>
      </c>
      <c r="Y82" s="30" t="b">
        <v>1</v>
      </c>
      <c r="Z82" s="30" t="b">
        <v>1</v>
      </c>
      <c r="AA82" s="30" t="b">
        <v>1</v>
      </c>
      <c r="AB82" s="30" t="b">
        <v>1</v>
      </c>
      <c r="AC82" s="30" t="b">
        <v>1</v>
      </c>
      <c r="AD82" s="30" t="b">
        <v>1</v>
      </c>
      <c r="AE82" s="30" t="b">
        <v>1</v>
      </c>
      <c r="AF82" s="30" t="b">
        <v>1</v>
      </c>
      <c r="AG82" s="30" t="b">
        <v>1</v>
      </c>
      <c r="AH82" s="30" t="b">
        <v>1</v>
      </c>
      <c r="AI82" s="30" t="b">
        <v>1</v>
      </c>
      <c r="AJ82" s="30" t="b">
        <v>1</v>
      </c>
      <c r="AK82" s="30" t="b">
        <v>1</v>
      </c>
      <c r="AL82" s="30" t="b">
        <v>1</v>
      </c>
      <c r="AM82" s="30" t="b">
        <v>1</v>
      </c>
      <c r="AN82" s="30" t="b">
        <v>1</v>
      </c>
      <c r="AO82" s="30" t="b">
        <v>1</v>
      </c>
      <c r="AP82" s="30" t="b">
        <v>1</v>
      </c>
      <c r="AQ82" s="30" t="b">
        <v>1</v>
      </c>
      <c r="AR82" s="30" t="b">
        <v>1</v>
      </c>
      <c r="AS82" s="30" t="b">
        <v>1</v>
      </c>
      <c r="AT82" s="30" t="b">
        <v>1</v>
      </c>
      <c r="AU82" s="30" t="b">
        <v>1</v>
      </c>
      <c r="AV82" s="30" t="b">
        <v>1</v>
      </c>
      <c r="AW82" s="30" t="b">
        <v>1</v>
      </c>
      <c r="AX82" s="30" t="b">
        <v>1</v>
      </c>
      <c r="AY82" s="30" t="b">
        <v>1</v>
      </c>
      <c r="AZ82" s="30" t="b">
        <v>1</v>
      </c>
      <c r="BA82" s="30" t="b">
        <v>1</v>
      </c>
      <c r="BB82" s="30" t="b">
        <v>1</v>
      </c>
      <c r="BC82" s="30" t="b">
        <v>1</v>
      </c>
      <c r="BD82" s="30" t="b">
        <v>1</v>
      </c>
      <c r="BE82" s="30" t="b">
        <v>1</v>
      </c>
      <c r="BF82" s="30" t="b">
        <v>1</v>
      </c>
      <c r="BG82" s="30" t="b">
        <v>1</v>
      </c>
      <c r="BH82" s="30" t="b">
        <v>1</v>
      </c>
      <c r="BI82" s="30" t="b">
        <v>1</v>
      </c>
      <c r="BJ82" s="30" t="b">
        <v>1</v>
      </c>
      <c r="BK82" s="30" t="b">
        <v>1</v>
      </c>
      <c r="BL82" s="30" t="b">
        <v>1</v>
      </c>
      <c r="BM82" s="30" t="b">
        <v>1</v>
      </c>
      <c r="BN82" s="30" t="b">
        <v>0</v>
      </c>
      <c r="BO82" s="30" t="b">
        <v>0</v>
      </c>
    </row>
    <row r="83" hidden="1" outlineLevel="1">
      <c r="A83" s="31" t="str">
        <f>A82&amp;C83</f>
        <v>JuneLIPANOT HOURS</v>
      </c>
      <c r="B83" s="32"/>
      <c r="C83" s="33" t="s">
        <v>169</v>
      </c>
      <c r="D83" s="17"/>
      <c r="E83" s="29">
        <f>SUM(F83:BO83)</f>
        <v>95</v>
      </c>
      <c r="F83" s="34"/>
      <c r="G83" s="17"/>
      <c r="H83" s="34">
        <v>2.0</v>
      </c>
      <c r="I83" s="17"/>
      <c r="J83" s="34">
        <v>3.0</v>
      </c>
      <c r="K83" s="17"/>
      <c r="L83" s="34">
        <v>4.0</v>
      </c>
      <c r="M83" s="17"/>
      <c r="N83" s="34">
        <v>4.0</v>
      </c>
      <c r="O83" s="17"/>
      <c r="P83" s="34">
        <v>2.0</v>
      </c>
      <c r="Q83" s="17"/>
      <c r="R83" s="34">
        <v>6.0</v>
      </c>
      <c r="S83" s="17"/>
      <c r="T83" s="34">
        <v>4.0</v>
      </c>
      <c r="U83" s="17"/>
      <c r="V83" s="34">
        <v>3.0</v>
      </c>
      <c r="W83" s="17"/>
      <c r="X83" s="34">
        <v>5.0</v>
      </c>
      <c r="Y83" s="17"/>
      <c r="Z83" s="34">
        <v>7.0</v>
      </c>
      <c r="AA83" s="17"/>
      <c r="AB83" s="34">
        <v>4.0</v>
      </c>
      <c r="AC83" s="17"/>
      <c r="AD83" s="34">
        <v>4.0</v>
      </c>
      <c r="AE83" s="17"/>
      <c r="AF83" s="34">
        <v>5.0</v>
      </c>
      <c r="AG83" s="17"/>
      <c r="AH83" s="34">
        <v>5.0</v>
      </c>
      <c r="AI83" s="17"/>
      <c r="AJ83" s="34">
        <v>2.0</v>
      </c>
      <c r="AK83" s="17"/>
      <c r="AL83" s="34">
        <v>4.0</v>
      </c>
      <c r="AM83" s="17"/>
      <c r="AN83" s="34">
        <v>2.0</v>
      </c>
      <c r="AO83" s="17"/>
      <c r="AP83" s="34">
        <v>5.0</v>
      </c>
      <c r="AQ83" s="17"/>
      <c r="AR83" s="34">
        <v>4.0</v>
      </c>
      <c r="AS83" s="17"/>
      <c r="AT83" s="34">
        <v>4.0</v>
      </c>
      <c r="AU83" s="17"/>
      <c r="AV83" s="34"/>
      <c r="AW83" s="17"/>
      <c r="AX83" s="34">
        <v>5.0</v>
      </c>
      <c r="AY83" s="17"/>
      <c r="AZ83" s="34">
        <v>4.0</v>
      </c>
      <c r="BA83" s="17"/>
      <c r="BB83" s="34">
        <v>4.0</v>
      </c>
      <c r="BC83" s="17"/>
      <c r="BD83" s="34"/>
      <c r="BE83" s="17"/>
      <c r="BF83" s="34"/>
      <c r="BG83" s="17"/>
      <c r="BH83" s="34"/>
      <c r="BI83" s="17"/>
      <c r="BJ83" s="34"/>
      <c r="BK83" s="17"/>
      <c r="BL83" s="34">
        <v>3.0</v>
      </c>
      <c r="BM83" s="17"/>
      <c r="BN83" s="34"/>
      <c r="BO83" s="17"/>
    </row>
    <row r="84" hidden="1" outlineLevel="1">
      <c r="A84" s="26" t="str">
        <f>B84&amp;D84</f>
        <v>JuneNILAMANI KISAN.B</v>
      </c>
      <c r="B84" s="27" t="s">
        <v>21</v>
      </c>
      <c r="C84" s="27" t="s">
        <v>92</v>
      </c>
      <c r="D84" s="28" t="str">
        <f>IFERROR(VLOOKUP(C84,'Employees List'!$B$2:$E1424,4,0),"")</f>
        <v>NILAMANI KISAN.B</v>
      </c>
      <c r="E84" s="29">
        <f>COUNTIF(F84:BO84,TRUE)/2</f>
        <v>15</v>
      </c>
      <c r="F84" s="30" t="b">
        <v>1</v>
      </c>
      <c r="G84" s="30" t="b">
        <v>1</v>
      </c>
      <c r="H84" s="30" t="b">
        <v>1</v>
      </c>
      <c r="I84" s="30" t="b">
        <v>1</v>
      </c>
      <c r="J84" s="30" t="b">
        <v>1</v>
      </c>
      <c r="K84" s="30" t="b">
        <v>1</v>
      </c>
      <c r="L84" s="30" t="b">
        <v>0</v>
      </c>
      <c r="M84" s="30" t="b">
        <v>0</v>
      </c>
      <c r="N84" s="30" t="b">
        <v>1</v>
      </c>
      <c r="O84" s="30" t="b">
        <v>1</v>
      </c>
      <c r="P84" s="30" t="b">
        <v>1</v>
      </c>
      <c r="Q84" s="30" t="b">
        <v>1</v>
      </c>
      <c r="R84" s="30" t="b">
        <v>1</v>
      </c>
      <c r="S84" s="30" t="b">
        <v>1</v>
      </c>
      <c r="T84" s="30" t="b">
        <v>1</v>
      </c>
      <c r="U84" s="30" t="b">
        <v>1</v>
      </c>
      <c r="V84" s="30" t="b">
        <v>1</v>
      </c>
      <c r="W84" s="30" t="b">
        <v>1</v>
      </c>
      <c r="X84" s="30" t="b">
        <v>1</v>
      </c>
      <c r="Y84" s="30" t="b">
        <v>1</v>
      </c>
      <c r="Z84" s="30" t="b">
        <v>1</v>
      </c>
      <c r="AA84" s="30" t="b">
        <v>1</v>
      </c>
      <c r="AB84" s="30" t="b">
        <v>1</v>
      </c>
      <c r="AC84" s="30" t="b">
        <v>1</v>
      </c>
      <c r="AD84" s="30" t="b">
        <v>1</v>
      </c>
      <c r="AE84" s="30" t="b">
        <v>1</v>
      </c>
      <c r="AF84" s="30" t="b">
        <v>1</v>
      </c>
      <c r="AG84" s="30" t="b">
        <v>1</v>
      </c>
      <c r="AH84" s="30" t="b">
        <v>1</v>
      </c>
      <c r="AI84" s="30" t="b">
        <v>1</v>
      </c>
      <c r="AJ84" s="30" t="b">
        <v>1</v>
      </c>
      <c r="AK84" s="30" t="b">
        <v>1</v>
      </c>
      <c r="AL84" s="30" t="b">
        <v>0</v>
      </c>
      <c r="AM84" s="30" t="b">
        <v>0</v>
      </c>
      <c r="AN84" s="30" t="b">
        <v>0</v>
      </c>
      <c r="AO84" s="30" t="b">
        <v>0</v>
      </c>
      <c r="AP84" s="30" t="b">
        <v>0</v>
      </c>
      <c r="AQ84" s="30" t="b">
        <v>0</v>
      </c>
      <c r="AR84" s="30" t="b">
        <v>0</v>
      </c>
      <c r="AS84" s="30" t="b">
        <v>0</v>
      </c>
      <c r="AT84" s="30" t="b">
        <v>0</v>
      </c>
      <c r="AU84" s="30" t="b">
        <v>0</v>
      </c>
      <c r="AV84" s="30" t="b">
        <v>0</v>
      </c>
      <c r="AW84" s="30" t="b">
        <v>0</v>
      </c>
      <c r="AX84" s="30" t="b">
        <v>0</v>
      </c>
      <c r="AY84" s="30" t="b">
        <v>0</v>
      </c>
      <c r="AZ84" s="30" t="b">
        <v>0</v>
      </c>
      <c r="BA84" s="30" t="b">
        <v>0</v>
      </c>
      <c r="BB84" s="30" t="b">
        <v>0</v>
      </c>
      <c r="BC84" s="30" t="b">
        <v>0</v>
      </c>
      <c r="BD84" s="30" t="b">
        <v>0</v>
      </c>
      <c r="BE84" s="30" t="b">
        <v>0</v>
      </c>
      <c r="BF84" s="30" t="b">
        <v>0</v>
      </c>
      <c r="BG84" s="30" t="b">
        <v>0</v>
      </c>
      <c r="BH84" s="30" t="b">
        <v>0</v>
      </c>
      <c r="BI84" s="30" t="b">
        <v>0</v>
      </c>
      <c r="BJ84" s="30" t="b">
        <v>0</v>
      </c>
      <c r="BK84" s="30" t="b">
        <v>0</v>
      </c>
      <c r="BL84" s="30" t="b">
        <v>0</v>
      </c>
      <c r="BM84" s="30" t="b">
        <v>0</v>
      </c>
      <c r="BN84" s="30" t="b">
        <v>0</v>
      </c>
      <c r="BO84" s="30" t="b">
        <v>0</v>
      </c>
    </row>
    <row r="85" hidden="1" outlineLevel="1">
      <c r="A85" s="31" t="str">
        <f>A84&amp;C85</f>
        <v>JuneNILAMANI KISAN.BOT HOURS</v>
      </c>
      <c r="B85" s="32"/>
      <c r="C85" s="33" t="s">
        <v>169</v>
      </c>
      <c r="D85" s="17"/>
      <c r="E85" s="29">
        <f>SUM(F85:BO85)</f>
        <v>42</v>
      </c>
      <c r="F85" s="34">
        <v>2.0</v>
      </c>
      <c r="G85" s="17"/>
      <c r="H85" s="34">
        <v>2.0</v>
      </c>
      <c r="I85" s="17"/>
      <c r="J85" s="34">
        <v>3.0</v>
      </c>
      <c r="K85" s="17"/>
      <c r="L85" s="34"/>
      <c r="M85" s="17"/>
      <c r="N85" s="34">
        <v>4.0</v>
      </c>
      <c r="O85" s="17"/>
      <c r="P85" s="34">
        <v>5.0</v>
      </c>
      <c r="Q85" s="17"/>
      <c r="R85" s="34">
        <v>2.0</v>
      </c>
      <c r="S85" s="17"/>
      <c r="T85" s="34"/>
      <c r="U85" s="17"/>
      <c r="V85" s="34">
        <v>2.0</v>
      </c>
      <c r="W85" s="17"/>
      <c r="X85" s="34">
        <v>3.0</v>
      </c>
      <c r="Y85" s="17"/>
      <c r="Z85" s="34">
        <v>2.0</v>
      </c>
      <c r="AA85" s="17"/>
      <c r="AB85" s="34">
        <v>2.0</v>
      </c>
      <c r="AC85" s="17"/>
      <c r="AD85" s="34">
        <v>7.0</v>
      </c>
      <c r="AE85" s="17"/>
      <c r="AF85" s="34">
        <v>6.0</v>
      </c>
      <c r="AG85" s="17"/>
      <c r="AH85" s="34"/>
      <c r="AI85" s="17"/>
      <c r="AJ85" s="34">
        <v>2.0</v>
      </c>
      <c r="AK85" s="17"/>
      <c r="AL85" s="34"/>
      <c r="AM85" s="17"/>
      <c r="AN85" s="34"/>
      <c r="AO85" s="17"/>
      <c r="AP85" s="34"/>
      <c r="AQ85" s="17"/>
      <c r="AR85" s="34"/>
      <c r="AS85" s="17"/>
      <c r="AT85" s="34"/>
      <c r="AU85" s="17"/>
      <c r="AV85" s="34"/>
      <c r="AW85" s="17"/>
      <c r="AX85" s="34"/>
      <c r="AY85" s="17"/>
      <c r="AZ85" s="34"/>
      <c r="BA85" s="17"/>
      <c r="BB85" s="34"/>
      <c r="BC85" s="17"/>
      <c r="BD85" s="34"/>
      <c r="BE85" s="17"/>
      <c r="BF85" s="34"/>
      <c r="BG85" s="17"/>
      <c r="BH85" s="34"/>
      <c r="BI85" s="17"/>
      <c r="BJ85" s="34"/>
      <c r="BK85" s="17"/>
      <c r="BL85" s="34"/>
      <c r="BM85" s="17"/>
      <c r="BN85" s="34"/>
      <c r="BO85" s="17"/>
    </row>
    <row r="86" hidden="1" outlineLevel="1">
      <c r="A86" s="26" t="str">
        <f>B86&amp;D86</f>
        <v>JuneVASANTHA.E</v>
      </c>
      <c r="B86" s="27" t="s">
        <v>21</v>
      </c>
      <c r="C86" s="27" t="s">
        <v>17</v>
      </c>
      <c r="D86" s="28" t="str">
        <f>IFERROR(VLOOKUP(C86,'Employees List'!$B$2:$E1424,4,0),"")</f>
        <v>VASANTHA.E</v>
      </c>
      <c r="E86" s="29">
        <f>COUNTIF(F86:BO86,TRUE)/2</f>
        <v>30</v>
      </c>
      <c r="F86" s="30" t="b">
        <v>1</v>
      </c>
      <c r="G86" s="30" t="b">
        <v>1</v>
      </c>
      <c r="H86" s="30" t="b">
        <v>1</v>
      </c>
      <c r="I86" s="30" t="b">
        <v>1</v>
      </c>
      <c r="J86" s="30" t="b">
        <v>1</v>
      </c>
      <c r="K86" s="30" t="b">
        <v>1</v>
      </c>
      <c r="L86" s="30" t="b">
        <v>1</v>
      </c>
      <c r="M86" s="30" t="b">
        <v>1</v>
      </c>
      <c r="N86" s="30" t="b">
        <v>1</v>
      </c>
      <c r="O86" s="30" t="b">
        <v>1</v>
      </c>
      <c r="P86" s="30" t="b">
        <v>1</v>
      </c>
      <c r="Q86" s="30" t="b">
        <v>1</v>
      </c>
      <c r="R86" s="30" t="b">
        <v>1</v>
      </c>
      <c r="S86" s="30" t="b">
        <v>1</v>
      </c>
      <c r="T86" s="30" t="b">
        <v>1</v>
      </c>
      <c r="U86" s="30" t="b">
        <v>1</v>
      </c>
      <c r="V86" s="30" t="b">
        <v>1</v>
      </c>
      <c r="W86" s="30" t="b">
        <v>1</v>
      </c>
      <c r="X86" s="30" t="b">
        <v>1</v>
      </c>
      <c r="Y86" s="30" t="b">
        <v>1</v>
      </c>
      <c r="Z86" s="30" t="b">
        <v>1</v>
      </c>
      <c r="AA86" s="30" t="b">
        <v>1</v>
      </c>
      <c r="AB86" s="30" t="b">
        <v>1</v>
      </c>
      <c r="AC86" s="30" t="b">
        <v>1</v>
      </c>
      <c r="AD86" s="30" t="b">
        <v>1</v>
      </c>
      <c r="AE86" s="30" t="b">
        <v>1</v>
      </c>
      <c r="AF86" s="30" t="b">
        <v>1</v>
      </c>
      <c r="AG86" s="30" t="b">
        <v>1</v>
      </c>
      <c r="AH86" s="30" t="b">
        <v>1</v>
      </c>
      <c r="AI86" s="30" t="b">
        <v>1</v>
      </c>
      <c r="AJ86" s="30" t="b">
        <v>1</v>
      </c>
      <c r="AK86" s="30" t="b">
        <v>1</v>
      </c>
      <c r="AL86" s="30" t="b">
        <v>1</v>
      </c>
      <c r="AM86" s="30" t="b">
        <v>1</v>
      </c>
      <c r="AN86" s="30" t="b">
        <v>1</v>
      </c>
      <c r="AO86" s="30" t="b">
        <v>1</v>
      </c>
      <c r="AP86" s="30" t="b">
        <v>1</v>
      </c>
      <c r="AQ86" s="30" t="b">
        <v>1</v>
      </c>
      <c r="AR86" s="30" t="b">
        <v>1</v>
      </c>
      <c r="AS86" s="30" t="b">
        <v>1</v>
      </c>
      <c r="AT86" s="30" t="b">
        <v>1</v>
      </c>
      <c r="AU86" s="30" t="b">
        <v>1</v>
      </c>
      <c r="AV86" s="30" t="b">
        <v>1</v>
      </c>
      <c r="AW86" s="30" t="b">
        <v>1</v>
      </c>
      <c r="AX86" s="30" t="b">
        <v>1</v>
      </c>
      <c r="AY86" s="30" t="b">
        <v>1</v>
      </c>
      <c r="AZ86" s="30" t="b">
        <v>1</v>
      </c>
      <c r="BA86" s="30" t="b">
        <v>1</v>
      </c>
      <c r="BB86" s="30" t="b">
        <v>1</v>
      </c>
      <c r="BC86" s="30" t="b">
        <v>1</v>
      </c>
      <c r="BD86" s="30" t="b">
        <v>1</v>
      </c>
      <c r="BE86" s="30" t="b">
        <v>1</v>
      </c>
      <c r="BF86" s="30" t="b">
        <v>1</v>
      </c>
      <c r="BG86" s="30" t="b">
        <v>1</v>
      </c>
      <c r="BH86" s="30" t="b">
        <v>1</v>
      </c>
      <c r="BI86" s="30" t="b">
        <v>1</v>
      </c>
      <c r="BJ86" s="30" t="b">
        <v>1</v>
      </c>
      <c r="BK86" s="30" t="b">
        <v>1</v>
      </c>
      <c r="BL86" s="30" t="b">
        <v>1</v>
      </c>
      <c r="BM86" s="30" t="b">
        <v>1</v>
      </c>
      <c r="BN86" s="30" t="b">
        <v>0</v>
      </c>
      <c r="BO86" s="30" t="b">
        <v>0</v>
      </c>
    </row>
    <row r="87" hidden="1" outlineLevel="1">
      <c r="A87" s="31" t="str">
        <f>A86&amp;C87</f>
        <v>JuneVASANTHA.EOT HOURS</v>
      </c>
      <c r="B87" s="32"/>
      <c r="C87" s="33" t="s">
        <v>169</v>
      </c>
      <c r="D87" s="17"/>
      <c r="E87" s="29">
        <f>SUM(F87:BO87)</f>
        <v>36</v>
      </c>
      <c r="F87" s="34"/>
      <c r="G87" s="17"/>
      <c r="H87" s="34"/>
      <c r="I87" s="17"/>
      <c r="J87" s="34">
        <v>1.0</v>
      </c>
      <c r="K87" s="17"/>
      <c r="L87" s="34">
        <v>2.0</v>
      </c>
      <c r="M87" s="17"/>
      <c r="N87" s="34"/>
      <c r="O87" s="17"/>
      <c r="P87" s="34">
        <v>2.0</v>
      </c>
      <c r="Q87" s="17"/>
      <c r="R87" s="34">
        <v>2.0</v>
      </c>
      <c r="S87" s="17"/>
      <c r="T87" s="34"/>
      <c r="U87" s="17"/>
      <c r="V87" s="34"/>
      <c r="W87" s="17"/>
      <c r="X87" s="34">
        <v>2.0</v>
      </c>
      <c r="Y87" s="17"/>
      <c r="Z87" s="34"/>
      <c r="AA87" s="17"/>
      <c r="AB87" s="34">
        <v>2.0</v>
      </c>
      <c r="AC87" s="17"/>
      <c r="AD87" s="34">
        <v>2.0</v>
      </c>
      <c r="AE87" s="17"/>
      <c r="AF87" s="34">
        <v>2.0</v>
      </c>
      <c r="AG87" s="17"/>
      <c r="AH87" s="34">
        <v>5.0</v>
      </c>
      <c r="AI87" s="17"/>
      <c r="AJ87" s="34">
        <v>2.0</v>
      </c>
      <c r="AK87" s="17"/>
      <c r="AL87" s="34">
        <v>2.0</v>
      </c>
      <c r="AM87" s="17"/>
      <c r="AN87" s="34"/>
      <c r="AO87" s="17"/>
      <c r="AP87" s="34">
        <v>2.0</v>
      </c>
      <c r="AQ87" s="17"/>
      <c r="AR87" s="34">
        <v>2.0</v>
      </c>
      <c r="AS87" s="17"/>
      <c r="AT87" s="34">
        <v>2.0</v>
      </c>
      <c r="AU87" s="17"/>
      <c r="AV87" s="34"/>
      <c r="AW87" s="17"/>
      <c r="AX87" s="34">
        <v>2.0</v>
      </c>
      <c r="AY87" s="17"/>
      <c r="AZ87" s="34">
        <v>2.0</v>
      </c>
      <c r="BA87" s="17"/>
      <c r="BB87" s="34"/>
      <c r="BC87" s="17"/>
      <c r="BD87" s="34"/>
      <c r="BE87" s="17"/>
      <c r="BF87" s="34"/>
      <c r="BG87" s="17"/>
      <c r="BH87" s="34"/>
      <c r="BI87" s="17"/>
      <c r="BJ87" s="34"/>
      <c r="BK87" s="17"/>
      <c r="BL87" s="34">
        <v>2.0</v>
      </c>
      <c r="BM87" s="17"/>
      <c r="BN87" s="34"/>
      <c r="BO87" s="17"/>
    </row>
    <row r="88" collapsed="1">
      <c r="A88" s="14"/>
      <c r="B88" s="15"/>
      <c r="C88" s="20">
        <v>45839.0</v>
      </c>
      <c r="D88" s="17"/>
      <c r="E88" s="18"/>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row>
    <row r="89" hidden="1" outlineLevel="1">
      <c r="A89" s="22"/>
      <c r="B89" s="23"/>
      <c r="C89" s="24" t="s">
        <v>1</v>
      </c>
      <c r="D89" s="24" t="s">
        <v>4</v>
      </c>
      <c r="E89" s="25" t="s">
        <v>166</v>
      </c>
      <c r="F89" s="24" t="s">
        <v>167</v>
      </c>
      <c r="G89" s="24" t="s">
        <v>168</v>
      </c>
      <c r="H89" s="24" t="s">
        <v>167</v>
      </c>
      <c r="I89" s="24" t="s">
        <v>168</v>
      </c>
      <c r="J89" s="24" t="s">
        <v>167</v>
      </c>
      <c r="K89" s="24" t="s">
        <v>168</v>
      </c>
      <c r="L89" s="24" t="s">
        <v>167</v>
      </c>
      <c r="M89" s="24" t="s">
        <v>168</v>
      </c>
      <c r="N89" s="24" t="s">
        <v>167</v>
      </c>
      <c r="O89" s="24" t="s">
        <v>168</v>
      </c>
      <c r="P89" s="24" t="s">
        <v>167</v>
      </c>
      <c r="Q89" s="24" t="s">
        <v>168</v>
      </c>
      <c r="R89" s="24" t="s">
        <v>167</v>
      </c>
      <c r="S89" s="24" t="s">
        <v>168</v>
      </c>
      <c r="T89" s="24" t="s">
        <v>167</v>
      </c>
      <c r="U89" s="24" t="s">
        <v>168</v>
      </c>
      <c r="V89" s="24" t="s">
        <v>167</v>
      </c>
      <c r="W89" s="24" t="s">
        <v>168</v>
      </c>
      <c r="X89" s="24" t="s">
        <v>167</v>
      </c>
      <c r="Y89" s="24" t="s">
        <v>168</v>
      </c>
      <c r="Z89" s="24" t="s">
        <v>167</v>
      </c>
      <c r="AA89" s="24" t="s">
        <v>168</v>
      </c>
      <c r="AB89" s="24" t="s">
        <v>167</v>
      </c>
      <c r="AC89" s="24" t="s">
        <v>168</v>
      </c>
      <c r="AD89" s="24" t="s">
        <v>167</v>
      </c>
      <c r="AE89" s="24" t="s">
        <v>168</v>
      </c>
      <c r="AF89" s="24" t="s">
        <v>167</v>
      </c>
      <c r="AG89" s="24" t="s">
        <v>168</v>
      </c>
      <c r="AH89" s="24" t="s">
        <v>167</v>
      </c>
      <c r="AI89" s="24" t="s">
        <v>168</v>
      </c>
      <c r="AJ89" s="24" t="s">
        <v>167</v>
      </c>
      <c r="AK89" s="24" t="s">
        <v>168</v>
      </c>
      <c r="AL89" s="24" t="s">
        <v>167</v>
      </c>
      <c r="AM89" s="24" t="s">
        <v>168</v>
      </c>
      <c r="AN89" s="24" t="s">
        <v>167</v>
      </c>
      <c r="AO89" s="24" t="s">
        <v>168</v>
      </c>
      <c r="AP89" s="24" t="s">
        <v>167</v>
      </c>
      <c r="AQ89" s="24" t="s">
        <v>168</v>
      </c>
      <c r="AR89" s="24" t="s">
        <v>167</v>
      </c>
      <c r="AS89" s="24" t="s">
        <v>168</v>
      </c>
      <c r="AT89" s="24" t="s">
        <v>167</v>
      </c>
      <c r="AU89" s="24" t="s">
        <v>168</v>
      </c>
      <c r="AV89" s="24" t="s">
        <v>167</v>
      </c>
      <c r="AW89" s="24" t="s">
        <v>168</v>
      </c>
      <c r="AX89" s="24" t="s">
        <v>167</v>
      </c>
      <c r="AY89" s="24" t="s">
        <v>168</v>
      </c>
      <c r="AZ89" s="24" t="s">
        <v>167</v>
      </c>
      <c r="BA89" s="24" t="s">
        <v>168</v>
      </c>
      <c r="BB89" s="24" t="s">
        <v>167</v>
      </c>
      <c r="BC89" s="24" t="s">
        <v>168</v>
      </c>
      <c r="BD89" s="24" t="s">
        <v>167</v>
      </c>
      <c r="BE89" s="24" t="s">
        <v>168</v>
      </c>
      <c r="BF89" s="24" t="s">
        <v>167</v>
      </c>
      <c r="BG89" s="24" t="s">
        <v>168</v>
      </c>
      <c r="BH89" s="24" t="s">
        <v>167</v>
      </c>
      <c r="BI89" s="24" t="s">
        <v>168</v>
      </c>
      <c r="BJ89" s="24" t="s">
        <v>167</v>
      </c>
      <c r="BK89" s="24" t="s">
        <v>168</v>
      </c>
      <c r="BL89" s="24" t="s">
        <v>167</v>
      </c>
      <c r="BM89" s="24" t="s">
        <v>168</v>
      </c>
      <c r="BN89" s="24" t="s">
        <v>167</v>
      </c>
      <c r="BO89" s="24" t="s">
        <v>168</v>
      </c>
    </row>
    <row r="90" hidden="1" outlineLevel="1">
      <c r="A90" s="26" t="str">
        <f>B90&amp;D90</f>
        <v>JulyBHUVANESHWARAN.V</v>
      </c>
      <c r="B90" s="27" t="s">
        <v>25</v>
      </c>
      <c r="C90" s="27" t="s">
        <v>13</v>
      </c>
      <c r="D90" s="39" t="str">
        <f>IFERROR(VLOOKUP(C90,'Employees List'!$B$2:$E1424,4,0),"")</f>
        <v>BHUVANESHWARAN.V</v>
      </c>
      <c r="E90" s="29">
        <f t="shared" ref="E90:E92" si="2">COUNTIF(F90:BO90,TRUE)/2</f>
        <v>31</v>
      </c>
      <c r="F90" s="30" t="b">
        <v>1</v>
      </c>
      <c r="G90" s="30" t="b">
        <v>1</v>
      </c>
      <c r="H90" s="30" t="b">
        <v>1</v>
      </c>
      <c r="I90" s="30" t="b">
        <v>1</v>
      </c>
      <c r="J90" s="30" t="b">
        <v>1</v>
      </c>
      <c r="K90" s="30" t="b">
        <v>1</v>
      </c>
      <c r="L90" s="30" t="b">
        <v>1</v>
      </c>
      <c r="M90" s="30" t="b">
        <v>1</v>
      </c>
      <c r="N90" s="30" t="b">
        <v>1</v>
      </c>
      <c r="O90" s="30" t="b">
        <v>1</v>
      </c>
      <c r="P90" s="30" t="b">
        <v>1</v>
      </c>
      <c r="Q90" s="30" t="b">
        <v>1</v>
      </c>
      <c r="R90" s="30" t="b">
        <v>1</v>
      </c>
      <c r="S90" s="30" t="b">
        <v>1</v>
      </c>
      <c r="T90" s="30" t="b">
        <v>1</v>
      </c>
      <c r="U90" s="30" t="b">
        <v>1</v>
      </c>
      <c r="V90" s="30" t="b">
        <v>1</v>
      </c>
      <c r="W90" s="30" t="b">
        <v>1</v>
      </c>
      <c r="X90" s="30" t="b">
        <v>1</v>
      </c>
      <c r="Y90" s="30" t="b">
        <v>1</v>
      </c>
      <c r="Z90" s="30" t="b">
        <v>1</v>
      </c>
      <c r="AA90" s="30" t="b">
        <v>1</v>
      </c>
      <c r="AB90" s="30" t="b">
        <v>1</v>
      </c>
      <c r="AC90" s="30" t="b">
        <v>1</v>
      </c>
      <c r="AD90" s="30" t="b">
        <v>1</v>
      </c>
      <c r="AE90" s="30" t="b">
        <v>1</v>
      </c>
      <c r="AF90" s="30" t="b">
        <v>1</v>
      </c>
      <c r="AG90" s="30" t="b">
        <v>1</v>
      </c>
      <c r="AH90" s="30" t="b">
        <v>1</v>
      </c>
      <c r="AI90" s="30" t="b">
        <v>1</v>
      </c>
      <c r="AJ90" s="30" t="b">
        <v>1</v>
      </c>
      <c r="AK90" s="30" t="b">
        <v>1</v>
      </c>
      <c r="AL90" s="30" t="b">
        <v>1</v>
      </c>
      <c r="AM90" s="30" t="b">
        <v>1</v>
      </c>
      <c r="AN90" s="30" t="b">
        <v>1</v>
      </c>
      <c r="AO90" s="30" t="b">
        <v>1</v>
      </c>
      <c r="AP90" s="30" t="b">
        <v>1</v>
      </c>
      <c r="AQ90" s="30" t="b">
        <v>1</v>
      </c>
      <c r="AR90" s="30" t="b">
        <v>1</v>
      </c>
      <c r="AS90" s="30" t="b">
        <v>1</v>
      </c>
      <c r="AT90" s="30" t="b">
        <v>1</v>
      </c>
      <c r="AU90" s="30" t="b">
        <v>1</v>
      </c>
      <c r="AV90" s="30" t="b">
        <v>1</v>
      </c>
      <c r="AW90" s="30" t="b">
        <v>1</v>
      </c>
      <c r="AX90" s="30" t="b">
        <v>1</v>
      </c>
      <c r="AY90" s="30" t="b">
        <v>1</v>
      </c>
      <c r="AZ90" s="30" t="b">
        <v>1</v>
      </c>
      <c r="BA90" s="30" t="b">
        <v>1</v>
      </c>
      <c r="BB90" s="30" t="b">
        <v>1</v>
      </c>
      <c r="BC90" s="30" t="b">
        <v>1</v>
      </c>
      <c r="BD90" s="30" t="b">
        <v>1</v>
      </c>
      <c r="BE90" s="30" t="b">
        <v>1</v>
      </c>
      <c r="BF90" s="30" t="b">
        <v>1</v>
      </c>
      <c r="BG90" s="30" t="b">
        <v>1</v>
      </c>
      <c r="BH90" s="30" t="b">
        <v>1</v>
      </c>
      <c r="BI90" s="30" t="b">
        <v>1</v>
      </c>
      <c r="BJ90" s="30" t="b">
        <v>1</v>
      </c>
      <c r="BK90" s="30" t="b">
        <v>1</v>
      </c>
      <c r="BL90" s="30" t="b">
        <v>1</v>
      </c>
      <c r="BM90" s="30" t="b">
        <v>1</v>
      </c>
      <c r="BN90" s="30" t="b">
        <v>1</v>
      </c>
      <c r="BO90" s="30" t="b">
        <v>1</v>
      </c>
    </row>
    <row r="91" hidden="1" outlineLevel="1">
      <c r="A91" s="31" t="str">
        <f>A90&amp;C91</f>
        <v>JulyBHUVANESHWARAN.VOT HOURS</v>
      </c>
      <c r="B91" s="32"/>
      <c r="C91" s="33" t="s">
        <v>169</v>
      </c>
      <c r="D91" s="17"/>
      <c r="E91" s="29">
        <f t="shared" si="2"/>
        <v>0</v>
      </c>
      <c r="F91" s="34"/>
      <c r="G91" s="17"/>
      <c r="H91" s="34"/>
      <c r="I91" s="17"/>
      <c r="J91" s="34"/>
      <c r="K91" s="17"/>
      <c r="L91" s="34"/>
      <c r="M91" s="17"/>
      <c r="N91" s="34"/>
      <c r="O91" s="17"/>
      <c r="P91" s="34"/>
      <c r="Q91" s="17"/>
      <c r="R91" s="34"/>
      <c r="S91" s="17"/>
      <c r="T91" s="34"/>
      <c r="U91" s="17"/>
      <c r="V91" s="34"/>
      <c r="W91" s="17"/>
      <c r="X91" s="34"/>
      <c r="Y91" s="17"/>
      <c r="Z91" s="34"/>
      <c r="AA91" s="17"/>
      <c r="AB91" s="34"/>
      <c r="AC91" s="17"/>
      <c r="AD91" s="34"/>
      <c r="AE91" s="17"/>
      <c r="AF91" s="34"/>
      <c r="AG91" s="17"/>
      <c r="AH91" s="34"/>
      <c r="AI91" s="17"/>
      <c r="AJ91" s="34"/>
      <c r="AK91" s="17"/>
      <c r="AL91" s="34"/>
      <c r="AM91" s="17"/>
      <c r="AN91" s="34"/>
      <c r="AO91" s="17"/>
      <c r="AP91" s="34"/>
      <c r="AQ91" s="17"/>
      <c r="AR91" s="34"/>
      <c r="AS91" s="17"/>
      <c r="AT91" s="34"/>
      <c r="AU91" s="17"/>
      <c r="AV91" s="34"/>
      <c r="AW91" s="17"/>
      <c r="AX91" s="34"/>
      <c r="AY91" s="17"/>
      <c r="AZ91" s="34"/>
      <c r="BA91" s="17"/>
      <c r="BB91" s="34"/>
      <c r="BC91" s="17"/>
      <c r="BD91" s="34"/>
      <c r="BE91" s="17"/>
      <c r="BF91" s="34"/>
      <c r="BG91" s="17"/>
      <c r="BH91" s="34"/>
      <c r="BI91" s="17"/>
      <c r="BJ91" s="34"/>
      <c r="BK91" s="17"/>
      <c r="BL91" s="34"/>
      <c r="BM91" s="17"/>
      <c r="BN91" s="34"/>
      <c r="BO91" s="17"/>
    </row>
    <row r="92" hidden="1" outlineLevel="1">
      <c r="A92" s="26" t="str">
        <f>B92&amp;D92</f>
        <v>JulyTHIRIPURA SUNDARI.R</v>
      </c>
      <c r="B92" s="27" t="s">
        <v>25</v>
      </c>
      <c r="C92" s="27" t="s">
        <v>71</v>
      </c>
      <c r="D92" s="28" t="str">
        <f>IFERROR(VLOOKUP(C92,'Employees List'!$B$2:$E1424,4,0),"")</f>
        <v>THIRIPURA SUNDARI.R</v>
      </c>
      <c r="E92" s="29">
        <f t="shared" si="2"/>
        <v>25</v>
      </c>
      <c r="F92" s="30" t="b">
        <v>1</v>
      </c>
      <c r="G92" s="30" t="b">
        <v>1</v>
      </c>
      <c r="H92" s="30" t="b">
        <v>1</v>
      </c>
      <c r="I92" s="30" t="b">
        <v>1</v>
      </c>
      <c r="J92" s="30" t="b">
        <v>1</v>
      </c>
      <c r="K92" s="30" t="b">
        <v>1</v>
      </c>
      <c r="L92" s="30" t="b">
        <v>1</v>
      </c>
      <c r="M92" s="30" t="b">
        <v>1</v>
      </c>
      <c r="N92" s="30" t="b">
        <v>1</v>
      </c>
      <c r="O92" s="30" t="b">
        <v>1</v>
      </c>
      <c r="P92" s="30" t="b">
        <v>1</v>
      </c>
      <c r="Q92" s="30" t="b">
        <v>1</v>
      </c>
      <c r="R92" s="30" t="b">
        <v>1</v>
      </c>
      <c r="S92" s="30" t="b">
        <v>1</v>
      </c>
      <c r="T92" s="30" t="b">
        <v>1</v>
      </c>
      <c r="U92" s="30" t="b">
        <v>1</v>
      </c>
      <c r="V92" s="30" t="b">
        <v>1</v>
      </c>
      <c r="W92" s="30" t="b">
        <v>1</v>
      </c>
      <c r="X92" s="30" t="b">
        <v>1</v>
      </c>
      <c r="Y92" s="30" t="b">
        <v>1</v>
      </c>
      <c r="Z92" s="30" t="b">
        <v>1</v>
      </c>
      <c r="AA92" s="30" t="b">
        <v>1</v>
      </c>
      <c r="AB92" s="30" t="b">
        <v>1</v>
      </c>
      <c r="AC92" s="30" t="b">
        <v>1</v>
      </c>
      <c r="AD92" s="30" t="b">
        <v>1</v>
      </c>
      <c r="AE92" s="30" t="b">
        <v>1</v>
      </c>
      <c r="AF92" s="30" t="b">
        <v>1</v>
      </c>
      <c r="AG92" s="30" t="b">
        <v>1</v>
      </c>
      <c r="AH92" s="30" t="b">
        <v>1</v>
      </c>
      <c r="AI92" s="30" t="b">
        <v>1</v>
      </c>
      <c r="AJ92" s="30" t="b">
        <v>1</v>
      </c>
      <c r="AK92" s="30" t="b">
        <v>1</v>
      </c>
      <c r="AL92" s="30" t="b">
        <v>1</v>
      </c>
      <c r="AM92" s="30" t="b">
        <v>1</v>
      </c>
      <c r="AN92" s="30" t="b">
        <v>1</v>
      </c>
      <c r="AO92" s="30" t="b">
        <v>1</v>
      </c>
      <c r="AP92" s="30" t="b">
        <v>1</v>
      </c>
      <c r="AQ92" s="30" t="b">
        <v>1</v>
      </c>
      <c r="AR92" s="30" t="b">
        <v>1</v>
      </c>
      <c r="AS92" s="30" t="b">
        <v>1</v>
      </c>
      <c r="AT92" s="30" t="b">
        <v>1</v>
      </c>
      <c r="AU92" s="30" t="b">
        <v>1</v>
      </c>
      <c r="AV92" s="30" t="b">
        <v>1</v>
      </c>
      <c r="AW92" s="30" t="b">
        <v>1</v>
      </c>
      <c r="AX92" s="30" t="b">
        <v>0</v>
      </c>
      <c r="AY92" s="30" t="b">
        <v>0</v>
      </c>
      <c r="AZ92" s="30" t="b">
        <v>0</v>
      </c>
      <c r="BA92" s="30" t="b">
        <v>0</v>
      </c>
      <c r="BB92" s="30" t="b">
        <v>0</v>
      </c>
      <c r="BC92" s="30" t="b">
        <v>0</v>
      </c>
      <c r="BD92" s="30" t="b">
        <v>0</v>
      </c>
      <c r="BE92" s="30" t="b">
        <v>0</v>
      </c>
      <c r="BF92" s="30" t="b">
        <v>1</v>
      </c>
      <c r="BG92" s="30" t="b">
        <v>1</v>
      </c>
      <c r="BH92" s="30" t="b">
        <v>0</v>
      </c>
      <c r="BI92" s="30" t="b">
        <v>0</v>
      </c>
      <c r="BJ92" s="30" t="b">
        <v>0</v>
      </c>
      <c r="BK92" s="30" t="b">
        <v>0</v>
      </c>
      <c r="BL92" s="30" t="b">
        <v>1</v>
      </c>
      <c r="BM92" s="30" t="b">
        <v>1</v>
      </c>
      <c r="BN92" s="30" t="b">
        <v>1</v>
      </c>
      <c r="BO92" s="30" t="b">
        <v>1</v>
      </c>
    </row>
    <row r="93" hidden="1" outlineLevel="1">
      <c r="A93" s="31" t="str">
        <f>A92&amp;C93</f>
        <v>JulyTHIRIPURA SUNDARI.ROT HOURS</v>
      </c>
      <c r="B93" s="32"/>
      <c r="C93" s="33" t="s">
        <v>169</v>
      </c>
      <c r="D93" s="17"/>
      <c r="E93" s="29">
        <f>SUM(F93:BO93)</f>
        <v>4</v>
      </c>
      <c r="F93" s="34"/>
      <c r="G93" s="17"/>
      <c r="H93" s="34"/>
      <c r="I93" s="17"/>
      <c r="J93" s="34"/>
      <c r="K93" s="17"/>
      <c r="L93" s="34"/>
      <c r="M93" s="17"/>
      <c r="N93" s="34"/>
      <c r="O93" s="17"/>
      <c r="P93" s="34"/>
      <c r="Q93" s="17"/>
      <c r="R93" s="34"/>
      <c r="S93" s="17"/>
      <c r="T93" s="34"/>
      <c r="U93" s="17"/>
      <c r="V93" s="34"/>
      <c r="W93" s="17"/>
      <c r="X93" s="34"/>
      <c r="Y93" s="17"/>
      <c r="Z93" s="34"/>
      <c r="AA93" s="17"/>
      <c r="AB93" s="34">
        <v>2.0</v>
      </c>
      <c r="AC93" s="17"/>
      <c r="AD93" s="34"/>
      <c r="AE93" s="17"/>
      <c r="AF93" s="34"/>
      <c r="AG93" s="17"/>
      <c r="AH93" s="34"/>
      <c r="AI93" s="17"/>
      <c r="AJ93" s="34"/>
      <c r="AK93" s="17"/>
      <c r="AL93" s="34">
        <v>1.0</v>
      </c>
      <c r="AM93" s="17"/>
      <c r="AN93" s="34">
        <v>1.0</v>
      </c>
      <c r="AO93" s="17"/>
      <c r="AP93" s="34"/>
      <c r="AQ93" s="17"/>
      <c r="AR93" s="34"/>
      <c r="AS93" s="17"/>
      <c r="AT93" s="34"/>
      <c r="AU93" s="17"/>
      <c r="AV93" s="34"/>
      <c r="AW93" s="17"/>
      <c r="AX93" s="34"/>
      <c r="AY93" s="17"/>
      <c r="AZ93" s="34"/>
      <c r="BA93" s="17"/>
      <c r="BB93" s="34"/>
      <c r="BC93" s="17"/>
      <c r="BD93" s="34"/>
      <c r="BE93" s="17"/>
      <c r="BF93" s="34"/>
      <c r="BG93" s="17"/>
      <c r="BH93" s="34"/>
      <c r="BI93" s="17"/>
      <c r="BJ93" s="34"/>
      <c r="BK93" s="17"/>
      <c r="BL93" s="34"/>
      <c r="BM93" s="17"/>
      <c r="BN93" s="34"/>
      <c r="BO93" s="17"/>
    </row>
    <row r="94" hidden="1" outlineLevel="1">
      <c r="A94" s="26" t="str">
        <f>B94&amp;D94</f>
        <v>JulyGANESH</v>
      </c>
      <c r="B94" s="27" t="s">
        <v>25</v>
      </c>
      <c r="C94" s="27" t="s">
        <v>22</v>
      </c>
      <c r="D94" s="28" t="str">
        <f>IFERROR(VLOOKUP(C94,'Employees List'!$B$2:$E1424,4,0),"")</f>
        <v>GANESH</v>
      </c>
      <c r="E94" s="29">
        <f>COUNTIF(F94:BO94,TRUE)/2</f>
        <v>22</v>
      </c>
      <c r="F94" s="30" t="b">
        <v>0</v>
      </c>
      <c r="G94" s="30" t="b">
        <v>0</v>
      </c>
      <c r="H94" s="30" t="b">
        <v>1</v>
      </c>
      <c r="I94" s="30" t="b">
        <v>1</v>
      </c>
      <c r="J94" s="30" t="b">
        <v>1</v>
      </c>
      <c r="K94" s="30" t="b">
        <v>1</v>
      </c>
      <c r="L94" s="30" t="b">
        <v>1</v>
      </c>
      <c r="M94" s="30" t="b">
        <v>1</v>
      </c>
      <c r="N94" s="30" t="b">
        <v>1</v>
      </c>
      <c r="O94" s="30" t="b">
        <v>1</v>
      </c>
      <c r="P94" s="30" t="b">
        <v>1</v>
      </c>
      <c r="Q94" s="30" t="b">
        <v>1</v>
      </c>
      <c r="R94" s="30" t="b">
        <v>1</v>
      </c>
      <c r="S94" s="30" t="b">
        <v>1</v>
      </c>
      <c r="T94" s="30" t="b">
        <v>1</v>
      </c>
      <c r="U94" s="30" t="b">
        <v>1</v>
      </c>
      <c r="V94" s="30" t="b">
        <v>1</v>
      </c>
      <c r="W94" s="30" t="b">
        <v>1</v>
      </c>
      <c r="X94" s="30" t="b">
        <v>1</v>
      </c>
      <c r="Y94" s="30" t="b">
        <v>1</v>
      </c>
      <c r="Z94" s="30" t="b">
        <v>1</v>
      </c>
      <c r="AA94" s="30" t="b">
        <v>1</v>
      </c>
      <c r="AB94" s="30" t="b">
        <v>1</v>
      </c>
      <c r="AC94" s="30" t="b">
        <v>1</v>
      </c>
      <c r="AD94" s="30" t="b">
        <v>1</v>
      </c>
      <c r="AE94" s="30" t="b">
        <v>1</v>
      </c>
      <c r="AF94" s="30" t="b">
        <v>0</v>
      </c>
      <c r="AG94" s="30" t="b">
        <v>0</v>
      </c>
      <c r="AH94" s="30" t="b">
        <v>0</v>
      </c>
      <c r="AI94" s="30" t="b">
        <v>0</v>
      </c>
      <c r="AJ94" s="30" t="b">
        <v>0</v>
      </c>
      <c r="AK94" s="30" t="b">
        <v>0</v>
      </c>
      <c r="AL94" s="30" t="b">
        <v>0</v>
      </c>
      <c r="AM94" s="30" t="b">
        <v>0</v>
      </c>
      <c r="AN94" s="30" t="b">
        <v>0</v>
      </c>
      <c r="AO94" s="30" t="b">
        <v>0</v>
      </c>
      <c r="AP94" s="30" t="b">
        <v>0</v>
      </c>
      <c r="AQ94" s="30" t="b">
        <v>0</v>
      </c>
      <c r="AR94" s="30" t="b">
        <v>0</v>
      </c>
      <c r="AS94" s="30" t="b">
        <v>0</v>
      </c>
      <c r="AT94" s="30" t="b">
        <v>0</v>
      </c>
      <c r="AU94" s="30" t="b">
        <v>0</v>
      </c>
      <c r="AV94" s="30" t="b">
        <v>1</v>
      </c>
      <c r="AW94" s="30" t="b">
        <v>1</v>
      </c>
      <c r="AX94" s="30" t="b">
        <v>1</v>
      </c>
      <c r="AY94" s="30" t="b">
        <v>1</v>
      </c>
      <c r="AZ94" s="30" t="b">
        <v>1</v>
      </c>
      <c r="BA94" s="30" t="b">
        <v>1</v>
      </c>
      <c r="BB94" s="30" t="b">
        <v>1</v>
      </c>
      <c r="BC94" s="30" t="b">
        <v>1</v>
      </c>
      <c r="BD94" s="30" t="b">
        <v>1</v>
      </c>
      <c r="BE94" s="30" t="b">
        <v>1</v>
      </c>
      <c r="BF94" s="30" t="b">
        <v>1</v>
      </c>
      <c r="BG94" s="30" t="b">
        <v>1</v>
      </c>
      <c r="BH94" s="30" t="b">
        <v>1</v>
      </c>
      <c r="BI94" s="30" t="b">
        <v>1</v>
      </c>
      <c r="BJ94" s="30" t="b">
        <v>1</v>
      </c>
      <c r="BK94" s="30" t="b">
        <v>1</v>
      </c>
      <c r="BL94" s="30" t="b">
        <v>1</v>
      </c>
      <c r="BM94" s="30" t="b">
        <v>1</v>
      </c>
      <c r="BN94" s="30" t="b">
        <v>1</v>
      </c>
      <c r="BO94" s="30" t="b">
        <v>1</v>
      </c>
    </row>
    <row r="95" hidden="1" outlineLevel="1">
      <c r="A95" s="31" t="str">
        <f>A94&amp;C95</f>
        <v>JulyGANESHOT HOURS</v>
      </c>
      <c r="B95" s="32"/>
      <c r="C95" s="33" t="s">
        <v>169</v>
      </c>
      <c r="D95" s="17"/>
      <c r="E95" s="29">
        <f>SUM(F95:BO95)</f>
        <v>16</v>
      </c>
      <c r="F95" s="34"/>
      <c r="G95" s="17"/>
      <c r="H95" s="34"/>
      <c r="I95" s="17"/>
      <c r="J95" s="34"/>
      <c r="K95" s="17"/>
      <c r="L95" s="34"/>
      <c r="M95" s="17"/>
      <c r="N95" s="34">
        <v>2.0</v>
      </c>
      <c r="O95" s="17"/>
      <c r="P95" s="34"/>
      <c r="Q95" s="17"/>
      <c r="R95" s="34"/>
      <c r="S95" s="17"/>
      <c r="T95" s="34"/>
      <c r="U95" s="17"/>
      <c r="V95" s="34">
        <v>2.0</v>
      </c>
      <c r="W95" s="17"/>
      <c r="X95" s="34">
        <v>2.0</v>
      </c>
      <c r="Y95" s="17"/>
      <c r="Z95" s="34"/>
      <c r="AA95" s="17"/>
      <c r="AB95" s="34">
        <v>2.0</v>
      </c>
      <c r="AC95" s="17"/>
      <c r="AD95" s="34"/>
      <c r="AE95" s="17"/>
      <c r="AF95" s="34"/>
      <c r="AG95" s="17"/>
      <c r="AH95" s="34"/>
      <c r="AI95" s="17"/>
      <c r="AJ95" s="34"/>
      <c r="AK95" s="17"/>
      <c r="AL95" s="34"/>
      <c r="AM95" s="17"/>
      <c r="AN95" s="34"/>
      <c r="AO95" s="17"/>
      <c r="AP95" s="34"/>
      <c r="AQ95" s="17"/>
      <c r="AR95" s="34"/>
      <c r="AS95" s="17"/>
      <c r="AT95" s="34"/>
      <c r="AU95" s="17"/>
      <c r="AV95" s="34"/>
      <c r="AW95" s="17"/>
      <c r="AX95" s="34">
        <v>2.0</v>
      </c>
      <c r="AY95" s="17"/>
      <c r="AZ95" s="34"/>
      <c r="BA95" s="17"/>
      <c r="BB95" s="34">
        <v>2.0</v>
      </c>
      <c r="BC95" s="17"/>
      <c r="BD95" s="34">
        <v>2.0</v>
      </c>
      <c r="BE95" s="17"/>
      <c r="BF95" s="34"/>
      <c r="BG95" s="17"/>
      <c r="BH95" s="34"/>
      <c r="BI95" s="17"/>
      <c r="BJ95" s="34"/>
      <c r="BK95" s="17"/>
      <c r="BL95" s="34">
        <v>2.0</v>
      </c>
      <c r="BM95" s="17"/>
      <c r="BN95" s="34"/>
      <c r="BO95" s="17"/>
    </row>
    <row r="96" hidden="1" outlineLevel="1">
      <c r="A96" s="26" t="str">
        <f>B96&amp;D96</f>
        <v>JulyILAMATHIVANAN.S</v>
      </c>
      <c r="B96" s="27" t="s">
        <v>25</v>
      </c>
      <c r="C96" s="27" t="s">
        <v>77</v>
      </c>
      <c r="D96" s="28" t="str">
        <f>IFERROR(VLOOKUP(C96,'Employees List'!$B$2:$E1424,4,0),"")</f>
        <v>ILAMATHIVANAN.S</v>
      </c>
      <c r="E96" s="29">
        <f>COUNTIF(F96:BO96,TRUE)/2</f>
        <v>5</v>
      </c>
      <c r="F96" s="30" t="b">
        <v>0</v>
      </c>
      <c r="G96" s="30" t="b">
        <v>0</v>
      </c>
      <c r="H96" s="30" t="b">
        <v>0</v>
      </c>
      <c r="I96" s="30" t="b">
        <v>0</v>
      </c>
      <c r="J96" s="30" t="b">
        <v>0</v>
      </c>
      <c r="K96" s="30" t="b">
        <v>0</v>
      </c>
      <c r="L96" s="30" t="b">
        <v>0</v>
      </c>
      <c r="M96" s="30" t="b">
        <v>0</v>
      </c>
      <c r="N96" s="30" t="b">
        <v>0</v>
      </c>
      <c r="O96" s="30" t="b">
        <v>0</v>
      </c>
      <c r="P96" s="30" t="b">
        <v>0</v>
      </c>
      <c r="Q96" s="30" t="b">
        <v>0</v>
      </c>
      <c r="R96" s="30" t="b">
        <v>1</v>
      </c>
      <c r="S96" s="30" t="b">
        <v>1</v>
      </c>
      <c r="T96" s="30" t="b">
        <v>1</v>
      </c>
      <c r="U96" s="30" t="b">
        <v>1</v>
      </c>
      <c r="V96" s="30" t="b">
        <v>1</v>
      </c>
      <c r="W96" s="30" t="b">
        <v>1</v>
      </c>
      <c r="X96" s="30" t="b">
        <v>1</v>
      </c>
      <c r="Y96" s="30" t="b">
        <v>1</v>
      </c>
      <c r="Z96" s="30" t="b">
        <v>0</v>
      </c>
      <c r="AA96" s="30" t="b">
        <v>0</v>
      </c>
      <c r="AB96" s="30" t="b">
        <v>1</v>
      </c>
      <c r="AC96" s="30" t="b">
        <v>1</v>
      </c>
      <c r="AD96" s="30" t="b">
        <v>0</v>
      </c>
      <c r="AE96" s="30" t="b">
        <v>0</v>
      </c>
      <c r="AF96" s="30" t="b">
        <v>0</v>
      </c>
      <c r="AG96" s="30" t="b">
        <v>0</v>
      </c>
      <c r="AH96" s="30" t="b">
        <v>0</v>
      </c>
      <c r="AI96" s="30" t="b">
        <v>0</v>
      </c>
      <c r="AJ96" s="30" t="b">
        <v>0</v>
      </c>
      <c r="AK96" s="30" t="b">
        <v>0</v>
      </c>
      <c r="AL96" s="30" t="b">
        <v>0</v>
      </c>
      <c r="AM96" s="30" t="b">
        <v>0</v>
      </c>
      <c r="AN96" s="30" t="b">
        <v>0</v>
      </c>
      <c r="AO96" s="30" t="b">
        <v>0</v>
      </c>
      <c r="AP96" s="30" t="b">
        <v>0</v>
      </c>
      <c r="AQ96" s="30" t="b">
        <v>0</v>
      </c>
      <c r="AR96" s="30" t="b">
        <v>0</v>
      </c>
      <c r="AS96" s="30" t="b">
        <v>0</v>
      </c>
      <c r="AT96" s="30" t="b">
        <v>0</v>
      </c>
      <c r="AU96" s="30" t="b">
        <v>0</v>
      </c>
      <c r="AV96" s="30" t="b">
        <v>0</v>
      </c>
      <c r="AW96" s="30" t="b">
        <v>0</v>
      </c>
      <c r="AX96" s="30" t="b">
        <v>0</v>
      </c>
      <c r="AY96" s="30" t="b">
        <v>0</v>
      </c>
      <c r="AZ96" s="30" t="b">
        <v>0</v>
      </c>
      <c r="BA96" s="30" t="b">
        <v>0</v>
      </c>
      <c r="BB96" s="30" t="b">
        <v>0</v>
      </c>
      <c r="BC96" s="30" t="b">
        <v>0</v>
      </c>
      <c r="BD96" s="30" t="b">
        <v>0</v>
      </c>
      <c r="BE96" s="30" t="b">
        <v>0</v>
      </c>
      <c r="BF96" s="30" t="b">
        <v>0</v>
      </c>
      <c r="BG96" s="30" t="b">
        <v>0</v>
      </c>
      <c r="BH96" s="30" t="b">
        <v>0</v>
      </c>
      <c r="BI96" s="30" t="b">
        <v>0</v>
      </c>
      <c r="BJ96" s="30" t="b">
        <v>0</v>
      </c>
      <c r="BK96" s="30" t="b">
        <v>0</v>
      </c>
      <c r="BL96" s="30" t="b">
        <v>0</v>
      </c>
      <c r="BM96" s="30" t="b">
        <v>0</v>
      </c>
      <c r="BN96" s="30" t="b">
        <v>0</v>
      </c>
      <c r="BO96" s="30" t="b">
        <v>0</v>
      </c>
    </row>
    <row r="97" hidden="1" outlineLevel="1">
      <c r="A97" s="31" t="str">
        <f>A96&amp;C97</f>
        <v>JulyILAMATHIVANAN.SOT HOURS</v>
      </c>
      <c r="B97" s="32"/>
      <c r="C97" s="33" t="s">
        <v>169</v>
      </c>
      <c r="D97" s="17"/>
      <c r="E97" s="29">
        <f>SUM(F97:BO97)</f>
        <v>6</v>
      </c>
      <c r="F97" s="34"/>
      <c r="G97" s="17"/>
      <c r="H97" s="34"/>
      <c r="I97" s="17"/>
      <c r="J97" s="34"/>
      <c r="K97" s="17"/>
      <c r="L97" s="34"/>
      <c r="M97" s="17"/>
      <c r="N97" s="34"/>
      <c r="O97" s="17"/>
      <c r="P97" s="34"/>
      <c r="Q97" s="17"/>
      <c r="R97" s="34">
        <v>2.0</v>
      </c>
      <c r="S97" s="17"/>
      <c r="T97" s="34"/>
      <c r="U97" s="17"/>
      <c r="V97" s="34">
        <v>4.0</v>
      </c>
      <c r="W97" s="17"/>
      <c r="X97" s="34"/>
      <c r="Y97" s="17"/>
      <c r="Z97" s="34"/>
      <c r="AA97" s="17"/>
      <c r="AB97" s="34"/>
      <c r="AC97" s="17"/>
      <c r="AD97" s="34"/>
      <c r="AE97" s="17"/>
      <c r="AF97" s="34"/>
      <c r="AG97" s="17"/>
      <c r="AH97" s="34"/>
      <c r="AI97" s="17"/>
      <c r="AJ97" s="34"/>
      <c r="AK97" s="17"/>
      <c r="AL97" s="34"/>
      <c r="AM97" s="17"/>
      <c r="AN97" s="34"/>
      <c r="AO97" s="17"/>
      <c r="AP97" s="34"/>
      <c r="AQ97" s="17"/>
      <c r="AR97" s="34"/>
      <c r="AS97" s="17"/>
      <c r="AT97" s="34"/>
      <c r="AU97" s="17"/>
      <c r="AV97" s="34"/>
      <c r="AW97" s="17"/>
      <c r="AX97" s="34"/>
      <c r="AY97" s="17"/>
      <c r="AZ97" s="34"/>
      <c r="BA97" s="17"/>
      <c r="BB97" s="34"/>
      <c r="BC97" s="17"/>
      <c r="BD97" s="34"/>
      <c r="BE97" s="17"/>
      <c r="BF97" s="34"/>
      <c r="BG97" s="17"/>
      <c r="BH97" s="34"/>
      <c r="BI97" s="17"/>
      <c r="BJ97" s="34"/>
      <c r="BK97" s="17"/>
      <c r="BL97" s="34"/>
      <c r="BM97" s="17"/>
      <c r="BN97" s="34"/>
      <c r="BO97" s="17"/>
    </row>
    <row r="98" hidden="1" outlineLevel="1">
      <c r="A98" s="26" t="str">
        <f>B98&amp;D98</f>
        <v>JulyAMMU.S</v>
      </c>
      <c r="B98" s="27" t="s">
        <v>25</v>
      </c>
      <c r="C98" s="27" t="s">
        <v>42</v>
      </c>
      <c r="D98" s="28" t="str">
        <f>IFERROR(VLOOKUP(C98,'Employees List'!$B$2:$E1424,4,0),"")</f>
        <v>AMMU.S</v>
      </c>
      <c r="E98" s="29">
        <f>COUNTIF(F98:BO98,TRUE)/2</f>
        <v>23</v>
      </c>
      <c r="F98" s="30" t="b">
        <v>1</v>
      </c>
      <c r="G98" s="30" t="b">
        <v>1</v>
      </c>
      <c r="H98" s="30" t="b">
        <v>1</v>
      </c>
      <c r="I98" s="30" t="b">
        <v>1</v>
      </c>
      <c r="J98" s="30" t="b">
        <v>1</v>
      </c>
      <c r="K98" s="30" t="b">
        <v>1</v>
      </c>
      <c r="L98" s="30" t="b">
        <v>1</v>
      </c>
      <c r="M98" s="30" t="b">
        <v>1</v>
      </c>
      <c r="N98" s="30" t="b">
        <v>1</v>
      </c>
      <c r="O98" s="30" t="b">
        <v>1</v>
      </c>
      <c r="P98" s="30" t="b">
        <v>1</v>
      </c>
      <c r="Q98" s="30" t="b">
        <v>1</v>
      </c>
      <c r="R98" s="30" t="b">
        <v>1</v>
      </c>
      <c r="S98" s="30" t="b">
        <v>1</v>
      </c>
      <c r="T98" s="30" t="b">
        <v>1</v>
      </c>
      <c r="U98" s="30" t="b">
        <v>1</v>
      </c>
      <c r="V98" s="30" t="b">
        <v>1</v>
      </c>
      <c r="W98" s="30" t="b">
        <v>1</v>
      </c>
      <c r="X98" s="30" t="b">
        <v>1</v>
      </c>
      <c r="Y98" s="30" t="b">
        <v>1</v>
      </c>
      <c r="Z98" s="30" t="b">
        <v>1</v>
      </c>
      <c r="AA98" s="30" t="b">
        <v>1</v>
      </c>
      <c r="AB98" s="30" t="b">
        <v>1</v>
      </c>
      <c r="AC98" s="30" t="b">
        <v>1</v>
      </c>
      <c r="AD98" s="30" t="b">
        <v>1</v>
      </c>
      <c r="AE98" s="30" t="b">
        <v>1</v>
      </c>
      <c r="AF98" s="30" t="b">
        <v>1</v>
      </c>
      <c r="AG98" s="30" t="b">
        <v>1</v>
      </c>
      <c r="AH98" s="30" t="b">
        <v>1</v>
      </c>
      <c r="AI98" s="30" t="b">
        <v>1</v>
      </c>
      <c r="AJ98" s="30" t="b">
        <v>1</v>
      </c>
      <c r="AK98" s="30" t="b">
        <v>1</v>
      </c>
      <c r="AL98" s="30" t="b">
        <v>1</v>
      </c>
      <c r="AM98" s="30" t="b">
        <v>1</v>
      </c>
      <c r="AN98" s="30" t="b">
        <v>1</v>
      </c>
      <c r="AO98" s="30" t="b">
        <v>1</v>
      </c>
      <c r="AP98" s="30" t="b">
        <v>1</v>
      </c>
      <c r="AQ98" s="30" t="b">
        <v>1</v>
      </c>
      <c r="AR98" s="30" t="b">
        <v>1</v>
      </c>
      <c r="AS98" s="30" t="b">
        <v>1</v>
      </c>
      <c r="AT98" s="30" t="b">
        <v>0</v>
      </c>
      <c r="AU98" s="30" t="b">
        <v>0</v>
      </c>
      <c r="AV98" s="30" t="b">
        <v>0</v>
      </c>
      <c r="AW98" s="30" t="b">
        <v>0</v>
      </c>
      <c r="AX98" s="30" t="b">
        <v>0</v>
      </c>
      <c r="AY98" s="30" t="b">
        <v>0</v>
      </c>
      <c r="AZ98" s="30" t="b">
        <v>0</v>
      </c>
      <c r="BA98" s="30" t="b">
        <v>0</v>
      </c>
      <c r="BB98" s="30" t="b">
        <v>0</v>
      </c>
      <c r="BC98" s="30" t="b">
        <v>0</v>
      </c>
      <c r="BD98" s="30" t="b">
        <v>0</v>
      </c>
      <c r="BE98" s="30" t="b">
        <v>0</v>
      </c>
      <c r="BF98" s="30" t="b">
        <v>1</v>
      </c>
      <c r="BG98" s="30" t="b">
        <v>1</v>
      </c>
      <c r="BH98" s="30" t="b">
        <v>0</v>
      </c>
      <c r="BI98" s="30" t="b">
        <v>0</v>
      </c>
      <c r="BJ98" s="30" t="b">
        <v>0</v>
      </c>
      <c r="BK98" s="30" t="b">
        <v>0</v>
      </c>
      <c r="BL98" s="30" t="b">
        <v>1</v>
      </c>
      <c r="BM98" s="30" t="b">
        <v>1</v>
      </c>
      <c r="BN98" s="30" t="b">
        <v>1</v>
      </c>
      <c r="BO98" s="30" t="b">
        <v>1</v>
      </c>
    </row>
    <row r="99" hidden="1" outlineLevel="1">
      <c r="A99" s="31" t="str">
        <f>A98&amp;C99</f>
        <v>JulyAMMU.SOT HOURS</v>
      </c>
      <c r="B99" s="32"/>
      <c r="C99" s="33" t="s">
        <v>169</v>
      </c>
      <c r="D99" s="17"/>
      <c r="E99" s="29">
        <f>SUM(F99:BO99)</f>
        <v>16</v>
      </c>
      <c r="F99" s="34"/>
      <c r="G99" s="17"/>
      <c r="H99" s="34"/>
      <c r="I99" s="17"/>
      <c r="J99" s="34"/>
      <c r="K99" s="17"/>
      <c r="L99" s="34"/>
      <c r="M99" s="17"/>
      <c r="N99" s="34"/>
      <c r="O99" s="17"/>
      <c r="P99" s="34"/>
      <c r="Q99" s="17"/>
      <c r="R99" s="34"/>
      <c r="S99" s="17"/>
      <c r="T99" s="34"/>
      <c r="U99" s="17"/>
      <c r="V99" s="34">
        <v>2.0</v>
      </c>
      <c r="W99" s="17"/>
      <c r="X99" s="34">
        <v>2.0</v>
      </c>
      <c r="Y99" s="17"/>
      <c r="Z99" s="34"/>
      <c r="AA99" s="17"/>
      <c r="AB99" s="34">
        <v>2.0</v>
      </c>
      <c r="AC99" s="17"/>
      <c r="AD99" s="34"/>
      <c r="AE99" s="17"/>
      <c r="AF99" s="34"/>
      <c r="AG99" s="17"/>
      <c r="AH99" s="34"/>
      <c r="AI99" s="17"/>
      <c r="AJ99" s="34">
        <v>2.0</v>
      </c>
      <c r="AK99" s="17"/>
      <c r="AL99" s="34"/>
      <c r="AM99" s="17"/>
      <c r="AN99" s="34">
        <v>2.0</v>
      </c>
      <c r="AO99" s="17"/>
      <c r="AP99" s="34">
        <v>2.0</v>
      </c>
      <c r="AQ99" s="17"/>
      <c r="AR99" s="34"/>
      <c r="AS99" s="17"/>
      <c r="AT99" s="34"/>
      <c r="AU99" s="17"/>
      <c r="AV99" s="34"/>
      <c r="AW99" s="17"/>
      <c r="AX99" s="34"/>
      <c r="AY99" s="17"/>
      <c r="AZ99" s="34"/>
      <c r="BA99" s="17"/>
      <c r="BB99" s="34"/>
      <c r="BC99" s="17"/>
      <c r="BD99" s="34"/>
      <c r="BE99" s="17"/>
      <c r="BF99" s="34"/>
      <c r="BG99" s="17"/>
      <c r="BH99" s="34"/>
      <c r="BI99" s="17"/>
      <c r="BJ99" s="34"/>
      <c r="BK99" s="17"/>
      <c r="BL99" s="34">
        <v>2.0</v>
      </c>
      <c r="BM99" s="17"/>
      <c r="BN99" s="34">
        <v>2.0</v>
      </c>
      <c r="BO99" s="17"/>
    </row>
    <row r="100" hidden="1" outlineLevel="1">
      <c r="A100" s="26" t="str">
        <f>B100&amp;D100</f>
        <v>JulyREVATHI.S</v>
      </c>
      <c r="B100" s="27" t="s">
        <v>25</v>
      </c>
      <c r="C100" s="27" t="s">
        <v>46</v>
      </c>
      <c r="D100" s="28" t="str">
        <f>IFERROR(VLOOKUP(C100,'Employees List'!$B$2:$E1424,4,0),"")</f>
        <v>REVATHI.S</v>
      </c>
      <c r="E100" s="29">
        <f>COUNTIF(F100:BO100,TRUE)/2</f>
        <v>30</v>
      </c>
      <c r="F100" s="30" t="b">
        <v>1</v>
      </c>
      <c r="G100" s="30" t="b">
        <v>1</v>
      </c>
      <c r="H100" s="30" t="b">
        <v>0</v>
      </c>
      <c r="I100" s="30" t="b">
        <v>0</v>
      </c>
      <c r="J100" s="30" t="b">
        <v>1</v>
      </c>
      <c r="K100" s="30" t="b">
        <v>1</v>
      </c>
      <c r="L100" s="30" t="b">
        <v>1</v>
      </c>
      <c r="M100" s="30" t="b">
        <v>1</v>
      </c>
      <c r="N100" s="30" t="b">
        <v>1</v>
      </c>
      <c r="O100" s="30" t="b">
        <v>1</v>
      </c>
      <c r="P100" s="30" t="b">
        <v>1</v>
      </c>
      <c r="Q100" s="30" t="b">
        <v>1</v>
      </c>
      <c r="R100" s="30" t="b">
        <v>1</v>
      </c>
      <c r="S100" s="30" t="b">
        <v>1</v>
      </c>
      <c r="T100" s="30" t="b">
        <v>1</v>
      </c>
      <c r="U100" s="30" t="b">
        <v>1</v>
      </c>
      <c r="V100" s="30" t="b">
        <v>1</v>
      </c>
      <c r="W100" s="30" t="b">
        <v>1</v>
      </c>
      <c r="X100" s="30" t="b">
        <v>1</v>
      </c>
      <c r="Y100" s="30" t="b">
        <v>1</v>
      </c>
      <c r="Z100" s="30" t="b">
        <v>1</v>
      </c>
      <c r="AA100" s="30" t="b">
        <v>1</v>
      </c>
      <c r="AB100" s="30" t="b">
        <v>1</v>
      </c>
      <c r="AC100" s="30" t="b">
        <v>1</v>
      </c>
      <c r="AD100" s="30" t="b">
        <v>1</v>
      </c>
      <c r="AE100" s="30" t="b">
        <v>1</v>
      </c>
      <c r="AF100" s="30" t="b">
        <v>1</v>
      </c>
      <c r="AG100" s="30" t="b">
        <v>1</v>
      </c>
      <c r="AH100" s="30" t="b">
        <v>1</v>
      </c>
      <c r="AI100" s="30" t="b">
        <v>1</v>
      </c>
      <c r="AJ100" s="30" t="b">
        <v>1</v>
      </c>
      <c r="AK100" s="30" t="b">
        <v>1</v>
      </c>
      <c r="AL100" s="30" t="b">
        <v>1</v>
      </c>
      <c r="AM100" s="30" t="b">
        <v>1</v>
      </c>
      <c r="AN100" s="30" t="b">
        <v>1</v>
      </c>
      <c r="AO100" s="30" t="b">
        <v>1</v>
      </c>
      <c r="AP100" s="30" t="b">
        <v>1</v>
      </c>
      <c r="AQ100" s="30" t="b">
        <v>1</v>
      </c>
      <c r="AR100" s="30" t="b">
        <v>1</v>
      </c>
      <c r="AS100" s="30" t="b">
        <v>1</v>
      </c>
      <c r="AT100" s="30" t="b">
        <v>1</v>
      </c>
      <c r="AU100" s="30" t="b">
        <v>1</v>
      </c>
      <c r="AV100" s="30" t="b">
        <v>1</v>
      </c>
      <c r="AW100" s="30" t="b">
        <v>1</v>
      </c>
      <c r="AX100" s="30" t="b">
        <v>1</v>
      </c>
      <c r="AY100" s="30" t="b">
        <v>1</v>
      </c>
      <c r="AZ100" s="30" t="b">
        <v>1</v>
      </c>
      <c r="BA100" s="30" t="b">
        <v>1</v>
      </c>
      <c r="BB100" s="30" t="b">
        <v>1</v>
      </c>
      <c r="BC100" s="30" t="b">
        <v>1</v>
      </c>
      <c r="BD100" s="30" t="b">
        <v>1</v>
      </c>
      <c r="BE100" s="30" t="b">
        <v>1</v>
      </c>
      <c r="BF100" s="30" t="b">
        <v>1</v>
      </c>
      <c r="BG100" s="30" t="b">
        <v>1</v>
      </c>
      <c r="BH100" s="30" t="b">
        <v>1</v>
      </c>
      <c r="BI100" s="30" t="b">
        <v>1</v>
      </c>
      <c r="BJ100" s="30" t="b">
        <v>1</v>
      </c>
      <c r="BK100" s="30" t="b">
        <v>1</v>
      </c>
      <c r="BL100" s="30" t="b">
        <v>1</v>
      </c>
      <c r="BM100" s="30" t="b">
        <v>1</v>
      </c>
      <c r="BN100" s="30" t="b">
        <v>1</v>
      </c>
      <c r="BO100" s="30" t="b">
        <v>1</v>
      </c>
    </row>
    <row r="101" hidden="1" outlineLevel="1">
      <c r="A101" s="31" t="str">
        <f>A100&amp;C101</f>
        <v>JulyREVATHI.SOT HOURS</v>
      </c>
      <c r="B101" s="32"/>
      <c r="C101" s="33" t="s">
        <v>169</v>
      </c>
      <c r="D101" s="17"/>
      <c r="E101" s="29">
        <f>SUM(F101:BO101)</f>
        <v>32</v>
      </c>
      <c r="F101" s="34"/>
      <c r="G101" s="17"/>
      <c r="H101" s="34"/>
      <c r="I101" s="17"/>
      <c r="J101" s="34"/>
      <c r="K101" s="17"/>
      <c r="L101" s="34"/>
      <c r="M101" s="17"/>
      <c r="N101" s="34"/>
      <c r="O101" s="17"/>
      <c r="P101" s="34"/>
      <c r="Q101" s="17"/>
      <c r="R101" s="34"/>
      <c r="S101" s="17"/>
      <c r="T101" s="34"/>
      <c r="U101" s="17"/>
      <c r="V101" s="34">
        <v>2.0</v>
      </c>
      <c r="W101" s="17"/>
      <c r="X101" s="34">
        <v>2.0</v>
      </c>
      <c r="Y101" s="17"/>
      <c r="Z101" s="34"/>
      <c r="AA101" s="17"/>
      <c r="AB101" s="34">
        <v>2.0</v>
      </c>
      <c r="AC101" s="17"/>
      <c r="AD101" s="34"/>
      <c r="AE101" s="17"/>
      <c r="AF101" s="34"/>
      <c r="AG101" s="17"/>
      <c r="AH101" s="34"/>
      <c r="AI101" s="17"/>
      <c r="AJ101" s="34">
        <v>2.0</v>
      </c>
      <c r="AK101" s="17"/>
      <c r="AL101" s="34"/>
      <c r="AM101" s="17"/>
      <c r="AN101" s="34">
        <v>2.0</v>
      </c>
      <c r="AO101" s="17"/>
      <c r="AP101" s="34">
        <v>2.0</v>
      </c>
      <c r="AQ101" s="17"/>
      <c r="AR101" s="34">
        <v>6.0</v>
      </c>
      <c r="AS101" s="17"/>
      <c r="AT101" s="34">
        <v>2.0</v>
      </c>
      <c r="AU101" s="17"/>
      <c r="AV101" s="34"/>
      <c r="AW101" s="17"/>
      <c r="AX101" s="34">
        <v>2.0</v>
      </c>
      <c r="AY101" s="17"/>
      <c r="AZ101" s="34"/>
      <c r="BA101" s="17"/>
      <c r="BB101" s="34">
        <v>2.0</v>
      </c>
      <c r="BC101" s="17"/>
      <c r="BD101" s="34">
        <v>2.0</v>
      </c>
      <c r="BE101" s="17"/>
      <c r="BF101" s="34"/>
      <c r="BG101" s="17"/>
      <c r="BH101" s="34"/>
      <c r="BI101" s="17"/>
      <c r="BJ101" s="34">
        <v>2.0</v>
      </c>
      <c r="BK101" s="17"/>
      <c r="BL101" s="34">
        <v>2.0</v>
      </c>
      <c r="BM101" s="17"/>
      <c r="BN101" s="34">
        <v>2.0</v>
      </c>
      <c r="BO101" s="17"/>
    </row>
    <row r="102" hidden="1" outlineLevel="1">
      <c r="A102" s="26" t="str">
        <f>B102&amp;D102</f>
        <v>JulyLEELAVATHI.M</v>
      </c>
      <c r="B102" s="27" t="s">
        <v>25</v>
      </c>
      <c r="C102" s="27" t="s">
        <v>74</v>
      </c>
      <c r="D102" s="28" t="str">
        <f>IFERROR(VLOOKUP(C102,'Employees List'!$B$2:$E1424,4,0),"")</f>
        <v>LEELAVATHI.M</v>
      </c>
      <c r="E102" s="29">
        <f>COUNTIF(F102:BO102,TRUE)/2</f>
        <v>30</v>
      </c>
      <c r="F102" s="30" t="b">
        <v>1</v>
      </c>
      <c r="G102" s="30" t="b">
        <v>1</v>
      </c>
      <c r="H102" s="30" t="b">
        <v>1</v>
      </c>
      <c r="I102" s="30" t="b">
        <v>1</v>
      </c>
      <c r="J102" s="30" t="b">
        <v>1</v>
      </c>
      <c r="K102" s="30" t="b">
        <v>1</v>
      </c>
      <c r="L102" s="30" t="b">
        <v>1</v>
      </c>
      <c r="M102" s="30" t="b">
        <v>1</v>
      </c>
      <c r="N102" s="30" t="b">
        <v>1</v>
      </c>
      <c r="O102" s="30" t="b">
        <v>1</v>
      </c>
      <c r="P102" s="30" t="b">
        <v>1</v>
      </c>
      <c r="Q102" s="30" t="b">
        <v>1</v>
      </c>
      <c r="R102" s="30" t="b">
        <v>1</v>
      </c>
      <c r="S102" s="30" t="b">
        <v>1</v>
      </c>
      <c r="T102" s="30" t="b">
        <v>1</v>
      </c>
      <c r="U102" s="30" t="b">
        <v>1</v>
      </c>
      <c r="V102" s="30" t="b">
        <v>1</v>
      </c>
      <c r="W102" s="30" t="b">
        <v>1</v>
      </c>
      <c r="X102" s="30" t="b">
        <v>0</v>
      </c>
      <c r="Y102" s="30" t="b">
        <v>0</v>
      </c>
      <c r="Z102" s="30" t="b">
        <v>1</v>
      </c>
      <c r="AA102" s="30" t="b">
        <v>1</v>
      </c>
      <c r="AB102" s="30" t="b">
        <v>1</v>
      </c>
      <c r="AC102" s="30" t="b">
        <v>1</v>
      </c>
      <c r="AD102" s="30" t="b">
        <v>1</v>
      </c>
      <c r="AE102" s="30" t="b">
        <v>1</v>
      </c>
      <c r="AF102" s="30" t="b">
        <v>1</v>
      </c>
      <c r="AG102" s="30" t="b">
        <v>1</v>
      </c>
      <c r="AH102" s="30" t="b">
        <v>1</v>
      </c>
      <c r="AI102" s="30" t="b">
        <v>1</v>
      </c>
      <c r="AJ102" s="30" t="b">
        <v>1</v>
      </c>
      <c r="AK102" s="30" t="b">
        <v>1</v>
      </c>
      <c r="AL102" s="30" t="b">
        <v>1</v>
      </c>
      <c r="AM102" s="30" t="b">
        <v>1</v>
      </c>
      <c r="AN102" s="30" t="b">
        <v>1</v>
      </c>
      <c r="AO102" s="30" t="b">
        <v>1</v>
      </c>
      <c r="AP102" s="30" t="b">
        <v>1</v>
      </c>
      <c r="AQ102" s="30" t="b">
        <v>1</v>
      </c>
      <c r="AR102" s="30" t="b">
        <v>1</v>
      </c>
      <c r="AS102" s="30" t="b">
        <v>1</v>
      </c>
      <c r="AT102" s="30" t="b">
        <v>1</v>
      </c>
      <c r="AU102" s="30" t="b">
        <v>1</v>
      </c>
      <c r="AV102" s="30" t="b">
        <v>1</v>
      </c>
      <c r="AW102" s="30" t="b">
        <v>1</v>
      </c>
      <c r="AX102" s="30" t="b">
        <v>1</v>
      </c>
      <c r="AY102" s="30" t="b">
        <v>1</v>
      </c>
      <c r="AZ102" s="30" t="b">
        <v>1</v>
      </c>
      <c r="BA102" s="30" t="b">
        <v>1</v>
      </c>
      <c r="BB102" s="30" t="b">
        <v>1</v>
      </c>
      <c r="BC102" s="30" t="b">
        <v>1</v>
      </c>
      <c r="BD102" s="30" t="b">
        <v>1</v>
      </c>
      <c r="BE102" s="30" t="b">
        <v>1</v>
      </c>
      <c r="BF102" s="30" t="b">
        <v>1</v>
      </c>
      <c r="BG102" s="30" t="b">
        <v>1</v>
      </c>
      <c r="BH102" s="30" t="b">
        <v>1</v>
      </c>
      <c r="BI102" s="30" t="b">
        <v>1</v>
      </c>
      <c r="BJ102" s="30" t="b">
        <v>1</v>
      </c>
      <c r="BK102" s="30" t="b">
        <v>1</v>
      </c>
      <c r="BL102" s="30" t="b">
        <v>1</v>
      </c>
      <c r="BM102" s="30" t="b">
        <v>1</v>
      </c>
      <c r="BN102" s="30" t="b">
        <v>1</v>
      </c>
      <c r="BO102" s="30" t="b">
        <v>1</v>
      </c>
    </row>
    <row r="103" hidden="1" outlineLevel="1">
      <c r="A103" s="31" t="str">
        <f>A102&amp;C103</f>
        <v>JulyLEELAVATHI.MOT HOURS</v>
      </c>
      <c r="B103" s="32"/>
      <c r="C103" s="33" t="s">
        <v>169</v>
      </c>
      <c r="D103" s="17"/>
      <c r="E103" s="29">
        <f>SUM(F103:BO103)</f>
        <v>10</v>
      </c>
      <c r="F103" s="34"/>
      <c r="G103" s="17"/>
      <c r="H103" s="34"/>
      <c r="I103" s="17"/>
      <c r="J103" s="34"/>
      <c r="K103" s="17"/>
      <c r="L103" s="34"/>
      <c r="M103" s="17"/>
      <c r="N103" s="34"/>
      <c r="O103" s="17"/>
      <c r="P103" s="34"/>
      <c r="Q103" s="17"/>
      <c r="R103" s="34"/>
      <c r="S103" s="17"/>
      <c r="T103" s="34"/>
      <c r="U103" s="17"/>
      <c r="V103" s="34"/>
      <c r="W103" s="17"/>
      <c r="X103" s="34"/>
      <c r="Y103" s="17"/>
      <c r="Z103" s="34"/>
      <c r="AA103" s="17"/>
      <c r="AB103" s="34">
        <v>1.0</v>
      </c>
      <c r="AC103" s="17"/>
      <c r="AD103" s="34"/>
      <c r="AE103" s="17"/>
      <c r="AF103" s="34"/>
      <c r="AG103" s="17"/>
      <c r="AH103" s="34"/>
      <c r="AI103" s="17"/>
      <c r="AJ103" s="34">
        <v>2.0</v>
      </c>
      <c r="AK103" s="17"/>
      <c r="AL103" s="34"/>
      <c r="AM103" s="17"/>
      <c r="AN103" s="34"/>
      <c r="AO103" s="17"/>
      <c r="AP103" s="34">
        <v>1.0</v>
      </c>
      <c r="AQ103" s="17"/>
      <c r="AR103" s="34">
        <v>5.0</v>
      </c>
      <c r="AS103" s="17"/>
      <c r="AT103" s="34">
        <v>1.0</v>
      </c>
      <c r="AU103" s="17"/>
      <c r="AV103" s="34"/>
      <c r="AW103" s="17"/>
      <c r="AX103" s="34"/>
      <c r="AY103" s="17"/>
      <c r="AZ103" s="34"/>
      <c r="BA103" s="17"/>
      <c r="BB103" s="34"/>
      <c r="BC103" s="17"/>
      <c r="BD103" s="34"/>
      <c r="BE103" s="17"/>
      <c r="BF103" s="34"/>
      <c r="BG103" s="17"/>
      <c r="BH103" s="34"/>
      <c r="BI103" s="17"/>
      <c r="BJ103" s="34"/>
      <c r="BK103" s="17"/>
      <c r="BL103" s="34"/>
      <c r="BM103" s="17"/>
      <c r="BN103" s="34"/>
      <c r="BO103" s="17"/>
    </row>
    <row r="104" hidden="1" outlineLevel="1">
      <c r="A104" s="26" t="str">
        <f>B104&amp;D104</f>
        <v>JulySANJAY BAGARTTI.K</v>
      </c>
      <c r="B104" s="27" t="s">
        <v>25</v>
      </c>
      <c r="C104" s="27" t="s">
        <v>34</v>
      </c>
      <c r="D104" s="28" t="str">
        <f>IFERROR(VLOOKUP(C104,'Employees List'!$B$2:$E1424,4,0),"")</f>
        <v>SANJAY BAGARTTI.K</v>
      </c>
      <c r="E104" s="29">
        <f>COUNTIF(F104:BO104,TRUE)/2</f>
        <v>31</v>
      </c>
      <c r="F104" s="30" t="b">
        <v>1</v>
      </c>
      <c r="G104" s="30" t="b">
        <v>1</v>
      </c>
      <c r="H104" s="30" t="b">
        <v>1</v>
      </c>
      <c r="I104" s="30" t="b">
        <v>1</v>
      </c>
      <c r="J104" s="30" t="b">
        <v>1</v>
      </c>
      <c r="K104" s="30" t="b">
        <v>1</v>
      </c>
      <c r="L104" s="30" t="b">
        <v>1</v>
      </c>
      <c r="M104" s="30" t="b">
        <v>1</v>
      </c>
      <c r="N104" s="30" t="b">
        <v>1</v>
      </c>
      <c r="O104" s="30" t="b">
        <v>1</v>
      </c>
      <c r="P104" s="30" t="b">
        <v>1</v>
      </c>
      <c r="Q104" s="30" t="b">
        <v>1</v>
      </c>
      <c r="R104" s="30" t="b">
        <v>1</v>
      </c>
      <c r="S104" s="30" t="b">
        <v>1</v>
      </c>
      <c r="T104" s="30" t="b">
        <v>1</v>
      </c>
      <c r="U104" s="30" t="b">
        <v>1</v>
      </c>
      <c r="V104" s="30" t="b">
        <v>1</v>
      </c>
      <c r="W104" s="30" t="b">
        <v>1</v>
      </c>
      <c r="X104" s="30" t="b">
        <v>1</v>
      </c>
      <c r="Y104" s="30" t="b">
        <v>1</v>
      </c>
      <c r="Z104" s="30" t="b">
        <v>1</v>
      </c>
      <c r="AA104" s="30" t="b">
        <v>1</v>
      </c>
      <c r="AB104" s="30" t="b">
        <v>1</v>
      </c>
      <c r="AC104" s="30" t="b">
        <v>1</v>
      </c>
      <c r="AD104" s="30" t="b">
        <v>1</v>
      </c>
      <c r="AE104" s="30" t="b">
        <v>1</v>
      </c>
      <c r="AF104" s="30" t="b">
        <v>1</v>
      </c>
      <c r="AG104" s="30" t="b">
        <v>1</v>
      </c>
      <c r="AH104" s="30" t="b">
        <v>1</v>
      </c>
      <c r="AI104" s="30" t="b">
        <v>1</v>
      </c>
      <c r="AJ104" s="30" t="b">
        <v>1</v>
      </c>
      <c r="AK104" s="30" t="b">
        <v>1</v>
      </c>
      <c r="AL104" s="30" t="b">
        <v>1</v>
      </c>
      <c r="AM104" s="30" t="b">
        <v>1</v>
      </c>
      <c r="AN104" s="30" t="b">
        <v>1</v>
      </c>
      <c r="AO104" s="30" t="b">
        <v>1</v>
      </c>
      <c r="AP104" s="30" t="b">
        <v>1</v>
      </c>
      <c r="AQ104" s="30" t="b">
        <v>1</v>
      </c>
      <c r="AR104" s="30" t="b">
        <v>1</v>
      </c>
      <c r="AS104" s="30" t="b">
        <v>1</v>
      </c>
      <c r="AT104" s="30" t="b">
        <v>1</v>
      </c>
      <c r="AU104" s="30" t="b">
        <v>1</v>
      </c>
      <c r="AV104" s="30" t="b">
        <v>1</v>
      </c>
      <c r="AW104" s="30" t="b">
        <v>1</v>
      </c>
      <c r="AX104" s="30" t="b">
        <v>1</v>
      </c>
      <c r="AY104" s="30" t="b">
        <v>1</v>
      </c>
      <c r="AZ104" s="30" t="b">
        <v>1</v>
      </c>
      <c r="BA104" s="30" t="b">
        <v>1</v>
      </c>
      <c r="BB104" s="30" t="b">
        <v>1</v>
      </c>
      <c r="BC104" s="30" t="b">
        <v>1</v>
      </c>
      <c r="BD104" s="30" t="b">
        <v>1</v>
      </c>
      <c r="BE104" s="30" t="b">
        <v>1</v>
      </c>
      <c r="BF104" s="30" t="b">
        <v>1</v>
      </c>
      <c r="BG104" s="30" t="b">
        <v>1</v>
      </c>
      <c r="BH104" s="30" t="b">
        <v>1</v>
      </c>
      <c r="BI104" s="30" t="b">
        <v>1</v>
      </c>
      <c r="BJ104" s="30" t="b">
        <v>1</v>
      </c>
      <c r="BK104" s="30" t="b">
        <v>1</v>
      </c>
      <c r="BL104" s="30" t="b">
        <v>1</v>
      </c>
      <c r="BM104" s="30" t="b">
        <v>1</v>
      </c>
      <c r="BN104" s="30" t="b">
        <v>1</v>
      </c>
      <c r="BO104" s="30" t="b">
        <v>1</v>
      </c>
    </row>
    <row r="105" hidden="1" outlineLevel="1">
      <c r="A105" s="31" t="str">
        <f>A104&amp;C105</f>
        <v>JulySANJAY BAGARTTI.KOT HOURS</v>
      </c>
      <c r="B105" s="32"/>
      <c r="C105" s="33" t="s">
        <v>169</v>
      </c>
      <c r="D105" s="17"/>
      <c r="E105" s="29">
        <f>SUM(F105:BO105)</f>
        <v>100</v>
      </c>
      <c r="F105" s="34">
        <v>4.0</v>
      </c>
      <c r="G105" s="17"/>
      <c r="H105" s="34"/>
      <c r="I105" s="17"/>
      <c r="J105" s="34"/>
      <c r="K105" s="17"/>
      <c r="L105" s="34">
        <v>4.0</v>
      </c>
      <c r="M105" s="17"/>
      <c r="N105" s="34">
        <v>4.0</v>
      </c>
      <c r="O105" s="17"/>
      <c r="P105" s="34"/>
      <c r="Q105" s="17"/>
      <c r="R105" s="34">
        <v>1.0</v>
      </c>
      <c r="S105" s="17"/>
      <c r="T105" s="34"/>
      <c r="U105" s="17"/>
      <c r="V105" s="34">
        <v>5.0</v>
      </c>
      <c r="W105" s="17"/>
      <c r="X105" s="34">
        <v>6.0</v>
      </c>
      <c r="Y105" s="17"/>
      <c r="Z105" s="34">
        <v>2.0</v>
      </c>
      <c r="AA105" s="17"/>
      <c r="AB105" s="34">
        <v>4.0</v>
      </c>
      <c r="AC105" s="17"/>
      <c r="AD105" s="34"/>
      <c r="AE105" s="17"/>
      <c r="AF105" s="34">
        <v>2.0</v>
      </c>
      <c r="AG105" s="17"/>
      <c r="AH105" s="34">
        <v>4.0</v>
      </c>
      <c r="AI105" s="17"/>
      <c r="AJ105" s="34">
        <v>8.0</v>
      </c>
      <c r="AK105" s="17"/>
      <c r="AL105" s="34">
        <v>4.0</v>
      </c>
      <c r="AM105" s="17"/>
      <c r="AN105" s="34">
        <v>5.0</v>
      </c>
      <c r="AO105" s="17"/>
      <c r="AP105" s="34">
        <v>5.0</v>
      </c>
      <c r="AQ105" s="17"/>
      <c r="AR105" s="34">
        <v>6.0</v>
      </c>
      <c r="AS105" s="17"/>
      <c r="AT105" s="34">
        <v>5.0</v>
      </c>
      <c r="AU105" s="17"/>
      <c r="AV105" s="34">
        <v>6.0</v>
      </c>
      <c r="AW105" s="17"/>
      <c r="AX105" s="34">
        <v>2.0</v>
      </c>
      <c r="AY105" s="17"/>
      <c r="AZ105" s="34">
        <v>4.0</v>
      </c>
      <c r="BA105" s="17"/>
      <c r="BB105" s="34">
        <v>2.0</v>
      </c>
      <c r="BC105" s="17"/>
      <c r="BD105" s="34">
        <v>5.0</v>
      </c>
      <c r="BE105" s="17"/>
      <c r="BF105" s="34"/>
      <c r="BG105" s="17"/>
      <c r="BH105" s="34">
        <v>2.0</v>
      </c>
      <c r="BI105" s="17"/>
      <c r="BJ105" s="34">
        <v>4.0</v>
      </c>
      <c r="BK105" s="17"/>
      <c r="BL105" s="34">
        <v>2.0</v>
      </c>
      <c r="BM105" s="17"/>
      <c r="BN105" s="34">
        <v>4.0</v>
      </c>
      <c r="BO105" s="17"/>
    </row>
    <row r="106" hidden="1" outlineLevel="1">
      <c r="A106" s="26" t="str">
        <f>B106&amp;D106</f>
        <v>JulyADHIKARI BALIA.A</v>
      </c>
      <c r="B106" s="27" t="s">
        <v>25</v>
      </c>
      <c r="C106" s="27" t="s">
        <v>26</v>
      </c>
      <c r="D106" s="28" t="str">
        <f>IFERROR(VLOOKUP(C106,'Employees List'!$B$2:$E1424,4,0),"")</f>
        <v>ADHIKARI BALIA.A</v>
      </c>
      <c r="E106" s="29">
        <f>COUNTIF(F106:BO106,TRUE)/2</f>
        <v>30</v>
      </c>
      <c r="F106" s="30" t="b">
        <v>1</v>
      </c>
      <c r="G106" s="30" t="b">
        <v>1</v>
      </c>
      <c r="H106" s="30" t="b">
        <v>1</v>
      </c>
      <c r="I106" s="30" t="b">
        <v>1</v>
      </c>
      <c r="J106" s="30" t="b">
        <v>1</v>
      </c>
      <c r="K106" s="30" t="b">
        <v>1</v>
      </c>
      <c r="L106" s="30" t="b">
        <v>1</v>
      </c>
      <c r="M106" s="30" t="b">
        <v>1</v>
      </c>
      <c r="N106" s="30" t="b">
        <v>1</v>
      </c>
      <c r="O106" s="30" t="b">
        <v>1</v>
      </c>
      <c r="P106" s="30" t="b">
        <v>1</v>
      </c>
      <c r="Q106" s="30" t="b">
        <v>1</v>
      </c>
      <c r="R106" s="30" t="b">
        <v>1</v>
      </c>
      <c r="S106" s="30" t="b">
        <v>1</v>
      </c>
      <c r="T106" s="30" t="b">
        <v>1</v>
      </c>
      <c r="U106" s="30" t="b">
        <v>1</v>
      </c>
      <c r="V106" s="30" t="b">
        <v>1</v>
      </c>
      <c r="W106" s="30" t="b">
        <v>1</v>
      </c>
      <c r="X106" s="30" t="b">
        <v>1</v>
      </c>
      <c r="Y106" s="30" t="b">
        <v>1</v>
      </c>
      <c r="Z106" s="30" t="b">
        <v>1</v>
      </c>
      <c r="AA106" s="30" t="b">
        <v>1</v>
      </c>
      <c r="AB106" s="30" t="b">
        <v>1</v>
      </c>
      <c r="AC106" s="30" t="b">
        <v>1</v>
      </c>
      <c r="AD106" s="30" t="b">
        <v>1</v>
      </c>
      <c r="AE106" s="30" t="b">
        <v>1</v>
      </c>
      <c r="AF106" s="30" t="b">
        <v>1</v>
      </c>
      <c r="AG106" s="30" t="b">
        <v>1</v>
      </c>
      <c r="AH106" s="30" t="b">
        <v>1</v>
      </c>
      <c r="AI106" s="30" t="b">
        <v>1</v>
      </c>
      <c r="AJ106" s="30" t="b">
        <v>1</v>
      </c>
      <c r="AK106" s="30" t="b">
        <v>1</v>
      </c>
      <c r="AL106" s="30" t="b">
        <v>1</v>
      </c>
      <c r="AM106" s="30" t="b">
        <v>1</v>
      </c>
      <c r="AN106" s="30" t="b">
        <v>1</v>
      </c>
      <c r="AO106" s="30" t="b">
        <v>1</v>
      </c>
      <c r="AP106" s="30" t="b">
        <v>1</v>
      </c>
      <c r="AQ106" s="30" t="b">
        <v>1</v>
      </c>
      <c r="AR106" s="30" t="b">
        <v>1</v>
      </c>
      <c r="AS106" s="30" t="b">
        <v>1</v>
      </c>
      <c r="AT106" s="30" t="b">
        <v>0</v>
      </c>
      <c r="AU106" s="30" t="b">
        <v>0</v>
      </c>
      <c r="AV106" s="30" t="b">
        <v>1</v>
      </c>
      <c r="AW106" s="30" t="b">
        <v>1</v>
      </c>
      <c r="AX106" s="30" t="b">
        <v>1</v>
      </c>
      <c r="AY106" s="30" t="b">
        <v>1</v>
      </c>
      <c r="AZ106" s="30" t="b">
        <v>1</v>
      </c>
      <c r="BA106" s="30" t="b">
        <v>1</v>
      </c>
      <c r="BB106" s="30" t="b">
        <v>1</v>
      </c>
      <c r="BC106" s="30" t="b">
        <v>1</v>
      </c>
      <c r="BD106" s="30" t="b">
        <v>1</v>
      </c>
      <c r="BE106" s="30" t="b">
        <v>1</v>
      </c>
      <c r="BF106" s="30" t="b">
        <v>1</v>
      </c>
      <c r="BG106" s="30" t="b">
        <v>1</v>
      </c>
      <c r="BH106" s="30" t="b">
        <v>1</v>
      </c>
      <c r="BI106" s="30" t="b">
        <v>1</v>
      </c>
      <c r="BJ106" s="30" t="b">
        <v>1</v>
      </c>
      <c r="BK106" s="30" t="b">
        <v>1</v>
      </c>
      <c r="BL106" s="30" t="b">
        <v>1</v>
      </c>
      <c r="BM106" s="30" t="b">
        <v>1</v>
      </c>
      <c r="BN106" s="30" t="b">
        <v>1</v>
      </c>
      <c r="BO106" s="30" t="b">
        <v>1</v>
      </c>
    </row>
    <row r="107" hidden="1" outlineLevel="1">
      <c r="A107" s="31" t="str">
        <f>A106&amp;C107</f>
        <v>JulyADHIKARI BALIA.AOT HOURS</v>
      </c>
      <c r="B107" s="32"/>
      <c r="C107" s="33" t="s">
        <v>169</v>
      </c>
      <c r="D107" s="17"/>
      <c r="E107" s="29">
        <f>SUM(F107:BO107)</f>
        <v>68</v>
      </c>
      <c r="F107" s="34">
        <v>4.0</v>
      </c>
      <c r="G107" s="17"/>
      <c r="H107" s="34"/>
      <c r="I107" s="17"/>
      <c r="J107" s="34"/>
      <c r="K107" s="17"/>
      <c r="L107" s="34">
        <v>4.0</v>
      </c>
      <c r="M107" s="17"/>
      <c r="N107" s="34">
        <v>4.0</v>
      </c>
      <c r="O107" s="17"/>
      <c r="P107" s="34"/>
      <c r="Q107" s="17"/>
      <c r="R107" s="34"/>
      <c r="S107" s="17"/>
      <c r="T107" s="34"/>
      <c r="U107" s="17"/>
      <c r="V107" s="34">
        <v>2.0</v>
      </c>
      <c r="W107" s="17"/>
      <c r="X107" s="34">
        <v>4.0</v>
      </c>
      <c r="Y107" s="17"/>
      <c r="Z107" s="34">
        <v>2.0</v>
      </c>
      <c r="AA107" s="17"/>
      <c r="AB107" s="34">
        <v>4.0</v>
      </c>
      <c r="AC107" s="17"/>
      <c r="AD107" s="34"/>
      <c r="AE107" s="17"/>
      <c r="AF107" s="34">
        <v>2.0</v>
      </c>
      <c r="AG107" s="17"/>
      <c r="AH107" s="34"/>
      <c r="AI107" s="17"/>
      <c r="AJ107" s="34">
        <v>5.0</v>
      </c>
      <c r="AK107" s="17"/>
      <c r="AL107" s="34">
        <v>4.0</v>
      </c>
      <c r="AM107" s="17"/>
      <c r="AN107" s="34">
        <v>2.0</v>
      </c>
      <c r="AO107" s="17"/>
      <c r="AP107" s="34">
        <v>4.0</v>
      </c>
      <c r="AQ107" s="17"/>
      <c r="AR107" s="34">
        <v>6.0</v>
      </c>
      <c r="AS107" s="17"/>
      <c r="AT107" s="34"/>
      <c r="AU107" s="17"/>
      <c r="AV107" s="34">
        <v>3.0</v>
      </c>
      <c r="AW107" s="17"/>
      <c r="AX107" s="34">
        <v>2.0</v>
      </c>
      <c r="AY107" s="17"/>
      <c r="AZ107" s="34">
        <v>2.0</v>
      </c>
      <c r="BA107" s="17"/>
      <c r="BB107" s="34">
        <v>2.0</v>
      </c>
      <c r="BC107" s="17"/>
      <c r="BD107" s="34">
        <v>2.0</v>
      </c>
      <c r="BE107" s="17"/>
      <c r="BF107" s="34"/>
      <c r="BG107" s="17"/>
      <c r="BH107" s="34"/>
      <c r="BI107" s="17"/>
      <c r="BJ107" s="34">
        <v>4.0</v>
      </c>
      <c r="BK107" s="17"/>
      <c r="BL107" s="34">
        <v>2.0</v>
      </c>
      <c r="BM107" s="17"/>
      <c r="BN107" s="34">
        <v>4.0</v>
      </c>
      <c r="BO107" s="17"/>
    </row>
    <row r="108" hidden="1" outlineLevel="1">
      <c r="A108" s="26" t="str">
        <f>B108&amp;D108</f>
        <v>JulyRUPESH KISAN</v>
      </c>
      <c r="B108" s="27" t="s">
        <v>25</v>
      </c>
      <c r="C108" s="27" t="s">
        <v>30</v>
      </c>
      <c r="D108" s="28" t="str">
        <f>IFERROR(VLOOKUP(C108,'Employees List'!$B$2:$E1424,4,0),"")</f>
        <v>RUPESH KISAN</v>
      </c>
      <c r="E108" s="29">
        <f>COUNTIF(F108:BO108,TRUE)/2</f>
        <v>31</v>
      </c>
      <c r="F108" s="30" t="b">
        <v>1</v>
      </c>
      <c r="G108" s="30" t="b">
        <v>1</v>
      </c>
      <c r="H108" s="30" t="b">
        <v>1</v>
      </c>
      <c r="I108" s="30" t="b">
        <v>1</v>
      </c>
      <c r="J108" s="30" t="b">
        <v>1</v>
      </c>
      <c r="K108" s="30" t="b">
        <v>1</v>
      </c>
      <c r="L108" s="30" t="b">
        <v>1</v>
      </c>
      <c r="M108" s="30" t="b">
        <v>1</v>
      </c>
      <c r="N108" s="30" t="b">
        <v>1</v>
      </c>
      <c r="O108" s="30" t="b">
        <v>1</v>
      </c>
      <c r="P108" s="30" t="b">
        <v>1</v>
      </c>
      <c r="Q108" s="30" t="b">
        <v>1</v>
      </c>
      <c r="R108" s="30" t="b">
        <v>1</v>
      </c>
      <c r="S108" s="30" t="b">
        <v>1</v>
      </c>
      <c r="T108" s="30" t="b">
        <v>1</v>
      </c>
      <c r="U108" s="30" t="b">
        <v>1</v>
      </c>
      <c r="V108" s="30" t="b">
        <v>1</v>
      </c>
      <c r="W108" s="30" t="b">
        <v>1</v>
      </c>
      <c r="X108" s="30" t="b">
        <v>1</v>
      </c>
      <c r="Y108" s="30" t="b">
        <v>1</v>
      </c>
      <c r="Z108" s="30" t="b">
        <v>1</v>
      </c>
      <c r="AA108" s="30" t="b">
        <v>1</v>
      </c>
      <c r="AB108" s="30" t="b">
        <v>1</v>
      </c>
      <c r="AC108" s="30" t="b">
        <v>1</v>
      </c>
      <c r="AD108" s="30" t="b">
        <v>1</v>
      </c>
      <c r="AE108" s="30" t="b">
        <v>1</v>
      </c>
      <c r="AF108" s="30" t="b">
        <v>1</v>
      </c>
      <c r="AG108" s="30" t="b">
        <v>1</v>
      </c>
      <c r="AH108" s="30" t="b">
        <v>1</v>
      </c>
      <c r="AI108" s="30" t="b">
        <v>1</v>
      </c>
      <c r="AJ108" s="30" t="b">
        <v>1</v>
      </c>
      <c r="AK108" s="30" t="b">
        <v>1</v>
      </c>
      <c r="AL108" s="30" t="b">
        <v>1</v>
      </c>
      <c r="AM108" s="30" t="b">
        <v>1</v>
      </c>
      <c r="AN108" s="30" t="b">
        <v>1</v>
      </c>
      <c r="AO108" s="30" t="b">
        <v>1</v>
      </c>
      <c r="AP108" s="30" t="b">
        <v>1</v>
      </c>
      <c r="AQ108" s="30" t="b">
        <v>1</v>
      </c>
      <c r="AR108" s="30" t="b">
        <v>1</v>
      </c>
      <c r="AS108" s="30" t="b">
        <v>1</v>
      </c>
      <c r="AT108" s="30" t="b">
        <v>1</v>
      </c>
      <c r="AU108" s="30" t="b">
        <v>1</v>
      </c>
      <c r="AV108" s="30" t="b">
        <v>1</v>
      </c>
      <c r="AW108" s="30" t="b">
        <v>1</v>
      </c>
      <c r="AX108" s="30" t="b">
        <v>1</v>
      </c>
      <c r="AY108" s="30" t="b">
        <v>1</v>
      </c>
      <c r="AZ108" s="30" t="b">
        <v>1</v>
      </c>
      <c r="BA108" s="30" t="b">
        <v>1</v>
      </c>
      <c r="BB108" s="30" t="b">
        <v>1</v>
      </c>
      <c r="BC108" s="30" t="b">
        <v>1</v>
      </c>
      <c r="BD108" s="30" t="b">
        <v>1</v>
      </c>
      <c r="BE108" s="30" t="b">
        <v>1</v>
      </c>
      <c r="BF108" s="30" t="b">
        <v>1</v>
      </c>
      <c r="BG108" s="30" t="b">
        <v>1</v>
      </c>
      <c r="BH108" s="30" t="b">
        <v>1</v>
      </c>
      <c r="BI108" s="30" t="b">
        <v>1</v>
      </c>
      <c r="BJ108" s="30" t="b">
        <v>1</v>
      </c>
      <c r="BK108" s="30" t="b">
        <v>1</v>
      </c>
      <c r="BL108" s="30" t="b">
        <v>1</v>
      </c>
      <c r="BM108" s="30" t="b">
        <v>1</v>
      </c>
      <c r="BN108" s="30" t="b">
        <v>1</v>
      </c>
      <c r="BO108" s="30" t="b">
        <v>1</v>
      </c>
    </row>
    <row r="109" hidden="1" outlineLevel="1">
      <c r="A109" s="31" t="str">
        <f>A108&amp;C109</f>
        <v>JulyRUPESH KISANOT HOURS</v>
      </c>
      <c r="B109" s="32"/>
      <c r="C109" s="33" t="s">
        <v>169</v>
      </c>
      <c r="D109" s="17"/>
      <c r="E109" s="29">
        <f>SUM(F109:BO109)</f>
        <v>75</v>
      </c>
      <c r="F109" s="34">
        <v>4.0</v>
      </c>
      <c r="G109" s="17"/>
      <c r="H109" s="34"/>
      <c r="I109" s="17"/>
      <c r="J109" s="34"/>
      <c r="K109" s="17"/>
      <c r="L109" s="34"/>
      <c r="M109" s="17"/>
      <c r="N109" s="34">
        <v>4.0</v>
      </c>
      <c r="O109" s="17"/>
      <c r="P109" s="34"/>
      <c r="Q109" s="17"/>
      <c r="R109" s="34">
        <v>1.0</v>
      </c>
      <c r="S109" s="17"/>
      <c r="T109" s="34"/>
      <c r="U109" s="17"/>
      <c r="V109" s="34">
        <v>5.0</v>
      </c>
      <c r="W109" s="17"/>
      <c r="X109" s="34">
        <v>4.0</v>
      </c>
      <c r="Y109" s="17"/>
      <c r="Z109" s="34">
        <v>2.0</v>
      </c>
      <c r="AA109" s="17"/>
      <c r="AB109" s="34">
        <v>4.0</v>
      </c>
      <c r="AC109" s="17"/>
      <c r="AD109" s="34"/>
      <c r="AE109" s="17"/>
      <c r="AF109" s="34">
        <v>2.0</v>
      </c>
      <c r="AG109" s="17"/>
      <c r="AH109" s="34">
        <v>3.0</v>
      </c>
      <c r="AI109" s="17"/>
      <c r="AJ109" s="34">
        <v>4.0</v>
      </c>
      <c r="AK109" s="17"/>
      <c r="AL109" s="34">
        <v>2.0</v>
      </c>
      <c r="AM109" s="17"/>
      <c r="AN109" s="34">
        <v>3.0</v>
      </c>
      <c r="AO109" s="17"/>
      <c r="AP109" s="34">
        <v>5.0</v>
      </c>
      <c r="AQ109" s="17"/>
      <c r="AR109" s="34">
        <v>6.0</v>
      </c>
      <c r="AS109" s="17"/>
      <c r="AT109" s="34">
        <v>3.0</v>
      </c>
      <c r="AU109" s="17"/>
      <c r="AV109" s="34">
        <v>2.0</v>
      </c>
      <c r="AW109" s="17"/>
      <c r="AX109" s="34">
        <v>2.0</v>
      </c>
      <c r="AY109" s="17"/>
      <c r="AZ109" s="34">
        <v>2.0</v>
      </c>
      <c r="BA109" s="17"/>
      <c r="BB109" s="34">
        <v>2.0</v>
      </c>
      <c r="BC109" s="17"/>
      <c r="BD109" s="34">
        <v>2.0</v>
      </c>
      <c r="BE109" s="17"/>
      <c r="BF109" s="34"/>
      <c r="BG109" s="17"/>
      <c r="BH109" s="34">
        <v>5.0</v>
      </c>
      <c r="BI109" s="17"/>
      <c r="BJ109" s="34">
        <v>2.0</v>
      </c>
      <c r="BK109" s="17"/>
      <c r="BL109" s="34">
        <v>2.0</v>
      </c>
      <c r="BM109" s="17"/>
      <c r="BN109" s="34">
        <v>4.0</v>
      </c>
      <c r="BO109" s="17"/>
    </row>
    <row r="110" hidden="1" outlineLevel="1">
      <c r="A110" s="26" t="str">
        <f>B110&amp;D110</f>
        <v>JulyLIPAN</v>
      </c>
      <c r="B110" s="27" t="s">
        <v>25</v>
      </c>
      <c r="C110" s="27" t="s">
        <v>87</v>
      </c>
      <c r="D110" s="28" t="str">
        <f>IFERROR(VLOOKUP(C110,'Employees List'!$B$2:$E1424,4,0),"")</f>
        <v>LIPAN</v>
      </c>
      <c r="E110" s="29">
        <f>COUNTIF(F110:BO110,TRUE)/2</f>
        <v>31</v>
      </c>
      <c r="F110" s="30" t="b">
        <v>1</v>
      </c>
      <c r="G110" s="30" t="b">
        <v>1</v>
      </c>
      <c r="H110" s="30" t="b">
        <v>1</v>
      </c>
      <c r="I110" s="30" t="b">
        <v>1</v>
      </c>
      <c r="J110" s="30" t="b">
        <v>1</v>
      </c>
      <c r="K110" s="30" t="b">
        <v>1</v>
      </c>
      <c r="L110" s="30" t="b">
        <v>1</v>
      </c>
      <c r="M110" s="30" t="b">
        <v>1</v>
      </c>
      <c r="N110" s="30" t="b">
        <v>1</v>
      </c>
      <c r="O110" s="30" t="b">
        <v>1</v>
      </c>
      <c r="P110" s="30" t="b">
        <v>1</v>
      </c>
      <c r="Q110" s="30" t="b">
        <v>1</v>
      </c>
      <c r="R110" s="30" t="b">
        <v>1</v>
      </c>
      <c r="S110" s="30" t="b">
        <v>1</v>
      </c>
      <c r="T110" s="30" t="b">
        <v>1</v>
      </c>
      <c r="U110" s="30" t="b">
        <v>1</v>
      </c>
      <c r="V110" s="30" t="b">
        <v>1</v>
      </c>
      <c r="W110" s="30" t="b">
        <v>1</v>
      </c>
      <c r="X110" s="30" t="b">
        <v>1</v>
      </c>
      <c r="Y110" s="30" t="b">
        <v>1</v>
      </c>
      <c r="Z110" s="30" t="b">
        <v>1</v>
      </c>
      <c r="AA110" s="30" t="b">
        <v>1</v>
      </c>
      <c r="AB110" s="30" t="b">
        <v>1</v>
      </c>
      <c r="AC110" s="30" t="b">
        <v>1</v>
      </c>
      <c r="AD110" s="30" t="b">
        <v>1</v>
      </c>
      <c r="AE110" s="30" t="b">
        <v>1</v>
      </c>
      <c r="AF110" s="30" t="b">
        <v>1</v>
      </c>
      <c r="AG110" s="30" t="b">
        <v>1</v>
      </c>
      <c r="AH110" s="30" t="b">
        <v>1</v>
      </c>
      <c r="AI110" s="30" t="b">
        <v>1</v>
      </c>
      <c r="AJ110" s="30" t="b">
        <v>1</v>
      </c>
      <c r="AK110" s="30" t="b">
        <v>1</v>
      </c>
      <c r="AL110" s="30" t="b">
        <v>1</v>
      </c>
      <c r="AM110" s="30" t="b">
        <v>1</v>
      </c>
      <c r="AN110" s="30" t="b">
        <v>1</v>
      </c>
      <c r="AO110" s="30" t="b">
        <v>1</v>
      </c>
      <c r="AP110" s="30" t="b">
        <v>1</v>
      </c>
      <c r="AQ110" s="30" t="b">
        <v>1</v>
      </c>
      <c r="AR110" s="30" t="b">
        <v>1</v>
      </c>
      <c r="AS110" s="30" t="b">
        <v>1</v>
      </c>
      <c r="AT110" s="30" t="b">
        <v>1</v>
      </c>
      <c r="AU110" s="30" t="b">
        <v>1</v>
      </c>
      <c r="AV110" s="30" t="b">
        <v>1</v>
      </c>
      <c r="AW110" s="30" t="b">
        <v>1</v>
      </c>
      <c r="AX110" s="30" t="b">
        <v>1</v>
      </c>
      <c r="AY110" s="30" t="b">
        <v>1</v>
      </c>
      <c r="AZ110" s="30" t="b">
        <v>1</v>
      </c>
      <c r="BA110" s="30" t="b">
        <v>1</v>
      </c>
      <c r="BB110" s="30" t="b">
        <v>1</v>
      </c>
      <c r="BC110" s="30" t="b">
        <v>1</v>
      </c>
      <c r="BD110" s="30" t="b">
        <v>1</v>
      </c>
      <c r="BE110" s="30" t="b">
        <v>1</v>
      </c>
      <c r="BF110" s="30" t="b">
        <v>1</v>
      </c>
      <c r="BG110" s="30" t="b">
        <v>1</v>
      </c>
      <c r="BH110" s="30" t="b">
        <v>1</v>
      </c>
      <c r="BI110" s="30" t="b">
        <v>1</v>
      </c>
      <c r="BJ110" s="30" t="b">
        <v>1</v>
      </c>
      <c r="BK110" s="30" t="b">
        <v>1</v>
      </c>
      <c r="BL110" s="30" t="b">
        <v>1</v>
      </c>
      <c r="BM110" s="30" t="b">
        <v>1</v>
      </c>
      <c r="BN110" s="30" t="b">
        <v>1</v>
      </c>
      <c r="BO110" s="30" t="b">
        <v>1</v>
      </c>
    </row>
    <row r="111" hidden="1" outlineLevel="1">
      <c r="A111" s="31" t="str">
        <f>A110&amp;C111</f>
        <v>JulyLIPANOT HOURS</v>
      </c>
      <c r="B111" s="32"/>
      <c r="C111" s="33" t="s">
        <v>169</v>
      </c>
      <c r="D111" s="17"/>
      <c r="E111" s="29">
        <f>SUM(F111:BO111)</f>
        <v>91</v>
      </c>
      <c r="F111" s="34">
        <v>2.0</v>
      </c>
      <c r="G111" s="17"/>
      <c r="H111" s="34"/>
      <c r="I111" s="17"/>
      <c r="J111" s="34"/>
      <c r="K111" s="17"/>
      <c r="L111" s="34">
        <v>2.0</v>
      </c>
      <c r="M111" s="17"/>
      <c r="N111" s="34">
        <v>4.0</v>
      </c>
      <c r="O111" s="17"/>
      <c r="P111" s="34"/>
      <c r="Q111" s="17"/>
      <c r="R111" s="34">
        <v>1.0</v>
      </c>
      <c r="S111" s="17"/>
      <c r="T111" s="34">
        <v>2.0</v>
      </c>
      <c r="U111" s="17"/>
      <c r="V111" s="34">
        <v>5.0</v>
      </c>
      <c r="W111" s="17"/>
      <c r="X111" s="34">
        <v>6.0</v>
      </c>
      <c r="Y111" s="17"/>
      <c r="Z111" s="34">
        <v>2.0</v>
      </c>
      <c r="AA111" s="17"/>
      <c r="AB111" s="34">
        <v>2.0</v>
      </c>
      <c r="AC111" s="17"/>
      <c r="AD111" s="34"/>
      <c r="AE111" s="17"/>
      <c r="AF111" s="34">
        <v>2.0</v>
      </c>
      <c r="AG111" s="17"/>
      <c r="AH111" s="34">
        <v>4.0</v>
      </c>
      <c r="AI111" s="17"/>
      <c r="AJ111" s="34">
        <v>5.0</v>
      </c>
      <c r="AK111" s="17"/>
      <c r="AL111" s="34">
        <v>4.0</v>
      </c>
      <c r="AM111" s="17"/>
      <c r="AN111" s="34">
        <v>4.0</v>
      </c>
      <c r="AO111" s="17"/>
      <c r="AP111" s="34">
        <v>4.0</v>
      </c>
      <c r="AQ111" s="17"/>
      <c r="AR111" s="34">
        <v>6.0</v>
      </c>
      <c r="AS111" s="17"/>
      <c r="AT111" s="34">
        <v>5.0</v>
      </c>
      <c r="AU111" s="17"/>
      <c r="AV111" s="34">
        <v>5.0</v>
      </c>
      <c r="AW111" s="17"/>
      <c r="AX111" s="34">
        <v>2.0</v>
      </c>
      <c r="AY111" s="17"/>
      <c r="AZ111" s="34">
        <v>4.0</v>
      </c>
      <c r="BA111" s="17"/>
      <c r="BB111" s="34">
        <v>2.0</v>
      </c>
      <c r="BC111" s="17"/>
      <c r="BD111" s="34">
        <v>5.0</v>
      </c>
      <c r="BE111" s="17"/>
      <c r="BF111" s="34"/>
      <c r="BG111" s="17"/>
      <c r="BH111" s="34">
        <v>3.0</v>
      </c>
      <c r="BI111" s="17"/>
      <c r="BJ111" s="34">
        <v>4.0</v>
      </c>
      <c r="BK111" s="17"/>
      <c r="BL111" s="34">
        <v>2.0</v>
      </c>
      <c r="BM111" s="17"/>
      <c r="BN111" s="34">
        <v>4.0</v>
      </c>
      <c r="BO111" s="17"/>
    </row>
    <row r="112" hidden="1" outlineLevel="1">
      <c r="A112" s="26" t="str">
        <f>B112&amp;D112</f>
        <v>JulyPARSHU BAGH</v>
      </c>
      <c r="B112" s="27" t="s">
        <v>25</v>
      </c>
      <c r="C112" s="27" t="s">
        <v>96</v>
      </c>
      <c r="D112" s="28" t="str">
        <f>IFERROR(VLOOKUP(C112,'Employees List'!$B$2:$E1424,4,0),"")</f>
        <v>PARSHU BAGH</v>
      </c>
      <c r="E112" s="29">
        <f>COUNTIF(F112:BO112,TRUE)/2</f>
        <v>24</v>
      </c>
      <c r="F112" s="30" t="b">
        <v>0</v>
      </c>
      <c r="G112" s="30" t="b">
        <v>0</v>
      </c>
      <c r="H112" s="30" t="b">
        <v>0</v>
      </c>
      <c r="I112" s="30" t="b">
        <v>0</v>
      </c>
      <c r="J112" s="30" t="b">
        <v>0</v>
      </c>
      <c r="K112" s="30" t="b">
        <v>0</v>
      </c>
      <c r="L112" s="30" t="b">
        <v>0</v>
      </c>
      <c r="M112" s="30" t="b">
        <v>0</v>
      </c>
      <c r="N112" s="30" t="b">
        <v>0</v>
      </c>
      <c r="O112" s="30" t="b">
        <v>0</v>
      </c>
      <c r="P112" s="30" t="b">
        <v>0</v>
      </c>
      <c r="Q112" s="30" t="b">
        <v>0</v>
      </c>
      <c r="R112" s="30" t="b">
        <v>0</v>
      </c>
      <c r="S112" s="30" t="b">
        <v>0</v>
      </c>
      <c r="T112" s="30" t="b">
        <v>1</v>
      </c>
      <c r="U112" s="30" t="b">
        <v>1</v>
      </c>
      <c r="V112" s="30" t="b">
        <v>1</v>
      </c>
      <c r="W112" s="30" t="b">
        <v>1</v>
      </c>
      <c r="X112" s="30" t="b">
        <v>1</v>
      </c>
      <c r="Y112" s="30" t="b">
        <v>1</v>
      </c>
      <c r="Z112" s="30" t="b">
        <v>1</v>
      </c>
      <c r="AA112" s="30" t="b">
        <v>1</v>
      </c>
      <c r="AB112" s="30" t="b">
        <v>1</v>
      </c>
      <c r="AC112" s="30" t="b">
        <v>1</v>
      </c>
      <c r="AD112" s="30" t="b">
        <v>1</v>
      </c>
      <c r="AE112" s="30" t="b">
        <v>1</v>
      </c>
      <c r="AF112" s="30" t="b">
        <v>1</v>
      </c>
      <c r="AG112" s="30" t="b">
        <v>1</v>
      </c>
      <c r="AH112" s="30" t="b">
        <v>1</v>
      </c>
      <c r="AI112" s="30" t="b">
        <v>1</v>
      </c>
      <c r="AJ112" s="30" t="b">
        <v>1</v>
      </c>
      <c r="AK112" s="30" t="b">
        <v>1</v>
      </c>
      <c r="AL112" s="30" t="b">
        <v>1</v>
      </c>
      <c r="AM112" s="30" t="b">
        <v>1</v>
      </c>
      <c r="AN112" s="30" t="b">
        <v>1</v>
      </c>
      <c r="AO112" s="30" t="b">
        <v>1</v>
      </c>
      <c r="AP112" s="30" t="b">
        <v>1</v>
      </c>
      <c r="AQ112" s="30" t="b">
        <v>1</v>
      </c>
      <c r="AR112" s="30" t="b">
        <v>1</v>
      </c>
      <c r="AS112" s="30" t="b">
        <v>1</v>
      </c>
      <c r="AT112" s="30" t="b">
        <v>1</v>
      </c>
      <c r="AU112" s="30" t="b">
        <v>1</v>
      </c>
      <c r="AV112" s="30" t="b">
        <v>1</v>
      </c>
      <c r="AW112" s="30" t="b">
        <v>1</v>
      </c>
      <c r="AX112" s="30" t="b">
        <v>1</v>
      </c>
      <c r="AY112" s="30" t="b">
        <v>1</v>
      </c>
      <c r="AZ112" s="30" t="b">
        <v>1</v>
      </c>
      <c r="BA112" s="30" t="b">
        <v>1</v>
      </c>
      <c r="BB112" s="30" t="b">
        <v>1</v>
      </c>
      <c r="BC112" s="30" t="b">
        <v>1</v>
      </c>
      <c r="BD112" s="30" t="b">
        <v>1</v>
      </c>
      <c r="BE112" s="30" t="b">
        <v>1</v>
      </c>
      <c r="BF112" s="30" t="b">
        <v>1</v>
      </c>
      <c r="BG112" s="30" t="b">
        <v>1</v>
      </c>
      <c r="BH112" s="30" t="b">
        <v>1</v>
      </c>
      <c r="BI112" s="30" t="b">
        <v>1</v>
      </c>
      <c r="BJ112" s="30" t="b">
        <v>1</v>
      </c>
      <c r="BK112" s="30" t="b">
        <v>1</v>
      </c>
      <c r="BL112" s="30" t="b">
        <v>1</v>
      </c>
      <c r="BM112" s="30" t="b">
        <v>1</v>
      </c>
      <c r="BN112" s="30" t="b">
        <v>1</v>
      </c>
      <c r="BO112" s="30" t="b">
        <v>1</v>
      </c>
    </row>
    <row r="113" hidden="1" outlineLevel="1">
      <c r="A113" s="31" t="str">
        <f>A112&amp;C113</f>
        <v>JulyPARSHU BAGHOT HOURS</v>
      </c>
      <c r="B113" s="32"/>
      <c r="C113" s="33" t="s">
        <v>169</v>
      </c>
      <c r="D113" s="17"/>
      <c r="E113" s="29">
        <f>SUM(F113:BO113)</f>
        <v>61</v>
      </c>
      <c r="F113" s="34"/>
      <c r="G113" s="17"/>
      <c r="H113" s="34"/>
      <c r="I113" s="17"/>
      <c r="J113" s="34"/>
      <c r="K113" s="17"/>
      <c r="L113" s="34"/>
      <c r="M113" s="17"/>
      <c r="N113" s="34"/>
      <c r="O113" s="17"/>
      <c r="P113" s="34"/>
      <c r="Q113" s="17"/>
      <c r="R113" s="34"/>
      <c r="S113" s="17"/>
      <c r="T113" s="34"/>
      <c r="U113" s="17"/>
      <c r="V113" s="34">
        <v>2.0</v>
      </c>
      <c r="W113" s="17"/>
      <c r="X113" s="34">
        <v>2.0</v>
      </c>
      <c r="Y113" s="17"/>
      <c r="Z113" s="34">
        <v>2.0</v>
      </c>
      <c r="AA113" s="17"/>
      <c r="AB113" s="34">
        <v>4.0</v>
      </c>
      <c r="AC113" s="17"/>
      <c r="AD113" s="34"/>
      <c r="AE113" s="17"/>
      <c r="AF113" s="34">
        <v>2.0</v>
      </c>
      <c r="AG113" s="17"/>
      <c r="AH113" s="34">
        <v>3.0</v>
      </c>
      <c r="AI113" s="17"/>
      <c r="AJ113" s="34">
        <v>5.0</v>
      </c>
      <c r="AK113" s="17"/>
      <c r="AL113" s="34">
        <v>4.0</v>
      </c>
      <c r="AM113" s="17"/>
      <c r="AN113" s="34">
        <v>5.0</v>
      </c>
      <c r="AO113" s="17"/>
      <c r="AP113" s="34">
        <v>4.0</v>
      </c>
      <c r="AQ113" s="17"/>
      <c r="AR113" s="34">
        <v>6.0</v>
      </c>
      <c r="AS113" s="17"/>
      <c r="AT113" s="34">
        <v>2.0</v>
      </c>
      <c r="AU113" s="17"/>
      <c r="AV113" s="34">
        <v>4.0</v>
      </c>
      <c r="AW113" s="17"/>
      <c r="AX113" s="34">
        <v>2.0</v>
      </c>
      <c r="AY113" s="17"/>
      <c r="AZ113" s="34">
        <v>2.0</v>
      </c>
      <c r="BA113" s="17"/>
      <c r="BB113" s="34">
        <v>2.0</v>
      </c>
      <c r="BC113" s="17"/>
      <c r="BD113" s="34">
        <v>2.0</v>
      </c>
      <c r="BE113" s="17"/>
      <c r="BF113" s="34"/>
      <c r="BG113" s="17"/>
      <c r="BH113" s="34"/>
      <c r="BI113" s="17"/>
      <c r="BJ113" s="34">
        <v>4.0</v>
      </c>
      <c r="BK113" s="17"/>
      <c r="BL113" s="34">
        <v>2.0</v>
      </c>
      <c r="BM113" s="17"/>
      <c r="BN113" s="34">
        <v>2.0</v>
      </c>
      <c r="BO113" s="17"/>
    </row>
    <row r="114" hidden="1" outlineLevel="1">
      <c r="A114" s="26" t="str">
        <f>B114&amp;D114</f>
        <v>JulyVASANTHA.E</v>
      </c>
      <c r="B114" s="27" t="s">
        <v>25</v>
      </c>
      <c r="C114" s="27" t="s">
        <v>17</v>
      </c>
      <c r="D114" s="28" t="str">
        <f>IFERROR(VLOOKUP(C114,'Employees List'!$B$2:$E1424,4,0),"")</f>
        <v>VASANTHA.E</v>
      </c>
      <c r="E114" s="29">
        <f>COUNTIF(F114:BO114,TRUE)/2</f>
        <v>27</v>
      </c>
      <c r="F114" s="30" t="b">
        <v>1</v>
      </c>
      <c r="G114" s="30" t="b">
        <v>1</v>
      </c>
      <c r="H114" s="30" t="b">
        <v>1</v>
      </c>
      <c r="I114" s="30" t="b">
        <v>1</v>
      </c>
      <c r="J114" s="30" t="b">
        <v>1</v>
      </c>
      <c r="K114" s="30" t="b">
        <v>1</v>
      </c>
      <c r="L114" s="30" t="b">
        <v>1</v>
      </c>
      <c r="M114" s="30" t="b">
        <v>1</v>
      </c>
      <c r="N114" s="30" t="b">
        <v>1</v>
      </c>
      <c r="O114" s="30" t="b">
        <v>1</v>
      </c>
      <c r="P114" s="30" t="b">
        <v>1</v>
      </c>
      <c r="Q114" s="30" t="b">
        <v>1</v>
      </c>
      <c r="R114" s="30" t="b">
        <v>1</v>
      </c>
      <c r="S114" s="30" t="b">
        <v>1</v>
      </c>
      <c r="T114" s="30" t="b">
        <v>1</v>
      </c>
      <c r="U114" s="30" t="b">
        <v>1</v>
      </c>
      <c r="V114" s="30" t="b">
        <v>1</v>
      </c>
      <c r="W114" s="30" t="b">
        <v>1</v>
      </c>
      <c r="X114" s="30" t="b">
        <v>1</v>
      </c>
      <c r="Y114" s="30" t="b">
        <v>1</v>
      </c>
      <c r="Z114" s="30" t="b">
        <v>1</v>
      </c>
      <c r="AA114" s="30" t="b">
        <v>1</v>
      </c>
      <c r="AB114" s="30" t="b">
        <v>1</v>
      </c>
      <c r="AC114" s="30" t="b">
        <v>1</v>
      </c>
      <c r="AD114" s="30" t="b">
        <v>1</v>
      </c>
      <c r="AE114" s="30" t="b">
        <v>1</v>
      </c>
      <c r="AF114" s="30" t="b">
        <v>1</v>
      </c>
      <c r="AG114" s="30" t="b">
        <v>1</v>
      </c>
      <c r="AH114" s="30" t="b">
        <v>1</v>
      </c>
      <c r="AI114" s="30" t="b">
        <v>1</v>
      </c>
      <c r="AJ114" s="30" t="b">
        <v>0</v>
      </c>
      <c r="AK114" s="30" t="b">
        <v>0</v>
      </c>
      <c r="AL114" s="30" t="b">
        <v>0</v>
      </c>
      <c r="AM114" s="30" t="b">
        <v>0</v>
      </c>
      <c r="AN114" s="30" t="b">
        <v>0</v>
      </c>
      <c r="AO114" s="30" t="b">
        <v>0</v>
      </c>
      <c r="AP114" s="30" t="b">
        <v>1</v>
      </c>
      <c r="AQ114" s="30" t="b">
        <v>1</v>
      </c>
      <c r="AR114" s="30" t="b">
        <v>1</v>
      </c>
      <c r="AS114" s="30" t="b">
        <v>1</v>
      </c>
      <c r="AT114" s="30" t="b">
        <v>1</v>
      </c>
      <c r="AU114" s="30" t="b">
        <v>1</v>
      </c>
      <c r="AV114" s="30" t="b">
        <v>0</v>
      </c>
      <c r="AW114" s="30" t="b">
        <v>0</v>
      </c>
      <c r="AX114" s="30" t="b">
        <v>1</v>
      </c>
      <c r="AY114" s="30" t="b">
        <v>1</v>
      </c>
      <c r="AZ114" s="30" t="b">
        <v>1</v>
      </c>
      <c r="BA114" s="30" t="b">
        <v>1</v>
      </c>
      <c r="BB114" s="30" t="b">
        <v>1</v>
      </c>
      <c r="BC114" s="30" t="b">
        <v>1</v>
      </c>
      <c r="BD114" s="30" t="b">
        <v>1</v>
      </c>
      <c r="BE114" s="30" t="b">
        <v>1</v>
      </c>
      <c r="BF114" s="30" t="b">
        <v>1</v>
      </c>
      <c r="BG114" s="30" t="b">
        <v>1</v>
      </c>
      <c r="BH114" s="30" t="b">
        <v>1</v>
      </c>
      <c r="BI114" s="30" t="b">
        <v>1</v>
      </c>
      <c r="BJ114" s="30" t="b">
        <v>1</v>
      </c>
      <c r="BK114" s="30" t="b">
        <v>1</v>
      </c>
      <c r="BL114" s="30" t="b">
        <v>1</v>
      </c>
      <c r="BM114" s="30" t="b">
        <v>1</v>
      </c>
      <c r="BN114" s="30" t="b">
        <v>1</v>
      </c>
      <c r="BO114" s="30" t="b">
        <v>1</v>
      </c>
    </row>
    <row r="115" hidden="1" outlineLevel="1">
      <c r="A115" s="31" t="str">
        <f>A114&amp;C115</f>
        <v>JulyVASANTHA.EOT HOURS</v>
      </c>
      <c r="B115" s="32"/>
      <c r="C115" s="33" t="s">
        <v>169</v>
      </c>
      <c r="D115" s="17"/>
      <c r="E115" s="29">
        <f>SUM(F115:BO115)</f>
        <v>26</v>
      </c>
      <c r="F115" s="34"/>
      <c r="G115" s="17"/>
      <c r="H115" s="34"/>
      <c r="I115" s="17"/>
      <c r="J115" s="34"/>
      <c r="K115" s="17"/>
      <c r="L115" s="34"/>
      <c r="M115" s="17"/>
      <c r="N115" s="34"/>
      <c r="O115" s="17"/>
      <c r="P115" s="34"/>
      <c r="Q115" s="17"/>
      <c r="R115" s="34"/>
      <c r="S115" s="17"/>
      <c r="T115" s="34"/>
      <c r="U115" s="17"/>
      <c r="V115" s="34">
        <v>2.0</v>
      </c>
      <c r="W115" s="17"/>
      <c r="X115" s="34">
        <v>2.0</v>
      </c>
      <c r="Y115" s="17"/>
      <c r="Z115" s="34"/>
      <c r="AA115" s="17"/>
      <c r="AB115" s="34">
        <v>2.0</v>
      </c>
      <c r="AC115" s="17"/>
      <c r="AD115" s="34"/>
      <c r="AE115" s="17"/>
      <c r="AF115" s="34"/>
      <c r="AG115" s="17"/>
      <c r="AH115" s="34"/>
      <c r="AI115" s="17"/>
      <c r="AJ115" s="34"/>
      <c r="AK115" s="17"/>
      <c r="AL115" s="34"/>
      <c r="AM115" s="17"/>
      <c r="AN115" s="34"/>
      <c r="AO115" s="17"/>
      <c r="AP115" s="34">
        <v>2.0</v>
      </c>
      <c r="AQ115" s="17"/>
      <c r="AR115" s="34">
        <v>6.0</v>
      </c>
      <c r="AS115" s="17"/>
      <c r="AT115" s="34">
        <v>2.0</v>
      </c>
      <c r="AU115" s="17"/>
      <c r="AV115" s="34"/>
      <c r="AW115" s="17"/>
      <c r="AX115" s="34">
        <v>2.0</v>
      </c>
      <c r="AY115" s="17"/>
      <c r="AZ115" s="34"/>
      <c r="BA115" s="17"/>
      <c r="BB115" s="34"/>
      <c r="BC115" s="17"/>
      <c r="BD115" s="34">
        <v>2.0</v>
      </c>
      <c r="BE115" s="17"/>
      <c r="BF115" s="34"/>
      <c r="BG115" s="17"/>
      <c r="BH115" s="34"/>
      <c r="BI115" s="17"/>
      <c r="BJ115" s="34">
        <v>2.0</v>
      </c>
      <c r="BK115" s="17"/>
      <c r="BL115" s="34">
        <v>2.0</v>
      </c>
      <c r="BM115" s="17"/>
      <c r="BN115" s="34">
        <v>2.0</v>
      </c>
      <c r="BO115" s="17"/>
    </row>
    <row r="116" collapsed="1">
      <c r="A116" s="14"/>
      <c r="B116" s="15"/>
      <c r="C116" s="20">
        <v>45870.0</v>
      </c>
      <c r="D116" s="17"/>
      <c r="E116" s="18"/>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row>
    <row r="117" hidden="1" outlineLevel="1">
      <c r="A117" s="22"/>
      <c r="B117" s="23"/>
      <c r="C117" s="24" t="s">
        <v>1</v>
      </c>
      <c r="D117" s="24" t="s">
        <v>4</v>
      </c>
      <c r="E117" s="25" t="s">
        <v>166</v>
      </c>
      <c r="F117" s="24" t="s">
        <v>167</v>
      </c>
      <c r="G117" s="24" t="s">
        <v>168</v>
      </c>
      <c r="H117" s="24" t="s">
        <v>167</v>
      </c>
      <c r="I117" s="24" t="s">
        <v>168</v>
      </c>
      <c r="J117" s="24" t="s">
        <v>167</v>
      </c>
      <c r="K117" s="24" t="s">
        <v>168</v>
      </c>
      <c r="L117" s="24" t="s">
        <v>167</v>
      </c>
      <c r="M117" s="24" t="s">
        <v>168</v>
      </c>
      <c r="N117" s="24" t="s">
        <v>167</v>
      </c>
      <c r="O117" s="24" t="s">
        <v>168</v>
      </c>
      <c r="P117" s="24" t="s">
        <v>167</v>
      </c>
      <c r="Q117" s="24" t="s">
        <v>168</v>
      </c>
      <c r="R117" s="24" t="s">
        <v>167</v>
      </c>
      <c r="S117" s="24" t="s">
        <v>168</v>
      </c>
      <c r="T117" s="24" t="s">
        <v>167</v>
      </c>
      <c r="U117" s="24" t="s">
        <v>168</v>
      </c>
      <c r="V117" s="24" t="s">
        <v>167</v>
      </c>
      <c r="W117" s="24" t="s">
        <v>168</v>
      </c>
      <c r="X117" s="24" t="s">
        <v>167</v>
      </c>
      <c r="Y117" s="24" t="s">
        <v>168</v>
      </c>
      <c r="Z117" s="24" t="s">
        <v>167</v>
      </c>
      <c r="AA117" s="24" t="s">
        <v>168</v>
      </c>
      <c r="AB117" s="24" t="s">
        <v>167</v>
      </c>
      <c r="AC117" s="24" t="s">
        <v>168</v>
      </c>
      <c r="AD117" s="24" t="s">
        <v>167</v>
      </c>
      <c r="AE117" s="24" t="s">
        <v>168</v>
      </c>
      <c r="AF117" s="24" t="s">
        <v>167</v>
      </c>
      <c r="AG117" s="24" t="s">
        <v>168</v>
      </c>
      <c r="AH117" s="24" t="s">
        <v>167</v>
      </c>
      <c r="AI117" s="24" t="s">
        <v>168</v>
      </c>
      <c r="AJ117" s="24" t="s">
        <v>167</v>
      </c>
      <c r="AK117" s="24" t="s">
        <v>168</v>
      </c>
      <c r="AL117" s="24" t="s">
        <v>167</v>
      </c>
      <c r="AM117" s="24" t="s">
        <v>168</v>
      </c>
      <c r="AN117" s="24" t="s">
        <v>167</v>
      </c>
      <c r="AO117" s="24" t="s">
        <v>168</v>
      </c>
      <c r="AP117" s="24" t="s">
        <v>167</v>
      </c>
      <c r="AQ117" s="24" t="s">
        <v>168</v>
      </c>
      <c r="AR117" s="24" t="s">
        <v>167</v>
      </c>
      <c r="AS117" s="24" t="s">
        <v>168</v>
      </c>
      <c r="AT117" s="24" t="s">
        <v>167</v>
      </c>
      <c r="AU117" s="24" t="s">
        <v>168</v>
      </c>
      <c r="AV117" s="24" t="s">
        <v>167</v>
      </c>
      <c r="AW117" s="24" t="s">
        <v>168</v>
      </c>
      <c r="AX117" s="24" t="s">
        <v>167</v>
      </c>
      <c r="AY117" s="24" t="s">
        <v>168</v>
      </c>
      <c r="AZ117" s="24" t="s">
        <v>167</v>
      </c>
      <c r="BA117" s="24" t="s">
        <v>168</v>
      </c>
      <c r="BB117" s="24" t="s">
        <v>167</v>
      </c>
      <c r="BC117" s="24" t="s">
        <v>168</v>
      </c>
      <c r="BD117" s="24" t="s">
        <v>167</v>
      </c>
      <c r="BE117" s="24" t="s">
        <v>168</v>
      </c>
      <c r="BF117" s="24" t="s">
        <v>167</v>
      </c>
      <c r="BG117" s="24" t="s">
        <v>168</v>
      </c>
      <c r="BH117" s="24" t="s">
        <v>167</v>
      </c>
      <c r="BI117" s="24" t="s">
        <v>168</v>
      </c>
      <c r="BJ117" s="24" t="s">
        <v>167</v>
      </c>
      <c r="BK117" s="24" t="s">
        <v>168</v>
      </c>
      <c r="BL117" s="24" t="s">
        <v>167</v>
      </c>
      <c r="BM117" s="24" t="s">
        <v>168</v>
      </c>
      <c r="BN117" s="24" t="s">
        <v>167</v>
      </c>
      <c r="BO117" s="24" t="s">
        <v>168</v>
      </c>
    </row>
    <row r="118" hidden="1" outlineLevel="1">
      <c r="A118" s="26" t="str">
        <f>B118&amp;D118</f>
        <v>AugustBHUVANESHWARAN.V</v>
      </c>
      <c r="B118" s="27" t="s">
        <v>29</v>
      </c>
      <c r="C118" s="27" t="s">
        <v>13</v>
      </c>
      <c r="D118" s="39" t="str">
        <f>IFERROR(VLOOKUP(C118,'Employees List'!$B$2:$E1424,4,0),"")</f>
        <v>BHUVANESHWARAN.V</v>
      </c>
      <c r="E118" s="29">
        <f t="shared" ref="E118:E120" si="3">COUNTIF(F118:BO118,TRUE)/2</f>
        <v>31</v>
      </c>
      <c r="F118" s="30" t="b">
        <v>1</v>
      </c>
      <c r="G118" s="30" t="b">
        <v>1</v>
      </c>
      <c r="H118" s="30" t="b">
        <v>1</v>
      </c>
      <c r="I118" s="30" t="b">
        <v>1</v>
      </c>
      <c r="J118" s="30" t="b">
        <v>1</v>
      </c>
      <c r="K118" s="30" t="b">
        <v>1</v>
      </c>
      <c r="L118" s="30" t="b">
        <v>1</v>
      </c>
      <c r="M118" s="30" t="b">
        <v>1</v>
      </c>
      <c r="N118" s="30" t="b">
        <v>1</v>
      </c>
      <c r="O118" s="30" t="b">
        <v>1</v>
      </c>
      <c r="P118" s="30" t="b">
        <v>1</v>
      </c>
      <c r="Q118" s="30" t="b">
        <v>1</v>
      </c>
      <c r="R118" s="30" t="b">
        <v>1</v>
      </c>
      <c r="S118" s="30" t="b">
        <v>1</v>
      </c>
      <c r="T118" s="30" t="b">
        <v>1</v>
      </c>
      <c r="U118" s="30" t="b">
        <v>1</v>
      </c>
      <c r="V118" s="30" t="b">
        <v>1</v>
      </c>
      <c r="W118" s="30" t="b">
        <v>1</v>
      </c>
      <c r="X118" s="30" t="b">
        <v>1</v>
      </c>
      <c r="Y118" s="30" t="b">
        <v>1</v>
      </c>
      <c r="Z118" s="30" t="b">
        <v>1</v>
      </c>
      <c r="AA118" s="30" t="b">
        <v>1</v>
      </c>
      <c r="AB118" s="30" t="b">
        <v>1</v>
      </c>
      <c r="AC118" s="30" t="b">
        <v>1</v>
      </c>
      <c r="AD118" s="30" t="b">
        <v>1</v>
      </c>
      <c r="AE118" s="30" t="b">
        <v>1</v>
      </c>
      <c r="AF118" s="30" t="b">
        <v>1</v>
      </c>
      <c r="AG118" s="30" t="b">
        <v>1</v>
      </c>
      <c r="AH118" s="30" t="b">
        <v>1</v>
      </c>
      <c r="AI118" s="30" t="b">
        <v>1</v>
      </c>
      <c r="AJ118" s="30" t="b">
        <v>1</v>
      </c>
      <c r="AK118" s="30" t="b">
        <v>1</v>
      </c>
      <c r="AL118" s="30" t="b">
        <v>1</v>
      </c>
      <c r="AM118" s="30" t="b">
        <v>1</v>
      </c>
      <c r="AN118" s="30" t="b">
        <v>1</v>
      </c>
      <c r="AO118" s="30" t="b">
        <v>1</v>
      </c>
      <c r="AP118" s="30" t="b">
        <v>1</v>
      </c>
      <c r="AQ118" s="30" t="b">
        <v>1</v>
      </c>
      <c r="AR118" s="30" t="b">
        <v>1</v>
      </c>
      <c r="AS118" s="30" t="b">
        <v>1</v>
      </c>
      <c r="AT118" s="30" t="b">
        <v>1</v>
      </c>
      <c r="AU118" s="30" t="b">
        <v>1</v>
      </c>
      <c r="AV118" s="30" t="b">
        <v>1</v>
      </c>
      <c r="AW118" s="30" t="b">
        <v>1</v>
      </c>
      <c r="AX118" s="30" t="b">
        <v>1</v>
      </c>
      <c r="AY118" s="30" t="b">
        <v>1</v>
      </c>
      <c r="AZ118" s="30" t="b">
        <v>1</v>
      </c>
      <c r="BA118" s="30" t="b">
        <v>1</v>
      </c>
      <c r="BB118" s="30" t="b">
        <v>1</v>
      </c>
      <c r="BC118" s="30" t="b">
        <v>1</v>
      </c>
      <c r="BD118" s="30" t="b">
        <v>1</v>
      </c>
      <c r="BE118" s="30" t="b">
        <v>1</v>
      </c>
      <c r="BF118" s="30" t="b">
        <v>1</v>
      </c>
      <c r="BG118" s="30" t="b">
        <v>1</v>
      </c>
      <c r="BH118" s="30" t="b">
        <v>1</v>
      </c>
      <c r="BI118" s="30" t="b">
        <v>1</v>
      </c>
      <c r="BJ118" s="30" t="b">
        <v>1</v>
      </c>
      <c r="BK118" s="30" t="b">
        <v>1</v>
      </c>
      <c r="BL118" s="30" t="b">
        <v>1</v>
      </c>
      <c r="BM118" s="30" t="b">
        <v>1</v>
      </c>
      <c r="BN118" s="30" t="b">
        <v>1</v>
      </c>
      <c r="BO118" s="30" t="b">
        <v>1</v>
      </c>
    </row>
    <row r="119" hidden="1" outlineLevel="1">
      <c r="A119" s="31" t="str">
        <f>A118&amp;C119</f>
        <v>AugustBHUVANESHWARAN.VOT HOURS</v>
      </c>
      <c r="B119" s="32"/>
      <c r="C119" s="33" t="s">
        <v>169</v>
      </c>
      <c r="D119" s="17"/>
      <c r="E119" s="29">
        <f t="shared" si="3"/>
        <v>0</v>
      </c>
      <c r="F119" s="34"/>
      <c r="G119" s="17"/>
      <c r="H119" s="34"/>
      <c r="I119" s="17"/>
      <c r="J119" s="34"/>
      <c r="K119" s="17"/>
      <c r="L119" s="34"/>
      <c r="M119" s="17"/>
      <c r="N119" s="34"/>
      <c r="O119" s="17"/>
      <c r="P119" s="34"/>
      <c r="Q119" s="17"/>
      <c r="R119" s="34"/>
      <c r="S119" s="17"/>
      <c r="T119" s="34"/>
      <c r="U119" s="17"/>
      <c r="V119" s="34"/>
      <c r="W119" s="17"/>
      <c r="X119" s="34"/>
      <c r="Y119" s="17"/>
      <c r="Z119" s="34"/>
      <c r="AA119" s="17"/>
      <c r="AB119" s="34"/>
      <c r="AC119" s="17"/>
      <c r="AD119" s="34"/>
      <c r="AE119" s="17"/>
      <c r="AF119" s="34"/>
      <c r="AG119" s="17"/>
      <c r="AH119" s="34"/>
      <c r="AI119" s="17"/>
      <c r="AJ119" s="34"/>
      <c r="AK119" s="17"/>
      <c r="AL119" s="34"/>
      <c r="AM119" s="17"/>
      <c r="AN119" s="34"/>
      <c r="AO119" s="17"/>
      <c r="AP119" s="34"/>
      <c r="AQ119" s="17"/>
      <c r="AR119" s="34"/>
      <c r="AS119" s="17"/>
      <c r="AT119" s="34"/>
      <c r="AU119" s="17"/>
      <c r="AV119" s="34"/>
      <c r="AW119" s="17"/>
      <c r="AX119" s="34"/>
      <c r="AY119" s="17"/>
      <c r="AZ119" s="34"/>
      <c r="BA119" s="17"/>
      <c r="BB119" s="34"/>
      <c r="BC119" s="17"/>
      <c r="BD119" s="34"/>
      <c r="BE119" s="17"/>
      <c r="BF119" s="34"/>
      <c r="BG119" s="17"/>
      <c r="BH119" s="34"/>
      <c r="BI119" s="17"/>
      <c r="BJ119" s="34"/>
      <c r="BK119" s="17"/>
      <c r="BL119" s="34"/>
      <c r="BM119" s="17"/>
      <c r="BN119" s="34"/>
      <c r="BO119" s="17"/>
    </row>
    <row r="120" hidden="1" outlineLevel="1">
      <c r="A120" s="26" t="str">
        <f>B120&amp;D120</f>
        <v>AugustTHIRIPURA SUNDARI.R</v>
      </c>
      <c r="B120" s="27" t="s">
        <v>29</v>
      </c>
      <c r="C120" s="27" t="s">
        <v>71</v>
      </c>
      <c r="D120" s="28" t="str">
        <f>IFERROR(VLOOKUP(C120,'Employees List'!$B$2:$E1424,4,0),"")</f>
        <v>THIRIPURA SUNDARI.R</v>
      </c>
      <c r="E120" s="29">
        <f t="shared" si="3"/>
        <v>29</v>
      </c>
      <c r="F120" s="30" t="b">
        <v>1</v>
      </c>
      <c r="G120" s="30" t="b">
        <v>1</v>
      </c>
      <c r="H120" s="30" t="b">
        <v>1</v>
      </c>
      <c r="I120" s="30" t="b">
        <v>1</v>
      </c>
      <c r="J120" s="30" t="b">
        <v>1</v>
      </c>
      <c r="K120" s="30" t="b">
        <v>1</v>
      </c>
      <c r="L120" s="30" t="b">
        <v>1</v>
      </c>
      <c r="M120" s="30" t="b">
        <v>1</v>
      </c>
      <c r="N120" s="30" t="b">
        <v>1</v>
      </c>
      <c r="O120" s="30" t="b">
        <v>1</v>
      </c>
      <c r="P120" s="30" t="b">
        <v>1</v>
      </c>
      <c r="Q120" s="30" t="b">
        <v>1</v>
      </c>
      <c r="R120" s="30" t="b">
        <v>1</v>
      </c>
      <c r="S120" s="30" t="b">
        <v>1</v>
      </c>
      <c r="T120" s="30" t="b">
        <v>1</v>
      </c>
      <c r="U120" s="30" t="b">
        <v>1</v>
      </c>
      <c r="V120" s="30" t="b">
        <v>1</v>
      </c>
      <c r="W120" s="30" t="b">
        <v>1</v>
      </c>
      <c r="X120" s="30" t="b">
        <v>1</v>
      </c>
      <c r="Y120" s="30" t="b">
        <v>1</v>
      </c>
      <c r="Z120" s="30" t="b">
        <v>1</v>
      </c>
      <c r="AA120" s="30" t="b">
        <v>1</v>
      </c>
      <c r="AB120" s="30" t="b">
        <v>1</v>
      </c>
      <c r="AC120" s="30" t="b">
        <v>1</v>
      </c>
      <c r="AD120" s="30" t="b">
        <v>1</v>
      </c>
      <c r="AE120" s="30" t="b">
        <v>1</v>
      </c>
      <c r="AF120" s="30" t="b">
        <v>1</v>
      </c>
      <c r="AG120" s="30" t="b">
        <v>1</v>
      </c>
      <c r="AH120" s="30" t="b">
        <v>1</v>
      </c>
      <c r="AI120" s="30" t="b">
        <v>1</v>
      </c>
      <c r="AJ120" s="30" t="b">
        <v>1</v>
      </c>
      <c r="AK120" s="30" t="b">
        <v>1</v>
      </c>
      <c r="AL120" s="30" t="b">
        <v>1</v>
      </c>
      <c r="AM120" s="30" t="b">
        <v>1</v>
      </c>
      <c r="AN120" s="30" t="b">
        <v>1</v>
      </c>
      <c r="AO120" s="30" t="b">
        <v>1</v>
      </c>
      <c r="AP120" s="30" t="b">
        <v>1</v>
      </c>
      <c r="AQ120" s="30" t="b">
        <v>1</v>
      </c>
      <c r="AR120" s="30" t="b">
        <v>1</v>
      </c>
      <c r="AS120" s="30" t="b">
        <v>1</v>
      </c>
      <c r="AT120" s="30" t="b">
        <v>1</v>
      </c>
      <c r="AU120" s="30" t="b">
        <v>1</v>
      </c>
      <c r="AV120" s="30" t="b">
        <v>1</v>
      </c>
      <c r="AW120" s="30" t="b">
        <v>1</v>
      </c>
      <c r="AX120" s="30" t="b">
        <v>1</v>
      </c>
      <c r="AY120" s="30" t="b">
        <v>1</v>
      </c>
      <c r="AZ120" s="30" t="b">
        <v>1</v>
      </c>
      <c r="BA120" s="30" t="b">
        <v>1</v>
      </c>
      <c r="BB120" s="30" t="b">
        <v>1</v>
      </c>
      <c r="BC120" s="30" t="b">
        <v>1</v>
      </c>
      <c r="BD120" s="30" t="b">
        <v>0</v>
      </c>
      <c r="BE120" s="30" t="b">
        <v>0</v>
      </c>
      <c r="BF120" s="30" t="b">
        <v>1</v>
      </c>
      <c r="BG120" s="30" t="b">
        <v>1</v>
      </c>
      <c r="BH120" s="30" t="b">
        <v>0</v>
      </c>
      <c r="BI120" s="30" t="b">
        <v>0</v>
      </c>
      <c r="BJ120" s="30" t="b">
        <v>1</v>
      </c>
      <c r="BK120" s="30" t="b">
        <v>1</v>
      </c>
      <c r="BL120" s="30" t="b">
        <v>1</v>
      </c>
      <c r="BM120" s="30" t="b">
        <v>1</v>
      </c>
      <c r="BN120" s="30" t="b">
        <v>1</v>
      </c>
      <c r="BO120" s="30" t="b">
        <v>1</v>
      </c>
    </row>
    <row r="121" hidden="1" outlineLevel="1">
      <c r="A121" s="31" t="str">
        <f>A120&amp;C121</f>
        <v>AugustTHIRIPURA SUNDARI.ROT HOURS</v>
      </c>
      <c r="B121" s="32"/>
      <c r="C121" s="33" t="s">
        <v>169</v>
      </c>
      <c r="D121" s="17"/>
      <c r="E121" s="29">
        <f>SUM(F121:BO121)</f>
        <v>12</v>
      </c>
      <c r="F121" s="34"/>
      <c r="G121" s="17"/>
      <c r="H121" s="34"/>
      <c r="I121" s="17"/>
      <c r="J121" s="34"/>
      <c r="K121" s="17"/>
      <c r="L121" s="34"/>
      <c r="M121" s="17"/>
      <c r="N121" s="34"/>
      <c r="O121" s="17"/>
      <c r="P121" s="34"/>
      <c r="Q121" s="17"/>
      <c r="R121" s="34"/>
      <c r="S121" s="17"/>
      <c r="T121" s="34"/>
      <c r="U121" s="17"/>
      <c r="V121" s="34"/>
      <c r="W121" s="17"/>
      <c r="X121" s="34"/>
      <c r="Y121" s="17"/>
      <c r="Z121" s="34"/>
      <c r="AA121" s="17"/>
      <c r="AB121" s="34">
        <v>3.0</v>
      </c>
      <c r="AC121" s="17"/>
      <c r="AD121" s="34"/>
      <c r="AE121" s="17"/>
      <c r="AF121" s="34">
        <v>4.0</v>
      </c>
      <c r="AG121" s="17"/>
      <c r="AH121" s="34"/>
      <c r="AI121" s="17"/>
      <c r="AJ121" s="34"/>
      <c r="AK121" s="17"/>
      <c r="AL121" s="34"/>
      <c r="AM121" s="17"/>
      <c r="AN121" s="34"/>
      <c r="AO121" s="17"/>
      <c r="AP121" s="34"/>
      <c r="AQ121" s="17"/>
      <c r="AR121" s="34"/>
      <c r="AS121" s="17"/>
      <c r="AT121" s="34"/>
      <c r="AU121" s="17"/>
      <c r="AV121" s="34">
        <v>1.0</v>
      </c>
      <c r="AW121" s="17"/>
      <c r="AX121" s="34">
        <v>3.0</v>
      </c>
      <c r="AY121" s="17"/>
      <c r="AZ121" s="34"/>
      <c r="BA121" s="17"/>
      <c r="BB121" s="34"/>
      <c r="BC121" s="17"/>
      <c r="BD121" s="34"/>
      <c r="BE121" s="17"/>
      <c r="BF121" s="34"/>
      <c r="BG121" s="17"/>
      <c r="BH121" s="34"/>
      <c r="BI121" s="17"/>
      <c r="BJ121" s="34"/>
      <c r="BK121" s="17"/>
      <c r="BL121" s="34">
        <v>1.0</v>
      </c>
      <c r="BM121" s="17"/>
      <c r="BN121" s="34"/>
      <c r="BO121" s="17"/>
    </row>
    <row r="122" hidden="1" outlineLevel="1">
      <c r="A122" s="26" t="str">
        <f>B122&amp;D122</f>
        <v>AugustGANESH</v>
      </c>
      <c r="B122" s="27" t="s">
        <v>29</v>
      </c>
      <c r="C122" s="27" t="s">
        <v>22</v>
      </c>
      <c r="D122" s="28" t="str">
        <f>IFERROR(VLOOKUP(C122,'Employees List'!$B$2:$E1424,4,0),"")</f>
        <v>GANESH</v>
      </c>
      <c r="E122" s="29">
        <f>COUNTIF(F122:BO122,TRUE)/2</f>
        <v>29</v>
      </c>
      <c r="F122" s="30" t="b">
        <v>0</v>
      </c>
      <c r="G122" s="30" t="b">
        <v>0</v>
      </c>
      <c r="H122" s="30" t="b">
        <v>1</v>
      </c>
      <c r="I122" s="30" t="b">
        <v>1</v>
      </c>
      <c r="J122" s="30" t="b">
        <v>1</v>
      </c>
      <c r="K122" s="30" t="b">
        <v>1</v>
      </c>
      <c r="L122" s="30" t="b">
        <v>0</v>
      </c>
      <c r="M122" s="30" t="b">
        <v>0</v>
      </c>
      <c r="N122" s="30" t="b">
        <v>1</v>
      </c>
      <c r="O122" s="30" t="b">
        <v>1</v>
      </c>
      <c r="P122" s="30" t="b">
        <v>1</v>
      </c>
      <c r="Q122" s="30" t="b">
        <v>1</v>
      </c>
      <c r="R122" s="30" t="b">
        <v>1</v>
      </c>
      <c r="S122" s="30" t="b">
        <v>1</v>
      </c>
      <c r="T122" s="30" t="b">
        <v>1</v>
      </c>
      <c r="U122" s="30" t="b">
        <v>1</v>
      </c>
      <c r="V122" s="30" t="b">
        <v>1</v>
      </c>
      <c r="W122" s="30" t="b">
        <v>1</v>
      </c>
      <c r="X122" s="30" t="b">
        <v>1</v>
      </c>
      <c r="Y122" s="30" t="b">
        <v>1</v>
      </c>
      <c r="Z122" s="30" t="b">
        <v>1</v>
      </c>
      <c r="AA122" s="30" t="b">
        <v>1</v>
      </c>
      <c r="AB122" s="30" t="b">
        <v>1</v>
      </c>
      <c r="AC122" s="30" t="b">
        <v>1</v>
      </c>
      <c r="AD122" s="30" t="b">
        <v>1</v>
      </c>
      <c r="AE122" s="30" t="b">
        <v>1</v>
      </c>
      <c r="AF122" s="30" t="b">
        <v>1</v>
      </c>
      <c r="AG122" s="30" t="b">
        <v>1</v>
      </c>
      <c r="AH122" s="30" t="b">
        <v>1</v>
      </c>
      <c r="AI122" s="30" t="b">
        <v>1</v>
      </c>
      <c r="AJ122" s="30" t="b">
        <v>1</v>
      </c>
      <c r="AK122" s="30" t="b">
        <v>1</v>
      </c>
      <c r="AL122" s="30" t="b">
        <v>1</v>
      </c>
      <c r="AM122" s="30" t="b">
        <v>1</v>
      </c>
      <c r="AN122" s="30" t="b">
        <v>1</v>
      </c>
      <c r="AO122" s="30" t="b">
        <v>1</v>
      </c>
      <c r="AP122" s="30" t="b">
        <v>1</v>
      </c>
      <c r="AQ122" s="30" t="b">
        <v>1</v>
      </c>
      <c r="AR122" s="30" t="b">
        <v>1</v>
      </c>
      <c r="AS122" s="30" t="b">
        <v>1</v>
      </c>
      <c r="AT122" s="30" t="b">
        <v>1</v>
      </c>
      <c r="AU122" s="30" t="b">
        <v>1</v>
      </c>
      <c r="AV122" s="30" t="b">
        <v>1</v>
      </c>
      <c r="AW122" s="30" t="b">
        <v>1</v>
      </c>
      <c r="AX122" s="30" t="b">
        <v>1</v>
      </c>
      <c r="AY122" s="30" t="b">
        <v>1</v>
      </c>
      <c r="AZ122" s="30" t="b">
        <v>1</v>
      </c>
      <c r="BA122" s="30" t="b">
        <v>1</v>
      </c>
      <c r="BB122" s="30" t="b">
        <v>1</v>
      </c>
      <c r="BC122" s="30" t="b">
        <v>1</v>
      </c>
      <c r="BD122" s="30" t="b">
        <v>1</v>
      </c>
      <c r="BE122" s="30" t="b">
        <v>1</v>
      </c>
      <c r="BF122" s="30" t="b">
        <v>1</v>
      </c>
      <c r="BG122" s="30" t="b">
        <v>1</v>
      </c>
      <c r="BH122" s="30" t="b">
        <v>1</v>
      </c>
      <c r="BI122" s="30" t="b">
        <v>1</v>
      </c>
      <c r="BJ122" s="30" t="b">
        <v>1</v>
      </c>
      <c r="BK122" s="30" t="b">
        <v>1</v>
      </c>
      <c r="BL122" s="30" t="b">
        <v>1</v>
      </c>
      <c r="BM122" s="30" t="b">
        <v>1</v>
      </c>
      <c r="BN122" s="30" t="b">
        <v>1</v>
      </c>
      <c r="BO122" s="30" t="b">
        <v>1</v>
      </c>
    </row>
    <row r="123" hidden="1" outlineLevel="1">
      <c r="A123" s="31" t="str">
        <f>A122&amp;C123</f>
        <v>AugustGANESHOT HOURS</v>
      </c>
      <c r="B123" s="32"/>
      <c r="C123" s="33" t="s">
        <v>169</v>
      </c>
      <c r="D123" s="17"/>
      <c r="E123" s="29">
        <f>SUM(F123:BO123)</f>
        <v>70</v>
      </c>
      <c r="F123" s="34"/>
      <c r="G123" s="17"/>
      <c r="H123" s="34">
        <v>2.0</v>
      </c>
      <c r="I123" s="17"/>
      <c r="J123" s="34"/>
      <c r="K123" s="17"/>
      <c r="L123" s="34"/>
      <c r="M123" s="17"/>
      <c r="N123" s="34">
        <v>2.0</v>
      </c>
      <c r="O123" s="17"/>
      <c r="P123" s="34">
        <v>2.0</v>
      </c>
      <c r="Q123" s="17"/>
      <c r="R123" s="34">
        <v>2.0</v>
      </c>
      <c r="S123" s="17"/>
      <c r="T123" s="34">
        <v>2.0</v>
      </c>
      <c r="U123" s="17"/>
      <c r="V123" s="34">
        <v>3.0</v>
      </c>
      <c r="W123" s="17"/>
      <c r="X123" s="34"/>
      <c r="Y123" s="17"/>
      <c r="Z123" s="34">
        <v>4.0</v>
      </c>
      <c r="AA123" s="17"/>
      <c r="AB123" s="34">
        <v>2.0</v>
      </c>
      <c r="AC123" s="17"/>
      <c r="AD123" s="34">
        <v>2.0</v>
      </c>
      <c r="AE123" s="17"/>
      <c r="AF123" s="34">
        <v>3.0</v>
      </c>
      <c r="AG123" s="17"/>
      <c r="AH123" s="34"/>
      <c r="AI123" s="17"/>
      <c r="AJ123" s="34">
        <v>2.0</v>
      </c>
      <c r="AK123" s="17"/>
      <c r="AL123" s="34">
        <v>2.0</v>
      </c>
      <c r="AM123" s="17"/>
      <c r="AN123" s="34">
        <v>5.0</v>
      </c>
      <c r="AO123" s="17"/>
      <c r="AP123" s="34">
        <v>4.0</v>
      </c>
      <c r="AQ123" s="17"/>
      <c r="AR123" s="34">
        <v>2.0</v>
      </c>
      <c r="AS123" s="17"/>
      <c r="AT123" s="34">
        <v>2.0</v>
      </c>
      <c r="AU123" s="17"/>
      <c r="AV123" s="34">
        <v>4.0</v>
      </c>
      <c r="AW123" s="17"/>
      <c r="AX123" s="34">
        <v>2.0</v>
      </c>
      <c r="AY123" s="17"/>
      <c r="AZ123" s="34">
        <v>4.0</v>
      </c>
      <c r="BA123" s="17"/>
      <c r="BB123" s="34">
        <v>2.0</v>
      </c>
      <c r="BC123" s="17"/>
      <c r="BD123" s="34">
        <v>4.0</v>
      </c>
      <c r="BE123" s="17"/>
      <c r="BF123" s="34"/>
      <c r="BG123" s="17"/>
      <c r="BH123" s="34">
        <v>2.0</v>
      </c>
      <c r="BI123" s="17"/>
      <c r="BJ123" s="34">
        <v>3.0</v>
      </c>
      <c r="BK123" s="17"/>
      <c r="BL123" s="34">
        <v>2.0</v>
      </c>
      <c r="BM123" s="17"/>
      <c r="BN123" s="34">
        <v>6.0</v>
      </c>
      <c r="BO123" s="17"/>
    </row>
    <row r="124" hidden="1" outlineLevel="1">
      <c r="A124" s="26" t="str">
        <f>B124&amp;D124</f>
        <v>AugustILAMATHIVANAN.S</v>
      </c>
      <c r="B124" s="27" t="s">
        <v>29</v>
      </c>
      <c r="C124" s="27" t="s">
        <v>77</v>
      </c>
      <c r="D124" s="28" t="str">
        <f>IFERROR(VLOOKUP(C124,'Employees List'!$B$2:$E1424,4,0),"")</f>
        <v>ILAMATHIVANAN.S</v>
      </c>
      <c r="E124" s="29">
        <f>COUNTIF(F124:BO124,TRUE)/2</f>
        <v>0</v>
      </c>
      <c r="F124" s="30" t="b">
        <v>0</v>
      </c>
      <c r="G124" s="30" t="b">
        <v>0</v>
      </c>
      <c r="H124" s="30" t="b">
        <v>0</v>
      </c>
      <c r="I124" s="30" t="b">
        <v>0</v>
      </c>
      <c r="J124" s="30" t="b">
        <v>0</v>
      </c>
      <c r="K124" s="30" t="b">
        <v>0</v>
      </c>
      <c r="L124" s="30" t="b">
        <v>0</v>
      </c>
      <c r="M124" s="30" t="b">
        <v>0</v>
      </c>
      <c r="N124" s="30" t="b">
        <v>0</v>
      </c>
      <c r="O124" s="30" t="b">
        <v>0</v>
      </c>
      <c r="P124" s="30" t="b">
        <v>0</v>
      </c>
      <c r="Q124" s="30" t="b">
        <v>0</v>
      </c>
      <c r="R124" s="30" t="b">
        <v>0</v>
      </c>
      <c r="S124" s="30" t="b">
        <v>0</v>
      </c>
      <c r="T124" s="30" t="b">
        <v>0</v>
      </c>
      <c r="U124" s="30" t="b">
        <v>0</v>
      </c>
      <c r="V124" s="30" t="b">
        <v>0</v>
      </c>
      <c r="W124" s="30" t="b">
        <v>0</v>
      </c>
      <c r="X124" s="30" t="b">
        <v>0</v>
      </c>
      <c r="Y124" s="30" t="b">
        <v>0</v>
      </c>
      <c r="Z124" s="30" t="b">
        <v>0</v>
      </c>
      <c r="AA124" s="30" t="b">
        <v>0</v>
      </c>
      <c r="AB124" s="30" t="b">
        <v>0</v>
      </c>
      <c r="AC124" s="30" t="b">
        <v>0</v>
      </c>
      <c r="AD124" s="30" t="b">
        <v>0</v>
      </c>
      <c r="AE124" s="30" t="b">
        <v>0</v>
      </c>
      <c r="AF124" s="30" t="b">
        <v>0</v>
      </c>
      <c r="AG124" s="30" t="b">
        <v>0</v>
      </c>
      <c r="AH124" s="30" t="b">
        <v>0</v>
      </c>
      <c r="AI124" s="30" t="b">
        <v>0</v>
      </c>
      <c r="AJ124" s="30" t="b">
        <v>0</v>
      </c>
      <c r="AK124" s="30" t="b">
        <v>0</v>
      </c>
      <c r="AL124" s="30" t="b">
        <v>0</v>
      </c>
      <c r="AM124" s="30" t="b">
        <v>0</v>
      </c>
      <c r="AN124" s="30" t="b">
        <v>0</v>
      </c>
      <c r="AO124" s="30" t="b">
        <v>0</v>
      </c>
      <c r="AP124" s="30" t="b">
        <v>0</v>
      </c>
      <c r="AQ124" s="30" t="b">
        <v>0</v>
      </c>
      <c r="AR124" s="30" t="b">
        <v>0</v>
      </c>
      <c r="AS124" s="30" t="b">
        <v>0</v>
      </c>
      <c r="AT124" s="30" t="b">
        <v>0</v>
      </c>
      <c r="AU124" s="30" t="b">
        <v>0</v>
      </c>
      <c r="AV124" s="30" t="b">
        <v>0</v>
      </c>
      <c r="AW124" s="30" t="b">
        <v>0</v>
      </c>
      <c r="AX124" s="30" t="b">
        <v>0</v>
      </c>
      <c r="AY124" s="30" t="b">
        <v>0</v>
      </c>
      <c r="AZ124" s="30" t="b">
        <v>0</v>
      </c>
      <c r="BA124" s="30" t="b">
        <v>0</v>
      </c>
      <c r="BB124" s="30" t="b">
        <v>0</v>
      </c>
      <c r="BC124" s="30" t="b">
        <v>0</v>
      </c>
      <c r="BD124" s="30" t="b">
        <v>0</v>
      </c>
      <c r="BE124" s="30" t="b">
        <v>0</v>
      </c>
      <c r="BF124" s="30" t="b">
        <v>0</v>
      </c>
      <c r="BG124" s="30" t="b">
        <v>0</v>
      </c>
      <c r="BH124" s="30" t="b">
        <v>0</v>
      </c>
      <c r="BI124" s="30" t="b">
        <v>0</v>
      </c>
      <c r="BJ124" s="30" t="b">
        <v>0</v>
      </c>
      <c r="BK124" s="30" t="b">
        <v>0</v>
      </c>
      <c r="BL124" s="30" t="b">
        <v>0</v>
      </c>
      <c r="BM124" s="30" t="b">
        <v>0</v>
      </c>
      <c r="BN124" s="30" t="b">
        <v>0</v>
      </c>
      <c r="BO124" s="30" t="b">
        <v>0</v>
      </c>
    </row>
    <row r="125" hidden="1" outlineLevel="1">
      <c r="A125" s="31" t="str">
        <f>A124&amp;C125</f>
        <v>AugustILAMATHIVANAN.SOT HOURS</v>
      </c>
      <c r="B125" s="32"/>
      <c r="C125" s="33" t="s">
        <v>169</v>
      </c>
      <c r="D125" s="17"/>
      <c r="E125" s="29">
        <f>SUM(F125:BO125)</f>
        <v>0</v>
      </c>
      <c r="F125" s="34"/>
      <c r="G125" s="17"/>
      <c r="H125" s="34"/>
      <c r="I125" s="17"/>
      <c r="J125" s="34"/>
      <c r="K125" s="17"/>
      <c r="L125" s="34"/>
      <c r="M125" s="17"/>
      <c r="N125" s="34"/>
      <c r="O125" s="17"/>
      <c r="P125" s="34"/>
      <c r="Q125" s="17"/>
      <c r="R125" s="34"/>
      <c r="S125" s="17"/>
      <c r="T125" s="34"/>
      <c r="U125" s="17"/>
      <c r="V125" s="34"/>
      <c r="W125" s="17"/>
      <c r="X125" s="34"/>
      <c r="Y125" s="17"/>
      <c r="Z125" s="34"/>
      <c r="AA125" s="17"/>
      <c r="AB125" s="34"/>
      <c r="AC125" s="17"/>
      <c r="AD125" s="34"/>
      <c r="AE125" s="17"/>
      <c r="AF125" s="34"/>
      <c r="AG125" s="17"/>
      <c r="AH125" s="34"/>
      <c r="AI125" s="17"/>
      <c r="AJ125" s="34"/>
      <c r="AK125" s="17"/>
      <c r="AL125" s="34"/>
      <c r="AM125" s="17"/>
      <c r="AN125" s="34"/>
      <c r="AO125" s="17"/>
      <c r="AP125" s="34"/>
      <c r="AQ125" s="17"/>
      <c r="AR125" s="34"/>
      <c r="AS125" s="17"/>
      <c r="AT125" s="34"/>
      <c r="AU125" s="17"/>
      <c r="AV125" s="34"/>
      <c r="AW125" s="17"/>
      <c r="AX125" s="34"/>
      <c r="AY125" s="17"/>
      <c r="AZ125" s="34"/>
      <c r="BA125" s="17"/>
      <c r="BB125" s="34"/>
      <c r="BC125" s="17"/>
      <c r="BD125" s="34"/>
      <c r="BE125" s="17"/>
      <c r="BF125" s="34"/>
      <c r="BG125" s="17"/>
      <c r="BH125" s="34"/>
      <c r="BI125" s="17"/>
      <c r="BJ125" s="34"/>
      <c r="BK125" s="17"/>
      <c r="BL125" s="34"/>
      <c r="BM125" s="17"/>
      <c r="BN125" s="34"/>
      <c r="BO125" s="17"/>
    </row>
    <row r="126" hidden="1" outlineLevel="1">
      <c r="A126" s="26" t="str">
        <f>B126&amp;D126</f>
        <v>AugustAMMU.S</v>
      </c>
      <c r="B126" s="27" t="s">
        <v>29</v>
      </c>
      <c r="C126" s="27" t="s">
        <v>42</v>
      </c>
      <c r="D126" s="28" t="str">
        <f>IFERROR(VLOOKUP(C126,'Employees List'!$B$2:$E1424,4,0),"")</f>
        <v>AMMU.S</v>
      </c>
      <c r="E126" s="29">
        <f>COUNTIF(F126:BO126,TRUE)/2</f>
        <v>31</v>
      </c>
      <c r="F126" s="30" t="b">
        <v>1</v>
      </c>
      <c r="G126" s="30" t="b">
        <v>1</v>
      </c>
      <c r="H126" s="30" t="b">
        <v>1</v>
      </c>
      <c r="I126" s="30" t="b">
        <v>1</v>
      </c>
      <c r="J126" s="30" t="b">
        <v>1</v>
      </c>
      <c r="K126" s="30" t="b">
        <v>1</v>
      </c>
      <c r="L126" s="30" t="b">
        <v>1</v>
      </c>
      <c r="M126" s="30" t="b">
        <v>1</v>
      </c>
      <c r="N126" s="30" t="b">
        <v>1</v>
      </c>
      <c r="O126" s="30" t="b">
        <v>1</v>
      </c>
      <c r="P126" s="30" t="b">
        <v>1</v>
      </c>
      <c r="Q126" s="30" t="b">
        <v>1</v>
      </c>
      <c r="R126" s="30" t="b">
        <v>1</v>
      </c>
      <c r="S126" s="30" t="b">
        <v>1</v>
      </c>
      <c r="T126" s="30" t="b">
        <v>1</v>
      </c>
      <c r="U126" s="30" t="b">
        <v>1</v>
      </c>
      <c r="V126" s="30" t="b">
        <v>1</v>
      </c>
      <c r="W126" s="30" t="b">
        <v>1</v>
      </c>
      <c r="X126" s="30" t="b">
        <v>1</v>
      </c>
      <c r="Y126" s="30" t="b">
        <v>1</v>
      </c>
      <c r="Z126" s="30" t="b">
        <v>1</v>
      </c>
      <c r="AA126" s="30" t="b">
        <v>1</v>
      </c>
      <c r="AB126" s="30" t="b">
        <v>1</v>
      </c>
      <c r="AC126" s="30" t="b">
        <v>1</v>
      </c>
      <c r="AD126" s="30" t="b">
        <v>1</v>
      </c>
      <c r="AE126" s="30" t="b">
        <v>1</v>
      </c>
      <c r="AF126" s="30" t="b">
        <v>1</v>
      </c>
      <c r="AG126" s="30" t="b">
        <v>1</v>
      </c>
      <c r="AH126" s="30" t="b">
        <v>1</v>
      </c>
      <c r="AI126" s="30" t="b">
        <v>1</v>
      </c>
      <c r="AJ126" s="30" t="b">
        <v>1</v>
      </c>
      <c r="AK126" s="30" t="b">
        <v>1</v>
      </c>
      <c r="AL126" s="30" t="b">
        <v>1</v>
      </c>
      <c r="AM126" s="30" t="b">
        <v>1</v>
      </c>
      <c r="AN126" s="30" t="b">
        <v>1</v>
      </c>
      <c r="AO126" s="30" t="b">
        <v>1</v>
      </c>
      <c r="AP126" s="30" t="b">
        <v>1</v>
      </c>
      <c r="AQ126" s="30" t="b">
        <v>1</v>
      </c>
      <c r="AR126" s="30" t="b">
        <v>1</v>
      </c>
      <c r="AS126" s="30" t="b">
        <v>1</v>
      </c>
      <c r="AT126" s="30" t="b">
        <v>1</v>
      </c>
      <c r="AU126" s="30" t="b">
        <v>1</v>
      </c>
      <c r="AV126" s="30" t="b">
        <v>1</v>
      </c>
      <c r="AW126" s="30" t="b">
        <v>1</v>
      </c>
      <c r="AX126" s="30" t="b">
        <v>1</v>
      </c>
      <c r="AY126" s="30" t="b">
        <v>1</v>
      </c>
      <c r="AZ126" s="30" t="b">
        <v>1</v>
      </c>
      <c r="BA126" s="30" t="b">
        <v>1</v>
      </c>
      <c r="BB126" s="30" t="b">
        <v>1</v>
      </c>
      <c r="BC126" s="30" t="b">
        <v>1</v>
      </c>
      <c r="BD126" s="30" t="b">
        <v>1</v>
      </c>
      <c r="BE126" s="30" t="b">
        <v>1</v>
      </c>
      <c r="BF126" s="30" t="b">
        <v>1</v>
      </c>
      <c r="BG126" s="30" t="b">
        <v>1</v>
      </c>
      <c r="BH126" s="30" t="b">
        <v>1</v>
      </c>
      <c r="BI126" s="30" t="b">
        <v>1</v>
      </c>
      <c r="BJ126" s="30" t="b">
        <v>1</v>
      </c>
      <c r="BK126" s="30" t="b">
        <v>1</v>
      </c>
      <c r="BL126" s="30" t="b">
        <v>1</v>
      </c>
      <c r="BM126" s="30" t="b">
        <v>1</v>
      </c>
      <c r="BN126" s="30" t="b">
        <v>1</v>
      </c>
      <c r="BO126" s="30" t="b">
        <v>1</v>
      </c>
    </row>
    <row r="127" hidden="1" outlineLevel="1">
      <c r="A127" s="31" t="str">
        <f>A126&amp;C127</f>
        <v>AugustAMMU.SOT HOURS</v>
      </c>
      <c r="B127" s="32"/>
      <c r="C127" s="33" t="s">
        <v>169</v>
      </c>
      <c r="D127" s="17"/>
      <c r="E127" s="29">
        <f>SUM(F127:BO127)</f>
        <v>47</v>
      </c>
      <c r="F127" s="34">
        <v>2.0</v>
      </c>
      <c r="G127" s="17"/>
      <c r="H127" s="34">
        <v>2.0</v>
      </c>
      <c r="I127" s="17"/>
      <c r="J127" s="34"/>
      <c r="K127" s="17"/>
      <c r="L127" s="34">
        <v>2.0</v>
      </c>
      <c r="M127" s="17"/>
      <c r="N127" s="34">
        <v>2.0</v>
      </c>
      <c r="O127" s="17"/>
      <c r="P127" s="34">
        <v>2.0</v>
      </c>
      <c r="Q127" s="17"/>
      <c r="R127" s="34">
        <v>2.0</v>
      </c>
      <c r="S127" s="17"/>
      <c r="T127" s="34"/>
      <c r="U127" s="17"/>
      <c r="V127" s="34">
        <v>2.0</v>
      </c>
      <c r="W127" s="17"/>
      <c r="X127" s="34"/>
      <c r="Y127" s="17"/>
      <c r="Z127" s="34">
        <v>2.0</v>
      </c>
      <c r="AA127" s="17"/>
      <c r="AB127" s="34">
        <v>2.0</v>
      </c>
      <c r="AC127" s="17"/>
      <c r="AD127" s="34">
        <v>2.0</v>
      </c>
      <c r="AE127" s="17"/>
      <c r="AF127" s="34">
        <v>2.0</v>
      </c>
      <c r="AG127" s="17"/>
      <c r="AH127" s="34"/>
      <c r="AI127" s="17"/>
      <c r="AJ127" s="34"/>
      <c r="AK127" s="17"/>
      <c r="AL127" s="34"/>
      <c r="AM127" s="17"/>
      <c r="AN127" s="34">
        <v>2.0</v>
      </c>
      <c r="AO127" s="17"/>
      <c r="AP127" s="34">
        <v>2.0</v>
      </c>
      <c r="AQ127" s="17"/>
      <c r="AR127" s="34"/>
      <c r="AS127" s="17"/>
      <c r="AT127" s="34">
        <v>2.0</v>
      </c>
      <c r="AU127" s="17"/>
      <c r="AV127" s="34">
        <v>2.0</v>
      </c>
      <c r="AW127" s="17"/>
      <c r="AX127" s="34">
        <v>2.0</v>
      </c>
      <c r="AY127" s="17"/>
      <c r="AZ127" s="34"/>
      <c r="BA127" s="17"/>
      <c r="BB127" s="34">
        <v>2.0</v>
      </c>
      <c r="BC127" s="17"/>
      <c r="BD127" s="34">
        <v>2.0</v>
      </c>
      <c r="BE127" s="17"/>
      <c r="BF127" s="34"/>
      <c r="BG127" s="17"/>
      <c r="BH127" s="34">
        <v>2.0</v>
      </c>
      <c r="BI127" s="17"/>
      <c r="BJ127" s="34">
        <v>2.0</v>
      </c>
      <c r="BK127" s="17"/>
      <c r="BL127" s="34">
        <v>2.0</v>
      </c>
      <c r="BM127" s="17"/>
      <c r="BN127" s="34">
        <v>5.0</v>
      </c>
      <c r="BO127" s="17"/>
    </row>
    <row r="128" hidden="1" outlineLevel="1">
      <c r="A128" s="26" t="str">
        <f>B128&amp;D128</f>
        <v>AugustREVATHI.S</v>
      </c>
      <c r="B128" s="27" t="s">
        <v>29</v>
      </c>
      <c r="C128" s="27" t="s">
        <v>46</v>
      </c>
      <c r="D128" s="28" t="str">
        <f>IFERROR(VLOOKUP(C128,'Employees List'!$B$2:$E1424,4,0),"")</f>
        <v>REVATHI.S</v>
      </c>
      <c r="E128" s="29">
        <f>COUNTIF(F128:BO128,TRUE)/2</f>
        <v>29</v>
      </c>
      <c r="F128" s="30" t="b">
        <v>1</v>
      </c>
      <c r="G128" s="30" t="b">
        <v>1</v>
      </c>
      <c r="H128" s="30" t="b">
        <v>1</v>
      </c>
      <c r="I128" s="30" t="b">
        <v>1</v>
      </c>
      <c r="J128" s="30" t="b">
        <v>1</v>
      </c>
      <c r="K128" s="30" t="b">
        <v>1</v>
      </c>
      <c r="L128" s="30" t="b">
        <v>1</v>
      </c>
      <c r="M128" s="30" t="b">
        <v>1</v>
      </c>
      <c r="N128" s="30" t="b">
        <v>1</v>
      </c>
      <c r="O128" s="30" t="b">
        <v>1</v>
      </c>
      <c r="P128" s="30" t="b">
        <v>1</v>
      </c>
      <c r="Q128" s="30" t="b">
        <v>1</v>
      </c>
      <c r="R128" s="30" t="b">
        <v>1</v>
      </c>
      <c r="S128" s="30" t="b">
        <v>1</v>
      </c>
      <c r="T128" s="30" t="b">
        <v>1</v>
      </c>
      <c r="U128" s="30" t="b">
        <v>1</v>
      </c>
      <c r="V128" s="30" t="b">
        <v>1</v>
      </c>
      <c r="W128" s="30" t="b">
        <v>1</v>
      </c>
      <c r="X128" s="30" t="b">
        <v>1</v>
      </c>
      <c r="Y128" s="30" t="b">
        <v>1</v>
      </c>
      <c r="Z128" s="30" t="b">
        <v>0</v>
      </c>
      <c r="AA128" s="30" t="b">
        <v>0</v>
      </c>
      <c r="AB128" s="30" t="b">
        <v>1</v>
      </c>
      <c r="AC128" s="30" t="b">
        <v>1</v>
      </c>
      <c r="AD128" s="30" t="b">
        <v>1</v>
      </c>
      <c r="AE128" s="30" t="b">
        <v>1</v>
      </c>
      <c r="AF128" s="30" t="b">
        <v>1</v>
      </c>
      <c r="AG128" s="30" t="b">
        <v>1</v>
      </c>
      <c r="AH128" s="30" t="b">
        <v>1</v>
      </c>
      <c r="AI128" s="30" t="b">
        <v>1</v>
      </c>
      <c r="AJ128" s="30" t="b">
        <v>1</v>
      </c>
      <c r="AK128" s="30" t="b">
        <v>1</v>
      </c>
      <c r="AL128" s="30" t="b">
        <v>1</v>
      </c>
      <c r="AM128" s="30" t="b">
        <v>1</v>
      </c>
      <c r="AN128" s="30" t="b">
        <v>0</v>
      </c>
      <c r="AO128" s="30" t="b">
        <v>0</v>
      </c>
      <c r="AP128" s="30" t="b">
        <v>1</v>
      </c>
      <c r="AQ128" s="30" t="b">
        <v>1</v>
      </c>
      <c r="AR128" s="30" t="b">
        <v>1</v>
      </c>
      <c r="AS128" s="30" t="b">
        <v>1</v>
      </c>
      <c r="AT128" s="30" t="b">
        <v>1</v>
      </c>
      <c r="AU128" s="30" t="b">
        <v>1</v>
      </c>
      <c r="AV128" s="30" t="b">
        <v>1</v>
      </c>
      <c r="AW128" s="30" t="b">
        <v>1</v>
      </c>
      <c r="AX128" s="30" t="b">
        <v>1</v>
      </c>
      <c r="AY128" s="30" t="b">
        <v>1</v>
      </c>
      <c r="AZ128" s="30" t="b">
        <v>1</v>
      </c>
      <c r="BA128" s="30" t="b">
        <v>1</v>
      </c>
      <c r="BB128" s="30" t="b">
        <v>1</v>
      </c>
      <c r="BC128" s="30" t="b">
        <v>1</v>
      </c>
      <c r="BD128" s="30" t="b">
        <v>1</v>
      </c>
      <c r="BE128" s="30" t="b">
        <v>1</v>
      </c>
      <c r="BF128" s="30" t="b">
        <v>1</v>
      </c>
      <c r="BG128" s="30" t="b">
        <v>1</v>
      </c>
      <c r="BH128" s="30" t="b">
        <v>1</v>
      </c>
      <c r="BI128" s="30" t="b">
        <v>1</v>
      </c>
      <c r="BJ128" s="30" t="b">
        <v>1</v>
      </c>
      <c r="BK128" s="30" t="b">
        <v>1</v>
      </c>
      <c r="BL128" s="30" t="b">
        <v>1</v>
      </c>
      <c r="BM128" s="30" t="b">
        <v>1</v>
      </c>
      <c r="BN128" s="30" t="b">
        <v>1</v>
      </c>
      <c r="BO128" s="30" t="b">
        <v>1</v>
      </c>
    </row>
    <row r="129" hidden="1" outlineLevel="1">
      <c r="A129" s="31" t="str">
        <f>A128&amp;C129</f>
        <v>AugustREVATHI.SOT HOURS</v>
      </c>
      <c r="B129" s="32"/>
      <c r="C129" s="33" t="s">
        <v>169</v>
      </c>
      <c r="D129" s="17"/>
      <c r="E129" s="29">
        <f>SUM(F129:BO129)</f>
        <v>41</v>
      </c>
      <c r="F129" s="34"/>
      <c r="G129" s="17"/>
      <c r="H129" s="34">
        <v>2.0</v>
      </c>
      <c r="I129" s="17"/>
      <c r="J129" s="34"/>
      <c r="K129" s="17"/>
      <c r="L129" s="34">
        <v>2.0</v>
      </c>
      <c r="M129" s="17"/>
      <c r="N129" s="34">
        <v>2.0</v>
      </c>
      <c r="O129" s="17"/>
      <c r="P129" s="34">
        <v>2.0</v>
      </c>
      <c r="Q129" s="17"/>
      <c r="R129" s="34">
        <v>2.0</v>
      </c>
      <c r="S129" s="17"/>
      <c r="T129" s="34"/>
      <c r="U129" s="17"/>
      <c r="V129" s="34">
        <v>2.0</v>
      </c>
      <c r="W129" s="17"/>
      <c r="X129" s="34"/>
      <c r="Y129" s="17"/>
      <c r="Z129" s="34"/>
      <c r="AA129" s="17"/>
      <c r="AB129" s="34">
        <v>2.0</v>
      </c>
      <c r="AC129" s="17"/>
      <c r="AD129" s="34">
        <v>2.0</v>
      </c>
      <c r="AE129" s="17"/>
      <c r="AF129" s="34">
        <v>2.0</v>
      </c>
      <c r="AG129" s="17"/>
      <c r="AH129" s="34"/>
      <c r="AI129" s="17"/>
      <c r="AJ129" s="34"/>
      <c r="AK129" s="17"/>
      <c r="AL129" s="34"/>
      <c r="AM129" s="17"/>
      <c r="AN129" s="34"/>
      <c r="AO129" s="17"/>
      <c r="AP129" s="34">
        <v>2.0</v>
      </c>
      <c r="AQ129" s="17"/>
      <c r="AR129" s="34"/>
      <c r="AS129" s="17"/>
      <c r="AT129" s="34">
        <v>2.0</v>
      </c>
      <c r="AU129" s="17"/>
      <c r="AV129" s="34">
        <v>2.0</v>
      </c>
      <c r="AW129" s="17"/>
      <c r="AX129" s="34">
        <v>2.0</v>
      </c>
      <c r="AY129" s="17"/>
      <c r="AZ129" s="34"/>
      <c r="BA129" s="17"/>
      <c r="BB129" s="34">
        <v>2.0</v>
      </c>
      <c r="BC129" s="17"/>
      <c r="BD129" s="34">
        <v>2.0</v>
      </c>
      <c r="BE129" s="17"/>
      <c r="BF129" s="34"/>
      <c r="BG129" s="17"/>
      <c r="BH129" s="34">
        <v>2.0</v>
      </c>
      <c r="BI129" s="17"/>
      <c r="BJ129" s="34">
        <v>2.0</v>
      </c>
      <c r="BK129" s="17"/>
      <c r="BL129" s="34">
        <v>2.0</v>
      </c>
      <c r="BM129" s="17"/>
      <c r="BN129" s="34">
        <v>5.0</v>
      </c>
      <c r="BO129" s="17"/>
    </row>
    <row r="130" hidden="1" outlineLevel="1">
      <c r="A130" s="26" t="str">
        <f>B130&amp;D130</f>
        <v>AugustLEELAVATHI.M</v>
      </c>
      <c r="B130" s="27" t="s">
        <v>29</v>
      </c>
      <c r="C130" s="27" t="s">
        <v>74</v>
      </c>
      <c r="D130" s="28" t="str">
        <f>IFERROR(VLOOKUP(C130,'Employees List'!$B$2:$E1424,4,0),"")</f>
        <v>LEELAVATHI.M</v>
      </c>
      <c r="E130" s="29">
        <f>COUNTIF(F130:BO130,TRUE)/2</f>
        <v>30</v>
      </c>
      <c r="F130" s="30" t="b">
        <v>0</v>
      </c>
      <c r="G130" s="30" t="b">
        <v>0</v>
      </c>
      <c r="H130" s="30" t="b">
        <v>1</v>
      </c>
      <c r="I130" s="30" t="b">
        <v>1</v>
      </c>
      <c r="J130" s="30" t="b">
        <v>1</v>
      </c>
      <c r="K130" s="30" t="b">
        <v>1</v>
      </c>
      <c r="L130" s="30" t="b">
        <v>1</v>
      </c>
      <c r="M130" s="30" t="b">
        <v>1</v>
      </c>
      <c r="N130" s="30" t="b">
        <v>1</v>
      </c>
      <c r="O130" s="30" t="b">
        <v>1</v>
      </c>
      <c r="P130" s="30" t="b">
        <v>1</v>
      </c>
      <c r="Q130" s="30" t="b">
        <v>1</v>
      </c>
      <c r="R130" s="30" t="b">
        <v>1</v>
      </c>
      <c r="S130" s="30" t="b">
        <v>1</v>
      </c>
      <c r="T130" s="30" t="b">
        <v>1</v>
      </c>
      <c r="U130" s="30" t="b">
        <v>1</v>
      </c>
      <c r="V130" s="30" t="b">
        <v>1</v>
      </c>
      <c r="W130" s="30" t="b">
        <v>1</v>
      </c>
      <c r="X130" s="30" t="b">
        <v>1</v>
      </c>
      <c r="Y130" s="30" t="b">
        <v>1</v>
      </c>
      <c r="Z130" s="30" t="b">
        <v>1</v>
      </c>
      <c r="AA130" s="30" t="b">
        <v>1</v>
      </c>
      <c r="AB130" s="30" t="b">
        <v>1</v>
      </c>
      <c r="AC130" s="30" t="b">
        <v>1</v>
      </c>
      <c r="AD130" s="30" t="b">
        <v>1</v>
      </c>
      <c r="AE130" s="30" t="b">
        <v>1</v>
      </c>
      <c r="AF130" s="30" t="b">
        <v>1</v>
      </c>
      <c r="AG130" s="30" t="b">
        <v>1</v>
      </c>
      <c r="AH130" s="30" t="b">
        <v>1</v>
      </c>
      <c r="AI130" s="30" t="b">
        <v>1</v>
      </c>
      <c r="AJ130" s="30" t="b">
        <v>1</v>
      </c>
      <c r="AK130" s="30" t="b">
        <v>1</v>
      </c>
      <c r="AL130" s="30" t="b">
        <v>1</v>
      </c>
      <c r="AM130" s="30" t="b">
        <v>1</v>
      </c>
      <c r="AN130" s="30" t="b">
        <v>1</v>
      </c>
      <c r="AO130" s="30" t="b">
        <v>1</v>
      </c>
      <c r="AP130" s="30" t="b">
        <v>1</v>
      </c>
      <c r="AQ130" s="30" t="b">
        <v>1</v>
      </c>
      <c r="AR130" s="30" t="b">
        <v>1</v>
      </c>
      <c r="AS130" s="30" t="b">
        <v>1</v>
      </c>
      <c r="AT130" s="30" t="b">
        <v>1</v>
      </c>
      <c r="AU130" s="30" t="b">
        <v>1</v>
      </c>
      <c r="AV130" s="30" t="b">
        <v>1</v>
      </c>
      <c r="AW130" s="30" t="b">
        <v>1</v>
      </c>
      <c r="AX130" s="30" t="b">
        <v>1</v>
      </c>
      <c r="AY130" s="30" t="b">
        <v>1</v>
      </c>
      <c r="AZ130" s="30" t="b">
        <v>1</v>
      </c>
      <c r="BA130" s="30" t="b">
        <v>1</v>
      </c>
      <c r="BB130" s="30" t="b">
        <v>1</v>
      </c>
      <c r="BC130" s="30" t="b">
        <v>1</v>
      </c>
      <c r="BD130" s="30" t="b">
        <v>1</v>
      </c>
      <c r="BE130" s="30" t="b">
        <v>1</v>
      </c>
      <c r="BF130" s="30" t="b">
        <v>1</v>
      </c>
      <c r="BG130" s="30" t="b">
        <v>1</v>
      </c>
      <c r="BH130" s="30" t="b">
        <v>1</v>
      </c>
      <c r="BI130" s="30" t="b">
        <v>1</v>
      </c>
      <c r="BJ130" s="30" t="b">
        <v>1</v>
      </c>
      <c r="BK130" s="30" t="b">
        <v>1</v>
      </c>
      <c r="BL130" s="30" t="b">
        <v>1</v>
      </c>
      <c r="BM130" s="30" t="b">
        <v>1</v>
      </c>
      <c r="BN130" s="30" t="b">
        <v>1</v>
      </c>
      <c r="BO130" s="30" t="b">
        <v>1</v>
      </c>
    </row>
    <row r="131" hidden="1" outlineLevel="1">
      <c r="A131" s="31" t="str">
        <f>A130&amp;C131</f>
        <v>AugustLEELAVATHI.MOT HOURS</v>
      </c>
      <c r="B131" s="32"/>
      <c r="C131" s="33" t="s">
        <v>169</v>
      </c>
      <c r="D131" s="17"/>
      <c r="E131" s="29">
        <f>SUM(F131:BO131)</f>
        <v>5</v>
      </c>
      <c r="F131" s="34"/>
      <c r="G131" s="17"/>
      <c r="H131" s="34"/>
      <c r="I131" s="17"/>
      <c r="J131" s="34"/>
      <c r="K131" s="17"/>
      <c r="L131" s="34"/>
      <c r="M131" s="17"/>
      <c r="N131" s="34"/>
      <c r="O131" s="17"/>
      <c r="P131" s="34"/>
      <c r="Q131" s="17"/>
      <c r="R131" s="34"/>
      <c r="S131" s="17"/>
      <c r="T131" s="34"/>
      <c r="U131" s="17"/>
      <c r="V131" s="34"/>
      <c r="W131" s="17"/>
      <c r="X131" s="34"/>
      <c r="Y131" s="17"/>
      <c r="Z131" s="34"/>
      <c r="AA131" s="17"/>
      <c r="AB131" s="34">
        <v>1.0</v>
      </c>
      <c r="AC131" s="17"/>
      <c r="AD131" s="34">
        <v>1.0</v>
      </c>
      <c r="AE131" s="17"/>
      <c r="AF131" s="34"/>
      <c r="AG131" s="17"/>
      <c r="AH131" s="34"/>
      <c r="AI131" s="17"/>
      <c r="AJ131" s="34"/>
      <c r="AK131" s="17"/>
      <c r="AL131" s="34"/>
      <c r="AM131" s="17"/>
      <c r="AN131" s="34"/>
      <c r="AO131" s="17"/>
      <c r="AP131" s="34"/>
      <c r="AQ131" s="17"/>
      <c r="AR131" s="34"/>
      <c r="AS131" s="17"/>
      <c r="AT131" s="34"/>
      <c r="AU131" s="17"/>
      <c r="AV131" s="34"/>
      <c r="AW131" s="17"/>
      <c r="AX131" s="34"/>
      <c r="AY131" s="17"/>
      <c r="AZ131" s="34"/>
      <c r="BA131" s="17"/>
      <c r="BB131" s="34">
        <v>1.0</v>
      </c>
      <c r="BC131" s="17"/>
      <c r="BD131" s="34">
        <v>1.0</v>
      </c>
      <c r="BE131" s="17"/>
      <c r="BF131" s="34"/>
      <c r="BG131" s="17"/>
      <c r="BH131" s="34"/>
      <c r="BI131" s="17"/>
      <c r="BJ131" s="34">
        <v>1.0</v>
      </c>
      <c r="BK131" s="17"/>
      <c r="BL131" s="34"/>
      <c r="BM131" s="17"/>
      <c r="BN131" s="34"/>
      <c r="BO131" s="17"/>
    </row>
    <row r="132" hidden="1" outlineLevel="1">
      <c r="A132" s="26" t="str">
        <f>B132&amp;D132</f>
        <v>AugustSANJAY BAGARTTI.K</v>
      </c>
      <c r="B132" s="27" t="s">
        <v>29</v>
      </c>
      <c r="C132" s="27" t="s">
        <v>34</v>
      </c>
      <c r="D132" s="28" t="str">
        <f>IFERROR(VLOOKUP(C132,'Employees List'!$B$2:$E1424,4,0),"")</f>
        <v>SANJAY BAGARTTI.K</v>
      </c>
      <c r="E132" s="29">
        <f>COUNTIF(F132:BO132,TRUE)/2</f>
        <v>30</v>
      </c>
      <c r="F132" s="30" t="b">
        <v>1</v>
      </c>
      <c r="G132" s="30" t="b">
        <v>1</v>
      </c>
      <c r="H132" s="30" t="b">
        <v>1</v>
      </c>
      <c r="I132" s="30" t="b">
        <v>1</v>
      </c>
      <c r="J132" s="30" t="b">
        <v>1</v>
      </c>
      <c r="K132" s="30" t="b">
        <v>1</v>
      </c>
      <c r="L132" s="30" t="b">
        <v>1</v>
      </c>
      <c r="M132" s="30" t="b">
        <v>1</v>
      </c>
      <c r="N132" s="30" t="b">
        <v>1</v>
      </c>
      <c r="O132" s="30" t="b">
        <v>1</v>
      </c>
      <c r="P132" s="30" t="b">
        <v>1</v>
      </c>
      <c r="Q132" s="30" t="b">
        <v>1</v>
      </c>
      <c r="R132" s="30" t="b">
        <v>1</v>
      </c>
      <c r="S132" s="30" t="b">
        <v>1</v>
      </c>
      <c r="T132" s="30" t="b">
        <v>1</v>
      </c>
      <c r="U132" s="30" t="b">
        <v>1</v>
      </c>
      <c r="V132" s="30" t="b">
        <v>1</v>
      </c>
      <c r="W132" s="30" t="b">
        <v>1</v>
      </c>
      <c r="X132" s="30" t="b">
        <v>1</v>
      </c>
      <c r="Y132" s="30" t="b">
        <v>1</v>
      </c>
      <c r="Z132" s="30" t="b">
        <v>1</v>
      </c>
      <c r="AA132" s="30" t="b">
        <v>1</v>
      </c>
      <c r="AB132" s="30" t="b">
        <v>1</v>
      </c>
      <c r="AC132" s="30" t="b">
        <v>1</v>
      </c>
      <c r="AD132" s="30" t="b">
        <v>1</v>
      </c>
      <c r="AE132" s="30" t="b">
        <v>1</v>
      </c>
      <c r="AF132" s="30" t="b">
        <v>1</v>
      </c>
      <c r="AG132" s="30" t="b">
        <v>1</v>
      </c>
      <c r="AH132" s="30" t="b">
        <v>1</v>
      </c>
      <c r="AI132" s="30" t="b">
        <v>1</v>
      </c>
      <c r="AJ132" s="30" t="b">
        <v>1</v>
      </c>
      <c r="AK132" s="30" t="b">
        <v>1</v>
      </c>
      <c r="AL132" s="30" t="b">
        <v>1</v>
      </c>
      <c r="AM132" s="30" t="b">
        <v>1</v>
      </c>
      <c r="AN132" s="30" t="b">
        <v>1</v>
      </c>
      <c r="AO132" s="30" t="b">
        <v>1</v>
      </c>
      <c r="AP132" s="30" t="b">
        <v>1</v>
      </c>
      <c r="AQ132" s="30" t="b">
        <v>1</v>
      </c>
      <c r="AR132" s="30" t="b">
        <v>1</v>
      </c>
      <c r="AS132" s="30" t="b">
        <v>1</v>
      </c>
      <c r="AT132" s="30" t="b">
        <v>0</v>
      </c>
      <c r="AU132" s="30" t="b">
        <v>0</v>
      </c>
      <c r="AV132" s="30" t="b">
        <v>1</v>
      </c>
      <c r="AW132" s="30" t="b">
        <v>1</v>
      </c>
      <c r="AX132" s="30" t="b">
        <v>1</v>
      </c>
      <c r="AY132" s="30" t="b">
        <v>1</v>
      </c>
      <c r="AZ132" s="30" t="b">
        <v>1</v>
      </c>
      <c r="BA132" s="30" t="b">
        <v>1</v>
      </c>
      <c r="BB132" s="30" t="b">
        <v>1</v>
      </c>
      <c r="BC132" s="30" t="b">
        <v>1</v>
      </c>
      <c r="BD132" s="30" t="b">
        <v>1</v>
      </c>
      <c r="BE132" s="30" t="b">
        <v>1</v>
      </c>
      <c r="BF132" s="30" t="b">
        <v>1</v>
      </c>
      <c r="BG132" s="30" t="b">
        <v>1</v>
      </c>
      <c r="BH132" s="30" t="b">
        <v>1</v>
      </c>
      <c r="BI132" s="30" t="b">
        <v>1</v>
      </c>
      <c r="BJ132" s="30" t="b">
        <v>1</v>
      </c>
      <c r="BK132" s="30" t="b">
        <v>1</v>
      </c>
      <c r="BL132" s="30" t="b">
        <v>1</v>
      </c>
      <c r="BM132" s="30" t="b">
        <v>1</v>
      </c>
      <c r="BN132" s="30" t="b">
        <v>1</v>
      </c>
      <c r="BO132" s="30" t="b">
        <v>1</v>
      </c>
    </row>
    <row r="133" hidden="1" outlineLevel="1">
      <c r="A133" s="31" t="str">
        <f>A132&amp;C133</f>
        <v>AugustSANJAY BAGARTTI.KOT HOURS</v>
      </c>
      <c r="B133" s="32"/>
      <c r="C133" s="33" t="s">
        <v>169</v>
      </c>
      <c r="D133" s="17"/>
      <c r="E133" s="29">
        <f>SUM(F133:BO133)</f>
        <v>100</v>
      </c>
      <c r="F133" s="34">
        <v>5.0</v>
      </c>
      <c r="G133" s="17"/>
      <c r="H133" s="34">
        <v>4.0</v>
      </c>
      <c r="I133" s="17"/>
      <c r="J133" s="34"/>
      <c r="K133" s="17"/>
      <c r="L133" s="34">
        <v>5.0</v>
      </c>
      <c r="M133" s="17"/>
      <c r="N133" s="34">
        <v>4.0</v>
      </c>
      <c r="O133" s="17"/>
      <c r="P133" s="34">
        <v>4.0</v>
      </c>
      <c r="Q133" s="17"/>
      <c r="R133" s="34">
        <v>4.0</v>
      </c>
      <c r="S133" s="17"/>
      <c r="T133" s="34">
        <v>2.0</v>
      </c>
      <c r="U133" s="17"/>
      <c r="V133" s="34">
        <v>5.0</v>
      </c>
      <c r="W133" s="17"/>
      <c r="X133" s="34"/>
      <c r="Y133" s="17"/>
      <c r="Z133" s="34">
        <v>6.0</v>
      </c>
      <c r="AA133" s="17"/>
      <c r="AB133" s="34">
        <v>5.0</v>
      </c>
      <c r="AC133" s="17"/>
      <c r="AD133" s="34">
        <v>3.0</v>
      </c>
      <c r="AE133" s="17"/>
      <c r="AF133" s="34">
        <v>5.0</v>
      </c>
      <c r="AG133" s="17"/>
      <c r="AH133" s="34"/>
      <c r="AI133" s="17"/>
      <c r="AJ133" s="34">
        <v>4.0</v>
      </c>
      <c r="AK133" s="17"/>
      <c r="AL133" s="34"/>
      <c r="AM133" s="17"/>
      <c r="AN133" s="34">
        <v>5.0</v>
      </c>
      <c r="AO133" s="17"/>
      <c r="AP133" s="34">
        <v>5.0</v>
      </c>
      <c r="AQ133" s="17"/>
      <c r="AR133" s="34">
        <v>2.0</v>
      </c>
      <c r="AS133" s="17"/>
      <c r="AT133" s="34"/>
      <c r="AU133" s="17"/>
      <c r="AV133" s="34">
        <v>4.0</v>
      </c>
      <c r="AW133" s="17"/>
      <c r="AX133" s="34">
        <v>4.0</v>
      </c>
      <c r="AY133" s="17"/>
      <c r="AZ133" s="34"/>
      <c r="BA133" s="17"/>
      <c r="BB133" s="34">
        <v>4.0</v>
      </c>
      <c r="BC133" s="17"/>
      <c r="BD133" s="34">
        <v>6.0</v>
      </c>
      <c r="BE133" s="17"/>
      <c r="BF133" s="34"/>
      <c r="BG133" s="17"/>
      <c r="BH133" s="34">
        <v>1.0</v>
      </c>
      <c r="BI133" s="17"/>
      <c r="BJ133" s="34">
        <v>5.0</v>
      </c>
      <c r="BK133" s="17"/>
      <c r="BL133" s="34">
        <v>2.0</v>
      </c>
      <c r="BM133" s="17"/>
      <c r="BN133" s="34">
        <v>6.0</v>
      </c>
      <c r="BO133" s="17"/>
    </row>
    <row r="134" hidden="1" outlineLevel="1">
      <c r="A134" s="26" t="str">
        <f>B134&amp;D134</f>
        <v>AugustADHIKARI BALIA.A</v>
      </c>
      <c r="B134" s="27" t="s">
        <v>29</v>
      </c>
      <c r="C134" s="27" t="s">
        <v>26</v>
      </c>
      <c r="D134" s="28" t="str">
        <f>IFERROR(VLOOKUP(C134,'Employees List'!$B$2:$E1424,4,0),"")</f>
        <v>ADHIKARI BALIA.A</v>
      </c>
      <c r="E134" s="29">
        <f>COUNTIF(F134:BO134,TRUE)/2</f>
        <v>30</v>
      </c>
      <c r="F134" s="30" t="b">
        <v>1</v>
      </c>
      <c r="G134" s="30" t="b">
        <v>1</v>
      </c>
      <c r="H134" s="30" t="b">
        <v>1</v>
      </c>
      <c r="I134" s="30" t="b">
        <v>1</v>
      </c>
      <c r="J134" s="30" t="b">
        <v>1</v>
      </c>
      <c r="K134" s="30" t="b">
        <v>1</v>
      </c>
      <c r="L134" s="30" t="b">
        <v>1</v>
      </c>
      <c r="M134" s="30" t="b">
        <v>1</v>
      </c>
      <c r="N134" s="30" t="b">
        <v>1</v>
      </c>
      <c r="O134" s="30" t="b">
        <v>1</v>
      </c>
      <c r="P134" s="30" t="b">
        <v>1</v>
      </c>
      <c r="Q134" s="30" t="b">
        <v>1</v>
      </c>
      <c r="R134" s="30" t="b">
        <v>1</v>
      </c>
      <c r="S134" s="30" t="b">
        <v>1</v>
      </c>
      <c r="T134" s="30" t="b">
        <v>1</v>
      </c>
      <c r="U134" s="30" t="b">
        <v>1</v>
      </c>
      <c r="V134" s="30" t="b">
        <v>1</v>
      </c>
      <c r="W134" s="30" t="b">
        <v>1</v>
      </c>
      <c r="X134" s="30" t="b">
        <v>1</v>
      </c>
      <c r="Y134" s="30" t="b">
        <v>1</v>
      </c>
      <c r="Z134" s="30" t="b">
        <v>1</v>
      </c>
      <c r="AA134" s="30" t="b">
        <v>1</v>
      </c>
      <c r="AB134" s="30" t="b">
        <v>1</v>
      </c>
      <c r="AC134" s="30" t="b">
        <v>1</v>
      </c>
      <c r="AD134" s="30" t="b">
        <v>1</v>
      </c>
      <c r="AE134" s="30" t="b">
        <v>1</v>
      </c>
      <c r="AF134" s="30" t="b">
        <v>1</v>
      </c>
      <c r="AG134" s="30" t="b">
        <v>1</v>
      </c>
      <c r="AH134" s="30" t="b">
        <v>1</v>
      </c>
      <c r="AI134" s="30" t="b">
        <v>1</v>
      </c>
      <c r="AJ134" s="30" t="b">
        <v>1</v>
      </c>
      <c r="AK134" s="30" t="b">
        <v>1</v>
      </c>
      <c r="AL134" s="30" t="b">
        <v>1</v>
      </c>
      <c r="AM134" s="30" t="b">
        <v>1</v>
      </c>
      <c r="AN134" s="30" t="b">
        <v>1</v>
      </c>
      <c r="AO134" s="30" t="b">
        <v>1</v>
      </c>
      <c r="AP134" s="30" t="b">
        <v>1</v>
      </c>
      <c r="AQ134" s="30" t="b">
        <v>1</v>
      </c>
      <c r="AR134" s="30" t="b">
        <v>1</v>
      </c>
      <c r="AS134" s="30" t="b">
        <v>1</v>
      </c>
      <c r="AT134" s="30" t="b">
        <v>1</v>
      </c>
      <c r="AU134" s="30" t="b">
        <v>1</v>
      </c>
      <c r="AV134" s="30" t="b">
        <v>1</v>
      </c>
      <c r="AW134" s="30" t="b">
        <v>1</v>
      </c>
      <c r="AX134" s="30" t="b">
        <v>1</v>
      </c>
      <c r="AY134" s="30" t="b">
        <v>1</v>
      </c>
      <c r="AZ134" s="30" t="b">
        <v>1</v>
      </c>
      <c r="BA134" s="30" t="b">
        <v>1</v>
      </c>
      <c r="BB134" s="30" t="b">
        <v>0</v>
      </c>
      <c r="BC134" s="30" t="b">
        <v>0</v>
      </c>
      <c r="BD134" s="30" t="b">
        <v>1</v>
      </c>
      <c r="BE134" s="30" t="b">
        <v>1</v>
      </c>
      <c r="BF134" s="30" t="b">
        <v>1</v>
      </c>
      <c r="BG134" s="30" t="b">
        <v>1</v>
      </c>
      <c r="BH134" s="30" t="b">
        <v>1</v>
      </c>
      <c r="BI134" s="30" t="b">
        <v>1</v>
      </c>
      <c r="BJ134" s="30" t="b">
        <v>1</v>
      </c>
      <c r="BK134" s="30" t="b">
        <v>1</v>
      </c>
      <c r="BL134" s="30" t="b">
        <v>1</v>
      </c>
      <c r="BM134" s="30" t="b">
        <v>1</v>
      </c>
      <c r="BN134" s="30" t="b">
        <v>1</v>
      </c>
      <c r="BO134" s="30" t="b">
        <v>1</v>
      </c>
    </row>
    <row r="135" hidden="1" outlineLevel="1">
      <c r="A135" s="31" t="str">
        <f>A134&amp;C135</f>
        <v>AugustADHIKARI BALIA.AOT HOURS</v>
      </c>
      <c r="B135" s="32"/>
      <c r="C135" s="33" t="s">
        <v>169</v>
      </c>
      <c r="D135" s="17"/>
      <c r="E135" s="29">
        <f>SUM(F135:BO135)</f>
        <v>127</v>
      </c>
      <c r="F135" s="34">
        <v>5.0</v>
      </c>
      <c r="G135" s="17"/>
      <c r="H135" s="34">
        <v>4.0</v>
      </c>
      <c r="I135" s="17"/>
      <c r="J135" s="34"/>
      <c r="K135" s="17"/>
      <c r="L135" s="34">
        <v>4.0</v>
      </c>
      <c r="M135" s="17"/>
      <c r="N135" s="34">
        <v>4.0</v>
      </c>
      <c r="O135" s="17"/>
      <c r="P135" s="34">
        <v>4.0</v>
      </c>
      <c r="Q135" s="17"/>
      <c r="R135" s="34">
        <v>4.0</v>
      </c>
      <c r="S135" s="17"/>
      <c r="T135" s="34">
        <v>2.0</v>
      </c>
      <c r="U135" s="17"/>
      <c r="V135" s="34">
        <v>5.0</v>
      </c>
      <c r="W135" s="17"/>
      <c r="X135" s="34"/>
      <c r="Y135" s="17"/>
      <c r="Z135" s="34">
        <v>6.0</v>
      </c>
      <c r="AA135" s="17"/>
      <c r="AB135" s="34">
        <v>4.0</v>
      </c>
      <c r="AC135" s="17"/>
      <c r="AD135" s="34">
        <v>6.0</v>
      </c>
      <c r="AE135" s="17"/>
      <c r="AF135" s="34">
        <v>8.0</v>
      </c>
      <c r="AG135" s="17"/>
      <c r="AH135" s="34"/>
      <c r="AI135" s="17"/>
      <c r="AJ135" s="34">
        <v>6.0</v>
      </c>
      <c r="AK135" s="17"/>
      <c r="AL135" s="34"/>
      <c r="AM135" s="17"/>
      <c r="AN135" s="34">
        <v>8.0</v>
      </c>
      <c r="AO135" s="17"/>
      <c r="AP135" s="34">
        <v>7.0</v>
      </c>
      <c r="AQ135" s="17"/>
      <c r="AR135" s="34">
        <v>5.0</v>
      </c>
      <c r="AS135" s="17"/>
      <c r="AT135" s="34">
        <v>2.0</v>
      </c>
      <c r="AU135" s="17"/>
      <c r="AV135" s="34">
        <v>4.0</v>
      </c>
      <c r="AW135" s="17"/>
      <c r="AX135" s="34">
        <v>7.0</v>
      </c>
      <c r="AY135" s="17"/>
      <c r="AZ135" s="34">
        <v>3.0</v>
      </c>
      <c r="BA135" s="17"/>
      <c r="BB135" s="34"/>
      <c r="BC135" s="17"/>
      <c r="BD135" s="34">
        <v>6.0</v>
      </c>
      <c r="BE135" s="17"/>
      <c r="BF135" s="34">
        <v>5.0</v>
      </c>
      <c r="BG135" s="17"/>
      <c r="BH135" s="34">
        <v>3.0</v>
      </c>
      <c r="BI135" s="17"/>
      <c r="BJ135" s="34">
        <v>7.0</v>
      </c>
      <c r="BK135" s="17"/>
      <c r="BL135" s="34">
        <v>2.0</v>
      </c>
      <c r="BM135" s="17"/>
      <c r="BN135" s="34">
        <v>6.0</v>
      </c>
      <c r="BO135" s="17"/>
    </row>
    <row r="136" hidden="1" outlineLevel="1">
      <c r="A136" s="26" t="str">
        <f>B136&amp;D136</f>
        <v>AugustRUPESH KISAN</v>
      </c>
      <c r="B136" s="27" t="s">
        <v>29</v>
      </c>
      <c r="C136" s="27" t="s">
        <v>30</v>
      </c>
      <c r="D136" s="28" t="str">
        <f>IFERROR(VLOOKUP(C136,'Employees List'!$B$2:$E1424,4,0),"")</f>
        <v>RUPESH KISAN</v>
      </c>
      <c r="E136" s="29">
        <f>COUNTIF(F136:BO136,TRUE)/2</f>
        <v>30</v>
      </c>
      <c r="F136" s="30" t="b">
        <v>1</v>
      </c>
      <c r="G136" s="30" t="b">
        <v>1</v>
      </c>
      <c r="H136" s="30" t="b">
        <v>1</v>
      </c>
      <c r="I136" s="30" t="b">
        <v>1</v>
      </c>
      <c r="J136" s="30" t="b">
        <v>1</v>
      </c>
      <c r="K136" s="30" t="b">
        <v>1</v>
      </c>
      <c r="L136" s="30" t="b">
        <v>1</v>
      </c>
      <c r="M136" s="30" t="b">
        <v>1</v>
      </c>
      <c r="N136" s="30" t="b">
        <v>1</v>
      </c>
      <c r="O136" s="30" t="b">
        <v>1</v>
      </c>
      <c r="P136" s="30" t="b">
        <v>1</v>
      </c>
      <c r="Q136" s="30" t="b">
        <v>1</v>
      </c>
      <c r="R136" s="30" t="b">
        <v>1</v>
      </c>
      <c r="S136" s="30" t="b">
        <v>1</v>
      </c>
      <c r="T136" s="30" t="b">
        <v>1</v>
      </c>
      <c r="U136" s="30" t="b">
        <v>1</v>
      </c>
      <c r="V136" s="30" t="b">
        <v>1</v>
      </c>
      <c r="W136" s="30" t="b">
        <v>1</v>
      </c>
      <c r="X136" s="30" t="b">
        <v>1</v>
      </c>
      <c r="Y136" s="30" t="b">
        <v>1</v>
      </c>
      <c r="Z136" s="30" t="b">
        <v>1</v>
      </c>
      <c r="AA136" s="30" t="b">
        <v>1</v>
      </c>
      <c r="AB136" s="30" t="b">
        <v>0</v>
      </c>
      <c r="AC136" s="30" t="b">
        <v>0</v>
      </c>
      <c r="AD136" s="30" t="b">
        <v>1</v>
      </c>
      <c r="AE136" s="30" t="b">
        <v>1</v>
      </c>
      <c r="AF136" s="30" t="b">
        <v>1</v>
      </c>
      <c r="AG136" s="30" t="b">
        <v>1</v>
      </c>
      <c r="AH136" s="30" t="b">
        <v>1</v>
      </c>
      <c r="AI136" s="30" t="b">
        <v>1</v>
      </c>
      <c r="AJ136" s="30" t="b">
        <v>1</v>
      </c>
      <c r="AK136" s="30" t="b">
        <v>1</v>
      </c>
      <c r="AL136" s="30" t="b">
        <v>1</v>
      </c>
      <c r="AM136" s="30" t="b">
        <v>1</v>
      </c>
      <c r="AN136" s="30" t="b">
        <v>1</v>
      </c>
      <c r="AO136" s="30" t="b">
        <v>1</v>
      </c>
      <c r="AP136" s="30" t="b">
        <v>1</v>
      </c>
      <c r="AQ136" s="30" t="b">
        <v>1</v>
      </c>
      <c r="AR136" s="30" t="b">
        <v>1</v>
      </c>
      <c r="AS136" s="30" t="b">
        <v>1</v>
      </c>
      <c r="AT136" s="30" t="b">
        <v>1</v>
      </c>
      <c r="AU136" s="30" t="b">
        <v>1</v>
      </c>
      <c r="AV136" s="30" t="b">
        <v>1</v>
      </c>
      <c r="AW136" s="30" t="b">
        <v>1</v>
      </c>
      <c r="AX136" s="30" t="b">
        <v>1</v>
      </c>
      <c r="AY136" s="30" t="b">
        <v>1</v>
      </c>
      <c r="AZ136" s="30" t="b">
        <v>1</v>
      </c>
      <c r="BA136" s="30" t="b">
        <v>1</v>
      </c>
      <c r="BB136" s="30" t="b">
        <v>1</v>
      </c>
      <c r="BC136" s="30" t="b">
        <v>1</v>
      </c>
      <c r="BD136" s="30" t="b">
        <v>1</v>
      </c>
      <c r="BE136" s="30" t="b">
        <v>1</v>
      </c>
      <c r="BF136" s="30" t="b">
        <v>1</v>
      </c>
      <c r="BG136" s="30" t="b">
        <v>1</v>
      </c>
      <c r="BH136" s="30" t="b">
        <v>1</v>
      </c>
      <c r="BI136" s="30" t="b">
        <v>1</v>
      </c>
      <c r="BJ136" s="30" t="b">
        <v>1</v>
      </c>
      <c r="BK136" s="30" t="b">
        <v>1</v>
      </c>
      <c r="BL136" s="30" t="b">
        <v>1</v>
      </c>
      <c r="BM136" s="30" t="b">
        <v>1</v>
      </c>
      <c r="BN136" s="30" t="b">
        <v>1</v>
      </c>
      <c r="BO136" s="30" t="b">
        <v>1</v>
      </c>
    </row>
    <row r="137" hidden="1" outlineLevel="1">
      <c r="A137" s="31" t="str">
        <f>A136&amp;C137</f>
        <v>AugustRUPESH KISANOT HOURS</v>
      </c>
      <c r="B137" s="32"/>
      <c r="C137" s="33" t="s">
        <v>169</v>
      </c>
      <c r="D137" s="17"/>
      <c r="E137" s="29">
        <f>SUM(F137:BO137)</f>
        <v>125</v>
      </c>
      <c r="F137" s="34">
        <v>2.0</v>
      </c>
      <c r="G137" s="17"/>
      <c r="H137" s="34">
        <v>4.0</v>
      </c>
      <c r="I137" s="17"/>
      <c r="J137" s="34"/>
      <c r="K137" s="17"/>
      <c r="L137" s="34">
        <v>4.0</v>
      </c>
      <c r="M137" s="17"/>
      <c r="N137" s="34">
        <v>4.0</v>
      </c>
      <c r="O137" s="17"/>
      <c r="P137" s="34">
        <v>4.0</v>
      </c>
      <c r="Q137" s="17"/>
      <c r="R137" s="34">
        <v>4.0</v>
      </c>
      <c r="S137" s="17"/>
      <c r="T137" s="34">
        <v>2.0</v>
      </c>
      <c r="U137" s="17"/>
      <c r="V137" s="34">
        <v>2.0</v>
      </c>
      <c r="W137" s="17"/>
      <c r="X137" s="34"/>
      <c r="Y137" s="17"/>
      <c r="Z137" s="34">
        <v>2.0</v>
      </c>
      <c r="AA137" s="17"/>
      <c r="AB137" s="34"/>
      <c r="AC137" s="17"/>
      <c r="AD137" s="34">
        <v>6.0</v>
      </c>
      <c r="AE137" s="17"/>
      <c r="AF137" s="34">
        <v>8.0</v>
      </c>
      <c r="AG137" s="17"/>
      <c r="AH137" s="34"/>
      <c r="AI137" s="17"/>
      <c r="AJ137" s="34">
        <v>4.0</v>
      </c>
      <c r="AK137" s="17"/>
      <c r="AL137" s="34">
        <v>3.0</v>
      </c>
      <c r="AM137" s="17"/>
      <c r="AN137" s="34">
        <v>8.0</v>
      </c>
      <c r="AO137" s="17"/>
      <c r="AP137" s="34">
        <v>7.0</v>
      </c>
      <c r="AQ137" s="17"/>
      <c r="AR137" s="34">
        <v>5.0</v>
      </c>
      <c r="AS137" s="17"/>
      <c r="AT137" s="34">
        <v>3.0</v>
      </c>
      <c r="AU137" s="17"/>
      <c r="AV137" s="34">
        <v>4.0</v>
      </c>
      <c r="AW137" s="17"/>
      <c r="AX137" s="34">
        <v>7.0</v>
      </c>
      <c r="AY137" s="17"/>
      <c r="AZ137" s="34">
        <v>3.0</v>
      </c>
      <c r="BA137" s="17"/>
      <c r="BB137" s="34">
        <v>5.0</v>
      </c>
      <c r="BC137" s="17"/>
      <c r="BD137" s="34">
        <v>6.0</v>
      </c>
      <c r="BE137" s="17"/>
      <c r="BF137" s="34">
        <v>5.0</v>
      </c>
      <c r="BG137" s="17"/>
      <c r="BH137" s="34">
        <v>6.0</v>
      </c>
      <c r="BI137" s="17"/>
      <c r="BJ137" s="34">
        <v>9.0</v>
      </c>
      <c r="BK137" s="17"/>
      <c r="BL137" s="34">
        <v>2.0</v>
      </c>
      <c r="BM137" s="17"/>
      <c r="BN137" s="34">
        <v>6.0</v>
      </c>
      <c r="BO137" s="17"/>
    </row>
    <row r="138" hidden="1" outlineLevel="1">
      <c r="A138" s="26" t="str">
        <f>B138&amp;D138</f>
        <v>AugustLIPAN</v>
      </c>
      <c r="B138" s="27" t="s">
        <v>29</v>
      </c>
      <c r="C138" s="27" t="s">
        <v>87</v>
      </c>
      <c r="D138" s="28" t="str">
        <f>IFERROR(VLOOKUP(C138,'Employees List'!$B$2:$E1424,4,0),"")</f>
        <v>LIPAN</v>
      </c>
      <c r="E138" s="29">
        <f>COUNTIF(F138:BO138,TRUE)/2</f>
        <v>31</v>
      </c>
      <c r="F138" s="30" t="b">
        <v>1</v>
      </c>
      <c r="G138" s="30" t="b">
        <v>1</v>
      </c>
      <c r="H138" s="30" t="b">
        <v>1</v>
      </c>
      <c r="I138" s="30" t="b">
        <v>1</v>
      </c>
      <c r="J138" s="30" t="b">
        <v>1</v>
      </c>
      <c r="K138" s="30" t="b">
        <v>1</v>
      </c>
      <c r="L138" s="30" t="b">
        <v>1</v>
      </c>
      <c r="M138" s="30" t="b">
        <v>1</v>
      </c>
      <c r="N138" s="30" t="b">
        <v>1</v>
      </c>
      <c r="O138" s="30" t="b">
        <v>1</v>
      </c>
      <c r="P138" s="30" t="b">
        <v>1</v>
      </c>
      <c r="Q138" s="30" t="b">
        <v>1</v>
      </c>
      <c r="R138" s="30" t="b">
        <v>1</v>
      </c>
      <c r="S138" s="30" t="b">
        <v>1</v>
      </c>
      <c r="T138" s="30" t="b">
        <v>1</v>
      </c>
      <c r="U138" s="30" t="b">
        <v>1</v>
      </c>
      <c r="V138" s="30" t="b">
        <v>1</v>
      </c>
      <c r="W138" s="30" t="b">
        <v>1</v>
      </c>
      <c r="X138" s="30" t="b">
        <v>1</v>
      </c>
      <c r="Y138" s="30" t="b">
        <v>1</v>
      </c>
      <c r="Z138" s="30" t="b">
        <v>1</v>
      </c>
      <c r="AA138" s="30" t="b">
        <v>1</v>
      </c>
      <c r="AB138" s="30" t="b">
        <v>1</v>
      </c>
      <c r="AC138" s="30" t="b">
        <v>1</v>
      </c>
      <c r="AD138" s="30" t="b">
        <v>1</v>
      </c>
      <c r="AE138" s="30" t="b">
        <v>1</v>
      </c>
      <c r="AF138" s="30" t="b">
        <v>1</v>
      </c>
      <c r="AG138" s="30" t="b">
        <v>1</v>
      </c>
      <c r="AH138" s="30" t="b">
        <v>1</v>
      </c>
      <c r="AI138" s="30" t="b">
        <v>1</v>
      </c>
      <c r="AJ138" s="30" t="b">
        <v>1</v>
      </c>
      <c r="AK138" s="30" t="b">
        <v>1</v>
      </c>
      <c r="AL138" s="30" t="b">
        <v>1</v>
      </c>
      <c r="AM138" s="30" t="b">
        <v>1</v>
      </c>
      <c r="AN138" s="30" t="b">
        <v>1</v>
      </c>
      <c r="AO138" s="30" t="b">
        <v>1</v>
      </c>
      <c r="AP138" s="30" t="b">
        <v>1</v>
      </c>
      <c r="AQ138" s="30" t="b">
        <v>1</v>
      </c>
      <c r="AR138" s="30" t="b">
        <v>1</v>
      </c>
      <c r="AS138" s="30" t="b">
        <v>1</v>
      </c>
      <c r="AT138" s="30" t="b">
        <v>1</v>
      </c>
      <c r="AU138" s="30" t="b">
        <v>1</v>
      </c>
      <c r="AV138" s="30" t="b">
        <v>1</v>
      </c>
      <c r="AW138" s="30" t="b">
        <v>1</v>
      </c>
      <c r="AX138" s="30" t="b">
        <v>1</v>
      </c>
      <c r="AY138" s="30" t="b">
        <v>1</v>
      </c>
      <c r="AZ138" s="30" t="b">
        <v>1</v>
      </c>
      <c r="BA138" s="30" t="b">
        <v>1</v>
      </c>
      <c r="BB138" s="30" t="b">
        <v>1</v>
      </c>
      <c r="BC138" s="30" t="b">
        <v>1</v>
      </c>
      <c r="BD138" s="30" t="b">
        <v>1</v>
      </c>
      <c r="BE138" s="30" t="b">
        <v>1</v>
      </c>
      <c r="BF138" s="30" t="b">
        <v>1</v>
      </c>
      <c r="BG138" s="30" t="b">
        <v>1</v>
      </c>
      <c r="BH138" s="30" t="b">
        <v>1</v>
      </c>
      <c r="BI138" s="30" t="b">
        <v>1</v>
      </c>
      <c r="BJ138" s="30" t="b">
        <v>1</v>
      </c>
      <c r="BK138" s="30" t="b">
        <v>1</v>
      </c>
      <c r="BL138" s="30" t="b">
        <v>1</v>
      </c>
      <c r="BM138" s="30" t="b">
        <v>1</v>
      </c>
      <c r="BN138" s="30" t="b">
        <v>1</v>
      </c>
      <c r="BO138" s="30" t="b">
        <v>1</v>
      </c>
    </row>
    <row r="139" hidden="1" outlineLevel="1">
      <c r="A139" s="31" t="str">
        <f>A138&amp;C139</f>
        <v>AugustLIPANOT HOURS</v>
      </c>
      <c r="B139" s="32"/>
      <c r="C139" s="33" t="s">
        <v>169</v>
      </c>
      <c r="D139" s="17"/>
      <c r="E139" s="29">
        <f>SUM(F139:BO139)</f>
        <v>95</v>
      </c>
      <c r="F139" s="34">
        <v>5.0</v>
      </c>
      <c r="G139" s="17"/>
      <c r="H139" s="34">
        <v>4.0</v>
      </c>
      <c r="I139" s="17"/>
      <c r="J139" s="34"/>
      <c r="K139" s="17"/>
      <c r="L139" s="34">
        <v>2.0</v>
      </c>
      <c r="M139" s="17"/>
      <c r="N139" s="34">
        <v>4.0</v>
      </c>
      <c r="O139" s="17"/>
      <c r="P139" s="34">
        <v>4.0</v>
      </c>
      <c r="Q139" s="17"/>
      <c r="R139" s="34">
        <v>4.0</v>
      </c>
      <c r="S139" s="17"/>
      <c r="T139" s="34">
        <v>4.0</v>
      </c>
      <c r="U139" s="17"/>
      <c r="V139" s="34">
        <v>2.0</v>
      </c>
      <c r="W139" s="17"/>
      <c r="X139" s="34"/>
      <c r="Y139" s="17"/>
      <c r="Z139" s="34">
        <v>5.0</v>
      </c>
      <c r="AA139" s="17"/>
      <c r="AB139" s="34">
        <v>4.0</v>
      </c>
      <c r="AC139" s="17"/>
      <c r="AD139" s="34">
        <v>2.0</v>
      </c>
      <c r="AE139" s="17"/>
      <c r="AF139" s="34">
        <v>5.0</v>
      </c>
      <c r="AG139" s="17"/>
      <c r="AH139" s="34"/>
      <c r="AI139" s="17"/>
      <c r="AJ139" s="34">
        <v>6.0</v>
      </c>
      <c r="AK139" s="17"/>
      <c r="AL139" s="34"/>
      <c r="AM139" s="17"/>
      <c r="AN139" s="34">
        <v>5.0</v>
      </c>
      <c r="AO139" s="17"/>
      <c r="AP139" s="34">
        <v>4.0</v>
      </c>
      <c r="AQ139" s="17"/>
      <c r="AR139" s="34"/>
      <c r="AS139" s="17"/>
      <c r="AT139" s="34">
        <v>4.0</v>
      </c>
      <c r="AU139" s="17"/>
      <c r="AV139" s="34">
        <v>4.0</v>
      </c>
      <c r="AW139" s="17"/>
      <c r="AX139" s="34">
        <v>4.0</v>
      </c>
      <c r="AY139" s="17"/>
      <c r="AZ139" s="34"/>
      <c r="BA139" s="17"/>
      <c r="BB139" s="34">
        <v>4.0</v>
      </c>
      <c r="BC139" s="17"/>
      <c r="BD139" s="34">
        <v>4.0</v>
      </c>
      <c r="BE139" s="17"/>
      <c r="BF139" s="34"/>
      <c r="BG139" s="17"/>
      <c r="BH139" s="34">
        <v>3.0</v>
      </c>
      <c r="BI139" s="17"/>
      <c r="BJ139" s="34">
        <v>2.0</v>
      </c>
      <c r="BK139" s="17"/>
      <c r="BL139" s="34">
        <v>4.0</v>
      </c>
      <c r="BM139" s="17"/>
      <c r="BN139" s="34">
        <v>6.0</v>
      </c>
      <c r="BO139" s="17"/>
    </row>
    <row r="140" hidden="1" outlineLevel="1">
      <c r="A140" s="26" t="str">
        <f>B140&amp;D140</f>
        <v>AugustPARSHU BAGH</v>
      </c>
      <c r="B140" s="27" t="s">
        <v>29</v>
      </c>
      <c r="C140" s="27" t="s">
        <v>96</v>
      </c>
      <c r="D140" s="28" t="str">
        <f>IFERROR(VLOOKUP(C140,'Employees List'!$B$2:$E1424,4,0),"")</f>
        <v>PARSHU BAGH</v>
      </c>
      <c r="E140" s="29">
        <f>COUNTIF(F140:BO140,TRUE)/2</f>
        <v>4.5</v>
      </c>
      <c r="F140" s="30" t="b">
        <v>1</v>
      </c>
      <c r="G140" s="30" t="b">
        <v>1</v>
      </c>
      <c r="H140" s="30" t="b">
        <v>1</v>
      </c>
      <c r="I140" s="30" t="b">
        <v>1</v>
      </c>
      <c r="J140" s="30" t="b">
        <v>1</v>
      </c>
      <c r="K140" s="30" t="b">
        <v>1</v>
      </c>
      <c r="L140" s="30" t="b">
        <v>1</v>
      </c>
      <c r="M140" s="30" t="b">
        <v>1</v>
      </c>
      <c r="N140" s="30" t="b">
        <v>1</v>
      </c>
      <c r="O140" s="30" t="b">
        <v>0</v>
      </c>
      <c r="P140" s="30" t="b">
        <v>0</v>
      </c>
      <c r="Q140" s="30" t="b">
        <v>0</v>
      </c>
      <c r="R140" s="30" t="b">
        <v>0</v>
      </c>
      <c r="S140" s="30" t="b">
        <v>0</v>
      </c>
      <c r="T140" s="30" t="b">
        <v>0</v>
      </c>
      <c r="U140" s="30" t="b">
        <v>0</v>
      </c>
      <c r="V140" s="30" t="b">
        <v>0</v>
      </c>
      <c r="W140" s="30" t="b">
        <v>0</v>
      </c>
      <c r="X140" s="30" t="b">
        <v>0</v>
      </c>
      <c r="Y140" s="30" t="b">
        <v>0</v>
      </c>
      <c r="Z140" s="30" t="b">
        <v>0</v>
      </c>
      <c r="AA140" s="30" t="b">
        <v>0</v>
      </c>
      <c r="AB140" s="30" t="b">
        <v>0</v>
      </c>
      <c r="AC140" s="30" t="b">
        <v>0</v>
      </c>
      <c r="AD140" s="30" t="b">
        <v>0</v>
      </c>
      <c r="AE140" s="30" t="b">
        <v>0</v>
      </c>
      <c r="AF140" s="30" t="b">
        <v>0</v>
      </c>
      <c r="AG140" s="30" t="b">
        <v>0</v>
      </c>
      <c r="AH140" s="30" t="b">
        <v>0</v>
      </c>
      <c r="AI140" s="30" t="b">
        <v>0</v>
      </c>
      <c r="AJ140" s="30" t="b">
        <v>0</v>
      </c>
      <c r="AK140" s="30" t="b">
        <v>0</v>
      </c>
      <c r="AL140" s="30" t="b">
        <v>0</v>
      </c>
      <c r="AM140" s="30" t="b">
        <v>0</v>
      </c>
      <c r="AN140" s="30" t="b">
        <v>0</v>
      </c>
      <c r="AO140" s="30" t="b">
        <v>0</v>
      </c>
      <c r="AP140" s="30" t="b">
        <v>0</v>
      </c>
      <c r="AQ140" s="30" t="b">
        <v>0</v>
      </c>
      <c r="AR140" s="30" t="b">
        <v>0</v>
      </c>
      <c r="AS140" s="30" t="b">
        <v>0</v>
      </c>
      <c r="AT140" s="30" t="b">
        <v>0</v>
      </c>
      <c r="AU140" s="30" t="b">
        <v>0</v>
      </c>
      <c r="AV140" s="30" t="b">
        <v>0</v>
      </c>
      <c r="AW140" s="30" t="b">
        <v>0</v>
      </c>
      <c r="AX140" s="30" t="b">
        <v>0</v>
      </c>
      <c r="AY140" s="30" t="b">
        <v>0</v>
      </c>
      <c r="AZ140" s="30" t="b">
        <v>0</v>
      </c>
      <c r="BA140" s="30" t="b">
        <v>0</v>
      </c>
      <c r="BB140" s="30" t="b">
        <v>0</v>
      </c>
      <c r="BC140" s="30" t="b">
        <v>0</v>
      </c>
      <c r="BD140" s="30" t="b">
        <v>0</v>
      </c>
      <c r="BE140" s="30" t="b">
        <v>0</v>
      </c>
      <c r="BF140" s="30" t="b">
        <v>0</v>
      </c>
      <c r="BG140" s="30" t="b">
        <v>0</v>
      </c>
      <c r="BH140" s="30" t="b">
        <v>0</v>
      </c>
      <c r="BI140" s="30" t="b">
        <v>0</v>
      </c>
      <c r="BJ140" s="30" t="b">
        <v>0</v>
      </c>
      <c r="BK140" s="30" t="b">
        <v>0</v>
      </c>
      <c r="BL140" s="30" t="b">
        <v>0</v>
      </c>
      <c r="BM140" s="30" t="b">
        <v>0</v>
      </c>
      <c r="BN140" s="30" t="b">
        <v>0</v>
      </c>
      <c r="BO140" s="30" t="b">
        <v>0</v>
      </c>
    </row>
    <row r="141" hidden="1" outlineLevel="1">
      <c r="A141" s="31" t="str">
        <f>A140&amp;C141</f>
        <v>AugustPARSHU BAGHOT HOURS</v>
      </c>
      <c r="B141" s="32"/>
      <c r="C141" s="33" t="s">
        <v>169</v>
      </c>
      <c r="D141" s="17"/>
      <c r="E141" s="29">
        <f>SUM(F141:BO141)</f>
        <v>14</v>
      </c>
      <c r="F141" s="34">
        <v>4.0</v>
      </c>
      <c r="G141" s="17"/>
      <c r="H141" s="34">
        <v>4.0</v>
      </c>
      <c r="I141" s="17"/>
      <c r="J141" s="34"/>
      <c r="K141" s="17"/>
      <c r="L141" s="34">
        <v>4.0</v>
      </c>
      <c r="M141" s="17"/>
      <c r="N141" s="34">
        <v>2.0</v>
      </c>
      <c r="O141" s="17"/>
      <c r="P141" s="34"/>
      <c r="Q141" s="17"/>
      <c r="R141" s="34"/>
      <c r="S141" s="17"/>
      <c r="T141" s="34"/>
      <c r="U141" s="17"/>
      <c r="V141" s="34"/>
      <c r="W141" s="17"/>
      <c r="X141" s="34"/>
      <c r="Y141" s="17"/>
      <c r="Z141" s="34"/>
      <c r="AA141" s="17"/>
      <c r="AB141" s="34"/>
      <c r="AC141" s="17"/>
      <c r="AD141" s="34"/>
      <c r="AE141" s="17"/>
      <c r="AF141" s="34"/>
      <c r="AG141" s="17"/>
      <c r="AH141" s="34"/>
      <c r="AI141" s="17"/>
      <c r="AJ141" s="34"/>
      <c r="AK141" s="17"/>
      <c r="AL141" s="34"/>
      <c r="AM141" s="17"/>
      <c r="AN141" s="34"/>
      <c r="AO141" s="17"/>
      <c r="AP141" s="34"/>
      <c r="AQ141" s="17"/>
      <c r="AR141" s="34"/>
      <c r="AS141" s="17"/>
      <c r="AT141" s="34"/>
      <c r="AU141" s="17"/>
      <c r="AV141" s="34"/>
      <c r="AW141" s="17"/>
      <c r="AX141" s="34"/>
      <c r="AY141" s="17"/>
      <c r="AZ141" s="34"/>
      <c r="BA141" s="17"/>
      <c r="BB141" s="34"/>
      <c r="BC141" s="17"/>
      <c r="BD141" s="34"/>
      <c r="BE141" s="17"/>
      <c r="BF141" s="34"/>
      <c r="BG141" s="17"/>
      <c r="BH141" s="34"/>
      <c r="BI141" s="17"/>
      <c r="BJ141" s="34"/>
      <c r="BK141" s="17"/>
      <c r="BL141" s="34"/>
      <c r="BM141" s="17"/>
      <c r="BN141" s="34"/>
      <c r="BO141" s="17"/>
    </row>
    <row r="142" hidden="1" outlineLevel="1">
      <c r="A142" s="26" t="str">
        <f>B142&amp;D142</f>
        <v>AugustVASANTHA.E</v>
      </c>
      <c r="B142" s="27" t="s">
        <v>29</v>
      </c>
      <c r="C142" s="27" t="s">
        <v>17</v>
      </c>
      <c r="D142" s="28" t="str">
        <f>IFERROR(VLOOKUP(C142,'Employees List'!$B$2:$E1424,4,0),"")</f>
        <v>VASANTHA.E</v>
      </c>
      <c r="E142" s="29">
        <f>COUNTIF(F142:BO142,TRUE)/2</f>
        <v>31</v>
      </c>
      <c r="F142" s="30" t="b">
        <v>1</v>
      </c>
      <c r="G142" s="30" t="b">
        <v>1</v>
      </c>
      <c r="H142" s="30" t="b">
        <v>1</v>
      </c>
      <c r="I142" s="30" t="b">
        <v>1</v>
      </c>
      <c r="J142" s="30" t="b">
        <v>1</v>
      </c>
      <c r="K142" s="30" t="b">
        <v>1</v>
      </c>
      <c r="L142" s="30" t="b">
        <v>1</v>
      </c>
      <c r="M142" s="30" t="b">
        <v>1</v>
      </c>
      <c r="N142" s="30" t="b">
        <v>1</v>
      </c>
      <c r="O142" s="30" t="b">
        <v>1</v>
      </c>
      <c r="P142" s="30" t="b">
        <v>1</v>
      </c>
      <c r="Q142" s="30" t="b">
        <v>1</v>
      </c>
      <c r="R142" s="30" t="b">
        <v>1</v>
      </c>
      <c r="S142" s="30" t="b">
        <v>1</v>
      </c>
      <c r="T142" s="30" t="b">
        <v>1</v>
      </c>
      <c r="U142" s="30" t="b">
        <v>1</v>
      </c>
      <c r="V142" s="30" t="b">
        <v>1</v>
      </c>
      <c r="W142" s="30" t="b">
        <v>1</v>
      </c>
      <c r="X142" s="30" t="b">
        <v>1</v>
      </c>
      <c r="Y142" s="30" t="b">
        <v>1</v>
      </c>
      <c r="Z142" s="30" t="b">
        <v>1</v>
      </c>
      <c r="AA142" s="30" t="b">
        <v>1</v>
      </c>
      <c r="AB142" s="30" t="b">
        <v>1</v>
      </c>
      <c r="AC142" s="30" t="b">
        <v>1</v>
      </c>
      <c r="AD142" s="30" t="b">
        <v>1</v>
      </c>
      <c r="AE142" s="30" t="b">
        <v>1</v>
      </c>
      <c r="AF142" s="30" t="b">
        <v>1</v>
      </c>
      <c r="AG142" s="30" t="b">
        <v>1</v>
      </c>
      <c r="AH142" s="30" t="b">
        <v>1</v>
      </c>
      <c r="AI142" s="30" t="b">
        <v>1</v>
      </c>
      <c r="AJ142" s="30" t="b">
        <v>1</v>
      </c>
      <c r="AK142" s="30" t="b">
        <v>1</v>
      </c>
      <c r="AL142" s="30" t="b">
        <v>1</v>
      </c>
      <c r="AM142" s="30" t="b">
        <v>1</v>
      </c>
      <c r="AN142" s="30" t="b">
        <v>1</v>
      </c>
      <c r="AO142" s="30" t="b">
        <v>1</v>
      </c>
      <c r="AP142" s="30" t="b">
        <v>1</v>
      </c>
      <c r="AQ142" s="30" t="b">
        <v>1</v>
      </c>
      <c r="AR142" s="30" t="b">
        <v>1</v>
      </c>
      <c r="AS142" s="30" t="b">
        <v>1</v>
      </c>
      <c r="AT142" s="30" t="b">
        <v>1</v>
      </c>
      <c r="AU142" s="30" t="b">
        <v>1</v>
      </c>
      <c r="AV142" s="30" t="b">
        <v>1</v>
      </c>
      <c r="AW142" s="30" t="b">
        <v>1</v>
      </c>
      <c r="AX142" s="30" t="b">
        <v>1</v>
      </c>
      <c r="AY142" s="30" t="b">
        <v>1</v>
      </c>
      <c r="AZ142" s="30" t="b">
        <v>1</v>
      </c>
      <c r="BA142" s="30" t="b">
        <v>1</v>
      </c>
      <c r="BB142" s="30" t="b">
        <v>1</v>
      </c>
      <c r="BC142" s="30" t="b">
        <v>1</v>
      </c>
      <c r="BD142" s="30" t="b">
        <v>1</v>
      </c>
      <c r="BE142" s="30" t="b">
        <v>1</v>
      </c>
      <c r="BF142" s="30" t="b">
        <v>1</v>
      </c>
      <c r="BG142" s="30" t="b">
        <v>1</v>
      </c>
      <c r="BH142" s="30" t="b">
        <v>1</v>
      </c>
      <c r="BI142" s="30" t="b">
        <v>1</v>
      </c>
      <c r="BJ142" s="30" t="b">
        <v>1</v>
      </c>
      <c r="BK142" s="30" t="b">
        <v>1</v>
      </c>
      <c r="BL142" s="30" t="b">
        <v>1</v>
      </c>
      <c r="BM142" s="30" t="b">
        <v>1</v>
      </c>
      <c r="BN142" s="30" t="b">
        <v>1</v>
      </c>
      <c r="BO142" s="30" t="b">
        <v>1</v>
      </c>
    </row>
    <row r="143" hidden="1" outlineLevel="1">
      <c r="A143" s="31" t="str">
        <f>A142&amp;C143</f>
        <v>AugustVASANTHA.EOT HOURS</v>
      </c>
      <c r="B143" s="32"/>
      <c r="C143" s="33" t="s">
        <v>169</v>
      </c>
      <c r="D143" s="17"/>
      <c r="E143" s="29">
        <f>SUM(F143:BO143)</f>
        <v>48</v>
      </c>
      <c r="F143" s="34">
        <v>2.0</v>
      </c>
      <c r="G143" s="17"/>
      <c r="H143" s="34">
        <v>2.0</v>
      </c>
      <c r="I143" s="17"/>
      <c r="J143" s="34"/>
      <c r="K143" s="17"/>
      <c r="L143" s="34">
        <v>2.0</v>
      </c>
      <c r="M143" s="17"/>
      <c r="N143" s="34">
        <v>2.0</v>
      </c>
      <c r="O143" s="17"/>
      <c r="P143" s="34">
        <v>2.0</v>
      </c>
      <c r="Q143" s="17"/>
      <c r="R143" s="34">
        <v>2.0</v>
      </c>
      <c r="S143" s="17"/>
      <c r="T143" s="34">
        <v>2.0</v>
      </c>
      <c r="U143" s="17"/>
      <c r="V143" s="34">
        <v>2.0</v>
      </c>
      <c r="W143" s="17"/>
      <c r="X143" s="34"/>
      <c r="Y143" s="17"/>
      <c r="Z143" s="34">
        <v>2.0</v>
      </c>
      <c r="AA143" s="17"/>
      <c r="AB143" s="34">
        <v>2.0</v>
      </c>
      <c r="AC143" s="17"/>
      <c r="AD143" s="34">
        <v>2.0</v>
      </c>
      <c r="AE143" s="17"/>
      <c r="AF143" s="34">
        <v>3.0</v>
      </c>
      <c r="AG143" s="17"/>
      <c r="AH143" s="34"/>
      <c r="AI143" s="17"/>
      <c r="AJ143" s="34"/>
      <c r="AK143" s="17"/>
      <c r="AL143" s="34"/>
      <c r="AM143" s="17"/>
      <c r="AN143" s="34">
        <v>2.0</v>
      </c>
      <c r="AO143" s="17"/>
      <c r="AP143" s="34">
        <v>2.0</v>
      </c>
      <c r="AQ143" s="17"/>
      <c r="AR143" s="34"/>
      <c r="AS143" s="17"/>
      <c r="AT143" s="34"/>
      <c r="AU143" s="17"/>
      <c r="AV143" s="34">
        <v>2.0</v>
      </c>
      <c r="AW143" s="17"/>
      <c r="AX143" s="34">
        <v>2.0</v>
      </c>
      <c r="AY143" s="17"/>
      <c r="AZ143" s="34"/>
      <c r="BA143" s="17"/>
      <c r="BB143" s="34">
        <v>2.0</v>
      </c>
      <c r="BC143" s="17"/>
      <c r="BD143" s="34">
        <v>2.0</v>
      </c>
      <c r="BE143" s="17"/>
      <c r="BF143" s="34"/>
      <c r="BG143" s="17"/>
      <c r="BH143" s="34">
        <v>2.0</v>
      </c>
      <c r="BI143" s="17"/>
      <c r="BJ143" s="34">
        <v>2.0</v>
      </c>
      <c r="BK143" s="17"/>
      <c r="BL143" s="34">
        <v>2.0</v>
      </c>
      <c r="BM143" s="17"/>
      <c r="BN143" s="34">
        <v>5.0</v>
      </c>
      <c r="BO143" s="17"/>
    </row>
    <row r="144">
      <c r="A144" s="40"/>
      <c r="B144" s="41"/>
      <c r="C144" s="37"/>
      <c r="D144" s="37"/>
      <c r="E144" s="38"/>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row>
    <row r="145">
      <c r="A145" s="40"/>
      <c r="B145" s="41"/>
      <c r="C145" s="37"/>
      <c r="D145" s="37"/>
      <c r="E145" s="38"/>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row>
    <row r="146">
      <c r="A146" s="40"/>
      <c r="B146" s="41"/>
      <c r="C146" s="37"/>
      <c r="D146" s="37"/>
      <c r="E146" s="38"/>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row>
    <row r="147">
      <c r="A147" s="40"/>
      <c r="B147" s="41"/>
      <c r="C147" s="37"/>
      <c r="D147" s="37"/>
      <c r="E147" s="38"/>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row>
    <row r="148">
      <c r="A148" s="40"/>
      <c r="B148" s="41"/>
      <c r="C148" s="37"/>
      <c r="D148" s="37"/>
      <c r="E148" s="38"/>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row>
    <row r="149">
      <c r="A149" s="40"/>
      <c r="B149" s="41"/>
      <c r="C149" s="37"/>
      <c r="D149" s="37"/>
      <c r="E149" s="38"/>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row>
    <row r="150">
      <c r="A150" s="40"/>
      <c r="B150" s="41"/>
      <c r="C150" s="37"/>
      <c r="D150" s="37"/>
      <c r="E150" s="38"/>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row>
    <row r="151">
      <c r="A151" s="40"/>
      <c r="B151" s="41"/>
      <c r="C151" s="37"/>
      <c r="D151" s="37"/>
      <c r="E151" s="38"/>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row>
    <row r="152">
      <c r="A152" s="40"/>
      <c r="B152" s="41"/>
      <c r="C152" s="37"/>
      <c r="D152" s="37"/>
      <c r="E152" s="38"/>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row>
    <row r="153">
      <c r="A153" s="40"/>
      <c r="B153" s="41"/>
      <c r="C153" s="37"/>
      <c r="D153" s="37"/>
      <c r="E153" s="38"/>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row>
    <row r="154">
      <c r="A154" s="40"/>
      <c r="B154" s="41"/>
      <c r="C154" s="37"/>
      <c r="D154" s="37"/>
      <c r="E154" s="38"/>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row>
    <row r="155">
      <c r="A155" s="40"/>
      <c r="B155" s="41"/>
      <c r="C155" s="37"/>
      <c r="D155" s="37"/>
      <c r="E155" s="38"/>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row>
    <row r="156">
      <c r="A156" s="40"/>
      <c r="B156" s="41"/>
      <c r="C156" s="37"/>
      <c r="D156" s="37"/>
      <c r="E156" s="38"/>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row>
    <row r="157">
      <c r="A157" s="40"/>
      <c r="B157" s="41"/>
      <c r="C157" s="37"/>
      <c r="D157" s="37"/>
      <c r="E157" s="38"/>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row>
    <row r="158">
      <c r="A158" s="40"/>
      <c r="B158" s="41"/>
      <c r="C158" s="37"/>
      <c r="D158" s="37"/>
      <c r="E158" s="38"/>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row>
    <row r="159">
      <c r="A159" s="40"/>
      <c r="B159" s="41"/>
      <c r="C159" s="37"/>
      <c r="D159" s="37"/>
      <c r="E159" s="38"/>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row>
    <row r="160">
      <c r="A160" s="40"/>
      <c r="B160" s="41"/>
      <c r="C160" s="37"/>
      <c r="D160" s="37"/>
      <c r="E160" s="38"/>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row>
    <row r="161">
      <c r="A161" s="40"/>
      <c r="B161" s="41"/>
      <c r="C161" s="37"/>
      <c r="D161" s="37"/>
      <c r="E161" s="38"/>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row>
    <row r="162">
      <c r="A162" s="40"/>
      <c r="B162" s="41"/>
      <c r="C162" s="37"/>
      <c r="D162" s="37"/>
      <c r="E162" s="38"/>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row>
    <row r="163">
      <c r="A163" s="40"/>
      <c r="B163" s="41"/>
      <c r="C163" s="37"/>
      <c r="D163" s="37"/>
      <c r="E163" s="38"/>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row>
    <row r="164">
      <c r="A164" s="40"/>
      <c r="B164" s="41"/>
      <c r="C164" s="37"/>
      <c r="D164" s="37"/>
      <c r="E164" s="38"/>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row>
    <row r="165">
      <c r="A165" s="40"/>
      <c r="B165" s="41"/>
      <c r="C165" s="37"/>
      <c r="D165" s="37"/>
      <c r="E165" s="38"/>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row>
    <row r="166">
      <c r="A166" s="40"/>
      <c r="B166" s="41"/>
      <c r="C166" s="37"/>
      <c r="D166" s="37"/>
      <c r="E166" s="38"/>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row>
    <row r="167">
      <c r="A167" s="40"/>
      <c r="B167" s="41"/>
      <c r="C167" s="37"/>
      <c r="D167" s="37"/>
      <c r="E167" s="38"/>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row>
    <row r="168">
      <c r="A168" s="40"/>
      <c r="B168" s="41"/>
      <c r="C168" s="37"/>
      <c r="D168" s="37"/>
      <c r="E168" s="38"/>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row>
    <row r="169">
      <c r="A169" s="40"/>
      <c r="B169" s="41"/>
      <c r="C169" s="37"/>
      <c r="D169" s="37"/>
      <c r="E169" s="38"/>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row>
    <row r="170">
      <c r="A170" s="40"/>
      <c r="B170" s="41"/>
      <c r="C170" s="37"/>
      <c r="D170" s="37"/>
      <c r="E170" s="38"/>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row>
    <row r="171">
      <c r="A171" s="40"/>
      <c r="B171" s="41"/>
      <c r="C171" s="37"/>
      <c r="D171" s="37"/>
      <c r="E171" s="38"/>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row>
    <row r="172">
      <c r="A172" s="40"/>
      <c r="B172" s="41"/>
      <c r="C172" s="37"/>
      <c r="D172" s="37"/>
      <c r="E172" s="38"/>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row>
    <row r="173">
      <c r="A173" s="40"/>
      <c r="B173" s="41"/>
      <c r="C173" s="37"/>
      <c r="D173" s="37"/>
      <c r="E173" s="38"/>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row>
    <row r="174">
      <c r="A174" s="40"/>
      <c r="B174" s="41"/>
      <c r="C174" s="37"/>
      <c r="D174" s="37"/>
      <c r="E174" s="38"/>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row>
    <row r="175">
      <c r="A175" s="40"/>
      <c r="B175" s="41"/>
      <c r="C175" s="37"/>
      <c r="D175" s="37"/>
      <c r="E175" s="38"/>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row>
    <row r="176">
      <c r="A176" s="40"/>
      <c r="B176" s="41"/>
      <c r="C176" s="37"/>
      <c r="D176" s="37"/>
      <c r="E176" s="38"/>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row>
    <row r="177">
      <c r="A177" s="40"/>
      <c r="B177" s="41"/>
      <c r="C177" s="37"/>
      <c r="D177" s="37"/>
      <c r="E177" s="38"/>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row>
    <row r="178">
      <c r="A178" s="40"/>
      <c r="B178" s="41"/>
      <c r="C178" s="37"/>
      <c r="D178" s="37"/>
      <c r="E178" s="38"/>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row>
    <row r="179">
      <c r="A179" s="40"/>
      <c r="B179" s="41"/>
      <c r="C179" s="37"/>
      <c r="D179" s="37"/>
      <c r="E179" s="38"/>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row>
    <row r="180">
      <c r="A180" s="40"/>
      <c r="B180" s="41"/>
      <c r="C180" s="37"/>
      <c r="D180" s="37"/>
      <c r="E180" s="38"/>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row>
    <row r="181">
      <c r="A181" s="40"/>
      <c r="B181" s="41"/>
      <c r="C181" s="37"/>
      <c r="D181" s="37"/>
      <c r="E181" s="38"/>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row>
    <row r="182">
      <c r="A182" s="40"/>
      <c r="B182" s="41"/>
      <c r="C182" s="37"/>
      <c r="D182" s="37"/>
      <c r="E182" s="38"/>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row>
    <row r="183">
      <c r="A183" s="40"/>
      <c r="B183" s="41"/>
      <c r="C183" s="37"/>
      <c r="D183" s="37"/>
      <c r="E183" s="38"/>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row>
    <row r="184">
      <c r="A184" s="40"/>
      <c r="B184" s="41"/>
      <c r="C184" s="37"/>
      <c r="D184" s="37"/>
      <c r="E184" s="38"/>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row>
    <row r="185">
      <c r="A185" s="40"/>
      <c r="B185" s="41"/>
      <c r="C185" s="37"/>
      <c r="D185" s="37"/>
      <c r="E185" s="38"/>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row>
    <row r="186">
      <c r="A186" s="40"/>
      <c r="B186" s="41"/>
      <c r="C186" s="37"/>
      <c r="D186" s="37"/>
      <c r="E186" s="38"/>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row>
    <row r="187">
      <c r="A187" s="40"/>
      <c r="B187" s="41"/>
      <c r="C187" s="37"/>
      <c r="D187" s="37"/>
      <c r="E187" s="38"/>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row>
    <row r="188">
      <c r="A188" s="40"/>
      <c r="B188" s="41"/>
      <c r="C188" s="37"/>
      <c r="D188" s="37"/>
      <c r="E188" s="38"/>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row>
    <row r="189">
      <c r="A189" s="40"/>
      <c r="B189" s="41"/>
      <c r="C189" s="37"/>
      <c r="D189" s="37"/>
      <c r="E189" s="38"/>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row>
    <row r="190">
      <c r="A190" s="40"/>
      <c r="B190" s="41"/>
      <c r="C190" s="37"/>
      <c r="D190" s="37"/>
      <c r="E190" s="38"/>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row>
    <row r="191">
      <c r="A191" s="40"/>
      <c r="B191" s="41"/>
      <c r="C191" s="37"/>
      <c r="D191" s="37"/>
      <c r="E191" s="38"/>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row>
    <row r="192">
      <c r="A192" s="40"/>
      <c r="B192" s="41"/>
      <c r="C192" s="37"/>
      <c r="D192" s="37"/>
      <c r="E192" s="38"/>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row>
    <row r="193">
      <c r="A193" s="40"/>
      <c r="B193" s="41"/>
      <c r="C193" s="37"/>
      <c r="D193" s="37"/>
      <c r="E193" s="38"/>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row>
    <row r="194">
      <c r="A194" s="40"/>
      <c r="B194" s="41"/>
      <c r="C194" s="37"/>
      <c r="D194" s="37"/>
      <c r="E194" s="38"/>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row>
    <row r="195">
      <c r="A195" s="40"/>
      <c r="B195" s="41"/>
      <c r="C195" s="37"/>
      <c r="D195" s="37"/>
      <c r="E195" s="38"/>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row>
    <row r="196">
      <c r="A196" s="40"/>
      <c r="B196" s="41"/>
      <c r="C196" s="37"/>
      <c r="D196" s="37"/>
      <c r="E196" s="38"/>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row>
    <row r="197">
      <c r="A197" s="40"/>
      <c r="B197" s="41"/>
      <c r="C197" s="37"/>
      <c r="D197" s="37"/>
      <c r="E197" s="38"/>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row>
    <row r="198">
      <c r="A198" s="40"/>
      <c r="B198" s="41"/>
      <c r="C198" s="37"/>
      <c r="D198" s="37"/>
      <c r="E198" s="38"/>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row>
    <row r="199">
      <c r="A199" s="40"/>
      <c r="B199" s="41"/>
      <c r="C199" s="37"/>
      <c r="D199" s="37"/>
      <c r="E199" s="38"/>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row>
    <row r="200">
      <c r="A200" s="40"/>
      <c r="B200" s="41"/>
      <c r="C200" s="37"/>
      <c r="D200" s="37"/>
      <c r="E200" s="38"/>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row>
    <row r="201">
      <c r="A201" s="40"/>
      <c r="B201" s="41"/>
      <c r="C201" s="37"/>
      <c r="D201" s="37"/>
      <c r="E201" s="38"/>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row>
    <row r="202">
      <c r="A202" s="40"/>
      <c r="B202" s="41"/>
      <c r="C202" s="37"/>
      <c r="D202" s="37"/>
      <c r="E202" s="38"/>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row>
    <row r="203">
      <c r="A203" s="40"/>
      <c r="B203" s="41"/>
      <c r="C203" s="37"/>
      <c r="D203" s="37"/>
      <c r="E203" s="38"/>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row>
    <row r="204">
      <c r="A204" s="40"/>
      <c r="B204" s="41"/>
      <c r="C204" s="37"/>
      <c r="D204" s="37"/>
      <c r="E204" s="38"/>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row>
    <row r="205">
      <c r="A205" s="40"/>
      <c r="B205" s="41"/>
      <c r="C205" s="37"/>
      <c r="D205" s="37"/>
      <c r="E205" s="38"/>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row>
    <row r="206">
      <c r="A206" s="40"/>
      <c r="B206" s="41"/>
      <c r="C206" s="37"/>
      <c r="D206" s="37"/>
      <c r="E206" s="38"/>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row>
    <row r="207">
      <c r="A207" s="40"/>
      <c r="B207" s="41"/>
      <c r="C207" s="37"/>
      <c r="D207" s="37"/>
      <c r="E207" s="38"/>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row>
    <row r="208">
      <c r="A208" s="40"/>
      <c r="B208" s="41"/>
      <c r="C208" s="37"/>
      <c r="D208" s="37"/>
      <c r="E208" s="38"/>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row>
    <row r="209">
      <c r="A209" s="40"/>
      <c r="B209" s="41"/>
      <c r="C209" s="37"/>
      <c r="D209" s="37"/>
      <c r="E209" s="38"/>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row>
    <row r="210">
      <c r="A210" s="40"/>
      <c r="B210" s="41"/>
      <c r="C210" s="37"/>
      <c r="D210" s="37"/>
      <c r="E210" s="38"/>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row>
    <row r="211">
      <c r="A211" s="40"/>
      <c r="B211" s="41"/>
      <c r="C211" s="37"/>
      <c r="D211" s="37"/>
      <c r="E211" s="38"/>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row>
    <row r="212">
      <c r="A212" s="40"/>
      <c r="B212" s="41"/>
      <c r="C212" s="37"/>
      <c r="D212" s="37"/>
      <c r="E212" s="38"/>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row>
    <row r="213">
      <c r="A213" s="40"/>
      <c r="B213" s="41"/>
      <c r="C213" s="37"/>
      <c r="D213" s="37"/>
      <c r="E213" s="38"/>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row>
    <row r="214">
      <c r="A214" s="40"/>
      <c r="B214" s="41"/>
      <c r="C214" s="37"/>
      <c r="D214" s="37"/>
      <c r="E214" s="38"/>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row>
    <row r="215">
      <c r="A215" s="40"/>
      <c r="B215" s="41"/>
      <c r="C215" s="37"/>
      <c r="D215" s="37"/>
      <c r="E215" s="38"/>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row>
    <row r="216">
      <c r="A216" s="40"/>
      <c r="B216" s="41"/>
      <c r="C216" s="37"/>
      <c r="D216" s="37"/>
      <c r="E216" s="38"/>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row>
    <row r="217">
      <c r="A217" s="40"/>
      <c r="B217" s="41"/>
      <c r="C217" s="37"/>
      <c r="D217" s="37"/>
      <c r="E217" s="38"/>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row>
    <row r="218">
      <c r="A218" s="40"/>
      <c r="B218" s="41"/>
      <c r="C218" s="37"/>
      <c r="D218" s="37"/>
      <c r="E218" s="38"/>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row>
    <row r="219">
      <c r="A219" s="40"/>
      <c r="B219" s="41"/>
      <c r="C219" s="37"/>
      <c r="D219" s="37"/>
      <c r="E219" s="38"/>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row>
    <row r="220">
      <c r="A220" s="40"/>
      <c r="B220" s="41"/>
      <c r="C220" s="37"/>
      <c r="D220" s="37"/>
      <c r="E220" s="38"/>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row>
    <row r="221">
      <c r="A221" s="40"/>
      <c r="B221" s="41"/>
      <c r="C221" s="37"/>
      <c r="D221" s="37"/>
      <c r="E221" s="38"/>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row>
    <row r="222">
      <c r="A222" s="40"/>
      <c r="B222" s="41"/>
      <c r="C222" s="37"/>
      <c r="D222" s="37"/>
      <c r="E222" s="38"/>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row>
    <row r="223">
      <c r="A223" s="40"/>
      <c r="B223" s="41"/>
      <c r="C223" s="37"/>
      <c r="D223" s="37"/>
      <c r="E223" s="38"/>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row>
    <row r="224">
      <c r="A224" s="40"/>
      <c r="B224" s="41"/>
      <c r="C224" s="37"/>
      <c r="D224" s="37"/>
      <c r="E224" s="38"/>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row>
    <row r="225">
      <c r="A225" s="40"/>
      <c r="B225" s="41"/>
      <c r="C225" s="37"/>
      <c r="D225" s="37"/>
      <c r="E225" s="38"/>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row>
    <row r="226">
      <c r="A226" s="40"/>
      <c r="B226" s="41"/>
      <c r="C226" s="37"/>
      <c r="D226" s="37"/>
      <c r="E226" s="38"/>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row>
    <row r="227">
      <c r="A227" s="40"/>
      <c r="B227" s="41"/>
      <c r="C227" s="37"/>
      <c r="D227" s="37"/>
      <c r="E227" s="38"/>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row>
    <row r="228">
      <c r="A228" s="40"/>
      <c r="B228" s="41"/>
      <c r="C228" s="37"/>
      <c r="D228" s="37"/>
      <c r="E228" s="38"/>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row>
    <row r="229">
      <c r="A229" s="40"/>
      <c r="B229" s="41"/>
      <c r="C229" s="37"/>
      <c r="D229" s="37"/>
      <c r="E229" s="38"/>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row>
    <row r="230">
      <c r="A230" s="40"/>
      <c r="B230" s="41"/>
      <c r="C230" s="37"/>
      <c r="D230" s="37"/>
      <c r="E230" s="38"/>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row>
    <row r="231">
      <c r="A231" s="40"/>
      <c r="B231" s="41"/>
      <c r="C231" s="37"/>
      <c r="D231" s="37"/>
      <c r="E231" s="38"/>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row>
    <row r="232">
      <c r="A232" s="40"/>
      <c r="B232" s="41"/>
      <c r="C232" s="37"/>
      <c r="D232" s="37"/>
      <c r="E232" s="38"/>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row>
    <row r="233">
      <c r="A233" s="40"/>
      <c r="B233" s="41"/>
      <c r="C233" s="37"/>
      <c r="D233" s="37"/>
      <c r="E233" s="38"/>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row>
    <row r="234">
      <c r="A234" s="40"/>
      <c r="B234" s="41"/>
      <c r="C234" s="37"/>
      <c r="D234" s="37"/>
      <c r="E234" s="38"/>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row>
    <row r="235">
      <c r="A235" s="40"/>
      <c r="B235" s="41"/>
      <c r="C235" s="37"/>
      <c r="D235" s="37"/>
      <c r="E235" s="38"/>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row>
    <row r="236">
      <c r="A236" s="40"/>
      <c r="B236" s="41"/>
      <c r="C236" s="37"/>
      <c r="D236" s="37"/>
      <c r="E236" s="38"/>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row>
    <row r="237">
      <c r="A237" s="40"/>
      <c r="B237" s="41"/>
      <c r="C237" s="37"/>
      <c r="D237" s="37"/>
      <c r="E237" s="38"/>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row>
    <row r="238">
      <c r="A238" s="40"/>
      <c r="B238" s="41"/>
      <c r="C238" s="37"/>
      <c r="D238" s="37"/>
      <c r="E238" s="38"/>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row>
    <row r="239">
      <c r="A239" s="40"/>
      <c r="B239" s="41"/>
      <c r="C239" s="37"/>
      <c r="D239" s="37"/>
      <c r="E239" s="38"/>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row>
    <row r="240">
      <c r="A240" s="40"/>
      <c r="B240" s="41"/>
      <c r="C240" s="37"/>
      <c r="D240" s="37"/>
      <c r="E240" s="38"/>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row>
    <row r="241">
      <c r="A241" s="40"/>
      <c r="B241" s="41"/>
      <c r="C241" s="37"/>
      <c r="D241" s="37"/>
      <c r="E241" s="38"/>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row>
    <row r="242">
      <c r="A242" s="40"/>
      <c r="B242" s="41"/>
      <c r="C242" s="37"/>
      <c r="D242" s="37"/>
      <c r="E242" s="38"/>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row>
    <row r="243">
      <c r="A243" s="40"/>
      <c r="B243" s="41"/>
      <c r="C243" s="37"/>
      <c r="D243" s="37"/>
      <c r="E243" s="38"/>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c r="BA243" s="37"/>
      <c r="BB243" s="37"/>
      <c r="BC243" s="37"/>
      <c r="BD243" s="37"/>
      <c r="BE243" s="37"/>
      <c r="BF243" s="37"/>
      <c r="BG243" s="37"/>
      <c r="BH243" s="37"/>
      <c r="BI243" s="37"/>
      <c r="BJ243" s="37"/>
      <c r="BK243" s="37"/>
      <c r="BL243" s="37"/>
      <c r="BM243" s="37"/>
      <c r="BN243" s="37"/>
      <c r="BO243" s="37"/>
    </row>
    <row r="244">
      <c r="A244" s="40"/>
      <c r="B244" s="41"/>
      <c r="C244" s="37"/>
      <c r="D244" s="37"/>
      <c r="E244" s="38"/>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c r="BA244" s="37"/>
      <c r="BB244" s="37"/>
      <c r="BC244" s="37"/>
      <c r="BD244" s="37"/>
      <c r="BE244" s="37"/>
      <c r="BF244" s="37"/>
      <c r="BG244" s="37"/>
      <c r="BH244" s="37"/>
      <c r="BI244" s="37"/>
      <c r="BJ244" s="37"/>
      <c r="BK244" s="37"/>
      <c r="BL244" s="37"/>
      <c r="BM244" s="37"/>
      <c r="BN244" s="37"/>
      <c r="BO244" s="37"/>
    </row>
    <row r="245">
      <c r="A245" s="40"/>
      <c r="B245" s="41"/>
      <c r="C245" s="37"/>
      <c r="D245" s="37"/>
      <c r="E245" s="38"/>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c r="BA245" s="37"/>
      <c r="BB245" s="37"/>
      <c r="BC245" s="37"/>
      <c r="BD245" s="37"/>
      <c r="BE245" s="37"/>
      <c r="BF245" s="37"/>
      <c r="BG245" s="37"/>
      <c r="BH245" s="37"/>
      <c r="BI245" s="37"/>
      <c r="BJ245" s="37"/>
      <c r="BK245" s="37"/>
      <c r="BL245" s="37"/>
      <c r="BM245" s="37"/>
      <c r="BN245" s="37"/>
      <c r="BO245" s="37"/>
    </row>
    <row r="246">
      <c r="A246" s="40"/>
      <c r="B246" s="41"/>
      <c r="C246" s="37"/>
      <c r="D246" s="37"/>
      <c r="E246" s="38"/>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row>
    <row r="247">
      <c r="A247" s="40"/>
      <c r="B247" s="41"/>
      <c r="C247" s="37"/>
      <c r="D247" s="37"/>
      <c r="E247" s="38"/>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c r="BA247" s="37"/>
      <c r="BB247" s="37"/>
      <c r="BC247" s="37"/>
      <c r="BD247" s="37"/>
      <c r="BE247" s="37"/>
      <c r="BF247" s="37"/>
      <c r="BG247" s="37"/>
      <c r="BH247" s="37"/>
      <c r="BI247" s="37"/>
      <c r="BJ247" s="37"/>
      <c r="BK247" s="37"/>
      <c r="BL247" s="37"/>
      <c r="BM247" s="37"/>
      <c r="BN247" s="37"/>
      <c r="BO247" s="37"/>
    </row>
    <row r="248">
      <c r="A248" s="40"/>
      <c r="B248" s="41"/>
      <c r="C248" s="37"/>
      <c r="D248" s="37"/>
      <c r="E248" s="38"/>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row>
    <row r="249">
      <c r="A249" s="40"/>
      <c r="B249" s="41"/>
      <c r="C249" s="37"/>
      <c r="D249" s="37"/>
      <c r="E249" s="38"/>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row>
    <row r="250">
      <c r="A250" s="40"/>
      <c r="B250" s="41"/>
      <c r="C250" s="37"/>
      <c r="D250" s="37"/>
      <c r="E250" s="38"/>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row>
    <row r="251">
      <c r="A251" s="40"/>
      <c r="B251" s="41"/>
      <c r="C251" s="37"/>
      <c r="D251" s="37"/>
      <c r="E251" s="38"/>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row>
    <row r="252">
      <c r="A252" s="40"/>
      <c r="B252" s="41"/>
      <c r="C252" s="37"/>
      <c r="D252" s="37"/>
      <c r="E252" s="38"/>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row>
    <row r="253">
      <c r="A253" s="40"/>
      <c r="B253" s="41"/>
      <c r="C253" s="37"/>
      <c r="D253" s="37"/>
      <c r="E253" s="38"/>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row>
    <row r="254">
      <c r="A254" s="40"/>
      <c r="B254" s="41"/>
      <c r="C254" s="37"/>
      <c r="D254" s="37"/>
      <c r="E254" s="38"/>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row>
    <row r="255">
      <c r="A255" s="40"/>
      <c r="B255" s="41"/>
      <c r="C255" s="37"/>
      <c r="D255" s="37"/>
      <c r="E255" s="38"/>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row>
    <row r="256">
      <c r="A256" s="40"/>
      <c r="B256" s="41"/>
      <c r="C256" s="37"/>
      <c r="D256" s="37"/>
      <c r="E256" s="38"/>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row>
    <row r="257">
      <c r="A257" s="40"/>
      <c r="B257" s="41"/>
      <c r="C257" s="37"/>
      <c r="D257" s="37"/>
      <c r="E257" s="38"/>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row>
    <row r="258">
      <c r="A258" s="40"/>
      <c r="B258" s="41"/>
      <c r="C258" s="37"/>
      <c r="D258" s="37"/>
      <c r="E258" s="38"/>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row>
    <row r="259">
      <c r="A259" s="40"/>
      <c r="B259" s="41"/>
      <c r="C259" s="37"/>
      <c r="D259" s="37"/>
      <c r="E259" s="38"/>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c r="BA259" s="37"/>
      <c r="BB259" s="37"/>
      <c r="BC259" s="37"/>
      <c r="BD259" s="37"/>
      <c r="BE259" s="37"/>
      <c r="BF259" s="37"/>
      <c r="BG259" s="37"/>
      <c r="BH259" s="37"/>
      <c r="BI259" s="37"/>
      <c r="BJ259" s="37"/>
      <c r="BK259" s="37"/>
      <c r="BL259" s="37"/>
      <c r="BM259" s="37"/>
      <c r="BN259" s="37"/>
      <c r="BO259" s="37"/>
    </row>
    <row r="260">
      <c r="A260" s="40"/>
      <c r="B260" s="41"/>
      <c r="C260" s="37"/>
      <c r="D260" s="37"/>
      <c r="E260" s="38"/>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c r="BA260" s="37"/>
      <c r="BB260" s="37"/>
      <c r="BC260" s="37"/>
      <c r="BD260" s="37"/>
      <c r="BE260" s="37"/>
      <c r="BF260" s="37"/>
      <c r="BG260" s="37"/>
      <c r="BH260" s="37"/>
      <c r="BI260" s="37"/>
      <c r="BJ260" s="37"/>
      <c r="BK260" s="37"/>
      <c r="BL260" s="37"/>
      <c r="BM260" s="37"/>
      <c r="BN260" s="37"/>
      <c r="BO260" s="37"/>
    </row>
    <row r="261">
      <c r="A261" s="40"/>
      <c r="B261" s="41"/>
      <c r="C261" s="37"/>
      <c r="D261" s="37"/>
      <c r="E261" s="38"/>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c r="BA261" s="37"/>
      <c r="BB261" s="37"/>
      <c r="BC261" s="37"/>
      <c r="BD261" s="37"/>
      <c r="BE261" s="37"/>
      <c r="BF261" s="37"/>
      <c r="BG261" s="37"/>
      <c r="BH261" s="37"/>
      <c r="BI261" s="37"/>
      <c r="BJ261" s="37"/>
      <c r="BK261" s="37"/>
      <c r="BL261" s="37"/>
      <c r="BM261" s="37"/>
      <c r="BN261" s="37"/>
      <c r="BO261" s="37"/>
    </row>
    <row r="262">
      <c r="A262" s="40"/>
      <c r="B262" s="41"/>
      <c r="C262" s="37"/>
      <c r="D262" s="37"/>
      <c r="E262" s="38"/>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c r="BA262" s="37"/>
      <c r="BB262" s="37"/>
      <c r="BC262" s="37"/>
      <c r="BD262" s="37"/>
      <c r="BE262" s="37"/>
      <c r="BF262" s="37"/>
      <c r="BG262" s="37"/>
      <c r="BH262" s="37"/>
      <c r="BI262" s="37"/>
      <c r="BJ262" s="37"/>
      <c r="BK262" s="37"/>
      <c r="BL262" s="37"/>
      <c r="BM262" s="37"/>
      <c r="BN262" s="37"/>
      <c r="BO262" s="37"/>
    </row>
    <row r="263">
      <c r="A263" s="40"/>
      <c r="B263" s="41"/>
      <c r="C263" s="37"/>
      <c r="D263" s="37"/>
      <c r="E263" s="38"/>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c r="BA263" s="37"/>
      <c r="BB263" s="37"/>
      <c r="BC263" s="37"/>
      <c r="BD263" s="37"/>
      <c r="BE263" s="37"/>
      <c r="BF263" s="37"/>
      <c r="BG263" s="37"/>
      <c r="BH263" s="37"/>
      <c r="BI263" s="37"/>
      <c r="BJ263" s="37"/>
      <c r="BK263" s="37"/>
      <c r="BL263" s="37"/>
      <c r="BM263" s="37"/>
      <c r="BN263" s="37"/>
      <c r="BO263" s="37"/>
    </row>
    <row r="264">
      <c r="A264" s="40"/>
      <c r="B264" s="41"/>
      <c r="C264" s="37"/>
      <c r="D264" s="37"/>
      <c r="E264" s="38"/>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c r="BA264" s="37"/>
      <c r="BB264" s="37"/>
      <c r="BC264" s="37"/>
      <c r="BD264" s="37"/>
      <c r="BE264" s="37"/>
      <c r="BF264" s="37"/>
      <c r="BG264" s="37"/>
      <c r="BH264" s="37"/>
      <c r="BI264" s="37"/>
      <c r="BJ264" s="37"/>
      <c r="BK264" s="37"/>
      <c r="BL264" s="37"/>
      <c r="BM264" s="37"/>
      <c r="BN264" s="37"/>
      <c r="BO264" s="37"/>
    </row>
    <row r="265">
      <c r="A265" s="40"/>
      <c r="B265" s="41"/>
      <c r="C265" s="37"/>
      <c r="D265" s="37"/>
      <c r="E265" s="38"/>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c r="BA265" s="37"/>
      <c r="BB265" s="37"/>
      <c r="BC265" s="37"/>
      <c r="BD265" s="37"/>
      <c r="BE265" s="37"/>
      <c r="BF265" s="37"/>
      <c r="BG265" s="37"/>
      <c r="BH265" s="37"/>
      <c r="BI265" s="37"/>
      <c r="BJ265" s="37"/>
      <c r="BK265" s="37"/>
      <c r="BL265" s="37"/>
      <c r="BM265" s="37"/>
      <c r="BN265" s="37"/>
      <c r="BO265" s="37"/>
    </row>
    <row r="266">
      <c r="A266" s="40"/>
      <c r="B266" s="41"/>
      <c r="C266" s="37"/>
      <c r="D266" s="37"/>
      <c r="E266" s="38"/>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c r="BA266" s="37"/>
      <c r="BB266" s="37"/>
      <c r="BC266" s="37"/>
      <c r="BD266" s="37"/>
      <c r="BE266" s="37"/>
      <c r="BF266" s="37"/>
      <c r="BG266" s="37"/>
      <c r="BH266" s="37"/>
      <c r="BI266" s="37"/>
      <c r="BJ266" s="37"/>
      <c r="BK266" s="37"/>
      <c r="BL266" s="37"/>
      <c r="BM266" s="37"/>
      <c r="BN266" s="37"/>
      <c r="BO266" s="37"/>
    </row>
    <row r="267">
      <c r="A267" s="40"/>
      <c r="B267" s="41"/>
      <c r="C267" s="37"/>
      <c r="D267" s="37"/>
      <c r="E267" s="38"/>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c r="BA267" s="37"/>
      <c r="BB267" s="37"/>
      <c r="BC267" s="37"/>
      <c r="BD267" s="37"/>
      <c r="BE267" s="37"/>
      <c r="BF267" s="37"/>
      <c r="BG267" s="37"/>
      <c r="BH267" s="37"/>
      <c r="BI267" s="37"/>
      <c r="BJ267" s="37"/>
      <c r="BK267" s="37"/>
      <c r="BL267" s="37"/>
      <c r="BM267" s="37"/>
      <c r="BN267" s="37"/>
      <c r="BO267" s="37"/>
    </row>
    <row r="268">
      <c r="A268" s="40"/>
      <c r="B268" s="41"/>
      <c r="C268" s="37"/>
      <c r="D268" s="37"/>
      <c r="E268" s="38"/>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row>
    <row r="269">
      <c r="A269" s="40"/>
      <c r="B269" s="41"/>
      <c r="C269" s="37"/>
      <c r="D269" s="37"/>
      <c r="E269" s="38"/>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c r="BA269" s="37"/>
      <c r="BB269" s="37"/>
      <c r="BC269" s="37"/>
      <c r="BD269" s="37"/>
      <c r="BE269" s="37"/>
      <c r="BF269" s="37"/>
      <c r="BG269" s="37"/>
      <c r="BH269" s="37"/>
      <c r="BI269" s="37"/>
      <c r="BJ269" s="37"/>
      <c r="BK269" s="37"/>
      <c r="BL269" s="37"/>
      <c r="BM269" s="37"/>
      <c r="BN269" s="37"/>
      <c r="BO269" s="37"/>
    </row>
    <row r="270">
      <c r="A270" s="40"/>
      <c r="B270" s="41"/>
      <c r="C270" s="37"/>
      <c r="D270" s="37"/>
      <c r="E270" s="38"/>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c r="BA270" s="37"/>
      <c r="BB270" s="37"/>
      <c r="BC270" s="37"/>
      <c r="BD270" s="37"/>
      <c r="BE270" s="37"/>
      <c r="BF270" s="37"/>
      <c r="BG270" s="37"/>
      <c r="BH270" s="37"/>
      <c r="BI270" s="37"/>
      <c r="BJ270" s="37"/>
      <c r="BK270" s="37"/>
      <c r="BL270" s="37"/>
      <c r="BM270" s="37"/>
      <c r="BN270" s="37"/>
      <c r="BO270" s="37"/>
    </row>
    <row r="271">
      <c r="A271" s="40"/>
      <c r="B271" s="41"/>
      <c r="C271" s="37"/>
      <c r="D271" s="37"/>
      <c r="E271" s="38"/>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c r="BA271" s="37"/>
      <c r="BB271" s="37"/>
      <c r="BC271" s="37"/>
      <c r="BD271" s="37"/>
      <c r="BE271" s="37"/>
      <c r="BF271" s="37"/>
      <c r="BG271" s="37"/>
      <c r="BH271" s="37"/>
      <c r="BI271" s="37"/>
      <c r="BJ271" s="37"/>
      <c r="BK271" s="37"/>
      <c r="BL271" s="37"/>
      <c r="BM271" s="37"/>
      <c r="BN271" s="37"/>
      <c r="BO271" s="37"/>
    </row>
    <row r="272">
      <c r="A272" s="40"/>
      <c r="B272" s="41"/>
      <c r="C272" s="37"/>
      <c r="D272" s="37"/>
      <c r="E272" s="38"/>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c r="BA272" s="37"/>
      <c r="BB272" s="37"/>
      <c r="BC272" s="37"/>
      <c r="BD272" s="37"/>
      <c r="BE272" s="37"/>
      <c r="BF272" s="37"/>
      <c r="BG272" s="37"/>
      <c r="BH272" s="37"/>
      <c r="BI272" s="37"/>
      <c r="BJ272" s="37"/>
      <c r="BK272" s="37"/>
      <c r="BL272" s="37"/>
      <c r="BM272" s="37"/>
      <c r="BN272" s="37"/>
      <c r="BO272" s="37"/>
    </row>
    <row r="273">
      <c r="A273" s="40"/>
      <c r="B273" s="41"/>
      <c r="C273" s="37"/>
      <c r="D273" s="37"/>
      <c r="E273" s="38"/>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row>
    <row r="274">
      <c r="A274" s="40"/>
      <c r="B274" s="41"/>
      <c r="C274" s="37"/>
      <c r="D274" s="37"/>
      <c r="E274" s="38"/>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c r="BA274" s="37"/>
      <c r="BB274" s="37"/>
      <c r="BC274" s="37"/>
      <c r="BD274" s="37"/>
      <c r="BE274" s="37"/>
      <c r="BF274" s="37"/>
      <c r="BG274" s="37"/>
      <c r="BH274" s="37"/>
      <c r="BI274" s="37"/>
      <c r="BJ274" s="37"/>
      <c r="BK274" s="37"/>
      <c r="BL274" s="37"/>
      <c r="BM274" s="37"/>
      <c r="BN274" s="37"/>
      <c r="BO274" s="37"/>
    </row>
    <row r="275">
      <c r="A275" s="40"/>
      <c r="B275" s="41"/>
      <c r="C275" s="37"/>
      <c r="D275" s="37"/>
      <c r="E275" s="38"/>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c r="BA275" s="37"/>
      <c r="BB275" s="37"/>
      <c r="BC275" s="37"/>
      <c r="BD275" s="37"/>
      <c r="BE275" s="37"/>
      <c r="BF275" s="37"/>
      <c r="BG275" s="37"/>
      <c r="BH275" s="37"/>
      <c r="BI275" s="37"/>
      <c r="BJ275" s="37"/>
      <c r="BK275" s="37"/>
      <c r="BL275" s="37"/>
      <c r="BM275" s="37"/>
      <c r="BN275" s="37"/>
      <c r="BO275" s="37"/>
    </row>
    <row r="276">
      <c r="A276" s="40"/>
      <c r="B276" s="41"/>
      <c r="C276" s="37"/>
      <c r="D276" s="37"/>
      <c r="E276" s="38"/>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c r="BA276" s="37"/>
      <c r="BB276" s="37"/>
      <c r="BC276" s="37"/>
      <c r="BD276" s="37"/>
      <c r="BE276" s="37"/>
      <c r="BF276" s="37"/>
      <c r="BG276" s="37"/>
      <c r="BH276" s="37"/>
      <c r="BI276" s="37"/>
      <c r="BJ276" s="37"/>
      <c r="BK276" s="37"/>
      <c r="BL276" s="37"/>
      <c r="BM276" s="37"/>
      <c r="BN276" s="37"/>
      <c r="BO276" s="37"/>
    </row>
    <row r="277">
      <c r="A277" s="40"/>
      <c r="B277" s="41"/>
      <c r="C277" s="37"/>
      <c r="D277" s="37"/>
      <c r="E277" s="38"/>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row>
    <row r="278">
      <c r="A278" s="40"/>
      <c r="B278" s="41"/>
      <c r="C278" s="37"/>
      <c r="D278" s="37"/>
      <c r="E278" s="38"/>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c r="BA278" s="37"/>
      <c r="BB278" s="37"/>
      <c r="BC278" s="37"/>
      <c r="BD278" s="37"/>
      <c r="BE278" s="37"/>
      <c r="BF278" s="37"/>
      <c r="BG278" s="37"/>
      <c r="BH278" s="37"/>
      <c r="BI278" s="37"/>
      <c r="BJ278" s="37"/>
      <c r="BK278" s="37"/>
      <c r="BL278" s="37"/>
      <c r="BM278" s="37"/>
      <c r="BN278" s="37"/>
      <c r="BO278" s="37"/>
    </row>
    <row r="279">
      <c r="A279" s="40"/>
      <c r="B279" s="41"/>
      <c r="C279" s="37"/>
      <c r="D279" s="37"/>
      <c r="E279" s="38"/>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c r="BA279" s="37"/>
      <c r="BB279" s="37"/>
      <c r="BC279" s="37"/>
      <c r="BD279" s="37"/>
      <c r="BE279" s="37"/>
      <c r="BF279" s="37"/>
      <c r="BG279" s="37"/>
      <c r="BH279" s="37"/>
      <c r="BI279" s="37"/>
      <c r="BJ279" s="37"/>
      <c r="BK279" s="37"/>
      <c r="BL279" s="37"/>
      <c r="BM279" s="37"/>
      <c r="BN279" s="37"/>
      <c r="BO279" s="37"/>
    </row>
    <row r="280">
      <c r="A280" s="40"/>
      <c r="B280" s="41"/>
      <c r="C280" s="37"/>
      <c r="D280" s="37"/>
      <c r="E280" s="38"/>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c r="BA280" s="37"/>
      <c r="BB280" s="37"/>
      <c r="BC280" s="37"/>
      <c r="BD280" s="37"/>
      <c r="BE280" s="37"/>
      <c r="BF280" s="37"/>
      <c r="BG280" s="37"/>
      <c r="BH280" s="37"/>
      <c r="BI280" s="37"/>
      <c r="BJ280" s="37"/>
      <c r="BK280" s="37"/>
      <c r="BL280" s="37"/>
      <c r="BM280" s="37"/>
      <c r="BN280" s="37"/>
      <c r="BO280" s="37"/>
    </row>
    <row r="281">
      <c r="A281" s="40"/>
      <c r="B281" s="41"/>
      <c r="C281" s="37"/>
      <c r="D281" s="37"/>
      <c r="E281" s="38"/>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c r="BA281" s="37"/>
      <c r="BB281" s="37"/>
      <c r="BC281" s="37"/>
      <c r="BD281" s="37"/>
      <c r="BE281" s="37"/>
      <c r="BF281" s="37"/>
      <c r="BG281" s="37"/>
      <c r="BH281" s="37"/>
      <c r="BI281" s="37"/>
      <c r="BJ281" s="37"/>
      <c r="BK281" s="37"/>
      <c r="BL281" s="37"/>
      <c r="BM281" s="37"/>
      <c r="BN281" s="37"/>
      <c r="BO281" s="37"/>
    </row>
    <row r="282">
      <c r="A282" s="40"/>
      <c r="B282" s="41"/>
      <c r="C282" s="37"/>
      <c r="D282" s="37"/>
      <c r="E282" s="38"/>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c r="BA282" s="37"/>
      <c r="BB282" s="37"/>
      <c r="BC282" s="37"/>
      <c r="BD282" s="37"/>
      <c r="BE282" s="37"/>
      <c r="BF282" s="37"/>
      <c r="BG282" s="37"/>
      <c r="BH282" s="37"/>
      <c r="BI282" s="37"/>
      <c r="BJ282" s="37"/>
      <c r="BK282" s="37"/>
      <c r="BL282" s="37"/>
      <c r="BM282" s="37"/>
      <c r="BN282" s="37"/>
      <c r="BO282" s="37"/>
    </row>
    <row r="283">
      <c r="A283" s="40"/>
      <c r="B283" s="41"/>
      <c r="C283" s="37"/>
      <c r="D283" s="37"/>
      <c r="E283" s="38"/>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c r="BA283" s="37"/>
      <c r="BB283" s="37"/>
      <c r="BC283" s="37"/>
      <c r="BD283" s="37"/>
      <c r="BE283" s="37"/>
      <c r="BF283" s="37"/>
      <c r="BG283" s="37"/>
      <c r="BH283" s="37"/>
      <c r="BI283" s="37"/>
      <c r="BJ283" s="37"/>
      <c r="BK283" s="37"/>
      <c r="BL283" s="37"/>
      <c r="BM283" s="37"/>
      <c r="BN283" s="37"/>
      <c r="BO283" s="37"/>
    </row>
    <row r="284">
      <c r="A284" s="40"/>
      <c r="B284" s="41"/>
      <c r="C284" s="37"/>
      <c r="D284" s="37"/>
      <c r="E284" s="38"/>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c r="BA284" s="37"/>
      <c r="BB284" s="37"/>
      <c r="BC284" s="37"/>
      <c r="BD284" s="37"/>
      <c r="BE284" s="37"/>
      <c r="BF284" s="37"/>
      <c r="BG284" s="37"/>
      <c r="BH284" s="37"/>
      <c r="BI284" s="37"/>
      <c r="BJ284" s="37"/>
      <c r="BK284" s="37"/>
      <c r="BL284" s="37"/>
      <c r="BM284" s="37"/>
      <c r="BN284" s="37"/>
      <c r="BO284" s="37"/>
    </row>
    <row r="285">
      <c r="A285" s="40"/>
      <c r="B285" s="41"/>
      <c r="C285" s="37"/>
      <c r="D285" s="37"/>
      <c r="E285" s="38"/>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c r="BA285" s="37"/>
      <c r="BB285" s="37"/>
      <c r="BC285" s="37"/>
      <c r="BD285" s="37"/>
      <c r="BE285" s="37"/>
      <c r="BF285" s="37"/>
      <c r="BG285" s="37"/>
      <c r="BH285" s="37"/>
      <c r="BI285" s="37"/>
      <c r="BJ285" s="37"/>
      <c r="BK285" s="37"/>
      <c r="BL285" s="37"/>
      <c r="BM285" s="37"/>
      <c r="BN285" s="37"/>
      <c r="BO285" s="37"/>
    </row>
    <row r="286">
      <c r="A286" s="40"/>
      <c r="B286" s="41"/>
      <c r="C286" s="37"/>
      <c r="D286" s="37"/>
      <c r="E286" s="38"/>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c r="BA286" s="37"/>
      <c r="BB286" s="37"/>
      <c r="BC286" s="37"/>
      <c r="BD286" s="37"/>
      <c r="BE286" s="37"/>
      <c r="BF286" s="37"/>
      <c r="BG286" s="37"/>
      <c r="BH286" s="37"/>
      <c r="BI286" s="37"/>
      <c r="BJ286" s="37"/>
      <c r="BK286" s="37"/>
      <c r="BL286" s="37"/>
      <c r="BM286" s="37"/>
      <c r="BN286" s="37"/>
      <c r="BO286" s="37"/>
    </row>
    <row r="287">
      <c r="A287" s="40"/>
      <c r="B287" s="41"/>
      <c r="C287" s="37"/>
      <c r="D287" s="37"/>
      <c r="E287" s="38"/>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c r="BA287" s="37"/>
      <c r="BB287" s="37"/>
      <c r="BC287" s="37"/>
      <c r="BD287" s="37"/>
      <c r="BE287" s="37"/>
      <c r="BF287" s="37"/>
      <c r="BG287" s="37"/>
      <c r="BH287" s="37"/>
      <c r="BI287" s="37"/>
      <c r="BJ287" s="37"/>
      <c r="BK287" s="37"/>
      <c r="BL287" s="37"/>
      <c r="BM287" s="37"/>
      <c r="BN287" s="37"/>
      <c r="BO287" s="37"/>
    </row>
    <row r="288">
      <c r="A288" s="40"/>
      <c r="B288" s="41"/>
      <c r="C288" s="37"/>
      <c r="D288" s="37"/>
      <c r="E288" s="38"/>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c r="BA288" s="37"/>
      <c r="BB288" s="37"/>
      <c r="BC288" s="37"/>
      <c r="BD288" s="37"/>
      <c r="BE288" s="37"/>
      <c r="BF288" s="37"/>
      <c r="BG288" s="37"/>
      <c r="BH288" s="37"/>
      <c r="BI288" s="37"/>
      <c r="BJ288" s="37"/>
      <c r="BK288" s="37"/>
      <c r="BL288" s="37"/>
      <c r="BM288" s="37"/>
      <c r="BN288" s="37"/>
      <c r="BO288" s="37"/>
    </row>
    <row r="289">
      <c r="A289" s="40"/>
      <c r="B289" s="41"/>
      <c r="C289" s="37"/>
      <c r="D289" s="37"/>
      <c r="E289" s="38"/>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c r="BA289" s="37"/>
      <c r="BB289" s="37"/>
      <c r="BC289" s="37"/>
      <c r="BD289" s="37"/>
      <c r="BE289" s="37"/>
      <c r="BF289" s="37"/>
      <c r="BG289" s="37"/>
      <c r="BH289" s="37"/>
      <c r="BI289" s="37"/>
      <c r="BJ289" s="37"/>
      <c r="BK289" s="37"/>
      <c r="BL289" s="37"/>
      <c r="BM289" s="37"/>
      <c r="BN289" s="37"/>
      <c r="BO289" s="37"/>
    </row>
    <row r="290">
      <c r="A290" s="40"/>
      <c r="B290" s="41"/>
      <c r="C290" s="37"/>
      <c r="D290" s="37"/>
      <c r="E290" s="38"/>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c r="BA290" s="37"/>
      <c r="BB290" s="37"/>
      <c r="BC290" s="37"/>
      <c r="BD290" s="37"/>
      <c r="BE290" s="37"/>
      <c r="BF290" s="37"/>
      <c r="BG290" s="37"/>
      <c r="BH290" s="37"/>
      <c r="BI290" s="37"/>
      <c r="BJ290" s="37"/>
      <c r="BK290" s="37"/>
      <c r="BL290" s="37"/>
      <c r="BM290" s="37"/>
      <c r="BN290" s="37"/>
      <c r="BO290" s="37"/>
    </row>
    <row r="291">
      <c r="A291" s="40"/>
      <c r="B291" s="41"/>
      <c r="C291" s="37"/>
      <c r="D291" s="37"/>
      <c r="E291" s="38"/>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row>
    <row r="292">
      <c r="A292" s="40"/>
      <c r="B292" s="41"/>
      <c r="C292" s="37"/>
      <c r="D292" s="37"/>
      <c r="E292" s="38"/>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c r="BA292" s="37"/>
      <c r="BB292" s="37"/>
      <c r="BC292" s="37"/>
      <c r="BD292" s="37"/>
      <c r="BE292" s="37"/>
      <c r="BF292" s="37"/>
      <c r="BG292" s="37"/>
      <c r="BH292" s="37"/>
      <c r="BI292" s="37"/>
      <c r="BJ292" s="37"/>
      <c r="BK292" s="37"/>
      <c r="BL292" s="37"/>
      <c r="BM292" s="37"/>
      <c r="BN292" s="37"/>
      <c r="BO292" s="37"/>
    </row>
    <row r="293">
      <c r="A293" s="40"/>
      <c r="B293" s="41"/>
      <c r="C293" s="37"/>
      <c r="D293" s="37"/>
      <c r="E293" s="38"/>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c r="BA293" s="37"/>
      <c r="BB293" s="37"/>
      <c r="BC293" s="37"/>
      <c r="BD293" s="37"/>
      <c r="BE293" s="37"/>
      <c r="BF293" s="37"/>
      <c r="BG293" s="37"/>
      <c r="BH293" s="37"/>
      <c r="BI293" s="37"/>
      <c r="BJ293" s="37"/>
      <c r="BK293" s="37"/>
      <c r="BL293" s="37"/>
      <c r="BM293" s="37"/>
      <c r="BN293" s="37"/>
      <c r="BO293" s="37"/>
    </row>
    <row r="294">
      <c r="A294" s="40"/>
      <c r="B294" s="41"/>
      <c r="C294" s="37"/>
      <c r="D294" s="37"/>
      <c r="E294" s="38"/>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c r="BA294" s="37"/>
      <c r="BB294" s="37"/>
      <c r="BC294" s="37"/>
      <c r="BD294" s="37"/>
      <c r="BE294" s="37"/>
      <c r="BF294" s="37"/>
      <c r="BG294" s="37"/>
      <c r="BH294" s="37"/>
      <c r="BI294" s="37"/>
      <c r="BJ294" s="37"/>
      <c r="BK294" s="37"/>
      <c r="BL294" s="37"/>
      <c r="BM294" s="37"/>
      <c r="BN294" s="37"/>
      <c r="BO294" s="37"/>
    </row>
    <row r="295">
      <c r="A295" s="40"/>
      <c r="B295" s="41"/>
      <c r="C295" s="37"/>
      <c r="D295" s="37"/>
      <c r="E295" s="38"/>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c r="BA295" s="37"/>
      <c r="BB295" s="37"/>
      <c r="BC295" s="37"/>
      <c r="BD295" s="37"/>
      <c r="BE295" s="37"/>
      <c r="BF295" s="37"/>
      <c r="BG295" s="37"/>
      <c r="BH295" s="37"/>
      <c r="BI295" s="37"/>
      <c r="BJ295" s="37"/>
      <c r="BK295" s="37"/>
      <c r="BL295" s="37"/>
      <c r="BM295" s="37"/>
      <c r="BN295" s="37"/>
      <c r="BO295" s="37"/>
    </row>
    <row r="296">
      <c r="A296" s="40"/>
      <c r="B296" s="41"/>
      <c r="C296" s="37"/>
      <c r="D296" s="37"/>
      <c r="E296" s="38"/>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c r="BA296" s="37"/>
      <c r="BB296" s="37"/>
      <c r="BC296" s="37"/>
      <c r="BD296" s="37"/>
      <c r="BE296" s="37"/>
      <c r="BF296" s="37"/>
      <c r="BG296" s="37"/>
      <c r="BH296" s="37"/>
      <c r="BI296" s="37"/>
      <c r="BJ296" s="37"/>
      <c r="BK296" s="37"/>
      <c r="BL296" s="37"/>
      <c r="BM296" s="37"/>
      <c r="BN296" s="37"/>
      <c r="BO296" s="37"/>
    </row>
    <row r="297">
      <c r="A297" s="40"/>
      <c r="B297" s="41"/>
      <c r="C297" s="37"/>
      <c r="D297" s="37"/>
      <c r="E297" s="38"/>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row>
    <row r="298">
      <c r="A298" s="40"/>
      <c r="B298" s="41"/>
      <c r="C298" s="37"/>
      <c r="D298" s="37"/>
      <c r="E298" s="38"/>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c r="BA298" s="37"/>
      <c r="BB298" s="37"/>
      <c r="BC298" s="37"/>
      <c r="BD298" s="37"/>
      <c r="BE298" s="37"/>
      <c r="BF298" s="37"/>
      <c r="BG298" s="37"/>
      <c r="BH298" s="37"/>
      <c r="BI298" s="37"/>
      <c r="BJ298" s="37"/>
      <c r="BK298" s="37"/>
      <c r="BL298" s="37"/>
      <c r="BM298" s="37"/>
      <c r="BN298" s="37"/>
      <c r="BO298" s="37"/>
    </row>
    <row r="299">
      <c r="A299" s="40"/>
      <c r="B299" s="41"/>
      <c r="C299" s="37"/>
      <c r="D299" s="37"/>
      <c r="E299" s="38"/>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row>
    <row r="300">
      <c r="A300" s="40"/>
      <c r="B300" s="41"/>
      <c r="C300" s="37"/>
      <c r="D300" s="37"/>
      <c r="E300" s="38"/>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c r="BA300" s="37"/>
      <c r="BB300" s="37"/>
      <c r="BC300" s="37"/>
      <c r="BD300" s="37"/>
      <c r="BE300" s="37"/>
      <c r="BF300" s="37"/>
      <c r="BG300" s="37"/>
      <c r="BH300" s="37"/>
      <c r="BI300" s="37"/>
      <c r="BJ300" s="37"/>
      <c r="BK300" s="37"/>
      <c r="BL300" s="37"/>
      <c r="BM300" s="37"/>
      <c r="BN300" s="37"/>
      <c r="BO300" s="37"/>
    </row>
    <row r="301">
      <c r="A301" s="40"/>
      <c r="B301" s="41"/>
      <c r="C301" s="37"/>
      <c r="D301" s="37"/>
      <c r="E301" s="38"/>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row>
    <row r="302">
      <c r="A302" s="40"/>
      <c r="B302" s="41"/>
      <c r="C302" s="37"/>
      <c r="D302" s="37"/>
      <c r="E302" s="38"/>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row>
    <row r="303">
      <c r="A303" s="40"/>
      <c r="B303" s="41"/>
      <c r="C303" s="37"/>
      <c r="D303" s="37"/>
      <c r="E303" s="38"/>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c r="BA303" s="37"/>
      <c r="BB303" s="37"/>
      <c r="BC303" s="37"/>
      <c r="BD303" s="37"/>
      <c r="BE303" s="37"/>
      <c r="BF303" s="37"/>
      <c r="BG303" s="37"/>
      <c r="BH303" s="37"/>
      <c r="BI303" s="37"/>
      <c r="BJ303" s="37"/>
      <c r="BK303" s="37"/>
      <c r="BL303" s="37"/>
      <c r="BM303" s="37"/>
      <c r="BN303" s="37"/>
      <c r="BO303" s="37"/>
    </row>
    <row r="304">
      <c r="A304" s="40"/>
      <c r="B304" s="41"/>
      <c r="C304" s="37"/>
      <c r="D304" s="37"/>
      <c r="E304" s="38"/>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c r="BA304" s="37"/>
      <c r="BB304" s="37"/>
      <c r="BC304" s="37"/>
      <c r="BD304" s="37"/>
      <c r="BE304" s="37"/>
      <c r="BF304" s="37"/>
      <c r="BG304" s="37"/>
      <c r="BH304" s="37"/>
      <c r="BI304" s="37"/>
      <c r="BJ304" s="37"/>
      <c r="BK304" s="37"/>
      <c r="BL304" s="37"/>
      <c r="BM304" s="37"/>
      <c r="BN304" s="37"/>
      <c r="BO304" s="37"/>
    </row>
    <row r="305">
      <c r="A305" s="40"/>
      <c r="B305" s="41"/>
      <c r="C305" s="37"/>
      <c r="D305" s="37"/>
      <c r="E305" s="38"/>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c r="BA305" s="37"/>
      <c r="BB305" s="37"/>
      <c r="BC305" s="37"/>
      <c r="BD305" s="37"/>
      <c r="BE305" s="37"/>
      <c r="BF305" s="37"/>
      <c r="BG305" s="37"/>
      <c r="BH305" s="37"/>
      <c r="BI305" s="37"/>
      <c r="BJ305" s="37"/>
      <c r="BK305" s="37"/>
      <c r="BL305" s="37"/>
      <c r="BM305" s="37"/>
      <c r="BN305" s="37"/>
      <c r="BO305" s="37"/>
    </row>
    <row r="306">
      <c r="A306" s="40"/>
      <c r="B306" s="41"/>
      <c r="C306" s="37"/>
      <c r="D306" s="37"/>
      <c r="E306" s="38"/>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c r="BA306" s="37"/>
      <c r="BB306" s="37"/>
      <c r="BC306" s="37"/>
      <c r="BD306" s="37"/>
      <c r="BE306" s="37"/>
      <c r="BF306" s="37"/>
      <c r="BG306" s="37"/>
      <c r="BH306" s="37"/>
      <c r="BI306" s="37"/>
      <c r="BJ306" s="37"/>
      <c r="BK306" s="37"/>
      <c r="BL306" s="37"/>
      <c r="BM306" s="37"/>
      <c r="BN306" s="37"/>
      <c r="BO306" s="37"/>
    </row>
    <row r="307">
      <c r="A307" s="40"/>
      <c r="B307" s="41"/>
      <c r="C307" s="37"/>
      <c r="D307" s="37"/>
      <c r="E307" s="38"/>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c r="BA307" s="37"/>
      <c r="BB307" s="37"/>
      <c r="BC307" s="37"/>
      <c r="BD307" s="37"/>
      <c r="BE307" s="37"/>
      <c r="BF307" s="37"/>
      <c r="BG307" s="37"/>
      <c r="BH307" s="37"/>
      <c r="BI307" s="37"/>
      <c r="BJ307" s="37"/>
      <c r="BK307" s="37"/>
      <c r="BL307" s="37"/>
      <c r="BM307" s="37"/>
      <c r="BN307" s="37"/>
      <c r="BO307" s="37"/>
    </row>
    <row r="308">
      <c r="A308" s="40"/>
      <c r="B308" s="41"/>
      <c r="C308" s="37"/>
      <c r="D308" s="37"/>
      <c r="E308" s="38"/>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c r="BA308" s="37"/>
      <c r="BB308" s="37"/>
      <c r="BC308" s="37"/>
      <c r="BD308" s="37"/>
      <c r="BE308" s="37"/>
      <c r="BF308" s="37"/>
      <c r="BG308" s="37"/>
      <c r="BH308" s="37"/>
      <c r="BI308" s="37"/>
      <c r="BJ308" s="37"/>
      <c r="BK308" s="37"/>
      <c r="BL308" s="37"/>
      <c r="BM308" s="37"/>
      <c r="BN308" s="37"/>
      <c r="BO308" s="37"/>
    </row>
    <row r="309">
      <c r="A309" s="40"/>
      <c r="B309" s="41"/>
      <c r="C309" s="37"/>
      <c r="D309" s="37"/>
      <c r="E309" s="38"/>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c r="BA309" s="37"/>
      <c r="BB309" s="37"/>
      <c r="BC309" s="37"/>
      <c r="BD309" s="37"/>
      <c r="BE309" s="37"/>
      <c r="BF309" s="37"/>
      <c r="BG309" s="37"/>
      <c r="BH309" s="37"/>
      <c r="BI309" s="37"/>
      <c r="BJ309" s="37"/>
      <c r="BK309" s="37"/>
      <c r="BL309" s="37"/>
      <c r="BM309" s="37"/>
      <c r="BN309" s="37"/>
      <c r="BO309" s="37"/>
    </row>
    <row r="310">
      <c r="A310" s="40"/>
      <c r="B310" s="41"/>
      <c r="C310" s="37"/>
      <c r="D310" s="37"/>
      <c r="E310" s="38"/>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c r="BA310" s="37"/>
      <c r="BB310" s="37"/>
      <c r="BC310" s="37"/>
      <c r="BD310" s="37"/>
      <c r="BE310" s="37"/>
      <c r="BF310" s="37"/>
      <c r="BG310" s="37"/>
      <c r="BH310" s="37"/>
      <c r="BI310" s="37"/>
      <c r="BJ310" s="37"/>
      <c r="BK310" s="37"/>
      <c r="BL310" s="37"/>
      <c r="BM310" s="37"/>
      <c r="BN310" s="37"/>
      <c r="BO310" s="37"/>
    </row>
    <row r="311">
      <c r="A311" s="40"/>
      <c r="B311" s="41"/>
      <c r="C311" s="37"/>
      <c r="D311" s="37"/>
      <c r="E311" s="38"/>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c r="BA311" s="37"/>
      <c r="BB311" s="37"/>
      <c r="BC311" s="37"/>
      <c r="BD311" s="37"/>
      <c r="BE311" s="37"/>
      <c r="BF311" s="37"/>
      <c r="BG311" s="37"/>
      <c r="BH311" s="37"/>
      <c r="BI311" s="37"/>
      <c r="BJ311" s="37"/>
      <c r="BK311" s="37"/>
      <c r="BL311" s="37"/>
      <c r="BM311" s="37"/>
      <c r="BN311" s="37"/>
      <c r="BO311" s="37"/>
    </row>
    <row r="312">
      <c r="A312" s="40"/>
      <c r="B312" s="41"/>
      <c r="C312" s="37"/>
      <c r="D312" s="37"/>
      <c r="E312" s="38"/>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c r="BA312" s="37"/>
      <c r="BB312" s="37"/>
      <c r="BC312" s="37"/>
      <c r="BD312" s="37"/>
      <c r="BE312" s="37"/>
      <c r="BF312" s="37"/>
      <c r="BG312" s="37"/>
      <c r="BH312" s="37"/>
      <c r="BI312" s="37"/>
      <c r="BJ312" s="37"/>
      <c r="BK312" s="37"/>
      <c r="BL312" s="37"/>
      <c r="BM312" s="37"/>
      <c r="BN312" s="37"/>
      <c r="BO312" s="37"/>
    </row>
    <row r="313">
      <c r="A313" s="40"/>
      <c r="B313" s="41"/>
      <c r="C313" s="37"/>
      <c r="D313" s="37"/>
      <c r="E313" s="38"/>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row>
    <row r="314">
      <c r="A314" s="40"/>
      <c r="B314" s="41"/>
      <c r="C314" s="37"/>
      <c r="D314" s="37"/>
      <c r="E314" s="38"/>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c r="BA314" s="37"/>
      <c r="BB314" s="37"/>
      <c r="BC314" s="37"/>
      <c r="BD314" s="37"/>
      <c r="BE314" s="37"/>
      <c r="BF314" s="37"/>
      <c r="BG314" s="37"/>
      <c r="BH314" s="37"/>
      <c r="BI314" s="37"/>
      <c r="BJ314" s="37"/>
      <c r="BK314" s="37"/>
      <c r="BL314" s="37"/>
      <c r="BM314" s="37"/>
      <c r="BN314" s="37"/>
      <c r="BO314" s="37"/>
    </row>
    <row r="315">
      <c r="A315" s="40"/>
      <c r="B315" s="41"/>
      <c r="C315" s="37"/>
      <c r="D315" s="37"/>
      <c r="E315" s="38"/>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c r="BA315" s="37"/>
      <c r="BB315" s="37"/>
      <c r="BC315" s="37"/>
      <c r="BD315" s="37"/>
      <c r="BE315" s="37"/>
      <c r="BF315" s="37"/>
      <c r="BG315" s="37"/>
      <c r="BH315" s="37"/>
      <c r="BI315" s="37"/>
      <c r="BJ315" s="37"/>
      <c r="BK315" s="37"/>
      <c r="BL315" s="37"/>
      <c r="BM315" s="37"/>
      <c r="BN315" s="37"/>
      <c r="BO315" s="37"/>
    </row>
    <row r="316">
      <c r="A316" s="40"/>
      <c r="B316" s="41"/>
      <c r="C316" s="37"/>
      <c r="D316" s="37"/>
      <c r="E316" s="38"/>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c r="BA316" s="37"/>
      <c r="BB316" s="37"/>
      <c r="BC316" s="37"/>
      <c r="BD316" s="37"/>
      <c r="BE316" s="37"/>
      <c r="BF316" s="37"/>
      <c r="BG316" s="37"/>
      <c r="BH316" s="37"/>
      <c r="BI316" s="37"/>
      <c r="BJ316" s="37"/>
      <c r="BK316" s="37"/>
      <c r="BL316" s="37"/>
      <c r="BM316" s="37"/>
      <c r="BN316" s="37"/>
      <c r="BO316" s="37"/>
    </row>
    <row r="317">
      <c r="A317" s="40"/>
      <c r="B317" s="41"/>
      <c r="C317" s="37"/>
      <c r="D317" s="37"/>
      <c r="E317" s="38"/>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c r="BA317" s="37"/>
      <c r="BB317" s="37"/>
      <c r="BC317" s="37"/>
      <c r="BD317" s="37"/>
      <c r="BE317" s="37"/>
      <c r="BF317" s="37"/>
      <c r="BG317" s="37"/>
      <c r="BH317" s="37"/>
      <c r="BI317" s="37"/>
      <c r="BJ317" s="37"/>
      <c r="BK317" s="37"/>
      <c r="BL317" s="37"/>
      <c r="BM317" s="37"/>
      <c r="BN317" s="37"/>
      <c r="BO317" s="37"/>
    </row>
    <row r="318">
      <c r="A318" s="40"/>
      <c r="B318" s="41"/>
      <c r="C318" s="37"/>
      <c r="D318" s="37"/>
      <c r="E318" s="38"/>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c r="BA318" s="37"/>
      <c r="BB318" s="37"/>
      <c r="BC318" s="37"/>
      <c r="BD318" s="37"/>
      <c r="BE318" s="37"/>
      <c r="BF318" s="37"/>
      <c r="BG318" s="37"/>
      <c r="BH318" s="37"/>
      <c r="BI318" s="37"/>
      <c r="BJ318" s="37"/>
      <c r="BK318" s="37"/>
      <c r="BL318" s="37"/>
      <c r="BM318" s="37"/>
      <c r="BN318" s="37"/>
      <c r="BO318" s="37"/>
    </row>
    <row r="319">
      <c r="A319" s="40"/>
      <c r="B319" s="41"/>
      <c r="C319" s="37"/>
      <c r="D319" s="37"/>
      <c r="E319" s="38"/>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c r="BA319" s="37"/>
      <c r="BB319" s="37"/>
      <c r="BC319" s="37"/>
      <c r="BD319" s="37"/>
      <c r="BE319" s="37"/>
      <c r="BF319" s="37"/>
      <c r="BG319" s="37"/>
      <c r="BH319" s="37"/>
      <c r="BI319" s="37"/>
      <c r="BJ319" s="37"/>
      <c r="BK319" s="37"/>
      <c r="BL319" s="37"/>
      <c r="BM319" s="37"/>
      <c r="BN319" s="37"/>
      <c r="BO319" s="37"/>
    </row>
    <row r="320">
      <c r="A320" s="40"/>
      <c r="B320" s="41"/>
      <c r="C320" s="37"/>
      <c r="D320" s="37"/>
      <c r="E320" s="38"/>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c r="BA320" s="37"/>
      <c r="BB320" s="37"/>
      <c r="BC320" s="37"/>
      <c r="BD320" s="37"/>
      <c r="BE320" s="37"/>
      <c r="BF320" s="37"/>
      <c r="BG320" s="37"/>
      <c r="BH320" s="37"/>
      <c r="BI320" s="37"/>
      <c r="BJ320" s="37"/>
      <c r="BK320" s="37"/>
      <c r="BL320" s="37"/>
      <c r="BM320" s="37"/>
      <c r="BN320" s="37"/>
      <c r="BO320" s="37"/>
    </row>
    <row r="321">
      <c r="A321" s="40"/>
      <c r="B321" s="41"/>
      <c r="C321" s="37"/>
      <c r="D321" s="37"/>
      <c r="E321" s="38"/>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row>
    <row r="322">
      <c r="A322" s="40"/>
      <c r="B322" s="41"/>
      <c r="C322" s="37"/>
      <c r="D322" s="37"/>
      <c r="E322" s="38"/>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c r="BA322" s="37"/>
      <c r="BB322" s="37"/>
      <c r="BC322" s="37"/>
      <c r="BD322" s="37"/>
      <c r="BE322" s="37"/>
      <c r="BF322" s="37"/>
      <c r="BG322" s="37"/>
      <c r="BH322" s="37"/>
      <c r="BI322" s="37"/>
      <c r="BJ322" s="37"/>
      <c r="BK322" s="37"/>
      <c r="BL322" s="37"/>
      <c r="BM322" s="37"/>
      <c r="BN322" s="37"/>
      <c r="BO322" s="37"/>
    </row>
    <row r="323">
      <c r="A323" s="40"/>
      <c r="B323" s="41"/>
      <c r="C323" s="37"/>
      <c r="D323" s="37"/>
      <c r="E323" s="38"/>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c r="BA323" s="37"/>
      <c r="BB323" s="37"/>
      <c r="BC323" s="37"/>
      <c r="BD323" s="37"/>
      <c r="BE323" s="37"/>
      <c r="BF323" s="37"/>
      <c r="BG323" s="37"/>
      <c r="BH323" s="37"/>
      <c r="BI323" s="37"/>
      <c r="BJ323" s="37"/>
      <c r="BK323" s="37"/>
      <c r="BL323" s="37"/>
      <c r="BM323" s="37"/>
      <c r="BN323" s="37"/>
      <c r="BO323" s="37"/>
    </row>
    <row r="324">
      <c r="A324" s="40"/>
      <c r="B324" s="41"/>
      <c r="C324" s="37"/>
      <c r="D324" s="37"/>
      <c r="E324" s="38"/>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c r="BA324" s="37"/>
      <c r="BB324" s="37"/>
      <c r="BC324" s="37"/>
      <c r="BD324" s="37"/>
      <c r="BE324" s="37"/>
      <c r="BF324" s="37"/>
      <c r="BG324" s="37"/>
      <c r="BH324" s="37"/>
      <c r="BI324" s="37"/>
      <c r="BJ324" s="37"/>
      <c r="BK324" s="37"/>
      <c r="BL324" s="37"/>
      <c r="BM324" s="37"/>
      <c r="BN324" s="37"/>
      <c r="BO324" s="37"/>
    </row>
    <row r="325">
      <c r="A325" s="40"/>
      <c r="B325" s="41"/>
      <c r="C325" s="37"/>
      <c r="D325" s="37"/>
      <c r="E325" s="38"/>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c r="BA325" s="37"/>
      <c r="BB325" s="37"/>
      <c r="BC325" s="37"/>
      <c r="BD325" s="37"/>
      <c r="BE325" s="37"/>
      <c r="BF325" s="37"/>
      <c r="BG325" s="37"/>
      <c r="BH325" s="37"/>
      <c r="BI325" s="37"/>
      <c r="BJ325" s="37"/>
      <c r="BK325" s="37"/>
      <c r="BL325" s="37"/>
      <c r="BM325" s="37"/>
      <c r="BN325" s="37"/>
      <c r="BO325" s="37"/>
    </row>
    <row r="326">
      <c r="A326" s="40"/>
      <c r="B326" s="41"/>
      <c r="C326" s="37"/>
      <c r="D326" s="37"/>
      <c r="E326" s="38"/>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c r="BA326" s="37"/>
      <c r="BB326" s="37"/>
      <c r="BC326" s="37"/>
      <c r="BD326" s="37"/>
      <c r="BE326" s="37"/>
      <c r="BF326" s="37"/>
      <c r="BG326" s="37"/>
      <c r="BH326" s="37"/>
      <c r="BI326" s="37"/>
      <c r="BJ326" s="37"/>
      <c r="BK326" s="37"/>
      <c r="BL326" s="37"/>
      <c r="BM326" s="37"/>
      <c r="BN326" s="37"/>
      <c r="BO326" s="37"/>
    </row>
    <row r="327">
      <c r="A327" s="40"/>
      <c r="B327" s="41"/>
      <c r="C327" s="37"/>
      <c r="D327" s="37"/>
      <c r="E327" s="38"/>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c r="BA327" s="37"/>
      <c r="BB327" s="37"/>
      <c r="BC327" s="37"/>
      <c r="BD327" s="37"/>
      <c r="BE327" s="37"/>
      <c r="BF327" s="37"/>
      <c r="BG327" s="37"/>
      <c r="BH327" s="37"/>
      <c r="BI327" s="37"/>
      <c r="BJ327" s="37"/>
      <c r="BK327" s="37"/>
      <c r="BL327" s="37"/>
      <c r="BM327" s="37"/>
      <c r="BN327" s="37"/>
      <c r="BO327" s="37"/>
    </row>
    <row r="328">
      <c r="A328" s="40"/>
      <c r="B328" s="41"/>
      <c r="C328" s="37"/>
      <c r="D328" s="37"/>
      <c r="E328" s="38"/>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c r="BA328" s="37"/>
      <c r="BB328" s="37"/>
      <c r="BC328" s="37"/>
      <c r="BD328" s="37"/>
      <c r="BE328" s="37"/>
      <c r="BF328" s="37"/>
      <c r="BG328" s="37"/>
      <c r="BH328" s="37"/>
      <c r="BI328" s="37"/>
      <c r="BJ328" s="37"/>
      <c r="BK328" s="37"/>
      <c r="BL328" s="37"/>
      <c r="BM328" s="37"/>
      <c r="BN328" s="37"/>
      <c r="BO328" s="37"/>
    </row>
    <row r="329">
      <c r="A329" s="40"/>
      <c r="B329" s="41"/>
      <c r="C329" s="37"/>
      <c r="D329" s="37"/>
      <c r="E329" s="38"/>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row>
    <row r="330">
      <c r="A330" s="40"/>
      <c r="B330" s="41"/>
      <c r="C330" s="37"/>
      <c r="D330" s="37"/>
      <c r="E330" s="38"/>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c r="BA330" s="37"/>
      <c r="BB330" s="37"/>
      <c r="BC330" s="37"/>
      <c r="BD330" s="37"/>
      <c r="BE330" s="37"/>
      <c r="BF330" s="37"/>
      <c r="BG330" s="37"/>
      <c r="BH330" s="37"/>
      <c r="BI330" s="37"/>
      <c r="BJ330" s="37"/>
      <c r="BK330" s="37"/>
      <c r="BL330" s="37"/>
      <c r="BM330" s="37"/>
      <c r="BN330" s="37"/>
      <c r="BO330" s="37"/>
    </row>
    <row r="331">
      <c r="A331" s="40"/>
      <c r="B331" s="41"/>
      <c r="C331" s="37"/>
      <c r="D331" s="37"/>
      <c r="E331" s="38"/>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c r="BA331" s="37"/>
      <c r="BB331" s="37"/>
      <c r="BC331" s="37"/>
      <c r="BD331" s="37"/>
      <c r="BE331" s="37"/>
      <c r="BF331" s="37"/>
      <c r="BG331" s="37"/>
      <c r="BH331" s="37"/>
      <c r="BI331" s="37"/>
      <c r="BJ331" s="37"/>
      <c r="BK331" s="37"/>
      <c r="BL331" s="37"/>
      <c r="BM331" s="37"/>
      <c r="BN331" s="37"/>
      <c r="BO331" s="37"/>
    </row>
    <row r="332">
      <c r="A332" s="40"/>
      <c r="B332" s="41"/>
      <c r="C332" s="37"/>
      <c r="D332" s="37"/>
      <c r="E332" s="38"/>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c r="BA332" s="37"/>
      <c r="BB332" s="37"/>
      <c r="BC332" s="37"/>
      <c r="BD332" s="37"/>
      <c r="BE332" s="37"/>
      <c r="BF332" s="37"/>
      <c r="BG332" s="37"/>
      <c r="BH332" s="37"/>
      <c r="BI332" s="37"/>
      <c r="BJ332" s="37"/>
      <c r="BK332" s="37"/>
      <c r="BL332" s="37"/>
      <c r="BM332" s="37"/>
      <c r="BN332" s="37"/>
      <c r="BO332" s="37"/>
    </row>
    <row r="333">
      <c r="A333" s="40"/>
      <c r="B333" s="41"/>
      <c r="C333" s="37"/>
      <c r="D333" s="37"/>
      <c r="E333" s="38"/>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c r="BA333" s="37"/>
      <c r="BB333" s="37"/>
      <c r="BC333" s="37"/>
      <c r="BD333" s="37"/>
      <c r="BE333" s="37"/>
      <c r="BF333" s="37"/>
      <c r="BG333" s="37"/>
      <c r="BH333" s="37"/>
      <c r="BI333" s="37"/>
      <c r="BJ333" s="37"/>
      <c r="BK333" s="37"/>
      <c r="BL333" s="37"/>
      <c r="BM333" s="37"/>
      <c r="BN333" s="37"/>
      <c r="BO333" s="37"/>
    </row>
    <row r="334">
      <c r="A334" s="40"/>
      <c r="B334" s="41"/>
      <c r="C334" s="37"/>
      <c r="D334" s="37"/>
      <c r="E334" s="38"/>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c r="BA334" s="37"/>
      <c r="BB334" s="37"/>
      <c r="BC334" s="37"/>
      <c r="BD334" s="37"/>
      <c r="BE334" s="37"/>
      <c r="BF334" s="37"/>
      <c r="BG334" s="37"/>
      <c r="BH334" s="37"/>
      <c r="BI334" s="37"/>
      <c r="BJ334" s="37"/>
      <c r="BK334" s="37"/>
      <c r="BL334" s="37"/>
      <c r="BM334" s="37"/>
      <c r="BN334" s="37"/>
      <c r="BO334" s="37"/>
    </row>
    <row r="335">
      <c r="A335" s="40"/>
      <c r="B335" s="41"/>
      <c r="C335" s="37"/>
      <c r="D335" s="37"/>
      <c r="E335" s="38"/>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row>
    <row r="336">
      <c r="A336" s="40"/>
      <c r="B336" s="41"/>
      <c r="C336" s="37"/>
      <c r="D336" s="37"/>
      <c r="E336" s="38"/>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c r="BA336" s="37"/>
      <c r="BB336" s="37"/>
      <c r="BC336" s="37"/>
      <c r="BD336" s="37"/>
      <c r="BE336" s="37"/>
      <c r="BF336" s="37"/>
      <c r="BG336" s="37"/>
      <c r="BH336" s="37"/>
      <c r="BI336" s="37"/>
      <c r="BJ336" s="37"/>
      <c r="BK336" s="37"/>
      <c r="BL336" s="37"/>
      <c r="BM336" s="37"/>
      <c r="BN336" s="37"/>
      <c r="BO336" s="37"/>
    </row>
    <row r="337">
      <c r="A337" s="40"/>
      <c r="B337" s="41"/>
      <c r="C337" s="37"/>
      <c r="D337" s="37"/>
      <c r="E337" s="38"/>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c r="BA337" s="37"/>
      <c r="BB337" s="37"/>
      <c r="BC337" s="37"/>
      <c r="BD337" s="37"/>
      <c r="BE337" s="37"/>
      <c r="BF337" s="37"/>
      <c r="BG337" s="37"/>
      <c r="BH337" s="37"/>
      <c r="BI337" s="37"/>
      <c r="BJ337" s="37"/>
      <c r="BK337" s="37"/>
      <c r="BL337" s="37"/>
      <c r="BM337" s="37"/>
      <c r="BN337" s="37"/>
      <c r="BO337" s="37"/>
    </row>
    <row r="338">
      <c r="A338" s="40"/>
      <c r="B338" s="41"/>
      <c r="C338" s="37"/>
      <c r="D338" s="37"/>
      <c r="E338" s="38"/>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c r="BA338" s="37"/>
      <c r="BB338" s="37"/>
      <c r="BC338" s="37"/>
      <c r="BD338" s="37"/>
      <c r="BE338" s="37"/>
      <c r="BF338" s="37"/>
      <c r="BG338" s="37"/>
      <c r="BH338" s="37"/>
      <c r="BI338" s="37"/>
      <c r="BJ338" s="37"/>
      <c r="BK338" s="37"/>
      <c r="BL338" s="37"/>
      <c r="BM338" s="37"/>
      <c r="BN338" s="37"/>
      <c r="BO338" s="37"/>
    </row>
    <row r="339">
      <c r="A339" s="40"/>
      <c r="B339" s="41"/>
      <c r="C339" s="37"/>
      <c r="D339" s="37"/>
      <c r="E339" s="38"/>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c r="BA339" s="37"/>
      <c r="BB339" s="37"/>
      <c r="BC339" s="37"/>
      <c r="BD339" s="37"/>
      <c r="BE339" s="37"/>
      <c r="BF339" s="37"/>
      <c r="BG339" s="37"/>
      <c r="BH339" s="37"/>
      <c r="BI339" s="37"/>
      <c r="BJ339" s="37"/>
      <c r="BK339" s="37"/>
      <c r="BL339" s="37"/>
      <c r="BM339" s="37"/>
      <c r="BN339" s="37"/>
      <c r="BO339" s="37"/>
    </row>
    <row r="340">
      <c r="A340" s="40"/>
      <c r="B340" s="41"/>
      <c r="C340" s="37"/>
      <c r="D340" s="37"/>
      <c r="E340" s="38"/>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c r="BA340" s="37"/>
      <c r="BB340" s="37"/>
      <c r="BC340" s="37"/>
      <c r="BD340" s="37"/>
      <c r="BE340" s="37"/>
      <c r="BF340" s="37"/>
      <c r="BG340" s="37"/>
      <c r="BH340" s="37"/>
      <c r="BI340" s="37"/>
      <c r="BJ340" s="37"/>
      <c r="BK340" s="37"/>
      <c r="BL340" s="37"/>
      <c r="BM340" s="37"/>
      <c r="BN340" s="37"/>
      <c r="BO340" s="37"/>
    </row>
    <row r="341">
      <c r="A341" s="40"/>
      <c r="B341" s="41"/>
      <c r="C341" s="37"/>
      <c r="D341" s="37"/>
      <c r="E341" s="38"/>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row>
    <row r="342">
      <c r="A342" s="40"/>
      <c r="B342" s="41"/>
      <c r="C342" s="37"/>
      <c r="D342" s="37"/>
      <c r="E342" s="38"/>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c r="BA342" s="37"/>
      <c r="BB342" s="37"/>
      <c r="BC342" s="37"/>
      <c r="BD342" s="37"/>
      <c r="BE342" s="37"/>
      <c r="BF342" s="37"/>
      <c r="BG342" s="37"/>
      <c r="BH342" s="37"/>
      <c r="BI342" s="37"/>
      <c r="BJ342" s="37"/>
      <c r="BK342" s="37"/>
      <c r="BL342" s="37"/>
      <c r="BM342" s="37"/>
      <c r="BN342" s="37"/>
      <c r="BO342" s="37"/>
    </row>
    <row r="343">
      <c r="A343" s="40"/>
      <c r="B343" s="41"/>
      <c r="C343" s="37"/>
      <c r="D343" s="37"/>
      <c r="E343" s="38"/>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c r="BA343" s="37"/>
      <c r="BB343" s="37"/>
      <c r="BC343" s="37"/>
      <c r="BD343" s="37"/>
      <c r="BE343" s="37"/>
      <c r="BF343" s="37"/>
      <c r="BG343" s="37"/>
      <c r="BH343" s="37"/>
      <c r="BI343" s="37"/>
      <c r="BJ343" s="37"/>
      <c r="BK343" s="37"/>
      <c r="BL343" s="37"/>
      <c r="BM343" s="37"/>
      <c r="BN343" s="37"/>
      <c r="BO343" s="37"/>
    </row>
    <row r="344">
      <c r="A344" s="40"/>
      <c r="B344" s="41"/>
      <c r="C344" s="37"/>
      <c r="D344" s="37"/>
      <c r="E344" s="38"/>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c r="BA344" s="37"/>
      <c r="BB344" s="37"/>
      <c r="BC344" s="37"/>
      <c r="BD344" s="37"/>
      <c r="BE344" s="37"/>
      <c r="BF344" s="37"/>
      <c r="BG344" s="37"/>
      <c r="BH344" s="37"/>
      <c r="BI344" s="37"/>
      <c r="BJ344" s="37"/>
      <c r="BK344" s="37"/>
      <c r="BL344" s="37"/>
      <c r="BM344" s="37"/>
      <c r="BN344" s="37"/>
      <c r="BO344" s="37"/>
    </row>
    <row r="345">
      <c r="A345" s="40"/>
      <c r="B345" s="41"/>
      <c r="C345" s="37"/>
      <c r="D345" s="37"/>
      <c r="E345" s="38"/>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c r="BA345" s="37"/>
      <c r="BB345" s="37"/>
      <c r="BC345" s="37"/>
      <c r="BD345" s="37"/>
      <c r="BE345" s="37"/>
      <c r="BF345" s="37"/>
      <c r="BG345" s="37"/>
      <c r="BH345" s="37"/>
      <c r="BI345" s="37"/>
      <c r="BJ345" s="37"/>
      <c r="BK345" s="37"/>
      <c r="BL345" s="37"/>
      <c r="BM345" s="37"/>
      <c r="BN345" s="37"/>
      <c r="BO345" s="37"/>
    </row>
    <row r="346">
      <c r="A346" s="40"/>
      <c r="B346" s="41"/>
      <c r="C346" s="37"/>
      <c r="D346" s="37"/>
      <c r="E346" s="38"/>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c r="BA346" s="37"/>
      <c r="BB346" s="37"/>
      <c r="BC346" s="37"/>
      <c r="BD346" s="37"/>
      <c r="BE346" s="37"/>
      <c r="BF346" s="37"/>
      <c r="BG346" s="37"/>
      <c r="BH346" s="37"/>
      <c r="BI346" s="37"/>
      <c r="BJ346" s="37"/>
      <c r="BK346" s="37"/>
      <c r="BL346" s="37"/>
      <c r="BM346" s="37"/>
      <c r="BN346" s="37"/>
      <c r="BO346" s="37"/>
    </row>
    <row r="347">
      <c r="A347" s="40"/>
      <c r="B347" s="41"/>
      <c r="C347" s="37"/>
      <c r="D347" s="37"/>
      <c r="E347" s="38"/>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row>
    <row r="348" collapsed="1">
      <c r="A348" s="14"/>
      <c r="B348" s="15"/>
      <c r="C348" s="20">
        <v>45962.0</v>
      </c>
      <c r="D348" s="17"/>
      <c r="E348" s="18"/>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c r="BK348" s="21"/>
      <c r="BL348" s="21"/>
      <c r="BM348" s="21"/>
      <c r="BN348" s="21"/>
      <c r="BO348" s="21"/>
    </row>
    <row r="349" hidden="1" outlineLevel="1">
      <c r="A349" s="22"/>
      <c r="B349" s="23"/>
      <c r="C349" s="24" t="s">
        <v>1</v>
      </c>
      <c r="D349" s="24" t="s">
        <v>4</v>
      </c>
      <c r="E349" s="25" t="s">
        <v>166</v>
      </c>
      <c r="F349" s="24" t="s">
        <v>167</v>
      </c>
      <c r="G349" s="24" t="s">
        <v>168</v>
      </c>
      <c r="H349" s="24" t="s">
        <v>167</v>
      </c>
      <c r="I349" s="24" t="s">
        <v>168</v>
      </c>
      <c r="J349" s="24" t="s">
        <v>167</v>
      </c>
      <c r="K349" s="24" t="s">
        <v>168</v>
      </c>
      <c r="L349" s="24" t="s">
        <v>167</v>
      </c>
      <c r="M349" s="24" t="s">
        <v>168</v>
      </c>
      <c r="N349" s="24" t="s">
        <v>167</v>
      </c>
      <c r="O349" s="24" t="s">
        <v>168</v>
      </c>
      <c r="P349" s="24" t="s">
        <v>167</v>
      </c>
      <c r="Q349" s="24" t="s">
        <v>168</v>
      </c>
      <c r="R349" s="24" t="s">
        <v>167</v>
      </c>
      <c r="S349" s="24" t="s">
        <v>168</v>
      </c>
      <c r="T349" s="24" t="s">
        <v>167</v>
      </c>
      <c r="U349" s="24" t="s">
        <v>168</v>
      </c>
      <c r="V349" s="24" t="s">
        <v>167</v>
      </c>
      <c r="W349" s="24" t="s">
        <v>168</v>
      </c>
      <c r="X349" s="24" t="s">
        <v>167</v>
      </c>
      <c r="Y349" s="24" t="s">
        <v>168</v>
      </c>
      <c r="Z349" s="24" t="s">
        <v>167</v>
      </c>
      <c r="AA349" s="24" t="s">
        <v>168</v>
      </c>
      <c r="AB349" s="24" t="s">
        <v>167</v>
      </c>
      <c r="AC349" s="24" t="s">
        <v>168</v>
      </c>
      <c r="AD349" s="24" t="s">
        <v>167</v>
      </c>
      <c r="AE349" s="24" t="s">
        <v>168</v>
      </c>
      <c r="AF349" s="24" t="s">
        <v>167</v>
      </c>
      <c r="AG349" s="24" t="s">
        <v>168</v>
      </c>
      <c r="AH349" s="24" t="s">
        <v>167</v>
      </c>
      <c r="AI349" s="24" t="s">
        <v>168</v>
      </c>
      <c r="AJ349" s="24" t="s">
        <v>167</v>
      </c>
      <c r="AK349" s="24" t="s">
        <v>168</v>
      </c>
      <c r="AL349" s="24" t="s">
        <v>167</v>
      </c>
      <c r="AM349" s="24" t="s">
        <v>168</v>
      </c>
      <c r="AN349" s="24" t="s">
        <v>167</v>
      </c>
      <c r="AO349" s="24" t="s">
        <v>168</v>
      </c>
      <c r="AP349" s="24" t="s">
        <v>167</v>
      </c>
      <c r="AQ349" s="24" t="s">
        <v>168</v>
      </c>
      <c r="AR349" s="24" t="s">
        <v>167</v>
      </c>
      <c r="AS349" s="24" t="s">
        <v>168</v>
      </c>
      <c r="AT349" s="24" t="s">
        <v>167</v>
      </c>
      <c r="AU349" s="24" t="s">
        <v>168</v>
      </c>
      <c r="AV349" s="24" t="s">
        <v>167</v>
      </c>
      <c r="AW349" s="24" t="s">
        <v>168</v>
      </c>
      <c r="AX349" s="24" t="s">
        <v>167</v>
      </c>
      <c r="AY349" s="24" t="s">
        <v>168</v>
      </c>
      <c r="AZ349" s="24" t="s">
        <v>167</v>
      </c>
      <c r="BA349" s="24" t="s">
        <v>168</v>
      </c>
      <c r="BB349" s="24" t="s">
        <v>167</v>
      </c>
      <c r="BC349" s="24" t="s">
        <v>168</v>
      </c>
      <c r="BD349" s="24" t="s">
        <v>167</v>
      </c>
      <c r="BE349" s="24" t="s">
        <v>168</v>
      </c>
      <c r="BF349" s="24" t="s">
        <v>167</v>
      </c>
      <c r="BG349" s="24" t="s">
        <v>168</v>
      </c>
      <c r="BH349" s="24" t="s">
        <v>167</v>
      </c>
      <c r="BI349" s="24" t="s">
        <v>168</v>
      </c>
      <c r="BJ349" s="24" t="s">
        <v>167</v>
      </c>
      <c r="BK349" s="24" t="s">
        <v>168</v>
      </c>
      <c r="BL349" s="24" t="s">
        <v>167</v>
      </c>
      <c r="BM349" s="24" t="s">
        <v>168</v>
      </c>
      <c r="BN349" s="24" t="s">
        <v>167</v>
      </c>
      <c r="BO349" s="24" t="s">
        <v>168</v>
      </c>
    </row>
    <row r="350" hidden="1" outlineLevel="1">
      <c r="A350" s="26" t="str">
        <f>B350&amp;D350</f>
        <v>NovemberBHUVANESHWARAN.V</v>
      </c>
      <c r="B350" s="27" t="s">
        <v>41</v>
      </c>
      <c r="C350" s="27" t="s">
        <v>13</v>
      </c>
      <c r="D350" s="39" t="str">
        <f>IFERROR(VLOOKUP(C350,'Employees List'!$B$2:$E1424,4,0),"")</f>
        <v>BHUVANESHWARAN.V</v>
      </c>
      <c r="E350" s="29">
        <f t="shared" ref="E350:E352" si="4">COUNTIF(F350:BO350,TRUE)/2</f>
        <v>30</v>
      </c>
      <c r="F350" s="30" t="b">
        <v>1</v>
      </c>
      <c r="G350" s="30" t="b">
        <v>1</v>
      </c>
      <c r="H350" s="30" t="b">
        <v>1</v>
      </c>
      <c r="I350" s="30" t="b">
        <v>1</v>
      </c>
      <c r="J350" s="30" t="b">
        <v>1</v>
      </c>
      <c r="K350" s="30" t="b">
        <v>1</v>
      </c>
      <c r="L350" s="30" t="b">
        <v>1</v>
      </c>
      <c r="M350" s="30" t="b">
        <v>1</v>
      </c>
      <c r="N350" s="30" t="b">
        <v>1</v>
      </c>
      <c r="O350" s="30" t="b">
        <v>1</v>
      </c>
      <c r="P350" s="30" t="b">
        <v>1</v>
      </c>
      <c r="Q350" s="30" t="b">
        <v>1</v>
      </c>
      <c r="R350" s="30" t="b">
        <v>1</v>
      </c>
      <c r="S350" s="30" t="b">
        <v>1</v>
      </c>
      <c r="T350" s="30" t="b">
        <v>1</v>
      </c>
      <c r="U350" s="30" t="b">
        <v>1</v>
      </c>
      <c r="V350" s="30" t="b">
        <v>1</v>
      </c>
      <c r="W350" s="30" t="b">
        <v>1</v>
      </c>
      <c r="X350" s="30" t="b">
        <v>1</v>
      </c>
      <c r="Y350" s="30" t="b">
        <v>1</v>
      </c>
      <c r="Z350" s="30" t="b">
        <v>1</v>
      </c>
      <c r="AA350" s="30" t="b">
        <v>1</v>
      </c>
      <c r="AB350" s="30" t="b">
        <v>1</v>
      </c>
      <c r="AC350" s="30" t="b">
        <v>1</v>
      </c>
      <c r="AD350" s="30" t="b">
        <v>1</v>
      </c>
      <c r="AE350" s="30" t="b">
        <v>1</v>
      </c>
      <c r="AF350" s="30" t="b">
        <v>1</v>
      </c>
      <c r="AG350" s="30" t="b">
        <v>1</v>
      </c>
      <c r="AH350" s="30" t="b">
        <v>1</v>
      </c>
      <c r="AI350" s="30" t="b">
        <v>1</v>
      </c>
      <c r="AJ350" s="30" t="b">
        <v>1</v>
      </c>
      <c r="AK350" s="30" t="b">
        <v>1</v>
      </c>
      <c r="AL350" s="30" t="b">
        <v>1</v>
      </c>
      <c r="AM350" s="30" t="b">
        <v>1</v>
      </c>
      <c r="AN350" s="30" t="b">
        <v>1</v>
      </c>
      <c r="AO350" s="30" t="b">
        <v>1</v>
      </c>
      <c r="AP350" s="30" t="b">
        <v>1</v>
      </c>
      <c r="AQ350" s="30" t="b">
        <v>1</v>
      </c>
      <c r="AR350" s="30" t="b">
        <v>1</v>
      </c>
      <c r="AS350" s="30" t="b">
        <v>1</v>
      </c>
      <c r="AT350" s="30" t="b">
        <v>1</v>
      </c>
      <c r="AU350" s="30" t="b">
        <v>1</v>
      </c>
      <c r="AV350" s="30" t="b">
        <v>1</v>
      </c>
      <c r="AW350" s="30" t="b">
        <v>1</v>
      </c>
      <c r="AX350" s="30" t="b">
        <v>1</v>
      </c>
      <c r="AY350" s="30" t="b">
        <v>1</v>
      </c>
      <c r="AZ350" s="30" t="b">
        <v>1</v>
      </c>
      <c r="BA350" s="30" t="b">
        <v>1</v>
      </c>
      <c r="BB350" s="30" t="b">
        <v>1</v>
      </c>
      <c r="BC350" s="30" t="b">
        <v>1</v>
      </c>
      <c r="BD350" s="30" t="b">
        <v>1</v>
      </c>
      <c r="BE350" s="30" t="b">
        <v>1</v>
      </c>
      <c r="BF350" s="30" t="b">
        <v>1</v>
      </c>
      <c r="BG350" s="30" t="b">
        <v>1</v>
      </c>
      <c r="BH350" s="30" t="b">
        <v>1</v>
      </c>
      <c r="BI350" s="30" t="b">
        <v>1</v>
      </c>
      <c r="BJ350" s="30" t="b">
        <v>1</v>
      </c>
      <c r="BK350" s="30" t="b">
        <v>1</v>
      </c>
      <c r="BL350" s="30" t="b">
        <v>1</v>
      </c>
      <c r="BM350" s="30" t="b">
        <v>1</v>
      </c>
      <c r="BN350" s="30" t="b">
        <v>0</v>
      </c>
      <c r="BO350" s="30" t="b">
        <v>0</v>
      </c>
    </row>
    <row r="351" hidden="1" outlineLevel="1">
      <c r="A351" s="31" t="str">
        <f>A350&amp;C351</f>
        <v>NovemberBHUVANESHWARAN.VOT HOURS</v>
      </c>
      <c r="B351" s="32"/>
      <c r="C351" s="33" t="s">
        <v>169</v>
      </c>
      <c r="D351" s="17"/>
      <c r="E351" s="29">
        <f t="shared" si="4"/>
        <v>0</v>
      </c>
      <c r="F351" s="34"/>
      <c r="G351" s="17"/>
      <c r="H351" s="34"/>
      <c r="I351" s="17"/>
      <c r="J351" s="34"/>
      <c r="K351" s="17"/>
      <c r="L351" s="34"/>
      <c r="M351" s="17"/>
      <c r="N351" s="34"/>
      <c r="O351" s="17"/>
      <c r="P351" s="34"/>
      <c r="Q351" s="17"/>
      <c r="R351" s="34"/>
      <c r="S351" s="17"/>
      <c r="T351" s="34"/>
      <c r="U351" s="17"/>
      <c r="V351" s="34"/>
      <c r="W351" s="17"/>
      <c r="X351" s="34"/>
      <c r="Y351" s="17"/>
      <c r="Z351" s="34"/>
      <c r="AA351" s="17"/>
      <c r="AB351" s="34"/>
      <c r="AC351" s="17"/>
      <c r="AD351" s="34"/>
      <c r="AE351" s="17"/>
      <c r="AF351" s="34"/>
      <c r="AG351" s="17"/>
      <c r="AH351" s="34"/>
      <c r="AI351" s="17"/>
      <c r="AJ351" s="34"/>
      <c r="AK351" s="17"/>
      <c r="AL351" s="34"/>
      <c r="AM351" s="17"/>
      <c r="AN351" s="34"/>
      <c r="AO351" s="17"/>
      <c r="AP351" s="34"/>
      <c r="AQ351" s="17"/>
      <c r="AR351" s="34"/>
      <c r="AS351" s="17"/>
      <c r="AT351" s="34"/>
      <c r="AU351" s="17"/>
      <c r="AV351" s="34"/>
      <c r="AW351" s="17"/>
      <c r="AX351" s="34"/>
      <c r="AY351" s="17"/>
      <c r="AZ351" s="34"/>
      <c r="BA351" s="17"/>
      <c r="BB351" s="34"/>
      <c r="BC351" s="17"/>
      <c r="BD351" s="34"/>
      <c r="BE351" s="17"/>
      <c r="BF351" s="34"/>
      <c r="BG351" s="17"/>
      <c r="BH351" s="34"/>
      <c r="BI351" s="17"/>
      <c r="BJ351" s="34"/>
      <c r="BK351" s="17"/>
      <c r="BL351" s="34"/>
      <c r="BM351" s="17"/>
      <c r="BN351" s="34"/>
      <c r="BO351" s="17"/>
    </row>
    <row r="352" hidden="1" outlineLevel="1">
      <c r="A352" s="26" t="str">
        <f>B352&amp;D352</f>
        <v>NovemberTHIRIPURA SUNDARI.R</v>
      </c>
      <c r="B352" s="27" t="s">
        <v>41</v>
      </c>
      <c r="C352" s="27" t="s">
        <v>71</v>
      </c>
      <c r="D352" s="28" t="str">
        <f>IFERROR(VLOOKUP(C352,'Employees List'!$B$2:$E1424,4,0),"")</f>
        <v>THIRIPURA SUNDARI.R</v>
      </c>
      <c r="E352" s="29">
        <f t="shared" si="4"/>
        <v>30</v>
      </c>
      <c r="F352" s="30" t="b">
        <v>1</v>
      </c>
      <c r="G352" s="30" t="b">
        <v>1</v>
      </c>
      <c r="H352" s="30" t="b">
        <v>1</v>
      </c>
      <c r="I352" s="30" t="b">
        <v>1</v>
      </c>
      <c r="J352" s="30" t="b">
        <v>1</v>
      </c>
      <c r="K352" s="30" t="b">
        <v>1</v>
      </c>
      <c r="L352" s="30" t="b">
        <v>1</v>
      </c>
      <c r="M352" s="30" t="b">
        <v>1</v>
      </c>
      <c r="N352" s="30" t="b">
        <v>1</v>
      </c>
      <c r="O352" s="30" t="b">
        <v>1</v>
      </c>
      <c r="P352" s="30" t="b">
        <v>1</v>
      </c>
      <c r="Q352" s="30" t="b">
        <v>1</v>
      </c>
      <c r="R352" s="30" t="b">
        <v>1</v>
      </c>
      <c r="S352" s="30" t="b">
        <v>1</v>
      </c>
      <c r="T352" s="30" t="b">
        <v>1</v>
      </c>
      <c r="U352" s="30" t="b">
        <v>1</v>
      </c>
      <c r="V352" s="30" t="b">
        <v>1</v>
      </c>
      <c r="W352" s="30" t="b">
        <v>1</v>
      </c>
      <c r="X352" s="30" t="b">
        <v>1</v>
      </c>
      <c r="Y352" s="30" t="b">
        <v>1</v>
      </c>
      <c r="Z352" s="30" t="b">
        <v>1</v>
      </c>
      <c r="AA352" s="30" t="b">
        <v>1</v>
      </c>
      <c r="AB352" s="30" t="b">
        <v>1</v>
      </c>
      <c r="AC352" s="30" t="b">
        <v>1</v>
      </c>
      <c r="AD352" s="30" t="b">
        <v>1</v>
      </c>
      <c r="AE352" s="30" t="b">
        <v>1</v>
      </c>
      <c r="AF352" s="30" t="b">
        <v>1</v>
      </c>
      <c r="AG352" s="30" t="b">
        <v>1</v>
      </c>
      <c r="AH352" s="30" t="b">
        <v>1</v>
      </c>
      <c r="AI352" s="30" t="b">
        <v>1</v>
      </c>
      <c r="AJ352" s="30" t="b">
        <v>1</v>
      </c>
      <c r="AK352" s="30" t="b">
        <v>1</v>
      </c>
      <c r="AL352" s="30" t="b">
        <v>1</v>
      </c>
      <c r="AM352" s="30" t="b">
        <v>1</v>
      </c>
      <c r="AN352" s="30" t="b">
        <v>1</v>
      </c>
      <c r="AO352" s="30" t="b">
        <v>1</v>
      </c>
      <c r="AP352" s="30" t="b">
        <v>1</v>
      </c>
      <c r="AQ352" s="30" t="b">
        <v>1</v>
      </c>
      <c r="AR352" s="30" t="b">
        <v>1</v>
      </c>
      <c r="AS352" s="30" t="b">
        <v>1</v>
      </c>
      <c r="AT352" s="30" t="b">
        <v>1</v>
      </c>
      <c r="AU352" s="30" t="b">
        <v>1</v>
      </c>
      <c r="AV352" s="30" t="b">
        <v>1</v>
      </c>
      <c r="AW352" s="30" t="b">
        <v>1</v>
      </c>
      <c r="AX352" s="30" t="b">
        <v>1</v>
      </c>
      <c r="AY352" s="30" t="b">
        <v>1</v>
      </c>
      <c r="AZ352" s="30" t="b">
        <v>1</v>
      </c>
      <c r="BA352" s="30" t="b">
        <v>1</v>
      </c>
      <c r="BB352" s="30" t="b">
        <v>1</v>
      </c>
      <c r="BC352" s="30" t="b">
        <v>1</v>
      </c>
      <c r="BD352" s="30" t="b">
        <v>1</v>
      </c>
      <c r="BE352" s="30" t="b">
        <v>1</v>
      </c>
      <c r="BF352" s="30" t="b">
        <v>1</v>
      </c>
      <c r="BG352" s="30" t="b">
        <v>1</v>
      </c>
      <c r="BH352" s="30" t="b">
        <v>1</v>
      </c>
      <c r="BI352" s="30" t="b">
        <v>1</v>
      </c>
      <c r="BJ352" s="30" t="b">
        <v>1</v>
      </c>
      <c r="BK352" s="30" t="b">
        <v>1</v>
      </c>
      <c r="BL352" s="30" t="b">
        <v>1</v>
      </c>
      <c r="BM352" s="30" t="b">
        <v>1</v>
      </c>
      <c r="BN352" s="30" t="b">
        <v>0</v>
      </c>
      <c r="BO352" s="30" t="b">
        <v>0</v>
      </c>
    </row>
    <row r="353" hidden="1" outlineLevel="1">
      <c r="A353" s="31" t="str">
        <f>A352&amp;C353</f>
        <v>NovemberTHIRIPURA SUNDARI.ROT HOURS</v>
      </c>
      <c r="B353" s="32"/>
      <c r="C353" s="33" t="s">
        <v>169</v>
      </c>
      <c r="D353" s="17"/>
      <c r="E353" s="29">
        <f>SUM(F353:BO353)</f>
        <v>5</v>
      </c>
      <c r="F353" s="34"/>
      <c r="G353" s="17"/>
      <c r="H353" s="34"/>
      <c r="I353" s="17"/>
      <c r="J353" s="34"/>
      <c r="K353" s="17"/>
      <c r="L353" s="34"/>
      <c r="M353" s="17"/>
      <c r="N353" s="34"/>
      <c r="O353" s="17"/>
      <c r="P353" s="34"/>
      <c r="Q353" s="17"/>
      <c r="R353" s="34"/>
      <c r="S353" s="17"/>
      <c r="T353" s="34">
        <v>1.0</v>
      </c>
      <c r="U353" s="17"/>
      <c r="V353" s="34"/>
      <c r="W353" s="17"/>
      <c r="X353" s="34"/>
      <c r="Y353" s="17"/>
      <c r="Z353" s="34"/>
      <c r="AA353" s="17"/>
      <c r="AB353" s="34"/>
      <c r="AC353" s="17"/>
      <c r="AD353" s="34"/>
      <c r="AE353" s="17"/>
      <c r="AF353" s="34">
        <v>1.0</v>
      </c>
      <c r="AG353" s="17"/>
      <c r="AH353" s="34">
        <v>2.0</v>
      </c>
      <c r="AI353" s="17"/>
      <c r="AJ353" s="34"/>
      <c r="AK353" s="17"/>
      <c r="AL353" s="34"/>
      <c r="AM353" s="17"/>
      <c r="AN353" s="34">
        <v>1.0</v>
      </c>
      <c r="AO353" s="17"/>
      <c r="AP353" s="34"/>
      <c r="AQ353" s="17"/>
      <c r="AR353" s="34"/>
      <c r="AS353" s="17"/>
      <c r="AT353" s="34"/>
      <c r="AU353" s="17"/>
      <c r="AV353" s="34"/>
      <c r="AW353" s="17"/>
      <c r="AX353" s="34"/>
      <c r="AY353" s="17"/>
      <c r="AZ353" s="34"/>
      <c r="BA353" s="17"/>
      <c r="BB353" s="34"/>
      <c r="BC353" s="17"/>
      <c r="BD353" s="34"/>
      <c r="BE353" s="17"/>
      <c r="BF353" s="34"/>
      <c r="BG353" s="17"/>
      <c r="BH353" s="34"/>
      <c r="BI353" s="17"/>
      <c r="BJ353" s="34"/>
      <c r="BK353" s="17"/>
      <c r="BL353" s="34"/>
      <c r="BM353" s="17"/>
      <c r="BN353" s="34"/>
      <c r="BO353" s="17"/>
    </row>
    <row r="354" hidden="1" outlineLevel="1">
      <c r="A354" s="26" t="str">
        <f>B354&amp;D354</f>
        <v>NovemberGANESH</v>
      </c>
      <c r="B354" s="27" t="s">
        <v>41</v>
      </c>
      <c r="C354" s="27" t="s">
        <v>22</v>
      </c>
      <c r="D354" s="28" t="str">
        <f>IFERROR(VLOOKUP(C354,'Employees List'!$B$2:$E1424,4,0),"")</f>
        <v>GANESH</v>
      </c>
      <c r="E354" s="29">
        <f>COUNTIF(F354:BO354,TRUE)/2</f>
        <v>24</v>
      </c>
      <c r="F354" s="30" t="b">
        <v>0</v>
      </c>
      <c r="G354" s="30" t="b">
        <v>0</v>
      </c>
      <c r="H354" s="30" t="b">
        <v>0</v>
      </c>
      <c r="I354" s="30" t="b">
        <v>0</v>
      </c>
      <c r="J354" s="30" t="b">
        <v>0</v>
      </c>
      <c r="K354" s="30" t="b">
        <v>0</v>
      </c>
      <c r="L354" s="30" t="b">
        <v>0</v>
      </c>
      <c r="M354" s="30" t="b">
        <v>0</v>
      </c>
      <c r="N354" s="30" t="b">
        <v>0</v>
      </c>
      <c r="O354" s="30" t="b">
        <v>0</v>
      </c>
      <c r="P354" s="30" t="b">
        <v>0</v>
      </c>
      <c r="Q354" s="30" t="b">
        <v>0</v>
      </c>
      <c r="R354" s="30" t="b">
        <v>1</v>
      </c>
      <c r="S354" s="30" t="b">
        <v>1</v>
      </c>
      <c r="T354" s="30" t="b">
        <v>1</v>
      </c>
      <c r="U354" s="30" t="b">
        <v>1</v>
      </c>
      <c r="V354" s="30" t="b">
        <v>1</v>
      </c>
      <c r="W354" s="30" t="b">
        <v>1</v>
      </c>
      <c r="X354" s="30" t="b">
        <v>1</v>
      </c>
      <c r="Y354" s="30" t="b">
        <v>1</v>
      </c>
      <c r="Z354" s="30" t="b">
        <v>1</v>
      </c>
      <c r="AA354" s="30" t="b">
        <v>1</v>
      </c>
      <c r="AB354" s="30" t="b">
        <v>1</v>
      </c>
      <c r="AC354" s="30" t="b">
        <v>1</v>
      </c>
      <c r="AD354" s="30" t="b">
        <v>1</v>
      </c>
      <c r="AE354" s="30" t="b">
        <v>1</v>
      </c>
      <c r="AF354" s="30" t="b">
        <v>1</v>
      </c>
      <c r="AG354" s="30" t="b">
        <v>1</v>
      </c>
      <c r="AH354" s="30" t="b">
        <v>1</v>
      </c>
      <c r="AI354" s="30" t="b">
        <v>1</v>
      </c>
      <c r="AJ354" s="30" t="b">
        <v>1</v>
      </c>
      <c r="AK354" s="30" t="b">
        <v>1</v>
      </c>
      <c r="AL354" s="30" t="b">
        <v>1</v>
      </c>
      <c r="AM354" s="30" t="b">
        <v>1</v>
      </c>
      <c r="AN354" s="30" t="b">
        <v>1</v>
      </c>
      <c r="AO354" s="30" t="b">
        <v>1</v>
      </c>
      <c r="AP354" s="30" t="b">
        <v>1</v>
      </c>
      <c r="AQ354" s="30" t="b">
        <v>1</v>
      </c>
      <c r="AR354" s="30" t="b">
        <v>1</v>
      </c>
      <c r="AS354" s="30" t="b">
        <v>1</v>
      </c>
      <c r="AT354" s="30" t="b">
        <v>1</v>
      </c>
      <c r="AU354" s="30" t="b">
        <v>1</v>
      </c>
      <c r="AV354" s="30" t="b">
        <v>1</v>
      </c>
      <c r="AW354" s="30" t="b">
        <v>1</v>
      </c>
      <c r="AX354" s="30" t="b">
        <v>1</v>
      </c>
      <c r="AY354" s="30" t="b">
        <v>1</v>
      </c>
      <c r="AZ354" s="30" t="b">
        <v>1</v>
      </c>
      <c r="BA354" s="30" t="b">
        <v>1</v>
      </c>
      <c r="BB354" s="30" t="b">
        <v>1</v>
      </c>
      <c r="BC354" s="30" t="b">
        <v>1</v>
      </c>
      <c r="BD354" s="30" t="b">
        <v>1</v>
      </c>
      <c r="BE354" s="30" t="b">
        <v>1</v>
      </c>
      <c r="BF354" s="30" t="b">
        <v>1</v>
      </c>
      <c r="BG354" s="30" t="b">
        <v>1</v>
      </c>
      <c r="BH354" s="30" t="b">
        <v>1</v>
      </c>
      <c r="BI354" s="30" t="b">
        <v>1</v>
      </c>
      <c r="BJ354" s="30" t="b">
        <v>1</v>
      </c>
      <c r="BK354" s="30" t="b">
        <v>1</v>
      </c>
      <c r="BL354" s="30" t="b">
        <v>1</v>
      </c>
      <c r="BM354" s="30" t="b">
        <v>1</v>
      </c>
      <c r="BN354" s="30" t="b">
        <v>0</v>
      </c>
      <c r="BO354" s="30" t="b">
        <v>0</v>
      </c>
    </row>
    <row r="355" hidden="1" outlineLevel="1">
      <c r="A355" s="31" t="str">
        <f>A354&amp;C355</f>
        <v>NovemberGANESHOT HOURS</v>
      </c>
      <c r="B355" s="32"/>
      <c r="C355" s="33" t="s">
        <v>169</v>
      </c>
      <c r="D355" s="17"/>
      <c r="E355" s="29">
        <f>SUM(F355:BO355)</f>
        <v>68</v>
      </c>
      <c r="F355" s="34"/>
      <c r="G355" s="17"/>
      <c r="H355" s="34"/>
      <c r="I355" s="17"/>
      <c r="J355" s="34"/>
      <c r="K355" s="17"/>
      <c r="L355" s="34"/>
      <c r="M355" s="17"/>
      <c r="N355" s="34"/>
      <c r="O355" s="17"/>
      <c r="P355" s="34"/>
      <c r="Q355" s="17"/>
      <c r="R355" s="34">
        <v>2.0</v>
      </c>
      <c r="S355" s="17"/>
      <c r="T355" s="34">
        <v>4.0</v>
      </c>
      <c r="U355" s="17"/>
      <c r="V355" s="34">
        <v>5.0</v>
      </c>
      <c r="W355" s="17"/>
      <c r="X355" s="34"/>
      <c r="Y355" s="17"/>
      <c r="Z355" s="34">
        <v>2.0</v>
      </c>
      <c r="AA355" s="17"/>
      <c r="AB355" s="34">
        <v>4.0</v>
      </c>
      <c r="AC355" s="17"/>
      <c r="AD355" s="34">
        <v>4.0</v>
      </c>
      <c r="AE355" s="17"/>
      <c r="AF355" s="34">
        <v>2.0</v>
      </c>
      <c r="AG355" s="17"/>
      <c r="AH355" s="34">
        <v>1.0</v>
      </c>
      <c r="AI355" s="17"/>
      <c r="AJ355" s="34">
        <v>9.0</v>
      </c>
      <c r="AK355" s="17"/>
      <c r="AL355" s="34"/>
      <c r="AM355" s="17"/>
      <c r="AN355" s="34">
        <v>4.0</v>
      </c>
      <c r="AO355" s="17"/>
      <c r="AP355" s="34">
        <v>2.0</v>
      </c>
      <c r="AQ355" s="17"/>
      <c r="AR355" s="34">
        <v>4.0</v>
      </c>
      <c r="AS355" s="17"/>
      <c r="AT355" s="34">
        <v>2.0</v>
      </c>
      <c r="AU355" s="17"/>
      <c r="AV355" s="34">
        <v>2.0</v>
      </c>
      <c r="AW355" s="17"/>
      <c r="AX355" s="34"/>
      <c r="AY355" s="17"/>
      <c r="AZ355" s="34">
        <v>2.0</v>
      </c>
      <c r="BA355" s="17"/>
      <c r="BB355" s="34">
        <v>2.0</v>
      </c>
      <c r="BC355" s="17"/>
      <c r="BD355" s="34">
        <v>2.0</v>
      </c>
      <c r="BE355" s="17"/>
      <c r="BF355" s="34">
        <v>2.0</v>
      </c>
      <c r="BG355" s="17"/>
      <c r="BH355" s="34">
        <v>2.0</v>
      </c>
      <c r="BI355" s="17"/>
      <c r="BJ355" s="34">
        <v>3.0</v>
      </c>
      <c r="BK355" s="17"/>
      <c r="BL355" s="34">
        <v>8.0</v>
      </c>
      <c r="BM355" s="17"/>
      <c r="BN355" s="34"/>
      <c r="BO355" s="17"/>
    </row>
    <row r="356" hidden="1" outlineLevel="1">
      <c r="A356" s="26" t="str">
        <f>B356&amp;D356</f>
        <v>NovemberILAMATHIVANAN.S</v>
      </c>
      <c r="B356" s="27" t="s">
        <v>41</v>
      </c>
      <c r="C356" s="27" t="s">
        <v>77</v>
      </c>
      <c r="D356" s="28" t="str">
        <f>IFERROR(VLOOKUP(C356,'Employees List'!$B$2:$E1424,4,0),"")</f>
        <v>ILAMATHIVANAN.S</v>
      </c>
      <c r="E356" s="29">
        <f>COUNTIF(F356:BO356,TRUE)/2</f>
        <v>0</v>
      </c>
      <c r="F356" s="30" t="b">
        <v>0</v>
      </c>
      <c r="G356" s="30" t="b">
        <v>0</v>
      </c>
      <c r="H356" s="30" t="b">
        <v>0</v>
      </c>
      <c r="I356" s="30" t="b">
        <v>0</v>
      </c>
      <c r="J356" s="30" t="b">
        <v>0</v>
      </c>
      <c r="K356" s="30" t="b">
        <v>0</v>
      </c>
      <c r="L356" s="30" t="b">
        <v>0</v>
      </c>
      <c r="M356" s="30" t="b">
        <v>0</v>
      </c>
      <c r="N356" s="30" t="b">
        <v>0</v>
      </c>
      <c r="O356" s="30" t="b">
        <v>0</v>
      </c>
      <c r="P356" s="30" t="b">
        <v>0</v>
      </c>
      <c r="Q356" s="30" t="b">
        <v>0</v>
      </c>
      <c r="R356" s="30" t="b">
        <v>0</v>
      </c>
      <c r="S356" s="30" t="b">
        <v>0</v>
      </c>
      <c r="T356" s="30" t="b">
        <v>0</v>
      </c>
      <c r="U356" s="30" t="b">
        <v>0</v>
      </c>
      <c r="V356" s="30" t="b">
        <v>0</v>
      </c>
      <c r="W356" s="30" t="b">
        <v>0</v>
      </c>
      <c r="X356" s="30" t="b">
        <v>0</v>
      </c>
      <c r="Y356" s="30" t="b">
        <v>0</v>
      </c>
      <c r="Z356" s="30" t="b">
        <v>0</v>
      </c>
      <c r="AA356" s="30" t="b">
        <v>0</v>
      </c>
      <c r="AB356" s="30" t="b">
        <v>0</v>
      </c>
      <c r="AC356" s="30" t="b">
        <v>0</v>
      </c>
      <c r="AD356" s="30" t="b">
        <v>0</v>
      </c>
      <c r="AE356" s="30" t="b">
        <v>0</v>
      </c>
      <c r="AF356" s="30" t="b">
        <v>0</v>
      </c>
      <c r="AG356" s="30" t="b">
        <v>0</v>
      </c>
      <c r="AH356" s="30" t="b">
        <v>0</v>
      </c>
      <c r="AI356" s="30" t="b">
        <v>0</v>
      </c>
      <c r="AJ356" s="30" t="b">
        <v>0</v>
      </c>
      <c r="AK356" s="30" t="b">
        <v>0</v>
      </c>
      <c r="AL356" s="30" t="b">
        <v>0</v>
      </c>
      <c r="AM356" s="30" t="b">
        <v>0</v>
      </c>
      <c r="AN356" s="30" t="b">
        <v>0</v>
      </c>
      <c r="AO356" s="30" t="b">
        <v>0</v>
      </c>
      <c r="AP356" s="30" t="b">
        <v>0</v>
      </c>
      <c r="AQ356" s="30" t="b">
        <v>0</v>
      </c>
      <c r="AR356" s="30" t="b">
        <v>0</v>
      </c>
      <c r="AS356" s="30" t="b">
        <v>0</v>
      </c>
      <c r="AT356" s="30" t="b">
        <v>0</v>
      </c>
      <c r="AU356" s="30" t="b">
        <v>0</v>
      </c>
      <c r="AV356" s="30" t="b">
        <v>0</v>
      </c>
      <c r="AW356" s="30" t="b">
        <v>0</v>
      </c>
      <c r="AX356" s="30" t="b">
        <v>0</v>
      </c>
      <c r="AY356" s="30" t="b">
        <v>0</v>
      </c>
      <c r="AZ356" s="30" t="b">
        <v>0</v>
      </c>
      <c r="BA356" s="30" t="b">
        <v>0</v>
      </c>
      <c r="BB356" s="30" t="b">
        <v>0</v>
      </c>
      <c r="BC356" s="30" t="b">
        <v>0</v>
      </c>
      <c r="BD356" s="30" t="b">
        <v>0</v>
      </c>
      <c r="BE356" s="30" t="b">
        <v>0</v>
      </c>
      <c r="BF356" s="30" t="b">
        <v>0</v>
      </c>
      <c r="BG356" s="30" t="b">
        <v>0</v>
      </c>
      <c r="BH356" s="30" t="b">
        <v>0</v>
      </c>
      <c r="BI356" s="30" t="b">
        <v>0</v>
      </c>
      <c r="BJ356" s="30" t="b">
        <v>0</v>
      </c>
      <c r="BK356" s="30" t="b">
        <v>0</v>
      </c>
      <c r="BL356" s="30" t="b">
        <v>0</v>
      </c>
      <c r="BM356" s="30" t="b">
        <v>0</v>
      </c>
      <c r="BN356" s="30" t="b">
        <v>0</v>
      </c>
      <c r="BO356" s="30" t="b">
        <v>0</v>
      </c>
    </row>
    <row r="357" hidden="1" outlineLevel="1">
      <c r="A357" s="31" t="str">
        <f>A356&amp;C357</f>
        <v>NovemberILAMATHIVANAN.SOT HOURS</v>
      </c>
      <c r="B357" s="32"/>
      <c r="C357" s="33" t="s">
        <v>169</v>
      </c>
      <c r="D357" s="17"/>
      <c r="E357" s="29">
        <f>SUM(F357:BO357)</f>
        <v>0</v>
      </c>
      <c r="F357" s="34"/>
      <c r="G357" s="17"/>
      <c r="H357" s="34"/>
      <c r="I357" s="17"/>
      <c r="J357" s="34"/>
      <c r="K357" s="17"/>
      <c r="L357" s="34"/>
      <c r="M357" s="17"/>
      <c r="N357" s="34"/>
      <c r="O357" s="17"/>
      <c r="P357" s="34"/>
      <c r="Q357" s="17"/>
      <c r="R357" s="34"/>
      <c r="S357" s="17"/>
      <c r="T357" s="34"/>
      <c r="U357" s="17"/>
      <c r="V357" s="34"/>
      <c r="W357" s="17"/>
      <c r="X357" s="34"/>
      <c r="Y357" s="17"/>
      <c r="Z357" s="34"/>
      <c r="AA357" s="17"/>
      <c r="AB357" s="34"/>
      <c r="AC357" s="17"/>
      <c r="AD357" s="34"/>
      <c r="AE357" s="17"/>
      <c r="AF357" s="34"/>
      <c r="AG357" s="17"/>
      <c r="AH357" s="34"/>
      <c r="AI357" s="17"/>
      <c r="AJ357" s="34"/>
      <c r="AK357" s="17"/>
      <c r="AL357" s="34"/>
      <c r="AM357" s="17"/>
      <c r="AN357" s="34"/>
      <c r="AO357" s="17"/>
      <c r="AP357" s="34"/>
      <c r="AQ357" s="17"/>
      <c r="AR357" s="34"/>
      <c r="AS357" s="17"/>
      <c r="AT357" s="34"/>
      <c r="AU357" s="17"/>
      <c r="AV357" s="34"/>
      <c r="AW357" s="17"/>
      <c r="AX357" s="34"/>
      <c r="AY357" s="17"/>
      <c r="AZ357" s="34"/>
      <c r="BA357" s="17"/>
      <c r="BB357" s="34"/>
      <c r="BC357" s="17"/>
      <c r="BD357" s="34"/>
      <c r="BE357" s="17"/>
      <c r="BF357" s="34"/>
      <c r="BG357" s="17"/>
      <c r="BH357" s="34"/>
      <c r="BI357" s="17"/>
      <c r="BJ357" s="34"/>
      <c r="BK357" s="17"/>
      <c r="BL357" s="34"/>
      <c r="BM357" s="17"/>
      <c r="BN357" s="34"/>
      <c r="BO357" s="17"/>
    </row>
    <row r="358" hidden="1" outlineLevel="1">
      <c r="A358" s="26" t="str">
        <f>B358&amp;D358</f>
        <v>NovemberAMMU.S</v>
      </c>
      <c r="B358" s="27" t="s">
        <v>41</v>
      </c>
      <c r="C358" s="27" t="s">
        <v>42</v>
      </c>
      <c r="D358" s="28" t="str">
        <f>IFERROR(VLOOKUP(C358,'Employees List'!$B$2:$E1424,4,0),"")</f>
        <v>AMMU.S</v>
      </c>
      <c r="E358" s="29">
        <f>COUNTIF(F358:BO358,TRUE)/2</f>
        <v>28</v>
      </c>
      <c r="F358" s="30" t="b">
        <v>1</v>
      </c>
      <c r="G358" s="30" t="b">
        <v>1</v>
      </c>
      <c r="H358" s="30" t="b">
        <v>1</v>
      </c>
      <c r="I358" s="30" t="b">
        <v>1</v>
      </c>
      <c r="J358" s="30" t="b">
        <v>1</v>
      </c>
      <c r="K358" s="30" t="b">
        <v>1</v>
      </c>
      <c r="L358" s="30" t="b">
        <v>1</v>
      </c>
      <c r="M358" s="30" t="b">
        <v>1</v>
      </c>
      <c r="N358" s="30" t="b">
        <v>1</v>
      </c>
      <c r="O358" s="30" t="b">
        <v>1</v>
      </c>
      <c r="P358" s="30" t="b">
        <v>1</v>
      </c>
      <c r="Q358" s="30" t="b">
        <v>1</v>
      </c>
      <c r="R358" s="30" t="b">
        <v>1</v>
      </c>
      <c r="S358" s="30" t="b">
        <v>1</v>
      </c>
      <c r="T358" s="30" t="b">
        <v>0</v>
      </c>
      <c r="U358" s="30" t="b">
        <v>0</v>
      </c>
      <c r="V358" s="30" t="b">
        <v>1</v>
      </c>
      <c r="W358" s="30" t="b">
        <v>1</v>
      </c>
      <c r="X358" s="30" t="b">
        <v>1</v>
      </c>
      <c r="Y358" s="30" t="b">
        <v>1</v>
      </c>
      <c r="Z358" s="30" t="b">
        <v>1</v>
      </c>
      <c r="AA358" s="30" t="b">
        <v>1</v>
      </c>
      <c r="AB358" s="30" t="b">
        <v>1</v>
      </c>
      <c r="AC358" s="30" t="b">
        <v>1</v>
      </c>
      <c r="AD358" s="30" t="b">
        <v>1</v>
      </c>
      <c r="AE358" s="30" t="b">
        <v>1</v>
      </c>
      <c r="AF358" s="30" t="b">
        <v>1</v>
      </c>
      <c r="AG358" s="30" t="b">
        <v>1</v>
      </c>
      <c r="AH358" s="30" t="b">
        <v>1</v>
      </c>
      <c r="AI358" s="30" t="b">
        <v>1</v>
      </c>
      <c r="AJ358" s="30" t="b">
        <v>1</v>
      </c>
      <c r="AK358" s="30" t="b">
        <v>1</v>
      </c>
      <c r="AL358" s="30" t="b">
        <v>1</v>
      </c>
      <c r="AM358" s="30" t="b">
        <v>1</v>
      </c>
      <c r="AN358" s="30" t="b">
        <v>0</v>
      </c>
      <c r="AO358" s="30" t="b">
        <v>0</v>
      </c>
      <c r="AP358" s="30" t="b">
        <v>1</v>
      </c>
      <c r="AQ358" s="30" t="b">
        <v>1</v>
      </c>
      <c r="AR358" s="30" t="b">
        <v>1</v>
      </c>
      <c r="AS358" s="30" t="b">
        <v>1</v>
      </c>
      <c r="AT358" s="30" t="b">
        <v>1</v>
      </c>
      <c r="AU358" s="30" t="b">
        <v>1</v>
      </c>
      <c r="AV358" s="30" t="b">
        <v>1</v>
      </c>
      <c r="AW358" s="30" t="b">
        <v>1</v>
      </c>
      <c r="AX358" s="30" t="b">
        <v>1</v>
      </c>
      <c r="AY358" s="30" t="b">
        <v>1</v>
      </c>
      <c r="AZ358" s="30" t="b">
        <v>1</v>
      </c>
      <c r="BA358" s="30" t="b">
        <v>1</v>
      </c>
      <c r="BB358" s="30" t="b">
        <v>1</v>
      </c>
      <c r="BC358" s="30" t="b">
        <v>1</v>
      </c>
      <c r="BD358" s="30" t="b">
        <v>1</v>
      </c>
      <c r="BE358" s="30" t="b">
        <v>1</v>
      </c>
      <c r="BF358" s="30" t="b">
        <v>1</v>
      </c>
      <c r="BG358" s="30" t="b">
        <v>1</v>
      </c>
      <c r="BH358" s="30" t="b">
        <v>1</v>
      </c>
      <c r="BI358" s="30" t="b">
        <v>1</v>
      </c>
      <c r="BJ358" s="30" t="b">
        <v>1</v>
      </c>
      <c r="BK358" s="30" t="b">
        <v>1</v>
      </c>
      <c r="BL358" s="30" t="b">
        <v>1</v>
      </c>
      <c r="BM358" s="30" t="b">
        <v>1</v>
      </c>
      <c r="BN358" s="30" t="b">
        <v>0</v>
      </c>
      <c r="BO358" s="30" t="b">
        <v>0</v>
      </c>
    </row>
    <row r="359" hidden="1" outlineLevel="1">
      <c r="A359" s="31" t="str">
        <f>A358&amp;C359</f>
        <v>NovemberAMMU.SOT HOURS</v>
      </c>
      <c r="B359" s="32"/>
      <c r="C359" s="33" t="s">
        <v>169</v>
      </c>
      <c r="D359" s="17"/>
      <c r="E359" s="29">
        <f>SUM(F359:BO359)</f>
        <v>40</v>
      </c>
      <c r="F359" s="34">
        <v>2.0</v>
      </c>
      <c r="G359" s="17"/>
      <c r="H359" s="34"/>
      <c r="I359" s="17"/>
      <c r="J359" s="34">
        <v>1.0</v>
      </c>
      <c r="K359" s="17"/>
      <c r="L359" s="34">
        <v>2.0</v>
      </c>
      <c r="M359" s="17"/>
      <c r="N359" s="34">
        <v>2.0</v>
      </c>
      <c r="O359" s="17"/>
      <c r="P359" s="34">
        <v>2.0</v>
      </c>
      <c r="Q359" s="17"/>
      <c r="R359" s="34">
        <v>2.0</v>
      </c>
      <c r="S359" s="17"/>
      <c r="T359" s="34"/>
      <c r="U359" s="17"/>
      <c r="V359" s="34"/>
      <c r="W359" s="17"/>
      <c r="X359" s="34"/>
      <c r="Y359" s="17"/>
      <c r="Z359" s="34">
        <v>2.0</v>
      </c>
      <c r="AA359" s="17"/>
      <c r="AB359" s="34">
        <v>2.0</v>
      </c>
      <c r="AC359" s="17"/>
      <c r="AD359" s="34">
        <v>2.0</v>
      </c>
      <c r="AE359" s="17"/>
      <c r="AF359" s="34">
        <v>2.0</v>
      </c>
      <c r="AG359" s="17"/>
      <c r="AH359" s="34">
        <v>1.0</v>
      </c>
      <c r="AI359" s="17"/>
      <c r="AJ359" s="34"/>
      <c r="AK359" s="17"/>
      <c r="AL359" s="34"/>
      <c r="AM359" s="17"/>
      <c r="AN359" s="34"/>
      <c r="AO359" s="17"/>
      <c r="AP359" s="34">
        <v>2.0</v>
      </c>
      <c r="AQ359" s="17"/>
      <c r="AR359" s="34">
        <v>2.0</v>
      </c>
      <c r="AS359" s="17"/>
      <c r="AT359" s="34">
        <v>2.0</v>
      </c>
      <c r="AU359" s="17"/>
      <c r="AV359" s="34">
        <v>2.0</v>
      </c>
      <c r="AW359" s="17"/>
      <c r="AX359" s="34"/>
      <c r="AY359" s="17"/>
      <c r="AZ359" s="34">
        <v>2.0</v>
      </c>
      <c r="BA359" s="17"/>
      <c r="BB359" s="34">
        <v>2.0</v>
      </c>
      <c r="BC359" s="17"/>
      <c r="BD359" s="34">
        <v>2.0</v>
      </c>
      <c r="BE359" s="17"/>
      <c r="BF359" s="34">
        <v>2.0</v>
      </c>
      <c r="BG359" s="17"/>
      <c r="BH359" s="34">
        <v>2.0</v>
      </c>
      <c r="BI359" s="17"/>
      <c r="BJ359" s="34">
        <v>2.0</v>
      </c>
      <c r="BK359" s="17"/>
      <c r="BL359" s="34"/>
      <c r="BM359" s="17"/>
      <c r="BN359" s="34"/>
      <c r="BO359" s="17"/>
    </row>
    <row r="360" hidden="1" outlineLevel="1">
      <c r="A360" s="26" t="str">
        <f>B360&amp;D360</f>
        <v>NovemberREVATHI.S</v>
      </c>
      <c r="B360" s="27" t="s">
        <v>41</v>
      </c>
      <c r="C360" s="27" t="s">
        <v>46</v>
      </c>
      <c r="D360" s="28" t="str">
        <f>IFERROR(VLOOKUP(C360,'Employees List'!$B$2:$E1424,4,0),"")</f>
        <v>REVATHI.S</v>
      </c>
      <c r="E360" s="29">
        <f>COUNTIF(F360:BO360,TRUE)/2</f>
        <v>27</v>
      </c>
      <c r="F360" s="30" t="b">
        <v>1</v>
      </c>
      <c r="G360" s="30" t="b">
        <v>1</v>
      </c>
      <c r="H360" s="30" t="b">
        <v>1</v>
      </c>
      <c r="I360" s="30" t="b">
        <v>1</v>
      </c>
      <c r="J360" s="30" t="b">
        <v>1</v>
      </c>
      <c r="K360" s="30" t="b">
        <v>1</v>
      </c>
      <c r="L360" s="30" t="b">
        <v>1</v>
      </c>
      <c r="M360" s="30" t="b">
        <v>1</v>
      </c>
      <c r="N360" s="30" t="b">
        <v>1</v>
      </c>
      <c r="O360" s="30" t="b">
        <v>1</v>
      </c>
      <c r="P360" s="30" t="b">
        <v>1</v>
      </c>
      <c r="Q360" s="30" t="b">
        <v>1</v>
      </c>
      <c r="R360" s="30" t="b">
        <v>0</v>
      </c>
      <c r="S360" s="30" t="b">
        <v>0</v>
      </c>
      <c r="T360" s="30" t="b">
        <v>1</v>
      </c>
      <c r="U360" s="30" t="b">
        <v>1</v>
      </c>
      <c r="V360" s="30" t="b">
        <v>1</v>
      </c>
      <c r="W360" s="30" t="b">
        <v>1</v>
      </c>
      <c r="X360" s="30" t="b">
        <v>1</v>
      </c>
      <c r="Y360" s="30" t="b">
        <v>1</v>
      </c>
      <c r="Z360" s="30" t="b">
        <v>1</v>
      </c>
      <c r="AA360" s="30" t="b">
        <v>1</v>
      </c>
      <c r="AB360" s="30" t="b">
        <v>1</v>
      </c>
      <c r="AC360" s="30" t="b">
        <v>1</v>
      </c>
      <c r="AD360" s="30" t="b">
        <v>1</v>
      </c>
      <c r="AE360" s="30" t="b">
        <v>1</v>
      </c>
      <c r="AF360" s="30" t="b">
        <v>1</v>
      </c>
      <c r="AG360" s="30" t="b">
        <v>1</v>
      </c>
      <c r="AH360" s="30" t="b">
        <v>1</v>
      </c>
      <c r="AI360" s="30" t="b">
        <v>1</v>
      </c>
      <c r="AJ360" s="30" t="b">
        <v>1</v>
      </c>
      <c r="AK360" s="30" t="b">
        <v>1</v>
      </c>
      <c r="AL360" s="30" t="b">
        <v>1</v>
      </c>
      <c r="AM360" s="30" t="b">
        <v>1</v>
      </c>
      <c r="AN360" s="30" t="b">
        <v>1</v>
      </c>
      <c r="AO360" s="30" t="b">
        <v>1</v>
      </c>
      <c r="AP360" s="30" t="b">
        <v>1</v>
      </c>
      <c r="AQ360" s="30" t="b">
        <v>1</v>
      </c>
      <c r="AR360" s="30" t="b">
        <v>1</v>
      </c>
      <c r="AS360" s="30" t="b">
        <v>1</v>
      </c>
      <c r="AT360" s="30" t="b">
        <v>0</v>
      </c>
      <c r="AU360" s="30" t="b">
        <v>0</v>
      </c>
      <c r="AV360" s="30" t="b">
        <v>1</v>
      </c>
      <c r="AW360" s="30" t="b">
        <v>1</v>
      </c>
      <c r="AX360" s="30" t="b">
        <v>1</v>
      </c>
      <c r="AY360" s="30" t="b">
        <v>1</v>
      </c>
      <c r="AZ360" s="30" t="b">
        <v>0</v>
      </c>
      <c r="BA360" s="30" t="b">
        <v>0</v>
      </c>
      <c r="BB360" s="30" t="b">
        <v>1</v>
      </c>
      <c r="BC360" s="30" t="b">
        <v>1</v>
      </c>
      <c r="BD360" s="30" t="b">
        <v>1</v>
      </c>
      <c r="BE360" s="30" t="b">
        <v>1</v>
      </c>
      <c r="BF360" s="30" t="b">
        <v>1</v>
      </c>
      <c r="BG360" s="30" t="b">
        <v>1</v>
      </c>
      <c r="BH360" s="30" t="b">
        <v>1</v>
      </c>
      <c r="BI360" s="30" t="b">
        <v>1</v>
      </c>
      <c r="BJ360" s="30" t="b">
        <v>1</v>
      </c>
      <c r="BK360" s="30" t="b">
        <v>1</v>
      </c>
      <c r="BL360" s="30" t="b">
        <v>1</v>
      </c>
      <c r="BM360" s="30" t="b">
        <v>1</v>
      </c>
      <c r="BN360" s="30" t="b">
        <v>0</v>
      </c>
      <c r="BO360" s="30" t="b">
        <v>0</v>
      </c>
    </row>
    <row r="361" hidden="1" outlineLevel="1">
      <c r="A361" s="31" t="str">
        <f>A360&amp;C361</f>
        <v>NovemberREVATHI.SOT HOURS</v>
      </c>
      <c r="B361" s="32"/>
      <c r="C361" s="33" t="s">
        <v>169</v>
      </c>
      <c r="D361" s="17"/>
      <c r="E361" s="29">
        <f>SUM(F361:BO361)</f>
        <v>43</v>
      </c>
      <c r="F361" s="34">
        <v>2.0</v>
      </c>
      <c r="G361" s="17"/>
      <c r="H361" s="34"/>
      <c r="I361" s="17"/>
      <c r="J361" s="34">
        <v>1.0</v>
      </c>
      <c r="K361" s="17"/>
      <c r="L361" s="34">
        <v>2.0</v>
      </c>
      <c r="M361" s="17"/>
      <c r="N361" s="34">
        <v>2.0</v>
      </c>
      <c r="O361" s="17"/>
      <c r="P361" s="34">
        <v>2.0</v>
      </c>
      <c r="Q361" s="17"/>
      <c r="R361" s="34"/>
      <c r="S361" s="17"/>
      <c r="T361" s="34">
        <v>2.0</v>
      </c>
      <c r="U361" s="17"/>
      <c r="V361" s="34">
        <v>5.0</v>
      </c>
      <c r="W361" s="17"/>
      <c r="X361" s="34"/>
      <c r="Y361" s="17"/>
      <c r="Z361" s="34">
        <v>2.0</v>
      </c>
      <c r="AA361" s="17"/>
      <c r="AB361" s="34">
        <v>2.0</v>
      </c>
      <c r="AC361" s="17"/>
      <c r="AD361" s="34">
        <v>2.0</v>
      </c>
      <c r="AE361" s="17"/>
      <c r="AF361" s="34">
        <v>2.0</v>
      </c>
      <c r="AG361" s="17"/>
      <c r="AH361" s="34">
        <v>1.0</v>
      </c>
      <c r="AI361" s="17"/>
      <c r="AJ361" s="34"/>
      <c r="AK361" s="17"/>
      <c r="AL361" s="34"/>
      <c r="AM361" s="17"/>
      <c r="AN361" s="34">
        <v>2.0</v>
      </c>
      <c r="AO361" s="17"/>
      <c r="AP361" s="34">
        <v>2.0</v>
      </c>
      <c r="AQ361" s="17"/>
      <c r="AR361" s="34">
        <v>2.0</v>
      </c>
      <c r="AS361" s="17"/>
      <c r="AT361" s="34"/>
      <c r="AU361" s="17"/>
      <c r="AV361" s="34">
        <v>2.0</v>
      </c>
      <c r="AW361" s="17"/>
      <c r="AX361" s="34"/>
      <c r="AY361" s="17"/>
      <c r="AZ361" s="34"/>
      <c r="BA361" s="17"/>
      <c r="BB361" s="34">
        <v>2.0</v>
      </c>
      <c r="BC361" s="17"/>
      <c r="BD361" s="34">
        <v>2.0</v>
      </c>
      <c r="BE361" s="17"/>
      <c r="BF361" s="34">
        <v>2.0</v>
      </c>
      <c r="BG361" s="17"/>
      <c r="BH361" s="34">
        <v>2.0</v>
      </c>
      <c r="BI361" s="17"/>
      <c r="BJ361" s="34">
        <v>2.0</v>
      </c>
      <c r="BK361" s="17"/>
      <c r="BL361" s="34"/>
      <c r="BM361" s="17"/>
      <c r="BN361" s="34"/>
      <c r="BO361" s="17"/>
    </row>
    <row r="362" hidden="1" outlineLevel="1">
      <c r="A362" s="26" t="str">
        <f>B362&amp;D362</f>
        <v>NovemberLEELAVATHI.M</v>
      </c>
      <c r="B362" s="27" t="s">
        <v>41</v>
      </c>
      <c r="C362" s="27" t="s">
        <v>74</v>
      </c>
      <c r="D362" s="28" t="str">
        <f>IFERROR(VLOOKUP(C362,'Employees List'!$B$2:$E1424,4,0),"")</f>
        <v>LEELAVATHI.M</v>
      </c>
      <c r="E362" s="29">
        <f>COUNTIF(F362:BO362,TRUE)/2</f>
        <v>30</v>
      </c>
      <c r="F362" s="30" t="b">
        <v>1</v>
      </c>
      <c r="G362" s="30" t="b">
        <v>1</v>
      </c>
      <c r="H362" s="30" t="b">
        <v>1</v>
      </c>
      <c r="I362" s="30" t="b">
        <v>1</v>
      </c>
      <c r="J362" s="30" t="b">
        <v>1</v>
      </c>
      <c r="K362" s="30" t="b">
        <v>1</v>
      </c>
      <c r="L362" s="30" t="b">
        <v>1</v>
      </c>
      <c r="M362" s="30" t="b">
        <v>1</v>
      </c>
      <c r="N362" s="30" t="b">
        <v>1</v>
      </c>
      <c r="O362" s="30" t="b">
        <v>1</v>
      </c>
      <c r="P362" s="30" t="b">
        <v>1</v>
      </c>
      <c r="Q362" s="30" t="b">
        <v>1</v>
      </c>
      <c r="R362" s="30" t="b">
        <v>1</v>
      </c>
      <c r="S362" s="30" t="b">
        <v>1</v>
      </c>
      <c r="T362" s="30" t="b">
        <v>1</v>
      </c>
      <c r="U362" s="30" t="b">
        <v>1</v>
      </c>
      <c r="V362" s="30" t="b">
        <v>1</v>
      </c>
      <c r="W362" s="30" t="b">
        <v>1</v>
      </c>
      <c r="X362" s="30" t="b">
        <v>1</v>
      </c>
      <c r="Y362" s="30" t="b">
        <v>1</v>
      </c>
      <c r="Z362" s="30" t="b">
        <v>1</v>
      </c>
      <c r="AA362" s="30" t="b">
        <v>1</v>
      </c>
      <c r="AB362" s="30" t="b">
        <v>1</v>
      </c>
      <c r="AC362" s="30" t="b">
        <v>1</v>
      </c>
      <c r="AD362" s="30" t="b">
        <v>1</v>
      </c>
      <c r="AE362" s="30" t="b">
        <v>1</v>
      </c>
      <c r="AF362" s="30" t="b">
        <v>1</v>
      </c>
      <c r="AG362" s="30" t="b">
        <v>1</v>
      </c>
      <c r="AH362" s="30" t="b">
        <v>1</v>
      </c>
      <c r="AI362" s="30" t="b">
        <v>1</v>
      </c>
      <c r="AJ362" s="30" t="b">
        <v>1</v>
      </c>
      <c r="AK362" s="30" t="b">
        <v>1</v>
      </c>
      <c r="AL362" s="30" t="b">
        <v>1</v>
      </c>
      <c r="AM362" s="30" t="b">
        <v>1</v>
      </c>
      <c r="AN362" s="30" t="b">
        <v>1</v>
      </c>
      <c r="AO362" s="30" t="b">
        <v>1</v>
      </c>
      <c r="AP362" s="30" t="b">
        <v>1</v>
      </c>
      <c r="AQ362" s="30" t="b">
        <v>1</v>
      </c>
      <c r="AR362" s="30" t="b">
        <v>1</v>
      </c>
      <c r="AS362" s="30" t="b">
        <v>1</v>
      </c>
      <c r="AT362" s="30" t="b">
        <v>1</v>
      </c>
      <c r="AU362" s="30" t="b">
        <v>1</v>
      </c>
      <c r="AV362" s="30" t="b">
        <v>1</v>
      </c>
      <c r="AW362" s="30" t="b">
        <v>1</v>
      </c>
      <c r="AX362" s="30" t="b">
        <v>1</v>
      </c>
      <c r="AY362" s="30" t="b">
        <v>1</v>
      </c>
      <c r="AZ362" s="30" t="b">
        <v>1</v>
      </c>
      <c r="BA362" s="30" t="b">
        <v>1</v>
      </c>
      <c r="BB362" s="30" t="b">
        <v>1</v>
      </c>
      <c r="BC362" s="30" t="b">
        <v>1</v>
      </c>
      <c r="BD362" s="30" t="b">
        <v>1</v>
      </c>
      <c r="BE362" s="30" t="b">
        <v>1</v>
      </c>
      <c r="BF362" s="30" t="b">
        <v>1</v>
      </c>
      <c r="BG362" s="30" t="b">
        <v>1</v>
      </c>
      <c r="BH362" s="30" t="b">
        <v>1</v>
      </c>
      <c r="BI362" s="30" t="b">
        <v>1</v>
      </c>
      <c r="BJ362" s="30" t="b">
        <v>1</v>
      </c>
      <c r="BK362" s="30" t="b">
        <v>1</v>
      </c>
      <c r="BL362" s="30" t="b">
        <v>1</v>
      </c>
      <c r="BM362" s="30" t="b">
        <v>1</v>
      </c>
      <c r="BN362" s="30" t="b">
        <v>0</v>
      </c>
      <c r="BO362" s="30" t="b">
        <v>0</v>
      </c>
    </row>
    <row r="363" hidden="1" outlineLevel="1">
      <c r="A363" s="31" t="str">
        <f>A362&amp;C363</f>
        <v>NovemberLEELAVATHI.MOT HOURS</v>
      </c>
      <c r="B363" s="32"/>
      <c r="C363" s="33" t="s">
        <v>169</v>
      </c>
      <c r="D363" s="17"/>
      <c r="E363" s="29">
        <f>SUM(F363:BO363)</f>
        <v>29</v>
      </c>
      <c r="F363" s="34">
        <v>2.0</v>
      </c>
      <c r="G363" s="17"/>
      <c r="H363" s="34"/>
      <c r="I363" s="17"/>
      <c r="J363" s="34"/>
      <c r="K363" s="17"/>
      <c r="L363" s="34">
        <v>1.0</v>
      </c>
      <c r="M363" s="17"/>
      <c r="N363" s="34">
        <v>2.0</v>
      </c>
      <c r="O363" s="17"/>
      <c r="P363" s="34">
        <v>1.0</v>
      </c>
      <c r="Q363" s="17"/>
      <c r="R363" s="34"/>
      <c r="S363" s="17"/>
      <c r="T363" s="34">
        <v>2.0</v>
      </c>
      <c r="U363" s="17"/>
      <c r="V363" s="34">
        <v>4.0</v>
      </c>
      <c r="W363" s="17"/>
      <c r="X363" s="34"/>
      <c r="Y363" s="17"/>
      <c r="Z363" s="34"/>
      <c r="AA363" s="17"/>
      <c r="AB363" s="34">
        <v>2.0</v>
      </c>
      <c r="AC363" s="17"/>
      <c r="AD363" s="34"/>
      <c r="AE363" s="17"/>
      <c r="AF363" s="34"/>
      <c r="AG363" s="17"/>
      <c r="AH363" s="34"/>
      <c r="AI363" s="17"/>
      <c r="AJ363" s="34"/>
      <c r="AK363" s="17"/>
      <c r="AL363" s="34"/>
      <c r="AM363" s="17"/>
      <c r="AN363" s="34">
        <v>1.0</v>
      </c>
      <c r="AO363" s="17"/>
      <c r="AP363" s="34">
        <v>2.0</v>
      </c>
      <c r="AQ363" s="17"/>
      <c r="AR363" s="34">
        <v>1.0</v>
      </c>
      <c r="AS363" s="17"/>
      <c r="AT363" s="34">
        <v>1.0</v>
      </c>
      <c r="AU363" s="17"/>
      <c r="AV363" s="34">
        <v>2.0</v>
      </c>
      <c r="AW363" s="17"/>
      <c r="AX363" s="34"/>
      <c r="AY363" s="17"/>
      <c r="AZ363" s="34">
        <v>1.0</v>
      </c>
      <c r="BA363" s="17"/>
      <c r="BB363" s="34">
        <v>1.0</v>
      </c>
      <c r="BC363" s="17"/>
      <c r="BD363" s="34">
        <v>2.0</v>
      </c>
      <c r="BE363" s="17"/>
      <c r="BF363" s="34">
        <v>1.0</v>
      </c>
      <c r="BG363" s="17"/>
      <c r="BH363" s="34">
        <v>2.0</v>
      </c>
      <c r="BI363" s="17"/>
      <c r="BJ363" s="34">
        <v>1.0</v>
      </c>
      <c r="BK363" s="17"/>
      <c r="BL363" s="34"/>
      <c r="BM363" s="17"/>
      <c r="BN363" s="34"/>
      <c r="BO363" s="17"/>
    </row>
    <row r="364" hidden="1" outlineLevel="1">
      <c r="A364" s="26" t="str">
        <f>B364&amp;D364</f>
        <v>NovemberSANJAY BAGARTTI.K</v>
      </c>
      <c r="B364" s="27" t="s">
        <v>41</v>
      </c>
      <c r="C364" s="27" t="s">
        <v>34</v>
      </c>
      <c r="D364" s="28" t="str">
        <f>IFERROR(VLOOKUP(C364,'Employees List'!$B$2:$E1424,4,0),"")</f>
        <v>SANJAY BAGARTTI.K</v>
      </c>
      <c r="E364" s="29">
        <f>COUNTIF(F364:BO364,TRUE)/2</f>
        <v>30</v>
      </c>
      <c r="F364" s="30" t="b">
        <v>1</v>
      </c>
      <c r="G364" s="30" t="b">
        <v>1</v>
      </c>
      <c r="H364" s="30" t="b">
        <v>1</v>
      </c>
      <c r="I364" s="30" t="b">
        <v>1</v>
      </c>
      <c r="J364" s="30" t="b">
        <v>1</v>
      </c>
      <c r="K364" s="30" t="b">
        <v>1</v>
      </c>
      <c r="L364" s="30" t="b">
        <v>1</v>
      </c>
      <c r="M364" s="30" t="b">
        <v>1</v>
      </c>
      <c r="N364" s="30" t="b">
        <v>1</v>
      </c>
      <c r="O364" s="30" t="b">
        <v>1</v>
      </c>
      <c r="P364" s="30" t="b">
        <v>1</v>
      </c>
      <c r="Q364" s="30" t="b">
        <v>1</v>
      </c>
      <c r="R364" s="30" t="b">
        <v>1</v>
      </c>
      <c r="S364" s="30" t="b">
        <v>1</v>
      </c>
      <c r="T364" s="30" t="b">
        <v>1</v>
      </c>
      <c r="U364" s="30" t="b">
        <v>1</v>
      </c>
      <c r="V364" s="30" t="b">
        <v>1</v>
      </c>
      <c r="W364" s="30" t="b">
        <v>1</v>
      </c>
      <c r="X364" s="30" t="b">
        <v>1</v>
      </c>
      <c r="Y364" s="30" t="b">
        <v>1</v>
      </c>
      <c r="Z364" s="30" t="b">
        <v>1</v>
      </c>
      <c r="AA364" s="30" t="b">
        <v>1</v>
      </c>
      <c r="AB364" s="30" t="b">
        <v>1</v>
      </c>
      <c r="AC364" s="30" t="b">
        <v>1</v>
      </c>
      <c r="AD364" s="30" t="b">
        <v>1</v>
      </c>
      <c r="AE364" s="30" t="b">
        <v>1</v>
      </c>
      <c r="AF364" s="30" t="b">
        <v>1</v>
      </c>
      <c r="AG364" s="30" t="b">
        <v>1</v>
      </c>
      <c r="AH364" s="30" t="b">
        <v>1</v>
      </c>
      <c r="AI364" s="30" t="b">
        <v>1</v>
      </c>
      <c r="AJ364" s="30" t="b">
        <v>1</v>
      </c>
      <c r="AK364" s="30" t="b">
        <v>1</v>
      </c>
      <c r="AL364" s="30" t="b">
        <v>1</v>
      </c>
      <c r="AM364" s="30" t="b">
        <v>1</v>
      </c>
      <c r="AN364" s="30" t="b">
        <v>1</v>
      </c>
      <c r="AO364" s="30" t="b">
        <v>1</v>
      </c>
      <c r="AP364" s="30" t="b">
        <v>1</v>
      </c>
      <c r="AQ364" s="30" t="b">
        <v>1</v>
      </c>
      <c r="AR364" s="30" t="b">
        <v>1</v>
      </c>
      <c r="AS364" s="30" t="b">
        <v>1</v>
      </c>
      <c r="AT364" s="30" t="b">
        <v>1</v>
      </c>
      <c r="AU364" s="30" t="b">
        <v>1</v>
      </c>
      <c r="AV364" s="30" t="b">
        <v>1</v>
      </c>
      <c r="AW364" s="30" t="b">
        <v>1</v>
      </c>
      <c r="AX364" s="30" t="b">
        <v>1</v>
      </c>
      <c r="AY364" s="30" t="b">
        <v>1</v>
      </c>
      <c r="AZ364" s="30" t="b">
        <v>1</v>
      </c>
      <c r="BA364" s="30" t="b">
        <v>1</v>
      </c>
      <c r="BB364" s="30" t="b">
        <v>1</v>
      </c>
      <c r="BC364" s="30" t="b">
        <v>1</v>
      </c>
      <c r="BD364" s="30" t="b">
        <v>1</v>
      </c>
      <c r="BE364" s="30" t="b">
        <v>1</v>
      </c>
      <c r="BF364" s="30" t="b">
        <v>1</v>
      </c>
      <c r="BG364" s="30" t="b">
        <v>1</v>
      </c>
      <c r="BH364" s="30" t="b">
        <v>1</v>
      </c>
      <c r="BI364" s="30" t="b">
        <v>1</v>
      </c>
      <c r="BJ364" s="30" t="b">
        <v>1</v>
      </c>
      <c r="BK364" s="30" t="b">
        <v>1</v>
      </c>
      <c r="BL364" s="30" t="b">
        <v>1</v>
      </c>
      <c r="BM364" s="30" t="b">
        <v>1</v>
      </c>
      <c r="BN364" s="30" t="b">
        <v>0</v>
      </c>
      <c r="BO364" s="30" t="b">
        <v>0</v>
      </c>
    </row>
    <row r="365" hidden="1" outlineLevel="1">
      <c r="A365" s="31" t="str">
        <f>A364&amp;C365</f>
        <v>NovemberSANJAY BAGARTTI.KOT HOURS</v>
      </c>
      <c r="B365" s="32"/>
      <c r="C365" s="33" t="s">
        <v>169</v>
      </c>
      <c r="D365" s="17"/>
      <c r="E365" s="29">
        <f>SUM(F365:BO365)</f>
        <v>97</v>
      </c>
      <c r="F365" s="34">
        <v>7.0</v>
      </c>
      <c r="G365" s="17"/>
      <c r="H365" s="34"/>
      <c r="I365" s="17"/>
      <c r="J365" s="34">
        <v>4.0</v>
      </c>
      <c r="K365" s="17"/>
      <c r="L365" s="34">
        <v>5.0</v>
      </c>
      <c r="M365" s="17"/>
      <c r="N365" s="34">
        <v>4.0</v>
      </c>
      <c r="O365" s="17"/>
      <c r="P365" s="34">
        <v>2.0</v>
      </c>
      <c r="Q365" s="17"/>
      <c r="R365" s="34">
        <v>2.0</v>
      </c>
      <c r="S365" s="17"/>
      <c r="T365" s="34">
        <v>4.0</v>
      </c>
      <c r="U365" s="17"/>
      <c r="V365" s="34">
        <v>5.0</v>
      </c>
      <c r="W365" s="17"/>
      <c r="X365" s="34"/>
      <c r="Y365" s="17"/>
      <c r="Z365" s="34">
        <v>5.0</v>
      </c>
      <c r="AA365" s="17"/>
      <c r="AB365" s="34">
        <v>4.0</v>
      </c>
      <c r="AC365" s="17"/>
      <c r="AD365" s="34">
        <v>4.0</v>
      </c>
      <c r="AE365" s="17"/>
      <c r="AF365" s="34">
        <v>2.0</v>
      </c>
      <c r="AG365" s="17"/>
      <c r="AH365" s="34">
        <v>7.0</v>
      </c>
      <c r="AI365" s="17"/>
      <c r="AJ365" s="34">
        <v>12.0</v>
      </c>
      <c r="AK365" s="17"/>
      <c r="AL365" s="34">
        <v>1.0</v>
      </c>
      <c r="AM365" s="17"/>
      <c r="AN365" s="34">
        <v>4.0</v>
      </c>
      <c r="AO365" s="17"/>
      <c r="AP365" s="34">
        <v>4.0</v>
      </c>
      <c r="AQ365" s="17"/>
      <c r="AR365" s="34">
        <v>4.0</v>
      </c>
      <c r="AS365" s="17"/>
      <c r="AT365" s="34"/>
      <c r="AU365" s="17"/>
      <c r="AV365" s="34">
        <v>3.0</v>
      </c>
      <c r="AW365" s="17"/>
      <c r="AX365" s="34"/>
      <c r="AY365" s="17"/>
      <c r="AZ365" s="34">
        <v>2.0</v>
      </c>
      <c r="BA365" s="17"/>
      <c r="BB365" s="34">
        <v>2.0</v>
      </c>
      <c r="BC365" s="17"/>
      <c r="BD365" s="34">
        <v>2.0</v>
      </c>
      <c r="BE365" s="17"/>
      <c r="BF365" s="34">
        <v>2.0</v>
      </c>
      <c r="BG365" s="17"/>
      <c r="BH365" s="34">
        <v>2.0</v>
      </c>
      <c r="BI365" s="17"/>
      <c r="BJ365" s="34">
        <v>4.0</v>
      </c>
      <c r="BK365" s="17"/>
      <c r="BL365" s="34"/>
      <c r="BM365" s="17"/>
      <c r="BN365" s="34"/>
      <c r="BO365" s="17"/>
    </row>
    <row r="366" hidden="1" outlineLevel="1">
      <c r="A366" s="26" t="str">
        <f>B366&amp;D366</f>
        <v>NovemberVASANTHA.E</v>
      </c>
      <c r="B366" s="27" t="s">
        <v>41</v>
      </c>
      <c r="C366" s="27" t="s">
        <v>17</v>
      </c>
      <c r="D366" s="28" t="str">
        <f>IFERROR(VLOOKUP(C366,'Employees List'!$B$2:$E1424,4,0),"")</f>
        <v>VASANTHA.E</v>
      </c>
      <c r="E366" s="29">
        <f>COUNTIF(F366:BO366,TRUE)/2</f>
        <v>29</v>
      </c>
      <c r="F366" s="30" t="b">
        <v>1</v>
      </c>
      <c r="G366" s="30" t="b">
        <v>1</v>
      </c>
      <c r="H366" s="30" t="b">
        <v>1</v>
      </c>
      <c r="I366" s="30" t="b">
        <v>1</v>
      </c>
      <c r="J366" s="30" t="b">
        <v>1</v>
      </c>
      <c r="K366" s="30" t="b">
        <v>1</v>
      </c>
      <c r="L366" s="30" t="b">
        <v>1</v>
      </c>
      <c r="M366" s="30" t="b">
        <v>1</v>
      </c>
      <c r="N366" s="30" t="b">
        <v>1</v>
      </c>
      <c r="O366" s="30" t="b">
        <v>1</v>
      </c>
      <c r="P366" s="30" t="b">
        <v>1</v>
      </c>
      <c r="Q366" s="30" t="b">
        <v>1</v>
      </c>
      <c r="R366" s="30" t="b">
        <v>1</v>
      </c>
      <c r="S366" s="30" t="b">
        <v>1</v>
      </c>
      <c r="T366" s="30" t="b">
        <v>1</v>
      </c>
      <c r="U366" s="30" t="b">
        <v>1</v>
      </c>
      <c r="V366" s="30" t="b">
        <v>1</v>
      </c>
      <c r="W366" s="30" t="b">
        <v>1</v>
      </c>
      <c r="X366" s="30" t="b">
        <v>1</v>
      </c>
      <c r="Y366" s="30" t="b">
        <v>1</v>
      </c>
      <c r="Z366" s="30" t="b">
        <v>1</v>
      </c>
      <c r="AA366" s="30" t="b">
        <v>1</v>
      </c>
      <c r="AB366" s="30" t="b">
        <v>1</v>
      </c>
      <c r="AC366" s="30" t="b">
        <v>1</v>
      </c>
      <c r="AD366" s="30" t="b">
        <v>1</v>
      </c>
      <c r="AE366" s="30" t="b">
        <v>1</v>
      </c>
      <c r="AF366" s="30" t="b">
        <v>1</v>
      </c>
      <c r="AG366" s="30" t="b">
        <v>1</v>
      </c>
      <c r="AH366" s="30" t="b">
        <v>1</v>
      </c>
      <c r="AI366" s="30" t="b">
        <v>1</v>
      </c>
      <c r="AJ366" s="30" t="b">
        <v>1</v>
      </c>
      <c r="AK366" s="30" t="b">
        <v>1</v>
      </c>
      <c r="AL366" s="30" t="b">
        <v>1</v>
      </c>
      <c r="AM366" s="30" t="b">
        <v>1</v>
      </c>
      <c r="AN366" s="30" t="b">
        <v>1</v>
      </c>
      <c r="AO366" s="30" t="b">
        <v>1</v>
      </c>
      <c r="AP366" s="30" t="b">
        <v>1</v>
      </c>
      <c r="AQ366" s="30" t="b">
        <v>1</v>
      </c>
      <c r="AR366" s="30" t="b">
        <v>1</v>
      </c>
      <c r="AS366" s="30" t="b">
        <v>1</v>
      </c>
      <c r="AT366" s="30" t="b">
        <v>0</v>
      </c>
      <c r="AU366" s="30" t="b">
        <v>0</v>
      </c>
      <c r="AV366" s="30" t="b">
        <v>1</v>
      </c>
      <c r="AW366" s="30" t="b">
        <v>1</v>
      </c>
      <c r="AX366" s="30" t="b">
        <v>1</v>
      </c>
      <c r="AY366" s="30" t="b">
        <v>1</v>
      </c>
      <c r="AZ366" s="30" t="b">
        <v>1</v>
      </c>
      <c r="BA366" s="30" t="b">
        <v>1</v>
      </c>
      <c r="BB366" s="30" t="b">
        <v>1</v>
      </c>
      <c r="BC366" s="30" t="b">
        <v>1</v>
      </c>
      <c r="BD366" s="30" t="b">
        <v>1</v>
      </c>
      <c r="BE366" s="30" t="b">
        <v>1</v>
      </c>
      <c r="BF366" s="30" t="b">
        <v>1</v>
      </c>
      <c r="BG366" s="30" t="b">
        <v>1</v>
      </c>
      <c r="BH366" s="30" t="b">
        <v>1</v>
      </c>
      <c r="BI366" s="30" t="b">
        <v>1</v>
      </c>
      <c r="BJ366" s="30" t="b">
        <v>1</v>
      </c>
      <c r="BK366" s="30" t="b">
        <v>1</v>
      </c>
      <c r="BL366" s="30" t="b">
        <v>1</v>
      </c>
      <c r="BM366" s="30" t="b">
        <v>1</v>
      </c>
      <c r="BN366" s="30" t="b">
        <v>0</v>
      </c>
      <c r="BO366" s="30" t="b">
        <v>0</v>
      </c>
    </row>
    <row r="367" hidden="1" outlineLevel="1">
      <c r="A367" s="31" t="str">
        <f>A366&amp;C367</f>
        <v>NovemberVASANTHA.EOT HOURS</v>
      </c>
      <c r="B367" s="32"/>
      <c r="C367" s="33" t="s">
        <v>169</v>
      </c>
      <c r="D367" s="17"/>
      <c r="E367" s="29">
        <f>SUM(F367:BO367)</f>
        <v>47</v>
      </c>
      <c r="F367" s="34">
        <v>2.0</v>
      </c>
      <c r="G367" s="17"/>
      <c r="H367" s="34"/>
      <c r="I367" s="17"/>
      <c r="J367" s="34">
        <v>1.0</v>
      </c>
      <c r="K367" s="17"/>
      <c r="L367" s="34">
        <v>2.0</v>
      </c>
      <c r="M367" s="17"/>
      <c r="N367" s="34">
        <v>2.0</v>
      </c>
      <c r="O367" s="17"/>
      <c r="P367" s="34">
        <v>2.0</v>
      </c>
      <c r="Q367" s="17"/>
      <c r="R367" s="34">
        <v>2.0</v>
      </c>
      <c r="S367" s="17"/>
      <c r="T367" s="34">
        <v>2.0</v>
      </c>
      <c r="U367" s="17"/>
      <c r="V367" s="34">
        <v>5.0</v>
      </c>
      <c r="W367" s="17"/>
      <c r="X367" s="34"/>
      <c r="Y367" s="17"/>
      <c r="Z367" s="34">
        <v>2.0</v>
      </c>
      <c r="AA367" s="17"/>
      <c r="AB367" s="34">
        <v>2.0</v>
      </c>
      <c r="AC367" s="17"/>
      <c r="AD367" s="34">
        <v>2.0</v>
      </c>
      <c r="AE367" s="17"/>
      <c r="AF367" s="34">
        <v>2.0</v>
      </c>
      <c r="AG367" s="17"/>
      <c r="AH367" s="34">
        <v>1.0</v>
      </c>
      <c r="AI367" s="17"/>
      <c r="AJ367" s="34"/>
      <c r="AK367" s="17"/>
      <c r="AL367" s="34"/>
      <c r="AM367" s="17"/>
      <c r="AN367" s="34">
        <v>2.0</v>
      </c>
      <c r="AO367" s="17"/>
      <c r="AP367" s="34">
        <v>2.0</v>
      </c>
      <c r="AQ367" s="17"/>
      <c r="AR367" s="34">
        <v>2.0</v>
      </c>
      <c r="AS367" s="17"/>
      <c r="AT367" s="34"/>
      <c r="AU367" s="17"/>
      <c r="AV367" s="34">
        <v>2.0</v>
      </c>
      <c r="AW367" s="17"/>
      <c r="AX367" s="34"/>
      <c r="AY367" s="17"/>
      <c r="AZ367" s="34">
        <v>2.0</v>
      </c>
      <c r="BA367" s="17"/>
      <c r="BB367" s="34">
        <v>2.0</v>
      </c>
      <c r="BC367" s="17"/>
      <c r="BD367" s="34">
        <v>2.0</v>
      </c>
      <c r="BE367" s="17"/>
      <c r="BF367" s="34">
        <v>2.0</v>
      </c>
      <c r="BG367" s="17"/>
      <c r="BH367" s="34">
        <v>2.0</v>
      </c>
      <c r="BI367" s="17"/>
      <c r="BJ367" s="34">
        <v>2.0</v>
      </c>
      <c r="BK367" s="17"/>
      <c r="BL367" s="34"/>
      <c r="BM367" s="17"/>
      <c r="BN367" s="34"/>
      <c r="BO367" s="17"/>
    </row>
    <row r="368" hidden="1" outlineLevel="1">
      <c r="A368" s="14"/>
      <c r="B368" s="15"/>
      <c r="C368" s="20">
        <v>45992.0</v>
      </c>
      <c r="D368" s="17"/>
      <c r="E368" s="18"/>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c r="BD368" s="21"/>
      <c r="BE368" s="21"/>
      <c r="BF368" s="21"/>
      <c r="BG368" s="21"/>
      <c r="BH368" s="21"/>
      <c r="BI368" s="21"/>
      <c r="BJ368" s="21"/>
      <c r="BK368" s="21"/>
      <c r="BL368" s="21"/>
      <c r="BM368" s="21"/>
      <c r="BN368" s="21"/>
      <c r="BO368" s="21"/>
    </row>
    <row r="369" hidden="1" outlineLevel="1">
      <c r="A369" s="22"/>
      <c r="B369" s="23"/>
      <c r="C369" s="24" t="s">
        <v>1</v>
      </c>
      <c r="D369" s="24" t="s">
        <v>4</v>
      </c>
      <c r="E369" s="25" t="s">
        <v>166</v>
      </c>
      <c r="F369" s="24" t="s">
        <v>167</v>
      </c>
      <c r="G369" s="24" t="s">
        <v>168</v>
      </c>
      <c r="H369" s="24" t="s">
        <v>167</v>
      </c>
      <c r="I369" s="24" t="s">
        <v>168</v>
      </c>
      <c r="J369" s="24" t="s">
        <v>167</v>
      </c>
      <c r="K369" s="24" t="s">
        <v>168</v>
      </c>
      <c r="L369" s="24" t="s">
        <v>167</v>
      </c>
      <c r="M369" s="24" t="s">
        <v>168</v>
      </c>
      <c r="N369" s="24" t="s">
        <v>167</v>
      </c>
      <c r="O369" s="24" t="s">
        <v>168</v>
      </c>
      <c r="P369" s="24" t="s">
        <v>167</v>
      </c>
      <c r="Q369" s="24" t="s">
        <v>168</v>
      </c>
      <c r="R369" s="24" t="s">
        <v>167</v>
      </c>
      <c r="S369" s="24" t="s">
        <v>168</v>
      </c>
      <c r="T369" s="24" t="s">
        <v>167</v>
      </c>
      <c r="U369" s="24" t="s">
        <v>168</v>
      </c>
      <c r="V369" s="24" t="s">
        <v>167</v>
      </c>
      <c r="W369" s="24" t="s">
        <v>168</v>
      </c>
      <c r="X369" s="24" t="s">
        <v>167</v>
      </c>
      <c r="Y369" s="24" t="s">
        <v>168</v>
      </c>
      <c r="Z369" s="24" t="s">
        <v>167</v>
      </c>
      <c r="AA369" s="24" t="s">
        <v>168</v>
      </c>
      <c r="AB369" s="24" t="s">
        <v>167</v>
      </c>
      <c r="AC369" s="24" t="s">
        <v>168</v>
      </c>
      <c r="AD369" s="24" t="s">
        <v>167</v>
      </c>
      <c r="AE369" s="24" t="s">
        <v>168</v>
      </c>
      <c r="AF369" s="24" t="s">
        <v>167</v>
      </c>
      <c r="AG369" s="24" t="s">
        <v>168</v>
      </c>
      <c r="AH369" s="24" t="s">
        <v>167</v>
      </c>
      <c r="AI369" s="24" t="s">
        <v>168</v>
      </c>
      <c r="AJ369" s="24" t="s">
        <v>167</v>
      </c>
      <c r="AK369" s="24" t="s">
        <v>168</v>
      </c>
      <c r="AL369" s="24" t="s">
        <v>167</v>
      </c>
      <c r="AM369" s="24" t="s">
        <v>168</v>
      </c>
      <c r="AN369" s="24" t="s">
        <v>167</v>
      </c>
      <c r="AO369" s="24" t="s">
        <v>168</v>
      </c>
      <c r="AP369" s="24" t="s">
        <v>167</v>
      </c>
      <c r="AQ369" s="24" t="s">
        <v>168</v>
      </c>
      <c r="AR369" s="24" t="s">
        <v>167</v>
      </c>
      <c r="AS369" s="24" t="s">
        <v>168</v>
      </c>
      <c r="AT369" s="24" t="s">
        <v>167</v>
      </c>
      <c r="AU369" s="24" t="s">
        <v>168</v>
      </c>
      <c r="AV369" s="24" t="s">
        <v>167</v>
      </c>
      <c r="AW369" s="24" t="s">
        <v>168</v>
      </c>
      <c r="AX369" s="24" t="s">
        <v>167</v>
      </c>
      <c r="AY369" s="24" t="s">
        <v>168</v>
      </c>
      <c r="AZ369" s="24" t="s">
        <v>167</v>
      </c>
      <c r="BA369" s="24" t="s">
        <v>168</v>
      </c>
      <c r="BB369" s="24" t="s">
        <v>167</v>
      </c>
      <c r="BC369" s="24" t="s">
        <v>168</v>
      </c>
      <c r="BD369" s="24" t="s">
        <v>167</v>
      </c>
      <c r="BE369" s="24" t="s">
        <v>168</v>
      </c>
      <c r="BF369" s="24" t="s">
        <v>167</v>
      </c>
      <c r="BG369" s="24" t="s">
        <v>168</v>
      </c>
      <c r="BH369" s="24" t="s">
        <v>167</v>
      </c>
      <c r="BI369" s="24" t="s">
        <v>168</v>
      </c>
      <c r="BJ369" s="24" t="s">
        <v>167</v>
      </c>
      <c r="BK369" s="24" t="s">
        <v>168</v>
      </c>
      <c r="BL369" s="24" t="s">
        <v>167</v>
      </c>
      <c r="BM369" s="24" t="s">
        <v>168</v>
      </c>
      <c r="BN369" s="24" t="s">
        <v>167</v>
      </c>
      <c r="BO369" s="24" t="s">
        <v>168</v>
      </c>
    </row>
    <row r="370" hidden="1" outlineLevel="1">
      <c r="A370" s="26" t="str">
        <f>B370&amp;D370</f>
        <v>DecemberBHUVANESHWARAN.V</v>
      </c>
      <c r="B370" s="27" t="s">
        <v>45</v>
      </c>
      <c r="C370" s="27" t="s">
        <v>13</v>
      </c>
      <c r="D370" s="39" t="str">
        <f>IFERROR(VLOOKUP(C370,'Employees List'!$B$2:$E1424,4,0),"")</f>
        <v>BHUVANESHWARAN.V</v>
      </c>
      <c r="E370" s="29">
        <f t="shared" ref="E370:E372" si="5">COUNTIF(F370:BO370,TRUE)/2</f>
        <v>31</v>
      </c>
      <c r="F370" s="30" t="b">
        <v>1</v>
      </c>
      <c r="G370" s="30" t="b">
        <v>1</v>
      </c>
      <c r="H370" s="30" t="b">
        <v>1</v>
      </c>
      <c r="I370" s="30" t="b">
        <v>1</v>
      </c>
      <c r="J370" s="30" t="b">
        <v>1</v>
      </c>
      <c r="K370" s="30" t="b">
        <v>1</v>
      </c>
      <c r="L370" s="30" t="b">
        <v>1</v>
      </c>
      <c r="M370" s="30" t="b">
        <v>1</v>
      </c>
      <c r="N370" s="30" t="b">
        <v>1</v>
      </c>
      <c r="O370" s="30" t="b">
        <v>1</v>
      </c>
      <c r="P370" s="30" t="b">
        <v>1</v>
      </c>
      <c r="Q370" s="30" t="b">
        <v>1</v>
      </c>
      <c r="R370" s="30" t="b">
        <v>1</v>
      </c>
      <c r="S370" s="30" t="b">
        <v>1</v>
      </c>
      <c r="T370" s="30" t="b">
        <v>1</v>
      </c>
      <c r="U370" s="30" t="b">
        <v>1</v>
      </c>
      <c r="V370" s="30" t="b">
        <v>1</v>
      </c>
      <c r="W370" s="30" t="b">
        <v>1</v>
      </c>
      <c r="X370" s="30" t="b">
        <v>1</v>
      </c>
      <c r="Y370" s="30" t="b">
        <v>1</v>
      </c>
      <c r="Z370" s="30" t="b">
        <v>1</v>
      </c>
      <c r="AA370" s="30" t="b">
        <v>1</v>
      </c>
      <c r="AB370" s="30" t="b">
        <v>1</v>
      </c>
      <c r="AC370" s="30" t="b">
        <v>1</v>
      </c>
      <c r="AD370" s="30" t="b">
        <v>1</v>
      </c>
      <c r="AE370" s="30" t="b">
        <v>1</v>
      </c>
      <c r="AF370" s="30" t="b">
        <v>1</v>
      </c>
      <c r="AG370" s="30" t="b">
        <v>1</v>
      </c>
      <c r="AH370" s="30" t="b">
        <v>1</v>
      </c>
      <c r="AI370" s="30" t="b">
        <v>1</v>
      </c>
      <c r="AJ370" s="30" t="b">
        <v>1</v>
      </c>
      <c r="AK370" s="30" t="b">
        <v>1</v>
      </c>
      <c r="AL370" s="30" t="b">
        <v>1</v>
      </c>
      <c r="AM370" s="30" t="b">
        <v>1</v>
      </c>
      <c r="AN370" s="30" t="b">
        <v>1</v>
      </c>
      <c r="AO370" s="30" t="b">
        <v>1</v>
      </c>
      <c r="AP370" s="30" t="b">
        <v>1</v>
      </c>
      <c r="AQ370" s="30" t="b">
        <v>1</v>
      </c>
      <c r="AR370" s="30" t="b">
        <v>1</v>
      </c>
      <c r="AS370" s="30" t="b">
        <v>1</v>
      </c>
      <c r="AT370" s="30" t="b">
        <v>1</v>
      </c>
      <c r="AU370" s="30" t="b">
        <v>1</v>
      </c>
      <c r="AV370" s="30" t="b">
        <v>1</v>
      </c>
      <c r="AW370" s="30" t="b">
        <v>1</v>
      </c>
      <c r="AX370" s="30" t="b">
        <v>1</v>
      </c>
      <c r="AY370" s="30" t="b">
        <v>1</v>
      </c>
      <c r="AZ370" s="30" t="b">
        <v>1</v>
      </c>
      <c r="BA370" s="30" t="b">
        <v>1</v>
      </c>
      <c r="BB370" s="30" t="b">
        <v>1</v>
      </c>
      <c r="BC370" s="30" t="b">
        <v>1</v>
      </c>
      <c r="BD370" s="30" t="b">
        <v>1</v>
      </c>
      <c r="BE370" s="30" t="b">
        <v>1</v>
      </c>
      <c r="BF370" s="30" t="b">
        <v>1</v>
      </c>
      <c r="BG370" s="30" t="b">
        <v>1</v>
      </c>
      <c r="BH370" s="30" t="b">
        <v>1</v>
      </c>
      <c r="BI370" s="30" t="b">
        <v>1</v>
      </c>
      <c r="BJ370" s="30" t="b">
        <v>1</v>
      </c>
      <c r="BK370" s="30" t="b">
        <v>1</v>
      </c>
      <c r="BL370" s="30" t="b">
        <v>1</v>
      </c>
      <c r="BM370" s="30" t="b">
        <v>1</v>
      </c>
      <c r="BN370" s="30" t="b">
        <v>1</v>
      </c>
      <c r="BO370" s="30" t="b">
        <v>1</v>
      </c>
    </row>
    <row r="371" hidden="1" outlineLevel="1">
      <c r="A371" s="31" t="str">
        <f>A370&amp;C371</f>
        <v>DecemberBHUVANESHWARAN.VOT HOURS</v>
      </c>
      <c r="B371" s="32"/>
      <c r="C371" s="33" t="s">
        <v>169</v>
      </c>
      <c r="D371" s="17"/>
      <c r="E371" s="29">
        <f t="shared" si="5"/>
        <v>0</v>
      </c>
      <c r="F371" s="34"/>
      <c r="G371" s="17"/>
      <c r="H371" s="34"/>
      <c r="I371" s="17"/>
      <c r="J371" s="34"/>
      <c r="K371" s="17"/>
      <c r="L371" s="34"/>
      <c r="M371" s="17"/>
      <c r="N371" s="34"/>
      <c r="O371" s="17"/>
      <c r="P371" s="34"/>
      <c r="Q371" s="17"/>
      <c r="R371" s="34"/>
      <c r="S371" s="17"/>
      <c r="T371" s="34"/>
      <c r="U371" s="17"/>
      <c r="V371" s="34"/>
      <c r="W371" s="17"/>
      <c r="X371" s="34"/>
      <c r="Y371" s="17"/>
      <c r="Z371" s="34"/>
      <c r="AA371" s="17"/>
      <c r="AB371" s="34"/>
      <c r="AC371" s="17"/>
      <c r="AD371" s="34"/>
      <c r="AE371" s="17"/>
      <c r="AF371" s="34"/>
      <c r="AG371" s="17"/>
      <c r="AH371" s="34"/>
      <c r="AI371" s="17"/>
      <c r="AJ371" s="34"/>
      <c r="AK371" s="17"/>
      <c r="AL371" s="34"/>
      <c r="AM371" s="17"/>
      <c r="AN371" s="34"/>
      <c r="AO371" s="17"/>
      <c r="AP371" s="34"/>
      <c r="AQ371" s="17"/>
      <c r="AR371" s="34"/>
      <c r="AS371" s="17"/>
      <c r="AT371" s="34"/>
      <c r="AU371" s="17"/>
      <c r="AV371" s="34"/>
      <c r="AW371" s="17"/>
      <c r="AX371" s="34"/>
      <c r="AY371" s="17"/>
      <c r="AZ371" s="34"/>
      <c r="BA371" s="17"/>
      <c r="BB371" s="34"/>
      <c r="BC371" s="17"/>
      <c r="BD371" s="34"/>
      <c r="BE371" s="17"/>
      <c r="BF371" s="34"/>
      <c r="BG371" s="17"/>
      <c r="BH371" s="34"/>
      <c r="BI371" s="17"/>
      <c r="BJ371" s="34"/>
      <c r="BK371" s="17"/>
      <c r="BL371" s="34"/>
      <c r="BM371" s="17"/>
      <c r="BN371" s="34"/>
      <c r="BO371" s="17"/>
    </row>
    <row r="372" hidden="1" outlineLevel="1">
      <c r="A372" s="26" t="str">
        <f>B372&amp;D372</f>
        <v>DecemberTHIRIPURA SUNDARI.R</v>
      </c>
      <c r="B372" s="27" t="s">
        <v>45</v>
      </c>
      <c r="C372" s="27" t="s">
        <v>71</v>
      </c>
      <c r="D372" s="28" t="str">
        <f>IFERROR(VLOOKUP(C372,'Employees List'!$B$2:$E1424,4,0),"")</f>
        <v>THIRIPURA SUNDARI.R</v>
      </c>
      <c r="E372" s="29">
        <f t="shared" si="5"/>
        <v>31</v>
      </c>
      <c r="F372" s="30" t="b">
        <v>1</v>
      </c>
      <c r="G372" s="30" t="b">
        <v>1</v>
      </c>
      <c r="H372" s="30" t="b">
        <v>1</v>
      </c>
      <c r="I372" s="30" t="b">
        <v>1</v>
      </c>
      <c r="J372" s="30" t="b">
        <v>1</v>
      </c>
      <c r="K372" s="30" t="b">
        <v>1</v>
      </c>
      <c r="L372" s="30" t="b">
        <v>1</v>
      </c>
      <c r="M372" s="30" t="b">
        <v>1</v>
      </c>
      <c r="N372" s="30" t="b">
        <v>1</v>
      </c>
      <c r="O372" s="30" t="b">
        <v>1</v>
      </c>
      <c r="P372" s="30" t="b">
        <v>1</v>
      </c>
      <c r="Q372" s="30" t="b">
        <v>1</v>
      </c>
      <c r="R372" s="30" t="b">
        <v>1</v>
      </c>
      <c r="S372" s="30" t="b">
        <v>1</v>
      </c>
      <c r="T372" s="30" t="b">
        <v>1</v>
      </c>
      <c r="U372" s="30" t="b">
        <v>1</v>
      </c>
      <c r="V372" s="30" t="b">
        <v>1</v>
      </c>
      <c r="W372" s="30" t="b">
        <v>1</v>
      </c>
      <c r="X372" s="30" t="b">
        <v>1</v>
      </c>
      <c r="Y372" s="30" t="b">
        <v>1</v>
      </c>
      <c r="Z372" s="30" t="b">
        <v>1</v>
      </c>
      <c r="AA372" s="30" t="b">
        <v>1</v>
      </c>
      <c r="AB372" s="30" t="b">
        <v>1</v>
      </c>
      <c r="AC372" s="30" t="b">
        <v>1</v>
      </c>
      <c r="AD372" s="30" t="b">
        <v>1</v>
      </c>
      <c r="AE372" s="30" t="b">
        <v>1</v>
      </c>
      <c r="AF372" s="30" t="b">
        <v>1</v>
      </c>
      <c r="AG372" s="30" t="b">
        <v>1</v>
      </c>
      <c r="AH372" s="30" t="b">
        <v>1</v>
      </c>
      <c r="AI372" s="30" t="b">
        <v>1</v>
      </c>
      <c r="AJ372" s="30" t="b">
        <v>1</v>
      </c>
      <c r="AK372" s="30" t="b">
        <v>1</v>
      </c>
      <c r="AL372" s="30" t="b">
        <v>1</v>
      </c>
      <c r="AM372" s="30" t="b">
        <v>1</v>
      </c>
      <c r="AN372" s="30" t="b">
        <v>1</v>
      </c>
      <c r="AO372" s="30" t="b">
        <v>1</v>
      </c>
      <c r="AP372" s="30" t="b">
        <v>1</v>
      </c>
      <c r="AQ372" s="30" t="b">
        <v>1</v>
      </c>
      <c r="AR372" s="30" t="b">
        <v>1</v>
      </c>
      <c r="AS372" s="30" t="b">
        <v>1</v>
      </c>
      <c r="AT372" s="30" t="b">
        <v>1</v>
      </c>
      <c r="AU372" s="30" t="b">
        <v>1</v>
      </c>
      <c r="AV372" s="30" t="b">
        <v>1</v>
      </c>
      <c r="AW372" s="30" t="b">
        <v>1</v>
      </c>
      <c r="AX372" s="30" t="b">
        <v>1</v>
      </c>
      <c r="AY372" s="30" t="b">
        <v>1</v>
      </c>
      <c r="AZ372" s="30" t="b">
        <v>1</v>
      </c>
      <c r="BA372" s="30" t="b">
        <v>1</v>
      </c>
      <c r="BB372" s="30" t="b">
        <v>1</v>
      </c>
      <c r="BC372" s="30" t="b">
        <v>1</v>
      </c>
      <c r="BD372" s="30" t="b">
        <v>1</v>
      </c>
      <c r="BE372" s="30" t="b">
        <v>1</v>
      </c>
      <c r="BF372" s="30" t="b">
        <v>1</v>
      </c>
      <c r="BG372" s="30" t="b">
        <v>1</v>
      </c>
      <c r="BH372" s="30" t="b">
        <v>1</v>
      </c>
      <c r="BI372" s="30" t="b">
        <v>1</v>
      </c>
      <c r="BJ372" s="30" t="b">
        <v>1</v>
      </c>
      <c r="BK372" s="30" t="b">
        <v>1</v>
      </c>
      <c r="BL372" s="30" t="b">
        <v>1</v>
      </c>
      <c r="BM372" s="30" t="b">
        <v>1</v>
      </c>
      <c r="BN372" s="30" t="b">
        <v>1</v>
      </c>
      <c r="BO372" s="30" t="b">
        <v>1</v>
      </c>
    </row>
    <row r="373" hidden="1" outlineLevel="1">
      <c r="A373" s="31" t="str">
        <f>A372&amp;C373</f>
        <v>DecemberTHIRIPURA SUNDARI.ROT HOURS</v>
      </c>
      <c r="B373" s="32"/>
      <c r="C373" s="33" t="s">
        <v>169</v>
      </c>
      <c r="D373" s="17"/>
      <c r="E373" s="29">
        <f>SUM(F373:BO373)</f>
        <v>0</v>
      </c>
      <c r="F373" s="34"/>
      <c r="G373" s="17"/>
      <c r="H373" s="34"/>
      <c r="I373" s="17"/>
      <c r="J373" s="34"/>
      <c r="K373" s="17"/>
      <c r="L373" s="34"/>
      <c r="M373" s="17"/>
      <c r="N373" s="34"/>
      <c r="O373" s="17"/>
      <c r="P373" s="34"/>
      <c r="Q373" s="17"/>
      <c r="R373" s="34"/>
      <c r="S373" s="17"/>
      <c r="T373" s="34"/>
      <c r="U373" s="17"/>
      <c r="V373" s="34"/>
      <c r="W373" s="17"/>
      <c r="X373" s="34"/>
      <c r="Y373" s="17"/>
      <c r="Z373" s="34"/>
      <c r="AA373" s="17"/>
      <c r="AB373" s="34"/>
      <c r="AC373" s="17"/>
      <c r="AD373" s="34"/>
      <c r="AE373" s="17"/>
      <c r="AF373" s="34"/>
      <c r="AG373" s="17"/>
      <c r="AH373" s="34"/>
      <c r="AI373" s="17"/>
      <c r="AJ373" s="34"/>
      <c r="AK373" s="17"/>
      <c r="AL373" s="34"/>
      <c r="AM373" s="17"/>
      <c r="AN373" s="34"/>
      <c r="AO373" s="17"/>
      <c r="AP373" s="34"/>
      <c r="AQ373" s="17"/>
      <c r="AR373" s="34"/>
      <c r="AS373" s="17"/>
      <c r="AT373" s="34"/>
      <c r="AU373" s="17"/>
      <c r="AV373" s="34"/>
      <c r="AW373" s="17"/>
      <c r="AX373" s="34"/>
      <c r="AY373" s="17"/>
      <c r="AZ373" s="34"/>
      <c r="BA373" s="17"/>
      <c r="BB373" s="34"/>
      <c r="BC373" s="17"/>
      <c r="BD373" s="34"/>
      <c r="BE373" s="17"/>
      <c r="BF373" s="34"/>
      <c r="BG373" s="17"/>
      <c r="BH373" s="34"/>
      <c r="BI373" s="17"/>
      <c r="BJ373" s="34"/>
      <c r="BK373" s="17"/>
      <c r="BL373" s="34"/>
      <c r="BM373" s="17"/>
      <c r="BN373" s="34"/>
      <c r="BO373" s="17"/>
    </row>
    <row r="374" hidden="1" outlineLevel="1">
      <c r="A374" s="26" t="str">
        <f>B374&amp;D374</f>
        <v>DecemberGANESH</v>
      </c>
      <c r="B374" s="27" t="s">
        <v>45</v>
      </c>
      <c r="C374" s="27" t="s">
        <v>22</v>
      </c>
      <c r="D374" s="28" t="str">
        <f>IFERROR(VLOOKUP(C374,'Employees List'!$B$2:$E1424,4,0),"")</f>
        <v>GANESH</v>
      </c>
      <c r="E374" s="29">
        <f>COUNTIF(F374:BO374,TRUE)/2</f>
        <v>26</v>
      </c>
      <c r="F374" s="30" t="b">
        <v>0</v>
      </c>
      <c r="G374" s="30" t="b">
        <v>0</v>
      </c>
      <c r="H374" s="30" t="b">
        <v>1</v>
      </c>
      <c r="I374" s="30" t="b">
        <v>1</v>
      </c>
      <c r="J374" s="30" t="b">
        <v>1</v>
      </c>
      <c r="K374" s="30" t="b">
        <v>1</v>
      </c>
      <c r="L374" s="30" t="b">
        <v>1</v>
      </c>
      <c r="M374" s="30" t="b">
        <v>1</v>
      </c>
      <c r="N374" s="30" t="b">
        <v>1</v>
      </c>
      <c r="O374" s="30" t="b">
        <v>1</v>
      </c>
      <c r="P374" s="30" t="b">
        <v>1</v>
      </c>
      <c r="Q374" s="30" t="b">
        <v>1</v>
      </c>
      <c r="R374" s="30" t="b">
        <v>1</v>
      </c>
      <c r="S374" s="30" t="b">
        <v>1</v>
      </c>
      <c r="T374" s="30" t="b">
        <v>1</v>
      </c>
      <c r="U374" s="30" t="b">
        <v>1</v>
      </c>
      <c r="V374" s="30" t="b">
        <v>1</v>
      </c>
      <c r="W374" s="30" t="b">
        <v>1</v>
      </c>
      <c r="X374" s="30" t="b">
        <v>1</v>
      </c>
      <c r="Y374" s="30" t="b">
        <v>1</v>
      </c>
      <c r="Z374" s="30" t="b">
        <v>1</v>
      </c>
      <c r="AA374" s="30" t="b">
        <v>1</v>
      </c>
      <c r="AB374" s="30" t="b">
        <v>0</v>
      </c>
      <c r="AC374" s="30" t="b">
        <v>0</v>
      </c>
      <c r="AD374" s="30" t="b">
        <v>1</v>
      </c>
      <c r="AE374" s="30" t="b">
        <v>1</v>
      </c>
      <c r="AF374" s="30" t="b">
        <v>1</v>
      </c>
      <c r="AG374" s="30" t="b">
        <v>1</v>
      </c>
      <c r="AH374" s="30" t="b">
        <v>1</v>
      </c>
      <c r="AI374" s="30" t="b">
        <v>1</v>
      </c>
      <c r="AJ374" s="30" t="b">
        <v>1</v>
      </c>
      <c r="AK374" s="30" t="b">
        <v>1</v>
      </c>
      <c r="AL374" s="30" t="b">
        <v>1</v>
      </c>
      <c r="AM374" s="30" t="b">
        <v>1</v>
      </c>
      <c r="AN374" s="30" t="b">
        <v>1</v>
      </c>
      <c r="AO374" s="30" t="b">
        <v>1</v>
      </c>
      <c r="AP374" s="30" t="b">
        <v>1</v>
      </c>
      <c r="AQ374" s="30" t="b">
        <v>1</v>
      </c>
      <c r="AR374" s="30" t="b">
        <v>1</v>
      </c>
      <c r="AS374" s="30" t="b">
        <v>1</v>
      </c>
      <c r="AT374" s="30" t="b">
        <v>1</v>
      </c>
      <c r="AU374" s="30" t="b">
        <v>1</v>
      </c>
      <c r="AV374" s="30" t="b">
        <v>1</v>
      </c>
      <c r="AW374" s="30" t="b">
        <v>1</v>
      </c>
      <c r="AX374" s="30" t="b">
        <v>0</v>
      </c>
      <c r="AY374" s="30" t="b">
        <v>0</v>
      </c>
      <c r="AZ374" s="30" t="b">
        <v>0</v>
      </c>
      <c r="BA374" s="30" t="b">
        <v>0</v>
      </c>
      <c r="BB374" s="30" t="b">
        <v>0</v>
      </c>
      <c r="BC374" s="30" t="b">
        <v>0</v>
      </c>
      <c r="BD374" s="30" t="b">
        <v>1</v>
      </c>
      <c r="BE374" s="30" t="b">
        <v>1</v>
      </c>
      <c r="BF374" s="30" t="b">
        <v>1</v>
      </c>
      <c r="BG374" s="30" t="b">
        <v>1</v>
      </c>
      <c r="BH374" s="30" t="b">
        <v>1</v>
      </c>
      <c r="BI374" s="30" t="b">
        <v>1</v>
      </c>
      <c r="BJ374" s="30" t="b">
        <v>1</v>
      </c>
      <c r="BK374" s="30" t="b">
        <v>1</v>
      </c>
      <c r="BL374" s="30" t="b">
        <v>1</v>
      </c>
      <c r="BM374" s="30" t="b">
        <v>1</v>
      </c>
      <c r="BN374" s="30" t="b">
        <v>1</v>
      </c>
      <c r="BO374" s="30" t="b">
        <v>1</v>
      </c>
    </row>
    <row r="375" hidden="1" outlineLevel="1">
      <c r="A375" s="31" t="str">
        <f>A374&amp;C375</f>
        <v>DecemberGANESHOT HOURS</v>
      </c>
      <c r="B375" s="32"/>
      <c r="C375" s="33" t="s">
        <v>169</v>
      </c>
      <c r="D375" s="17"/>
      <c r="E375" s="29">
        <f>SUM(F375:BO375)</f>
        <v>25</v>
      </c>
      <c r="F375" s="34"/>
      <c r="G375" s="17"/>
      <c r="H375" s="34">
        <v>2.0</v>
      </c>
      <c r="I375" s="17"/>
      <c r="J375" s="34"/>
      <c r="K375" s="17"/>
      <c r="L375" s="34"/>
      <c r="M375" s="17"/>
      <c r="N375" s="34">
        <v>2.0</v>
      </c>
      <c r="O375" s="17"/>
      <c r="P375" s="34">
        <v>2.0</v>
      </c>
      <c r="Q375" s="17"/>
      <c r="R375" s="34"/>
      <c r="S375" s="17"/>
      <c r="T375" s="34"/>
      <c r="U375" s="17"/>
      <c r="V375" s="34">
        <v>2.0</v>
      </c>
      <c r="W375" s="17"/>
      <c r="X375" s="34">
        <v>2.0</v>
      </c>
      <c r="Y375" s="17"/>
      <c r="Z375" s="34">
        <v>2.0</v>
      </c>
      <c r="AA375" s="17"/>
      <c r="AB375" s="34"/>
      <c r="AC375" s="17"/>
      <c r="AD375" s="34">
        <v>2.0</v>
      </c>
      <c r="AE375" s="17"/>
      <c r="AF375" s="34"/>
      <c r="AG375" s="17"/>
      <c r="AH375" s="34">
        <v>2.0</v>
      </c>
      <c r="AI375" s="17"/>
      <c r="AJ375" s="34"/>
      <c r="AK375" s="17"/>
      <c r="AL375" s="34"/>
      <c r="AM375" s="17"/>
      <c r="AN375" s="34"/>
      <c r="AO375" s="17"/>
      <c r="AP375" s="34"/>
      <c r="AQ375" s="17"/>
      <c r="AR375" s="34"/>
      <c r="AS375" s="17"/>
      <c r="AT375" s="34"/>
      <c r="AU375" s="17"/>
      <c r="AV375" s="34">
        <v>2.0</v>
      </c>
      <c r="AW375" s="17"/>
      <c r="AX375" s="34"/>
      <c r="AY375" s="17"/>
      <c r="AZ375" s="34"/>
      <c r="BA375" s="17"/>
      <c r="BB375" s="34"/>
      <c r="BC375" s="17"/>
      <c r="BD375" s="34"/>
      <c r="BE375" s="17"/>
      <c r="BF375" s="34">
        <v>2.0</v>
      </c>
      <c r="BG375" s="17"/>
      <c r="BH375" s="34"/>
      <c r="BI375" s="17"/>
      <c r="BJ375" s="34">
        <v>2.0</v>
      </c>
      <c r="BK375" s="17"/>
      <c r="BL375" s="34">
        <v>2.0</v>
      </c>
      <c r="BM375" s="17"/>
      <c r="BN375" s="34">
        <v>1.0</v>
      </c>
      <c r="BO375" s="17"/>
    </row>
    <row r="376" hidden="1" outlineLevel="1">
      <c r="A376" s="26" t="str">
        <f>B376&amp;D376</f>
        <v>DecemberVASANTHA.E</v>
      </c>
      <c r="B376" s="27" t="s">
        <v>45</v>
      </c>
      <c r="C376" s="27" t="s">
        <v>17</v>
      </c>
      <c r="D376" s="28" t="str">
        <f>IFERROR(VLOOKUP(C376,'Employees List'!$B$2:$E1424,4,0),"")</f>
        <v>VASANTHA.E</v>
      </c>
      <c r="E376" s="29">
        <f>COUNTIF(F376:BO376,TRUE)/2</f>
        <v>30</v>
      </c>
      <c r="F376" s="30" t="b">
        <v>1</v>
      </c>
      <c r="G376" s="30" t="b">
        <v>1</v>
      </c>
      <c r="H376" s="30" t="b">
        <v>1</v>
      </c>
      <c r="I376" s="30" t="b">
        <v>1</v>
      </c>
      <c r="J376" s="30" t="b">
        <v>1</v>
      </c>
      <c r="K376" s="30" t="b">
        <v>0</v>
      </c>
      <c r="L376" s="30" t="b">
        <v>1</v>
      </c>
      <c r="M376" s="30" t="b">
        <v>1</v>
      </c>
      <c r="N376" s="30" t="b">
        <v>1</v>
      </c>
      <c r="O376" s="30" t="b">
        <v>1</v>
      </c>
      <c r="P376" s="30" t="b">
        <v>1</v>
      </c>
      <c r="Q376" s="30" t="b">
        <v>1</v>
      </c>
      <c r="R376" s="30" t="b">
        <v>1</v>
      </c>
      <c r="S376" s="30" t="b">
        <v>1</v>
      </c>
      <c r="T376" s="30" t="b">
        <v>1</v>
      </c>
      <c r="U376" s="30" t="b">
        <v>1</v>
      </c>
      <c r="V376" s="30" t="b">
        <v>1</v>
      </c>
      <c r="W376" s="30" t="b">
        <v>1</v>
      </c>
      <c r="X376" s="30" t="b">
        <v>1</v>
      </c>
      <c r="Y376" s="30" t="b">
        <v>1</v>
      </c>
      <c r="Z376" s="30" t="b">
        <v>1</v>
      </c>
      <c r="AA376" s="30" t="b">
        <v>1</v>
      </c>
      <c r="AB376" s="30" t="b">
        <v>1</v>
      </c>
      <c r="AC376" s="30" t="b">
        <v>1</v>
      </c>
      <c r="AD376" s="30" t="b">
        <v>1</v>
      </c>
      <c r="AE376" s="30" t="b">
        <v>1</v>
      </c>
      <c r="AF376" s="30" t="b">
        <v>1</v>
      </c>
      <c r="AG376" s="30" t="b">
        <v>1</v>
      </c>
      <c r="AH376" s="30" t="b">
        <v>1</v>
      </c>
      <c r="AI376" s="30" t="b">
        <v>1</v>
      </c>
      <c r="AJ376" s="30" t="b">
        <v>1</v>
      </c>
      <c r="AK376" s="30" t="b">
        <v>1</v>
      </c>
      <c r="AL376" s="30" t="b">
        <v>1</v>
      </c>
      <c r="AM376" s="30" t="b">
        <v>1</v>
      </c>
      <c r="AN376" s="30" t="b">
        <v>1</v>
      </c>
      <c r="AO376" s="30" t="b">
        <v>1</v>
      </c>
      <c r="AP376" s="30" t="b">
        <v>1</v>
      </c>
      <c r="AQ376" s="30" t="b">
        <v>1</v>
      </c>
      <c r="AR376" s="30" t="b">
        <v>1</v>
      </c>
      <c r="AS376" s="30" t="b">
        <v>1</v>
      </c>
      <c r="AT376" s="30" t="b">
        <v>1</v>
      </c>
      <c r="AU376" s="30" t="b">
        <v>1</v>
      </c>
      <c r="AV376" s="30" t="b">
        <v>1</v>
      </c>
      <c r="AW376" s="30" t="b">
        <v>1</v>
      </c>
      <c r="AX376" s="30" t="b">
        <v>1</v>
      </c>
      <c r="AY376" s="30" t="b">
        <v>1</v>
      </c>
      <c r="AZ376" s="30" t="b">
        <v>1</v>
      </c>
      <c r="BA376" s="30" t="b">
        <v>0</v>
      </c>
      <c r="BB376" s="30" t="b">
        <v>1</v>
      </c>
      <c r="BC376" s="30" t="b">
        <v>1</v>
      </c>
      <c r="BD376" s="30" t="b">
        <v>1</v>
      </c>
      <c r="BE376" s="30" t="b">
        <v>1</v>
      </c>
      <c r="BF376" s="30" t="b">
        <v>1</v>
      </c>
      <c r="BG376" s="30" t="b">
        <v>1</v>
      </c>
      <c r="BH376" s="30" t="b">
        <v>1</v>
      </c>
      <c r="BI376" s="30" t="b">
        <v>1</v>
      </c>
      <c r="BJ376" s="30" t="b">
        <v>1</v>
      </c>
      <c r="BK376" s="30" t="b">
        <v>1</v>
      </c>
      <c r="BL376" s="30" t="b">
        <v>1</v>
      </c>
      <c r="BM376" s="30" t="b">
        <v>1</v>
      </c>
      <c r="BN376" s="30" t="b">
        <v>1</v>
      </c>
      <c r="BO376" s="30" t="b">
        <v>1</v>
      </c>
    </row>
    <row r="377" hidden="1" outlineLevel="1">
      <c r="A377" s="31" t="str">
        <f>A376&amp;C377</f>
        <v>DecemberVASANTHA.EOT HOURS</v>
      </c>
      <c r="B377" s="32"/>
      <c r="C377" s="33" t="s">
        <v>169</v>
      </c>
      <c r="D377" s="17"/>
      <c r="E377" s="29">
        <f>SUM(F377:BO377)</f>
        <v>41</v>
      </c>
      <c r="F377" s="34">
        <v>1.0</v>
      </c>
      <c r="G377" s="17"/>
      <c r="H377" s="34">
        <v>1.5</v>
      </c>
      <c r="I377" s="17"/>
      <c r="J377" s="34"/>
      <c r="K377" s="17"/>
      <c r="L377" s="34">
        <v>2.0</v>
      </c>
      <c r="M377" s="17"/>
      <c r="N377" s="34">
        <v>2.0</v>
      </c>
      <c r="O377" s="17"/>
      <c r="P377" s="34">
        <v>2.0</v>
      </c>
      <c r="Q377" s="17"/>
      <c r="R377" s="34"/>
      <c r="S377" s="17"/>
      <c r="T377" s="34">
        <v>2.0</v>
      </c>
      <c r="U377" s="17"/>
      <c r="V377" s="34">
        <v>2.0</v>
      </c>
      <c r="W377" s="17"/>
      <c r="X377" s="34">
        <v>2.0</v>
      </c>
      <c r="Y377" s="17"/>
      <c r="Z377" s="34">
        <v>2.0</v>
      </c>
      <c r="AA377" s="17"/>
      <c r="AB377" s="34">
        <v>2.0</v>
      </c>
      <c r="AC377" s="17"/>
      <c r="AD377" s="34"/>
      <c r="AE377" s="17"/>
      <c r="AF377" s="34"/>
      <c r="AG377" s="17"/>
      <c r="AH377" s="34">
        <v>2.0</v>
      </c>
      <c r="AI377" s="17"/>
      <c r="AJ377" s="34">
        <v>1.5</v>
      </c>
      <c r="AK377" s="17"/>
      <c r="AL377" s="34">
        <v>2.0</v>
      </c>
      <c r="AM377" s="17"/>
      <c r="AN377" s="34"/>
      <c r="AO377" s="17"/>
      <c r="AP377" s="34">
        <v>1.5</v>
      </c>
      <c r="AQ377" s="17"/>
      <c r="AR377" s="34">
        <v>2.0</v>
      </c>
      <c r="AS377" s="17"/>
      <c r="AT377" s="34"/>
      <c r="AU377" s="17"/>
      <c r="AV377" s="34">
        <v>2.0</v>
      </c>
      <c r="AW377" s="17"/>
      <c r="AX377" s="34">
        <v>2.0</v>
      </c>
      <c r="AY377" s="17"/>
      <c r="AZ377" s="34"/>
      <c r="BA377" s="17"/>
      <c r="BB377" s="34">
        <v>1.5</v>
      </c>
      <c r="BC377" s="17"/>
      <c r="BD377" s="34"/>
      <c r="BE377" s="17"/>
      <c r="BF377" s="34">
        <v>2.0</v>
      </c>
      <c r="BG377" s="17"/>
      <c r="BH377" s="34"/>
      <c r="BI377" s="17"/>
      <c r="BJ377" s="34">
        <v>2.0</v>
      </c>
      <c r="BK377" s="17"/>
      <c r="BL377" s="34">
        <v>2.0</v>
      </c>
      <c r="BM377" s="17"/>
      <c r="BN377" s="34">
        <v>2.0</v>
      </c>
      <c r="BO377" s="17"/>
    </row>
    <row r="378" hidden="1" outlineLevel="1">
      <c r="A378" s="26" t="str">
        <f>B378&amp;D378</f>
        <v>DecemberSANJAY BAGARTTI.K</v>
      </c>
      <c r="B378" s="27" t="s">
        <v>45</v>
      </c>
      <c r="C378" s="27" t="s">
        <v>34</v>
      </c>
      <c r="D378" s="28" t="str">
        <f>IFERROR(VLOOKUP(C378,'Employees List'!$B$2:$E1424,4,0),"")</f>
        <v>SANJAY BAGARTTI.K</v>
      </c>
      <c r="E378" s="29">
        <f>COUNTIF(F378:BO378,TRUE)/2</f>
        <v>19</v>
      </c>
      <c r="F378" s="30" t="b">
        <v>1</v>
      </c>
      <c r="G378" s="30" t="b">
        <v>1</v>
      </c>
      <c r="H378" s="30" t="b">
        <v>1</v>
      </c>
      <c r="I378" s="30" t="b">
        <v>1</v>
      </c>
      <c r="J378" s="30" t="b">
        <v>1</v>
      </c>
      <c r="K378" s="30" t="b">
        <v>1</v>
      </c>
      <c r="L378" s="30" t="b">
        <v>1</v>
      </c>
      <c r="M378" s="30" t="b">
        <v>1</v>
      </c>
      <c r="N378" s="30" t="b">
        <v>1</v>
      </c>
      <c r="O378" s="30" t="b">
        <v>1</v>
      </c>
      <c r="P378" s="30" t="b">
        <v>1</v>
      </c>
      <c r="Q378" s="30" t="b">
        <v>1</v>
      </c>
      <c r="R378" s="30" t="b">
        <v>1</v>
      </c>
      <c r="S378" s="30" t="b">
        <v>1</v>
      </c>
      <c r="T378" s="30" t="b">
        <v>1</v>
      </c>
      <c r="U378" s="30" t="b">
        <v>1</v>
      </c>
      <c r="V378" s="30" t="b">
        <v>1</v>
      </c>
      <c r="W378" s="30" t="b">
        <v>1</v>
      </c>
      <c r="X378" s="30" t="b">
        <v>1</v>
      </c>
      <c r="Y378" s="30" t="b">
        <v>1</v>
      </c>
      <c r="Z378" s="30" t="b">
        <v>1</v>
      </c>
      <c r="AA378" s="30" t="b">
        <v>1</v>
      </c>
      <c r="AB378" s="30" t="b">
        <v>1</v>
      </c>
      <c r="AC378" s="30" t="b">
        <v>1</v>
      </c>
      <c r="AD378" s="30" t="b">
        <v>1</v>
      </c>
      <c r="AE378" s="30" t="b">
        <v>1</v>
      </c>
      <c r="AF378" s="30" t="b">
        <v>1</v>
      </c>
      <c r="AG378" s="30" t="b">
        <v>1</v>
      </c>
      <c r="AH378" s="30" t="b">
        <v>1</v>
      </c>
      <c r="AI378" s="30" t="b">
        <v>1</v>
      </c>
      <c r="AJ378" s="30" t="b">
        <v>0</v>
      </c>
      <c r="AK378" s="30" t="b">
        <v>0</v>
      </c>
      <c r="AL378" s="30" t="b">
        <v>1</v>
      </c>
      <c r="AM378" s="30" t="b">
        <v>1</v>
      </c>
      <c r="AN378" s="30" t="b">
        <v>1</v>
      </c>
      <c r="AO378" s="30" t="b">
        <v>1</v>
      </c>
      <c r="AP378" s="30" t="b">
        <v>0</v>
      </c>
      <c r="AQ378" s="30" t="b">
        <v>0</v>
      </c>
      <c r="AR378" s="30" t="b">
        <v>1</v>
      </c>
      <c r="AS378" s="30" t="b">
        <v>1</v>
      </c>
      <c r="AT378" s="30" t="b">
        <v>1</v>
      </c>
      <c r="AU378" s="30" t="b">
        <v>1</v>
      </c>
      <c r="AV378" s="30" t="b">
        <v>0</v>
      </c>
      <c r="AW378" s="30" t="b">
        <v>0</v>
      </c>
      <c r="AX378" s="30" t="b">
        <v>0</v>
      </c>
      <c r="AY378" s="30" t="b">
        <v>0</v>
      </c>
      <c r="AZ378" s="30" t="b">
        <v>0</v>
      </c>
      <c r="BA378" s="30" t="b">
        <v>0</v>
      </c>
      <c r="BB378" s="30" t="b">
        <v>0</v>
      </c>
      <c r="BC378" s="30" t="b">
        <v>0</v>
      </c>
      <c r="BD378" s="30" t="b">
        <v>0</v>
      </c>
      <c r="BE378" s="30" t="b">
        <v>0</v>
      </c>
      <c r="BF378" s="30" t="b">
        <v>0</v>
      </c>
      <c r="BG378" s="30" t="b">
        <v>0</v>
      </c>
      <c r="BH378" s="30" t="b">
        <v>0</v>
      </c>
      <c r="BI378" s="30" t="b">
        <v>0</v>
      </c>
      <c r="BJ378" s="30" t="b">
        <v>0</v>
      </c>
      <c r="BK378" s="30" t="b">
        <v>0</v>
      </c>
      <c r="BL378" s="30" t="b">
        <v>0</v>
      </c>
      <c r="BM378" s="30" t="b">
        <v>0</v>
      </c>
      <c r="BN378" s="30" t="b">
        <v>0</v>
      </c>
      <c r="BO378" s="30" t="b">
        <v>0</v>
      </c>
    </row>
    <row r="379" hidden="1" outlineLevel="1">
      <c r="A379" s="31" t="str">
        <f>A378&amp;C379</f>
        <v>DecemberSANJAY BAGARTTI.KOT HOURS</v>
      </c>
      <c r="B379" s="32"/>
      <c r="C379" s="33" t="s">
        <v>169</v>
      </c>
      <c r="D379" s="17"/>
      <c r="E379" s="29">
        <f>SUM(F379:BO379)</f>
        <v>28</v>
      </c>
      <c r="F379" s="34">
        <v>1.0</v>
      </c>
      <c r="G379" s="17"/>
      <c r="H379" s="34">
        <v>2.0</v>
      </c>
      <c r="I379" s="17"/>
      <c r="J379" s="34">
        <v>2.0</v>
      </c>
      <c r="K379" s="17"/>
      <c r="L379" s="34">
        <v>2.0</v>
      </c>
      <c r="M379" s="17"/>
      <c r="N379" s="34">
        <v>2.0</v>
      </c>
      <c r="O379" s="17"/>
      <c r="P379" s="34">
        <v>2.0</v>
      </c>
      <c r="Q379" s="17"/>
      <c r="R379" s="34"/>
      <c r="S379" s="17"/>
      <c r="T379" s="34"/>
      <c r="U379" s="17"/>
      <c r="V379" s="34">
        <v>6.0</v>
      </c>
      <c r="W379" s="17"/>
      <c r="X379" s="34">
        <v>2.0</v>
      </c>
      <c r="Y379" s="17"/>
      <c r="Z379" s="34">
        <v>2.0</v>
      </c>
      <c r="AA379" s="17"/>
      <c r="AB379" s="34">
        <v>2.0</v>
      </c>
      <c r="AC379" s="17"/>
      <c r="AD379" s="34">
        <v>3.0</v>
      </c>
      <c r="AE379" s="17"/>
      <c r="AF379" s="34"/>
      <c r="AG379" s="17"/>
      <c r="AH379" s="34"/>
      <c r="AI379" s="17"/>
      <c r="AJ379" s="34"/>
      <c r="AK379" s="17"/>
      <c r="AL379" s="34">
        <v>2.0</v>
      </c>
      <c r="AM379" s="17"/>
      <c r="AN379" s="34"/>
      <c r="AO379" s="17"/>
      <c r="AP379" s="34"/>
      <c r="AQ379" s="17"/>
      <c r="AR379" s="34"/>
      <c r="AS379" s="17"/>
      <c r="AT379" s="34"/>
      <c r="AU379" s="17"/>
      <c r="AV379" s="34"/>
      <c r="AW379" s="17"/>
      <c r="AX379" s="34"/>
      <c r="AY379" s="17"/>
      <c r="AZ379" s="34"/>
      <c r="BA379" s="17"/>
      <c r="BB379" s="34"/>
      <c r="BC379" s="17"/>
      <c r="BD379" s="34"/>
      <c r="BE379" s="17"/>
      <c r="BF379" s="34"/>
      <c r="BG379" s="17"/>
      <c r="BH379" s="34"/>
      <c r="BI379" s="17"/>
      <c r="BJ379" s="34"/>
      <c r="BK379" s="17"/>
      <c r="BL379" s="34"/>
      <c r="BM379" s="17"/>
      <c r="BN379" s="34"/>
      <c r="BO379" s="17"/>
    </row>
    <row r="380" hidden="1" outlineLevel="1">
      <c r="A380" s="26" t="str">
        <f>B380&amp;D380</f>
        <v>DecemberAMMU.S</v>
      </c>
      <c r="B380" s="27" t="s">
        <v>45</v>
      </c>
      <c r="C380" s="27" t="s">
        <v>42</v>
      </c>
      <c r="D380" s="28" t="str">
        <f>IFERROR(VLOOKUP(C380,'Employees List'!$B$2:$E1424,4,0),"")</f>
        <v>AMMU.S</v>
      </c>
      <c r="E380" s="29">
        <f>COUNTIF(F380:BO380,TRUE)/2</f>
        <v>29</v>
      </c>
      <c r="F380" s="30" t="b">
        <v>1</v>
      </c>
      <c r="G380" s="30" t="b">
        <v>1</v>
      </c>
      <c r="H380" s="30" t="b">
        <v>1</v>
      </c>
      <c r="I380" s="30" t="b">
        <v>1</v>
      </c>
      <c r="J380" s="30" t="b">
        <v>0</v>
      </c>
      <c r="K380" s="30" t="b">
        <v>0</v>
      </c>
      <c r="L380" s="30" t="b">
        <v>1</v>
      </c>
      <c r="M380" s="30" t="b">
        <v>1</v>
      </c>
      <c r="N380" s="30" t="b">
        <v>1</v>
      </c>
      <c r="O380" s="30" t="b">
        <v>1</v>
      </c>
      <c r="P380" s="30" t="b">
        <v>1</v>
      </c>
      <c r="Q380" s="30" t="b">
        <v>1</v>
      </c>
      <c r="R380" s="30" t="b">
        <v>1</v>
      </c>
      <c r="S380" s="30" t="b">
        <v>1</v>
      </c>
      <c r="T380" s="30" t="b">
        <v>1</v>
      </c>
      <c r="U380" s="30" t="b">
        <v>1</v>
      </c>
      <c r="V380" s="30" t="b">
        <v>1</v>
      </c>
      <c r="W380" s="30" t="b">
        <v>1</v>
      </c>
      <c r="X380" s="30" t="b">
        <v>1</v>
      </c>
      <c r="Y380" s="30" t="b">
        <v>1</v>
      </c>
      <c r="Z380" s="30" t="b">
        <v>1</v>
      </c>
      <c r="AA380" s="30" t="b">
        <v>1</v>
      </c>
      <c r="AB380" s="30" t="b">
        <v>1</v>
      </c>
      <c r="AC380" s="30" t="b">
        <v>1</v>
      </c>
      <c r="AD380" s="30" t="b">
        <v>1</v>
      </c>
      <c r="AE380" s="30" t="b">
        <v>1</v>
      </c>
      <c r="AF380" s="30" t="b">
        <v>1</v>
      </c>
      <c r="AG380" s="30" t="b">
        <v>1</v>
      </c>
      <c r="AH380" s="30" t="b">
        <v>1</v>
      </c>
      <c r="AI380" s="30" t="b">
        <v>1</v>
      </c>
      <c r="AJ380" s="30" t="b">
        <v>1</v>
      </c>
      <c r="AK380" s="30" t="b">
        <v>1</v>
      </c>
      <c r="AL380" s="30" t="b">
        <v>1</v>
      </c>
      <c r="AM380" s="30" t="b">
        <v>1</v>
      </c>
      <c r="AN380" s="30" t="b">
        <v>1</v>
      </c>
      <c r="AO380" s="30" t="b">
        <v>1</v>
      </c>
      <c r="AP380" s="30" t="b">
        <v>1</v>
      </c>
      <c r="AQ380" s="30" t="b">
        <v>1</v>
      </c>
      <c r="AR380" s="30" t="b">
        <v>1</v>
      </c>
      <c r="AS380" s="30" t="b">
        <v>1</v>
      </c>
      <c r="AT380" s="30" t="b">
        <v>1</v>
      </c>
      <c r="AU380" s="30" t="b">
        <v>1</v>
      </c>
      <c r="AV380" s="30" t="b">
        <v>1</v>
      </c>
      <c r="AW380" s="30" t="b">
        <v>1</v>
      </c>
      <c r="AX380" s="30" t="b">
        <v>1</v>
      </c>
      <c r="AY380" s="30" t="b">
        <v>1</v>
      </c>
      <c r="AZ380" s="30" t="b">
        <v>1</v>
      </c>
      <c r="BA380" s="30" t="b">
        <v>1</v>
      </c>
      <c r="BB380" s="30" t="b">
        <v>1</v>
      </c>
      <c r="BC380" s="30" t="b">
        <v>1</v>
      </c>
      <c r="BD380" s="30" t="b">
        <v>1</v>
      </c>
      <c r="BE380" s="30" t="b">
        <v>1</v>
      </c>
      <c r="BF380" s="30" t="b">
        <v>0</v>
      </c>
      <c r="BG380" s="30" t="b">
        <v>0</v>
      </c>
      <c r="BH380" s="30" t="b">
        <v>1</v>
      </c>
      <c r="BI380" s="30" t="b">
        <v>1</v>
      </c>
      <c r="BJ380" s="30" t="b">
        <v>1</v>
      </c>
      <c r="BK380" s="30" t="b">
        <v>1</v>
      </c>
      <c r="BL380" s="30" t="b">
        <v>1</v>
      </c>
      <c r="BM380" s="30" t="b">
        <v>1</v>
      </c>
      <c r="BN380" s="30" t="b">
        <v>1</v>
      </c>
      <c r="BO380" s="30" t="b">
        <v>1</v>
      </c>
    </row>
    <row r="381" hidden="1" outlineLevel="1">
      <c r="A381" s="31" t="str">
        <f>A380&amp;C381</f>
        <v>DecemberAMMU.SOT HOURS</v>
      </c>
      <c r="B381" s="32"/>
      <c r="C381" s="33" t="s">
        <v>169</v>
      </c>
      <c r="D381" s="17"/>
      <c r="E381" s="29">
        <f>SUM(F381:BO381)</f>
        <v>29</v>
      </c>
      <c r="F381" s="34">
        <v>1.0</v>
      </c>
      <c r="G381" s="17"/>
      <c r="H381" s="34"/>
      <c r="I381" s="17"/>
      <c r="J381" s="34"/>
      <c r="K381" s="17"/>
      <c r="L381" s="34">
        <v>2.0</v>
      </c>
      <c r="M381" s="17"/>
      <c r="N381" s="34">
        <v>2.0</v>
      </c>
      <c r="O381" s="17"/>
      <c r="P381" s="34">
        <v>2.0</v>
      </c>
      <c r="Q381" s="17"/>
      <c r="R381" s="34"/>
      <c r="S381" s="17"/>
      <c r="T381" s="34">
        <v>2.0</v>
      </c>
      <c r="U381" s="17"/>
      <c r="V381" s="34">
        <v>2.0</v>
      </c>
      <c r="W381" s="17"/>
      <c r="X381" s="34">
        <v>2.0</v>
      </c>
      <c r="Y381" s="17"/>
      <c r="Z381" s="34">
        <v>2.0</v>
      </c>
      <c r="AA381" s="17"/>
      <c r="AB381" s="34">
        <v>2.0</v>
      </c>
      <c r="AC381" s="17"/>
      <c r="AD381" s="34"/>
      <c r="AE381" s="17"/>
      <c r="AF381" s="34"/>
      <c r="AG381" s="17"/>
      <c r="AH381" s="34">
        <v>2.0</v>
      </c>
      <c r="AI381" s="17"/>
      <c r="AJ381" s="34">
        <v>1.5</v>
      </c>
      <c r="AK381" s="17"/>
      <c r="AL381" s="34">
        <v>2.0</v>
      </c>
      <c r="AM381" s="17"/>
      <c r="AN381" s="34"/>
      <c r="AO381" s="17"/>
      <c r="AP381" s="34">
        <v>1.5</v>
      </c>
      <c r="AQ381" s="17"/>
      <c r="AR381" s="34"/>
      <c r="AS381" s="17"/>
      <c r="AT381" s="34"/>
      <c r="AU381" s="17"/>
      <c r="AV381" s="34">
        <v>2.0</v>
      </c>
      <c r="AW381" s="17"/>
      <c r="AX381" s="34"/>
      <c r="AY381" s="17"/>
      <c r="AZ381" s="34"/>
      <c r="BA381" s="17"/>
      <c r="BB381" s="34">
        <v>1.0</v>
      </c>
      <c r="BC381" s="17"/>
      <c r="BD381" s="34"/>
      <c r="BE381" s="17"/>
      <c r="BF381" s="34"/>
      <c r="BG381" s="17"/>
      <c r="BH381" s="34"/>
      <c r="BI381" s="17"/>
      <c r="BJ381" s="34"/>
      <c r="BK381" s="17"/>
      <c r="BL381" s="34">
        <v>2.0</v>
      </c>
      <c r="BM381" s="17"/>
      <c r="BN381" s="34"/>
      <c r="BO381" s="17"/>
    </row>
    <row r="382" hidden="1" outlineLevel="1">
      <c r="A382" s="26" t="str">
        <f>B382&amp;D382</f>
        <v>DecemberREVATHI.S</v>
      </c>
      <c r="B382" s="27" t="s">
        <v>45</v>
      </c>
      <c r="C382" s="27" t="s">
        <v>46</v>
      </c>
      <c r="D382" s="28" t="str">
        <f>IFERROR(VLOOKUP(C382,'Employees List'!$B$2:$E1424,4,0),"")</f>
        <v>REVATHI.S</v>
      </c>
      <c r="E382" s="29">
        <f>COUNTIF(F382:BO382,TRUE)/2</f>
        <v>30</v>
      </c>
      <c r="F382" s="30" t="b">
        <v>1</v>
      </c>
      <c r="G382" s="30" t="b">
        <v>1</v>
      </c>
      <c r="H382" s="30" t="b">
        <v>1</v>
      </c>
      <c r="I382" s="30" t="b">
        <v>1</v>
      </c>
      <c r="J382" s="30" t="b">
        <v>0</v>
      </c>
      <c r="K382" s="30" t="b">
        <v>0</v>
      </c>
      <c r="L382" s="30" t="b">
        <v>1</v>
      </c>
      <c r="M382" s="30" t="b">
        <v>1</v>
      </c>
      <c r="N382" s="30" t="b">
        <v>1</v>
      </c>
      <c r="O382" s="30" t="b">
        <v>1</v>
      </c>
      <c r="P382" s="30" t="b">
        <v>1</v>
      </c>
      <c r="Q382" s="30" t="b">
        <v>1</v>
      </c>
      <c r="R382" s="30" t="b">
        <v>1</v>
      </c>
      <c r="S382" s="30" t="b">
        <v>1</v>
      </c>
      <c r="T382" s="30" t="b">
        <v>1</v>
      </c>
      <c r="U382" s="30" t="b">
        <v>1</v>
      </c>
      <c r="V382" s="30" t="b">
        <v>1</v>
      </c>
      <c r="W382" s="30" t="b">
        <v>1</v>
      </c>
      <c r="X382" s="30" t="b">
        <v>1</v>
      </c>
      <c r="Y382" s="30" t="b">
        <v>1</v>
      </c>
      <c r="Z382" s="30" t="b">
        <v>1</v>
      </c>
      <c r="AA382" s="30" t="b">
        <v>1</v>
      </c>
      <c r="AB382" s="30" t="b">
        <v>1</v>
      </c>
      <c r="AC382" s="30" t="b">
        <v>1</v>
      </c>
      <c r="AD382" s="30" t="b">
        <v>1</v>
      </c>
      <c r="AE382" s="30" t="b">
        <v>1</v>
      </c>
      <c r="AF382" s="30" t="b">
        <v>1</v>
      </c>
      <c r="AG382" s="30" t="b">
        <v>1</v>
      </c>
      <c r="AH382" s="30" t="b">
        <v>1</v>
      </c>
      <c r="AI382" s="30" t="b">
        <v>1</v>
      </c>
      <c r="AJ382" s="30" t="b">
        <v>1</v>
      </c>
      <c r="AK382" s="30" t="b">
        <v>1</v>
      </c>
      <c r="AL382" s="30" t="b">
        <v>1</v>
      </c>
      <c r="AM382" s="30" t="b">
        <v>1</v>
      </c>
      <c r="AN382" s="30" t="b">
        <v>1</v>
      </c>
      <c r="AO382" s="30" t="b">
        <v>1</v>
      </c>
      <c r="AP382" s="30" t="b">
        <v>1</v>
      </c>
      <c r="AQ382" s="30" t="b">
        <v>1</v>
      </c>
      <c r="AR382" s="30" t="b">
        <v>1</v>
      </c>
      <c r="AS382" s="30" t="b">
        <v>1</v>
      </c>
      <c r="AT382" s="30" t="b">
        <v>1</v>
      </c>
      <c r="AU382" s="30" t="b">
        <v>1</v>
      </c>
      <c r="AV382" s="30" t="b">
        <v>1</v>
      </c>
      <c r="AW382" s="30" t="b">
        <v>1</v>
      </c>
      <c r="AX382" s="30" t="b">
        <v>1</v>
      </c>
      <c r="AY382" s="30" t="b">
        <v>1</v>
      </c>
      <c r="AZ382" s="30" t="b">
        <v>1</v>
      </c>
      <c r="BA382" s="30" t="b">
        <v>1</v>
      </c>
      <c r="BB382" s="30" t="b">
        <v>1</v>
      </c>
      <c r="BC382" s="30" t="b">
        <v>1</v>
      </c>
      <c r="BD382" s="30" t="b">
        <v>1</v>
      </c>
      <c r="BE382" s="30" t="b">
        <v>1</v>
      </c>
      <c r="BF382" s="30" t="b">
        <v>1</v>
      </c>
      <c r="BG382" s="30" t="b">
        <v>1</v>
      </c>
      <c r="BH382" s="30" t="b">
        <v>1</v>
      </c>
      <c r="BI382" s="30" t="b">
        <v>1</v>
      </c>
      <c r="BJ382" s="30" t="b">
        <v>1</v>
      </c>
      <c r="BK382" s="30" t="b">
        <v>1</v>
      </c>
      <c r="BL382" s="30" t="b">
        <v>1</v>
      </c>
      <c r="BM382" s="30" t="b">
        <v>1</v>
      </c>
      <c r="BN382" s="30" t="b">
        <v>1</v>
      </c>
      <c r="BO382" s="30" t="b">
        <v>1</v>
      </c>
    </row>
    <row r="383" hidden="1" outlineLevel="1">
      <c r="A383" s="31" t="str">
        <f>A382&amp;C383</f>
        <v>DecemberREVATHI.SOT HOURS</v>
      </c>
      <c r="B383" s="32"/>
      <c r="C383" s="33" t="s">
        <v>169</v>
      </c>
      <c r="D383" s="17"/>
      <c r="E383" s="29">
        <f>SUM(F383:BO383)</f>
        <v>25</v>
      </c>
      <c r="F383" s="34">
        <v>1.0</v>
      </c>
      <c r="G383" s="17"/>
      <c r="H383" s="34"/>
      <c r="I383" s="17"/>
      <c r="J383" s="34"/>
      <c r="K383" s="17"/>
      <c r="L383" s="34">
        <v>2.0</v>
      </c>
      <c r="M383" s="17"/>
      <c r="N383" s="34">
        <v>2.0</v>
      </c>
      <c r="O383" s="17"/>
      <c r="P383" s="34">
        <v>2.0</v>
      </c>
      <c r="Q383" s="17"/>
      <c r="R383" s="34"/>
      <c r="S383" s="17"/>
      <c r="T383" s="34">
        <v>2.0</v>
      </c>
      <c r="U383" s="17"/>
      <c r="V383" s="34">
        <v>2.0</v>
      </c>
      <c r="W383" s="17"/>
      <c r="X383" s="34">
        <v>2.0</v>
      </c>
      <c r="Y383" s="17"/>
      <c r="Z383" s="34">
        <v>2.0</v>
      </c>
      <c r="AA383" s="17"/>
      <c r="AB383" s="34">
        <v>2.0</v>
      </c>
      <c r="AC383" s="17"/>
      <c r="AD383" s="34"/>
      <c r="AE383" s="17"/>
      <c r="AF383" s="34"/>
      <c r="AG383" s="17"/>
      <c r="AH383" s="34">
        <v>2.0</v>
      </c>
      <c r="AI383" s="17"/>
      <c r="AJ383" s="34"/>
      <c r="AK383" s="17"/>
      <c r="AL383" s="34"/>
      <c r="AM383" s="17"/>
      <c r="AN383" s="34"/>
      <c r="AO383" s="17"/>
      <c r="AP383" s="34"/>
      <c r="AQ383" s="17"/>
      <c r="AR383" s="34">
        <v>2.0</v>
      </c>
      <c r="AS383" s="17"/>
      <c r="AT383" s="34"/>
      <c r="AU383" s="17"/>
      <c r="AV383" s="34">
        <v>2.0</v>
      </c>
      <c r="AW383" s="17"/>
      <c r="AX383" s="34"/>
      <c r="AY383" s="17"/>
      <c r="AZ383" s="34"/>
      <c r="BA383" s="17"/>
      <c r="BB383" s="34"/>
      <c r="BC383" s="17"/>
      <c r="BD383" s="34"/>
      <c r="BE383" s="17"/>
      <c r="BF383" s="34">
        <v>2.0</v>
      </c>
      <c r="BG383" s="17"/>
      <c r="BH383" s="34"/>
      <c r="BI383" s="17"/>
      <c r="BJ383" s="34"/>
      <c r="BK383" s="17"/>
      <c r="BL383" s="34"/>
      <c r="BM383" s="17"/>
      <c r="BN383" s="34"/>
      <c r="BO383" s="17"/>
    </row>
    <row r="384" hidden="1" outlineLevel="1">
      <c r="A384" s="26" t="str">
        <f>B384&amp;D384</f>
        <v>DecemberLEELAVATHI.M</v>
      </c>
      <c r="B384" s="27" t="s">
        <v>45</v>
      </c>
      <c r="C384" s="27" t="s">
        <v>74</v>
      </c>
      <c r="D384" s="28" t="str">
        <f>IFERROR(VLOOKUP(C384,'Employees List'!$B$2:$E1424,4,0),"")</f>
        <v>LEELAVATHI.M</v>
      </c>
      <c r="E384" s="29">
        <f>COUNTIF(F384:BO384,TRUE)/2</f>
        <v>31</v>
      </c>
      <c r="F384" s="30" t="b">
        <v>1</v>
      </c>
      <c r="G384" s="30" t="b">
        <v>1</v>
      </c>
      <c r="H384" s="30" t="b">
        <v>1</v>
      </c>
      <c r="I384" s="30" t="b">
        <v>1</v>
      </c>
      <c r="J384" s="30" t="b">
        <v>1</v>
      </c>
      <c r="K384" s="30" t="b">
        <v>1</v>
      </c>
      <c r="L384" s="30" t="b">
        <v>1</v>
      </c>
      <c r="M384" s="30" t="b">
        <v>1</v>
      </c>
      <c r="N384" s="30" t="b">
        <v>1</v>
      </c>
      <c r="O384" s="30" t="b">
        <v>1</v>
      </c>
      <c r="P384" s="30" t="b">
        <v>1</v>
      </c>
      <c r="Q384" s="30" t="b">
        <v>1</v>
      </c>
      <c r="R384" s="30" t="b">
        <v>1</v>
      </c>
      <c r="S384" s="30" t="b">
        <v>1</v>
      </c>
      <c r="T384" s="30" t="b">
        <v>1</v>
      </c>
      <c r="U384" s="30" t="b">
        <v>1</v>
      </c>
      <c r="V384" s="30" t="b">
        <v>1</v>
      </c>
      <c r="W384" s="30" t="b">
        <v>1</v>
      </c>
      <c r="X384" s="30" t="b">
        <v>1</v>
      </c>
      <c r="Y384" s="30" t="b">
        <v>1</v>
      </c>
      <c r="Z384" s="30" t="b">
        <v>1</v>
      </c>
      <c r="AA384" s="30" t="b">
        <v>1</v>
      </c>
      <c r="AB384" s="30" t="b">
        <v>1</v>
      </c>
      <c r="AC384" s="30" t="b">
        <v>1</v>
      </c>
      <c r="AD384" s="30" t="b">
        <v>1</v>
      </c>
      <c r="AE384" s="30" t="b">
        <v>1</v>
      </c>
      <c r="AF384" s="30" t="b">
        <v>1</v>
      </c>
      <c r="AG384" s="30" t="b">
        <v>1</v>
      </c>
      <c r="AH384" s="30" t="b">
        <v>1</v>
      </c>
      <c r="AI384" s="30" t="b">
        <v>1</v>
      </c>
      <c r="AJ384" s="30" t="b">
        <v>1</v>
      </c>
      <c r="AK384" s="30" t="b">
        <v>1</v>
      </c>
      <c r="AL384" s="30" t="b">
        <v>1</v>
      </c>
      <c r="AM384" s="30" t="b">
        <v>1</v>
      </c>
      <c r="AN384" s="30" t="b">
        <v>1</v>
      </c>
      <c r="AO384" s="30" t="b">
        <v>1</v>
      </c>
      <c r="AP384" s="30" t="b">
        <v>1</v>
      </c>
      <c r="AQ384" s="30" t="b">
        <v>1</v>
      </c>
      <c r="AR384" s="30" t="b">
        <v>1</v>
      </c>
      <c r="AS384" s="30" t="b">
        <v>1</v>
      </c>
      <c r="AT384" s="30" t="b">
        <v>1</v>
      </c>
      <c r="AU384" s="30" t="b">
        <v>1</v>
      </c>
      <c r="AV384" s="30" t="b">
        <v>1</v>
      </c>
      <c r="AW384" s="30" t="b">
        <v>1</v>
      </c>
      <c r="AX384" s="30" t="b">
        <v>1</v>
      </c>
      <c r="AY384" s="30" t="b">
        <v>1</v>
      </c>
      <c r="AZ384" s="30" t="b">
        <v>1</v>
      </c>
      <c r="BA384" s="30" t="b">
        <v>1</v>
      </c>
      <c r="BB384" s="30" t="b">
        <v>1</v>
      </c>
      <c r="BC384" s="30" t="b">
        <v>1</v>
      </c>
      <c r="BD384" s="30" t="b">
        <v>1</v>
      </c>
      <c r="BE384" s="30" t="b">
        <v>1</v>
      </c>
      <c r="BF384" s="30" t="b">
        <v>1</v>
      </c>
      <c r="BG384" s="30" t="b">
        <v>1</v>
      </c>
      <c r="BH384" s="30" t="b">
        <v>1</v>
      </c>
      <c r="BI384" s="30" t="b">
        <v>1</v>
      </c>
      <c r="BJ384" s="30" t="b">
        <v>1</v>
      </c>
      <c r="BK384" s="30" t="b">
        <v>1</v>
      </c>
      <c r="BL384" s="30" t="b">
        <v>1</v>
      </c>
      <c r="BM384" s="30" t="b">
        <v>1</v>
      </c>
      <c r="BN384" s="30" t="b">
        <v>1</v>
      </c>
      <c r="BO384" s="30" t="b">
        <v>1</v>
      </c>
    </row>
    <row r="385" hidden="1" outlineLevel="1">
      <c r="A385" s="31" t="str">
        <f>A384&amp;C385</f>
        <v>DecemberLEELAVATHI.MOT HOURS</v>
      </c>
      <c r="B385" s="32"/>
      <c r="C385" s="33" t="s">
        <v>169</v>
      </c>
      <c r="D385" s="17"/>
      <c r="E385" s="29">
        <f>SUM(F385:BO385)</f>
        <v>21</v>
      </c>
      <c r="F385" s="34"/>
      <c r="G385" s="17"/>
      <c r="H385" s="34">
        <v>1.0</v>
      </c>
      <c r="I385" s="17"/>
      <c r="J385" s="34"/>
      <c r="K385" s="17"/>
      <c r="L385" s="34">
        <v>1.0</v>
      </c>
      <c r="M385" s="17"/>
      <c r="N385" s="34">
        <v>2.0</v>
      </c>
      <c r="O385" s="17"/>
      <c r="P385" s="34">
        <v>1.0</v>
      </c>
      <c r="Q385" s="17"/>
      <c r="R385" s="34"/>
      <c r="S385" s="17"/>
      <c r="T385" s="34"/>
      <c r="U385" s="17"/>
      <c r="V385" s="34">
        <v>1.0</v>
      </c>
      <c r="W385" s="17"/>
      <c r="X385" s="34">
        <v>1.0</v>
      </c>
      <c r="Y385" s="17"/>
      <c r="Z385" s="34">
        <v>1.0</v>
      </c>
      <c r="AA385" s="17"/>
      <c r="AB385" s="34">
        <v>2.0</v>
      </c>
      <c r="AC385" s="17"/>
      <c r="AD385" s="34"/>
      <c r="AE385" s="17"/>
      <c r="AF385" s="34"/>
      <c r="AG385" s="17"/>
      <c r="AH385" s="34">
        <v>1.5</v>
      </c>
      <c r="AI385" s="17"/>
      <c r="AJ385" s="34">
        <v>1.0</v>
      </c>
      <c r="AK385" s="17"/>
      <c r="AL385" s="34"/>
      <c r="AM385" s="17"/>
      <c r="AN385" s="34"/>
      <c r="AO385" s="17"/>
      <c r="AP385" s="34"/>
      <c r="AQ385" s="17"/>
      <c r="AR385" s="34">
        <v>1.5</v>
      </c>
      <c r="AS385" s="17"/>
      <c r="AT385" s="34"/>
      <c r="AU385" s="17"/>
      <c r="AV385" s="34">
        <v>1.0</v>
      </c>
      <c r="AW385" s="17"/>
      <c r="AX385" s="34">
        <v>2.0</v>
      </c>
      <c r="AY385" s="17"/>
      <c r="AZ385" s="34"/>
      <c r="BA385" s="17"/>
      <c r="BB385" s="34"/>
      <c r="BC385" s="17"/>
      <c r="BD385" s="34"/>
      <c r="BE385" s="17"/>
      <c r="BF385" s="34">
        <v>1.5</v>
      </c>
      <c r="BG385" s="17"/>
      <c r="BH385" s="34"/>
      <c r="BI385" s="17"/>
      <c r="BJ385" s="34">
        <v>1.0</v>
      </c>
      <c r="BK385" s="17"/>
      <c r="BL385" s="34"/>
      <c r="BM385" s="17"/>
      <c r="BN385" s="34">
        <v>1.5</v>
      </c>
      <c r="BO385" s="17"/>
    </row>
    <row r="386" hidden="1" outlineLevel="1">
      <c r="A386" s="26" t="str">
        <f>B386&amp;D386</f>
        <v>DecemberNILAMANI KISAN.B</v>
      </c>
      <c r="B386" s="27" t="s">
        <v>45</v>
      </c>
      <c r="C386" s="27" t="s">
        <v>92</v>
      </c>
      <c r="D386" s="28" t="str">
        <f>IFERROR(VLOOKUP(C386,'Employees List'!$B$2:$E1424,4,0),"")</f>
        <v>NILAMANI KISAN.B</v>
      </c>
      <c r="E386" s="29">
        <f>COUNTIF(F386:BO386,TRUE)/2</f>
        <v>27</v>
      </c>
      <c r="F386" s="30" t="b">
        <v>0</v>
      </c>
      <c r="G386" s="30" t="b">
        <v>0</v>
      </c>
      <c r="H386" s="30" t="b">
        <v>1</v>
      </c>
      <c r="I386" s="30" t="b">
        <v>1</v>
      </c>
      <c r="J386" s="30" t="b">
        <v>1</v>
      </c>
      <c r="K386" s="30" t="b">
        <v>1</v>
      </c>
      <c r="L386" s="30" t="b">
        <v>1</v>
      </c>
      <c r="M386" s="30" t="b">
        <v>1</v>
      </c>
      <c r="N386" s="30" t="b">
        <v>1</v>
      </c>
      <c r="O386" s="30" t="b">
        <v>1</v>
      </c>
      <c r="P386" s="30" t="b">
        <v>1</v>
      </c>
      <c r="Q386" s="30" t="b">
        <v>1</v>
      </c>
      <c r="R386" s="30" t="b">
        <v>1</v>
      </c>
      <c r="S386" s="30" t="b">
        <v>1</v>
      </c>
      <c r="T386" s="30" t="b">
        <v>1</v>
      </c>
      <c r="U386" s="30" t="b">
        <v>1</v>
      </c>
      <c r="V386" s="30" t="b">
        <v>1</v>
      </c>
      <c r="W386" s="30" t="b">
        <v>1</v>
      </c>
      <c r="X386" s="30" t="b">
        <v>1</v>
      </c>
      <c r="Y386" s="30" t="b">
        <v>1</v>
      </c>
      <c r="Z386" s="30" t="b">
        <v>1</v>
      </c>
      <c r="AA386" s="30" t="b">
        <v>1</v>
      </c>
      <c r="AB386" s="30" t="b">
        <v>1</v>
      </c>
      <c r="AC386" s="30" t="b">
        <v>1</v>
      </c>
      <c r="AD386" s="30" t="b">
        <v>1</v>
      </c>
      <c r="AE386" s="30" t="b">
        <v>1</v>
      </c>
      <c r="AF386" s="30" t="b">
        <v>1</v>
      </c>
      <c r="AG386" s="30" t="b">
        <v>1</v>
      </c>
      <c r="AH386" s="30" t="b">
        <v>1</v>
      </c>
      <c r="AI386" s="30" t="b">
        <v>1</v>
      </c>
      <c r="AJ386" s="30" t="b">
        <v>0</v>
      </c>
      <c r="AK386" s="30" t="b">
        <v>0</v>
      </c>
      <c r="AL386" s="30" t="b">
        <v>1</v>
      </c>
      <c r="AM386" s="30" t="b">
        <v>1</v>
      </c>
      <c r="AN386" s="30" t="b">
        <v>1</v>
      </c>
      <c r="AO386" s="30" t="b">
        <v>1</v>
      </c>
      <c r="AP386" s="30" t="b">
        <v>1</v>
      </c>
      <c r="AQ386" s="30" t="b">
        <v>1</v>
      </c>
      <c r="AR386" s="30" t="b">
        <v>1</v>
      </c>
      <c r="AS386" s="30" t="b">
        <v>1</v>
      </c>
      <c r="AT386" s="30" t="b">
        <v>1</v>
      </c>
      <c r="AU386" s="30" t="b">
        <v>1</v>
      </c>
      <c r="AV386" s="30" t="b">
        <v>1</v>
      </c>
      <c r="AW386" s="30" t="b">
        <v>1</v>
      </c>
      <c r="AX386" s="30" t="b">
        <v>1</v>
      </c>
      <c r="AY386" s="30" t="b">
        <v>1</v>
      </c>
      <c r="AZ386" s="30" t="b">
        <v>1</v>
      </c>
      <c r="BA386" s="30" t="b">
        <v>1</v>
      </c>
      <c r="BB386" s="30" t="b">
        <v>1</v>
      </c>
      <c r="BC386" s="30" t="b">
        <v>1</v>
      </c>
      <c r="BD386" s="30" t="b">
        <v>0</v>
      </c>
      <c r="BE386" s="30" t="b">
        <v>0</v>
      </c>
      <c r="BF386" s="30" t="b">
        <v>0</v>
      </c>
      <c r="BG386" s="30" t="b">
        <v>0</v>
      </c>
      <c r="BH386" s="30" t="b">
        <v>1</v>
      </c>
      <c r="BI386" s="30" t="b">
        <v>1</v>
      </c>
      <c r="BJ386" s="30" t="b">
        <v>1</v>
      </c>
      <c r="BK386" s="30" t="b">
        <v>1</v>
      </c>
      <c r="BL386" s="30" t="b">
        <v>1</v>
      </c>
      <c r="BM386" s="30" t="b">
        <v>1</v>
      </c>
      <c r="BN386" s="30" t="b">
        <v>1</v>
      </c>
      <c r="BO386" s="30" t="b">
        <v>1</v>
      </c>
    </row>
    <row r="387" hidden="1" outlineLevel="1">
      <c r="A387" s="31" t="str">
        <f>A386&amp;C387</f>
        <v>DecemberNILAMANI KISAN.BOT HOURS</v>
      </c>
      <c r="B387" s="32"/>
      <c r="C387" s="33" t="s">
        <v>169</v>
      </c>
      <c r="D387" s="17"/>
      <c r="E387" s="29">
        <f>SUM(F387:BO387)</f>
        <v>71</v>
      </c>
      <c r="F387" s="34"/>
      <c r="G387" s="17"/>
      <c r="H387" s="34">
        <v>2.0</v>
      </c>
      <c r="I387" s="17"/>
      <c r="J387" s="34">
        <v>2.0</v>
      </c>
      <c r="K387" s="17"/>
      <c r="L387" s="34">
        <v>3.0</v>
      </c>
      <c r="M387" s="17"/>
      <c r="N387" s="34">
        <v>4.0</v>
      </c>
      <c r="O387" s="17"/>
      <c r="P387" s="34">
        <v>5.0</v>
      </c>
      <c r="Q387" s="17"/>
      <c r="R387" s="34"/>
      <c r="S387" s="17"/>
      <c r="T387" s="34">
        <v>2.0</v>
      </c>
      <c r="U387" s="17"/>
      <c r="V387" s="34">
        <v>3.0</v>
      </c>
      <c r="W387" s="17"/>
      <c r="X387" s="34">
        <v>4.0</v>
      </c>
      <c r="Y387" s="17"/>
      <c r="Z387" s="34">
        <v>3.0</v>
      </c>
      <c r="AA387" s="17"/>
      <c r="AB387" s="34">
        <v>3.0</v>
      </c>
      <c r="AC387" s="17"/>
      <c r="AD387" s="34">
        <v>5.0</v>
      </c>
      <c r="AE387" s="17"/>
      <c r="AF387" s="34"/>
      <c r="AG387" s="17"/>
      <c r="AH387" s="34">
        <v>3.0</v>
      </c>
      <c r="AI387" s="17"/>
      <c r="AJ387" s="34">
        <v>2.0</v>
      </c>
      <c r="AK387" s="17"/>
      <c r="AL387" s="34">
        <v>3.0</v>
      </c>
      <c r="AM387" s="17"/>
      <c r="AN387" s="34"/>
      <c r="AO387" s="17"/>
      <c r="AP387" s="34">
        <v>1.0</v>
      </c>
      <c r="AQ387" s="17"/>
      <c r="AR387" s="34"/>
      <c r="AS387" s="17"/>
      <c r="AT387" s="34"/>
      <c r="AU387" s="17"/>
      <c r="AV387" s="34">
        <v>5.0</v>
      </c>
      <c r="AW387" s="17"/>
      <c r="AX387" s="34">
        <v>5.0</v>
      </c>
      <c r="AY387" s="17"/>
      <c r="AZ387" s="34">
        <v>3.0</v>
      </c>
      <c r="BA387" s="17"/>
      <c r="BB387" s="34"/>
      <c r="BC387" s="17"/>
      <c r="BD387" s="34">
        <v>2.0</v>
      </c>
      <c r="BE387" s="17"/>
      <c r="BF387" s="34">
        <v>2.0</v>
      </c>
      <c r="BG387" s="17"/>
      <c r="BH387" s="34"/>
      <c r="BI387" s="17"/>
      <c r="BJ387" s="34">
        <v>6.0</v>
      </c>
      <c r="BK387" s="17"/>
      <c r="BL387" s="34">
        <v>3.0</v>
      </c>
      <c r="BM387" s="17"/>
      <c r="BN387" s="34"/>
      <c r="BO387" s="17"/>
    </row>
    <row r="388">
      <c r="A388" s="14"/>
      <c r="B388" s="15"/>
      <c r="C388" s="20">
        <v>46023.0</v>
      </c>
      <c r="D388" s="17"/>
      <c r="E388" s="18"/>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c r="BD388" s="21"/>
      <c r="BE388" s="21"/>
      <c r="BF388" s="21"/>
      <c r="BG388" s="21"/>
      <c r="BH388" s="21"/>
      <c r="BI388" s="21"/>
      <c r="BJ388" s="21"/>
      <c r="BK388" s="21"/>
      <c r="BL388" s="21"/>
      <c r="BM388" s="21"/>
      <c r="BN388" s="21"/>
      <c r="BO388" s="21"/>
    </row>
    <row r="389">
      <c r="A389" s="22"/>
      <c r="B389" s="23"/>
      <c r="C389" s="24" t="s">
        <v>1</v>
      </c>
      <c r="D389" s="24" t="s">
        <v>4</v>
      </c>
      <c r="E389" s="25" t="s">
        <v>166</v>
      </c>
      <c r="F389" s="24" t="s">
        <v>167</v>
      </c>
      <c r="G389" s="24" t="s">
        <v>168</v>
      </c>
      <c r="H389" s="24" t="s">
        <v>167</v>
      </c>
      <c r="I389" s="24" t="s">
        <v>168</v>
      </c>
      <c r="J389" s="24" t="s">
        <v>167</v>
      </c>
      <c r="K389" s="24" t="s">
        <v>168</v>
      </c>
      <c r="L389" s="24" t="s">
        <v>167</v>
      </c>
      <c r="M389" s="24" t="s">
        <v>168</v>
      </c>
      <c r="N389" s="24" t="s">
        <v>167</v>
      </c>
      <c r="O389" s="24" t="s">
        <v>168</v>
      </c>
      <c r="P389" s="24" t="s">
        <v>167</v>
      </c>
      <c r="Q389" s="24" t="s">
        <v>168</v>
      </c>
      <c r="R389" s="24" t="s">
        <v>167</v>
      </c>
      <c r="S389" s="24" t="s">
        <v>168</v>
      </c>
      <c r="T389" s="24" t="s">
        <v>167</v>
      </c>
      <c r="U389" s="24" t="s">
        <v>168</v>
      </c>
      <c r="V389" s="24" t="s">
        <v>167</v>
      </c>
      <c r="W389" s="24" t="s">
        <v>168</v>
      </c>
      <c r="X389" s="24" t="s">
        <v>167</v>
      </c>
      <c r="Y389" s="24" t="s">
        <v>168</v>
      </c>
      <c r="Z389" s="24" t="s">
        <v>167</v>
      </c>
      <c r="AA389" s="24" t="s">
        <v>168</v>
      </c>
      <c r="AB389" s="24" t="s">
        <v>167</v>
      </c>
      <c r="AC389" s="24" t="s">
        <v>168</v>
      </c>
      <c r="AD389" s="24" t="s">
        <v>167</v>
      </c>
      <c r="AE389" s="24" t="s">
        <v>168</v>
      </c>
      <c r="AF389" s="24" t="s">
        <v>167</v>
      </c>
      <c r="AG389" s="24" t="s">
        <v>168</v>
      </c>
      <c r="AH389" s="24" t="s">
        <v>167</v>
      </c>
      <c r="AI389" s="24" t="s">
        <v>168</v>
      </c>
      <c r="AJ389" s="24" t="s">
        <v>167</v>
      </c>
      <c r="AK389" s="24" t="s">
        <v>168</v>
      </c>
      <c r="AL389" s="24" t="s">
        <v>167</v>
      </c>
      <c r="AM389" s="24" t="s">
        <v>168</v>
      </c>
      <c r="AN389" s="24" t="s">
        <v>167</v>
      </c>
      <c r="AO389" s="24" t="s">
        <v>168</v>
      </c>
      <c r="AP389" s="24" t="s">
        <v>167</v>
      </c>
      <c r="AQ389" s="24" t="s">
        <v>168</v>
      </c>
      <c r="AR389" s="24" t="s">
        <v>167</v>
      </c>
      <c r="AS389" s="24" t="s">
        <v>168</v>
      </c>
      <c r="AT389" s="24" t="s">
        <v>167</v>
      </c>
      <c r="AU389" s="24" t="s">
        <v>168</v>
      </c>
      <c r="AV389" s="24" t="s">
        <v>167</v>
      </c>
      <c r="AW389" s="24" t="s">
        <v>168</v>
      </c>
      <c r="AX389" s="24" t="s">
        <v>167</v>
      </c>
      <c r="AY389" s="24" t="s">
        <v>168</v>
      </c>
      <c r="AZ389" s="24" t="s">
        <v>167</v>
      </c>
      <c r="BA389" s="24" t="s">
        <v>168</v>
      </c>
      <c r="BB389" s="24" t="s">
        <v>167</v>
      </c>
      <c r="BC389" s="24" t="s">
        <v>168</v>
      </c>
      <c r="BD389" s="24" t="s">
        <v>167</v>
      </c>
      <c r="BE389" s="24" t="s">
        <v>168</v>
      </c>
      <c r="BF389" s="24" t="s">
        <v>167</v>
      </c>
      <c r="BG389" s="24" t="s">
        <v>168</v>
      </c>
      <c r="BH389" s="24" t="s">
        <v>167</v>
      </c>
      <c r="BI389" s="24" t="s">
        <v>168</v>
      </c>
      <c r="BJ389" s="24" t="s">
        <v>167</v>
      </c>
      <c r="BK389" s="24" t="s">
        <v>168</v>
      </c>
      <c r="BL389" s="24" t="s">
        <v>167</v>
      </c>
      <c r="BM389" s="24" t="s">
        <v>168</v>
      </c>
      <c r="BN389" s="24" t="s">
        <v>167</v>
      </c>
      <c r="BO389" s="24" t="s">
        <v>168</v>
      </c>
    </row>
    <row r="390">
      <c r="A390" s="26" t="str">
        <f>B390&amp;D390</f>
        <v>JanuaryBHUVANESHWARAN.V</v>
      </c>
      <c r="B390" s="27" t="s">
        <v>49</v>
      </c>
      <c r="C390" s="27" t="s">
        <v>13</v>
      </c>
      <c r="D390" s="39" t="str">
        <f>IFERROR(VLOOKUP(C390,'Employees List'!$B$2:$E1424,4,0),"")</f>
        <v>BHUVANESHWARAN.V</v>
      </c>
      <c r="E390" s="29">
        <f t="shared" ref="E390:E392" si="6">COUNTIF(F390:BO390,TRUE)/2</f>
        <v>31</v>
      </c>
      <c r="F390" s="30" t="b">
        <v>1</v>
      </c>
      <c r="G390" s="30" t="b">
        <v>1</v>
      </c>
      <c r="H390" s="30" t="b">
        <v>1</v>
      </c>
      <c r="I390" s="30" t="b">
        <v>1</v>
      </c>
      <c r="J390" s="30" t="b">
        <v>1</v>
      </c>
      <c r="K390" s="30" t="b">
        <v>1</v>
      </c>
      <c r="L390" s="30" t="b">
        <v>1</v>
      </c>
      <c r="M390" s="30" t="b">
        <v>1</v>
      </c>
      <c r="N390" s="30" t="b">
        <v>1</v>
      </c>
      <c r="O390" s="30" t="b">
        <v>1</v>
      </c>
      <c r="P390" s="30" t="b">
        <v>1</v>
      </c>
      <c r="Q390" s="30" t="b">
        <v>1</v>
      </c>
      <c r="R390" s="30" t="b">
        <v>1</v>
      </c>
      <c r="S390" s="30" t="b">
        <v>1</v>
      </c>
      <c r="T390" s="30" t="b">
        <v>1</v>
      </c>
      <c r="U390" s="30" t="b">
        <v>1</v>
      </c>
      <c r="V390" s="30" t="b">
        <v>1</v>
      </c>
      <c r="W390" s="30" t="b">
        <v>1</v>
      </c>
      <c r="X390" s="30" t="b">
        <v>1</v>
      </c>
      <c r="Y390" s="30" t="b">
        <v>1</v>
      </c>
      <c r="Z390" s="30" t="b">
        <v>1</v>
      </c>
      <c r="AA390" s="30" t="b">
        <v>1</v>
      </c>
      <c r="AB390" s="30" t="b">
        <v>1</v>
      </c>
      <c r="AC390" s="30" t="b">
        <v>1</v>
      </c>
      <c r="AD390" s="30" t="b">
        <v>1</v>
      </c>
      <c r="AE390" s="30" t="b">
        <v>1</v>
      </c>
      <c r="AF390" s="30" t="b">
        <v>1</v>
      </c>
      <c r="AG390" s="30" t="b">
        <v>1</v>
      </c>
      <c r="AH390" s="30" t="b">
        <v>1</v>
      </c>
      <c r="AI390" s="30" t="b">
        <v>1</v>
      </c>
      <c r="AJ390" s="30" t="b">
        <v>1</v>
      </c>
      <c r="AK390" s="30" t="b">
        <v>1</v>
      </c>
      <c r="AL390" s="30" t="b">
        <v>1</v>
      </c>
      <c r="AM390" s="30" t="b">
        <v>1</v>
      </c>
      <c r="AN390" s="30" t="b">
        <v>1</v>
      </c>
      <c r="AO390" s="30" t="b">
        <v>1</v>
      </c>
      <c r="AP390" s="30" t="b">
        <v>1</v>
      </c>
      <c r="AQ390" s="30" t="b">
        <v>1</v>
      </c>
      <c r="AR390" s="30" t="b">
        <v>1</v>
      </c>
      <c r="AS390" s="30" t="b">
        <v>1</v>
      </c>
      <c r="AT390" s="30" t="b">
        <v>1</v>
      </c>
      <c r="AU390" s="30" t="b">
        <v>1</v>
      </c>
      <c r="AV390" s="30" t="b">
        <v>1</v>
      </c>
      <c r="AW390" s="30" t="b">
        <v>1</v>
      </c>
      <c r="AX390" s="30" t="b">
        <v>1</v>
      </c>
      <c r="AY390" s="30" t="b">
        <v>1</v>
      </c>
      <c r="AZ390" s="30" t="b">
        <v>1</v>
      </c>
      <c r="BA390" s="30" t="b">
        <v>1</v>
      </c>
      <c r="BB390" s="30" t="b">
        <v>1</v>
      </c>
      <c r="BC390" s="30" t="b">
        <v>1</v>
      </c>
      <c r="BD390" s="30" t="b">
        <v>1</v>
      </c>
      <c r="BE390" s="30" t="b">
        <v>1</v>
      </c>
      <c r="BF390" s="30" t="b">
        <v>1</v>
      </c>
      <c r="BG390" s="30" t="b">
        <v>1</v>
      </c>
      <c r="BH390" s="30" t="b">
        <v>1</v>
      </c>
      <c r="BI390" s="30" t="b">
        <v>1</v>
      </c>
      <c r="BJ390" s="30" t="b">
        <v>1</v>
      </c>
      <c r="BK390" s="30" t="b">
        <v>1</v>
      </c>
      <c r="BL390" s="30" t="b">
        <v>1</v>
      </c>
      <c r="BM390" s="30" t="b">
        <v>1</v>
      </c>
      <c r="BN390" s="30" t="b">
        <v>1</v>
      </c>
      <c r="BO390" s="30" t="b">
        <v>1</v>
      </c>
    </row>
    <row r="391">
      <c r="A391" s="31" t="str">
        <f>A390&amp;C391</f>
        <v>JanuaryBHUVANESHWARAN.VOT HOURS</v>
      </c>
      <c r="B391" s="32"/>
      <c r="C391" s="33" t="s">
        <v>169</v>
      </c>
      <c r="D391" s="17"/>
      <c r="E391" s="29">
        <f t="shared" si="6"/>
        <v>0</v>
      </c>
      <c r="F391" s="34"/>
      <c r="G391" s="17"/>
      <c r="H391" s="34"/>
      <c r="I391" s="17"/>
      <c r="J391" s="34"/>
      <c r="K391" s="17"/>
      <c r="L391" s="34"/>
      <c r="M391" s="17"/>
      <c r="N391" s="34"/>
      <c r="O391" s="17"/>
      <c r="P391" s="34"/>
      <c r="Q391" s="17"/>
      <c r="R391" s="34"/>
      <c r="S391" s="17"/>
      <c r="T391" s="34"/>
      <c r="U391" s="17"/>
      <c r="V391" s="34"/>
      <c r="W391" s="17"/>
      <c r="X391" s="34"/>
      <c r="Y391" s="17"/>
      <c r="Z391" s="34"/>
      <c r="AA391" s="17"/>
      <c r="AB391" s="34"/>
      <c r="AC391" s="17"/>
      <c r="AD391" s="34"/>
      <c r="AE391" s="17"/>
      <c r="AF391" s="34"/>
      <c r="AG391" s="17"/>
      <c r="AH391" s="34"/>
      <c r="AI391" s="17"/>
      <c r="AJ391" s="34"/>
      <c r="AK391" s="17"/>
      <c r="AL391" s="34"/>
      <c r="AM391" s="17"/>
      <c r="AN391" s="34"/>
      <c r="AO391" s="17"/>
      <c r="AP391" s="34"/>
      <c r="AQ391" s="17"/>
      <c r="AR391" s="34"/>
      <c r="AS391" s="17"/>
      <c r="AT391" s="34"/>
      <c r="AU391" s="17"/>
      <c r="AV391" s="34"/>
      <c r="AW391" s="17"/>
      <c r="AX391" s="34"/>
      <c r="AY391" s="17"/>
      <c r="AZ391" s="34"/>
      <c r="BA391" s="17"/>
      <c r="BB391" s="34"/>
      <c r="BC391" s="17"/>
      <c r="BD391" s="34"/>
      <c r="BE391" s="17"/>
      <c r="BF391" s="34"/>
      <c r="BG391" s="17"/>
      <c r="BH391" s="34"/>
      <c r="BI391" s="17"/>
      <c r="BJ391" s="34"/>
      <c r="BK391" s="17"/>
      <c r="BL391" s="34"/>
      <c r="BM391" s="17"/>
      <c r="BN391" s="34"/>
      <c r="BO391" s="17"/>
    </row>
    <row r="392">
      <c r="A392" s="26" t="str">
        <f>B392&amp;D392</f>
        <v>JanuaryTHIRIPURA SUNDARI.R</v>
      </c>
      <c r="B392" s="27" t="s">
        <v>49</v>
      </c>
      <c r="C392" s="27" t="s">
        <v>71</v>
      </c>
      <c r="D392" s="28" t="str">
        <f>IFERROR(VLOOKUP(C392,'Employees List'!$B$2:$E1424,4,0),"")</f>
        <v>THIRIPURA SUNDARI.R</v>
      </c>
      <c r="E392" s="29">
        <f t="shared" si="6"/>
        <v>31</v>
      </c>
      <c r="F392" s="30" t="b">
        <v>1</v>
      </c>
      <c r="G392" s="30" t="b">
        <v>1</v>
      </c>
      <c r="H392" s="30" t="b">
        <v>1</v>
      </c>
      <c r="I392" s="30" t="b">
        <v>1</v>
      </c>
      <c r="J392" s="30" t="b">
        <v>1</v>
      </c>
      <c r="K392" s="30" t="b">
        <v>1</v>
      </c>
      <c r="L392" s="30" t="b">
        <v>1</v>
      </c>
      <c r="M392" s="30" t="b">
        <v>1</v>
      </c>
      <c r="N392" s="30" t="b">
        <v>1</v>
      </c>
      <c r="O392" s="30" t="b">
        <v>1</v>
      </c>
      <c r="P392" s="30" t="b">
        <v>1</v>
      </c>
      <c r="Q392" s="30" t="b">
        <v>1</v>
      </c>
      <c r="R392" s="30" t="b">
        <v>1</v>
      </c>
      <c r="S392" s="30" t="b">
        <v>1</v>
      </c>
      <c r="T392" s="30" t="b">
        <v>1</v>
      </c>
      <c r="U392" s="30" t="b">
        <v>1</v>
      </c>
      <c r="V392" s="30" t="b">
        <v>1</v>
      </c>
      <c r="W392" s="30" t="b">
        <v>1</v>
      </c>
      <c r="X392" s="30" t="b">
        <v>1</v>
      </c>
      <c r="Y392" s="30" t="b">
        <v>1</v>
      </c>
      <c r="Z392" s="30" t="b">
        <v>1</v>
      </c>
      <c r="AA392" s="30" t="b">
        <v>1</v>
      </c>
      <c r="AB392" s="30" t="b">
        <v>1</v>
      </c>
      <c r="AC392" s="30" t="b">
        <v>1</v>
      </c>
      <c r="AD392" s="30" t="b">
        <v>1</v>
      </c>
      <c r="AE392" s="30" t="b">
        <v>1</v>
      </c>
      <c r="AF392" s="30" t="b">
        <v>1</v>
      </c>
      <c r="AG392" s="30" t="b">
        <v>1</v>
      </c>
      <c r="AH392" s="30" t="b">
        <v>1</v>
      </c>
      <c r="AI392" s="30" t="b">
        <v>1</v>
      </c>
      <c r="AJ392" s="30" t="b">
        <v>1</v>
      </c>
      <c r="AK392" s="30" t="b">
        <v>1</v>
      </c>
      <c r="AL392" s="30" t="b">
        <v>1</v>
      </c>
      <c r="AM392" s="30" t="b">
        <v>1</v>
      </c>
      <c r="AN392" s="30" t="b">
        <v>1</v>
      </c>
      <c r="AO392" s="30" t="b">
        <v>1</v>
      </c>
      <c r="AP392" s="30" t="b">
        <v>1</v>
      </c>
      <c r="AQ392" s="30" t="b">
        <v>1</v>
      </c>
      <c r="AR392" s="30" t="b">
        <v>1</v>
      </c>
      <c r="AS392" s="30" t="b">
        <v>1</v>
      </c>
      <c r="AT392" s="30" t="b">
        <v>1</v>
      </c>
      <c r="AU392" s="30" t="b">
        <v>1</v>
      </c>
      <c r="AV392" s="30" t="b">
        <v>1</v>
      </c>
      <c r="AW392" s="30" t="b">
        <v>1</v>
      </c>
      <c r="AX392" s="30" t="b">
        <v>1</v>
      </c>
      <c r="AY392" s="30" t="b">
        <v>1</v>
      </c>
      <c r="AZ392" s="30" t="b">
        <v>1</v>
      </c>
      <c r="BA392" s="30" t="b">
        <v>1</v>
      </c>
      <c r="BB392" s="30" t="b">
        <v>1</v>
      </c>
      <c r="BC392" s="30" t="b">
        <v>1</v>
      </c>
      <c r="BD392" s="30" t="b">
        <v>1</v>
      </c>
      <c r="BE392" s="30" t="b">
        <v>1</v>
      </c>
      <c r="BF392" s="30" t="b">
        <v>1</v>
      </c>
      <c r="BG392" s="30" t="b">
        <v>1</v>
      </c>
      <c r="BH392" s="30" t="b">
        <v>1</v>
      </c>
      <c r="BI392" s="30" t="b">
        <v>1</v>
      </c>
      <c r="BJ392" s="30" t="b">
        <v>1</v>
      </c>
      <c r="BK392" s="30" t="b">
        <v>1</v>
      </c>
      <c r="BL392" s="30" t="b">
        <v>1</v>
      </c>
      <c r="BM392" s="30" t="b">
        <v>1</v>
      </c>
      <c r="BN392" s="30" t="b">
        <v>1</v>
      </c>
      <c r="BO392" s="30" t="b">
        <v>1</v>
      </c>
    </row>
    <row r="393">
      <c r="A393" s="31" t="str">
        <f>A392&amp;C393</f>
        <v>JanuaryTHIRIPURA SUNDARI.ROT HOURS</v>
      </c>
      <c r="B393" s="32"/>
      <c r="C393" s="33" t="s">
        <v>169</v>
      </c>
      <c r="D393" s="17"/>
      <c r="E393" s="29">
        <f>SUM(F393:BO393)</f>
        <v>0</v>
      </c>
      <c r="F393" s="34"/>
      <c r="G393" s="17"/>
      <c r="H393" s="34"/>
      <c r="I393" s="17"/>
      <c r="J393" s="34"/>
      <c r="K393" s="17"/>
      <c r="L393" s="34"/>
      <c r="M393" s="17"/>
      <c r="N393" s="34"/>
      <c r="O393" s="17"/>
      <c r="P393" s="34"/>
      <c r="Q393" s="17"/>
      <c r="R393" s="34"/>
      <c r="S393" s="17"/>
      <c r="T393" s="34"/>
      <c r="U393" s="17"/>
      <c r="V393" s="34"/>
      <c r="W393" s="17"/>
      <c r="X393" s="34"/>
      <c r="Y393" s="17"/>
      <c r="Z393" s="34"/>
      <c r="AA393" s="17"/>
      <c r="AB393" s="34"/>
      <c r="AC393" s="17"/>
      <c r="AD393" s="34"/>
      <c r="AE393" s="17"/>
      <c r="AF393" s="34"/>
      <c r="AG393" s="17"/>
      <c r="AH393" s="34"/>
      <c r="AI393" s="17"/>
      <c r="AJ393" s="34"/>
      <c r="AK393" s="17"/>
      <c r="AL393" s="34"/>
      <c r="AM393" s="17"/>
      <c r="AN393" s="34"/>
      <c r="AO393" s="17"/>
      <c r="AP393" s="34"/>
      <c r="AQ393" s="17"/>
      <c r="AR393" s="34"/>
      <c r="AS393" s="17"/>
      <c r="AT393" s="34"/>
      <c r="AU393" s="17"/>
      <c r="AV393" s="34"/>
      <c r="AW393" s="17"/>
      <c r="AX393" s="34"/>
      <c r="AY393" s="17"/>
      <c r="AZ393" s="34"/>
      <c r="BA393" s="17"/>
      <c r="BB393" s="34"/>
      <c r="BC393" s="17"/>
      <c r="BD393" s="34"/>
      <c r="BE393" s="17"/>
      <c r="BF393" s="34"/>
      <c r="BG393" s="17"/>
      <c r="BH393" s="34"/>
      <c r="BI393" s="17"/>
      <c r="BJ393" s="34"/>
      <c r="BK393" s="17"/>
      <c r="BL393" s="34"/>
      <c r="BM393" s="17"/>
      <c r="BN393" s="34"/>
      <c r="BO393" s="17"/>
    </row>
    <row r="394">
      <c r="A394" s="26" t="str">
        <f>B394&amp;D394</f>
        <v>JanuaryGANESH</v>
      </c>
      <c r="B394" s="27" t="s">
        <v>49</v>
      </c>
      <c r="C394" s="27" t="s">
        <v>22</v>
      </c>
      <c r="D394" s="28" t="str">
        <f>IFERROR(VLOOKUP(C394,'Employees List'!$B$2:$E1424,4,0),"")</f>
        <v>GANESH</v>
      </c>
      <c r="E394" s="29">
        <f>COUNTIF(F394:BO394,TRUE)/2</f>
        <v>25</v>
      </c>
      <c r="F394" s="30" t="b">
        <v>1</v>
      </c>
      <c r="G394" s="30" t="b">
        <v>1</v>
      </c>
      <c r="H394" s="30" t="b">
        <v>1</v>
      </c>
      <c r="I394" s="30" t="b">
        <v>1</v>
      </c>
      <c r="J394" s="30" t="b">
        <v>1</v>
      </c>
      <c r="K394" s="30" t="b">
        <v>1</v>
      </c>
      <c r="L394" s="30" t="b">
        <v>1</v>
      </c>
      <c r="M394" s="30" t="b">
        <v>1</v>
      </c>
      <c r="N394" s="30" t="b">
        <v>1</v>
      </c>
      <c r="O394" s="30" t="b">
        <v>1</v>
      </c>
      <c r="P394" s="30" t="b">
        <v>1</v>
      </c>
      <c r="Q394" s="30" t="b">
        <v>1</v>
      </c>
      <c r="R394" s="30" t="b">
        <v>1</v>
      </c>
      <c r="S394" s="30" t="b">
        <v>1</v>
      </c>
      <c r="T394" s="30" t="b">
        <v>0</v>
      </c>
      <c r="U394" s="30" t="b">
        <v>0</v>
      </c>
      <c r="V394" s="30" t="b">
        <v>1</v>
      </c>
      <c r="W394" s="30" t="b">
        <v>1</v>
      </c>
      <c r="X394" s="30" t="b">
        <v>1</v>
      </c>
      <c r="Y394" s="30" t="b">
        <v>1</v>
      </c>
      <c r="Z394" s="30" t="b">
        <v>1</v>
      </c>
      <c r="AA394" s="30" t="b">
        <v>1</v>
      </c>
      <c r="AB394" s="30" t="b">
        <v>1</v>
      </c>
      <c r="AC394" s="30" t="b">
        <v>1</v>
      </c>
      <c r="AD394" s="30" t="b">
        <v>1</v>
      </c>
      <c r="AE394" s="30" t="b">
        <v>1</v>
      </c>
      <c r="AF394" s="30" t="b">
        <v>1</v>
      </c>
      <c r="AG394" s="30" t="b">
        <v>1</v>
      </c>
      <c r="AH394" s="30" t="b">
        <v>1</v>
      </c>
      <c r="AI394" s="30" t="b">
        <v>1</v>
      </c>
      <c r="AJ394" s="30" t="b">
        <v>1</v>
      </c>
      <c r="AK394" s="30" t="b">
        <v>1</v>
      </c>
      <c r="AL394" s="30" t="b">
        <v>0</v>
      </c>
      <c r="AM394" s="30" t="b">
        <v>0</v>
      </c>
      <c r="AN394" s="30" t="b">
        <v>0</v>
      </c>
      <c r="AO394" s="30" t="b">
        <v>0</v>
      </c>
      <c r="AP394" s="30" t="b">
        <v>0</v>
      </c>
      <c r="AQ394" s="30" t="b">
        <v>0</v>
      </c>
      <c r="AR394" s="30" t="b">
        <v>0</v>
      </c>
      <c r="AS394" s="30" t="b">
        <v>0</v>
      </c>
      <c r="AT394" s="30" t="b">
        <v>0</v>
      </c>
      <c r="AU394" s="30" t="b">
        <v>0</v>
      </c>
      <c r="AV394" s="30" t="b">
        <v>1</v>
      </c>
      <c r="AW394" s="30" t="b">
        <v>1</v>
      </c>
      <c r="AX394" s="30" t="b">
        <v>1</v>
      </c>
      <c r="AY394" s="30" t="b">
        <v>1</v>
      </c>
      <c r="AZ394" s="30" t="b">
        <v>1</v>
      </c>
      <c r="BA394" s="30" t="b">
        <v>1</v>
      </c>
      <c r="BB394" s="30" t="b">
        <v>1</v>
      </c>
      <c r="BC394" s="30" t="b">
        <v>1</v>
      </c>
      <c r="BD394" s="30" t="b">
        <v>1</v>
      </c>
      <c r="BE394" s="30" t="b">
        <v>1</v>
      </c>
      <c r="BF394" s="30" t="b">
        <v>1</v>
      </c>
      <c r="BG394" s="30" t="b">
        <v>1</v>
      </c>
      <c r="BH394" s="30" t="b">
        <v>1</v>
      </c>
      <c r="BI394" s="30" t="b">
        <v>1</v>
      </c>
      <c r="BJ394" s="30" t="b">
        <v>1</v>
      </c>
      <c r="BK394" s="30" t="b">
        <v>1</v>
      </c>
      <c r="BL394" s="30" t="b">
        <v>1</v>
      </c>
      <c r="BM394" s="30" t="b">
        <v>1</v>
      </c>
      <c r="BN394" s="30" t="b">
        <v>1</v>
      </c>
      <c r="BO394" s="30" t="b">
        <v>1</v>
      </c>
    </row>
    <row r="395">
      <c r="A395" s="31" t="str">
        <f>A394&amp;C395</f>
        <v>JanuaryGANESHOT HOURS</v>
      </c>
      <c r="B395" s="32"/>
      <c r="C395" s="33" t="s">
        <v>169</v>
      </c>
      <c r="D395" s="17"/>
      <c r="E395" s="29">
        <f>SUM(F395:BO395)</f>
        <v>3</v>
      </c>
      <c r="F395" s="34"/>
      <c r="G395" s="17"/>
      <c r="H395" s="34">
        <v>1.0</v>
      </c>
      <c r="I395" s="17"/>
      <c r="J395" s="34"/>
      <c r="K395" s="17"/>
      <c r="L395" s="34"/>
      <c r="M395" s="17"/>
      <c r="N395" s="34"/>
      <c r="O395" s="17"/>
      <c r="P395" s="34"/>
      <c r="Q395" s="17"/>
      <c r="R395" s="34"/>
      <c r="S395" s="17"/>
      <c r="T395" s="34"/>
      <c r="U395" s="17"/>
      <c r="V395" s="34"/>
      <c r="W395" s="17"/>
      <c r="X395" s="34"/>
      <c r="Y395" s="17"/>
      <c r="Z395" s="34"/>
      <c r="AA395" s="17"/>
      <c r="AB395" s="34"/>
      <c r="AC395" s="17"/>
      <c r="AD395" s="34"/>
      <c r="AE395" s="17"/>
      <c r="AF395" s="34"/>
      <c r="AG395" s="17"/>
      <c r="AH395" s="34"/>
      <c r="AI395" s="17"/>
      <c r="AJ395" s="34"/>
      <c r="AK395" s="17"/>
      <c r="AL395" s="34"/>
      <c r="AM395" s="17"/>
      <c r="AN395" s="34"/>
      <c r="AO395" s="17"/>
      <c r="AP395" s="34"/>
      <c r="AQ395" s="17"/>
      <c r="AR395" s="34"/>
      <c r="AS395" s="17"/>
      <c r="AT395" s="34"/>
      <c r="AU395" s="17"/>
      <c r="AV395" s="34"/>
      <c r="AW395" s="17"/>
      <c r="AX395" s="34"/>
      <c r="AY395" s="17"/>
      <c r="AZ395" s="34"/>
      <c r="BA395" s="17"/>
      <c r="BB395" s="34"/>
      <c r="BC395" s="17"/>
      <c r="BD395" s="34"/>
      <c r="BE395" s="17"/>
      <c r="BF395" s="34"/>
      <c r="BG395" s="17"/>
      <c r="BH395" s="34"/>
      <c r="BI395" s="17"/>
      <c r="BJ395" s="34" t="s">
        <v>170</v>
      </c>
      <c r="BK395" s="17"/>
      <c r="BL395" s="34">
        <v>2.0</v>
      </c>
      <c r="BM395" s="17"/>
      <c r="BN395" s="34"/>
      <c r="BO395" s="17"/>
    </row>
    <row r="396">
      <c r="A396" s="26" t="str">
        <f>B396&amp;D396</f>
        <v>JanuaryVASANTHA.E</v>
      </c>
      <c r="B396" s="27" t="s">
        <v>49</v>
      </c>
      <c r="C396" s="27" t="s">
        <v>17</v>
      </c>
      <c r="D396" s="28" t="str">
        <f>IFERROR(VLOOKUP(C396,'Employees List'!$B$2:$E1424,4,0),"")</f>
        <v>VASANTHA.E</v>
      </c>
      <c r="E396" s="29">
        <f>COUNTIF(F396:BO396,TRUE)/2</f>
        <v>28.5</v>
      </c>
      <c r="F396" s="30" t="b">
        <v>1</v>
      </c>
      <c r="G396" s="30" t="b">
        <v>1</v>
      </c>
      <c r="H396" s="30" t="b">
        <v>1</v>
      </c>
      <c r="I396" s="30" t="b">
        <v>1</v>
      </c>
      <c r="J396" s="30" t="b">
        <v>1</v>
      </c>
      <c r="K396" s="30" t="b">
        <v>1</v>
      </c>
      <c r="L396" s="30" t="b">
        <v>1</v>
      </c>
      <c r="M396" s="30" t="b">
        <v>1</v>
      </c>
      <c r="N396" s="30" t="b">
        <v>1</v>
      </c>
      <c r="O396" s="30" t="b">
        <v>1</v>
      </c>
      <c r="P396" s="30" t="b">
        <v>1</v>
      </c>
      <c r="Q396" s="30" t="b">
        <v>1</v>
      </c>
      <c r="R396" s="30" t="b">
        <v>1</v>
      </c>
      <c r="S396" s="30" t="b">
        <v>1</v>
      </c>
      <c r="T396" s="30" t="b">
        <v>0</v>
      </c>
      <c r="U396" s="30" t="b">
        <v>0</v>
      </c>
      <c r="V396" s="30" t="b">
        <v>1</v>
      </c>
      <c r="W396" s="30" t="b">
        <v>1</v>
      </c>
      <c r="X396" s="30" t="b">
        <v>1</v>
      </c>
      <c r="Y396" s="30" t="b">
        <v>1</v>
      </c>
      <c r="Z396" s="30" t="b">
        <v>1</v>
      </c>
      <c r="AA396" s="30" t="b">
        <v>1</v>
      </c>
      <c r="AB396" s="30" t="b">
        <v>1</v>
      </c>
      <c r="AC396" s="30" t="b">
        <v>1</v>
      </c>
      <c r="AD396" s="30" t="b">
        <v>1</v>
      </c>
      <c r="AE396" s="30" t="b">
        <v>1</v>
      </c>
      <c r="AF396" s="30" t="b">
        <v>1</v>
      </c>
      <c r="AG396" s="30" t="b">
        <v>1</v>
      </c>
      <c r="AH396" s="30" t="b">
        <v>1</v>
      </c>
      <c r="AI396" s="30" t="b">
        <v>1</v>
      </c>
      <c r="AJ396" s="30" t="b">
        <v>1</v>
      </c>
      <c r="AK396" s="30" t="b">
        <v>1</v>
      </c>
      <c r="AL396" s="30" t="b">
        <v>1</v>
      </c>
      <c r="AM396" s="30" t="b">
        <v>1</v>
      </c>
      <c r="AN396" s="30" t="b">
        <v>1</v>
      </c>
      <c r="AO396" s="30" t="b">
        <v>1</v>
      </c>
      <c r="AP396" s="30" t="b">
        <v>1</v>
      </c>
      <c r="AQ396" s="30" t="b">
        <v>1</v>
      </c>
      <c r="AR396" s="30" t="b">
        <v>1</v>
      </c>
      <c r="AS396" s="30" t="b">
        <v>1</v>
      </c>
      <c r="AT396" s="30" t="b">
        <v>1</v>
      </c>
      <c r="AU396" s="30" t="b">
        <v>1</v>
      </c>
      <c r="AV396" s="30" t="b">
        <v>1</v>
      </c>
      <c r="AW396" s="30" t="b">
        <v>1</v>
      </c>
      <c r="AX396" s="30" t="b">
        <v>1</v>
      </c>
      <c r="AY396" s="30" t="b">
        <v>1</v>
      </c>
      <c r="AZ396" s="30" t="b">
        <v>1</v>
      </c>
      <c r="BA396" s="30" t="b">
        <v>1</v>
      </c>
      <c r="BB396" s="30" t="b">
        <v>1</v>
      </c>
      <c r="BC396" s="30" t="b">
        <v>1</v>
      </c>
      <c r="BD396" s="30" t="b">
        <v>1</v>
      </c>
      <c r="BE396" s="30" t="b">
        <v>1</v>
      </c>
      <c r="BF396" s="30" t="b">
        <v>1</v>
      </c>
      <c r="BG396" s="30" t="b">
        <v>1</v>
      </c>
      <c r="BH396" s="30" t="b">
        <v>0</v>
      </c>
      <c r="BI396" s="30" t="b">
        <v>0</v>
      </c>
      <c r="BJ396" s="30" t="b">
        <v>1</v>
      </c>
      <c r="BK396" s="30" t="b">
        <v>1</v>
      </c>
      <c r="BL396" s="30" t="b">
        <v>1</v>
      </c>
      <c r="BM396" s="30" t="b">
        <v>1</v>
      </c>
      <c r="BN396" s="30" t="b">
        <v>0</v>
      </c>
      <c r="BO396" s="30" t="b">
        <v>1</v>
      </c>
    </row>
    <row r="397">
      <c r="A397" s="31" t="str">
        <f>A396&amp;C397</f>
        <v>JanuaryVASANTHA.EOT HOURS</v>
      </c>
      <c r="B397" s="32"/>
      <c r="C397" s="33" t="s">
        <v>169</v>
      </c>
      <c r="D397" s="17"/>
      <c r="E397" s="29">
        <f>SUM(F397:BO397)</f>
        <v>12</v>
      </c>
      <c r="F397" s="34"/>
      <c r="G397" s="17"/>
      <c r="H397" s="34">
        <v>2.0</v>
      </c>
      <c r="I397" s="17"/>
      <c r="J397" s="34"/>
      <c r="K397" s="17"/>
      <c r="L397" s="34"/>
      <c r="M397" s="17"/>
      <c r="N397" s="34">
        <v>1.5</v>
      </c>
      <c r="O397" s="17"/>
      <c r="P397" s="34">
        <v>1.5</v>
      </c>
      <c r="Q397" s="17"/>
      <c r="R397" s="34"/>
      <c r="S397" s="17"/>
      <c r="T397" s="34"/>
      <c r="U397" s="17"/>
      <c r="V397" s="34"/>
      <c r="W397" s="17"/>
      <c r="X397" s="34">
        <v>1.0</v>
      </c>
      <c r="Y397" s="17"/>
      <c r="Z397" s="34"/>
      <c r="AA397" s="17"/>
      <c r="AB397" s="34"/>
      <c r="AC397" s="17"/>
      <c r="AD397" s="34">
        <v>1.5</v>
      </c>
      <c r="AE397" s="17"/>
      <c r="AF397" s="34"/>
      <c r="AG397" s="17"/>
      <c r="AH397" s="34"/>
      <c r="AI397" s="17"/>
      <c r="AJ397" s="34"/>
      <c r="AK397" s="17"/>
      <c r="AL397" s="34"/>
      <c r="AM397" s="17"/>
      <c r="AN397" s="34"/>
      <c r="AO397" s="17"/>
      <c r="AP397" s="34">
        <v>1.0</v>
      </c>
      <c r="AQ397" s="17"/>
      <c r="AR397" s="34">
        <v>1.0</v>
      </c>
      <c r="AS397" s="17"/>
      <c r="AT397" s="34"/>
      <c r="AU397" s="17"/>
      <c r="AV397" s="34"/>
      <c r="AW397" s="17"/>
      <c r="AX397" s="34"/>
      <c r="AY397" s="17"/>
      <c r="AZ397" s="34"/>
      <c r="BA397" s="17"/>
      <c r="BB397" s="34"/>
      <c r="BC397" s="17"/>
      <c r="BD397" s="34"/>
      <c r="BE397" s="17"/>
      <c r="BF397" s="34"/>
      <c r="BG397" s="17"/>
      <c r="BH397" s="34"/>
      <c r="BI397" s="17"/>
      <c r="BJ397" s="34">
        <v>1.5</v>
      </c>
      <c r="BK397" s="17"/>
      <c r="BL397" s="34">
        <v>1.0</v>
      </c>
      <c r="BM397" s="17"/>
      <c r="BN397" s="34"/>
      <c r="BO397" s="17"/>
    </row>
    <row r="398">
      <c r="A398" s="26" t="str">
        <f>B398&amp;D398</f>
        <v>JanuarySANJAY BAGARTTI.K</v>
      </c>
      <c r="B398" s="27" t="s">
        <v>49</v>
      </c>
      <c r="C398" s="27" t="s">
        <v>34</v>
      </c>
      <c r="D398" s="28" t="str">
        <f>IFERROR(VLOOKUP(C398,'Employees List'!$B$2:$E1424,4,0),"")</f>
        <v>SANJAY BAGARTTI.K</v>
      </c>
      <c r="E398" s="29">
        <f>COUNTIF(F398:BO398,TRUE)/2</f>
        <v>26</v>
      </c>
      <c r="F398" s="30" t="b">
        <v>0</v>
      </c>
      <c r="G398" s="30" t="b">
        <v>0</v>
      </c>
      <c r="H398" s="30" t="b">
        <v>0</v>
      </c>
      <c r="I398" s="30" t="b">
        <v>0</v>
      </c>
      <c r="J398" s="30" t="b">
        <v>0</v>
      </c>
      <c r="K398" s="30" t="b">
        <v>0</v>
      </c>
      <c r="L398" s="30" t="b">
        <v>0</v>
      </c>
      <c r="M398" s="30" t="b">
        <v>0</v>
      </c>
      <c r="N398" s="30" t="b">
        <v>0</v>
      </c>
      <c r="O398" s="30" t="b">
        <v>0</v>
      </c>
      <c r="P398" s="30" t="b">
        <v>1</v>
      </c>
      <c r="Q398" s="30" t="b">
        <v>1</v>
      </c>
      <c r="R398" s="30" t="b">
        <v>1</v>
      </c>
      <c r="S398" s="30" t="b">
        <v>1</v>
      </c>
      <c r="T398" s="30" t="b">
        <v>1</v>
      </c>
      <c r="U398" s="30" t="b">
        <v>1</v>
      </c>
      <c r="V398" s="30" t="b">
        <v>1</v>
      </c>
      <c r="W398" s="30" t="b">
        <v>1</v>
      </c>
      <c r="X398" s="30" t="b">
        <v>1</v>
      </c>
      <c r="Y398" s="30" t="b">
        <v>1</v>
      </c>
      <c r="Z398" s="30" t="b">
        <v>1</v>
      </c>
      <c r="AA398" s="30" t="b">
        <v>1</v>
      </c>
      <c r="AB398" s="30" t="b">
        <v>1</v>
      </c>
      <c r="AC398" s="30" t="b">
        <v>1</v>
      </c>
      <c r="AD398" s="30" t="b">
        <v>1</v>
      </c>
      <c r="AE398" s="30" t="b">
        <v>1</v>
      </c>
      <c r="AF398" s="30" t="b">
        <v>1</v>
      </c>
      <c r="AG398" s="30" t="b">
        <v>1</v>
      </c>
      <c r="AH398" s="30" t="b">
        <v>1</v>
      </c>
      <c r="AI398" s="30" t="b">
        <v>1</v>
      </c>
      <c r="AJ398" s="30" t="b">
        <v>1</v>
      </c>
      <c r="AK398" s="30" t="b">
        <v>1</v>
      </c>
      <c r="AL398" s="30" t="b">
        <v>1</v>
      </c>
      <c r="AM398" s="30" t="b">
        <v>1</v>
      </c>
      <c r="AN398" s="30" t="b">
        <v>1</v>
      </c>
      <c r="AO398" s="30" t="b">
        <v>1</v>
      </c>
      <c r="AP398" s="30" t="b">
        <v>1</v>
      </c>
      <c r="AQ398" s="30" t="b">
        <v>1</v>
      </c>
      <c r="AR398" s="30" t="b">
        <v>1</v>
      </c>
      <c r="AS398" s="30" t="b">
        <v>1</v>
      </c>
      <c r="AT398" s="30" t="b">
        <v>1</v>
      </c>
      <c r="AU398" s="30" t="b">
        <v>1</v>
      </c>
      <c r="AV398" s="30" t="b">
        <v>1</v>
      </c>
      <c r="AW398" s="30" t="b">
        <v>1</v>
      </c>
      <c r="AX398" s="30" t="b">
        <v>1</v>
      </c>
      <c r="AY398" s="30" t="b">
        <v>1</v>
      </c>
      <c r="AZ398" s="30" t="b">
        <v>1</v>
      </c>
      <c r="BA398" s="30" t="b">
        <v>1</v>
      </c>
      <c r="BB398" s="30" t="b">
        <v>1</v>
      </c>
      <c r="BC398" s="30" t="b">
        <v>1</v>
      </c>
      <c r="BD398" s="30" t="b">
        <v>1</v>
      </c>
      <c r="BE398" s="30" t="b">
        <v>1</v>
      </c>
      <c r="BF398" s="30" t="b">
        <v>1</v>
      </c>
      <c r="BG398" s="30" t="b">
        <v>1</v>
      </c>
      <c r="BH398" s="30" t="b">
        <v>1</v>
      </c>
      <c r="BI398" s="30" t="b">
        <v>1</v>
      </c>
      <c r="BJ398" s="30" t="b">
        <v>1</v>
      </c>
      <c r="BK398" s="30" t="b">
        <v>1</v>
      </c>
      <c r="BL398" s="30" t="b">
        <v>1</v>
      </c>
      <c r="BM398" s="30" t="b">
        <v>1</v>
      </c>
      <c r="BN398" s="30" t="b">
        <v>1</v>
      </c>
      <c r="BO398" s="30" t="b">
        <v>1</v>
      </c>
    </row>
    <row r="399">
      <c r="A399" s="31" t="str">
        <f>A398&amp;C399</f>
        <v>JanuarySANJAY BAGARTTI.KOT HOURS</v>
      </c>
      <c r="B399" s="32"/>
      <c r="C399" s="33" t="s">
        <v>169</v>
      </c>
      <c r="D399" s="17"/>
      <c r="E399" s="29">
        <f>SUM(F399:BO399)</f>
        <v>7</v>
      </c>
      <c r="F399" s="34"/>
      <c r="G399" s="17"/>
      <c r="H399" s="34"/>
      <c r="I399" s="17"/>
      <c r="J399" s="34"/>
      <c r="K399" s="17"/>
      <c r="L399" s="34"/>
      <c r="M399" s="17"/>
      <c r="N399" s="34"/>
      <c r="O399" s="17"/>
      <c r="P399" s="34">
        <v>2.0</v>
      </c>
      <c r="Q399" s="17"/>
      <c r="R399" s="34"/>
      <c r="S399" s="17"/>
      <c r="T399" s="34"/>
      <c r="U399" s="17"/>
      <c r="V399" s="34"/>
      <c r="W399" s="17"/>
      <c r="X399" s="34"/>
      <c r="Y399" s="17"/>
      <c r="Z399" s="34"/>
      <c r="AA399" s="17"/>
      <c r="AB399" s="34"/>
      <c r="AC399" s="17"/>
      <c r="AD399" s="34"/>
      <c r="AE399" s="17"/>
      <c r="AF399" s="34">
        <v>2.0</v>
      </c>
      <c r="AG399" s="17"/>
      <c r="AH399" s="34"/>
      <c r="AI399" s="17"/>
      <c r="AJ399" s="34"/>
      <c r="AK399" s="17"/>
      <c r="AL399" s="34"/>
      <c r="AM399" s="17"/>
      <c r="AN399" s="34"/>
      <c r="AO399" s="17"/>
      <c r="AP399" s="34"/>
      <c r="AQ399" s="17"/>
      <c r="AR399" s="34">
        <v>1.0</v>
      </c>
      <c r="AS399" s="17"/>
      <c r="AT399" s="34"/>
      <c r="AU399" s="17"/>
      <c r="AV399" s="34"/>
      <c r="AW399" s="17"/>
      <c r="AX399" s="34"/>
      <c r="AY399" s="17"/>
      <c r="AZ399" s="34"/>
      <c r="BA399" s="17"/>
      <c r="BB399" s="34"/>
      <c r="BC399" s="17"/>
      <c r="BD399" s="34"/>
      <c r="BE399" s="17"/>
      <c r="BF399" s="34"/>
      <c r="BG399" s="17"/>
      <c r="BH399" s="34"/>
      <c r="BI399" s="17"/>
      <c r="BJ399" s="34"/>
      <c r="BK399" s="17"/>
      <c r="BL399" s="34">
        <v>2.0</v>
      </c>
      <c r="BM399" s="17"/>
      <c r="BN399" s="34"/>
      <c r="BO399" s="17"/>
    </row>
    <row r="400">
      <c r="A400" s="26" t="str">
        <f>B400&amp;D400</f>
        <v>JanuaryAMMU.S</v>
      </c>
      <c r="B400" s="27" t="s">
        <v>49</v>
      </c>
      <c r="C400" s="27" t="s">
        <v>42</v>
      </c>
      <c r="D400" s="28" t="str">
        <f>IFERROR(VLOOKUP(C400,'Employees List'!$B$2:$E1424,4,0),"")</f>
        <v>AMMU.S</v>
      </c>
      <c r="E400" s="29">
        <f>COUNTIF(F400:BO400,TRUE)/2</f>
        <v>28</v>
      </c>
      <c r="F400" s="30" t="b">
        <v>1</v>
      </c>
      <c r="G400" s="30" t="b">
        <v>1</v>
      </c>
      <c r="H400" s="30" t="b">
        <v>1</v>
      </c>
      <c r="I400" s="30" t="b">
        <v>1</v>
      </c>
      <c r="J400" s="30" t="b">
        <v>1</v>
      </c>
      <c r="K400" s="30" t="b">
        <v>1</v>
      </c>
      <c r="L400" s="30" t="b">
        <v>1</v>
      </c>
      <c r="M400" s="30" t="b">
        <v>1</v>
      </c>
      <c r="N400" s="30" t="b">
        <v>1</v>
      </c>
      <c r="O400" s="30" t="b">
        <v>1</v>
      </c>
      <c r="P400" s="30" t="b">
        <v>1</v>
      </c>
      <c r="Q400" s="30" t="b">
        <v>1</v>
      </c>
      <c r="R400" s="30" t="b">
        <v>1</v>
      </c>
      <c r="S400" s="30" t="b">
        <v>1</v>
      </c>
      <c r="T400" s="30" t="b">
        <v>1</v>
      </c>
      <c r="U400" s="30" t="b">
        <v>1</v>
      </c>
      <c r="V400" s="30" t="b">
        <v>0</v>
      </c>
      <c r="W400" s="30" t="b">
        <v>0</v>
      </c>
      <c r="X400" s="30" t="b">
        <v>0</v>
      </c>
      <c r="Y400" s="30" t="b">
        <v>0</v>
      </c>
      <c r="Z400" s="30" t="b">
        <v>1</v>
      </c>
      <c r="AA400" s="30" t="b">
        <v>1</v>
      </c>
      <c r="AB400" s="30" t="b">
        <v>1</v>
      </c>
      <c r="AC400" s="30" t="b">
        <v>1</v>
      </c>
      <c r="AD400" s="30" t="b">
        <v>1</v>
      </c>
      <c r="AE400" s="30" t="b">
        <v>1</v>
      </c>
      <c r="AF400" s="30" t="b">
        <v>1</v>
      </c>
      <c r="AG400" s="30" t="b">
        <v>1</v>
      </c>
      <c r="AH400" s="30" t="b">
        <v>1</v>
      </c>
      <c r="AI400" s="30" t="b">
        <v>1</v>
      </c>
      <c r="AJ400" s="30" t="b">
        <v>1</v>
      </c>
      <c r="AK400" s="30" t="b">
        <v>1</v>
      </c>
      <c r="AL400" s="30" t="b">
        <v>0</v>
      </c>
      <c r="AM400" s="30" t="b">
        <v>0</v>
      </c>
      <c r="AN400" s="30" t="b">
        <v>1</v>
      </c>
      <c r="AO400" s="30" t="b">
        <v>1</v>
      </c>
      <c r="AP400" s="30" t="b">
        <v>1</v>
      </c>
      <c r="AQ400" s="30" t="b">
        <v>1</v>
      </c>
      <c r="AR400" s="30" t="b">
        <v>1</v>
      </c>
      <c r="AS400" s="30" t="b">
        <v>1</v>
      </c>
      <c r="AT400" s="30" t="b">
        <v>1</v>
      </c>
      <c r="AU400" s="30" t="b">
        <v>1</v>
      </c>
      <c r="AV400" s="30" t="b">
        <v>1</v>
      </c>
      <c r="AW400" s="30" t="b">
        <v>1</v>
      </c>
      <c r="AX400" s="30" t="b">
        <v>1</v>
      </c>
      <c r="AY400" s="30" t="b">
        <v>1</v>
      </c>
      <c r="AZ400" s="30" t="b">
        <v>1</v>
      </c>
      <c r="BA400" s="30" t="b">
        <v>1</v>
      </c>
      <c r="BB400" s="30" t="b">
        <v>1</v>
      </c>
      <c r="BC400" s="30" t="b">
        <v>1</v>
      </c>
      <c r="BD400" s="30" t="b">
        <v>1</v>
      </c>
      <c r="BE400" s="30" t="b">
        <v>1</v>
      </c>
      <c r="BF400" s="30" t="b">
        <v>1</v>
      </c>
      <c r="BG400" s="30" t="b">
        <v>1</v>
      </c>
      <c r="BH400" s="30" t="b">
        <v>1</v>
      </c>
      <c r="BI400" s="30" t="b">
        <v>1</v>
      </c>
      <c r="BJ400" s="30" t="b">
        <v>1</v>
      </c>
      <c r="BK400" s="30" t="b">
        <v>1</v>
      </c>
      <c r="BL400" s="30" t="b">
        <v>1</v>
      </c>
      <c r="BM400" s="30" t="b">
        <v>1</v>
      </c>
      <c r="BN400" s="30" t="b">
        <v>1</v>
      </c>
      <c r="BO400" s="30" t="b">
        <v>1</v>
      </c>
    </row>
    <row r="401">
      <c r="A401" s="31" t="str">
        <f>A400&amp;C401</f>
        <v>JanuaryAMMU.SOT HOURS</v>
      </c>
      <c r="B401" s="32"/>
      <c r="C401" s="33" t="s">
        <v>169</v>
      </c>
      <c r="D401" s="17"/>
      <c r="E401" s="29">
        <f>SUM(F401:BO401)</f>
        <v>4</v>
      </c>
      <c r="F401" s="34"/>
      <c r="G401" s="17"/>
      <c r="H401" s="34">
        <v>2.0</v>
      </c>
      <c r="I401" s="17"/>
      <c r="J401" s="34"/>
      <c r="K401" s="17"/>
      <c r="L401" s="34"/>
      <c r="M401" s="17"/>
      <c r="N401" s="34"/>
      <c r="O401" s="17"/>
      <c r="P401" s="34"/>
      <c r="Q401" s="17"/>
      <c r="R401" s="34"/>
      <c r="S401" s="17"/>
      <c r="T401" s="34"/>
      <c r="U401" s="17"/>
      <c r="V401" s="34"/>
      <c r="W401" s="17"/>
      <c r="X401" s="34"/>
      <c r="Y401" s="17"/>
      <c r="Z401" s="34"/>
      <c r="AA401" s="17"/>
      <c r="AB401" s="34"/>
      <c r="AC401" s="17"/>
      <c r="AD401" s="34"/>
      <c r="AE401" s="17"/>
      <c r="AF401" s="34"/>
      <c r="AG401" s="17"/>
      <c r="AH401" s="34"/>
      <c r="AI401" s="17"/>
      <c r="AJ401" s="34"/>
      <c r="AK401" s="17"/>
      <c r="AL401" s="34"/>
      <c r="AM401" s="17"/>
      <c r="AN401" s="34"/>
      <c r="AO401" s="17"/>
      <c r="AP401" s="34">
        <v>1.0</v>
      </c>
      <c r="AQ401" s="17"/>
      <c r="AR401" s="34">
        <v>1.0</v>
      </c>
      <c r="AS401" s="17"/>
      <c r="AT401" s="34"/>
      <c r="AU401" s="17"/>
      <c r="AV401" s="34"/>
      <c r="AW401" s="17"/>
      <c r="AX401" s="34"/>
      <c r="AY401" s="17"/>
      <c r="AZ401" s="34"/>
      <c r="BA401" s="17"/>
      <c r="BB401" s="34"/>
      <c r="BC401" s="17"/>
      <c r="BD401" s="34"/>
      <c r="BE401" s="17"/>
      <c r="BF401" s="34"/>
      <c r="BG401" s="17"/>
      <c r="BH401" s="34"/>
      <c r="BI401" s="17"/>
      <c r="BJ401" s="34"/>
      <c r="BK401" s="17"/>
      <c r="BL401" s="34"/>
      <c r="BM401" s="17"/>
      <c r="BN401" s="34"/>
      <c r="BO401" s="17"/>
    </row>
    <row r="402">
      <c r="A402" s="26" t="str">
        <f>B402&amp;D402</f>
        <v>JanuaryREVATHI.S</v>
      </c>
      <c r="B402" s="27" t="s">
        <v>49</v>
      </c>
      <c r="C402" s="27" t="s">
        <v>46</v>
      </c>
      <c r="D402" s="28" t="str">
        <f>IFERROR(VLOOKUP(C402,'Employees List'!$B$2:$E1424,4,0),"")</f>
        <v>REVATHI.S</v>
      </c>
      <c r="E402" s="29">
        <f>COUNTIF(F402:BO402,TRUE)/2</f>
        <v>26</v>
      </c>
      <c r="F402" s="30" t="b">
        <v>1</v>
      </c>
      <c r="G402" s="30" t="b">
        <v>1</v>
      </c>
      <c r="H402" s="30" t="b">
        <v>0</v>
      </c>
      <c r="I402" s="30" t="b">
        <v>0</v>
      </c>
      <c r="J402" s="30" t="b">
        <v>1</v>
      </c>
      <c r="K402" s="30" t="b">
        <v>1</v>
      </c>
      <c r="L402" s="30" t="b">
        <v>1</v>
      </c>
      <c r="M402" s="30" t="b">
        <v>1</v>
      </c>
      <c r="N402" s="30" t="b">
        <v>1</v>
      </c>
      <c r="O402" s="30" t="b">
        <v>1</v>
      </c>
      <c r="P402" s="30" t="b">
        <v>1</v>
      </c>
      <c r="Q402" s="30" t="b">
        <v>1</v>
      </c>
      <c r="R402" s="30" t="b">
        <v>1</v>
      </c>
      <c r="S402" s="30" t="b">
        <v>1</v>
      </c>
      <c r="T402" s="30" t="b">
        <v>0</v>
      </c>
      <c r="U402" s="30" t="b">
        <v>0</v>
      </c>
      <c r="V402" s="30" t="b">
        <v>0</v>
      </c>
      <c r="W402" s="30" t="b">
        <v>0</v>
      </c>
      <c r="X402" s="30" t="b">
        <v>1</v>
      </c>
      <c r="Y402" s="30" t="b">
        <v>1</v>
      </c>
      <c r="Z402" s="30" t="b">
        <v>1</v>
      </c>
      <c r="AA402" s="30" t="b">
        <v>1</v>
      </c>
      <c r="AB402" s="30" t="b">
        <v>1</v>
      </c>
      <c r="AC402" s="30" t="b">
        <v>1</v>
      </c>
      <c r="AD402" s="30" t="b">
        <v>1</v>
      </c>
      <c r="AE402" s="30" t="b">
        <v>1</v>
      </c>
      <c r="AF402" s="30" t="b">
        <v>1</v>
      </c>
      <c r="AG402" s="30" t="b">
        <v>1</v>
      </c>
      <c r="AH402" s="30" t="b">
        <v>1</v>
      </c>
      <c r="AI402" s="30" t="b">
        <v>1</v>
      </c>
      <c r="AJ402" s="30" t="b">
        <v>1</v>
      </c>
      <c r="AK402" s="30" t="b">
        <v>1</v>
      </c>
      <c r="AL402" s="30" t="b">
        <v>0</v>
      </c>
      <c r="AM402" s="30" t="b">
        <v>0</v>
      </c>
      <c r="AN402" s="30" t="b">
        <v>1</v>
      </c>
      <c r="AO402" s="30" t="b">
        <v>1</v>
      </c>
      <c r="AP402" s="30" t="b">
        <v>1</v>
      </c>
      <c r="AQ402" s="30" t="b">
        <v>1</v>
      </c>
      <c r="AR402" s="30" t="b">
        <v>1</v>
      </c>
      <c r="AS402" s="30" t="b">
        <v>1</v>
      </c>
      <c r="AT402" s="30" t="b">
        <v>1</v>
      </c>
      <c r="AU402" s="30" t="b">
        <v>1</v>
      </c>
      <c r="AV402" s="30" t="b">
        <v>1</v>
      </c>
      <c r="AW402" s="30" t="b">
        <v>1</v>
      </c>
      <c r="AX402" s="30" t="b">
        <v>1</v>
      </c>
      <c r="AY402" s="30" t="b">
        <v>1</v>
      </c>
      <c r="AZ402" s="30" t="b">
        <v>1</v>
      </c>
      <c r="BA402" s="30" t="b">
        <v>1</v>
      </c>
      <c r="BB402" s="30" t="b">
        <v>1</v>
      </c>
      <c r="BC402" s="30" t="b">
        <v>1</v>
      </c>
      <c r="BD402" s="30" t="b">
        <v>1</v>
      </c>
      <c r="BE402" s="30" t="b">
        <v>1</v>
      </c>
      <c r="BF402" s="30" t="b">
        <v>1</v>
      </c>
      <c r="BG402" s="30" t="b">
        <v>1</v>
      </c>
      <c r="BH402" s="30" t="b">
        <v>1</v>
      </c>
      <c r="BI402" s="30" t="b">
        <v>1</v>
      </c>
      <c r="BJ402" s="30" t="b">
        <v>1</v>
      </c>
      <c r="BK402" s="30" t="b">
        <v>0</v>
      </c>
      <c r="BL402" s="30" t="b">
        <v>1</v>
      </c>
      <c r="BM402" s="30" t="b">
        <v>1</v>
      </c>
      <c r="BN402" s="30" t="b">
        <v>1</v>
      </c>
      <c r="BO402" s="30" t="b">
        <v>0</v>
      </c>
    </row>
    <row r="403">
      <c r="A403" s="31" t="str">
        <f>A402&amp;C403</f>
        <v>JanuaryREVATHI.SOT HOURS</v>
      </c>
      <c r="B403" s="32"/>
      <c r="C403" s="33" t="s">
        <v>169</v>
      </c>
      <c r="D403" s="17"/>
      <c r="E403" s="29">
        <f>SUM(F403:BO403)</f>
        <v>1</v>
      </c>
      <c r="F403" s="34"/>
      <c r="G403" s="17"/>
      <c r="H403" s="34"/>
      <c r="I403" s="17"/>
      <c r="J403" s="34"/>
      <c r="K403" s="17"/>
      <c r="L403" s="34"/>
      <c r="M403" s="17"/>
      <c r="N403" s="34"/>
      <c r="O403" s="17"/>
      <c r="P403" s="34"/>
      <c r="Q403" s="17"/>
      <c r="R403" s="34"/>
      <c r="S403" s="17"/>
      <c r="T403" s="34"/>
      <c r="U403" s="17"/>
      <c r="V403" s="34"/>
      <c r="W403" s="17"/>
      <c r="X403" s="34"/>
      <c r="Y403" s="17"/>
      <c r="Z403" s="34"/>
      <c r="AA403" s="17"/>
      <c r="AB403" s="34"/>
      <c r="AC403" s="17"/>
      <c r="AD403" s="34"/>
      <c r="AE403" s="17"/>
      <c r="AF403" s="34"/>
      <c r="AG403" s="17"/>
      <c r="AH403" s="34"/>
      <c r="AI403" s="17"/>
      <c r="AJ403" s="34"/>
      <c r="AK403" s="17"/>
      <c r="AL403" s="34"/>
      <c r="AM403" s="17"/>
      <c r="AN403" s="34"/>
      <c r="AO403" s="17"/>
      <c r="AP403" s="34"/>
      <c r="AQ403" s="17"/>
      <c r="AR403" s="34">
        <v>1.0</v>
      </c>
      <c r="AS403" s="17"/>
      <c r="AT403" s="34"/>
      <c r="AU403" s="17"/>
      <c r="AV403" s="34"/>
      <c r="AW403" s="17"/>
      <c r="AX403" s="34"/>
      <c r="AY403" s="17"/>
      <c r="AZ403" s="34"/>
      <c r="BA403" s="17"/>
      <c r="BB403" s="34"/>
      <c r="BC403" s="17"/>
      <c r="BD403" s="34"/>
      <c r="BE403" s="17"/>
      <c r="BF403" s="34"/>
      <c r="BG403" s="17"/>
      <c r="BH403" s="34"/>
      <c r="BI403" s="17"/>
      <c r="BJ403" s="34"/>
      <c r="BK403" s="17"/>
      <c r="BL403" s="34"/>
      <c r="BM403" s="17"/>
      <c r="BN403" s="34"/>
      <c r="BO403" s="17"/>
    </row>
    <row r="404">
      <c r="A404" s="26" t="str">
        <f>B404&amp;D404</f>
        <v>JanuaryLEELAVATHI.M</v>
      </c>
      <c r="B404" s="27" t="s">
        <v>49</v>
      </c>
      <c r="C404" s="27" t="s">
        <v>74</v>
      </c>
      <c r="D404" s="28" t="str">
        <f>IFERROR(VLOOKUP(C404,'Employees List'!$B$2:$E1424,4,0),"")</f>
        <v>LEELAVATHI.M</v>
      </c>
      <c r="E404" s="29">
        <f>COUNTIF(F404:BO404,TRUE)/2</f>
        <v>31</v>
      </c>
      <c r="F404" s="30" t="b">
        <v>1</v>
      </c>
      <c r="G404" s="30" t="b">
        <v>1</v>
      </c>
      <c r="H404" s="30" t="b">
        <v>1</v>
      </c>
      <c r="I404" s="30" t="b">
        <v>1</v>
      </c>
      <c r="J404" s="30" t="b">
        <v>1</v>
      </c>
      <c r="K404" s="30" t="b">
        <v>1</v>
      </c>
      <c r="L404" s="30" t="b">
        <v>1</v>
      </c>
      <c r="M404" s="30" t="b">
        <v>1</v>
      </c>
      <c r="N404" s="30" t="b">
        <v>1</v>
      </c>
      <c r="O404" s="30" t="b">
        <v>1</v>
      </c>
      <c r="P404" s="30" t="b">
        <v>1</v>
      </c>
      <c r="Q404" s="30" t="b">
        <v>1</v>
      </c>
      <c r="R404" s="30" t="b">
        <v>1</v>
      </c>
      <c r="S404" s="30" t="b">
        <v>1</v>
      </c>
      <c r="T404" s="30" t="b">
        <v>1</v>
      </c>
      <c r="U404" s="30" t="b">
        <v>1</v>
      </c>
      <c r="V404" s="30" t="b">
        <v>1</v>
      </c>
      <c r="W404" s="30" t="b">
        <v>1</v>
      </c>
      <c r="X404" s="30" t="b">
        <v>1</v>
      </c>
      <c r="Y404" s="30" t="b">
        <v>1</v>
      </c>
      <c r="Z404" s="30" t="b">
        <v>1</v>
      </c>
      <c r="AA404" s="30" t="b">
        <v>1</v>
      </c>
      <c r="AB404" s="30" t="b">
        <v>1</v>
      </c>
      <c r="AC404" s="30" t="b">
        <v>1</v>
      </c>
      <c r="AD404" s="30" t="b">
        <v>1</v>
      </c>
      <c r="AE404" s="30" t="b">
        <v>1</v>
      </c>
      <c r="AF404" s="30" t="b">
        <v>1</v>
      </c>
      <c r="AG404" s="30" t="b">
        <v>1</v>
      </c>
      <c r="AH404" s="30" t="b">
        <v>1</v>
      </c>
      <c r="AI404" s="30" t="b">
        <v>1</v>
      </c>
      <c r="AJ404" s="30" t="b">
        <v>1</v>
      </c>
      <c r="AK404" s="30" t="b">
        <v>1</v>
      </c>
      <c r="AL404" s="30" t="b">
        <v>1</v>
      </c>
      <c r="AM404" s="30" t="b">
        <v>1</v>
      </c>
      <c r="AN404" s="30" t="b">
        <v>1</v>
      </c>
      <c r="AO404" s="30" t="b">
        <v>1</v>
      </c>
      <c r="AP404" s="30" t="b">
        <v>1</v>
      </c>
      <c r="AQ404" s="30" t="b">
        <v>1</v>
      </c>
      <c r="AR404" s="30" t="b">
        <v>1</v>
      </c>
      <c r="AS404" s="30" t="b">
        <v>1</v>
      </c>
      <c r="AT404" s="30" t="b">
        <v>1</v>
      </c>
      <c r="AU404" s="30" t="b">
        <v>1</v>
      </c>
      <c r="AV404" s="30" t="b">
        <v>1</v>
      </c>
      <c r="AW404" s="30" t="b">
        <v>1</v>
      </c>
      <c r="AX404" s="30" t="b">
        <v>1</v>
      </c>
      <c r="AY404" s="30" t="b">
        <v>1</v>
      </c>
      <c r="AZ404" s="30" t="b">
        <v>1</v>
      </c>
      <c r="BA404" s="30" t="b">
        <v>1</v>
      </c>
      <c r="BB404" s="30" t="b">
        <v>1</v>
      </c>
      <c r="BC404" s="30" t="b">
        <v>1</v>
      </c>
      <c r="BD404" s="30" t="b">
        <v>1</v>
      </c>
      <c r="BE404" s="30" t="b">
        <v>1</v>
      </c>
      <c r="BF404" s="30" t="b">
        <v>1</v>
      </c>
      <c r="BG404" s="30" t="b">
        <v>1</v>
      </c>
      <c r="BH404" s="30" t="b">
        <v>1</v>
      </c>
      <c r="BI404" s="30" t="b">
        <v>1</v>
      </c>
      <c r="BJ404" s="30" t="b">
        <v>1</v>
      </c>
      <c r="BK404" s="30" t="b">
        <v>1</v>
      </c>
      <c r="BL404" s="30" t="b">
        <v>1</v>
      </c>
      <c r="BM404" s="30" t="b">
        <v>1</v>
      </c>
      <c r="BN404" s="30" t="b">
        <v>1</v>
      </c>
      <c r="BO404" s="30" t="b">
        <v>1</v>
      </c>
    </row>
    <row r="405">
      <c r="A405" s="31" t="str">
        <f>A404&amp;C405</f>
        <v>JanuaryLEELAVATHI.MOT HOURS</v>
      </c>
      <c r="B405" s="32"/>
      <c r="C405" s="33" t="s">
        <v>169</v>
      </c>
      <c r="D405" s="17"/>
      <c r="E405" s="29">
        <f>SUM(F405:BO405)</f>
        <v>3</v>
      </c>
      <c r="F405" s="34"/>
      <c r="G405" s="17"/>
      <c r="H405" s="34"/>
      <c r="I405" s="17"/>
      <c r="J405" s="34"/>
      <c r="K405" s="17"/>
      <c r="L405" s="34"/>
      <c r="M405" s="17"/>
      <c r="N405" s="34">
        <v>1.0</v>
      </c>
      <c r="O405" s="17"/>
      <c r="P405" s="34">
        <v>1.0</v>
      </c>
      <c r="Q405" s="17"/>
      <c r="R405" s="34"/>
      <c r="S405" s="17"/>
      <c r="T405" s="34"/>
      <c r="U405" s="17"/>
      <c r="V405" s="34"/>
      <c r="W405" s="17"/>
      <c r="X405" s="34"/>
      <c r="Y405" s="17"/>
      <c r="Z405" s="34"/>
      <c r="AA405" s="17"/>
      <c r="AB405" s="34"/>
      <c r="AC405" s="17"/>
      <c r="AD405" s="34"/>
      <c r="AE405" s="17"/>
      <c r="AF405" s="34"/>
      <c r="AG405" s="17"/>
      <c r="AH405" s="34"/>
      <c r="AI405" s="17"/>
      <c r="AJ405" s="34"/>
      <c r="AK405" s="17"/>
      <c r="AL405" s="34"/>
      <c r="AM405" s="17"/>
      <c r="AN405" s="34"/>
      <c r="AO405" s="17"/>
      <c r="AP405" s="34"/>
      <c r="AQ405" s="17"/>
      <c r="AR405" s="34"/>
      <c r="AS405" s="17"/>
      <c r="AT405" s="34"/>
      <c r="AU405" s="17"/>
      <c r="AV405" s="34"/>
      <c r="AW405" s="17"/>
      <c r="AX405" s="34"/>
      <c r="AY405" s="17"/>
      <c r="AZ405" s="34"/>
      <c r="BA405" s="17"/>
      <c r="BB405" s="34"/>
      <c r="BC405" s="17"/>
      <c r="BD405" s="34"/>
      <c r="BE405" s="17"/>
      <c r="BF405" s="34"/>
      <c r="BG405" s="17"/>
      <c r="BH405" s="34">
        <v>1.0</v>
      </c>
      <c r="BI405" s="17"/>
      <c r="BJ405" s="34"/>
      <c r="BK405" s="17"/>
      <c r="BL405" s="34"/>
      <c r="BM405" s="17"/>
      <c r="BN405" s="34"/>
      <c r="BO405" s="17"/>
    </row>
    <row r="406">
      <c r="A406" s="26" t="str">
        <f>B406&amp;D406</f>
        <v>JanuaryNILAMANI KISAN.B</v>
      </c>
      <c r="B406" s="27" t="s">
        <v>49</v>
      </c>
      <c r="C406" s="27" t="s">
        <v>92</v>
      </c>
      <c r="D406" s="28" t="str">
        <f>IFERROR(VLOOKUP(C406,'Employees List'!$B$2:$E1424,4,0),"")</f>
        <v>NILAMANI KISAN.B</v>
      </c>
      <c r="E406" s="29">
        <f>COUNTIF(F406:BO406,TRUE)/2</f>
        <v>10</v>
      </c>
      <c r="F406" s="30" t="b">
        <v>1</v>
      </c>
      <c r="G406" s="30" t="b">
        <v>1</v>
      </c>
      <c r="H406" s="30" t="b">
        <v>1</v>
      </c>
      <c r="I406" s="30" t="b">
        <v>1</v>
      </c>
      <c r="J406" s="30" t="b">
        <v>1</v>
      </c>
      <c r="K406" s="30" t="b">
        <v>1</v>
      </c>
      <c r="L406" s="30" t="b">
        <v>1</v>
      </c>
      <c r="M406" s="30" t="b">
        <v>1</v>
      </c>
      <c r="N406" s="30" t="b">
        <v>0</v>
      </c>
      <c r="O406" s="30" t="b">
        <v>0</v>
      </c>
      <c r="P406" s="30" t="b">
        <v>1</v>
      </c>
      <c r="Q406" s="30" t="b">
        <v>1</v>
      </c>
      <c r="R406" s="30" t="b">
        <v>1</v>
      </c>
      <c r="S406" s="30" t="b">
        <v>1</v>
      </c>
      <c r="T406" s="30" t="b">
        <v>1</v>
      </c>
      <c r="U406" s="30" t="b">
        <v>1</v>
      </c>
      <c r="V406" s="30" t="b">
        <v>1</v>
      </c>
      <c r="W406" s="30" t="b">
        <v>1</v>
      </c>
      <c r="X406" s="30" t="b">
        <v>1</v>
      </c>
      <c r="Y406" s="30" t="b">
        <v>1</v>
      </c>
      <c r="Z406" s="30" t="b">
        <v>1</v>
      </c>
      <c r="AA406" s="30" t="b">
        <v>1</v>
      </c>
      <c r="AB406" s="30" t="b">
        <v>0</v>
      </c>
      <c r="AC406" s="30" t="b">
        <v>0</v>
      </c>
      <c r="AD406" s="30" t="b">
        <v>0</v>
      </c>
      <c r="AE406" s="30" t="b">
        <v>0</v>
      </c>
      <c r="AF406" s="30" t="b">
        <v>0</v>
      </c>
      <c r="AG406" s="30" t="b">
        <v>0</v>
      </c>
      <c r="AH406" s="30" t="b">
        <v>0</v>
      </c>
      <c r="AI406" s="30" t="b">
        <v>0</v>
      </c>
      <c r="AJ406" s="30" t="b">
        <v>0</v>
      </c>
      <c r="AK406" s="30" t="b">
        <v>0</v>
      </c>
      <c r="AL406" s="30" t="b">
        <v>0</v>
      </c>
      <c r="AM406" s="30" t="b">
        <v>0</v>
      </c>
      <c r="AN406" s="30" t="b">
        <v>0</v>
      </c>
      <c r="AO406" s="30" t="b">
        <v>0</v>
      </c>
      <c r="AP406" s="30" t="b">
        <v>0</v>
      </c>
      <c r="AQ406" s="30" t="b">
        <v>0</v>
      </c>
      <c r="AR406" s="30" t="b">
        <v>0</v>
      </c>
      <c r="AS406" s="30" t="b">
        <v>0</v>
      </c>
      <c r="AT406" s="30" t="b">
        <v>0</v>
      </c>
      <c r="AU406" s="30" t="b">
        <v>0</v>
      </c>
      <c r="AV406" s="30" t="b">
        <v>0</v>
      </c>
      <c r="AW406" s="30" t="b">
        <v>0</v>
      </c>
      <c r="AX406" s="30" t="b">
        <v>0</v>
      </c>
      <c r="AY406" s="30" t="b">
        <v>0</v>
      </c>
      <c r="AZ406" s="30" t="b">
        <v>0</v>
      </c>
      <c r="BA406" s="30" t="b">
        <v>0</v>
      </c>
      <c r="BB406" s="30" t="b">
        <v>0</v>
      </c>
      <c r="BC406" s="30" t="b">
        <v>0</v>
      </c>
      <c r="BD406" s="30" t="b">
        <v>0</v>
      </c>
      <c r="BE406" s="30" t="b">
        <v>0</v>
      </c>
      <c r="BF406" s="30" t="b">
        <v>0</v>
      </c>
      <c r="BG406" s="30" t="b">
        <v>0</v>
      </c>
      <c r="BH406" s="30" t="b">
        <v>0</v>
      </c>
      <c r="BI406" s="30" t="b">
        <v>0</v>
      </c>
      <c r="BJ406" s="30" t="b">
        <v>0</v>
      </c>
      <c r="BK406" s="30" t="b">
        <v>0</v>
      </c>
      <c r="BL406" s="30" t="b">
        <v>0</v>
      </c>
      <c r="BM406" s="30" t="b">
        <v>0</v>
      </c>
      <c r="BN406" s="30" t="b">
        <v>0</v>
      </c>
      <c r="BO406" s="30" t="b">
        <v>0</v>
      </c>
    </row>
    <row r="407">
      <c r="A407" s="31" t="str">
        <f>A406&amp;C407</f>
        <v>JanuaryNILAMANI KISAN.BOT HOURS</v>
      </c>
      <c r="B407" s="32"/>
      <c r="C407" s="33" t="s">
        <v>169</v>
      </c>
      <c r="D407" s="17"/>
      <c r="E407" s="29">
        <f>SUM(F407:BO407)</f>
        <v>8</v>
      </c>
      <c r="F407" s="34"/>
      <c r="G407" s="17"/>
      <c r="H407" s="34">
        <v>2.0</v>
      </c>
      <c r="I407" s="17"/>
      <c r="J407" s="34"/>
      <c r="K407" s="17"/>
      <c r="L407" s="34"/>
      <c r="M407" s="17"/>
      <c r="N407" s="34"/>
      <c r="O407" s="17"/>
      <c r="P407" s="34">
        <v>3.0</v>
      </c>
      <c r="Q407" s="17"/>
      <c r="R407" s="34"/>
      <c r="S407" s="17"/>
      <c r="T407" s="34"/>
      <c r="U407" s="17"/>
      <c r="V407" s="34"/>
      <c r="W407" s="17"/>
      <c r="X407" s="34">
        <v>1.0</v>
      </c>
      <c r="Y407" s="17"/>
      <c r="Z407" s="34"/>
      <c r="AA407" s="17"/>
      <c r="AB407" s="34"/>
      <c r="AC407" s="17"/>
      <c r="AD407" s="34"/>
      <c r="AE407" s="17"/>
      <c r="AF407" s="34">
        <v>2.0</v>
      </c>
      <c r="AG407" s="17"/>
      <c r="AH407" s="34"/>
      <c r="AI407" s="17"/>
      <c r="AJ407" s="34"/>
      <c r="AK407" s="17"/>
      <c r="AL407" s="34"/>
      <c r="AM407" s="17"/>
      <c r="AN407" s="34"/>
      <c r="AO407" s="17"/>
      <c r="AP407" s="34"/>
      <c r="AQ407" s="17"/>
      <c r="AR407" s="34"/>
      <c r="AS407" s="17"/>
      <c r="AT407" s="34"/>
      <c r="AU407" s="17"/>
      <c r="AV407" s="34"/>
      <c r="AW407" s="17"/>
      <c r="AX407" s="34"/>
      <c r="AY407" s="17"/>
      <c r="AZ407" s="34"/>
      <c r="BA407" s="17"/>
      <c r="BB407" s="34"/>
      <c r="BC407" s="17"/>
      <c r="BD407" s="34"/>
      <c r="BE407" s="17"/>
      <c r="BF407" s="34"/>
      <c r="BG407" s="17"/>
      <c r="BH407" s="34"/>
      <c r="BI407" s="17"/>
      <c r="BJ407" s="34"/>
      <c r="BK407" s="17"/>
      <c r="BL407" s="34"/>
      <c r="BM407" s="17"/>
      <c r="BN407" s="34"/>
      <c r="BO407" s="17"/>
    </row>
    <row r="408">
      <c r="A408" s="26" t="str">
        <f>B408&amp;D408</f>
        <v>JanuaryADHIKARI BALIA.A</v>
      </c>
      <c r="B408" s="27" t="s">
        <v>49</v>
      </c>
      <c r="C408" s="27" t="s">
        <v>26</v>
      </c>
      <c r="D408" s="28" t="str">
        <f>IFERROR(VLOOKUP(C408,'Employees List'!$B$2:$E1424,4,0),"")</f>
        <v>ADHIKARI BALIA.A</v>
      </c>
      <c r="E408" s="29">
        <f>COUNTIF(F408:BO408,TRUE)/2</f>
        <v>26</v>
      </c>
      <c r="F408" s="30" t="b">
        <v>0</v>
      </c>
      <c r="G408" s="30" t="b">
        <v>0</v>
      </c>
      <c r="H408" s="30" t="b">
        <v>0</v>
      </c>
      <c r="I408" s="30" t="b">
        <v>0</v>
      </c>
      <c r="J408" s="30" t="b">
        <v>0</v>
      </c>
      <c r="K408" s="30" t="b">
        <v>0</v>
      </c>
      <c r="L408" s="30" t="b">
        <v>0</v>
      </c>
      <c r="M408" s="30" t="b">
        <v>0</v>
      </c>
      <c r="N408" s="30" t="b">
        <v>0</v>
      </c>
      <c r="O408" s="30" t="b">
        <v>0</v>
      </c>
      <c r="P408" s="30" t="b">
        <v>1</v>
      </c>
      <c r="Q408" s="30" t="b">
        <v>1</v>
      </c>
      <c r="R408" s="30" t="b">
        <v>1</v>
      </c>
      <c r="S408" s="30" t="b">
        <v>1</v>
      </c>
      <c r="T408" s="30" t="b">
        <v>1</v>
      </c>
      <c r="U408" s="30" t="b">
        <v>1</v>
      </c>
      <c r="V408" s="30" t="b">
        <v>1</v>
      </c>
      <c r="W408" s="30" t="b">
        <v>1</v>
      </c>
      <c r="X408" s="30" t="b">
        <v>1</v>
      </c>
      <c r="Y408" s="30" t="b">
        <v>1</v>
      </c>
      <c r="Z408" s="30" t="b">
        <v>1</v>
      </c>
      <c r="AA408" s="30" t="b">
        <v>1</v>
      </c>
      <c r="AB408" s="30" t="b">
        <v>1</v>
      </c>
      <c r="AC408" s="30" t="b">
        <v>1</v>
      </c>
      <c r="AD408" s="30" t="b">
        <v>1</v>
      </c>
      <c r="AE408" s="30" t="b">
        <v>1</v>
      </c>
      <c r="AF408" s="30" t="b">
        <v>1</v>
      </c>
      <c r="AG408" s="30" t="b">
        <v>1</v>
      </c>
      <c r="AH408" s="30" t="b">
        <v>1</v>
      </c>
      <c r="AI408" s="30" t="b">
        <v>1</v>
      </c>
      <c r="AJ408" s="30" t="b">
        <v>1</v>
      </c>
      <c r="AK408" s="30" t="b">
        <v>1</v>
      </c>
      <c r="AL408" s="30" t="b">
        <v>1</v>
      </c>
      <c r="AM408" s="30" t="b">
        <v>1</v>
      </c>
      <c r="AN408" s="30" t="b">
        <v>1</v>
      </c>
      <c r="AO408" s="30" t="b">
        <v>1</v>
      </c>
      <c r="AP408" s="30" t="b">
        <v>1</v>
      </c>
      <c r="AQ408" s="30" t="b">
        <v>1</v>
      </c>
      <c r="AR408" s="30" t="b">
        <v>1</v>
      </c>
      <c r="AS408" s="30" t="b">
        <v>1</v>
      </c>
      <c r="AT408" s="30" t="b">
        <v>1</v>
      </c>
      <c r="AU408" s="30" t="b">
        <v>1</v>
      </c>
      <c r="AV408" s="30" t="b">
        <v>1</v>
      </c>
      <c r="AW408" s="30" t="b">
        <v>1</v>
      </c>
      <c r="AX408" s="30" t="b">
        <v>1</v>
      </c>
      <c r="AY408" s="30" t="b">
        <v>1</v>
      </c>
      <c r="AZ408" s="30" t="b">
        <v>1</v>
      </c>
      <c r="BA408" s="30" t="b">
        <v>1</v>
      </c>
      <c r="BB408" s="30" t="b">
        <v>1</v>
      </c>
      <c r="BC408" s="30" t="b">
        <v>1</v>
      </c>
      <c r="BD408" s="30" t="b">
        <v>1</v>
      </c>
      <c r="BE408" s="30" t="b">
        <v>1</v>
      </c>
      <c r="BF408" s="30" t="b">
        <v>1</v>
      </c>
      <c r="BG408" s="30" t="b">
        <v>1</v>
      </c>
      <c r="BH408" s="30" t="b">
        <v>1</v>
      </c>
      <c r="BI408" s="30" t="b">
        <v>1</v>
      </c>
      <c r="BJ408" s="30" t="b">
        <v>1</v>
      </c>
      <c r="BK408" s="30" t="b">
        <v>1</v>
      </c>
      <c r="BL408" s="30" t="b">
        <v>1</v>
      </c>
      <c r="BM408" s="30" t="b">
        <v>1</v>
      </c>
      <c r="BN408" s="30" t="b">
        <v>1</v>
      </c>
      <c r="BO408" s="30" t="b">
        <v>1</v>
      </c>
    </row>
    <row r="409">
      <c r="A409" s="31" t="str">
        <f>A408&amp;C409</f>
        <v>JanuaryADHIKARI BALIA.AOT HOURS</v>
      </c>
      <c r="B409" s="32"/>
      <c r="C409" s="33" t="s">
        <v>169</v>
      </c>
      <c r="D409" s="17"/>
      <c r="E409" s="29">
        <f>SUM(F409:BO409)</f>
        <v>21</v>
      </c>
      <c r="F409" s="34"/>
      <c r="G409" s="17"/>
      <c r="H409" s="34"/>
      <c r="I409" s="17"/>
      <c r="J409" s="34"/>
      <c r="K409" s="17"/>
      <c r="L409" s="34"/>
      <c r="M409" s="17"/>
      <c r="N409" s="34"/>
      <c r="O409" s="17"/>
      <c r="P409" s="34">
        <v>2.0</v>
      </c>
      <c r="Q409" s="17"/>
      <c r="R409" s="34"/>
      <c r="S409" s="17"/>
      <c r="T409" s="34"/>
      <c r="U409" s="17"/>
      <c r="V409" s="34"/>
      <c r="W409" s="17"/>
      <c r="X409" s="34"/>
      <c r="Y409" s="17"/>
      <c r="Z409" s="34"/>
      <c r="AA409" s="17"/>
      <c r="AB409" s="34">
        <v>2.0</v>
      </c>
      <c r="AC409" s="17"/>
      <c r="AD409" s="34">
        <v>1.5</v>
      </c>
      <c r="AE409" s="17"/>
      <c r="AF409" s="34">
        <v>2.0</v>
      </c>
      <c r="AG409" s="17"/>
      <c r="AH409" s="34"/>
      <c r="AI409" s="17"/>
      <c r="AJ409" s="34"/>
      <c r="AK409" s="17"/>
      <c r="AL409" s="34">
        <v>1.0</v>
      </c>
      <c r="AM409" s="17"/>
      <c r="AN409" s="34"/>
      <c r="AO409" s="17"/>
      <c r="AP409" s="34">
        <v>1.0</v>
      </c>
      <c r="AQ409" s="17"/>
      <c r="AR409" s="34">
        <v>1.0</v>
      </c>
      <c r="AS409" s="17"/>
      <c r="AT409" s="34"/>
      <c r="AU409" s="17"/>
      <c r="AV409" s="34"/>
      <c r="AW409" s="17"/>
      <c r="AX409" s="34">
        <v>3.0</v>
      </c>
      <c r="AY409" s="17"/>
      <c r="AZ409" s="34">
        <v>2.0</v>
      </c>
      <c r="BA409" s="17"/>
      <c r="BB409" s="34"/>
      <c r="BC409" s="17"/>
      <c r="BD409" s="34"/>
      <c r="BE409" s="17"/>
      <c r="BF409" s="34">
        <v>1.0</v>
      </c>
      <c r="BG409" s="17"/>
      <c r="BH409" s="34"/>
      <c r="BI409" s="17"/>
      <c r="BJ409" s="34">
        <v>1.0</v>
      </c>
      <c r="BK409" s="17"/>
      <c r="BL409" s="34">
        <v>2.0</v>
      </c>
      <c r="BM409" s="17"/>
      <c r="BN409" s="34">
        <v>1.5</v>
      </c>
      <c r="BO409" s="17"/>
    </row>
    <row r="410">
      <c r="A410" s="26" t="str">
        <f>B410&amp;D410</f>
        <v>JanuaryPARSHU BAGH</v>
      </c>
      <c r="B410" s="27" t="s">
        <v>49</v>
      </c>
      <c r="C410" s="27" t="s">
        <v>96</v>
      </c>
      <c r="D410" s="28" t="str">
        <f>IFERROR(VLOOKUP(C410,'Employees List'!$B$2:$E1424,4,0),"")</f>
        <v>PARSHU BAGH</v>
      </c>
      <c r="E410" s="29">
        <f>COUNTIF(F410:BO410,TRUE)/2</f>
        <v>26</v>
      </c>
      <c r="F410" s="30" t="b">
        <v>0</v>
      </c>
      <c r="G410" s="30" t="b">
        <v>0</v>
      </c>
      <c r="H410" s="30" t="b">
        <v>0</v>
      </c>
      <c r="I410" s="30" t="b">
        <v>0</v>
      </c>
      <c r="J410" s="30" t="b">
        <v>0</v>
      </c>
      <c r="K410" s="30" t="b">
        <v>0</v>
      </c>
      <c r="L410" s="30" t="b">
        <v>0</v>
      </c>
      <c r="M410" s="30" t="b">
        <v>0</v>
      </c>
      <c r="N410" s="30" t="b">
        <v>0</v>
      </c>
      <c r="O410" s="30" t="b">
        <v>0</v>
      </c>
      <c r="P410" s="30" t="b">
        <v>1</v>
      </c>
      <c r="Q410" s="30" t="b">
        <v>1</v>
      </c>
      <c r="R410" s="30" t="b">
        <v>1</v>
      </c>
      <c r="S410" s="30" t="b">
        <v>1</v>
      </c>
      <c r="T410" s="30" t="b">
        <v>1</v>
      </c>
      <c r="U410" s="30" t="b">
        <v>1</v>
      </c>
      <c r="V410" s="30" t="b">
        <v>1</v>
      </c>
      <c r="W410" s="30" t="b">
        <v>1</v>
      </c>
      <c r="X410" s="30" t="b">
        <v>1</v>
      </c>
      <c r="Y410" s="30" t="b">
        <v>1</v>
      </c>
      <c r="Z410" s="30" t="b">
        <v>1</v>
      </c>
      <c r="AA410" s="30" t="b">
        <v>1</v>
      </c>
      <c r="AB410" s="30" t="b">
        <v>1</v>
      </c>
      <c r="AC410" s="30" t="b">
        <v>1</v>
      </c>
      <c r="AD410" s="30" t="b">
        <v>1</v>
      </c>
      <c r="AE410" s="30" t="b">
        <v>1</v>
      </c>
      <c r="AF410" s="30" t="b">
        <v>1</v>
      </c>
      <c r="AG410" s="30" t="b">
        <v>1</v>
      </c>
      <c r="AH410" s="30" t="b">
        <v>1</v>
      </c>
      <c r="AI410" s="30" t="b">
        <v>1</v>
      </c>
      <c r="AJ410" s="30" t="b">
        <v>1</v>
      </c>
      <c r="AK410" s="30" t="b">
        <v>1</v>
      </c>
      <c r="AL410" s="30" t="b">
        <v>1</v>
      </c>
      <c r="AM410" s="30" t="b">
        <v>1</v>
      </c>
      <c r="AN410" s="30" t="b">
        <v>1</v>
      </c>
      <c r="AO410" s="30" t="b">
        <v>1</v>
      </c>
      <c r="AP410" s="30" t="b">
        <v>1</v>
      </c>
      <c r="AQ410" s="30" t="b">
        <v>1</v>
      </c>
      <c r="AR410" s="30" t="b">
        <v>1</v>
      </c>
      <c r="AS410" s="30" t="b">
        <v>1</v>
      </c>
      <c r="AT410" s="30" t="b">
        <v>1</v>
      </c>
      <c r="AU410" s="30" t="b">
        <v>1</v>
      </c>
      <c r="AV410" s="30" t="b">
        <v>1</v>
      </c>
      <c r="AW410" s="30" t="b">
        <v>1</v>
      </c>
      <c r="AX410" s="30" t="b">
        <v>1</v>
      </c>
      <c r="AY410" s="30" t="b">
        <v>1</v>
      </c>
      <c r="AZ410" s="30" t="b">
        <v>1</v>
      </c>
      <c r="BA410" s="30" t="b">
        <v>1</v>
      </c>
      <c r="BB410" s="30" t="b">
        <v>1</v>
      </c>
      <c r="BC410" s="30" t="b">
        <v>1</v>
      </c>
      <c r="BD410" s="30" t="b">
        <v>1</v>
      </c>
      <c r="BE410" s="30" t="b">
        <v>1</v>
      </c>
      <c r="BF410" s="30" t="b">
        <v>1</v>
      </c>
      <c r="BG410" s="30" t="b">
        <v>1</v>
      </c>
      <c r="BH410" s="30" t="b">
        <v>1</v>
      </c>
      <c r="BI410" s="30" t="b">
        <v>1</v>
      </c>
      <c r="BJ410" s="30" t="b">
        <v>1</v>
      </c>
      <c r="BK410" s="30" t="b">
        <v>1</v>
      </c>
      <c r="BL410" s="30" t="b">
        <v>1</v>
      </c>
      <c r="BM410" s="30" t="b">
        <v>1</v>
      </c>
      <c r="BN410" s="30" t="b">
        <v>1</v>
      </c>
      <c r="BO410" s="30" t="b">
        <v>1</v>
      </c>
    </row>
    <row r="411">
      <c r="A411" s="31" t="str">
        <f>A410&amp;C411</f>
        <v>JanuaryPARSHU BAGHOT HOURS</v>
      </c>
      <c r="B411" s="32"/>
      <c r="C411" s="33" t="s">
        <v>169</v>
      </c>
      <c r="D411" s="17"/>
      <c r="E411" s="29">
        <f>SUM(F411:BO411)</f>
        <v>12</v>
      </c>
      <c r="F411" s="34"/>
      <c r="G411" s="17"/>
      <c r="H411" s="34"/>
      <c r="I411" s="17"/>
      <c r="J411" s="34"/>
      <c r="K411" s="17"/>
      <c r="L411" s="34"/>
      <c r="M411" s="17"/>
      <c r="N411" s="34"/>
      <c r="O411" s="17"/>
      <c r="P411" s="34">
        <v>2.0</v>
      </c>
      <c r="Q411" s="17"/>
      <c r="R411" s="34"/>
      <c r="S411" s="17"/>
      <c r="T411" s="34"/>
      <c r="U411" s="17"/>
      <c r="V411" s="34"/>
      <c r="W411" s="17"/>
      <c r="X411" s="34"/>
      <c r="Y411" s="17"/>
      <c r="Z411" s="34"/>
      <c r="AA411" s="17"/>
      <c r="AB411" s="34">
        <v>1.0</v>
      </c>
      <c r="AC411" s="17"/>
      <c r="AD411" s="34">
        <v>1.0</v>
      </c>
      <c r="AE411" s="17"/>
      <c r="AF411" s="34"/>
      <c r="AG411" s="17"/>
      <c r="AH411" s="34"/>
      <c r="AI411" s="17"/>
      <c r="AJ411" s="34"/>
      <c r="AK411" s="17"/>
      <c r="AL411" s="34">
        <v>1.0</v>
      </c>
      <c r="AM411" s="17"/>
      <c r="AN411" s="34"/>
      <c r="AO411" s="17"/>
      <c r="AP411" s="34"/>
      <c r="AQ411" s="17"/>
      <c r="AR411" s="34">
        <v>1.0</v>
      </c>
      <c r="AS411" s="17"/>
      <c r="AT411" s="34"/>
      <c r="AU411" s="17"/>
      <c r="AV411" s="34"/>
      <c r="AW411" s="17"/>
      <c r="AX411" s="34">
        <v>2.0</v>
      </c>
      <c r="AY411" s="17"/>
      <c r="AZ411" s="34">
        <v>2.0</v>
      </c>
      <c r="BA411" s="17"/>
      <c r="BB411" s="34"/>
      <c r="BC411" s="17"/>
      <c r="BD411" s="34"/>
      <c r="BE411" s="17"/>
      <c r="BF411" s="34"/>
      <c r="BG411" s="17"/>
      <c r="BH411" s="34"/>
      <c r="BI411" s="17"/>
      <c r="BJ411" s="34"/>
      <c r="BK411" s="17"/>
      <c r="BL411" s="34">
        <v>2.0</v>
      </c>
      <c r="BM411" s="17"/>
      <c r="BN411" s="34"/>
      <c r="BO411" s="17"/>
    </row>
    <row r="412">
      <c r="A412" s="40"/>
      <c r="B412" s="41"/>
      <c r="C412" s="37"/>
      <c r="D412" s="37"/>
      <c r="E412" s="38"/>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row>
    <row r="413">
      <c r="A413" s="14"/>
      <c r="B413" s="15"/>
      <c r="C413" s="20">
        <v>46054.0</v>
      </c>
      <c r="D413" s="17"/>
      <c r="E413" s="18"/>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c r="BD413" s="21"/>
      <c r="BE413" s="21"/>
      <c r="BF413" s="21"/>
      <c r="BG413" s="21"/>
      <c r="BH413" s="21"/>
      <c r="BI413" s="21"/>
      <c r="BJ413" s="21"/>
      <c r="BK413" s="21"/>
      <c r="BL413" s="21"/>
      <c r="BM413" s="21"/>
      <c r="BN413" s="21"/>
      <c r="BO413" s="21"/>
    </row>
    <row r="414">
      <c r="A414" s="22"/>
      <c r="B414" s="23"/>
      <c r="C414" s="24" t="s">
        <v>1</v>
      </c>
      <c r="D414" s="24" t="s">
        <v>4</v>
      </c>
      <c r="E414" s="25" t="s">
        <v>166</v>
      </c>
      <c r="F414" s="24" t="s">
        <v>167</v>
      </c>
      <c r="G414" s="24" t="s">
        <v>168</v>
      </c>
      <c r="H414" s="24" t="s">
        <v>167</v>
      </c>
      <c r="I414" s="24" t="s">
        <v>168</v>
      </c>
      <c r="J414" s="24" t="s">
        <v>167</v>
      </c>
      <c r="K414" s="24" t="s">
        <v>168</v>
      </c>
      <c r="L414" s="24" t="s">
        <v>167</v>
      </c>
      <c r="M414" s="24" t="s">
        <v>168</v>
      </c>
      <c r="N414" s="24" t="s">
        <v>167</v>
      </c>
      <c r="O414" s="24" t="s">
        <v>168</v>
      </c>
      <c r="P414" s="24" t="s">
        <v>167</v>
      </c>
      <c r="Q414" s="24" t="s">
        <v>168</v>
      </c>
      <c r="R414" s="24" t="s">
        <v>167</v>
      </c>
      <c r="S414" s="24" t="s">
        <v>168</v>
      </c>
      <c r="T414" s="24" t="s">
        <v>167</v>
      </c>
      <c r="U414" s="24" t="s">
        <v>168</v>
      </c>
      <c r="V414" s="24" t="s">
        <v>167</v>
      </c>
      <c r="W414" s="24" t="s">
        <v>168</v>
      </c>
      <c r="X414" s="24" t="s">
        <v>167</v>
      </c>
      <c r="Y414" s="24" t="s">
        <v>168</v>
      </c>
      <c r="Z414" s="24" t="s">
        <v>167</v>
      </c>
      <c r="AA414" s="24" t="s">
        <v>168</v>
      </c>
      <c r="AB414" s="24" t="s">
        <v>167</v>
      </c>
      <c r="AC414" s="24" t="s">
        <v>168</v>
      </c>
      <c r="AD414" s="24" t="s">
        <v>167</v>
      </c>
      <c r="AE414" s="24" t="s">
        <v>168</v>
      </c>
      <c r="AF414" s="24" t="s">
        <v>167</v>
      </c>
      <c r="AG414" s="24" t="s">
        <v>168</v>
      </c>
      <c r="AH414" s="24" t="s">
        <v>167</v>
      </c>
      <c r="AI414" s="24" t="s">
        <v>168</v>
      </c>
      <c r="AJ414" s="24" t="s">
        <v>167</v>
      </c>
      <c r="AK414" s="24" t="s">
        <v>168</v>
      </c>
      <c r="AL414" s="24" t="s">
        <v>167</v>
      </c>
      <c r="AM414" s="24" t="s">
        <v>168</v>
      </c>
      <c r="AN414" s="24" t="s">
        <v>167</v>
      </c>
      <c r="AO414" s="24" t="s">
        <v>168</v>
      </c>
      <c r="AP414" s="24" t="s">
        <v>167</v>
      </c>
      <c r="AQ414" s="24" t="s">
        <v>168</v>
      </c>
      <c r="AR414" s="24" t="s">
        <v>167</v>
      </c>
      <c r="AS414" s="24" t="s">
        <v>168</v>
      </c>
      <c r="AT414" s="24" t="s">
        <v>167</v>
      </c>
      <c r="AU414" s="24" t="s">
        <v>168</v>
      </c>
      <c r="AV414" s="24" t="s">
        <v>167</v>
      </c>
      <c r="AW414" s="24" t="s">
        <v>168</v>
      </c>
      <c r="AX414" s="24" t="s">
        <v>167</v>
      </c>
      <c r="AY414" s="24" t="s">
        <v>168</v>
      </c>
      <c r="AZ414" s="24" t="s">
        <v>167</v>
      </c>
      <c r="BA414" s="24" t="s">
        <v>168</v>
      </c>
      <c r="BB414" s="24" t="s">
        <v>167</v>
      </c>
      <c r="BC414" s="24" t="s">
        <v>168</v>
      </c>
      <c r="BD414" s="24" t="s">
        <v>167</v>
      </c>
      <c r="BE414" s="24" t="s">
        <v>168</v>
      </c>
      <c r="BF414" s="24" t="s">
        <v>167</v>
      </c>
      <c r="BG414" s="24" t="s">
        <v>168</v>
      </c>
      <c r="BH414" s="24" t="s">
        <v>167</v>
      </c>
      <c r="BI414" s="24" t="s">
        <v>168</v>
      </c>
      <c r="BJ414" s="24" t="s">
        <v>167</v>
      </c>
      <c r="BK414" s="24" t="s">
        <v>168</v>
      </c>
      <c r="BL414" s="24" t="s">
        <v>167</v>
      </c>
      <c r="BM414" s="24" t="s">
        <v>168</v>
      </c>
      <c r="BN414" s="24" t="s">
        <v>167</v>
      </c>
      <c r="BO414" s="24" t="s">
        <v>168</v>
      </c>
    </row>
    <row r="415">
      <c r="A415" s="26" t="str">
        <f>B415&amp;D415</f>
        <v>FebruaryBHUVANESHWARAN.V</v>
      </c>
      <c r="B415" s="27" t="s">
        <v>52</v>
      </c>
      <c r="C415" s="27" t="s">
        <v>13</v>
      </c>
      <c r="D415" s="39" t="str">
        <f>IFERROR(VLOOKUP(C415,'Employees List'!$B$2:$E1424,4,0),"")</f>
        <v>BHUVANESHWARAN.V</v>
      </c>
      <c r="E415" s="29">
        <f t="shared" ref="E415:E417" si="7">COUNTIF(F415:BO415,TRUE)/2</f>
        <v>28</v>
      </c>
      <c r="F415" s="30" t="b">
        <v>1</v>
      </c>
      <c r="G415" s="30" t="b">
        <v>1</v>
      </c>
      <c r="H415" s="30" t="b">
        <v>1</v>
      </c>
      <c r="I415" s="30" t="b">
        <v>1</v>
      </c>
      <c r="J415" s="30" t="b">
        <v>1</v>
      </c>
      <c r="K415" s="30" t="b">
        <v>1</v>
      </c>
      <c r="L415" s="30" t="b">
        <v>1</v>
      </c>
      <c r="M415" s="30" t="b">
        <v>1</v>
      </c>
      <c r="N415" s="30" t="b">
        <v>1</v>
      </c>
      <c r="O415" s="30" t="b">
        <v>1</v>
      </c>
      <c r="P415" s="30" t="b">
        <v>1</v>
      </c>
      <c r="Q415" s="30" t="b">
        <v>1</v>
      </c>
      <c r="R415" s="30" t="b">
        <v>1</v>
      </c>
      <c r="S415" s="30" t="b">
        <v>1</v>
      </c>
      <c r="T415" s="30" t="b">
        <v>1</v>
      </c>
      <c r="U415" s="30" t="b">
        <v>1</v>
      </c>
      <c r="V415" s="30" t="b">
        <v>1</v>
      </c>
      <c r="W415" s="30" t="b">
        <v>1</v>
      </c>
      <c r="X415" s="30" t="b">
        <v>1</v>
      </c>
      <c r="Y415" s="30" t="b">
        <v>1</v>
      </c>
      <c r="Z415" s="30" t="b">
        <v>1</v>
      </c>
      <c r="AA415" s="30" t="b">
        <v>1</v>
      </c>
      <c r="AB415" s="30" t="b">
        <v>1</v>
      </c>
      <c r="AC415" s="30" t="b">
        <v>1</v>
      </c>
      <c r="AD415" s="30" t="b">
        <v>1</v>
      </c>
      <c r="AE415" s="30" t="b">
        <v>1</v>
      </c>
      <c r="AF415" s="30" t="b">
        <v>1</v>
      </c>
      <c r="AG415" s="30" t="b">
        <v>1</v>
      </c>
      <c r="AH415" s="30" t="b">
        <v>1</v>
      </c>
      <c r="AI415" s="30" t="b">
        <v>1</v>
      </c>
      <c r="AJ415" s="30" t="b">
        <v>1</v>
      </c>
      <c r="AK415" s="30" t="b">
        <v>1</v>
      </c>
      <c r="AL415" s="30" t="b">
        <v>1</v>
      </c>
      <c r="AM415" s="30" t="b">
        <v>1</v>
      </c>
      <c r="AN415" s="30" t="b">
        <v>1</v>
      </c>
      <c r="AO415" s="30" t="b">
        <v>1</v>
      </c>
      <c r="AP415" s="30" t="b">
        <v>1</v>
      </c>
      <c r="AQ415" s="30" t="b">
        <v>1</v>
      </c>
      <c r="AR415" s="30" t="b">
        <v>1</v>
      </c>
      <c r="AS415" s="30" t="b">
        <v>1</v>
      </c>
      <c r="AT415" s="30" t="b">
        <v>1</v>
      </c>
      <c r="AU415" s="30" t="b">
        <v>1</v>
      </c>
      <c r="AV415" s="30" t="b">
        <v>1</v>
      </c>
      <c r="AW415" s="30" t="b">
        <v>1</v>
      </c>
      <c r="AX415" s="30" t="b">
        <v>1</v>
      </c>
      <c r="AY415" s="30" t="b">
        <v>1</v>
      </c>
      <c r="AZ415" s="30" t="b">
        <v>1</v>
      </c>
      <c r="BA415" s="30" t="b">
        <v>1</v>
      </c>
      <c r="BB415" s="30" t="b">
        <v>1</v>
      </c>
      <c r="BC415" s="30" t="b">
        <v>1</v>
      </c>
      <c r="BD415" s="30" t="b">
        <v>1</v>
      </c>
      <c r="BE415" s="30" t="b">
        <v>1</v>
      </c>
      <c r="BF415" s="30" t="b">
        <v>1</v>
      </c>
      <c r="BG415" s="30" t="b">
        <v>1</v>
      </c>
      <c r="BH415" s="30" t="b">
        <v>1</v>
      </c>
      <c r="BI415" s="30" t="b">
        <v>1</v>
      </c>
      <c r="BJ415" s="30" t="b">
        <v>0</v>
      </c>
      <c r="BK415" s="30" t="b">
        <v>0</v>
      </c>
      <c r="BL415" s="30" t="b">
        <v>0</v>
      </c>
      <c r="BM415" s="30" t="b">
        <v>0</v>
      </c>
      <c r="BN415" s="30" t="b">
        <v>0</v>
      </c>
      <c r="BO415" s="30" t="b">
        <v>0</v>
      </c>
    </row>
    <row r="416">
      <c r="A416" s="31" t="str">
        <f>A415&amp;C416</f>
        <v>FebruaryBHUVANESHWARAN.VOT HOURS</v>
      </c>
      <c r="B416" s="32"/>
      <c r="C416" s="33" t="s">
        <v>169</v>
      </c>
      <c r="D416" s="17"/>
      <c r="E416" s="29">
        <f t="shared" si="7"/>
        <v>0</v>
      </c>
      <c r="F416" s="34"/>
      <c r="G416" s="17"/>
      <c r="H416" s="34"/>
      <c r="I416" s="17"/>
      <c r="J416" s="34"/>
      <c r="K416" s="17"/>
      <c r="L416" s="34"/>
      <c r="M416" s="17"/>
      <c r="N416" s="34"/>
      <c r="O416" s="17"/>
      <c r="P416" s="34"/>
      <c r="Q416" s="17"/>
      <c r="R416" s="34"/>
      <c r="S416" s="17"/>
      <c r="T416" s="34"/>
      <c r="U416" s="17"/>
      <c r="V416" s="34"/>
      <c r="W416" s="17"/>
      <c r="X416" s="34"/>
      <c r="Y416" s="17"/>
      <c r="Z416" s="34"/>
      <c r="AA416" s="17"/>
      <c r="AB416" s="34"/>
      <c r="AC416" s="17"/>
      <c r="AD416" s="34"/>
      <c r="AE416" s="17"/>
      <c r="AF416" s="34"/>
      <c r="AG416" s="17"/>
      <c r="AH416" s="34"/>
      <c r="AI416" s="17"/>
      <c r="AJ416" s="34"/>
      <c r="AK416" s="17"/>
      <c r="AL416" s="34"/>
      <c r="AM416" s="17"/>
      <c r="AN416" s="34"/>
      <c r="AO416" s="17"/>
      <c r="AP416" s="34"/>
      <c r="AQ416" s="17"/>
      <c r="AR416" s="34"/>
      <c r="AS416" s="17"/>
      <c r="AT416" s="34"/>
      <c r="AU416" s="17"/>
      <c r="AV416" s="34"/>
      <c r="AW416" s="17"/>
      <c r="AX416" s="34"/>
      <c r="AY416" s="17"/>
      <c r="AZ416" s="34"/>
      <c r="BA416" s="17"/>
      <c r="BB416" s="34"/>
      <c r="BC416" s="17"/>
      <c r="BD416" s="34"/>
      <c r="BE416" s="17"/>
      <c r="BF416" s="34"/>
      <c r="BG416" s="17"/>
      <c r="BH416" s="34"/>
      <c r="BI416" s="17"/>
      <c r="BJ416" s="34"/>
      <c r="BK416" s="17"/>
      <c r="BL416" s="34"/>
      <c r="BM416" s="17"/>
      <c r="BN416" s="34"/>
      <c r="BO416" s="17"/>
    </row>
    <row r="417">
      <c r="A417" s="26" t="str">
        <f>B417&amp;D417</f>
        <v>FebruaryTHIRIPURA SUNDARI.R</v>
      </c>
      <c r="B417" s="27" t="s">
        <v>52</v>
      </c>
      <c r="C417" s="27" t="s">
        <v>71</v>
      </c>
      <c r="D417" s="28" t="str">
        <f>IFERROR(VLOOKUP(C417,'Employees List'!$B$2:$E1424,4,0),"")</f>
        <v>THIRIPURA SUNDARI.R</v>
      </c>
      <c r="E417" s="29">
        <f t="shared" si="7"/>
        <v>28</v>
      </c>
      <c r="F417" s="30" t="b">
        <v>1</v>
      </c>
      <c r="G417" s="30" t="b">
        <v>1</v>
      </c>
      <c r="H417" s="30" t="b">
        <v>1</v>
      </c>
      <c r="I417" s="30" t="b">
        <v>1</v>
      </c>
      <c r="J417" s="30" t="b">
        <v>1</v>
      </c>
      <c r="K417" s="30" t="b">
        <v>1</v>
      </c>
      <c r="L417" s="30" t="b">
        <v>1</v>
      </c>
      <c r="M417" s="30" t="b">
        <v>1</v>
      </c>
      <c r="N417" s="30" t="b">
        <v>1</v>
      </c>
      <c r="O417" s="30" t="b">
        <v>1</v>
      </c>
      <c r="P417" s="30" t="b">
        <v>1</v>
      </c>
      <c r="Q417" s="30" t="b">
        <v>1</v>
      </c>
      <c r="R417" s="30" t="b">
        <v>1</v>
      </c>
      <c r="S417" s="30" t="b">
        <v>1</v>
      </c>
      <c r="T417" s="30" t="b">
        <v>1</v>
      </c>
      <c r="U417" s="30" t="b">
        <v>1</v>
      </c>
      <c r="V417" s="30" t="b">
        <v>1</v>
      </c>
      <c r="W417" s="30" t="b">
        <v>1</v>
      </c>
      <c r="X417" s="30" t="b">
        <v>1</v>
      </c>
      <c r="Y417" s="30" t="b">
        <v>1</v>
      </c>
      <c r="Z417" s="30" t="b">
        <v>1</v>
      </c>
      <c r="AA417" s="30" t="b">
        <v>1</v>
      </c>
      <c r="AB417" s="30" t="b">
        <v>1</v>
      </c>
      <c r="AC417" s="30" t="b">
        <v>1</v>
      </c>
      <c r="AD417" s="30" t="b">
        <v>1</v>
      </c>
      <c r="AE417" s="30" t="b">
        <v>1</v>
      </c>
      <c r="AF417" s="30" t="b">
        <v>1</v>
      </c>
      <c r="AG417" s="30" t="b">
        <v>1</v>
      </c>
      <c r="AH417" s="30" t="b">
        <v>1</v>
      </c>
      <c r="AI417" s="30" t="b">
        <v>1</v>
      </c>
      <c r="AJ417" s="30" t="b">
        <v>1</v>
      </c>
      <c r="AK417" s="30" t="b">
        <v>1</v>
      </c>
      <c r="AL417" s="30" t="b">
        <v>1</v>
      </c>
      <c r="AM417" s="30" t="b">
        <v>1</v>
      </c>
      <c r="AN417" s="30" t="b">
        <v>1</v>
      </c>
      <c r="AO417" s="30" t="b">
        <v>1</v>
      </c>
      <c r="AP417" s="30" t="b">
        <v>1</v>
      </c>
      <c r="AQ417" s="30" t="b">
        <v>1</v>
      </c>
      <c r="AR417" s="30" t="b">
        <v>1</v>
      </c>
      <c r="AS417" s="30" t="b">
        <v>1</v>
      </c>
      <c r="AT417" s="30" t="b">
        <v>1</v>
      </c>
      <c r="AU417" s="30" t="b">
        <v>1</v>
      </c>
      <c r="AV417" s="30" t="b">
        <v>1</v>
      </c>
      <c r="AW417" s="30" t="b">
        <v>1</v>
      </c>
      <c r="AX417" s="30" t="b">
        <v>1</v>
      </c>
      <c r="AY417" s="30" t="b">
        <v>1</v>
      </c>
      <c r="AZ417" s="30" t="b">
        <v>1</v>
      </c>
      <c r="BA417" s="30" t="b">
        <v>1</v>
      </c>
      <c r="BB417" s="30" t="b">
        <v>1</v>
      </c>
      <c r="BC417" s="30" t="b">
        <v>1</v>
      </c>
      <c r="BD417" s="30" t="b">
        <v>1</v>
      </c>
      <c r="BE417" s="30" t="b">
        <v>1</v>
      </c>
      <c r="BF417" s="30" t="b">
        <v>1</v>
      </c>
      <c r="BG417" s="30" t="b">
        <v>1</v>
      </c>
      <c r="BH417" s="30" t="b">
        <v>1</v>
      </c>
      <c r="BI417" s="30" t="b">
        <v>1</v>
      </c>
      <c r="BJ417" s="30" t="b">
        <v>0</v>
      </c>
      <c r="BK417" s="30" t="b">
        <v>0</v>
      </c>
      <c r="BL417" s="30" t="b">
        <v>0</v>
      </c>
      <c r="BM417" s="30" t="b">
        <v>0</v>
      </c>
      <c r="BN417" s="30" t="b">
        <v>0</v>
      </c>
      <c r="BO417" s="30" t="b">
        <v>0</v>
      </c>
    </row>
    <row r="418">
      <c r="A418" s="31" t="str">
        <f>A417&amp;C418</f>
        <v>FebruaryTHIRIPURA SUNDARI.ROT HOURS</v>
      </c>
      <c r="B418" s="32"/>
      <c r="C418" s="33" t="s">
        <v>169</v>
      </c>
      <c r="D418" s="17"/>
      <c r="E418" s="29">
        <f>SUM(F418:BO418)</f>
        <v>0</v>
      </c>
      <c r="F418" s="34"/>
      <c r="G418" s="17"/>
      <c r="H418" s="34"/>
      <c r="I418" s="17"/>
      <c r="J418" s="34"/>
      <c r="K418" s="17"/>
      <c r="L418" s="34"/>
      <c r="M418" s="17"/>
      <c r="N418" s="34"/>
      <c r="O418" s="17"/>
      <c r="P418" s="34"/>
      <c r="Q418" s="17"/>
      <c r="R418" s="34"/>
      <c r="S418" s="17"/>
      <c r="T418" s="34"/>
      <c r="U418" s="17"/>
      <c r="V418" s="34"/>
      <c r="W418" s="17"/>
      <c r="X418" s="34"/>
      <c r="Y418" s="17"/>
      <c r="Z418" s="34"/>
      <c r="AA418" s="17"/>
      <c r="AB418" s="34"/>
      <c r="AC418" s="17"/>
      <c r="AD418" s="34"/>
      <c r="AE418" s="17"/>
      <c r="AF418" s="34"/>
      <c r="AG418" s="17"/>
      <c r="AH418" s="34"/>
      <c r="AI418" s="17"/>
      <c r="AJ418" s="34"/>
      <c r="AK418" s="17"/>
      <c r="AL418" s="34"/>
      <c r="AM418" s="17"/>
      <c r="AN418" s="34"/>
      <c r="AO418" s="17"/>
      <c r="AP418" s="34"/>
      <c r="AQ418" s="17"/>
      <c r="AR418" s="34"/>
      <c r="AS418" s="17"/>
      <c r="AT418" s="34"/>
      <c r="AU418" s="17"/>
      <c r="AV418" s="34"/>
      <c r="AW418" s="17"/>
      <c r="AX418" s="34"/>
      <c r="AY418" s="17"/>
      <c r="AZ418" s="34"/>
      <c r="BA418" s="17"/>
      <c r="BB418" s="34"/>
      <c r="BC418" s="17"/>
      <c r="BD418" s="34"/>
      <c r="BE418" s="17"/>
      <c r="BF418" s="34"/>
      <c r="BG418" s="17"/>
      <c r="BH418" s="34"/>
      <c r="BI418" s="17"/>
      <c r="BJ418" s="34"/>
      <c r="BK418" s="17"/>
      <c r="BL418" s="34"/>
      <c r="BM418" s="17"/>
      <c r="BN418" s="34"/>
      <c r="BO418" s="17"/>
    </row>
    <row r="419">
      <c r="A419" s="26" t="str">
        <f>B419&amp;D419</f>
        <v>FebruaryGANESH</v>
      </c>
      <c r="B419" s="27" t="s">
        <v>52</v>
      </c>
      <c r="C419" s="27" t="s">
        <v>22</v>
      </c>
      <c r="D419" s="28" t="str">
        <f>IFERROR(VLOOKUP(C419,'Employees List'!$B$2:$E1424,4,0),"")</f>
        <v>GANESH</v>
      </c>
      <c r="E419" s="29">
        <f>COUNTIF(F419:BO419,TRUE)/2</f>
        <v>25</v>
      </c>
      <c r="F419" s="30" t="b">
        <v>1</v>
      </c>
      <c r="G419" s="30" t="b">
        <v>1</v>
      </c>
      <c r="H419" s="30" t="b">
        <v>1</v>
      </c>
      <c r="I419" s="30" t="b">
        <v>1</v>
      </c>
      <c r="J419" s="30" t="b">
        <v>1</v>
      </c>
      <c r="K419" s="30" t="b">
        <v>1</v>
      </c>
      <c r="L419" s="30" t="b">
        <v>1</v>
      </c>
      <c r="M419" s="30" t="b">
        <v>1</v>
      </c>
      <c r="N419" s="30" t="b">
        <v>1</v>
      </c>
      <c r="O419" s="30" t="b">
        <v>1</v>
      </c>
      <c r="P419" s="30" t="b">
        <v>1</v>
      </c>
      <c r="Q419" s="30" t="b">
        <v>1</v>
      </c>
      <c r="R419" s="30" t="b">
        <v>1</v>
      </c>
      <c r="S419" s="30" t="b">
        <v>1</v>
      </c>
      <c r="T419" s="30" t="b">
        <v>1</v>
      </c>
      <c r="U419" s="30" t="b">
        <v>1</v>
      </c>
      <c r="V419" s="30" t="b">
        <v>0</v>
      </c>
      <c r="W419" s="30" t="b">
        <v>0</v>
      </c>
      <c r="X419" s="30" t="b">
        <v>0</v>
      </c>
      <c r="Y419" s="30" t="b">
        <v>0</v>
      </c>
      <c r="Z419" s="30" t="b">
        <v>1</v>
      </c>
      <c r="AA419" s="30" t="b">
        <v>1</v>
      </c>
      <c r="AB419" s="30" t="b">
        <v>1</v>
      </c>
      <c r="AC419" s="30" t="b">
        <v>1</v>
      </c>
      <c r="AD419" s="30" t="b">
        <v>1</v>
      </c>
      <c r="AE419" s="30" t="b">
        <v>1</v>
      </c>
      <c r="AF419" s="30" t="b">
        <v>1</v>
      </c>
      <c r="AG419" s="30" t="b">
        <v>1</v>
      </c>
      <c r="AH419" s="30" t="b">
        <v>1</v>
      </c>
      <c r="AI419" s="30" t="b">
        <v>1</v>
      </c>
      <c r="AJ419" s="30" t="b">
        <v>1</v>
      </c>
      <c r="AK419" s="30" t="b">
        <v>1</v>
      </c>
      <c r="AL419" s="30" t="b">
        <v>1</v>
      </c>
      <c r="AM419" s="30" t="b">
        <v>1</v>
      </c>
      <c r="AN419" s="30" t="b">
        <v>0</v>
      </c>
      <c r="AO419" s="30" t="b">
        <v>0</v>
      </c>
      <c r="AP419" s="30" t="b">
        <v>1</v>
      </c>
      <c r="AQ419" s="30" t="b">
        <v>1</v>
      </c>
      <c r="AR419" s="30" t="b">
        <v>1</v>
      </c>
      <c r="AS419" s="30" t="b">
        <v>1</v>
      </c>
      <c r="AT419" s="30" t="b">
        <v>1</v>
      </c>
      <c r="AU419" s="30" t="b">
        <v>1</v>
      </c>
      <c r="AV419" s="30" t="b">
        <v>1</v>
      </c>
      <c r="AW419" s="30" t="b">
        <v>1</v>
      </c>
      <c r="AX419" s="30" t="b">
        <v>1</v>
      </c>
      <c r="AY419" s="30" t="b">
        <v>1</v>
      </c>
      <c r="AZ419" s="30" t="b">
        <v>1</v>
      </c>
      <c r="BA419" s="30" t="b">
        <v>1</v>
      </c>
      <c r="BB419" s="30" t="b">
        <v>1</v>
      </c>
      <c r="BC419" s="30" t="b">
        <v>1</v>
      </c>
      <c r="BD419" s="30" t="b">
        <v>1</v>
      </c>
      <c r="BE419" s="30" t="b">
        <v>1</v>
      </c>
      <c r="BF419" s="30" t="b">
        <v>1</v>
      </c>
      <c r="BG419" s="30" t="b">
        <v>1</v>
      </c>
      <c r="BH419" s="30" t="b">
        <v>1</v>
      </c>
      <c r="BI419" s="30" t="b">
        <v>1</v>
      </c>
      <c r="BJ419" s="30" t="b">
        <v>0</v>
      </c>
      <c r="BK419" s="30" t="b">
        <v>0</v>
      </c>
      <c r="BL419" s="30" t="b">
        <v>0</v>
      </c>
      <c r="BM419" s="30" t="b">
        <v>0</v>
      </c>
      <c r="BN419" s="30" t="b">
        <v>0</v>
      </c>
      <c r="BO419" s="30" t="b">
        <v>0</v>
      </c>
    </row>
    <row r="420">
      <c r="A420" s="31" t="str">
        <f>A419&amp;C420</f>
        <v>FebruaryGANESHOT HOURS</v>
      </c>
      <c r="B420" s="32"/>
      <c r="C420" s="33" t="s">
        <v>169</v>
      </c>
      <c r="D420" s="17"/>
      <c r="E420" s="29">
        <f>SUM(F420:BO420)</f>
        <v>3.5</v>
      </c>
      <c r="F420" s="34"/>
      <c r="G420" s="17"/>
      <c r="H420" s="34"/>
      <c r="I420" s="17"/>
      <c r="J420" s="34"/>
      <c r="K420" s="17"/>
      <c r="L420" s="34"/>
      <c r="M420" s="17"/>
      <c r="N420" s="34"/>
      <c r="O420" s="17"/>
      <c r="P420" s="34"/>
      <c r="Q420" s="17"/>
      <c r="R420" s="34"/>
      <c r="S420" s="17"/>
      <c r="T420" s="34"/>
      <c r="U420" s="17"/>
      <c r="V420" s="34"/>
      <c r="W420" s="17"/>
      <c r="X420" s="34"/>
      <c r="Y420" s="17"/>
      <c r="Z420" s="34"/>
      <c r="AA420" s="17"/>
      <c r="AB420" s="34"/>
      <c r="AC420" s="17"/>
      <c r="AD420" s="34"/>
      <c r="AE420" s="17"/>
      <c r="AF420" s="34"/>
      <c r="AG420" s="17"/>
      <c r="AH420" s="34"/>
      <c r="AI420" s="17"/>
      <c r="AJ420" s="34"/>
      <c r="AK420" s="17"/>
      <c r="AL420" s="34"/>
      <c r="AM420" s="17"/>
      <c r="AN420" s="34"/>
      <c r="AO420" s="17"/>
      <c r="AP420" s="34"/>
      <c r="AQ420" s="17"/>
      <c r="AR420" s="34"/>
      <c r="AS420" s="17"/>
      <c r="AT420" s="34"/>
      <c r="AU420" s="17"/>
      <c r="AV420" s="34"/>
      <c r="AW420" s="17"/>
      <c r="AX420" s="34"/>
      <c r="AY420" s="17"/>
      <c r="AZ420" s="34"/>
      <c r="BA420" s="17"/>
      <c r="BB420" s="34">
        <v>2.0</v>
      </c>
      <c r="BC420" s="17"/>
      <c r="BD420" s="34"/>
      <c r="BE420" s="17"/>
      <c r="BF420" s="34"/>
      <c r="BG420" s="17"/>
      <c r="BH420" s="34">
        <v>1.5</v>
      </c>
      <c r="BI420" s="17"/>
      <c r="BJ420" s="34" t="s">
        <v>170</v>
      </c>
      <c r="BK420" s="17"/>
      <c r="BL420" s="34"/>
      <c r="BM420" s="17"/>
      <c r="BN420" s="34"/>
      <c r="BO420" s="17"/>
    </row>
    <row r="421">
      <c r="A421" s="26" t="str">
        <f>B421&amp;D421</f>
        <v>FebruaryVASANTHA.E</v>
      </c>
      <c r="B421" s="27" t="s">
        <v>52</v>
      </c>
      <c r="C421" s="27" t="s">
        <v>17</v>
      </c>
      <c r="D421" s="28" t="str">
        <f>IFERROR(VLOOKUP(C421,'Employees List'!$B$2:$E1424,4,0),"")</f>
        <v>VASANTHA.E</v>
      </c>
      <c r="E421" s="29">
        <f>COUNTIF(F421:BO421,TRUE)/2</f>
        <v>22.5</v>
      </c>
      <c r="F421" s="30" t="b">
        <v>1</v>
      </c>
      <c r="G421" s="30" t="b">
        <v>1</v>
      </c>
      <c r="H421" s="30" t="b">
        <v>1</v>
      </c>
      <c r="I421" s="30" t="b">
        <v>1</v>
      </c>
      <c r="J421" s="30" t="b">
        <v>1</v>
      </c>
      <c r="K421" s="30" t="b">
        <v>1</v>
      </c>
      <c r="L421" s="30" t="b">
        <v>1</v>
      </c>
      <c r="M421" s="30" t="b">
        <v>1</v>
      </c>
      <c r="N421" s="30" t="b">
        <v>1</v>
      </c>
      <c r="O421" s="30" t="b">
        <v>1</v>
      </c>
      <c r="P421" s="30" t="b">
        <v>1</v>
      </c>
      <c r="Q421" s="30" t="b">
        <v>1</v>
      </c>
      <c r="R421" s="30" t="b">
        <v>1</v>
      </c>
      <c r="S421" s="30" t="b">
        <v>1</v>
      </c>
      <c r="T421" s="30" t="b">
        <v>1</v>
      </c>
      <c r="U421" s="30" t="b">
        <v>1</v>
      </c>
      <c r="V421" s="30" t="b">
        <v>0</v>
      </c>
      <c r="W421" s="30" t="b">
        <v>0</v>
      </c>
      <c r="X421" s="30" t="b">
        <v>0</v>
      </c>
      <c r="Y421" s="30" t="b">
        <v>0</v>
      </c>
      <c r="Z421" s="30" t="b">
        <v>1</v>
      </c>
      <c r="AA421" s="30" t="b">
        <v>1</v>
      </c>
      <c r="AB421" s="30" t="b">
        <v>1</v>
      </c>
      <c r="AC421" s="30" t="b">
        <v>1</v>
      </c>
      <c r="AD421" s="30" t="b">
        <v>1</v>
      </c>
      <c r="AE421" s="30" t="b">
        <v>1</v>
      </c>
      <c r="AF421" s="30" t="b">
        <v>1</v>
      </c>
      <c r="AG421" s="30" t="b">
        <v>1</v>
      </c>
      <c r="AH421" s="30" t="b">
        <v>1</v>
      </c>
      <c r="AI421" s="30" t="b">
        <v>1</v>
      </c>
      <c r="AJ421" s="30" t="b">
        <v>0</v>
      </c>
      <c r="AK421" s="30" t="b">
        <v>0</v>
      </c>
      <c r="AL421" s="30" t="b">
        <v>0</v>
      </c>
      <c r="AM421" s="30" t="b">
        <v>0</v>
      </c>
      <c r="AN421" s="30" t="b">
        <v>0</v>
      </c>
      <c r="AO421" s="30" t="b">
        <v>0</v>
      </c>
      <c r="AP421" s="30" t="b">
        <v>0</v>
      </c>
      <c r="AQ421" s="30" t="b">
        <v>1</v>
      </c>
      <c r="AR421" s="30" t="b">
        <v>1</v>
      </c>
      <c r="AS421" s="30" t="b">
        <v>1</v>
      </c>
      <c r="AT421" s="30" t="b">
        <v>1</v>
      </c>
      <c r="AU421" s="30" t="b">
        <v>1</v>
      </c>
      <c r="AV421" s="30" t="b">
        <v>1</v>
      </c>
      <c r="AW421" s="30" t="b">
        <v>1</v>
      </c>
      <c r="AX421" s="30" t="b">
        <v>1</v>
      </c>
      <c r="AY421" s="30" t="b">
        <v>1</v>
      </c>
      <c r="AZ421" s="30" t="b">
        <v>1</v>
      </c>
      <c r="BA421" s="30" t="b">
        <v>1</v>
      </c>
      <c r="BB421" s="30" t="b">
        <v>1</v>
      </c>
      <c r="BC421" s="30" t="b">
        <v>1</v>
      </c>
      <c r="BD421" s="30" t="b">
        <v>1</v>
      </c>
      <c r="BE421" s="30" t="b">
        <v>1</v>
      </c>
      <c r="BF421" s="30" t="b">
        <v>1</v>
      </c>
      <c r="BG421" s="30" t="b">
        <v>1</v>
      </c>
      <c r="BH421" s="30" t="b">
        <v>1</v>
      </c>
      <c r="BI421" s="30" t="b">
        <v>1</v>
      </c>
      <c r="BJ421" s="30" t="b">
        <v>0</v>
      </c>
      <c r="BK421" s="30" t="b">
        <v>0</v>
      </c>
      <c r="BL421" s="30" t="b">
        <v>0</v>
      </c>
      <c r="BM421" s="30" t="b">
        <v>0</v>
      </c>
      <c r="BN421" s="30" t="b">
        <v>0</v>
      </c>
      <c r="BO421" s="30" t="b">
        <v>0</v>
      </c>
    </row>
    <row r="422">
      <c r="A422" s="31" t="str">
        <f>A421&amp;C422</f>
        <v>FebruaryVASANTHA.EOT HOURS</v>
      </c>
      <c r="B422" s="32"/>
      <c r="C422" s="33" t="s">
        <v>169</v>
      </c>
      <c r="D422" s="17"/>
      <c r="E422" s="29">
        <f>SUM(F422:BO422)</f>
        <v>13.5</v>
      </c>
      <c r="F422" s="34"/>
      <c r="G422" s="17"/>
      <c r="H422" s="34"/>
      <c r="I422" s="17"/>
      <c r="J422" s="34"/>
      <c r="K422" s="17"/>
      <c r="L422" s="34"/>
      <c r="M422" s="17"/>
      <c r="N422" s="34"/>
      <c r="O422" s="17"/>
      <c r="P422" s="34"/>
      <c r="Q422" s="17"/>
      <c r="R422" s="34"/>
      <c r="S422" s="17"/>
      <c r="T422" s="34"/>
      <c r="U422" s="17"/>
      <c r="V422" s="34"/>
      <c r="W422" s="17"/>
      <c r="X422" s="34"/>
      <c r="Y422" s="17"/>
      <c r="Z422" s="34"/>
      <c r="AA422" s="17"/>
      <c r="AB422" s="34">
        <v>1.5</v>
      </c>
      <c r="AC422" s="17"/>
      <c r="AD422" s="34">
        <v>1.5</v>
      </c>
      <c r="AE422" s="17"/>
      <c r="AF422" s="34"/>
      <c r="AG422" s="17"/>
      <c r="AH422" s="34"/>
      <c r="AI422" s="17"/>
      <c r="AJ422" s="34"/>
      <c r="AK422" s="17"/>
      <c r="AL422" s="34"/>
      <c r="AM422" s="17"/>
      <c r="AN422" s="34"/>
      <c r="AO422" s="17"/>
      <c r="AP422" s="34"/>
      <c r="AQ422" s="17"/>
      <c r="AR422" s="34"/>
      <c r="AS422" s="17"/>
      <c r="AT422" s="34">
        <v>1.5</v>
      </c>
      <c r="AU422" s="17"/>
      <c r="AV422" s="34"/>
      <c r="AW422" s="17"/>
      <c r="AX422" s="34">
        <v>1.5</v>
      </c>
      <c r="AY422" s="17"/>
      <c r="AZ422" s="34">
        <v>1.5</v>
      </c>
      <c r="BA422" s="17"/>
      <c r="BB422" s="34">
        <v>1.5</v>
      </c>
      <c r="BC422" s="17"/>
      <c r="BD422" s="34">
        <v>1.5</v>
      </c>
      <c r="BE422" s="17"/>
      <c r="BF422" s="34">
        <v>1.5</v>
      </c>
      <c r="BG422" s="17"/>
      <c r="BH422" s="34">
        <v>1.5</v>
      </c>
      <c r="BI422" s="17"/>
      <c r="BJ422" s="34"/>
      <c r="BK422" s="17"/>
      <c r="BL422" s="34"/>
      <c r="BM422" s="17"/>
      <c r="BN422" s="34"/>
      <c r="BO422" s="17"/>
    </row>
    <row r="423">
      <c r="A423" s="26" t="str">
        <f>B423&amp;D423</f>
        <v>FebruarySANJAY BAGARTTI.K</v>
      </c>
      <c r="B423" s="27" t="s">
        <v>52</v>
      </c>
      <c r="C423" s="27" t="s">
        <v>34</v>
      </c>
      <c r="D423" s="28" t="str">
        <f>IFERROR(VLOOKUP(C423,'Employees List'!$B$2:$E1424,4,0),"")</f>
        <v>SANJAY BAGARTTI.K</v>
      </c>
      <c r="E423" s="29">
        <f>COUNTIF(F423:BO423,TRUE)/2</f>
        <v>28</v>
      </c>
      <c r="F423" s="30" t="b">
        <v>1</v>
      </c>
      <c r="G423" s="30" t="b">
        <v>1</v>
      </c>
      <c r="H423" s="30" t="b">
        <v>1</v>
      </c>
      <c r="I423" s="30" t="b">
        <v>1</v>
      </c>
      <c r="J423" s="30" t="b">
        <v>1</v>
      </c>
      <c r="K423" s="30" t="b">
        <v>1</v>
      </c>
      <c r="L423" s="30" t="b">
        <v>1</v>
      </c>
      <c r="M423" s="30" t="b">
        <v>1</v>
      </c>
      <c r="N423" s="30" t="b">
        <v>1</v>
      </c>
      <c r="O423" s="30" t="b">
        <v>1</v>
      </c>
      <c r="P423" s="30" t="b">
        <v>1</v>
      </c>
      <c r="Q423" s="30" t="b">
        <v>1</v>
      </c>
      <c r="R423" s="30" t="b">
        <v>1</v>
      </c>
      <c r="S423" s="30" t="b">
        <v>1</v>
      </c>
      <c r="T423" s="30" t="b">
        <v>1</v>
      </c>
      <c r="U423" s="30" t="b">
        <v>1</v>
      </c>
      <c r="V423" s="30" t="b">
        <v>1</v>
      </c>
      <c r="W423" s="30" t="b">
        <v>1</v>
      </c>
      <c r="X423" s="30" t="b">
        <v>1</v>
      </c>
      <c r="Y423" s="30" t="b">
        <v>1</v>
      </c>
      <c r="Z423" s="30" t="b">
        <v>1</v>
      </c>
      <c r="AA423" s="30" t="b">
        <v>1</v>
      </c>
      <c r="AB423" s="30" t="b">
        <v>1</v>
      </c>
      <c r="AC423" s="30" t="b">
        <v>1</v>
      </c>
      <c r="AD423" s="30" t="b">
        <v>1</v>
      </c>
      <c r="AE423" s="30" t="b">
        <v>1</v>
      </c>
      <c r="AF423" s="30" t="b">
        <v>1</v>
      </c>
      <c r="AG423" s="30" t="b">
        <v>1</v>
      </c>
      <c r="AH423" s="30" t="b">
        <v>1</v>
      </c>
      <c r="AI423" s="30" t="b">
        <v>1</v>
      </c>
      <c r="AJ423" s="30" t="b">
        <v>1</v>
      </c>
      <c r="AK423" s="30" t="b">
        <v>1</v>
      </c>
      <c r="AL423" s="30" t="b">
        <v>1</v>
      </c>
      <c r="AM423" s="30" t="b">
        <v>1</v>
      </c>
      <c r="AN423" s="30" t="b">
        <v>1</v>
      </c>
      <c r="AO423" s="30" t="b">
        <v>1</v>
      </c>
      <c r="AP423" s="30" t="b">
        <v>1</v>
      </c>
      <c r="AQ423" s="30" t="b">
        <v>1</v>
      </c>
      <c r="AR423" s="30" t="b">
        <v>1</v>
      </c>
      <c r="AS423" s="30" t="b">
        <v>1</v>
      </c>
      <c r="AT423" s="30" t="b">
        <v>1</v>
      </c>
      <c r="AU423" s="30" t="b">
        <v>1</v>
      </c>
      <c r="AV423" s="30" t="b">
        <v>1</v>
      </c>
      <c r="AW423" s="30" t="b">
        <v>1</v>
      </c>
      <c r="AX423" s="30" t="b">
        <v>1</v>
      </c>
      <c r="AY423" s="30" t="b">
        <v>1</v>
      </c>
      <c r="AZ423" s="30" t="b">
        <v>1</v>
      </c>
      <c r="BA423" s="30" t="b">
        <v>1</v>
      </c>
      <c r="BB423" s="30" t="b">
        <v>1</v>
      </c>
      <c r="BC423" s="30" t="b">
        <v>1</v>
      </c>
      <c r="BD423" s="30" t="b">
        <v>1</v>
      </c>
      <c r="BE423" s="30" t="b">
        <v>1</v>
      </c>
      <c r="BF423" s="30" t="b">
        <v>1</v>
      </c>
      <c r="BG423" s="30" t="b">
        <v>1</v>
      </c>
      <c r="BH423" s="30" t="b">
        <v>1</v>
      </c>
      <c r="BI423" s="30" t="b">
        <v>1</v>
      </c>
      <c r="BJ423" s="30" t="b">
        <v>0</v>
      </c>
      <c r="BK423" s="30" t="b">
        <v>0</v>
      </c>
      <c r="BL423" s="30" t="b">
        <v>0</v>
      </c>
      <c r="BM423" s="30" t="b">
        <v>0</v>
      </c>
      <c r="BN423" s="30" t="b">
        <v>0</v>
      </c>
      <c r="BO423" s="30" t="b">
        <v>0</v>
      </c>
    </row>
    <row r="424">
      <c r="A424" s="31" t="str">
        <f>A423&amp;C424</f>
        <v>FebruarySANJAY BAGARTTI.KOT HOURS</v>
      </c>
      <c r="B424" s="32"/>
      <c r="C424" s="33" t="s">
        <v>169</v>
      </c>
      <c r="D424" s="17"/>
      <c r="E424" s="29">
        <f>SUM(F424:BO424)</f>
        <v>28.5</v>
      </c>
      <c r="F424" s="34"/>
      <c r="G424" s="17"/>
      <c r="H424" s="34"/>
      <c r="I424" s="17"/>
      <c r="J424" s="34"/>
      <c r="K424" s="17"/>
      <c r="L424" s="34"/>
      <c r="M424" s="17"/>
      <c r="N424" s="34"/>
      <c r="O424" s="17"/>
      <c r="P424" s="34">
        <v>3.0</v>
      </c>
      <c r="Q424" s="17"/>
      <c r="R424" s="34">
        <v>11.0</v>
      </c>
      <c r="S424" s="17"/>
      <c r="T424" s="34"/>
      <c r="U424" s="17"/>
      <c r="V424" s="34">
        <v>2.0</v>
      </c>
      <c r="W424" s="17"/>
      <c r="X424" s="34">
        <v>2.0</v>
      </c>
      <c r="Y424" s="17"/>
      <c r="Z424" s="34"/>
      <c r="AA424" s="17"/>
      <c r="AB424" s="34"/>
      <c r="AC424" s="17"/>
      <c r="AD424" s="34"/>
      <c r="AE424" s="17"/>
      <c r="AF424" s="34"/>
      <c r="AG424" s="17"/>
      <c r="AH424" s="34"/>
      <c r="AI424" s="17"/>
      <c r="AJ424" s="34"/>
      <c r="AK424" s="17"/>
      <c r="AL424" s="34">
        <v>2.0</v>
      </c>
      <c r="AM424" s="17"/>
      <c r="AN424" s="34">
        <v>5.0</v>
      </c>
      <c r="AO424" s="17"/>
      <c r="AP424" s="34"/>
      <c r="AQ424" s="17"/>
      <c r="AR424" s="34"/>
      <c r="AS424" s="17"/>
      <c r="AT424" s="34"/>
      <c r="AU424" s="17"/>
      <c r="AV424" s="34"/>
      <c r="AW424" s="17"/>
      <c r="AX424" s="34"/>
      <c r="AY424" s="17"/>
      <c r="AZ424" s="34"/>
      <c r="BA424" s="17"/>
      <c r="BB424" s="34">
        <v>2.0</v>
      </c>
      <c r="BC424" s="17"/>
      <c r="BD424" s="34"/>
      <c r="BE424" s="17"/>
      <c r="BF424" s="34"/>
      <c r="BG424" s="17"/>
      <c r="BH424" s="34">
        <v>1.5</v>
      </c>
      <c r="BI424" s="17"/>
      <c r="BJ424" s="34"/>
      <c r="BK424" s="17"/>
      <c r="BL424" s="34"/>
      <c r="BM424" s="17"/>
      <c r="BN424" s="34"/>
      <c r="BO424" s="17"/>
    </row>
    <row r="425">
      <c r="A425" s="26" t="str">
        <f>B425&amp;D425</f>
        <v>FebruaryAMMU.S</v>
      </c>
      <c r="B425" s="27" t="s">
        <v>52</v>
      </c>
      <c r="C425" s="27" t="s">
        <v>42</v>
      </c>
      <c r="D425" s="28" t="str">
        <f>IFERROR(VLOOKUP(C425,'Employees List'!$B$2:$E1424,4,0),"")</f>
        <v>AMMU.S</v>
      </c>
      <c r="E425" s="29">
        <f>COUNTIF(F425:BO425,TRUE)/2</f>
        <v>28</v>
      </c>
      <c r="F425" s="30" t="b">
        <v>1</v>
      </c>
      <c r="G425" s="30" t="b">
        <v>1</v>
      </c>
      <c r="H425" s="30" t="b">
        <v>1</v>
      </c>
      <c r="I425" s="30" t="b">
        <v>1</v>
      </c>
      <c r="J425" s="30" t="b">
        <v>1</v>
      </c>
      <c r="K425" s="30" t="b">
        <v>1</v>
      </c>
      <c r="L425" s="30" t="b">
        <v>1</v>
      </c>
      <c r="M425" s="30" t="b">
        <v>1</v>
      </c>
      <c r="N425" s="30" t="b">
        <v>1</v>
      </c>
      <c r="O425" s="30" t="b">
        <v>1</v>
      </c>
      <c r="P425" s="30" t="b">
        <v>1</v>
      </c>
      <c r="Q425" s="30" t="b">
        <v>1</v>
      </c>
      <c r="R425" s="30" t="b">
        <v>1</v>
      </c>
      <c r="S425" s="30" t="b">
        <v>1</v>
      </c>
      <c r="T425" s="30" t="b">
        <v>1</v>
      </c>
      <c r="U425" s="30" t="b">
        <v>1</v>
      </c>
      <c r="V425" s="30" t="b">
        <v>1</v>
      </c>
      <c r="W425" s="30" t="b">
        <v>1</v>
      </c>
      <c r="X425" s="30" t="b">
        <v>1</v>
      </c>
      <c r="Y425" s="30" t="b">
        <v>1</v>
      </c>
      <c r="Z425" s="30" t="b">
        <v>1</v>
      </c>
      <c r="AA425" s="30" t="b">
        <v>1</v>
      </c>
      <c r="AB425" s="30" t="b">
        <v>1</v>
      </c>
      <c r="AC425" s="30" t="b">
        <v>1</v>
      </c>
      <c r="AD425" s="30" t="b">
        <v>1</v>
      </c>
      <c r="AE425" s="30" t="b">
        <v>1</v>
      </c>
      <c r="AF425" s="30" t="b">
        <v>1</v>
      </c>
      <c r="AG425" s="30" t="b">
        <v>1</v>
      </c>
      <c r="AH425" s="30" t="b">
        <v>1</v>
      </c>
      <c r="AI425" s="30" t="b">
        <v>1</v>
      </c>
      <c r="AJ425" s="30" t="b">
        <v>1</v>
      </c>
      <c r="AK425" s="30" t="b">
        <v>1</v>
      </c>
      <c r="AL425" s="30" t="b">
        <v>1</v>
      </c>
      <c r="AM425" s="30" t="b">
        <v>1</v>
      </c>
      <c r="AN425" s="30" t="b">
        <v>1</v>
      </c>
      <c r="AO425" s="30" t="b">
        <v>1</v>
      </c>
      <c r="AP425" s="30" t="b">
        <v>1</v>
      </c>
      <c r="AQ425" s="30" t="b">
        <v>1</v>
      </c>
      <c r="AR425" s="30" t="b">
        <v>1</v>
      </c>
      <c r="AS425" s="30" t="b">
        <v>1</v>
      </c>
      <c r="AT425" s="30" t="b">
        <v>1</v>
      </c>
      <c r="AU425" s="30" t="b">
        <v>1</v>
      </c>
      <c r="AV425" s="30" t="b">
        <v>1</v>
      </c>
      <c r="AW425" s="30" t="b">
        <v>1</v>
      </c>
      <c r="AX425" s="30" t="b">
        <v>1</v>
      </c>
      <c r="AY425" s="30" t="b">
        <v>1</v>
      </c>
      <c r="AZ425" s="30" t="b">
        <v>1</v>
      </c>
      <c r="BA425" s="30" t="b">
        <v>1</v>
      </c>
      <c r="BB425" s="30" t="b">
        <v>1</v>
      </c>
      <c r="BC425" s="30" t="b">
        <v>1</v>
      </c>
      <c r="BD425" s="30" t="b">
        <v>1</v>
      </c>
      <c r="BE425" s="30" t="b">
        <v>1</v>
      </c>
      <c r="BF425" s="30" t="b">
        <v>1</v>
      </c>
      <c r="BG425" s="30" t="b">
        <v>1</v>
      </c>
      <c r="BH425" s="30" t="b">
        <v>1</v>
      </c>
      <c r="BI425" s="30" t="b">
        <v>1</v>
      </c>
      <c r="BJ425" s="30" t="b">
        <v>0</v>
      </c>
      <c r="BK425" s="30" t="b">
        <v>0</v>
      </c>
      <c r="BL425" s="30" t="b">
        <v>0</v>
      </c>
      <c r="BM425" s="30" t="b">
        <v>0</v>
      </c>
      <c r="BN425" s="30" t="b">
        <v>0</v>
      </c>
      <c r="BO425" s="30" t="b">
        <v>0</v>
      </c>
    </row>
    <row r="426">
      <c r="A426" s="31" t="str">
        <f>A425&amp;C426</f>
        <v>FebruaryAMMU.SOT HOURS</v>
      </c>
      <c r="B426" s="32"/>
      <c r="C426" s="33" t="s">
        <v>169</v>
      </c>
      <c r="D426" s="17"/>
      <c r="E426" s="29">
        <f>SUM(F426:BO426)</f>
        <v>2</v>
      </c>
      <c r="F426" s="34"/>
      <c r="G426" s="17"/>
      <c r="H426" s="34"/>
      <c r="I426" s="17"/>
      <c r="J426" s="34"/>
      <c r="K426" s="17"/>
      <c r="L426" s="34"/>
      <c r="M426" s="17"/>
      <c r="N426" s="34"/>
      <c r="O426" s="17"/>
      <c r="P426" s="34"/>
      <c r="Q426" s="17"/>
      <c r="R426" s="34"/>
      <c r="S426" s="17"/>
      <c r="T426" s="34"/>
      <c r="U426" s="17"/>
      <c r="V426" s="34"/>
      <c r="W426" s="17"/>
      <c r="X426" s="34"/>
      <c r="Y426" s="17"/>
      <c r="Z426" s="34"/>
      <c r="AA426" s="17"/>
      <c r="AB426" s="34"/>
      <c r="AC426" s="17"/>
      <c r="AD426" s="34"/>
      <c r="AE426" s="17"/>
      <c r="AF426" s="34"/>
      <c r="AG426" s="17"/>
      <c r="AH426" s="34"/>
      <c r="AI426" s="17"/>
      <c r="AJ426" s="34"/>
      <c r="AK426" s="17"/>
      <c r="AL426" s="34"/>
      <c r="AM426" s="17"/>
      <c r="AN426" s="34"/>
      <c r="AO426" s="17"/>
      <c r="AP426" s="34"/>
      <c r="AQ426" s="17"/>
      <c r="AR426" s="34"/>
      <c r="AS426" s="17"/>
      <c r="AT426" s="34"/>
      <c r="AU426" s="17"/>
      <c r="AV426" s="34"/>
      <c r="AW426" s="17"/>
      <c r="AX426" s="34"/>
      <c r="AY426" s="17"/>
      <c r="AZ426" s="34"/>
      <c r="BA426" s="17"/>
      <c r="BB426" s="34">
        <v>2.0</v>
      </c>
      <c r="BC426" s="17"/>
      <c r="BD426" s="34"/>
      <c r="BE426" s="17"/>
      <c r="BF426" s="34"/>
      <c r="BG426" s="17"/>
      <c r="BH426" s="34"/>
      <c r="BI426" s="17"/>
      <c r="BJ426" s="34"/>
      <c r="BK426" s="17"/>
      <c r="BL426" s="34"/>
      <c r="BM426" s="17"/>
      <c r="BN426" s="34"/>
      <c r="BO426" s="17"/>
    </row>
    <row r="427">
      <c r="A427" s="26" t="str">
        <f>B427&amp;D427</f>
        <v>FebruaryREVATHI.S</v>
      </c>
      <c r="B427" s="27" t="s">
        <v>52</v>
      </c>
      <c r="C427" s="27" t="s">
        <v>46</v>
      </c>
      <c r="D427" s="28" t="str">
        <f>IFERROR(VLOOKUP(C427,'Employees List'!$B$2:$E1424,4,0),"")</f>
        <v>REVATHI.S</v>
      </c>
      <c r="E427" s="29">
        <f>COUNTIF(F427:BO427,TRUE)/2</f>
        <v>25</v>
      </c>
      <c r="F427" s="30" t="b">
        <v>1</v>
      </c>
      <c r="G427" s="30" t="b">
        <v>1</v>
      </c>
      <c r="H427" s="30" t="b">
        <v>1</v>
      </c>
      <c r="I427" s="30" t="b">
        <v>1</v>
      </c>
      <c r="J427" s="30" t="b">
        <v>1</v>
      </c>
      <c r="K427" s="30" t="b">
        <v>1</v>
      </c>
      <c r="L427" s="30" t="b">
        <v>1</v>
      </c>
      <c r="M427" s="30" t="b">
        <v>1</v>
      </c>
      <c r="N427" s="30" t="b">
        <v>1</v>
      </c>
      <c r="O427" s="30" t="b">
        <v>1</v>
      </c>
      <c r="P427" s="30" t="b">
        <v>1</v>
      </c>
      <c r="Q427" s="30" t="b">
        <v>1</v>
      </c>
      <c r="R427" s="30" t="b">
        <v>1</v>
      </c>
      <c r="S427" s="30" t="b">
        <v>1</v>
      </c>
      <c r="T427" s="30" t="b">
        <v>1</v>
      </c>
      <c r="U427" s="30" t="b">
        <v>1</v>
      </c>
      <c r="V427" s="30" t="b">
        <v>1</v>
      </c>
      <c r="W427" s="30" t="b">
        <v>1</v>
      </c>
      <c r="X427" s="30" t="b">
        <v>1</v>
      </c>
      <c r="Y427" s="30" t="b">
        <v>1</v>
      </c>
      <c r="Z427" s="30" t="b">
        <v>1</v>
      </c>
      <c r="AA427" s="30" t="b">
        <v>1</v>
      </c>
      <c r="AB427" s="30" t="b">
        <v>1</v>
      </c>
      <c r="AC427" s="30" t="b">
        <v>1</v>
      </c>
      <c r="AD427" s="30" t="b">
        <v>1</v>
      </c>
      <c r="AE427" s="30" t="b">
        <v>1</v>
      </c>
      <c r="AF427" s="30" t="b">
        <v>1</v>
      </c>
      <c r="AG427" s="30" t="b">
        <v>1</v>
      </c>
      <c r="AH427" s="30" t="b">
        <v>1</v>
      </c>
      <c r="AI427" s="30" t="b">
        <v>1</v>
      </c>
      <c r="AJ427" s="30" t="b">
        <v>1</v>
      </c>
      <c r="AK427" s="30" t="b">
        <v>1</v>
      </c>
      <c r="AL427" s="30" t="b">
        <v>1</v>
      </c>
      <c r="AM427" s="30" t="b">
        <v>1</v>
      </c>
      <c r="AN427" s="30" t="b">
        <v>1</v>
      </c>
      <c r="AO427" s="30" t="b">
        <v>1</v>
      </c>
      <c r="AP427" s="30" t="b">
        <v>1</v>
      </c>
      <c r="AQ427" s="30" t="b">
        <v>1</v>
      </c>
      <c r="AR427" s="30" t="b">
        <v>1</v>
      </c>
      <c r="AS427" s="30" t="b">
        <v>1</v>
      </c>
      <c r="AT427" s="30" t="b">
        <v>0</v>
      </c>
      <c r="AU427" s="30" t="b">
        <v>0</v>
      </c>
      <c r="AV427" s="30" t="b">
        <v>1</v>
      </c>
      <c r="AW427" s="30" t="b">
        <v>1</v>
      </c>
      <c r="AX427" s="30" t="b">
        <v>0</v>
      </c>
      <c r="AY427" s="30" t="b">
        <v>0</v>
      </c>
      <c r="AZ427" s="30" t="b">
        <v>0</v>
      </c>
      <c r="BA427" s="30" t="b">
        <v>0</v>
      </c>
      <c r="BB427" s="30" t="b">
        <v>1</v>
      </c>
      <c r="BC427" s="30" t="b">
        <v>1</v>
      </c>
      <c r="BD427" s="30" t="b">
        <v>1</v>
      </c>
      <c r="BE427" s="30" t="b">
        <v>1</v>
      </c>
      <c r="BF427" s="30" t="b">
        <v>1</v>
      </c>
      <c r="BG427" s="30" t="b">
        <v>1</v>
      </c>
      <c r="BH427" s="30" t="b">
        <v>1</v>
      </c>
      <c r="BI427" s="30" t="b">
        <v>1</v>
      </c>
      <c r="BJ427" s="30" t="b">
        <v>0</v>
      </c>
      <c r="BK427" s="30" t="b">
        <v>0</v>
      </c>
      <c r="BL427" s="30" t="b">
        <v>0</v>
      </c>
      <c r="BM427" s="30" t="b">
        <v>0</v>
      </c>
      <c r="BN427" s="30" t="b">
        <v>0</v>
      </c>
      <c r="BO427" s="30" t="b">
        <v>0</v>
      </c>
    </row>
    <row r="428">
      <c r="A428" s="31" t="str">
        <f>A427&amp;C428</f>
        <v>FebruaryREVATHI.SOT HOURS</v>
      </c>
      <c r="B428" s="32"/>
      <c r="C428" s="33" t="s">
        <v>169</v>
      </c>
      <c r="D428" s="17"/>
      <c r="E428" s="29">
        <f>SUM(F428:BO428)</f>
        <v>2</v>
      </c>
      <c r="F428" s="34"/>
      <c r="G428" s="17"/>
      <c r="H428" s="34"/>
      <c r="I428" s="17"/>
      <c r="J428" s="34"/>
      <c r="K428" s="17"/>
      <c r="L428" s="34"/>
      <c r="M428" s="17"/>
      <c r="N428" s="34"/>
      <c r="O428" s="17"/>
      <c r="P428" s="34"/>
      <c r="Q428" s="17"/>
      <c r="R428" s="34"/>
      <c r="S428" s="17"/>
      <c r="T428" s="34"/>
      <c r="U428" s="17"/>
      <c r="V428" s="34"/>
      <c r="W428" s="17"/>
      <c r="X428" s="34"/>
      <c r="Y428" s="17"/>
      <c r="Z428" s="34"/>
      <c r="AA428" s="17"/>
      <c r="AB428" s="34"/>
      <c r="AC428" s="17"/>
      <c r="AD428" s="34"/>
      <c r="AE428" s="17"/>
      <c r="AF428" s="34"/>
      <c r="AG428" s="17"/>
      <c r="AH428" s="34"/>
      <c r="AI428" s="17"/>
      <c r="AJ428" s="34"/>
      <c r="AK428" s="17"/>
      <c r="AL428" s="34"/>
      <c r="AM428" s="17"/>
      <c r="AN428" s="34"/>
      <c r="AO428" s="17"/>
      <c r="AP428" s="34"/>
      <c r="AQ428" s="17"/>
      <c r="AR428" s="34"/>
      <c r="AS428" s="17"/>
      <c r="AT428" s="34"/>
      <c r="AU428" s="17"/>
      <c r="AV428" s="34"/>
      <c r="AW428" s="17"/>
      <c r="AX428" s="34"/>
      <c r="AY428" s="17"/>
      <c r="AZ428" s="34"/>
      <c r="BA428" s="17"/>
      <c r="BB428" s="34">
        <v>2.0</v>
      </c>
      <c r="BC428" s="17"/>
      <c r="BD428" s="34"/>
      <c r="BE428" s="17"/>
      <c r="BF428" s="34"/>
      <c r="BG428" s="17"/>
      <c r="BH428" s="34"/>
      <c r="BI428" s="17"/>
      <c r="BJ428" s="34"/>
      <c r="BK428" s="17"/>
      <c r="BL428" s="34"/>
      <c r="BM428" s="17"/>
      <c r="BN428" s="34"/>
      <c r="BO428" s="17"/>
    </row>
    <row r="429">
      <c r="A429" s="26" t="str">
        <f>B429&amp;D429</f>
        <v>FebruaryLEELAVATHI.M</v>
      </c>
      <c r="B429" s="27" t="s">
        <v>52</v>
      </c>
      <c r="C429" s="27" t="s">
        <v>74</v>
      </c>
      <c r="D429" s="28" t="str">
        <f>IFERROR(VLOOKUP(C429,'Employees List'!$B$2:$E1424,4,0),"")</f>
        <v>LEELAVATHI.M</v>
      </c>
      <c r="E429" s="29">
        <f>COUNTIF(F429:BO429,TRUE)/2</f>
        <v>28</v>
      </c>
      <c r="F429" s="30" t="b">
        <v>1</v>
      </c>
      <c r="G429" s="30" t="b">
        <v>1</v>
      </c>
      <c r="H429" s="30" t="b">
        <v>1</v>
      </c>
      <c r="I429" s="30" t="b">
        <v>1</v>
      </c>
      <c r="J429" s="30" t="b">
        <v>1</v>
      </c>
      <c r="K429" s="30" t="b">
        <v>1</v>
      </c>
      <c r="L429" s="30" t="b">
        <v>1</v>
      </c>
      <c r="M429" s="30" t="b">
        <v>1</v>
      </c>
      <c r="N429" s="30" t="b">
        <v>1</v>
      </c>
      <c r="O429" s="30" t="b">
        <v>1</v>
      </c>
      <c r="P429" s="30" t="b">
        <v>1</v>
      </c>
      <c r="Q429" s="30" t="b">
        <v>1</v>
      </c>
      <c r="R429" s="30" t="b">
        <v>1</v>
      </c>
      <c r="S429" s="30" t="b">
        <v>1</v>
      </c>
      <c r="T429" s="30" t="b">
        <v>1</v>
      </c>
      <c r="U429" s="30" t="b">
        <v>1</v>
      </c>
      <c r="V429" s="30" t="b">
        <v>1</v>
      </c>
      <c r="W429" s="30" t="b">
        <v>1</v>
      </c>
      <c r="X429" s="30" t="b">
        <v>1</v>
      </c>
      <c r="Y429" s="30" t="b">
        <v>1</v>
      </c>
      <c r="Z429" s="30" t="b">
        <v>1</v>
      </c>
      <c r="AA429" s="30" t="b">
        <v>1</v>
      </c>
      <c r="AB429" s="30" t="b">
        <v>1</v>
      </c>
      <c r="AC429" s="30" t="b">
        <v>1</v>
      </c>
      <c r="AD429" s="30" t="b">
        <v>1</v>
      </c>
      <c r="AE429" s="30" t="b">
        <v>1</v>
      </c>
      <c r="AF429" s="30" t="b">
        <v>1</v>
      </c>
      <c r="AG429" s="30" t="b">
        <v>1</v>
      </c>
      <c r="AH429" s="30" t="b">
        <v>1</v>
      </c>
      <c r="AI429" s="30" t="b">
        <v>1</v>
      </c>
      <c r="AJ429" s="30" t="b">
        <v>1</v>
      </c>
      <c r="AK429" s="30" t="b">
        <v>1</v>
      </c>
      <c r="AL429" s="30" t="b">
        <v>1</v>
      </c>
      <c r="AM429" s="30" t="b">
        <v>1</v>
      </c>
      <c r="AN429" s="30" t="b">
        <v>1</v>
      </c>
      <c r="AO429" s="30" t="b">
        <v>1</v>
      </c>
      <c r="AP429" s="30" t="b">
        <v>1</v>
      </c>
      <c r="AQ429" s="30" t="b">
        <v>1</v>
      </c>
      <c r="AR429" s="30" t="b">
        <v>1</v>
      </c>
      <c r="AS429" s="30" t="b">
        <v>1</v>
      </c>
      <c r="AT429" s="30" t="b">
        <v>1</v>
      </c>
      <c r="AU429" s="30" t="b">
        <v>1</v>
      </c>
      <c r="AV429" s="30" t="b">
        <v>1</v>
      </c>
      <c r="AW429" s="30" t="b">
        <v>1</v>
      </c>
      <c r="AX429" s="30" t="b">
        <v>1</v>
      </c>
      <c r="AY429" s="30" t="b">
        <v>1</v>
      </c>
      <c r="AZ429" s="30" t="b">
        <v>1</v>
      </c>
      <c r="BA429" s="30" t="b">
        <v>1</v>
      </c>
      <c r="BB429" s="30" t="b">
        <v>1</v>
      </c>
      <c r="BC429" s="30" t="b">
        <v>1</v>
      </c>
      <c r="BD429" s="30" t="b">
        <v>1</v>
      </c>
      <c r="BE429" s="30" t="b">
        <v>1</v>
      </c>
      <c r="BF429" s="30" t="b">
        <v>1</v>
      </c>
      <c r="BG429" s="30" t="b">
        <v>1</v>
      </c>
      <c r="BH429" s="30" t="b">
        <v>1</v>
      </c>
      <c r="BI429" s="30" t="b">
        <v>1</v>
      </c>
      <c r="BJ429" s="30" t="b">
        <v>0</v>
      </c>
      <c r="BK429" s="30" t="b">
        <v>0</v>
      </c>
      <c r="BL429" s="30" t="b">
        <v>0</v>
      </c>
      <c r="BM429" s="30" t="b">
        <v>0</v>
      </c>
      <c r="BN429" s="30" t="b">
        <v>0</v>
      </c>
      <c r="BO429" s="30" t="b">
        <v>0</v>
      </c>
    </row>
    <row r="430">
      <c r="A430" s="31" t="str">
        <f>A429&amp;C430</f>
        <v>FebruaryLEELAVATHI.MOT HOURS</v>
      </c>
      <c r="B430" s="32"/>
      <c r="C430" s="33" t="s">
        <v>169</v>
      </c>
      <c r="D430" s="17"/>
      <c r="E430" s="29">
        <f>SUM(F430:BO430)</f>
        <v>4.5</v>
      </c>
      <c r="F430" s="34"/>
      <c r="G430" s="17"/>
      <c r="H430" s="34"/>
      <c r="I430" s="17"/>
      <c r="J430" s="34"/>
      <c r="K430" s="17"/>
      <c r="L430" s="34"/>
      <c r="M430" s="17"/>
      <c r="N430" s="34"/>
      <c r="O430" s="17"/>
      <c r="P430" s="34"/>
      <c r="Q430" s="17"/>
      <c r="R430" s="34"/>
      <c r="S430" s="17"/>
      <c r="T430" s="34"/>
      <c r="U430" s="17"/>
      <c r="V430" s="34">
        <v>1.5</v>
      </c>
      <c r="W430" s="17"/>
      <c r="X430" s="34">
        <v>1.5</v>
      </c>
      <c r="Y430" s="17"/>
      <c r="Z430" s="34"/>
      <c r="AA430" s="17"/>
      <c r="AB430" s="34"/>
      <c r="AC430" s="17"/>
      <c r="AD430" s="34"/>
      <c r="AE430" s="17"/>
      <c r="AF430" s="34"/>
      <c r="AG430" s="17"/>
      <c r="AH430" s="34"/>
      <c r="AI430" s="17"/>
      <c r="AJ430" s="34"/>
      <c r="AK430" s="17"/>
      <c r="AL430" s="34"/>
      <c r="AM430" s="17"/>
      <c r="AN430" s="34"/>
      <c r="AO430" s="17"/>
      <c r="AP430" s="34"/>
      <c r="AQ430" s="17"/>
      <c r="AR430" s="34"/>
      <c r="AS430" s="17"/>
      <c r="AT430" s="34"/>
      <c r="AU430" s="17"/>
      <c r="AV430" s="34"/>
      <c r="AW430" s="17"/>
      <c r="AX430" s="34"/>
      <c r="AY430" s="17"/>
      <c r="AZ430" s="34"/>
      <c r="BA430" s="17"/>
      <c r="BB430" s="34">
        <v>1.5</v>
      </c>
      <c r="BC430" s="17"/>
      <c r="BD430" s="34"/>
      <c r="BE430" s="17"/>
      <c r="BF430" s="34"/>
      <c r="BG430" s="17"/>
      <c r="BH430" s="34"/>
      <c r="BI430" s="17"/>
      <c r="BJ430" s="34"/>
      <c r="BK430" s="17"/>
      <c r="BL430" s="34"/>
      <c r="BM430" s="17"/>
      <c r="BN430" s="34"/>
      <c r="BO430" s="17"/>
    </row>
    <row r="431">
      <c r="A431" s="26" t="str">
        <f>B431&amp;D431</f>
        <v>FebruaryNILAMANI KISAN.B</v>
      </c>
      <c r="B431" s="27" t="s">
        <v>52</v>
      </c>
      <c r="C431" s="27" t="s">
        <v>92</v>
      </c>
      <c r="D431" s="28" t="str">
        <f>IFERROR(VLOOKUP(C431,'Employees List'!$B$2:$E1424,4,0),"")</f>
        <v>NILAMANI KISAN.B</v>
      </c>
      <c r="E431" s="29">
        <f>COUNTIF(F431:BO431,TRUE)/2</f>
        <v>0</v>
      </c>
      <c r="F431" s="30" t="b">
        <v>0</v>
      </c>
      <c r="G431" s="30" t="b">
        <v>0</v>
      </c>
      <c r="H431" s="30" t="b">
        <v>0</v>
      </c>
      <c r="I431" s="30" t="b">
        <v>0</v>
      </c>
      <c r="J431" s="30" t="b">
        <v>0</v>
      </c>
      <c r="K431" s="30" t="b">
        <v>0</v>
      </c>
      <c r="L431" s="30" t="b">
        <v>0</v>
      </c>
      <c r="M431" s="30" t="b">
        <v>0</v>
      </c>
      <c r="N431" s="30" t="b">
        <v>0</v>
      </c>
      <c r="O431" s="30" t="b">
        <v>0</v>
      </c>
      <c r="P431" s="30" t="b">
        <v>0</v>
      </c>
      <c r="Q431" s="30" t="b">
        <v>0</v>
      </c>
      <c r="R431" s="30" t="b">
        <v>0</v>
      </c>
      <c r="S431" s="30" t="b">
        <v>0</v>
      </c>
      <c r="T431" s="30" t="b">
        <v>0</v>
      </c>
      <c r="U431" s="30" t="b">
        <v>0</v>
      </c>
      <c r="V431" s="30" t="b">
        <v>0</v>
      </c>
      <c r="W431" s="30" t="b">
        <v>0</v>
      </c>
      <c r="X431" s="30" t="b">
        <v>0</v>
      </c>
      <c r="Y431" s="30" t="b">
        <v>0</v>
      </c>
      <c r="Z431" s="30" t="b">
        <v>0</v>
      </c>
      <c r="AA431" s="30" t="b">
        <v>0</v>
      </c>
      <c r="AB431" s="30" t="b">
        <v>0</v>
      </c>
      <c r="AC431" s="30" t="b">
        <v>0</v>
      </c>
      <c r="AD431" s="30" t="b">
        <v>0</v>
      </c>
      <c r="AE431" s="30" t="b">
        <v>0</v>
      </c>
      <c r="AF431" s="30" t="b">
        <v>0</v>
      </c>
      <c r="AG431" s="30" t="b">
        <v>0</v>
      </c>
      <c r="AH431" s="30" t="b">
        <v>0</v>
      </c>
      <c r="AI431" s="30" t="b">
        <v>0</v>
      </c>
      <c r="AJ431" s="30" t="b">
        <v>0</v>
      </c>
      <c r="AK431" s="30" t="b">
        <v>0</v>
      </c>
      <c r="AL431" s="30" t="b">
        <v>0</v>
      </c>
      <c r="AM431" s="30" t="b">
        <v>0</v>
      </c>
      <c r="AN431" s="30" t="b">
        <v>0</v>
      </c>
      <c r="AO431" s="30" t="b">
        <v>0</v>
      </c>
      <c r="AP431" s="30" t="b">
        <v>0</v>
      </c>
      <c r="AQ431" s="30" t="b">
        <v>0</v>
      </c>
      <c r="AR431" s="30" t="b">
        <v>0</v>
      </c>
      <c r="AS431" s="30" t="b">
        <v>0</v>
      </c>
      <c r="AT431" s="30" t="b">
        <v>0</v>
      </c>
      <c r="AU431" s="30" t="b">
        <v>0</v>
      </c>
      <c r="AV431" s="30" t="b">
        <v>0</v>
      </c>
      <c r="AW431" s="30" t="b">
        <v>0</v>
      </c>
      <c r="AX431" s="30" t="b">
        <v>0</v>
      </c>
      <c r="AY431" s="30" t="b">
        <v>0</v>
      </c>
      <c r="AZ431" s="30" t="b">
        <v>0</v>
      </c>
      <c r="BA431" s="30" t="b">
        <v>0</v>
      </c>
      <c r="BB431" s="30" t="b">
        <v>0</v>
      </c>
      <c r="BC431" s="30" t="b">
        <v>0</v>
      </c>
      <c r="BD431" s="30" t="b">
        <v>0</v>
      </c>
      <c r="BE431" s="30" t="b">
        <v>0</v>
      </c>
      <c r="BF431" s="30" t="b">
        <v>0</v>
      </c>
      <c r="BG431" s="30" t="b">
        <v>0</v>
      </c>
      <c r="BH431" s="30" t="b">
        <v>0</v>
      </c>
      <c r="BI431" s="30" t="b">
        <v>0</v>
      </c>
      <c r="BJ431" s="30" t="b">
        <v>0</v>
      </c>
      <c r="BK431" s="30" t="b">
        <v>0</v>
      </c>
      <c r="BL431" s="30" t="b">
        <v>0</v>
      </c>
      <c r="BM431" s="30" t="b">
        <v>0</v>
      </c>
      <c r="BN431" s="30" t="b">
        <v>0</v>
      </c>
      <c r="BO431" s="30" t="b">
        <v>0</v>
      </c>
    </row>
    <row r="432">
      <c r="A432" s="31" t="str">
        <f>A431&amp;C432</f>
        <v>FebruaryNILAMANI KISAN.BOT HOURS</v>
      </c>
      <c r="B432" s="32"/>
      <c r="C432" s="33" t="s">
        <v>169</v>
      </c>
      <c r="D432" s="17"/>
      <c r="E432" s="29">
        <f>SUM(F432:BO432)</f>
        <v>0</v>
      </c>
      <c r="F432" s="34"/>
      <c r="G432" s="17"/>
      <c r="H432" s="34"/>
      <c r="I432" s="17"/>
      <c r="J432" s="34"/>
      <c r="K432" s="17"/>
      <c r="L432" s="34"/>
      <c r="M432" s="17"/>
      <c r="N432" s="34"/>
      <c r="O432" s="17"/>
      <c r="P432" s="34"/>
      <c r="Q432" s="17"/>
      <c r="R432" s="34"/>
      <c r="S432" s="17"/>
      <c r="T432" s="34"/>
      <c r="U432" s="17"/>
      <c r="V432" s="34"/>
      <c r="W432" s="17"/>
      <c r="X432" s="34"/>
      <c r="Y432" s="17"/>
      <c r="Z432" s="34"/>
      <c r="AA432" s="17"/>
      <c r="AB432" s="34"/>
      <c r="AC432" s="17"/>
      <c r="AD432" s="34"/>
      <c r="AE432" s="17"/>
      <c r="AF432" s="34"/>
      <c r="AG432" s="17"/>
      <c r="AH432" s="34"/>
      <c r="AI432" s="17"/>
      <c r="AJ432" s="34"/>
      <c r="AK432" s="17"/>
      <c r="AL432" s="34"/>
      <c r="AM432" s="17"/>
      <c r="AN432" s="34"/>
      <c r="AO432" s="17"/>
      <c r="AP432" s="34"/>
      <c r="AQ432" s="17"/>
      <c r="AR432" s="34"/>
      <c r="AS432" s="17"/>
      <c r="AT432" s="34"/>
      <c r="AU432" s="17"/>
      <c r="AV432" s="34"/>
      <c r="AW432" s="17"/>
      <c r="AX432" s="34"/>
      <c r="AY432" s="17"/>
      <c r="AZ432" s="34"/>
      <c r="BA432" s="17"/>
      <c r="BB432" s="34"/>
      <c r="BC432" s="17"/>
      <c r="BD432" s="34"/>
      <c r="BE432" s="17"/>
      <c r="BF432" s="34"/>
      <c r="BG432" s="17"/>
      <c r="BH432" s="34"/>
      <c r="BI432" s="17"/>
      <c r="BJ432" s="34"/>
      <c r="BK432" s="17"/>
      <c r="BL432" s="34"/>
      <c r="BM432" s="17"/>
      <c r="BN432" s="34"/>
      <c r="BO432" s="17"/>
    </row>
    <row r="433">
      <c r="A433" s="26" t="str">
        <f>B433&amp;D433</f>
        <v>FebruaryADHIKARI BALIA.A</v>
      </c>
      <c r="B433" s="27" t="s">
        <v>52</v>
      </c>
      <c r="C433" s="27" t="s">
        <v>26</v>
      </c>
      <c r="D433" s="28" t="str">
        <f>IFERROR(VLOOKUP(C433,'Employees List'!$B$2:$E1424,4,0),"")</f>
        <v>ADHIKARI BALIA.A</v>
      </c>
      <c r="E433" s="29">
        <f>COUNTIF(F433:BO433,TRUE)/2</f>
        <v>28</v>
      </c>
      <c r="F433" s="30" t="b">
        <v>1</v>
      </c>
      <c r="G433" s="30" t="b">
        <v>1</v>
      </c>
      <c r="H433" s="30" t="b">
        <v>1</v>
      </c>
      <c r="I433" s="30" t="b">
        <v>1</v>
      </c>
      <c r="J433" s="30" t="b">
        <v>1</v>
      </c>
      <c r="K433" s="30" t="b">
        <v>1</v>
      </c>
      <c r="L433" s="30" t="b">
        <v>1</v>
      </c>
      <c r="M433" s="30" t="b">
        <v>1</v>
      </c>
      <c r="N433" s="30" t="b">
        <v>1</v>
      </c>
      <c r="O433" s="30" t="b">
        <v>1</v>
      </c>
      <c r="P433" s="30" t="b">
        <v>1</v>
      </c>
      <c r="Q433" s="30" t="b">
        <v>1</v>
      </c>
      <c r="R433" s="30" t="b">
        <v>1</v>
      </c>
      <c r="S433" s="30" t="b">
        <v>1</v>
      </c>
      <c r="T433" s="30" t="b">
        <v>1</v>
      </c>
      <c r="U433" s="30" t="b">
        <v>1</v>
      </c>
      <c r="V433" s="30" t="b">
        <v>1</v>
      </c>
      <c r="W433" s="30" t="b">
        <v>1</v>
      </c>
      <c r="X433" s="30" t="b">
        <v>1</v>
      </c>
      <c r="Y433" s="30" t="b">
        <v>1</v>
      </c>
      <c r="Z433" s="30" t="b">
        <v>1</v>
      </c>
      <c r="AA433" s="30" t="b">
        <v>1</v>
      </c>
      <c r="AB433" s="30" t="b">
        <v>1</v>
      </c>
      <c r="AC433" s="30" t="b">
        <v>1</v>
      </c>
      <c r="AD433" s="30" t="b">
        <v>1</v>
      </c>
      <c r="AE433" s="30" t="b">
        <v>1</v>
      </c>
      <c r="AF433" s="30" t="b">
        <v>1</v>
      </c>
      <c r="AG433" s="30" t="b">
        <v>1</v>
      </c>
      <c r="AH433" s="30" t="b">
        <v>1</v>
      </c>
      <c r="AI433" s="30" t="b">
        <v>1</v>
      </c>
      <c r="AJ433" s="30" t="b">
        <v>1</v>
      </c>
      <c r="AK433" s="30" t="b">
        <v>1</v>
      </c>
      <c r="AL433" s="30" t="b">
        <v>1</v>
      </c>
      <c r="AM433" s="30" t="b">
        <v>1</v>
      </c>
      <c r="AN433" s="30" t="b">
        <v>1</v>
      </c>
      <c r="AO433" s="30" t="b">
        <v>1</v>
      </c>
      <c r="AP433" s="30" t="b">
        <v>1</v>
      </c>
      <c r="AQ433" s="30" t="b">
        <v>1</v>
      </c>
      <c r="AR433" s="30" t="b">
        <v>1</v>
      </c>
      <c r="AS433" s="30" t="b">
        <v>1</v>
      </c>
      <c r="AT433" s="30" t="b">
        <v>1</v>
      </c>
      <c r="AU433" s="30" t="b">
        <v>1</v>
      </c>
      <c r="AV433" s="30" t="b">
        <v>1</v>
      </c>
      <c r="AW433" s="30" t="b">
        <v>1</v>
      </c>
      <c r="AX433" s="30" t="b">
        <v>1</v>
      </c>
      <c r="AY433" s="30" t="b">
        <v>1</v>
      </c>
      <c r="AZ433" s="30" t="b">
        <v>1</v>
      </c>
      <c r="BA433" s="30" t="b">
        <v>1</v>
      </c>
      <c r="BB433" s="30" t="b">
        <v>1</v>
      </c>
      <c r="BC433" s="30" t="b">
        <v>1</v>
      </c>
      <c r="BD433" s="30" t="b">
        <v>1</v>
      </c>
      <c r="BE433" s="30" t="b">
        <v>1</v>
      </c>
      <c r="BF433" s="30" t="b">
        <v>1</v>
      </c>
      <c r="BG433" s="30" t="b">
        <v>1</v>
      </c>
      <c r="BH433" s="30" t="b">
        <v>1</v>
      </c>
      <c r="BI433" s="30" t="b">
        <v>1</v>
      </c>
      <c r="BJ433" s="30" t="b">
        <v>0</v>
      </c>
      <c r="BK433" s="30" t="b">
        <v>0</v>
      </c>
      <c r="BL433" s="30" t="b">
        <v>0</v>
      </c>
      <c r="BM433" s="30" t="b">
        <v>0</v>
      </c>
      <c r="BN433" s="30" t="b">
        <v>0</v>
      </c>
      <c r="BO433" s="30" t="b">
        <v>0</v>
      </c>
    </row>
    <row r="434">
      <c r="A434" s="31" t="str">
        <f>A433&amp;C434</f>
        <v>FebruaryADHIKARI BALIA.AOT HOURS</v>
      </c>
      <c r="B434" s="32"/>
      <c r="C434" s="33" t="s">
        <v>169</v>
      </c>
      <c r="D434" s="17"/>
      <c r="E434" s="29">
        <f>SUM(F434:BO434)</f>
        <v>64.5</v>
      </c>
      <c r="F434" s="34"/>
      <c r="G434" s="17"/>
      <c r="H434" s="34"/>
      <c r="I434" s="17"/>
      <c r="J434" s="34">
        <v>2.0</v>
      </c>
      <c r="K434" s="17"/>
      <c r="L434" s="34">
        <v>2.0</v>
      </c>
      <c r="M434" s="17"/>
      <c r="N434" s="34">
        <v>2.0</v>
      </c>
      <c r="O434" s="17"/>
      <c r="P434" s="34"/>
      <c r="Q434" s="17"/>
      <c r="R434" s="34">
        <v>11.0</v>
      </c>
      <c r="S434" s="17"/>
      <c r="T434" s="34"/>
      <c r="U434" s="17"/>
      <c r="V434" s="34">
        <v>3.0</v>
      </c>
      <c r="W434" s="17"/>
      <c r="X434" s="34">
        <v>2.0</v>
      </c>
      <c r="Y434" s="17"/>
      <c r="Z434" s="34">
        <v>1.5</v>
      </c>
      <c r="AA434" s="17"/>
      <c r="AB434" s="34">
        <v>3.0</v>
      </c>
      <c r="AC434" s="17"/>
      <c r="AD434" s="34">
        <v>3.0</v>
      </c>
      <c r="AE434" s="17"/>
      <c r="AF434" s="34">
        <v>3.0</v>
      </c>
      <c r="AG434" s="17"/>
      <c r="AH434" s="34">
        <v>3.0</v>
      </c>
      <c r="AI434" s="17"/>
      <c r="AJ434" s="34"/>
      <c r="AK434" s="17"/>
      <c r="AL434" s="34">
        <v>3.0</v>
      </c>
      <c r="AM434" s="17"/>
      <c r="AN434" s="34">
        <v>2.0</v>
      </c>
      <c r="AO434" s="17"/>
      <c r="AP434" s="34"/>
      <c r="AQ434" s="17"/>
      <c r="AR434" s="34">
        <v>3.0</v>
      </c>
      <c r="AS434" s="17"/>
      <c r="AT434" s="34">
        <v>3.0</v>
      </c>
      <c r="AU434" s="17"/>
      <c r="AV434" s="34"/>
      <c r="AW434" s="17"/>
      <c r="AX434" s="34">
        <v>2.0</v>
      </c>
      <c r="AY434" s="17"/>
      <c r="AZ434" s="34">
        <v>2.0</v>
      </c>
      <c r="BA434" s="17"/>
      <c r="BB434" s="34">
        <v>2.0</v>
      </c>
      <c r="BC434" s="17"/>
      <c r="BD434" s="34">
        <v>4.0</v>
      </c>
      <c r="BE434" s="17"/>
      <c r="BF434" s="34">
        <v>4.0</v>
      </c>
      <c r="BG434" s="17"/>
      <c r="BH434" s="34">
        <v>4.0</v>
      </c>
      <c r="BI434" s="17"/>
      <c r="BJ434" s="34"/>
      <c r="BK434" s="17"/>
      <c r="BL434" s="34"/>
      <c r="BM434" s="17"/>
      <c r="BN434" s="34"/>
      <c r="BO434" s="17"/>
    </row>
    <row r="435">
      <c r="A435" s="26" t="str">
        <f>B435&amp;D435</f>
        <v>FebruaryPARSHU BAGH</v>
      </c>
      <c r="B435" s="27" t="s">
        <v>52</v>
      </c>
      <c r="C435" s="27" t="s">
        <v>96</v>
      </c>
      <c r="D435" s="28" t="str">
        <f>IFERROR(VLOOKUP(C435,'Employees List'!$B$2:$E1424,4,0),"")</f>
        <v>PARSHU BAGH</v>
      </c>
      <c r="E435" s="29">
        <f>COUNTIF(F435:BO435,TRUE)/2</f>
        <v>24</v>
      </c>
      <c r="F435" s="30" t="b">
        <v>1</v>
      </c>
      <c r="G435" s="30" t="b">
        <v>1</v>
      </c>
      <c r="H435" s="30" t="b">
        <v>1</v>
      </c>
      <c r="I435" s="30" t="b">
        <v>1</v>
      </c>
      <c r="J435" s="30" t="b">
        <v>1</v>
      </c>
      <c r="K435" s="30" t="b">
        <v>1</v>
      </c>
      <c r="L435" s="30" t="b">
        <v>1</v>
      </c>
      <c r="M435" s="30" t="b">
        <v>1</v>
      </c>
      <c r="N435" s="30" t="b">
        <v>1</v>
      </c>
      <c r="O435" s="30" t="b">
        <v>1</v>
      </c>
      <c r="P435" s="30" t="b">
        <v>1</v>
      </c>
      <c r="Q435" s="30" t="b">
        <v>1</v>
      </c>
      <c r="R435" s="30" t="b">
        <v>1</v>
      </c>
      <c r="S435" s="30" t="b">
        <v>1</v>
      </c>
      <c r="T435" s="30" t="b">
        <v>1</v>
      </c>
      <c r="U435" s="30" t="b">
        <v>1</v>
      </c>
      <c r="V435" s="30" t="b">
        <v>1</v>
      </c>
      <c r="W435" s="30" t="b">
        <v>1</v>
      </c>
      <c r="X435" s="30" t="b">
        <v>1</v>
      </c>
      <c r="Y435" s="30" t="b">
        <v>1</v>
      </c>
      <c r="Z435" s="30" t="b">
        <v>1</v>
      </c>
      <c r="AA435" s="30" t="b">
        <v>1</v>
      </c>
      <c r="AB435" s="30" t="b">
        <v>1</v>
      </c>
      <c r="AC435" s="30" t="b">
        <v>1</v>
      </c>
      <c r="AD435" s="30" t="b">
        <v>1</v>
      </c>
      <c r="AE435" s="30" t="b">
        <v>1</v>
      </c>
      <c r="AF435" s="30" t="b">
        <v>1</v>
      </c>
      <c r="AG435" s="30" t="b">
        <v>1</v>
      </c>
      <c r="AH435" s="30" t="b">
        <v>1</v>
      </c>
      <c r="AI435" s="30" t="b">
        <v>1</v>
      </c>
      <c r="AJ435" s="30" t="b">
        <v>1</v>
      </c>
      <c r="AK435" s="30" t="b">
        <v>1</v>
      </c>
      <c r="AL435" s="30" t="b">
        <v>1</v>
      </c>
      <c r="AM435" s="30" t="b">
        <v>1</v>
      </c>
      <c r="AN435" s="30" t="b">
        <v>1</v>
      </c>
      <c r="AO435" s="30" t="b">
        <v>1</v>
      </c>
      <c r="AP435" s="30" t="b">
        <v>1</v>
      </c>
      <c r="AQ435" s="30" t="b">
        <v>1</v>
      </c>
      <c r="AR435" s="30" t="b">
        <v>1</v>
      </c>
      <c r="AS435" s="30" t="b">
        <v>1</v>
      </c>
      <c r="AT435" s="30" t="b">
        <v>1</v>
      </c>
      <c r="AU435" s="30" t="b">
        <v>1</v>
      </c>
      <c r="AV435" s="30" t="b">
        <v>1</v>
      </c>
      <c r="AW435" s="30" t="b">
        <v>1</v>
      </c>
      <c r="AX435" s="30" t="b">
        <v>1</v>
      </c>
      <c r="AY435" s="30" t="b">
        <v>1</v>
      </c>
      <c r="AZ435" s="30" t="b">
        <v>1</v>
      </c>
      <c r="BA435" s="30" t="b">
        <v>1</v>
      </c>
      <c r="BB435" s="30" t="b">
        <v>0</v>
      </c>
      <c r="BC435" s="30" t="b">
        <v>0</v>
      </c>
      <c r="BD435" s="30" t="b">
        <v>0</v>
      </c>
      <c r="BE435" s="30" t="b">
        <v>0</v>
      </c>
      <c r="BF435" s="30" t="b">
        <v>0</v>
      </c>
      <c r="BG435" s="30" t="b">
        <v>0</v>
      </c>
      <c r="BH435" s="30" t="b">
        <v>0</v>
      </c>
      <c r="BI435" s="30" t="b">
        <v>0</v>
      </c>
      <c r="BJ435" s="30" t="b">
        <v>0</v>
      </c>
      <c r="BK435" s="30" t="b">
        <v>0</v>
      </c>
      <c r="BL435" s="30" t="b">
        <v>0</v>
      </c>
      <c r="BM435" s="30" t="b">
        <v>0</v>
      </c>
      <c r="BN435" s="30" t="b">
        <v>0</v>
      </c>
      <c r="BO435" s="30" t="b">
        <v>0</v>
      </c>
    </row>
    <row r="436">
      <c r="A436" s="31" t="str">
        <f>A435&amp;C436</f>
        <v>FebruaryPARSHU BAGHOT HOURS</v>
      </c>
      <c r="B436" s="32"/>
      <c r="C436" s="33" t="s">
        <v>169</v>
      </c>
      <c r="D436" s="17"/>
      <c r="E436" s="29">
        <f>SUM(F436:BO436)</f>
        <v>23.5</v>
      </c>
      <c r="F436" s="34"/>
      <c r="G436" s="17"/>
      <c r="H436" s="34"/>
      <c r="I436" s="17"/>
      <c r="J436" s="34"/>
      <c r="K436" s="17"/>
      <c r="L436" s="34">
        <v>2.0</v>
      </c>
      <c r="M436" s="17"/>
      <c r="N436" s="34"/>
      <c r="O436" s="17"/>
      <c r="P436" s="34"/>
      <c r="Q436" s="17"/>
      <c r="R436" s="34"/>
      <c r="S436" s="17"/>
      <c r="T436" s="34"/>
      <c r="U436" s="17"/>
      <c r="V436" s="34">
        <v>2.0</v>
      </c>
      <c r="W436" s="17"/>
      <c r="X436" s="34">
        <v>2.0</v>
      </c>
      <c r="Y436" s="17"/>
      <c r="Z436" s="34"/>
      <c r="AA436" s="17"/>
      <c r="AB436" s="34"/>
      <c r="AC436" s="17"/>
      <c r="AD436" s="34">
        <v>2.0</v>
      </c>
      <c r="AE436" s="17"/>
      <c r="AF436" s="34">
        <v>2.0</v>
      </c>
      <c r="AG436" s="17"/>
      <c r="AH436" s="34"/>
      <c r="AI436" s="17"/>
      <c r="AJ436" s="34"/>
      <c r="AK436" s="17"/>
      <c r="AL436" s="34">
        <v>3.0</v>
      </c>
      <c r="AM436" s="17"/>
      <c r="AN436" s="34">
        <v>4.0</v>
      </c>
      <c r="AO436" s="17"/>
      <c r="AP436" s="34"/>
      <c r="AQ436" s="17"/>
      <c r="AR436" s="34">
        <v>3.0</v>
      </c>
      <c r="AS436" s="17"/>
      <c r="AT436" s="34">
        <v>1.5</v>
      </c>
      <c r="AU436" s="17"/>
      <c r="AV436" s="34"/>
      <c r="AW436" s="17"/>
      <c r="AX436" s="34">
        <v>2.0</v>
      </c>
      <c r="AY436" s="17"/>
      <c r="AZ436" s="34"/>
      <c r="BA436" s="17"/>
      <c r="BB436" s="34"/>
      <c r="BC436" s="17"/>
      <c r="BD436" s="34"/>
      <c r="BE436" s="17"/>
      <c r="BF436" s="34"/>
      <c r="BG436" s="17"/>
      <c r="BH436" s="34"/>
      <c r="BI436" s="17"/>
      <c r="BJ436" s="34"/>
      <c r="BK436" s="17"/>
      <c r="BL436" s="34"/>
      <c r="BM436" s="17"/>
      <c r="BN436" s="34"/>
      <c r="BO436" s="17"/>
    </row>
    <row r="437">
      <c r="A437" s="40"/>
      <c r="B437" s="41"/>
      <c r="C437" s="37"/>
      <c r="D437" s="37"/>
      <c r="E437" s="38"/>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row>
    <row r="438">
      <c r="A438" s="40"/>
      <c r="B438" s="40"/>
      <c r="C438" s="42"/>
      <c r="D438" s="42"/>
      <c r="E438" s="43"/>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row>
    <row r="439">
      <c r="A439" s="40"/>
      <c r="B439" s="40"/>
      <c r="C439" s="42"/>
      <c r="D439" s="42"/>
      <c r="E439" s="43"/>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row>
    <row r="440">
      <c r="A440" s="40"/>
      <c r="B440" s="40"/>
      <c r="C440" s="42"/>
      <c r="D440" s="42"/>
      <c r="E440" s="43"/>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row>
    <row r="441">
      <c r="A441" s="40"/>
      <c r="B441" s="40"/>
      <c r="C441" s="42"/>
      <c r="D441" s="42"/>
      <c r="E441" s="43"/>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row>
    <row r="442">
      <c r="A442" s="40"/>
      <c r="B442" s="40"/>
      <c r="C442" s="42"/>
      <c r="D442" s="42"/>
      <c r="E442" s="43"/>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row>
    <row r="443">
      <c r="A443" s="40"/>
      <c r="B443" s="40"/>
      <c r="C443" s="42"/>
      <c r="D443" s="42"/>
      <c r="E443" s="43"/>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row>
    <row r="444">
      <c r="A444" s="40"/>
      <c r="B444" s="40"/>
      <c r="C444" s="42"/>
      <c r="D444" s="42"/>
      <c r="E444" s="43"/>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row>
    <row r="445">
      <c r="A445" s="40"/>
      <c r="B445" s="40"/>
      <c r="C445" s="42"/>
      <c r="D445" s="42"/>
      <c r="E445" s="43"/>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row>
    <row r="446">
      <c r="A446" s="40"/>
      <c r="B446" s="40"/>
      <c r="C446" s="42"/>
      <c r="D446" s="42"/>
      <c r="E446" s="43"/>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row>
    <row r="447">
      <c r="A447" s="40"/>
      <c r="B447" s="40"/>
      <c r="C447" s="42"/>
      <c r="D447" s="42"/>
      <c r="E447" s="43"/>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row>
    <row r="448">
      <c r="A448" s="40"/>
      <c r="B448" s="40"/>
      <c r="C448" s="42"/>
      <c r="D448" s="42"/>
      <c r="E448" s="43"/>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row>
    <row r="449">
      <c r="A449" s="40"/>
      <c r="B449" s="40"/>
      <c r="C449" s="42"/>
      <c r="D449" s="42"/>
      <c r="E449" s="43"/>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row>
    <row r="450">
      <c r="A450" s="40"/>
      <c r="B450" s="40"/>
      <c r="C450" s="42"/>
      <c r="D450" s="42"/>
      <c r="E450" s="43"/>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row>
    <row r="451">
      <c r="A451" s="40"/>
      <c r="B451" s="40"/>
      <c r="C451" s="42"/>
      <c r="D451" s="42"/>
      <c r="E451" s="43"/>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row>
    <row r="452">
      <c r="A452" s="40"/>
      <c r="B452" s="40"/>
      <c r="C452" s="42"/>
      <c r="D452" s="42"/>
      <c r="E452" s="43"/>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row>
    <row r="453">
      <c r="A453" s="40"/>
      <c r="B453" s="40"/>
      <c r="C453" s="42"/>
      <c r="D453" s="42"/>
      <c r="E453" s="43"/>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row>
    <row r="454">
      <c r="A454" s="40"/>
      <c r="B454" s="40"/>
      <c r="C454" s="42"/>
      <c r="D454" s="42"/>
      <c r="E454" s="43"/>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row>
    <row r="455">
      <c r="A455" s="40"/>
      <c r="B455" s="40"/>
      <c r="C455" s="42"/>
      <c r="D455" s="42"/>
      <c r="E455" s="43"/>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row>
    <row r="456">
      <c r="A456" s="40"/>
      <c r="B456" s="40"/>
      <c r="C456" s="42"/>
      <c r="D456" s="42"/>
      <c r="E456" s="43"/>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row>
    <row r="457">
      <c r="A457" s="40"/>
      <c r="B457" s="40"/>
      <c r="C457" s="42"/>
      <c r="D457" s="42"/>
      <c r="E457" s="43"/>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row>
    <row r="458">
      <c r="A458" s="40"/>
      <c r="B458" s="40"/>
      <c r="C458" s="42"/>
      <c r="D458" s="42"/>
      <c r="E458" s="43"/>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row>
    <row r="459">
      <c r="A459" s="40"/>
      <c r="B459" s="40"/>
      <c r="C459" s="42"/>
      <c r="D459" s="42"/>
      <c r="E459" s="43"/>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row>
    <row r="460">
      <c r="A460" s="40"/>
      <c r="B460" s="40"/>
      <c r="C460" s="42"/>
      <c r="D460" s="42"/>
      <c r="E460" s="43"/>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row>
    <row r="461">
      <c r="A461" s="40"/>
      <c r="B461" s="40"/>
      <c r="C461" s="42"/>
      <c r="D461" s="42"/>
      <c r="E461" s="43"/>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row>
    <row r="462">
      <c r="A462" s="40"/>
      <c r="B462" s="40"/>
      <c r="C462" s="42"/>
      <c r="D462" s="42"/>
      <c r="E462" s="43"/>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row>
    <row r="463">
      <c r="A463" s="40"/>
      <c r="B463" s="40"/>
      <c r="C463" s="42"/>
      <c r="D463" s="42"/>
      <c r="E463" s="43"/>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row>
    <row r="464">
      <c r="A464" s="40"/>
      <c r="B464" s="40"/>
      <c r="C464" s="42"/>
      <c r="D464" s="42"/>
      <c r="E464" s="43"/>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row>
    <row r="465">
      <c r="A465" s="40"/>
      <c r="B465" s="40"/>
      <c r="C465" s="42"/>
      <c r="D465" s="42"/>
      <c r="E465" s="43"/>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row>
    <row r="466">
      <c r="A466" s="40"/>
      <c r="B466" s="40"/>
      <c r="C466" s="42"/>
      <c r="D466" s="42"/>
      <c r="E466" s="43"/>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row>
    <row r="467">
      <c r="A467" s="40"/>
      <c r="B467" s="40"/>
      <c r="C467" s="42"/>
      <c r="D467" s="42"/>
      <c r="E467" s="43"/>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row>
    <row r="468">
      <c r="A468" s="40"/>
      <c r="B468" s="40"/>
      <c r="C468" s="42"/>
      <c r="D468" s="42"/>
      <c r="E468" s="43"/>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row>
    <row r="469">
      <c r="A469" s="40"/>
      <c r="B469" s="40"/>
      <c r="C469" s="42"/>
      <c r="D469" s="42"/>
      <c r="E469" s="43"/>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row>
    <row r="470">
      <c r="A470" s="40"/>
      <c r="B470" s="40"/>
      <c r="C470" s="42"/>
      <c r="D470" s="42"/>
      <c r="E470" s="43"/>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row>
    <row r="471">
      <c r="A471" s="40"/>
      <c r="B471" s="40"/>
      <c r="C471" s="42"/>
      <c r="D471" s="42"/>
      <c r="E471" s="43"/>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row>
    <row r="472">
      <c r="A472" s="40"/>
      <c r="B472" s="40"/>
      <c r="C472" s="42"/>
      <c r="D472" s="42"/>
      <c r="E472" s="43"/>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row>
    <row r="473">
      <c r="A473" s="40"/>
      <c r="B473" s="40"/>
      <c r="C473" s="42"/>
      <c r="D473" s="42"/>
      <c r="E473" s="43"/>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row>
    <row r="474">
      <c r="A474" s="40"/>
      <c r="B474" s="40"/>
      <c r="C474" s="42"/>
      <c r="D474" s="42"/>
      <c r="E474" s="43"/>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row>
    <row r="475">
      <c r="A475" s="40"/>
      <c r="B475" s="40"/>
      <c r="C475" s="42"/>
      <c r="D475" s="42"/>
      <c r="E475" s="43"/>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row>
    <row r="476">
      <c r="A476" s="40"/>
      <c r="B476" s="40"/>
      <c r="C476" s="42"/>
      <c r="D476" s="42"/>
      <c r="E476" s="43"/>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row>
    <row r="477">
      <c r="A477" s="40"/>
      <c r="B477" s="40"/>
      <c r="C477" s="42"/>
      <c r="D477" s="42"/>
      <c r="E477" s="43"/>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row>
    <row r="478">
      <c r="A478" s="40"/>
      <c r="B478" s="40"/>
      <c r="C478" s="42"/>
      <c r="D478" s="42"/>
      <c r="E478" s="43"/>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row>
    <row r="479">
      <c r="A479" s="40"/>
      <c r="B479" s="40"/>
      <c r="C479" s="42"/>
      <c r="D479" s="42"/>
      <c r="E479" s="43"/>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row>
    <row r="480">
      <c r="A480" s="40"/>
      <c r="B480" s="40"/>
      <c r="C480" s="42"/>
      <c r="D480" s="42"/>
      <c r="E480" s="43"/>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row>
    <row r="481">
      <c r="A481" s="40"/>
      <c r="B481" s="40"/>
      <c r="C481" s="42"/>
      <c r="D481" s="42"/>
      <c r="E481" s="43"/>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row>
    <row r="482">
      <c r="A482" s="40"/>
      <c r="B482" s="40"/>
      <c r="C482" s="42"/>
      <c r="D482" s="42"/>
      <c r="E482" s="43"/>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row>
    <row r="483">
      <c r="A483" s="40"/>
      <c r="B483" s="40"/>
      <c r="C483" s="42"/>
      <c r="D483" s="42"/>
      <c r="E483" s="43"/>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row>
    <row r="484">
      <c r="A484" s="40"/>
      <c r="B484" s="40"/>
      <c r="C484" s="42"/>
      <c r="D484" s="42"/>
      <c r="E484" s="43"/>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row>
    <row r="485">
      <c r="A485" s="40"/>
      <c r="B485" s="40"/>
      <c r="C485" s="42"/>
      <c r="D485" s="42"/>
      <c r="E485" s="43"/>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row>
    <row r="486">
      <c r="A486" s="40"/>
      <c r="B486" s="40"/>
      <c r="C486" s="42"/>
      <c r="D486" s="42"/>
      <c r="E486" s="43"/>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row>
    <row r="487">
      <c r="A487" s="40"/>
      <c r="B487" s="40"/>
      <c r="C487" s="42"/>
      <c r="D487" s="42"/>
      <c r="E487" s="43"/>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row>
    <row r="488">
      <c r="A488" s="40"/>
      <c r="B488" s="40"/>
      <c r="C488" s="42"/>
      <c r="D488" s="42"/>
      <c r="E488" s="43"/>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row>
    <row r="489">
      <c r="A489" s="40"/>
      <c r="B489" s="40"/>
      <c r="C489" s="42"/>
      <c r="D489" s="42"/>
      <c r="E489" s="43"/>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row>
    <row r="490">
      <c r="A490" s="40"/>
      <c r="B490" s="40"/>
      <c r="C490" s="42"/>
      <c r="D490" s="42"/>
      <c r="E490" s="43"/>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row>
    <row r="491">
      <c r="A491" s="40"/>
      <c r="B491" s="40"/>
      <c r="C491" s="42"/>
      <c r="D491" s="42"/>
      <c r="E491" s="43"/>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row>
    <row r="492">
      <c r="A492" s="40"/>
      <c r="B492" s="40"/>
      <c r="C492" s="42"/>
      <c r="D492" s="42"/>
      <c r="E492" s="43"/>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row>
    <row r="493">
      <c r="A493" s="40"/>
      <c r="B493" s="40"/>
      <c r="C493" s="42"/>
      <c r="D493" s="42"/>
      <c r="E493" s="43"/>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row>
    <row r="494">
      <c r="A494" s="40"/>
      <c r="B494" s="40"/>
      <c r="C494" s="42"/>
      <c r="D494" s="42"/>
      <c r="E494" s="43"/>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row>
    <row r="495">
      <c r="A495" s="40"/>
      <c r="B495" s="40"/>
      <c r="C495" s="42"/>
      <c r="D495" s="42"/>
      <c r="E495" s="43"/>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row>
    <row r="496">
      <c r="A496" s="40"/>
      <c r="B496" s="40"/>
      <c r="C496" s="42"/>
      <c r="D496" s="42"/>
      <c r="E496" s="43"/>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row>
    <row r="497">
      <c r="A497" s="40"/>
      <c r="B497" s="40"/>
      <c r="C497" s="42"/>
      <c r="D497" s="42"/>
      <c r="E497" s="43"/>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row>
    <row r="498">
      <c r="A498" s="40"/>
      <c r="B498" s="40"/>
      <c r="C498" s="42"/>
      <c r="D498" s="42"/>
      <c r="E498" s="43"/>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row>
    <row r="499">
      <c r="A499" s="40"/>
      <c r="B499" s="40"/>
      <c r="C499" s="42"/>
      <c r="D499" s="42"/>
      <c r="E499" s="43"/>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row>
    <row r="500">
      <c r="A500" s="40"/>
      <c r="B500" s="40"/>
      <c r="C500" s="42"/>
      <c r="D500" s="42"/>
      <c r="E500" s="43"/>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row>
    <row r="501">
      <c r="A501" s="40"/>
      <c r="B501" s="40"/>
      <c r="C501" s="42"/>
      <c r="D501" s="42"/>
      <c r="E501" s="43"/>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row>
    <row r="502">
      <c r="A502" s="40"/>
      <c r="B502" s="40"/>
      <c r="C502" s="42"/>
      <c r="D502" s="42"/>
      <c r="E502" s="43"/>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row>
    <row r="503">
      <c r="A503" s="40"/>
      <c r="B503" s="40"/>
      <c r="C503" s="42"/>
      <c r="D503" s="42"/>
      <c r="E503" s="43"/>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row>
    <row r="504">
      <c r="A504" s="40"/>
      <c r="B504" s="40"/>
      <c r="C504" s="42"/>
      <c r="D504" s="42"/>
      <c r="E504" s="43"/>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row>
    <row r="505">
      <c r="A505" s="40"/>
      <c r="B505" s="40"/>
      <c r="C505" s="42"/>
      <c r="D505" s="42"/>
      <c r="E505" s="43"/>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row>
    <row r="506">
      <c r="A506" s="40"/>
      <c r="B506" s="40"/>
      <c r="C506" s="42"/>
      <c r="D506" s="42"/>
      <c r="E506" s="43"/>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row>
    <row r="507">
      <c r="A507" s="40"/>
      <c r="B507" s="40"/>
      <c r="C507" s="42"/>
      <c r="D507" s="42"/>
      <c r="E507" s="43"/>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row>
    <row r="508">
      <c r="A508" s="40"/>
      <c r="B508" s="40"/>
      <c r="C508" s="42"/>
      <c r="D508" s="42"/>
      <c r="E508" s="43"/>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row>
    <row r="509">
      <c r="A509" s="40"/>
      <c r="B509" s="40"/>
      <c r="C509" s="42"/>
      <c r="D509" s="42"/>
      <c r="E509" s="43"/>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row>
    <row r="510">
      <c r="A510" s="40"/>
      <c r="B510" s="40"/>
      <c r="C510" s="42"/>
      <c r="D510" s="42"/>
      <c r="E510" s="43"/>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row>
    <row r="511">
      <c r="A511" s="40"/>
      <c r="B511" s="40"/>
      <c r="C511" s="42"/>
      <c r="D511" s="42"/>
      <c r="E511" s="43"/>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row>
    <row r="512">
      <c r="A512" s="40"/>
      <c r="B512" s="40"/>
      <c r="C512" s="42"/>
      <c r="D512" s="42"/>
      <c r="E512" s="43"/>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row>
    <row r="513">
      <c r="A513" s="40"/>
      <c r="B513" s="40"/>
      <c r="C513" s="42"/>
      <c r="D513" s="42"/>
      <c r="E513" s="43"/>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row>
    <row r="514">
      <c r="A514" s="40"/>
      <c r="B514" s="40"/>
      <c r="C514" s="42"/>
      <c r="D514" s="42"/>
      <c r="E514" s="43"/>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row>
    <row r="515">
      <c r="A515" s="40"/>
      <c r="B515" s="40"/>
      <c r="C515" s="42"/>
      <c r="D515" s="42"/>
      <c r="E515" s="43"/>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row>
    <row r="516">
      <c r="A516" s="40"/>
      <c r="B516" s="40"/>
      <c r="C516" s="42"/>
      <c r="D516" s="42"/>
      <c r="E516" s="43"/>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row>
    <row r="517">
      <c r="A517" s="40"/>
      <c r="B517" s="40"/>
      <c r="C517" s="42"/>
      <c r="D517" s="42"/>
      <c r="E517" s="43"/>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row>
    <row r="518">
      <c r="A518" s="40"/>
      <c r="B518" s="40"/>
      <c r="C518" s="42"/>
      <c r="D518" s="42"/>
      <c r="E518" s="43"/>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row>
    <row r="519">
      <c r="A519" s="40"/>
      <c r="B519" s="40"/>
      <c r="C519" s="42"/>
      <c r="D519" s="42"/>
      <c r="E519" s="43"/>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row>
    <row r="520">
      <c r="A520" s="40"/>
      <c r="B520" s="40"/>
      <c r="C520" s="42"/>
      <c r="D520" s="42"/>
      <c r="E520" s="43"/>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row>
    <row r="521">
      <c r="A521" s="40"/>
      <c r="B521" s="40"/>
      <c r="C521" s="42"/>
      <c r="D521" s="42"/>
      <c r="E521" s="43"/>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row>
    <row r="522">
      <c r="A522" s="40"/>
      <c r="B522" s="40"/>
      <c r="C522" s="42"/>
      <c r="D522" s="42"/>
      <c r="E522" s="43"/>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row>
    <row r="523">
      <c r="A523" s="40"/>
      <c r="B523" s="40"/>
      <c r="C523" s="42"/>
      <c r="D523" s="42"/>
      <c r="E523" s="43"/>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row>
    <row r="524">
      <c r="A524" s="40"/>
      <c r="B524" s="40"/>
      <c r="C524" s="42"/>
      <c r="D524" s="42"/>
      <c r="E524" s="43"/>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row>
    <row r="525">
      <c r="A525" s="40"/>
      <c r="B525" s="40"/>
      <c r="C525" s="42"/>
      <c r="D525" s="42"/>
      <c r="E525" s="43"/>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row>
    <row r="526">
      <c r="A526" s="40"/>
      <c r="B526" s="40"/>
      <c r="C526" s="42"/>
      <c r="D526" s="42"/>
      <c r="E526" s="43"/>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row>
    <row r="527">
      <c r="A527" s="40"/>
      <c r="B527" s="40"/>
      <c r="C527" s="42"/>
      <c r="D527" s="42"/>
      <c r="E527" s="43"/>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row>
    <row r="528">
      <c r="A528" s="40"/>
      <c r="B528" s="40"/>
      <c r="C528" s="42"/>
      <c r="D528" s="42"/>
      <c r="E528" s="43"/>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row>
    <row r="529">
      <c r="A529" s="40"/>
      <c r="B529" s="40"/>
      <c r="C529" s="42"/>
      <c r="D529" s="42"/>
      <c r="E529" s="43"/>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row>
    <row r="530">
      <c r="A530" s="40"/>
      <c r="B530" s="40"/>
      <c r="C530" s="42"/>
      <c r="D530" s="42"/>
      <c r="E530" s="43"/>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row>
    <row r="531">
      <c r="A531" s="40"/>
      <c r="B531" s="40"/>
      <c r="C531" s="42"/>
      <c r="D531" s="42"/>
      <c r="E531" s="43"/>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row>
    <row r="532">
      <c r="A532" s="40"/>
      <c r="B532" s="40"/>
      <c r="C532" s="42"/>
      <c r="D532" s="42"/>
      <c r="E532" s="43"/>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row>
    <row r="533">
      <c r="A533" s="40"/>
      <c r="B533" s="40"/>
      <c r="C533" s="42"/>
      <c r="D533" s="42"/>
      <c r="E533" s="43"/>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row>
    <row r="534">
      <c r="A534" s="40"/>
      <c r="B534" s="40"/>
      <c r="C534" s="42"/>
      <c r="D534" s="42"/>
      <c r="E534" s="43"/>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row>
    <row r="535">
      <c r="A535" s="40"/>
      <c r="B535" s="40"/>
      <c r="C535" s="42"/>
      <c r="D535" s="42"/>
      <c r="E535" s="43"/>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row>
    <row r="536">
      <c r="A536" s="40"/>
      <c r="B536" s="40"/>
      <c r="C536" s="42"/>
      <c r="D536" s="42"/>
      <c r="E536" s="43"/>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row>
    <row r="537">
      <c r="A537" s="40"/>
      <c r="B537" s="40"/>
      <c r="C537" s="42"/>
      <c r="D537" s="42"/>
      <c r="E537" s="43"/>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row>
    <row r="538">
      <c r="A538" s="40"/>
      <c r="B538" s="40"/>
      <c r="C538" s="42"/>
      <c r="D538" s="42"/>
      <c r="E538" s="43"/>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row>
    <row r="539">
      <c r="A539" s="40"/>
      <c r="B539" s="40"/>
      <c r="C539" s="42"/>
      <c r="D539" s="42"/>
      <c r="E539" s="43"/>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row>
    <row r="540">
      <c r="A540" s="40"/>
      <c r="B540" s="40"/>
      <c r="C540" s="42"/>
      <c r="D540" s="42"/>
      <c r="E540" s="43"/>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row>
    <row r="541">
      <c r="A541" s="40"/>
      <c r="B541" s="40"/>
      <c r="C541" s="42"/>
      <c r="D541" s="42"/>
      <c r="E541" s="43"/>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row>
    <row r="542">
      <c r="A542" s="40"/>
      <c r="B542" s="40"/>
      <c r="C542" s="42"/>
      <c r="D542" s="42"/>
      <c r="E542" s="43"/>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row>
    <row r="543">
      <c r="A543" s="40"/>
      <c r="B543" s="40"/>
      <c r="C543" s="42"/>
      <c r="D543" s="42"/>
      <c r="E543" s="43"/>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row>
    <row r="544">
      <c r="A544" s="40"/>
      <c r="B544" s="40"/>
      <c r="C544" s="42"/>
      <c r="D544" s="42"/>
      <c r="E544" s="43"/>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row>
    <row r="545">
      <c r="A545" s="40"/>
      <c r="B545" s="40"/>
      <c r="C545" s="42"/>
      <c r="D545" s="42"/>
      <c r="E545" s="43"/>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row>
    <row r="546">
      <c r="A546" s="40"/>
      <c r="B546" s="40"/>
      <c r="C546" s="42"/>
      <c r="D546" s="42"/>
      <c r="E546" s="43"/>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row>
    <row r="547">
      <c r="A547" s="40"/>
      <c r="B547" s="40"/>
      <c r="C547" s="42"/>
      <c r="D547" s="42"/>
      <c r="E547" s="43"/>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row>
    <row r="548">
      <c r="A548" s="40"/>
      <c r="B548" s="40"/>
      <c r="C548" s="42"/>
      <c r="D548" s="42"/>
      <c r="E548" s="43"/>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row>
    <row r="549">
      <c r="A549" s="40"/>
      <c r="B549" s="40"/>
      <c r="C549" s="42"/>
      <c r="D549" s="42"/>
      <c r="E549" s="43"/>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row>
    <row r="550">
      <c r="A550" s="40"/>
      <c r="B550" s="40"/>
      <c r="C550" s="42"/>
      <c r="D550" s="42"/>
      <c r="E550" s="43"/>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row>
    <row r="551">
      <c r="A551" s="40"/>
      <c r="B551" s="40"/>
      <c r="C551" s="42"/>
      <c r="D551" s="42"/>
      <c r="E551" s="43"/>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row>
    <row r="552">
      <c r="A552" s="40"/>
      <c r="B552" s="40"/>
      <c r="C552" s="42"/>
      <c r="D552" s="42"/>
      <c r="E552" s="43"/>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row>
    <row r="553">
      <c r="A553" s="40"/>
      <c r="B553" s="40"/>
      <c r="C553" s="42"/>
      <c r="D553" s="42"/>
      <c r="E553" s="43"/>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row>
    <row r="554">
      <c r="A554" s="40"/>
      <c r="B554" s="40"/>
      <c r="C554" s="42"/>
      <c r="D554" s="42"/>
      <c r="E554" s="43"/>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row>
    <row r="555">
      <c r="A555" s="40"/>
      <c r="B555" s="40"/>
      <c r="C555" s="42"/>
      <c r="D555" s="42"/>
      <c r="E555" s="43"/>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row>
    <row r="556">
      <c r="A556" s="40"/>
      <c r="B556" s="40"/>
      <c r="C556" s="42"/>
      <c r="D556" s="42"/>
      <c r="E556" s="43"/>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row>
    <row r="557">
      <c r="A557" s="40"/>
      <c r="B557" s="40"/>
      <c r="C557" s="42"/>
      <c r="D557" s="42"/>
      <c r="E557" s="43"/>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row>
    <row r="558">
      <c r="A558" s="40"/>
      <c r="B558" s="40"/>
      <c r="C558" s="42"/>
      <c r="D558" s="42"/>
      <c r="E558" s="43"/>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row>
    <row r="559">
      <c r="A559" s="40"/>
      <c r="B559" s="40"/>
      <c r="C559" s="42"/>
      <c r="D559" s="42"/>
      <c r="E559" s="43"/>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row>
    <row r="560">
      <c r="A560" s="40"/>
      <c r="B560" s="40"/>
      <c r="C560" s="42"/>
      <c r="D560" s="42"/>
      <c r="E560" s="43"/>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row>
    <row r="561">
      <c r="A561" s="40"/>
      <c r="B561" s="40"/>
      <c r="C561" s="42"/>
      <c r="D561" s="42"/>
      <c r="E561" s="43"/>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row>
    <row r="562">
      <c r="A562" s="40"/>
      <c r="B562" s="40"/>
      <c r="C562" s="42"/>
      <c r="D562" s="42"/>
      <c r="E562" s="43"/>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row>
    <row r="563">
      <c r="A563" s="40"/>
      <c r="B563" s="40"/>
      <c r="C563" s="42"/>
      <c r="D563" s="42"/>
      <c r="E563" s="43"/>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row>
    <row r="564">
      <c r="A564" s="40"/>
      <c r="B564" s="40"/>
      <c r="C564" s="42"/>
      <c r="D564" s="42"/>
      <c r="E564" s="43"/>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row>
    <row r="565">
      <c r="A565" s="40"/>
      <c r="B565" s="40"/>
      <c r="C565" s="42"/>
      <c r="D565" s="42"/>
      <c r="E565" s="43"/>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row>
    <row r="566">
      <c r="A566" s="40"/>
      <c r="B566" s="40"/>
      <c r="C566" s="42"/>
      <c r="D566" s="42"/>
      <c r="E566" s="43"/>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row>
    <row r="567">
      <c r="A567" s="40"/>
      <c r="B567" s="40"/>
      <c r="C567" s="42"/>
      <c r="D567" s="42"/>
      <c r="E567" s="43"/>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row>
    <row r="568">
      <c r="A568" s="40"/>
      <c r="B568" s="40"/>
      <c r="C568" s="42"/>
      <c r="D568" s="42"/>
      <c r="E568" s="43"/>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row>
    <row r="569">
      <c r="A569" s="40"/>
      <c r="B569" s="40"/>
      <c r="C569" s="42"/>
      <c r="D569" s="42"/>
      <c r="E569" s="43"/>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row>
    <row r="570">
      <c r="A570" s="40"/>
      <c r="B570" s="40"/>
      <c r="C570" s="42"/>
      <c r="D570" s="42"/>
      <c r="E570" s="43"/>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row>
    <row r="571">
      <c r="A571" s="40"/>
      <c r="B571" s="40"/>
      <c r="C571" s="42"/>
      <c r="D571" s="42"/>
      <c r="E571" s="43"/>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row>
    <row r="572">
      <c r="A572" s="40"/>
      <c r="B572" s="40"/>
      <c r="C572" s="42"/>
      <c r="D572" s="42"/>
      <c r="E572" s="43"/>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row>
    <row r="573">
      <c r="A573" s="40"/>
      <c r="B573" s="40"/>
      <c r="C573" s="42"/>
      <c r="D573" s="42"/>
      <c r="E573" s="43"/>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row>
    <row r="574">
      <c r="A574" s="40"/>
      <c r="B574" s="40"/>
      <c r="C574" s="42"/>
      <c r="D574" s="42"/>
      <c r="E574" s="43"/>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row>
    <row r="575">
      <c r="A575" s="40"/>
      <c r="B575" s="40"/>
      <c r="C575" s="42"/>
      <c r="D575" s="42"/>
      <c r="E575" s="43"/>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row>
    <row r="576">
      <c r="A576" s="40"/>
      <c r="B576" s="40"/>
      <c r="C576" s="42"/>
      <c r="D576" s="42"/>
      <c r="E576" s="43"/>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row>
    <row r="577">
      <c r="A577" s="40"/>
      <c r="B577" s="40"/>
      <c r="C577" s="42"/>
      <c r="D577" s="42"/>
      <c r="E577" s="43"/>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row>
    <row r="578">
      <c r="A578" s="40"/>
      <c r="B578" s="40"/>
      <c r="C578" s="42"/>
      <c r="D578" s="42"/>
      <c r="E578" s="43"/>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row>
    <row r="579">
      <c r="A579" s="40"/>
      <c r="B579" s="40"/>
      <c r="C579" s="42"/>
      <c r="D579" s="42"/>
      <c r="E579" s="43"/>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row>
    <row r="580">
      <c r="A580" s="40"/>
      <c r="B580" s="40"/>
      <c r="C580" s="42"/>
      <c r="D580" s="42"/>
      <c r="E580" s="43"/>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row>
    <row r="581">
      <c r="A581" s="40"/>
      <c r="B581" s="40"/>
      <c r="C581" s="42"/>
      <c r="D581" s="42"/>
      <c r="E581" s="43"/>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row>
    <row r="582">
      <c r="A582" s="40"/>
      <c r="B582" s="40"/>
      <c r="C582" s="42"/>
      <c r="D582" s="42"/>
      <c r="E582" s="43"/>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row>
    <row r="583">
      <c r="A583" s="40"/>
      <c r="B583" s="40"/>
      <c r="C583" s="42"/>
      <c r="D583" s="42"/>
      <c r="E583" s="43"/>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row>
    <row r="584">
      <c r="A584" s="40"/>
      <c r="B584" s="40"/>
      <c r="C584" s="42"/>
      <c r="D584" s="42"/>
      <c r="E584" s="43"/>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row>
    <row r="585">
      <c r="A585" s="40"/>
      <c r="B585" s="40"/>
      <c r="C585" s="42"/>
      <c r="D585" s="42"/>
      <c r="E585" s="43"/>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row>
    <row r="586">
      <c r="A586" s="40"/>
      <c r="B586" s="40"/>
      <c r="C586" s="42"/>
      <c r="D586" s="42"/>
      <c r="E586" s="43"/>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row>
    <row r="587">
      <c r="A587" s="40"/>
      <c r="B587" s="40"/>
      <c r="C587" s="42"/>
      <c r="D587" s="42"/>
      <c r="E587" s="43"/>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row>
    <row r="588">
      <c r="A588" s="40"/>
      <c r="B588" s="40"/>
      <c r="C588" s="42"/>
      <c r="D588" s="42"/>
      <c r="E588" s="43"/>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row>
    <row r="589">
      <c r="A589" s="40"/>
      <c r="B589" s="40"/>
      <c r="C589" s="42"/>
      <c r="D589" s="42"/>
      <c r="E589" s="43"/>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row>
    <row r="590">
      <c r="A590" s="40"/>
      <c r="B590" s="40"/>
      <c r="C590" s="42"/>
      <c r="D590" s="42"/>
      <c r="E590" s="43"/>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row>
    <row r="591">
      <c r="A591" s="40"/>
      <c r="B591" s="40"/>
      <c r="C591" s="42"/>
      <c r="D591" s="42"/>
      <c r="E591" s="43"/>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row>
    <row r="592">
      <c r="A592" s="40"/>
      <c r="B592" s="40"/>
      <c r="C592" s="42"/>
      <c r="D592" s="42"/>
      <c r="E592" s="43"/>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row>
    <row r="593">
      <c r="A593" s="40"/>
      <c r="B593" s="40"/>
      <c r="C593" s="42"/>
      <c r="D593" s="42"/>
      <c r="E593" s="43"/>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row>
    <row r="594">
      <c r="A594" s="40"/>
      <c r="B594" s="40"/>
      <c r="C594" s="42"/>
      <c r="D594" s="42"/>
      <c r="E594" s="43"/>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row>
    <row r="595">
      <c r="A595" s="40"/>
      <c r="B595" s="40"/>
      <c r="C595" s="42"/>
      <c r="D595" s="42"/>
      <c r="E595" s="43"/>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row>
    <row r="596">
      <c r="A596" s="40"/>
      <c r="B596" s="40"/>
      <c r="C596" s="42"/>
      <c r="D596" s="42"/>
      <c r="E596" s="43"/>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row>
    <row r="597">
      <c r="A597" s="40"/>
      <c r="B597" s="40"/>
      <c r="C597" s="42"/>
      <c r="D597" s="42"/>
      <c r="E597" s="43"/>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row>
    <row r="598">
      <c r="A598" s="40"/>
      <c r="B598" s="40"/>
      <c r="C598" s="42"/>
      <c r="D598" s="42"/>
      <c r="E598" s="43"/>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row>
    <row r="599">
      <c r="A599" s="40"/>
      <c r="B599" s="40"/>
      <c r="C599" s="42"/>
      <c r="D599" s="42"/>
      <c r="E599" s="43"/>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row>
    <row r="600">
      <c r="A600" s="40"/>
      <c r="B600" s="40"/>
      <c r="C600" s="42"/>
      <c r="D600" s="42"/>
      <c r="E600" s="43"/>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row>
    <row r="601">
      <c r="A601" s="40"/>
      <c r="B601" s="40"/>
      <c r="C601" s="42"/>
      <c r="D601" s="42"/>
      <c r="E601" s="43"/>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row>
    <row r="602">
      <c r="A602" s="40"/>
      <c r="B602" s="40"/>
      <c r="C602" s="42"/>
      <c r="D602" s="42"/>
      <c r="E602" s="43"/>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row>
    <row r="603">
      <c r="A603" s="40"/>
      <c r="B603" s="40"/>
      <c r="C603" s="42"/>
      <c r="D603" s="42"/>
      <c r="E603" s="43"/>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row>
    <row r="604">
      <c r="A604" s="40"/>
      <c r="B604" s="40"/>
      <c r="C604" s="42"/>
      <c r="D604" s="42"/>
      <c r="E604" s="43"/>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row>
    <row r="605">
      <c r="A605" s="40"/>
      <c r="B605" s="40"/>
      <c r="C605" s="42"/>
      <c r="D605" s="42"/>
      <c r="E605" s="43"/>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row>
    <row r="606">
      <c r="A606" s="40"/>
      <c r="B606" s="40"/>
      <c r="C606" s="42"/>
      <c r="D606" s="42"/>
      <c r="E606" s="43"/>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row>
    <row r="607">
      <c r="A607" s="40"/>
      <c r="B607" s="40"/>
      <c r="C607" s="42"/>
      <c r="D607" s="42"/>
      <c r="E607" s="43"/>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row>
    <row r="608">
      <c r="A608" s="40"/>
      <c r="B608" s="40"/>
      <c r="C608" s="42"/>
      <c r="D608" s="42"/>
      <c r="E608" s="43"/>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row>
    <row r="609">
      <c r="A609" s="40"/>
      <c r="B609" s="40"/>
      <c r="C609" s="42"/>
      <c r="D609" s="42"/>
      <c r="E609" s="43"/>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row>
    <row r="610">
      <c r="A610" s="40"/>
      <c r="B610" s="40"/>
      <c r="C610" s="42"/>
      <c r="D610" s="42"/>
      <c r="E610" s="43"/>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row>
    <row r="611">
      <c r="A611" s="40"/>
      <c r="B611" s="40"/>
      <c r="C611" s="42"/>
      <c r="D611" s="42"/>
      <c r="E611" s="43"/>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row>
    <row r="612">
      <c r="A612" s="40"/>
      <c r="B612" s="40"/>
      <c r="C612" s="42"/>
      <c r="D612" s="42"/>
      <c r="E612" s="43"/>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row>
    <row r="613">
      <c r="A613" s="40"/>
      <c r="B613" s="40"/>
      <c r="C613" s="42"/>
      <c r="D613" s="42"/>
      <c r="E613" s="43"/>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row>
    <row r="614">
      <c r="A614" s="40"/>
      <c r="B614" s="40"/>
      <c r="C614" s="42"/>
      <c r="D614" s="42"/>
      <c r="E614" s="43"/>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row>
    <row r="615">
      <c r="A615" s="40"/>
      <c r="B615" s="40"/>
      <c r="C615" s="42"/>
      <c r="D615" s="42"/>
      <c r="E615" s="43"/>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row>
    <row r="616">
      <c r="A616" s="40"/>
      <c r="B616" s="40"/>
      <c r="C616" s="42"/>
      <c r="D616" s="42"/>
      <c r="E616" s="43"/>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row>
    <row r="617">
      <c r="A617" s="40"/>
      <c r="B617" s="40"/>
      <c r="C617" s="42"/>
      <c r="D617" s="42"/>
      <c r="E617" s="43"/>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row>
    <row r="618">
      <c r="A618" s="40"/>
      <c r="B618" s="40"/>
      <c r="C618" s="42"/>
      <c r="D618" s="42"/>
      <c r="E618" s="43"/>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row>
    <row r="619">
      <c r="A619" s="40"/>
      <c r="B619" s="40"/>
      <c r="C619" s="42"/>
      <c r="D619" s="42"/>
      <c r="E619" s="43"/>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row>
    <row r="620">
      <c r="A620" s="40"/>
      <c r="B620" s="40"/>
      <c r="C620" s="42"/>
      <c r="D620" s="42"/>
      <c r="E620" s="43"/>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row>
    <row r="621">
      <c r="A621" s="40"/>
      <c r="B621" s="40"/>
      <c r="C621" s="42"/>
      <c r="D621" s="42"/>
      <c r="E621" s="43"/>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row>
    <row r="622">
      <c r="A622" s="40"/>
      <c r="B622" s="40"/>
      <c r="C622" s="42"/>
      <c r="D622" s="42"/>
      <c r="E622" s="43"/>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row>
    <row r="623">
      <c r="A623" s="40"/>
      <c r="B623" s="40"/>
      <c r="C623" s="42"/>
      <c r="D623" s="42"/>
      <c r="E623" s="43"/>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row>
    <row r="624">
      <c r="A624" s="40"/>
      <c r="B624" s="40"/>
      <c r="C624" s="42"/>
      <c r="D624" s="42"/>
      <c r="E624" s="43"/>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row>
    <row r="625">
      <c r="A625" s="40"/>
      <c r="B625" s="40"/>
      <c r="C625" s="42"/>
      <c r="D625" s="42"/>
      <c r="E625" s="43"/>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row>
    <row r="626">
      <c r="A626" s="40"/>
      <c r="B626" s="40"/>
      <c r="C626" s="42"/>
      <c r="D626" s="42"/>
      <c r="E626" s="43"/>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row>
    <row r="627">
      <c r="A627" s="40"/>
      <c r="B627" s="40"/>
      <c r="C627" s="42"/>
      <c r="D627" s="42"/>
      <c r="E627" s="43"/>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row>
    <row r="628">
      <c r="A628" s="40"/>
      <c r="B628" s="40"/>
      <c r="C628" s="42"/>
      <c r="D628" s="42"/>
      <c r="E628" s="43"/>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row>
    <row r="629">
      <c r="A629" s="40"/>
      <c r="B629" s="40"/>
      <c r="C629" s="42"/>
      <c r="D629" s="42"/>
      <c r="E629" s="43"/>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row>
    <row r="630">
      <c r="A630" s="40"/>
      <c r="B630" s="40"/>
      <c r="C630" s="42"/>
      <c r="D630" s="42"/>
      <c r="E630" s="43"/>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row>
    <row r="631">
      <c r="A631" s="40"/>
      <c r="B631" s="40"/>
      <c r="C631" s="42"/>
      <c r="D631" s="42"/>
      <c r="E631" s="43"/>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row>
    <row r="632">
      <c r="A632" s="40"/>
      <c r="B632" s="40"/>
      <c r="C632" s="42"/>
      <c r="D632" s="42"/>
      <c r="E632" s="43"/>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row>
    <row r="633">
      <c r="A633" s="40"/>
      <c r="B633" s="40"/>
      <c r="C633" s="42"/>
      <c r="D633" s="42"/>
      <c r="E633" s="43"/>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row>
    <row r="634">
      <c r="A634" s="40"/>
      <c r="B634" s="40"/>
      <c r="C634" s="42"/>
      <c r="D634" s="42"/>
      <c r="E634" s="43"/>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row>
    <row r="635">
      <c r="A635" s="40"/>
      <c r="B635" s="40"/>
      <c r="C635" s="42"/>
      <c r="D635" s="42"/>
      <c r="E635" s="43"/>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row>
    <row r="636">
      <c r="A636" s="40"/>
      <c r="B636" s="40"/>
      <c r="C636" s="42"/>
      <c r="D636" s="42"/>
      <c r="E636" s="43"/>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row>
    <row r="637">
      <c r="A637" s="40"/>
      <c r="B637" s="40"/>
      <c r="C637" s="42"/>
      <c r="D637" s="42"/>
      <c r="E637" s="43"/>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row>
    <row r="638">
      <c r="A638" s="40"/>
      <c r="B638" s="40"/>
      <c r="C638" s="42"/>
      <c r="D638" s="42"/>
      <c r="E638" s="43"/>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row>
    <row r="639">
      <c r="A639" s="40"/>
      <c r="B639" s="40"/>
      <c r="C639" s="42"/>
      <c r="D639" s="42"/>
      <c r="E639" s="43"/>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row>
    <row r="640">
      <c r="A640" s="40"/>
      <c r="B640" s="40"/>
      <c r="C640" s="42"/>
      <c r="D640" s="42"/>
      <c r="E640" s="43"/>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row>
    <row r="641">
      <c r="A641" s="40"/>
      <c r="B641" s="40"/>
      <c r="C641" s="42"/>
      <c r="D641" s="42"/>
      <c r="E641" s="43"/>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row>
    <row r="642">
      <c r="A642" s="40"/>
      <c r="B642" s="40"/>
      <c r="C642" s="42"/>
      <c r="D642" s="42"/>
      <c r="E642" s="43"/>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row>
    <row r="643">
      <c r="A643" s="40"/>
      <c r="B643" s="40"/>
      <c r="C643" s="42"/>
      <c r="D643" s="42"/>
      <c r="E643" s="43"/>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row>
    <row r="644">
      <c r="A644" s="40"/>
      <c r="B644" s="40"/>
      <c r="C644" s="42"/>
      <c r="D644" s="42"/>
      <c r="E644" s="43"/>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row>
    <row r="645">
      <c r="A645" s="40"/>
      <c r="B645" s="40"/>
      <c r="C645" s="42"/>
      <c r="D645" s="42"/>
      <c r="E645" s="43"/>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row>
    <row r="646">
      <c r="A646" s="40"/>
      <c r="B646" s="40"/>
      <c r="C646" s="42"/>
      <c r="D646" s="42"/>
      <c r="E646" s="43"/>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row>
    <row r="647">
      <c r="A647" s="40"/>
      <c r="B647" s="40"/>
      <c r="C647" s="42"/>
      <c r="D647" s="42"/>
      <c r="E647" s="43"/>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row>
    <row r="648">
      <c r="A648" s="40"/>
      <c r="B648" s="40"/>
      <c r="C648" s="42"/>
      <c r="D648" s="42"/>
      <c r="E648" s="43"/>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row>
    <row r="649">
      <c r="A649" s="40"/>
      <c r="B649" s="40"/>
      <c r="C649" s="42"/>
      <c r="D649" s="42"/>
      <c r="E649" s="43"/>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row>
    <row r="650">
      <c r="A650" s="40"/>
      <c r="B650" s="40"/>
      <c r="C650" s="42"/>
      <c r="D650" s="42"/>
      <c r="E650" s="43"/>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row>
    <row r="651">
      <c r="A651" s="40"/>
      <c r="B651" s="40"/>
      <c r="C651" s="42"/>
      <c r="D651" s="42"/>
      <c r="E651" s="43"/>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row>
    <row r="652">
      <c r="A652" s="40"/>
      <c r="B652" s="40"/>
      <c r="C652" s="42"/>
      <c r="D652" s="42"/>
      <c r="E652" s="43"/>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row>
    <row r="653">
      <c r="A653" s="40"/>
      <c r="B653" s="40"/>
      <c r="C653" s="42"/>
      <c r="D653" s="42"/>
      <c r="E653" s="43"/>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row>
    <row r="654">
      <c r="A654" s="40"/>
      <c r="B654" s="40"/>
      <c r="C654" s="42"/>
      <c r="D654" s="42"/>
      <c r="E654" s="43"/>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row>
    <row r="655">
      <c r="A655" s="40"/>
      <c r="B655" s="40"/>
      <c r="C655" s="42"/>
      <c r="D655" s="42"/>
      <c r="E655" s="43"/>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row>
    <row r="656">
      <c r="A656" s="40"/>
      <c r="B656" s="40"/>
      <c r="C656" s="42"/>
      <c r="D656" s="42"/>
      <c r="E656" s="43"/>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row>
    <row r="657">
      <c r="A657" s="40"/>
      <c r="B657" s="40"/>
      <c r="C657" s="42"/>
      <c r="D657" s="42"/>
      <c r="E657" s="43"/>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row>
    <row r="658">
      <c r="A658" s="40"/>
      <c r="B658" s="40"/>
      <c r="C658" s="42"/>
      <c r="D658" s="42"/>
      <c r="E658" s="43"/>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row>
    <row r="659">
      <c r="A659" s="40"/>
      <c r="B659" s="40"/>
      <c r="C659" s="42"/>
      <c r="D659" s="42"/>
      <c r="E659" s="43"/>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row>
    <row r="660">
      <c r="A660" s="40"/>
      <c r="B660" s="40"/>
      <c r="C660" s="42"/>
      <c r="D660" s="42"/>
      <c r="E660" s="43"/>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row>
    <row r="661">
      <c r="A661" s="40"/>
      <c r="B661" s="40"/>
      <c r="C661" s="42"/>
      <c r="D661" s="42"/>
      <c r="E661" s="43"/>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row>
    <row r="662">
      <c r="A662" s="40"/>
      <c r="B662" s="40"/>
      <c r="C662" s="42"/>
      <c r="D662" s="42"/>
      <c r="E662" s="43"/>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row>
    <row r="663">
      <c r="A663" s="40"/>
      <c r="B663" s="40"/>
      <c r="C663" s="42"/>
      <c r="D663" s="42"/>
      <c r="E663" s="43"/>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row>
    <row r="664">
      <c r="A664" s="40"/>
      <c r="B664" s="40"/>
      <c r="C664" s="42"/>
      <c r="D664" s="42"/>
      <c r="E664" s="43"/>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row>
    <row r="665">
      <c r="A665" s="40"/>
      <c r="B665" s="40"/>
      <c r="C665" s="42"/>
      <c r="D665" s="42"/>
      <c r="E665" s="43"/>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row>
    <row r="666">
      <c r="A666" s="40"/>
      <c r="B666" s="40"/>
      <c r="C666" s="42"/>
      <c r="D666" s="42"/>
      <c r="E666" s="43"/>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row>
    <row r="667">
      <c r="A667" s="40"/>
      <c r="B667" s="40"/>
      <c r="C667" s="42"/>
      <c r="D667" s="42"/>
      <c r="E667" s="43"/>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row>
    <row r="668">
      <c r="A668" s="40"/>
      <c r="B668" s="40"/>
      <c r="C668" s="42"/>
      <c r="D668" s="42"/>
      <c r="E668" s="43"/>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row>
    <row r="669">
      <c r="A669" s="40"/>
      <c r="B669" s="40"/>
      <c r="C669" s="42"/>
      <c r="D669" s="42"/>
      <c r="E669" s="43"/>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row>
    <row r="670">
      <c r="A670" s="40"/>
      <c r="B670" s="40"/>
      <c r="C670" s="42"/>
      <c r="D670" s="42"/>
      <c r="E670" s="43"/>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row>
    <row r="671">
      <c r="A671" s="40"/>
      <c r="B671" s="40"/>
      <c r="C671" s="42"/>
      <c r="D671" s="42"/>
      <c r="E671" s="43"/>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row>
    <row r="672">
      <c r="A672" s="40"/>
      <c r="B672" s="40"/>
      <c r="C672" s="42"/>
      <c r="D672" s="42"/>
      <c r="E672" s="43"/>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row>
    <row r="673">
      <c r="A673" s="40"/>
      <c r="B673" s="40"/>
      <c r="C673" s="42"/>
      <c r="D673" s="42"/>
      <c r="E673" s="43"/>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row>
    <row r="674">
      <c r="A674" s="40"/>
      <c r="B674" s="40"/>
      <c r="C674" s="42"/>
      <c r="D674" s="42"/>
      <c r="E674" s="43"/>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row>
    <row r="675">
      <c r="A675" s="40"/>
      <c r="B675" s="40"/>
      <c r="C675" s="42"/>
      <c r="D675" s="42"/>
      <c r="E675" s="43"/>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row>
    <row r="676">
      <c r="A676" s="40"/>
      <c r="B676" s="40"/>
      <c r="C676" s="42"/>
      <c r="D676" s="42"/>
      <c r="E676" s="43"/>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row>
    <row r="677">
      <c r="A677" s="40"/>
      <c r="B677" s="40"/>
      <c r="C677" s="42"/>
      <c r="D677" s="42"/>
      <c r="E677" s="43"/>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row>
    <row r="678">
      <c r="A678" s="40"/>
      <c r="B678" s="40"/>
      <c r="C678" s="42"/>
      <c r="D678" s="42"/>
      <c r="E678" s="43"/>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row>
    <row r="679">
      <c r="A679" s="40"/>
      <c r="B679" s="40"/>
      <c r="C679" s="42"/>
      <c r="D679" s="42"/>
      <c r="E679" s="43"/>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row>
    <row r="680">
      <c r="A680" s="40"/>
      <c r="B680" s="40"/>
      <c r="C680" s="42"/>
      <c r="D680" s="42"/>
      <c r="E680" s="43"/>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row>
    <row r="681">
      <c r="A681" s="40"/>
      <c r="B681" s="40"/>
      <c r="C681" s="42"/>
      <c r="D681" s="42"/>
      <c r="E681" s="43"/>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row>
    <row r="682">
      <c r="A682" s="40"/>
      <c r="B682" s="40"/>
      <c r="C682" s="42"/>
      <c r="D682" s="42"/>
      <c r="E682" s="43"/>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row>
    <row r="683">
      <c r="A683" s="40"/>
      <c r="B683" s="40"/>
      <c r="C683" s="42"/>
      <c r="D683" s="42"/>
      <c r="E683" s="43"/>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row>
    <row r="684">
      <c r="A684" s="40"/>
      <c r="B684" s="40"/>
      <c r="C684" s="42"/>
      <c r="D684" s="42"/>
      <c r="E684" s="43"/>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row>
    <row r="685">
      <c r="A685" s="40"/>
      <c r="B685" s="40"/>
      <c r="C685" s="42"/>
      <c r="D685" s="42"/>
      <c r="E685" s="43"/>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row>
    <row r="686">
      <c r="A686" s="40"/>
      <c r="B686" s="40"/>
      <c r="C686" s="42"/>
      <c r="D686" s="42"/>
      <c r="E686" s="43"/>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row>
    <row r="687">
      <c r="A687" s="40"/>
      <c r="B687" s="40"/>
      <c r="C687" s="42"/>
      <c r="D687" s="42"/>
      <c r="E687" s="43"/>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row>
    <row r="688">
      <c r="A688" s="40"/>
      <c r="B688" s="40"/>
      <c r="C688" s="42"/>
      <c r="D688" s="42"/>
      <c r="E688" s="43"/>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row>
    <row r="689">
      <c r="A689" s="40"/>
      <c r="B689" s="40"/>
      <c r="C689" s="42"/>
      <c r="D689" s="42"/>
      <c r="E689" s="43"/>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row>
    <row r="690">
      <c r="A690" s="40"/>
      <c r="B690" s="40"/>
      <c r="C690" s="42"/>
      <c r="D690" s="42"/>
      <c r="E690" s="43"/>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row>
    <row r="691">
      <c r="A691" s="40"/>
      <c r="B691" s="40"/>
      <c r="C691" s="42"/>
      <c r="D691" s="42"/>
      <c r="E691" s="43"/>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row>
    <row r="692">
      <c r="A692" s="40"/>
      <c r="B692" s="40"/>
      <c r="C692" s="42"/>
      <c r="D692" s="42"/>
      <c r="E692" s="43"/>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row>
    <row r="693">
      <c r="A693" s="40"/>
      <c r="B693" s="40"/>
      <c r="C693" s="42"/>
      <c r="D693" s="42"/>
      <c r="E693" s="43"/>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row>
    <row r="694">
      <c r="A694" s="40"/>
      <c r="B694" s="40"/>
      <c r="C694" s="42"/>
      <c r="D694" s="42"/>
      <c r="E694" s="43"/>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row>
    <row r="695">
      <c r="A695" s="40"/>
      <c r="B695" s="40"/>
      <c r="C695" s="42"/>
      <c r="D695" s="42"/>
      <c r="E695" s="43"/>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row>
    <row r="696">
      <c r="A696" s="40"/>
      <c r="B696" s="40"/>
      <c r="C696" s="42"/>
      <c r="D696" s="42"/>
      <c r="E696" s="43"/>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row>
    <row r="697">
      <c r="A697" s="40"/>
      <c r="B697" s="40"/>
      <c r="C697" s="42"/>
      <c r="D697" s="42"/>
      <c r="E697" s="43"/>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row>
    <row r="698">
      <c r="A698" s="40"/>
      <c r="B698" s="40"/>
      <c r="C698" s="42"/>
      <c r="D698" s="42"/>
      <c r="E698" s="43"/>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row>
    <row r="699">
      <c r="A699" s="40"/>
      <c r="B699" s="40"/>
      <c r="C699" s="42"/>
      <c r="D699" s="42"/>
      <c r="E699" s="43"/>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row>
    <row r="700">
      <c r="A700" s="40"/>
      <c r="B700" s="40"/>
      <c r="C700" s="42"/>
      <c r="D700" s="42"/>
      <c r="E700" s="43"/>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row>
    <row r="701">
      <c r="A701" s="40"/>
      <c r="B701" s="40"/>
      <c r="C701" s="42"/>
      <c r="D701" s="42"/>
      <c r="E701" s="43"/>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row>
    <row r="702">
      <c r="A702" s="40"/>
      <c r="B702" s="40"/>
      <c r="C702" s="42"/>
      <c r="D702" s="42"/>
      <c r="E702" s="43"/>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row>
    <row r="703">
      <c r="A703" s="40"/>
      <c r="B703" s="40"/>
      <c r="C703" s="42"/>
      <c r="D703" s="42"/>
      <c r="E703" s="43"/>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row>
    <row r="704">
      <c r="A704" s="40"/>
      <c r="B704" s="40"/>
      <c r="C704" s="42"/>
      <c r="D704" s="42"/>
      <c r="E704" s="43"/>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row>
    <row r="705">
      <c r="A705" s="40"/>
      <c r="B705" s="40"/>
      <c r="C705" s="42"/>
      <c r="D705" s="42"/>
      <c r="E705" s="43"/>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row>
    <row r="706">
      <c r="A706" s="40"/>
      <c r="B706" s="40"/>
      <c r="C706" s="42"/>
      <c r="D706" s="42"/>
      <c r="E706" s="43"/>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row>
    <row r="707">
      <c r="A707" s="40"/>
      <c r="B707" s="40"/>
      <c r="C707" s="42"/>
      <c r="D707" s="42"/>
      <c r="E707" s="43"/>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row>
    <row r="708">
      <c r="A708" s="40"/>
      <c r="B708" s="40"/>
      <c r="C708" s="42"/>
      <c r="D708" s="42"/>
      <c r="E708" s="43"/>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row>
    <row r="709">
      <c r="A709" s="40"/>
      <c r="B709" s="40"/>
      <c r="C709" s="42"/>
      <c r="D709" s="42"/>
      <c r="E709" s="43"/>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row>
    <row r="710">
      <c r="A710" s="40"/>
      <c r="B710" s="40"/>
      <c r="C710" s="42"/>
      <c r="D710" s="42"/>
      <c r="E710" s="43"/>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row>
    <row r="711">
      <c r="A711" s="40"/>
      <c r="B711" s="40"/>
      <c r="C711" s="42"/>
      <c r="D711" s="42"/>
      <c r="E711" s="43"/>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row>
    <row r="712">
      <c r="A712" s="40"/>
      <c r="B712" s="40"/>
      <c r="C712" s="42"/>
      <c r="D712" s="42"/>
      <c r="E712" s="43"/>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row>
    <row r="713">
      <c r="A713" s="40"/>
      <c r="B713" s="40"/>
      <c r="C713" s="42"/>
      <c r="D713" s="42"/>
      <c r="E713" s="43"/>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row>
    <row r="714">
      <c r="A714" s="40"/>
      <c r="B714" s="40"/>
      <c r="C714" s="42"/>
      <c r="D714" s="42"/>
      <c r="E714" s="43"/>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row>
    <row r="715">
      <c r="A715" s="40"/>
      <c r="B715" s="40"/>
      <c r="C715" s="42"/>
      <c r="D715" s="42"/>
      <c r="E715" s="43"/>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row>
    <row r="716">
      <c r="A716" s="40"/>
      <c r="B716" s="40"/>
      <c r="C716" s="42"/>
      <c r="D716" s="42"/>
      <c r="E716" s="43"/>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row>
    <row r="717">
      <c r="A717" s="40"/>
      <c r="B717" s="40"/>
      <c r="C717" s="42"/>
      <c r="D717" s="42"/>
      <c r="E717" s="43"/>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row>
    <row r="718">
      <c r="A718" s="40"/>
      <c r="B718" s="40"/>
      <c r="C718" s="42"/>
      <c r="D718" s="42"/>
      <c r="E718" s="43"/>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row>
    <row r="719">
      <c r="A719" s="40"/>
      <c r="B719" s="40"/>
      <c r="C719" s="42"/>
      <c r="D719" s="42"/>
      <c r="E719" s="43"/>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row>
    <row r="720">
      <c r="A720" s="40"/>
      <c r="B720" s="40"/>
      <c r="C720" s="42"/>
      <c r="D720" s="42"/>
      <c r="E720" s="43"/>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row>
    <row r="721">
      <c r="A721" s="40"/>
      <c r="B721" s="40"/>
      <c r="C721" s="42"/>
      <c r="D721" s="42"/>
      <c r="E721" s="43"/>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row>
    <row r="722">
      <c r="A722" s="40"/>
      <c r="B722" s="40"/>
      <c r="C722" s="42"/>
      <c r="D722" s="42"/>
      <c r="E722" s="43"/>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row>
    <row r="723">
      <c r="A723" s="40"/>
      <c r="B723" s="40"/>
      <c r="C723" s="42"/>
      <c r="D723" s="42"/>
      <c r="E723" s="43"/>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row>
    <row r="724">
      <c r="A724" s="40"/>
      <c r="B724" s="40"/>
      <c r="C724" s="42"/>
      <c r="D724" s="42"/>
      <c r="E724" s="43"/>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row>
    <row r="725">
      <c r="A725" s="40"/>
      <c r="B725" s="40"/>
      <c r="C725" s="42"/>
      <c r="D725" s="42"/>
      <c r="E725" s="43"/>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row>
    <row r="726">
      <c r="A726" s="40"/>
      <c r="B726" s="40"/>
      <c r="C726" s="42"/>
      <c r="D726" s="42"/>
      <c r="E726" s="43"/>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row>
    <row r="727">
      <c r="A727" s="40"/>
      <c r="B727" s="40"/>
      <c r="C727" s="42"/>
      <c r="D727" s="42"/>
      <c r="E727" s="43"/>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row>
    <row r="728">
      <c r="A728" s="40"/>
      <c r="B728" s="40"/>
      <c r="C728" s="42"/>
      <c r="D728" s="42"/>
      <c r="E728" s="43"/>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row>
    <row r="729">
      <c r="A729" s="40"/>
      <c r="B729" s="40"/>
      <c r="C729" s="42"/>
      <c r="D729" s="42"/>
      <c r="E729" s="43"/>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row>
    <row r="730">
      <c r="A730" s="40"/>
      <c r="B730" s="40"/>
      <c r="C730" s="42"/>
      <c r="D730" s="42"/>
      <c r="E730" s="43"/>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row>
    <row r="731">
      <c r="A731" s="40"/>
      <c r="B731" s="40"/>
      <c r="C731" s="42"/>
      <c r="D731" s="42"/>
      <c r="E731" s="43"/>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row>
    <row r="732">
      <c r="A732" s="40"/>
      <c r="B732" s="40"/>
      <c r="C732" s="42"/>
      <c r="D732" s="42"/>
      <c r="E732" s="43"/>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row>
    <row r="733">
      <c r="A733" s="40"/>
      <c r="B733" s="40"/>
      <c r="C733" s="42"/>
      <c r="D733" s="42"/>
      <c r="E733" s="43"/>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row>
    <row r="734">
      <c r="A734" s="40"/>
      <c r="B734" s="40"/>
      <c r="C734" s="42"/>
      <c r="D734" s="42"/>
      <c r="E734" s="43"/>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row>
    <row r="735">
      <c r="A735" s="40"/>
      <c r="B735" s="40"/>
      <c r="C735" s="42"/>
      <c r="D735" s="42"/>
      <c r="E735" s="43"/>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row>
    <row r="736">
      <c r="A736" s="40"/>
      <c r="B736" s="40"/>
      <c r="C736" s="42"/>
      <c r="D736" s="42"/>
      <c r="E736" s="43"/>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row>
    <row r="737">
      <c r="A737" s="40"/>
      <c r="B737" s="40"/>
      <c r="C737" s="42"/>
      <c r="D737" s="42"/>
      <c r="E737" s="43"/>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row>
    <row r="738">
      <c r="A738" s="40"/>
      <c r="B738" s="40"/>
      <c r="C738" s="42"/>
      <c r="D738" s="42"/>
      <c r="E738" s="43"/>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row>
    <row r="739">
      <c r="A739" s="40"/>
      <c r="B739" s="40"/>
      <c r="C739" s="42"/>
      <c r="D739" s="42"/>
      <c r="E739" s="43"/>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row>
    <row r="740">
      <c r="A740" s="40"/>
      <c r="B740" s="40"/>
      <c r="C740" s="42"/>
      <c r="D740" s="42"/>
      <c r="E740" s="43"/>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row>
    <row r="741">
      <c r="A741" s="40"/>
      <c r="B741" s="40"/>
      <c r="C741" s="42"/>
      <c r="D741" s="42"/>
      <c r="E741" s="43"/>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row>
    <row r="742">
      <c r="A742" s="40"/>
      <c r="B742" s="40"/>
      <c r="C742" s="42"/>
      <c r="D742" s="42"/>
      <c r="E742" s="43"/>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row>
    <row r="743">
      <c r="A743" s="40"/>
      <c r="B743" s="40"/>
      <c r="C743" s="42"/>
      <c r="D743" s="42"/>
      <c r="E743" s="43"/>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row>
    <row r="744">
      <c r="A744" s="40"/>
      <c r="B744" s="40"/>
      <c r="C744" s="42"/>
      <c r="D744" s="42"/>
      <c r="E744" s="43"/>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row>
    <row r="745">
      <c r="A745" s="40"/>
      <c r="B745" s="40"/>
      <c r="C745" s="42"/>
      <c r="D745" s="42"/>
      <c r="E745" s="43"/>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row>
    <row r="746">
      <c r="A746" s="40"/>
      <c r="B746" s="40"/>
      <c r="C746" s="42"/>
      <c r="D746" s="42"/>
      <c r="E746" s="43"/>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row>
    <row r="747">
      <c r="A747" s="40"/>
      <c r="B747" s="40"/>
      <c r="C747" s="42"/>
      <c r="D747" s="42"/>
      <c r="E747" s="43"/>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row>
    <row r="748">
      <c r="A748" s="40"/>
      <c r="B748" s="40"/>
      <c r="C748" s="42"/>
      <c r="D748" s="42"/>
      <c r="E748" s="43"/>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row>
    <row r="749">
      <c r="A749" s="40"/>
      <c r="B749" s="40"/>
      <c r="C749" s="42"/>
      <c r="D749" s="42"/>
      <c r="E749" s="43"/>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row>
    <row r="750">
      <c r="A750" s="40"/>
      <c r="B750" s="40"/>
      <c r="C750" s="42"/>
      <c r="D750" s="42"/>
      <c r="E750" s="43"/>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row>
    <row r="751">
      <c r="A751" s="40"/>
      <c r="B751" s="40"/>
      <c r="C751" s="42"/>
      <c r="D751" s="42"/>
      <c r="E751" s="43"/>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row>
    <row r="752">
      <c r="A752" s="40"/>
      <c r="B752" s="40"/>
      <c r="C752" s="42"/>
      <c r="D752" s="42"/>
      <c r="E752" s="43"/>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row>
    <row r="753">
      <c r="A753" s="40"/>
      <c r="B753" s="40"/>
      <c r="C753" s="42"/>
      <c r="D753" s="42"/>
      <c r="E753" s="43"/>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row>
    <row r="754">
      <c r="A754" s="40"/>
      <c r="B754" s="40"/>
      <c r="C754" s="42"/>
      <c r="D754" s="42"/>
      <c r="E754" s="43"/>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row>
    <row r="755">
      <c r="A755" s="40"/>
      <c r="B755" s="40"/>
      <c r="C755" s="42"/>
      <c r="D755" s="42"/>
      <c r="E755" s="43"/>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row>
    <row r="756">
      <c r="A756" s="40"/>
      <c r="B756" s="40"/>
      <c r="C756" s="42"/>
      <c r="D756" s="42"/>
      <c r="E756" s="43"/>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row>
    <row r="757">
      <c r="A757" s="40"/>
      <c r="B757" s="40"/>
      <c r="C757" s="42"/>
      <c r="D757" s="42"/>
      <c r="E757" s="43"/>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row>
    <row r="758">
      <c r="A758" s="40"/>
      <c r="B758" s="40"/>
      <c r="C758" s="42"/>
      <c r="D758" s="42"/>
      <c r="E758" s="43"/>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row>
    <row r="759">
      <c r="A759" s="40"/>
      <c r="B759" s="40"/>
      <c r="C759" s="42"/>
      <c r="D759" s="42"/>
      <c r="E759" s="43"/>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row>
    <row r="760">
      <c r="A760" s="40"/>
      <c r="B760" s="40"/>
      <c r="C760" s="42"/>
      <c r="D760" s="42"/>
      <c r="E760" s="43"/>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row>
    <row r="761">
      <c r="A761" s="40"/>
      <c r="B761" s="40"/>
      <c r="C761" s="42"/>
      <c r="D761" s="42"/>
      <c r="E761" s="43"/>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row>
    <row r="762">
      <c r="A762" s="40"/>
      <c r="B762" s="40"/>
      <c r="C762" s="42"/>
      <c r="D762" s="42"/>
      <c r="E762" s="43"/>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row>
    <row r="763">
      <c r="A763" s="40"/>
      <c r="B763" s="40"/>
      <c r="C763" s="42"/>
      <c r="D763" s="42"/>
      <c r="E763" s="43"/>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row>
    <row r="764">
      <c r="A764" s="40"/>
      <c r="B764" s="40"/>
      <c r="C764" s="42"/>
      <c r="D764" s="42"/>
      <c r="E764" s="43"/>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row>
    <row r="765">
      <c r="A765" s="40"/>
      <c r="B765" s="40"/>
      <c r="C765" s="42"/>
      <c r="D765" s="42"/>
      <c r="E765" s="43"/>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row>
    <row r="766">
      <c r="A766" s="40"/>
      <c r="B766" s="40"/>
      <c r="C766" s="42"/>
      <c r="D766" s="42"/>
      <c r="E766" s="43"/>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row>
    <row r="767">
      <c r="A767" s="40"/>
      <c r="B767" s="40"/>
      <c r="C767" s="42"/>
      <c r="D767" s="42"/>
      <c r="E767" s="43"/>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row>
    <row r="768">
      <c r="A768" s="40"/>
      <c r="B768" s="40"/>
      <c r="C768" s="42"/>
      <c r="D768" s="42"/>
      <c r="E768" s="43"/>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row>
    <row r="769">
      <c r="A769" s="40"/>
      <c r="B769" s="40"/>
      <c r="C769" s="42"/>
      <c r="D769" s="42"/>
      <c r="E769" s="43"/>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row>
    <row r="770">
      <c r="A770" s="40"/>
      <c r="B770" s="40"/>
      <c r="C770" s="42"/>
      <c r="D770" s="42"/>
      <c r="E770" s="43"/>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row>
    <row r="771">
      <c r="A771" s="40"/>
      <c r="B771" s="40"/>
      <c r="C771" s="42"/>
      <c r="D771" s="42"/>
      <c r="E771" s="43"/>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row>
    <row r="772">
      <c r="A772" s="40"/>
      <c r="B772" s="40"/>
      <c r="C772" s="42"/>
      <c r="D772" s="42"/>
      <c r="E772" s="43"/>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row>
    <row r="773">
      <c r="A773" s="40"/>
      <c r="B773" s="40"/>
      <c r="C773" s="42"/>
      <c r="D773" s="42"/>
      <c r="E773" s="43"/>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row>
    <row r="774">
      <c r="A774" s="40"/>
      <c r="B774" s="40"/>
      <c r="C774" s="42"/>
      <c r="D774" s="42"/>
      <c r="E774" s="43"/>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row>
    <row r="775">
      <c r="A775" s="40"/>
      <c r="B775" s="40"/>
      <c r="C775" s="42"/>
      <c r="D775" s="42"/>
      <c r="E775" s="43"/>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row>
    <row r="776">
      <c r="A776" s="40"/>
      <c r="B776" s="40"/>
      <c r="C776" s="42"/>
      <c r="D776" s="42"/>
      <c r="E776" s="43"/>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row>
    <row r="777">
      <c r="A777" s="40"/>
      <c r="B777" s="40"/>
      <c r="C777" s="42"/>
      <c r="D777" s="42"/>
      <c r="E777" s="43"/>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row>
    <row r="778">
      <c r="A778" s="40"/>
      <c r="B778" s="40"/>
      <c r="C778" s="42"/>
      <c r="D778" s="42"/>
      <c r="E778" s="43"/>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row>
    <row r="779">
      <c r="A779" s="40"/>
      <c r="B779" s="40"/>
      <c r="C779" s="42"/>
      <c r="D779" s="42"/>
      <c r="E779" s="43"/>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row>
    <row r="780">
      <c r="A780" s="40"/>
      <c r="B780" s="40"/>
      <c r="C780" s="42"/>
      <c r="D780" s="42"/>
      <c r="E780" s="43"/>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row>
    <row r="781">
      <c r="A781" s="40"/>
      <c r="B781" s="40"/>
      <c r="C781" s="42"/>
      <c r="D781" s="42"/>
      <c r="E781" s="43"/>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row>
    <row r="782">
      <c r="A782" s="40"/>
      <c r="B782" s="40"/>
      <c r="C782" s="42"/>
      <c r="D782" s="42"/>
      <c r="E782" s="43"/>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row>
    <row r="783">
      <c r="A783" s="40"/>
      <c r="B783" s="40"/>
      <c r="C783" s="42"/>
      <c r="D783" s="42"/>
      <c r="E783" s="43"/>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row>
    <row r="784">
      <c r="A784" s="40"/>
      <c r="B784" s="40"/>
      <c r="C784" s="42"/>
      <c r="D784" s="42"/>
      <c r="E784" s="43"/>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row>
    <row r="785">
      <c r="A785" s="40"/>
      <c r="B785" s="40"/>
      <c r="C785" s="42"/>
      <c r="D785" s="42"/>
      <c r="E785" s="43"/>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row>
    <row r="786">
      <c r="A786" s="40"/>
      <c r="B786" s="40"/>
      <c r="C786" s="42"/>
      <c r="D786" s="42"/>
      <c r="E786" s="43"/>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row>
    <row r="787">
      <c r="A787" s="40"/>
      <c r="B787" s="40"/>
      <c r="C787" s="42"/>
      <c r="D787" s="42"/>
      <c r="E787" s="43"/>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row>
    <row r="788">
      <c r="A788" s="40"/>
      <c r="B788" s="40"/>
      <c r="C788" s="42"/>
      <c r="D788" s="42"/>
      <c r="E788" s="43"/>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row>
    <row r="789">
      <c r="A789" s="40"/>
      <c r="B789" s="40"/>
      <c r="C789" s="42"/>
      <c r="D789" s="42"/>
      <c r="E789" s="43"/>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row>
    <row r="790">
      <c r="A790" s="40"/>
      <c r="B790" s="40"/>
      <c r="C790" s="42"/>
      <c r="D790" s="42"/>
      <c r="E790" s="43"/>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row>
    <row r="791">
      <c r="A791" s="40"/>
      <c r="B791" s="40"/>
      <c r="C791" s="42"/>
      <c r="D791" s="42"/>
      <c r="E791" s="43"/>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row>
    <row r="792">
      <c r="A792" s="40"/>
      <c r="B792" s="40"/>
      <c r="C792" s="42"/>
      <c r="D792" s="42"/>
      <c r="E792" s="43"/>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row>
    <row r="793">
      <c r="A793" s="40"/>
      <c r="B793" s="40"/>
      <c r="C793" s="42"/>
      <c r="D793" s="42"/>
      <c r="E793" s="43"/>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row>
    <row r="794">
      <c r="A794" s="40"/>
      <c r="B794" s="40"/>
      <c r="C794" s="42"/>
      <c r="D794" s="42"/>
      <c r="E794" s="43"/>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row>
    <row r="795">
      <c r="A795" s="40"/>
      <c r="B795" s="40"/>
      <c r="C795" s="42"/>
      <c r="D795" s="42"/>
      <c r="E795" s="43"/>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row>
    <row r="796">
      <c r="A796" s="40"/>
      <c r="B796" s="40"/>
      <c r="C796" s="42"/>
      <c r="D796" s="42"/>
      <c r="E796" s="43"/>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row>
    <row r="797">
      <c r="A797" s="40"/>
      <c r="B797" s="40"/>
      <c r="C797" s="42"/>
      <c r="D797" s="42"/>
      <c r="E797" s="43"/>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row>
    <row r="798">
      <c r="A798" s="40"/>
      <c r="B798" s="40"/>
      <c r="C798" s="42"/>
      <c r="D798" s="42"/>
      <c r="E798" s="43"/>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row>
    <row r="799">
      <c r="A799" s="40"/>
      <c r="B799" s="40"/>
      <c r="C799" s="42"/>
      <c r="D799" s="42"/>
      <c r="E799" s="43"/>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row>
    <row r="800">
      <c r="A800" s="40"/>
      <c r="B800" s="40"/>
      <c r="C800" s="42"/>
      <c r="D800" s="42"/>
      <c r="E800" s="43"/>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row>
    <row r="801">
      <c r="A801" s="40"/>
      <c r="B801" s="40"/>
      <c r="C801" s="42"/>
      <c r="D801" s="42"/>
      <c r="E801" s="43"/>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row>
    <row r="802">
      <c r="A802" s="40"/>
      <c r="B802" s="40"/>
      <c r="C802" s="42"/>
      <c r="D802" s="42"/>
      <c r="E802" s="43"/>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row>
    <row r="803">
      <c r="A803" s="40"/>
      <c r="B803" s="40"/>
      <c r="C803" s="42"/>
      <c r="D803" s="42"/>
      <c r="E803" s="43"/>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row>
    <row r="804">
      <c r="A804" s="40"/>
      <c r="B804" s="40"/>
      <c r="C804" s="42"/>
      <c r="D804" s="42"/>
      <c r="E804" s="43"/>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row>
    <row r="805">
      <c r="A805" s="40"/>
      <c r="B805" s="40"/>
      <c r="C805" s="42"/>
      <c r="D805" s="42"/>
      <c r="E805" s="43"/>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row>
    <row r="806">
      <c r="A806" s="40"/>
      <c r="B806" s="40"/>
      <c r="C806" s="42"/>
      <c r="D806" s="42"/>
      <c r="E806" s="43"/>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row>
    <row r="807">
      <c r="A807" s="40"/>
      <c r="B807" s="40"/>
      <c r="C807" s="42"/>
      <c r="D807" s="42"/>
      <c r="E807" s="43"/>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row>
    <row r="808">
      <c r="A808" s="40"/>
      <c r="B808" s="40"/>
      <c r="C808" s="42"/>
      <c r="D808" s="42"/>
      <c r="E808" s="43"/>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row>
    <row r="809">
      <c r="A809" s="40"/>
      <c r="B809" s="40"/>
      <c r="C809" s="42"/>
      <c r="D809" s="42"/>
      <c r="E809" s="43"/>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row>
    <row r="810">
      <c r="A810" s="40"/>
      <c r="B810" s="40"/>
      <c r="C810" s="42"/>
      <c r="D810" s="42"/>
      <c r="E810" s="43"/>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row>
    <row r="811">
      <c r="A811" s="40"/>
      <c r="B811" s="40"/>
      <c r="C811" s="42"/>
      <c r="D811" s="42"/>
      <c r="E811" s="43"/>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row>
    <row r="812">
      <c r="A812" s="40"/>
      <c r="B812" s="40"/>
      <c r="C812" s="42"/>
      <c r="D812" s="42"/>
      <c r="E812" s="43"/>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row>
    <row r="813">
      <c r="A813" s="40"/>
      <c r="B813" s="40"/>
      <c r="C813" s="42"/>
      <c r="D813" s="42"/>
      <c r="E813" s="43"/>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row>
    <row r="814">
      <c r="A814" s="40"/>
      <c r="B814" s="40"/>
      <c r="C814" s="42"/>
      <c r="D814" s="42"/>
      <c r="E814" s="43"/>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row>
    <row r="815">
      <c r="A815" s="40"/>
      <c r="B815" s="40"/>
      <c r="C815" s="42"/>
      <c r="D815" s="42"/>
      <c r="E815" s="43"/>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row>
    <row r="816">
      <c r="A816" s="40"/>
      <c r="B816" s="40"/>
      <c r="C816" s="42"/>
      <c r="D816" s="42"/>
      <c r="E816" s="43"/>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row>
    <row r="817">
      <c r="A817" s="40"/>
      <c r="B817" s="40"/>
      <c r="C817" s="42"/>
      <c r="D817" s="42"/>
      <c r="E817" s="43"/>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row>
    <row r="818">
      <c r="A818" s="40"/>
      <c r="B818" s="40"/>
      <c r="C818" s="42"/>
      <c r="D818" s="42"/>
      <c r="E818" s="43"/>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row>
    <row r="819">
      <c r="A819" s="40"/>
      <c r="B819" s="40"/>
      <c r="C819" s="42"/>
      <c r="D819" s="42"/>
      <c r="E819" s="43"/>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row>
    <row r="820">
      <c r="A820" s="40"/>
      <c r="B820" s="40"/>
      <c r="C820" s="42"/>
      <c r="D820" s="42"/>
      <c r="E820" s="43"/>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row>
    <row r="821">
      <c r="A821" s="40"/>
      <c r="B821" s="40"/>
      <c r="C821" s="42"/>
      <c r="D821" s="42"/>
      <c r="E821" s="43"/>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row>
    <row r="822">
      <c r="A822" s="40"/>
      <c r="B822" s="40"/>
      <c r="C822" s="42"/>
      <c r="D822" s="42"/>
      <c r="E822" s="43"/>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row>
    <row r="823">
      <c r="A823" s="40"/>
      <c r="B823" s="40"/>
      <c r="C823" s="42"/>
      <c r="D823" s="42"/>
      <c r="E823" s="43"/>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row>
    <row r="824">
      <c r="A824" s="40"/>
      <c r="B824" s="40"/>
      <c r="C824" s="42"/>
      <c r="D824" s="42"/>
      <c r="E824" s="43"/>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row>
    <row r="825">
      <c r="A825" s="40"/>
      <c r="B825" s="40"/>
      <c r="C825" s="42"/>
      <c r="D825" s="42"/>
      <c r="E825" s="43"/>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row>
    <row r="826">
      <c r="A826" s="40"/>
      <c r="B826" s="40"/>
      <c r="C826" s="42"/>
      <c r="D826" s="42"/>
      <c r="E826" s="43"/>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row>
    <row r="827">
      <c r="A827" s="40"/>
      <c r="B827" s="40"/>
      <c r="C827" s="42"/>
      <c r="D827" s="42"/>
      <c r="E827" s="43"/>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row>
    <row r="828">
      <c r="A828" s="40"/>
      <c r="B828" s="40"/>
      <c r="C828" s="42"/>
      <c r="D828" s="42"/>
      <c r="E828" s="43"/>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row>
    <row r="829">
      <c r="A829" s="40"/>
      <c r="B829" s="40"/>
      <c r="C829" s="42"/>
      <c r="D829" s="42"/>
      <c r="E829" s="43"/>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row>
    <row r="830">
      <c r="A830" s="40"/>
      <c r="B830" s="40"/>
      <c r="C830" s="42"/>
      <c r="D830" s="42"/>
      <c r="E830" s="43"/>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row>
    <row r="831">
      <c r="A831" s="40"/>
      <c r="B831" s="40"/>
      <c r="C831" s="42"/>
      <c r="D831" s="42"/>
      <c r="E831" s="43"/>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row>
    <row r="832">
      <c r="A832" s="40"/>
      <c r="B832" s="40"/>
      <c r="C832" s="42"/>
      <c r="D832" s="42"/>
      <c r="E832" s="43"/>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row>
    <row r="833">
      <c r="A833" s="40"/>
      <c r="B833" s="40"/>
      <c r="C833" s="42"/>
      <c r="D833" s="42"/>
      <c r="E833" s="43"/>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row>
    <row r="834">
      <c r="A834" s="40"/>
      <c r="B834" s="40"/>
      <c r="C834" s="42"/>
      <c r="D834" s="42"/>
      <c r="E834" s="43"/>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row>
    <row r="835">
      <c r="A835" s="40"/>
      <c r="B835" s="40"/>
      <c r="C835" s="42"/>
      <c r="D835" s="42"/>
      <c r="E835" s="43"/>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row>
    <row r="836">
      <c r="A836" s="40"/>
      <c r="B836" s="40"/>
      <c r="C836" s="42"/>
      <c r="D836" s="42"/>
      <c r="E836" s="43"/>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row>
    <row r="837">
      <c r="A837" s="40"/>
      <c r="B837" s="40"/>
      <c r="C837" s="42"/>
      <c r="D837" s="42"/>
      <c r="E837" s="43"/>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row>
    <row r="838">
      <c r="A838" s="40"/>
      <c r="B838" s="40"/>
      <c r="C838" s="42"/>
      <c r="D838" s="42"/>
      <c r="E838" s="43"/>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row>
    <row r="839">
      <c r="A839" s="40"/>
      <c r="B839" s="40"/>
      <c r="C839" s="42"/>
      <c r="D839" s="42"/>
      <c r="E839" s="43"/>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row>
    <row r="840">
      <c r="A840" s="40"/>
      <c r="B840" s="40"/>
      <c r="C840" s="42"/>
      <c r="D840" s="42"/>
      <c r="E840" s="43"/>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row>
    <row r="841">
      <c r="A841" s="40"/>
      <c r="B841" s="40"/>
      <c r="C841" s="42"/>
      <c r="D841" s="42"/>
      <c r="E841" s="43"/>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row>
    <row r="842">
      <c r="A842" s="40"/>
      <c r="B842" s="40"/>
      <c r="C842" s="42"/>
      <c r="D842" s="42"/>
      <c r="E842" s="43"/>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row>
    <row r="843">
      <c r="A843" s="40"/>
      <c r="B843" s="40"/>
      <c r="C843" s="42"/>
      <c r="D843" s="42"/>
      <c r="E843" s="43"/>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row>
    <row r="844">
      <c r="A844" s="40"/>
      <c r="B844" s="40"/>
      <c r="C844" s="42"/>
      <c r="D844" s="42"/>
      <c r="E844" s="43"/>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row>
    <row r="845">
      <c r="A845" s="40"/>
      <c r="B845" s="40"/>
      <c r="C845" s="42"/>
      <c r="D845" s="42"/>
      <c r="E845" s="43"/>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row>
    <row r="846">
      <c r="A846" s="40"/>
      <c r="B846" s="40"/>
      <c r="C846" s="42"/>
      <c r="D846" s="42"/>
      <c r="E846" s="43"/>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row>
    <row r="847">
      <c r="A847" s="40"/>
      <c r="B847" s="40"/>
      <c r="C847" s="42"/>
      <c r="D847" s="42"/>
      <c r="E847" s="43"/>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row>
    <row r="848">
      <c r="A848" s="40"/>
      <c r="B848" s="40"/>
      <c r="C848" s="42"/>
      <c r="D848" s="42"/>
      <c r="E848" s="43"/>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row>
    <row r="849">
      <c r="A849" s="40"/>
      <c r="B849" s="40"/>
      <c r="C849" s="42"/>
      <c r="D849" s="42"/>
      <c r="E849" s="43"/>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row>
    <row r="850">
      <c r="A850" s="40"/>
      <c r="B850" s="40"/>
      <c r="C850" s="42"/>
      <c r="D850" s="42"/>
      <c r="E850" s="43"/>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row>
    <row r="851">
      <c r="A851" s="40"/>
      <c r="B851" s="40"/>
      <c r="C851" s="42"/>
      <c r="D851" s="42"/>
      <c r="E851" s="43"/>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row>
    <row r="852">
      <c r="A852" s="40"/>
      <c r="B852" s="40"/>
      <c r="C852" s="42"/>
      <c r="D852" s="42"/>
      <c r="E852" s="43"/>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row>
    <row r="853">
      <c r="A853" s="40"/>
      <c r="B853" s="40"/>
      <c r="C853" s="42"/>
      <c r="D853" s="42"/>
      <c r="E853" s="43"/>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row>
    <row r="854">
      <c r="A854" s="40"/>
      <c r="B854" s="40"/>
      <c r="C854" s="42"/>
      <c r="D854" s="42"/>
      <c r="E854" s="43"/>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row>
    <row r="855">
      <c r="A855" s="40"/>
      <c r="B855" s="40"/>
      <c r="C855" s="42"/>
      <c r="D855" s="42"/>
      <c r="E855" s="43"/>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row>
    <row r="856">
      <c r="A856" s="40"/>
      <c r="B856" s="40"/>
      <c r="C856" s="42"/>
      <c r="D856" s="42"/>
      <c r="E856" s="43"/>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row>
    <row r="857">
      <c r="A857" s="40"/>
      <c r="B857" s="40"/>
      <c r="C857" s="42"/>
      <c r="D857" s="42"/>
      <c r="E857" s="43"/>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row>
    <row r="858">
      <c r="A858" s="40"/>
      <c r="B858" s="40"/>
      <c r="C858" s="42"/>
      <c r="D858" s="42"/>
      <c r="E858" s="43"/>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row>
    <row r="859">
      <c r="A859" s="40"/>
      <c r="B859" s="40"/>
      <c r="C859" s="42"/>
      <c r="D859" s="42"/>
      <c r="E859" s="43"/>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row>
    <row r="860">
      <c r="A860" s="40"/>
      <c r="B860" s="40"/>
      <c r="C860" s="42"/>
      <c r="D860" s="42"/>
      <c r="E860" s="43"/>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row>
    <row r="861">
      <c r="A861" s="40"/>
      <c r="B861" s="40"/>
      <c r="C861" s="42"/>
      <c r="D861" s="42"/>
      <c r="E861" s="43"/>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row>
    <row r="862">
      <c r="A862" s="40"/>
      <c r="B862" s="40"/>
      <c r="C862" s="42"/>
      <c r="D862" s="42"/>
      <c r="E862" s="43"/>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row>
    <row r="863">
      <c r="A863" s="40"/>
      <c r="B863" s="40"/>
      <c r="C863" s="42"/>
      <c r="D863" s="42"/>
      <c r="E863" s="43"/>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row>
    <row r="864">
      <c r="A864" s="40"/>
      <c r="B864" s="40"/>
      <c r="C864" s="42"/>
      <c r="D864" s="42"/>
      <c r="E864" s="43"/>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row>
    <row r="865">
      <c r="A865" s="40"/>
      <c r="B865" s="40"/>
      <c r="C865" s="42"/>
      <c r="D865" s="42"/>
      <c r="E865" s="43"/>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row>
    <row r="866">
      <c r="A866" s="40"/>
      <c r="B866" s="40"/>
      <c r="C866" s="42"/>
      <c r="D866" s="42"/>
      <c r="E866" s="43"/>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row>
    <row r="867">
      <c r="A867" s="40"/>
      <c r="B867" s="40"/>
      <c r="C867" s="42"/>
      <c r="D867" s="42"/>
      <c r="E867" s="43"/>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row>
    <row r="868">
      <c r="A868" s="40"/>
      <c r="B868" s="40"/>
      <c r="C868" s="42"/>
      <c r="D868" s="42"/>
      <c r="E868" s="43"/>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row>
    <row r="869">
      <c r="A869" s="40"/>
      <c r="B869" s="40"/>
      <c r="C869" s="42"/>
      <c r="D869" s="42"/>
      <c r="E869" s="43"/>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row>
    <row r="870">
      <c r="A870" s="40"/>
      <c r="B870" s="40"/>
      <c r="C870" s="42"/>
      <c r="D870" s="42"/>
      <c r="E870" s="43"/>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row>
    <row r="871">
      <c r="A871" s="40"/>
      <c r="B871" s="40"/>
      <c r="C871" s="42"/>
      <c r="D871" s="42"/>
      <c r="E871" s="43"/>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row>
    <row r="872">
      <c r="A872" s="40"/>
      <c r="B872" s="40"/>
      <c r="C872" s="42"/>
      <c r="D872" s="42"/>
      <c r="E872" s="43"/>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row>
    <row r="873">
      <c r="A873" s="40"/>
      <c r="B873" s="40"/>
      <c r="C873" s="42"/>
      <c r="D873" s="42"/>
      <c r="E873" s="43"/>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row>
    <row r="874">
      <c r="A874" s="40"/>
      <c r="B874" s="40"/>
      <c r="C874" s="42"/>
      <c r="D874" s="42"/>
      <c r="E874" s="43"/>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row>
    <row r="875">
      <c r="A875" s="40"/>
      <c r="B875" s="40"/>
      <c r="C875" s="42"/>
      <c r="D875" s="42"/>
      <c r="E875" s="43"/>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row>
    <row r="876">
      <c r="A876" s="40"/>
      <c r="B876" s="40"/>
      <c r="C876" s="42"/>
      <c r="D876" s="42"/>
      <c r="E876" s="43"/>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row>
    <row r="877">
      <c r="A877" s="40"/>
      <c r="B877" s="40"/>
      <c r="C877" s="42"/>
      <c r="D877" s="42"/>
      <c r="E877" s="43"/>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row>
    <row r="878">
      <c r="A878" s="40"/>
      <c r="B878" s="40"/>
      <c r="C878" s="42"/>
      <c r="D878" s="42"/>
      <c r="E878" s="43"/>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row>
    <row r="879">
      <c r="A879" s="40"/>
      <c r="B879" s="40"/>
      <c r="C879" s="42"/>
      <c r="D879" s="42"/>
      <c r="E879" s="43"/>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row>
    <row r="880">
      <c r="A880" s="40"/>
      <c r="B880" s="40"/>
      <c r="C880" s="42"/>
      <c r="D880" s="42"/>
      <c r="E880" s="43"/>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row>
    <row r="881">
      <c r="A881" s="40"/>
      <c r="B881" s="40"/>
      <c r="C881" s="42"/>
      <c r="D881" s="42"/>
      <c r="E881" s="43"/>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row>
    <row r="882">
      <c r="A882" s="40"/>
      <c r="B882" s="40"/>
      <c r="C882" s="42"/>
      <c r="D882" s="42"/>
      <c r="E882" s="43"/>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row>
    <row r="883">
      <c r="A883" s="40"/>
      <c r="B883" s="40"/>
      <c r="C883" s="42"/>
      <c r="D883" s="42"/>
      <c r="E883" s="43"/>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row>
    <row r="884">
      <c r="A884" s="40"/>
      <c r="B884" s="40"/>
      <c r="C884" s="42"/>
      <c r="D884" s="42"/>
      <c r="E884" s="43"/>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row>
    <row r="885">
      <c r="A885" s="40"/>
      <c r="B885" s="40"/>
      <c r="C885" s="42"/>
      <c r="D885" s="42"/>
      <c r="E885" s="43"/>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row>
    <row r="886">
      <c r="A886" s="40"/>
      <c r="B886" s="40"/>
      <c r="C886" s="42"/>
      <c r="D886" s="42"/>
      <c r="E886" s="43"/>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row>
    <row r="887">
      <c r="A887" s="40"/>
      <c r="B887" s="40"/>
      <c r="C887" s="42"/>
      <c r="D887" s="42"/>
      <c r="E887" s="43"/>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row>
    <row r="888">
      <c r="A888" s="40"/>
      <c r="B888" s="40"/>
      <c r="C888" s="42"/>
      <c r="D888" s="42"/>
      <c r="E888" s="43"/>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row>
    <row r="889">
      <c r="A889" s="40"/>
      <c r="B889" s="40"/>
      <c r="C889" s="42"/>
      <c r="D889" s="42"/>
      <c r="E889" s="43"/>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row>
    <row r="890">
      <c r="A890" s="40"/>
      <c r="B890" s="40"/>
      <c r="C890" s="42"/>
      <c r="D890" s="42"/>
      <c r="E890" s="43"/>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row>
    <row r="891">
      <c r="A891" s="40"/>
      <c r="B891" s="40"/>
      <c r="C891" s="42"/>
      <c r="D891" s="42"/>
      <c r="E891" s="43"/>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row>
    <row r="892">
      <c r="A892" s="40"/>
      <c r="B892" s="40"/>
      <c r="C892" s="42"/>
      <c r="D892" s="42"/>
      <c r="E892" s="43"/>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row>
    <row r="893">
      <c r="A893" s="40"/>
      <c r="B893" s="40"/>
      <c r="C893" s="42"/>
      <c r="D893" s="42"/>
      <c r="E893" s="43"/>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row>
    <row r="894">
      <c r="A894" s="40"/>
      <c r="B894" s="40"/>
      <c r="C894" s="42"/>
      <c r="D894" s="42"/>
      <c r="E894" s="43"/>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row>
    <row r="895">
      <c r="A895" s="40"/>
      <c r="B895" s="40"/>
      <c r="C895" s="42"/>
      <c r="D895" s="42"/>
      <c r="E895" s="43"/>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row>
    <row r="896">
      <c r="A896" s="40"/>
      <c r="B896" s="40"/>
      <c r="C896" s="42"/>
      <c r="D896" s="42"/>
      <c r="E896" s="43"/>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row>
    <row r="897">
      <c r="A897" s="40"/>
      <c r="B897" s="40"/>
      <c r="C897" s="42"/>
      <c r="D897" s="42"/>
      <c r="E897" s="43"/>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row>
    <row r="898">
      <c r="A898" s="40"/>
      <c r="B898" s="40"/>
      <c r="C898" s="42"/>
      <c r="D898" s="42"/>
      <c r="E898" s="43"/>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row>
    <row r="899">
      <c r="A899" s="40"/>
      <c r="B899" s="40"/>
      <c r="C899" s="42"/>
      <c r="D899" s="42"/>
      <c r="E899" s="43"/>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row>
    <row r="900">
      <c r="A900" s="40"/>
      <c r="B900" s="40"/>
      <c r="C900" s="42"/>
      <c r="D900" s="42"/>
      <c r="E900" s="43"/>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row>
    <row r="901">
      <c r="A901" s="40"/>
      <c r="B901" s="40"/>
      <c r="C901" s="42"/>
      <c r="D901" s="42"/>
      <c r="E901" s="43"/>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row>
    <row r="902">
      <c r="A902" s="40"/>
      <c r="B902" s="40"/>
      <c r="C902" s="42"/>
      <c r="D902" s="42"/>
      <c r="E902" s="43"/>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row>
    <row r="903">
      <c r="A903" s="40"/>
      <c r="B903" s="40"/>
      <c r="C903" s="42"/>
      <c r="D903" s="42"/>
      <c r="E903" s="43"/>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row>
    <row r="904">
      <c r="A904" s="40"/>
      <c r="B904" s="40"/>
      <c r="C904" s="42"/>
      <c r="D904" s="42"/>
      <c r="E904" s="43"/>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row>
    <row r="905">
      <c r="A905" s="40"/>
      <c r="B905" s="40"/>
      <c r="C905" s="42"/>
      <c r="D905" s="42"/>
      <c r="E905" s="43"/>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row>
    <row r="906">
      <c r="A906" s="40"/>
      <c r="B906" s="40"/>
      <c r="C906" s="42"/>
      <c r="D906" s="42"/>
      <c r="E906" s="43"/>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row>
    <row r="907">
      <c r="A907" s="40"/>
      <c r="B907" s="40"/>
      <c r="C907" s="42"/>
      <c r="D907" s="42"/>
      <c r="E907" s="43"/>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row>
    <row r="908">
      <c r="A908" s="40"/>
      <c r="B908" s="40"/>
      <c r="C908" s="42"/>
      <c r="D908" s="42"/>
      <c r="E908" s="43"/>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row>
    <row r="909">
      <c r="A909" s="40"/>
      <c r="B909" s="40"/>
      <c r="C909" s="42"/>
      <c r="D909" s="42"/>
      <c r="E909" s="43"/>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row>
    <row r="910">
      <c r="A910" s="40"/>
      <c r="B910" s="40"/>
      <c r="C910" s="42"/>
      <c r="D910" s="42"/>
      <c r="E910" s="43"/>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row>
    <row r="911">
      <c r="A911" s="40"/>
      <c r="B911" s="40"/>
      <c r="C911" s="42"/>
      <c r="D911" s="42"/>
      <c r="E911" s="43"/>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row>
    <row r="912">
      <c r="A912" s="40"/>
      <c r="B912" s="40"/>
      <c r="C912" s="42"/>
      <c r="D912" s="42"/>
      <c r="E912" s="43"/>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row>
    <row r="913">
      <c r="A913" s="40"/>
      <c r="B913" s="40"/>
      <c r="C913" s="42"/>
      <c r="D913" s="42"/>
      <c r="E913" s="43"/>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row>
    <row r="914">
      <c r="A914" s="40"/>
      <c r="B914" s="40"/>
      <c r="C914" s="42"/>
      <c r="D914" s="42"/>
      <c r="E914" s="43"/>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row>
    <row r="915">
      <c r="A915" s="40"/>
      <c r="B915" s="40"/>
      <c r="C915" s="42"/>
      <c r="D915" s="42"/>
      <c r="E915" s="43"/>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row>
    <row r="916">
      <c r="A916" s="40"/>
      <c r="B916" s="40"/>
      <c r="C916" s="42"/>
      <c r="D916" s="42"/>
      <c r="E916" s="43"/>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row>
    <row r="917">
      <c r="A917" s="40"/>
      <c r="B917" s="40"/>
      <c r="C917" s="42"/>
      <c r="D917" s="42"/>
      <c r="E917" s="43"/>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row>
    <row r="918">
      <c r="A918" s="40"/>
      <c r="B918" s="40"/>
      <c r="C918" s="42"/>
      <c r="D918" s="42"/>
      <c r="E918" s="43"/>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row>
    <row r="919">
      <c r="A919" s="40"/>
      <c r="B919" s="40"/>
      <c r="C919" s="42"/>
      <c r="D919" s="42"/>
      <c r="E919" s="43"/>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row>
    <row r="920">
      <c r="A920" s="40"/>
      <c r="B920" s="40"/>
      <c r="C920" s="42"/>
      <c r="D920" s="42"/>
      <c r="E920" s="43"/>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row>
    <row r="921">
      <c r="A921" s="40"/>
      <c r="B921" s="40"/>
      <c r="C921" s="42"/>
      <c r="D921" s="42"/>
      <c r="E921" s="43"/>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row>
    <row r="922">
      <c r="A922" s="40"/>
      <c r="B922" s="40"/>
      <c r="C922" s="42"/>
      <c r="D922" s="42"/>
      <c r="E922" s="43"/>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row>
    <row r="923">
      <c r="A923" s="40"/>
      <c r="B923" s="40"/>
      <c r="C923" s="42"/>
      <c r="D923" s="42"/>
      <c r="E923" s="43"/>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row>
    <row r="924">
      <c r="A924" s="40"/>
      <c r="B924" s="40"/>
      <c r="C924" s="42"/>
      <c r="D924" s="42"/>
      <c r="E924" s="43"/>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row>
    <row r="925">
      <c r="A925" s="40"/>
      <c r="B925" s="40"/>
      <c r="C925" s="42"/>
      <c r="D925" s="42"/>
      <c r="E925" s="43"/>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row>
    <row r="926">
      <c r="A926" s="40"/>
      <c r="B926" s="40"/>
      <c r="C926" s="42"/>
      <c r="D926" s="42"/>
      <c r="E926" s="43"/>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row>
    <row r="927">
      <c r="A927" s="40"/>
      <c r="B927" s="40"/>
      <c r="C927" s="42"/>
      <c r="D927" s="42"/>
      <c r="E927" s="43"/>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row>
    <row r="928">
      <c r="A928" s="40"/>
      <c r="B928" s="40"/>
      <c r="C928" s="42"/>
      <c r="D928" s="42"/>
      <c r="E928" s="43"/>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row>
    <row r="929">
      <c r="A929" s="40"/>
      <c r="B929" s="40"/>
      <c r="C929" s="42"/>
      <c r="D929" s="42"/>
      <c r="E929" s="43"/>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row>
    <row r="930">
      <c r="A930" s="40"/>
      <c r="B930" s="40"/>
      <c r="C930" s="42"/>
      <c r="D930" s="42"/>
      <c r="E930" s="43"/>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row>
    <row r="931">
      <c r="A931" s="40"/>
      <c r="B931" s="40"/>
      <c r="C931" s="42"/>
      <c r="D931" s="42"/>
      <c r="E931" s="43"/>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row>
    <row r="932">
      <c r="A932" s="40"/>
      <c r="B932" s="40"/>
      <c r="C932" s="42"/>
      <c r="D932" s="42"/>
      <c r="E932" s="43"/>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row>
    <row r="933">
      <c r="A933" s="40"/>
      <c r="B933" s="40"/>
      <c r="C933" s="42"/>
      <c r="D933" s="42"/>
      <c r="E933" s="43"/>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row>
    <row r="934">
      <c r="A934" s="40"/>
      <c r="B934" s="40"/>
      <c r="C934" s="42"/>
      <c r="D934" s="42"/>
      <c r="E934" s="43"/>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row>
    <row r="935">
      <c r="A935" s="40"/>
      <c r="B935" s="40"/>
      <c r="C935" s="42"/>
      <c r="D935" s="42"/>
      <c r="E935" s="43"/>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row>
    <row r="936">
      <c r="A936" s="40"/>
      <c r="B936" s="40"/>
      <c r="C936" s="42"/>
      <c r="D936" s="42"/>
      <c r="E936" s="43"/>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row>
    <row r="937">
      <c r="A937" s="40"/>
      <c r="B937" s="40"/>
      <c r="C937" s="42"/>
      <c r="D937" s="42"/>
      <c r="E937" s="43"/>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row>
    <row r="938">
      <c r="A938" s="40"/>
      <c r="B938" s="40"/>
      <c r="C938" s="42"/>
      <c r="D938" s="42"/>
      <c r="E938" s="43"/>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row>
    <row r="939">
      <c r="A939" s="40"/>
      <c r="B939" s="40"/>
      <c r="C939" s="42"/>
      <c r="D939" s="42"/>
      <c r="E939" s="43"/>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row>
    <row r="940">
      <c r="A940" s="40"/>
      <c r="B940" s="40"/>
      <c r="C940" s="42"/>
      <c r="D940" s="42"/>
      <c r="E940" s="43"/>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row>
    <row r="941">
      <c r="A941" s="40"/>
      <c r="B941" s="40"/>
      <c r="C941" s="42"/>
      <c r="D941" s="42"/>
      <c r="E941" s="43"/>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row>
    <row r="942">
      <c r="A942" s="40"/>
      <c r="B942" s="40"/>
      <c r="C942" s="42"/>
      <c r="D942" s="42"/>
      <c r="E942" s="43"/>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row>
    <row r="943">
      <c r="A943" s="40"/>
      <c r="B943" s="40"/>
      <c r="C943" s="42"/>
      <c r="D943" s="42"/>
      <c r="E943" s="43"/>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row>
    <row r="944">
      <c r="A944" s="40"/>
      <c r="B944" s="40"/>
      <c r="C944" s="42"/>
      <c r="D944" s="42"/>
      <c r="E944" s="43"/>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row>
    <row r="945">
      <c r="A945" s="40"/>
      <c r="B945" s="40"/>
      <c r="C945" s="42"/>
      <c r="D945" s="42"/>
      <c r="E945" s="43"/>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row>
    <row r="946">
      <c r="A946" s="40"/>
      <c r="B946" s="40"/>
      <c r="C946" s="42"/>
      <c r="D946" s="42"/>
      <c r="E946" s="43"/>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row>
    <row r="947">
      <c r="A947" s="40"/>
      <c r="B947" s="40"/>
      <c r="C947" s="42"/>
      <c r="D947" s="42"/>
      <c r="E947" s="43"/>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row>
    <row r="948">
      <c r="A948" s="40"/>
      <c r="B948" s="40"/>
      <c r="C948" s="42"/>
      <c r="D948" s="42"/>
      <c r="E948" s="43"/>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row>
    <row r="949">
      <c r="A949" s="40"/>
      <c r="B949" s="40"/>
      <c r="C949" s="42"/>
      <c r="D949" s="42"/>
      <c r="E949" s="43"/>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row>
    <row r="950">
      <c r="A950" s="40"/>
      <c r="B950" s="40"/>
      <c r="C950" s="42"/>
      <c r="D950" s="42"/>
      <c r="E950" s="43"/>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row>
    <row r="951">
      <c r="A951" s="40"/>
      <c r="B951" s="40"/>
      <c r="C951" s="42"/>
      <c r="D951" s="42"/>
      <c r="E951" s="43"/>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row>
    <row r="952">
      <c r="A952" s="40"/>
      <c r="B952" s="40"/>
      <c r="C952" s="42"/>
      <c r="D952" s="42"/>
      <c r="E952" s="43"/>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row>
    <row r="953">
      <c r="A953" s="40"/>
      <c r="B953" s="40"/>
      <c r="C953" s="42"/>
      <c r="D953" s="42"/>
      <c r="E953" s="43"/>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row>
    <row r="954">
      <c r="A954" s="40"/>
      <c r="B954" s="40"/>
      <c r="C954" s="42"/>
      <c r="D954" s="42"/>
      <c r="E954" s="43"/>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row>
    <row r="955">
      <c r="A955" s="40"/>
      <c r="B955" s="40"/>
      <c r="C955" s="42"/>
      <c r="D955" s="42"/>
      <c r="E955" s="43"/>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row>
    <row r="956">
      <c r="A956" s="40"/>
      <c r="B956" s="40"/>
      <c r="C956" s="42"/>
      <c r="D956" s="42"/>
      <c r="E956" s="43"/>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row>
    <row r="957">
      <c r="A957" s="40"/>
      <c r="B957" s="40"/>
      <c r="C957" s="42"/>
      <c r="D957" s="42"/>
      <c r="E957" s="43"/>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row>
    <row r="958">
      <c r="A958" s="40"/>
      <c r="B958" s="40"/>
      <c r="C958" s="42"/>
      <c r="D958" s="42"/>
      <c r="E958" s="43"/>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row>
    <row r="959">
      <c r="A959" s="40"/>
      <c r="B959" s="40"/>
      <c r="C959" s="42"/>
      <c r="D959" s="42"/>
      <c r="E959" s="43"/>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row>
    <row r="960">
      <c r="A960" s="40"/>
      <c r="B960" s="40"/>
      <c r="C960" s="42"/>
      <c r="D960" s="42"/>
      <c r="E960" s="43"/>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row>
    <row r="961">
      <c r="A961" s="40"/>
      <c r="B961" s="40"/>
      <c r="C961" s="42"/>
      <c r="D961" s="42"/>
      <c r="E961" s="43"/>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row>
    <row r="962">
      <c r="A962" s="40"/>
      <c r="B962" s="40"/>
      <c r="C962" s="42"/>
      <c r="D962" s="42"/>
      <c r="E962" s="43"/>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row>
    <row r="963">
      <c r="A963" s="40"/>
      <c r="B963" s="40"/>
      <c r="C963" s="42"/>
      <c r="D963" s="42"/>
      <c r="E963" s="43"/>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row>
    <row r="964">
      <c r="A964" s="40"/>
      <c r="B964" s="40"/>
      <c r="C964" s="42"/>
      <c r="D964" s="42"/>
      <c r="E964" s="43"/>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row>
    <row r="965">
      <c r="A965" s="40"/>
      <c r="B965" s="40"/>
      <c r="C965" s="42"/>
      <c r="D965" s="42"/>
      <c r="E965" s="43"/>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row>
    <row r="966">
      <c r="A966" s="40"/>
      <c r="B966" s="40"/>
      <c r="C966" s="42"/>
      <c r="D966" s="42"/>
      <c r="E966" s="43"/>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row>
    <row r="967">
      <c r="A967" s="40"/>
      <c r="B967" s="40"/>
      <c r="C967" s="42"/>
      <c r="D967" s="42"/>
      <c r="E967" s="43"/>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row>
    <row r="968">
      <c r="A968" s="40"/>
      <c r="B968" s="40"/>
      <c r="C968" s="42"/>
      <c r="D968" s="42"/>
      <c r="E968" s="43"/>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row>
    <row r="969">
      <c r="A969" s="40"/>
      <c r="B969" s="40"/>
      <c r="C969" s="42"/>
      <c r="D969" s="42"/>
      <c r="E969" s="43"/>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row>
    <row r="970">
      <c r="A970" s="40"/>
      <c r="B970" s="40"/>
      <c r="C970" s="42"/>
      <c r="D970" s="42"/>
      <c r="E970" s="43"/>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row>
    <row r="971">
      <c r="A971" s="40"/>
      <c r="B971" s="40"/>
      <c r="C971" s="42"/>
      <c r="D971" s="42"/>
      <c r="E971" s="43"/>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row>
    <row r="972">
      <c r="A972" s="40"/>
      <c r="B972" s="40"/>
      <c r="C972" s="42"/>
      <c r="D972" s="42"/>
      <c r="E972" s="43"/>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row>
    <row r="973">
      <c r="A973" s="40"/>
      <c r="B973" s="40"/>
      <c r="C973" s="42"/>
      <c r="D973" s="42"/>
      <c r="E973" s="43"/>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row>
    <row r="974">
      <c r="A974" s="40"/>
      <c r="B974" s="40"/>
      <c r="C974" s="42"/>
      <c r="D974" s="42"/>
      <c r="E974" s="43"/>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row>
    <row r="975">
      <c r="A975" s="40"/>
      <c r="B975" s="40"/>
      <c r="C975" s="42"/>
      <c r="D975" s="42"/>
      <c r="E975" s="43"/>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row>
    <row r="976">
      <c r="A976" s="40"/>
      <c r="B976" s="40"/>
      <c r="C976" s="42"/>
      <c r="D976" s="42"/>
      <c r="E976" s="43"/>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row>
    <row r="977">
      <c r="A977" s="40"/>
      <c r="B977" s="40"/>
      <c r="C977" s="42"/>
      <c r="D977" s="42"/>
      <c r="E977" s="43"/>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row>
    <row r="978">
      <c r="A978" s="40"/>
      <c r="B978" s="40"/>
      <c r="C978" s="42"/>
      <c r="D978" s="42"/>
      <c r="E978" s="43"/>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row>
    <row r="979">
      <c r="A979" s="40"/>
      <c r="B979" s="40"/>
      <c r="C979" s="42"/>
      <c r="D979" s="42"/>
      <c r="E979" s="43"/>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row>
    <row r="980">
      <c r="A980" s="40"/>
      <c r="B980" s="40"/>
      <c r="C980" s="42"/>
      <c r="D980" s="42"/>
      <c r="E980" s="43"/>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row>
    <row r="981">
      <c r="A981" s="40"/>
      <c r="B981" s="40"/>
      <c r="C981" s="42"/>
      <c r="D981" s="42"/>
      <c r="E981" s="43"/>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row>
    <row r="982">
      <c r="A982" s="40"/>
      <c r="B982" s="40"/>
      <c r="C982" s="42"/>
      <c r="D982" s="42"/>
      <c r="E982" s="43"/>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row>
    <row r="983">
      <c r="A983" s="40"/>
      <c r="B983" s="40"/>
      <c r="C983" s="42"/>
      <c r="D983" s="42"/>
      <c r="E983" s="43"/>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row>
    <row r="984">
      <c r="A984" s="40"/>
      <c r="B984" s="40"/>
      <c r="C984" s="42"/>
      <c r="D984" s="42"/>
      <c r="E984" s="43"/>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row>
    <row r="985">
      <c r="A985" s="40"/>
      <c r="B985" s="40"/>
      <c r="C985" s="42"/>
      <c r="D985" s="42"/>
      <c r="E985" s="43"/>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row>
    <row r="986">
      <c r="A986" s="40"/>
      <c r="B986" s="40"/>
      <c r="C986" s="42"/>
      <c r="D986" s="42"/>
      <c r="E986" s="43"/>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row>
    <row r="987">
      <c r="A987" s="40"/>
      <c r="B987" s="40"/>
      <c r="C987" s="42"/>
      <c r="D987" s="42"/>
      <c r="E987" s="43"/>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row>
    <row r="988">
      <c r="A988" s="40"/>
      <c r="B988" s="40"/>
      <c r="C988" s="42"/>
      <c r="D988" s="42"/>
      <c r="E988" s="43"/>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row>
    <row r="989">
      <c r="A989" s="40"/>
      <c r="B989" s="40"/>
      <c r="C989" s="42"/>
      <c r="D989" s="42"/>
      <c r="E989" s="43"/>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row>
    <row r="990">
      <c r="A990" s="40"/>
      <c r="B990" s="40"/>
      <c r="C990" s="42"/>
      <c r="D990" s="42"/>
      <c r="E990" s="43"/>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row>
    <row r="991">
      <c r="A991" s="40"/>
      <c r="B991" s="40"/>
      <c r="C991" s="42"/>
      <c r="D991" s="42"/>
      <c r="E991" s="43"/>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row>
    <row r="992">
      <c r="A992" s="40"/>
      <c r="B992" s="40"/>
      <c r="C992" s="42"/>
      <c r="D992" s="42"/>
      <c r="E992" s="43"/>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row>
    <row r="993">
      <c r="A993" s="40"/>
      <c r="B993" s="40"/>
      <c r="C993" s="42"/>
      <c r="D993" s="42"/>
      <c r="E993" s="43"/>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row>
    <row r="994">
      <c r="A994" s="40"/>
      <c r="B994" s="40"/>
      <c r="C994" s="42"/>
      <c r="D994" s="42"/>
      <c r="E994" s="43"/>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row>
    <row r="995">
      <c r="A995" s="40"/>
      <c r="B995" s="40"/>
      <c r="C995" s="42"/>
      <c r="D995" s="42"/>
      <c r="E995" s="43"/>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row>
    <row r="996">
      <c r="A996" s="40"/>
      <c r="B996" s="40"/>
      <c r="C996" s="42"/>
      <c r="D996" s="42"/>
      <c r="E996" s="43"/>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row>
    <row r="997">
      <c r="A997" s="40"/>
      <c r="B997" s="40"/>
      <c r="C997" s="42"/>
      <c r="D997" s="42"/>
      <c r="E997" s="43"/>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row>
    <row r="998">
      <c r="A998" s="40"/>
      <c r="B998" s="40"/>
      <c r="C998" s="42"/>
      <c r="D998" s="42"/>
      <c r="E998" s="43"/>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row>
    <row r="999">
      <c r="A999" s="40"/>
      <c r="B999" s="40"/>
      <c r="C999" s="42"/>
      <c r="D999" s="42"/>
      <c r="E999" s="43"/>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row>
    <row r="1000">
      <c r="A1000" s="40"/>
      <c r="B1000" s="40"/>
      <c r="C1000" s="42"/>
      <c r="D1000" s="42"/>
      <c r="E1000" s="43"/>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row>
    <row r="1001">
      <c r="A1001" s="40"/>
      <c r="B1001" s="40"/>
      <c r="C1001" s="42"/>
      <c r="D1001" s="42"/>
      <c r="E1001" s="43"/>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c r="AF1001" s="42"/>
      <c r="AG1001" s="42"/>
      <c r="AH1001" s="42"/>
      <c r="AI1001" s="42"/>
      <c r="AJ1001" s="42"/>
      <c r="AK1001" s="42"/>
      <c r="AL1001" s="42"/>
      <c r="AM1001" s="42"/>
      <c r="AN1001" s="42"/>
      <c r="AO1001" s="42"/>
      <c r="AP1001" s="42"/>
      <c r="AQ1001" s="42"/>
      <c r="AR1001" s="42"/>
      <c r="AS1001" s="42"/>
      <c r="AT1001" s="42"/>
      <c r="AU1001" s="42"/>
      <c r="AV1001" s="42"/>
      <c r="AW1001" s="42"/>
      <c r="AX1001" s="42"/>
      <c r="AY1001" s="42"/>
      <c r="AZ1001" s="42"/>
      <c r="BA1001" s="42"/>
      <c r="BB1001" s="42"/>
      <c r="BC1001" s="42"/>
      <c r="BD1001" s="42"/>
      <c r="BE1001" s="42"/>
      <c r="BF1001" s="42"/>
      <c r="BG1001" s="42"/>
      <c r="BH1001" s="42"/>
      <c r="BI1001" s="42"/>
      <c r="BJ1001" s="42"/>
      <c r="BK1001" s="42"/>
      <c r="BL1001" s="42"/>
      <c r="BM1001" s="42"/>
      <c r="BN1001" s="42"/>
      <c r="BO1001" s="42"/>
    </row>
    <row r="1002">
      <c r="A1002" s="40"/>
      <c r="B1002" s="40"/>
      <c r="C1002" s="42"/>
      <c r="D1002" s="42"/>
      <c r="E1002" s="43"/>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c r="AF1002" s="42"/>
      <c r="AG1002" s="42"/>
      <c r="AH1002" s="42"/>
      <c r="AI1002" s="42"/>
      <c r="AJ1002" s="42"/>
      <c r="AK1002" s="42"/>
      <c r="AL1002" s="42"/>
      <c r="AM1002" s="42"/>
      <c r="AN1002" s="42"/>
      <c r="AO1002" s="42"/>
      <c r="AP1002" s="42"/>
      <c r="AQ1002" s="42"/>
      <c r="AR1002" s="42"/>
      <c r="AS1002" s="42"/>
      <c r="AT1002" s="42"/>
      <c r="AU1002" s="42"/>
      <c r="AV1002" s="42"/>
      <c r="AW1002" s="42"/>
      <c r="AX1002" s="42"/>
      <c r="AY1002" s="42"/>
      <c r="AZ1002" s="42"/>
      <c r="BA1002" s="42"/>
      <c r="BB1002" s="42"/>
      <c r="BC1002" s="42"/>
      <c r="BD1002" s="42"/>
      <c r="BE1002" s="42"/>
      <c r="BF1002" s="42"/>
      <c r="BG1002" s="42"/>
      <c r="BH1002" s="42"/>
      <c r="BI1002" s="42"/>
      <c r="BJ1002" s="42"/>
      <c r="BK1002" s="42"/>
      <c r="BL1002" s="42"/>
      <c r="BM1002" s="42"/>
      <c r="BN1002" s="42"/>
      <c r="BO1002" s="42"/>
    </row>
    <row r="1003">
      <c r="A1003" s="40"/>
      <c r="B1003" s="40"/>
      <c r="C1003" s="42"/>
      <c r="D1003" s="42"/>
      <c r="E1003" s="43"/>
      <c r="F1003" s="42"/>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c r="AD1003" s="42"/>
      <c r="AE1003" s="42"/>
      <c r="AF1003" s="42"/>
      <c r="AG1003" s="42"/>
      <c r="AH1003" s="42"/>
      <c r="AI1003" s="42"/>
      <c r="AJ1003" s="42"/>
      <c r="AK1003" s="42"/>
      <c r="AL1003" s="42"/>
      <c r="AM1003" s="42"/>
      <c r="AN1003" s="42"/>
      <c r="AO1003" s="42"/>
      <c r="AP1003" s="42"/>
      <c r="AQ1003" s="42"/>
      <c r="AR1003" s="42"/>
      <c r="AS1003" s="42"/>
      <c r="AT1003" s="42"/>
      <c r="AU1003" s="42"/>
      <c r="AV1003" s="42"/>
      <c r="AW1003" s="42"/>
      <c r="AX1003" s="42"/>
      <c r="AY1003" s="42"/>
      <c r="AZ1003" s="42"/>
      <c r="BA1003" s="42"/>
      <c r="BB1003" s="42"/>
      <c r="BC1003" s="42"/>
      <c r="BD1003" s="42"/>
      <c r="BE1003" s="42"/>
      <c r="BF1003" s="42"/>
      <c r="BG1003" s="42"/>
      <c r="BH1003" s="42"/>
      <c r="BI1003" s="42"/>
      <c r="BJ1003" s="42"/>
      <c r="BK1003" s="42"/>
      <c r="BL1003" s="42"/>
      <c r="BM1003" s="42"/>
      <c r="BN1003" s="42"/>
      <c r="BO1003" s="42"/>
    </row>
    <row r="1004">
      <c r="A1004" s="40"/>
      <c r="B1004" s="40"/>
      <c r="C1004" s="42"/>
      <c r="D1004" s="42"/>
      <c r="E1004" s="43"/>
      <c r="F1004" s="42"/>
      <c r="G1004" s="42"/>
      <c r="H1004" s="42"/>
      <c r="I1004" s="42"/>
      <c r="J1004" s="42"/>
      <c r="K1004" s="42"/>
      <c r="L1004" s="42"/>
      <c r="M1004" s="42"/>
      <c r="N1004" s="42"/>
      <c r="O1004" s="42"/>
      <c r="P1004" s="42"/>
      <c r="Q1004" s="42"/>
      <c r="R1004" s="42"/>
      <c r="S1004" s="42"/>
      <c r="T1004" s="42"/>
      <c r="U1004" s="42"/>
      <c r="V1004" s="42"/>
      <c r="W1004" s="42"/>
      <c r="X1004" s="42"/>
      <c r="Y1004" s="42"/>
      <c r="Z1004" s="42"/>
      <c r="AA1004" s="42"/>
      <c r="AB1004" s="42"/>
      <c r="AC1004" s="42"/>
      <c r="AD1004" s="42"/>
      <c r="AE1004" s="42"/>
      <c r="AF1004" s="42"/>
      <c r="AG1004" s="42"/>
      <c r="AH1004" s="42"/>
      <c r="AI1004" s="42"/>
      <c r="AJ1004" s="42"/>
      <c r="AK1004" s="42"/>
      <c r="AL1004" s="42"/>
      <c r="AM1004" s="42"/>
      <c r="AN1004" s="42"/>
      <c r="AO1004" s="42"/>
      <c r="AP1004" s="42"/>
      <c r="AQ1004" s="42"/>
      <c r="AR1004" s="42"/>
      <c r="AS1004" s="42"/>
      <c r="AT1004" s="42"/>
      <c r="AU1004" s="42"/>
      <c r="AV1004" s="42"/>
      <c r="AW1004" s="42"/>
      <c r="AX1004" s="42"/>
      <c r="AY1004" s="42"/>
      <c r="AZ1004" s="42"/>
      <c r="BA1004" s="42"/>
      <c r="BB1004" s="42"/>
      <c r="BC1004" s="42"/>
      <c r="BD1004" s="42"/>
      <c r="BE1004" s="42"/>
      <c r="BF1004" s="42"/>
      <c r="BG1004" s="42"/>
      <c r="BH1004" s="42"/>
      <c r="BI1004" s="42"/>
      <c r="BJ1004" s="42"/>
      <c r="BK1004" s="42"/>
      <c r="BL1004" s="42"/>
      <c r="BM1004" s="42"/>
      <c r="BN1004" s="42"/>
      <c r="BO1004" s="42"/>
    </row>
    <row r="1005">
      <c r="A1005" s="40"/>
      <c r="B1005" s="40"/>
      <c r="C1005" s="42"/>
      <c r="D1005" s="42"/>
      <c r="E1005" s="43"/>
      <c r="F1005" s="42"/>
      <c r="G1005" s="42"/>
      <c r="H1005" s="42"/>
      <c r="I1005" s="42"/>
      <c r="J1005" s="42"/>
      <c r="K1005" s="42"/>
      <c r="L1005" s="42"/>
      <c r="M1005" s="42"/>
      <c r="N1005" s="42"/>
      <c r="O1005" s="42"/>
      <c r="P1005" s="42"/>
      <c r="Q1005" s="42"/>
      <c r="R1005" s="42"/>
      <c r="S1005" s="42"/>
      <c r="T1005" s="42"/>
      <c r="U1005" s="42"/>
      <c r="V1005" s="42"/>
      <c r="W1005" s="42"/>
      <c r="X1005" s="42"/>
      <c r="Y1005" s="42"/>
      <c r="Z1005" s="42"/>
      <c r="AA1005" s="42"/>
      <c r="AB1005" s="42"/>
      <c r="AC1005" s="42"/>
      <c r="AD1005" s="42"/>
      <c r="AE1005" s="42"/>
      <c r="AF1005" s="42"/>
      <c r="AG1005" s="42"/>
      <c r="AH1005" s="42"/>
      <c r="AI1005" s="42"/>
      <c r="AJ1005" s="42"/>
      <c r="AK1005" s="42"/>
      <c r="AL1005" s="42"/>
      <c r="AM1005" s="42"/>
      <c r="AN1005" s="42"/>
      <c r="AO1005" s="42"/>
      <c r="AP1005" s="42"/>
      <c r="AQ1005" s="42"/>
      <c r="AR1005" s="42"/>
      <c r="AS1005" s="42"/>
      <c r="AT1005" s="42"/>
      <c r="AU1005" s="42"/>
      <c r="AV1005" s="42"/>
      <c r="AW1005" s="42"/>
      <c r="AX1005" s="42"/>
      <c r="AY1005" s="42"/>
      <c r="AZ1005" s="42"/>
      <c r="BA1005" s="42"/>
      <c r="BB1005" s="42"/>
      <c r="BC1005" s="42"/>
      <c r="BD1005" s="42"/>
      <c r="BE1005" s="42"/>
      <c r="BF1005" s="42"/>
      <c r="BG1005" s="42"/>
      <c r="BH1005" s="42"/>
      <c r="BI1005" s="42"/>
      <c r="BJ1005" s="42"/>
      <c r="BK1005" s="42"/>
      <c r="BL1005" s="42"/>
      <c r="BM1005" s="42"/>
      <c r="BN1005" s="42"/>
      <c r="BO1005" s="42"/>
    </row>
    <row r="1006">
      <c r="A1006" s="40"/>
      <c r="B1006" s="40"/>
      <c r="C1006" s="42"/>
      <c r="D1006" s="42"/>
      <c r="E1006" s="43"/>
      <c r="F1006" s="42"/>
      <c r="G1006" s="42"/>
      <c r="H1006" s="42"/>
      <c r="I1006" s="42"/>
      <c r="J1006" s="42"/>
      <c r="K1006" s="42"/>
      <c r="L1006" s="42"/>
      <c r="M1006" s="42"/>
      <c r="N1006" s="42"/>
      <c r="O1006" s="42"/>
      <c r="P1006" s="42"/>
      <c r="Q1006" s="42"/>
      <c r="R1006" s="42"/>
      <c r="S1006" s="42"/>
      <c r="T1006" s="42"/>
      <c r="U1006" s="42"/>
      <c r="V1006" s="42"/>
      <c r="W1006" s="42"/>
      <c r="X1006" s="42"/>
      <c r="Y1006" s="42"/>
      <c r="Z1006" s="42"/>
      <c r="AA1006" s="42"/>
      <c r="AB1006" s="42"/>
      <c r="AC1006" s="42"/>
      <c r="AD1006" s="42"/>
      <c r="AE1006" s="42"/>
      <c r="AF1006" s="42"/>
      <c r="AG1006" s="42"/>
      <c r="AH1006" s="42"/>
      <c r="AI1006" s="42"/>
      <c r="AJ1006" s="42"/>
      <c r="AK1006" s="42"/>
      <c r="AL1006" s="42"/>
      <c r="AM1006" s="42"/>
      <c r="AN1006" s="42"/>
      <c r="AO1006" s="42"/>
      <c r="AP1006" s="42"/>
      <c r="AQ1006" s="42"/>
      <c r="AR1006" s="42"/>
      <c r="AS1006" s="42"/>
      <c r="AT1006" s="42"/>
      <c r="AU1006" s="42"/>
      <c r="AV1006" s="42"/>
      <c r="AW1006" s="42"/>
      <c r="AX1006" s="42"/>
      <c r="AY1006" s="42"/>
      <c r="AZ1006" s="42"/>
      <c r="BA1006" s="42"/>
      <c r="BB1006" s="42"/>
      <c r="BC1006" s="42"/>
      <c r="BD1006" s="42"/>
      <c r="BE1006" s="42"/>
      <c r="BF1006" s="42"/>
      <c r="BG1006" s="42"/>
      <c r="BH1006" s="42"/>
      <c r="BI1006" s="42"/>
      <c r="BJ1006" s="42"/>
      <c r="BK1006" s="42"/>
      <c r="BL1006" s="42"/>
      <c r="BM1006" s="42"/>
      <c r="BN1006" s="42"/>
      <c r="BO1006" s="42"/>
    </row>
    <row r="1007">
      <c r="A1007" s="40"/>
      <c r="B1007" s="40"/>
      <c r="C1007" s="42"/>
      <c r="D1007" s="42"/>
      <c r="E1007" s="43"/>
      <c r="F1007" s="42"/>
      <c r="G1007" s="42"/>
      <c r="H1007" s="42"/>
      <c r="I1007" s="42"/>
      <c r="J1007" s="42"/>
      <c r="K1007" s="42"/>
      <c r="L1007" s="42"/>
      <c r="M1007" s="42"/>
      <c r="N1007" s="42"/>
      <c r="O1007" s="42"/>
      <c r="P1007" s="42"/>
      <c r="Q1007" s="42"/>
      <c r="R1007" s="42"/>
      <c r="S1007" s="42"/>
      <c r="T1007" s="42"/>
      <c r="U1007" s="42"/>
      <c r="V1007" s="42"/>
      <c r="W1007" s="42"/>
      <c r="X1007" s="42"/>
      <c r="Y1007" s="42"/>
      <c r="Z1007" s="42"/>
      <c r="AA1007" s="42"/>
      <c r="AB1007" s="42"/>
      <c r="AC1007" s="42"/>
      <c r="AD1007" s="42"/>
      <c r="AE1007" s="42"/>
      <c r="AF1007" s="42"/>
      <c r="AG1007" s="42"/>
      <c r="AH1007" s="42"/>
      <c r="AI1007" s="42"/>
      <c r="AJ1007" s="42"/>
      <c r="AK1007" s="42"/>
      <c r="AL1007" s="42"/>
      <c r="AM1007" s="42"/>
      <c r="AN1007" s="42"/>
      <c r="AO1007" s="42"/>
      <c r="AP1007" s="42"/>
      <c r="AQ1007" s="42"/>
      <c r="AR1007" s="42"/>
      <c r="AS1007" s="42"/>
      <c r="AT1007" s="42"/>
      <c r="AU1007" s="42"/>
      <c r="AV1007" s="42"/>
      <c r="AW1007" s="42"/>
      <c r="AX1007" s="42"/>
      <c r="AY1007" s="42"/>
      <c r="AZ1007" s="42"/>
      <c r="BA1007" s="42"/>
      <c r="BB1007" s="42"/>
      <c r="BC1007" s="42"/>
      <c r="BD1007" s="42"/>
      <c r="BE1007" s="42"/>
      <c r="BF1007" s="42"/>
      <c r="BG1007" s="42"/>
      <c r="BH1007" s="42"/>
      <c r="BI1007" s="42"/>
      <c r="BJ1007" s="42"/>
      <c r="BK1007" s="42"/>
      <c r="BL1007" s="42"/>
      <c r="BM1007" s="42"/>
      <c r="BN1007" s="42"/>
      <c r="BO1007" s="42"/>
    </row>
    <row r="1008">
      <c r="A1008" s="40"/>
      <c r="B1008" s="40"/>
      <c r="C1008" s="42"/>
      <c r="D1008" s="42"/>
      <c r="E1008" s="43"/>
      <c r="F1008" s="42"/>
      <c r="G1008" s="42"/>
      <c r="H1008" s="42"/>
      <c r="I1008" s="42"/>
      <c r="J1008" s="42"/>
      <c r="K1008" s="42"/>
      <c r="L1008" s="42"/>
      <c r="M1008" s="42"/>
      <c r="N1008" s="42"/>
      <c r="O1008" s="42"/>
      <c r="P1008" s="42"/>
      <c r="Q1008" s="42"/>
      <c r="R1008" s="42"/>
      <c r="S1008" s="42"/>
      <c r="T1008" s="42"/>
      <c r="U1008" s="42"/>
      <c r="V1008" s="42"/>
      <c r="W1008" s="42"/>
      <c r="X1008" s="42"/>
      <c r="Y1008" s="42"/>
      <c r="Z1008" s="42"/>
      <c r="AA1008" s="42"/>
      <c r="AB1008" s="42"/>
      <c r="AC1008" s="42"/>
      <c r="AD1008" s="42"/>
      <c r="AE1008" s="42"/>
      <c r="AF1008" s="42"/>
      <c r="AG1008" s="42"/>
      <c r="AH1008" s="42"/>
      <c r="AI1008" s="42"/>
      <c r="AJ1008" s="42"/>
      <c r="AK1008" s="42"/>
      <c r="AL1008" s="42"/>
      <c r="AM1008" s="42"/>
      <c r="AN1008" s="42"/>
      <c r="AO1008" s="42"/>
      <c r="AP1008" s="42"/>
      <c r="AQ1008" s="42"/>
      <c r="AR1008" s="42"/>
      <c r="AS1008" s="42"/>
      <c r="AT1008" s="42"/>
      <c r="AU1008" s="42"/>
      <c r="AV1008" s="42"/>
      <c r="AW1008" s="42"/>
      <c r="AX1008" s="42"/>
      <c r="AY1008" s="42"/>
      <c r="AZ1008" s="42"/>
      <c r="BA1008" s="42"/>
      <c r="BB1008" s="42"/>
      <c r="BC1008" s="42"/>
      <c r="BD1008" s="42"/>
      <c r="BE1008" s="42"/>
      <c r="BF1008" s="42"/>
      <c r="BG1008" s="42"/>
      <c r="BH1008" s="42"/>
      <c r="BI1008" s="42"/>
      <c r="BJ1008" s="42"/>
      <c r="BK1008" s="42"/>
      <c r="BL1008" s="42"/>
      <c r="BM1008" s="42"/>
      <c r="BN1008" s="42"/>
      <c r="BO1008" s="42"/>
    </row>
    <row r="1009">
      <c r="A1009" s="40"/>
      <c r="B1009" s="40"/>
      <c r="C1009" s="42"/>
      <c r="D1009" s="42"/>
      <c r="E1009" s="43"/>
      <c r="F1009" s="42"/>
      <c r="G1009" s="42"/>
      <c r="H1009" s="42"/>
      <c r="I1009" s="42"/>
      <c r="J1009" s="42"/>
      <c r="K1009" s="42"/>
      <c r="L1009" s="42"/>
      <c r="M1009" s="42"/>
      <c r="N1009" s="42"/>
      <c r="O1009" s="42"/>
      <c r="P1009" s="42"/>
      <c r="Q1009" s="42"/>
      <c r="R1009" s="42"/>
      <c r="S1009" s="42"/>
      <c r="T1009" s="42"/>
      <c r="U1009" s="42"/>
      <c r="V1009" s="42"/>
      <c r="W1009" s="42"/>
      <c r="X1009" s="42"/>
      <c r="Y1009" s="42"/>
      <c r="Z1009" s="42"/>
      <c r="AA1009" s="42"/>
      <c r="AB1009" s="42"/>
      <c r="AC1009" s="42"/>
      <c r="AD1009" s="42"/>
      <c r="AE1009" s="42"/>
      <c r="AF1009" s="42"/>
      <c r="AG1009" s="42"/>
      <c r="AH1009" s="42"/>
      <c r="AI1009" s="42"/>
      <c r="AJ1009" s="42"/>
      <c r="AK1009" s="42"/>
      <c r="AL1009" s="42"/>
      <c r="AM1009" s="42"/>
      <c r="AN1009" s="42"/>
      <c r="AO1009" s="42"/>
      <c r="AP1009" s="42"/>
      <c r="AQ1009" s="42"/>
      <c r="AR1009" s="42"/>
      <c r="AS1009" s="42"/>
      <c r="AT1009" s="42"/>
      <c r="AU1009" s="42"/>
      <c r="AV1009" s="42"/>
      <c r="AW1009" s="42"/>
      <c r="AX1009" s="42"/>
      <c r="AY1009" s="42"/>
      <c r="AZ1009" s="42"/>
      <c r="BA1009" s="42"/>
      <c r="BB1009" s="42"/>
      <c r="BC1009" s="42"/>
      <c r="BD1009" s="42"/>
      <c r="BE1009" s="42"/>
      <c r="BF1009" s="42"/>
      <c r="BG1009" s="42"/>
      <c r="BH1009" s="42"/>
      <c r="BI1009" s="42"/>
      <c r="BJ1009" s="42"/>
      <c r="BK1009" s="42"/>
      <c r="BL1009" s="42"/>
      <c r="BM1009" s="42"/>
      <c r="BN1009" s="42"/>
      <c r="BO1009" s="42"/>
    </row>
    <row r="1010">
      <c r="A1010" s="40"/>
      <c r="B1010" s="40"/>
      <c r="C1010" s="42"/>
      <c r="D1010" s="42"/>
      <c r="E1010" s="43"/>
      <c r="F1010" s="42"/>
      <c r="G1010" s="42"/>
      <c r="H1010" s="42"/>
      <c r="I1010" s="42"/>
      <c r="J1010" s="42"/>
      <c r="K1010" s="42"/>
      <c r="L1010" s="42"/>
      <c r="M1010" s="42"/>
      <c r="N1010" s="42"/>
      <c r="O1010" s="42"/>
      <c r="P1010" s="42"/>
      <c r="Q1010" s="42"/>
      <c r="R1010" s="42"/>
      <c r="S1010" s="42"/>
      <c r="T1010" s="42"/>
      <c r="U1010" s="42"/>
      <c r="V1010" s="42"/>
      <c r="W1010" s="42"/>
      <c r="X1010" s="42"/>
      <c r="Y1010" s="42"/>
      <c r="Z1010" s="42"/>
      <c r="AA1010" s="42"/>
      <c r="AB1010" s="42"/>
      <c r="AC1010" s="42"/>
      <c r="AD1010" s="42"/>
      <c r="AE1010" s="42"/>
      <c r="AF1010" s="42"/>
      <c r="AG1010" s="42"/>
      <c r="AH1010" s="42"/>
      <c r="AI1010" s="42"/>
      <c r="AJ1010" s="42"/>
      <c r="AK1010" s="42"/>
      <c r="AL1010" s="42"/>
      <c r="AM1010" s="42"/>
      <c r="AN1010" s="42"/>
      <c r="AO1010" s="42"/>
      <c r="AP1010" s="42"/>
      <c r="AQ1010" s="42"/>
      <c r="AR1010" s="42"/>
      <c r="AS1010" s="42"/>
      <c r="AT1010" s="42"/>
      <c r="AU1010" s="42"/>
      <c r="AV1010" s="42"/>
      <c r="AW1010" s="42"/>
      <c r="AX1010" s="42"/>
      <c r="AY1010" s="42"/>
      <c r="AZ1010" s="42"/>
      <c r="BA1010" s="42"/>
      <c r="BB1010" s="42"/>
      <c r="BC1010" s="42"/>
      <c r="BD1010" s="42"/>
      <c r="BE1010" s="42"/>
      <c r="BF1010" s="42"/>
      <c r="BG1010" s="42"/>
      <c r="BH1010" s="42"/>
      <c r="BI1010" s="42"/>
      <c r="BJ1010" s="42"/>
      <c r="BK1010" s="42"/>
      <c r="BL1010" s="42"/>
      <c r="BM1010" s="42"/>
      <c r="BN1010" s="42"/>
      <c r="BO1010" s="42"/>
    </row>
    <row r="1011">
      <c r="A1011" s="40"/>
      <c r="B1011" s="40"/>
      <c r="C1011" s="42"/>
      <c r="D1011" s="42"/>
      <c r="E1011" s="43"/>
      <c r="F1011" s="42"/>
      <c r="G1011" s="42"/>
      <c r="H1011" s="42"/>
      <c r="I1011" s="42"/>
      <c r="J1011" s="42"/>
      <c r="K1011" s="42"/>
      <c r="L1011" s="42"/>
      <c r="M1011" s="42"/>
      <c r="N1011" s="42"/>
      <c r="O1011" s="42"/>
      <c r="P1011" s="42"/>
      <c r="Q1011" s="42"/>
      <c r="R1011" s="42"/>
      <c r="S1011" s="42"/>
      <c r="T1011" s="42"/>
      <c r="U1011" s="42"/>
      <c r="V1011" s="42"/>
      <c r="W1011" s="42"/>
      <c r="X1011" s="42"/>
      <c r="Y1011" s="42"/>
      <c r="Z1011" s="42"/>
      <c r="AA1011" s="42"/>
      <c r="AB1011" s="42"/>
      <c r="AC1011" s="42"/>
      <c r="AD1011" s="42"/>
      <c r="AE1011" s="42"/>
      <c r="AF1011" s="42"/>
      <c r="AG1011" s="42"/>
      <c r="AH1011" s="42"/>
      <c r="AI1011" s="42"/>
      <c r="AJ1011" s="42"/>
      <c r="AK1011" s="42"/>
      <c r="AL1011" s="42"/>
      <c r="AM1011" s="42"/>
      <c r="AN1011" s="42"/>
      <c r="AO1011" s="42"/>
      <c r="AP1011" s="42"/>
      <c r="AQ1011" s="42"/>
      <c r="AR1011" s="42"/>
      <c r="AS1011" s="42"/>
      <c r="AT1011" s="42"/>
      <c r="AU1011" s="42"/>
      <c r="AV1011" s="42"/>
      <c r="AW1011" s="42"/>
      <c r="AX1011" s="42"/>
      <c r="AY1011" s="42"/>
      <c r="AZ1011" s="42"/>
      <c r="BA1011" s="42"/>
      <c r="BB1011" s="42"/>
      <c r="BC1011" s="42"/>
      <c r="BD1011" s="42"/>
      <c r="BE1011" s="42"/>
      <c r="BF1011" s="42"/>
      <c r="BG1011" s="42"/>
      <c r="BH1011" s="42"/>
      <c r="BI1011" s="42"/>
      <c r="BJ1011" s="42"/>
      <c r="BK1011" s="42"/>
      <c r="BL1011" s="42"/>
      <c r="BM1011" s="42"/>
      <c r="BN1011" s="42"/>
      <c r="BO1011" s="42"/>
    </row>
    <row r="1012">
      <c r="A1012" s="40"/>
      <c r="B1012" s="40"/>
      <c r="C1012" s="42"/>
      <c r="D1012" s="42"/>
      <c r="E1012" s="43"/>
      <c r="F1012" s="42"/>
      <c r="G1012" s="42"/>
      <c r="H1012" s="42"/>
      <c r="I1012" s="42"/>
      <c r="J1012" s="42"/>
      <c r="K1012" s="42"/>
      <c r="L1012" s="42"/>
      <c r="M1012" s="42"/>
      <c r="N1012" s="42"/>
      <c r="O1012" s="42"/>
      <c r="P1012" s="42"/>
      <c r="Q1012" s="42"/>
      <c r="R1012" s="42"/>
      <c r="S1012" s="42"/>
      <c r="T1012" s="42"/>
      <c r="U1012" s="42"/>
      <c r="V1012" s="42"/>
      <c r="W1012" s="42"/>
      <c r="X1012" s="42"/>
      <c r="Y1012" s="42"/>
      <c r="Z1012" s="42"/>
      <c r="AA1012" s="42"/>
      <c r="AB1012" s="42"/>
      <c r="AC1012" s="42"/>
      <c r="AD1012" s="42"/>
      <c r="AE1012" s="42"/>
      <c r="AF1012" s="42"/>
      <c r="AG1012" s="42"/>
      <c r="AH1012" s="42"/>
      <c r="AI1012" s="42"/>
      <c r="AJ1012" s="42"/>
      <c r="AK1012" s="42"/>
      <c r="AL1012" s="42"/>
      <c r="AM1012" s="42"/>
      <c r="AN1012" s="42"/>
      <c r="AO1012" s="42"/>
      <c r="AP1012" s="42"/>
      <c r="AQ1012" s="42"/>
      <c r="AR1012" s="42"/>
      <c r="AS1012" s="42"/>
      <c r="AT1012" s="42"/>
      <c r="AU1012" s="42"/>
      <c r="AV1012" s="42"/>
      <c r="AW1012" s="42"/>
      <c r="AX1012" s="42"/>
      <c r="AY1012" s="42"/>
      <c r="AZ1012" s="42"/>
      <c r="BA1012" s="42"/>
      <c r="BB1012" s="42"/>
      <c r="BC1012" s="42"/>
      <c r="BD1012" s="42"/>
      <c r="BE1012" s="42"/>
      <c r="BF1012" s="42"/>
      <c r="BG1012" s="42"/>
      <c r="BH1012" s="42"/>
      <c r="BI1012" s="42"/>
      <c r="BJ1012" s="42"/>
      <c r="BK1012" s="42"/>
      <c r="BL1012" s="42"/>
      <c r="BM1012" s="42"/>
      <c r="BN1012" s="42"/>
      <c r="BO1012" s="42"/>
    </row>
    <row r="1013">
      <c r="A1013" s="40"/>
      <c r="B1013" s="40"/>
      <c r="C1013" s="42"/>
      <c r="D1013" s="42"/>
      <c r="E1013" s="43"/>
      <c r="F1013" s="42"/>
      <c r="G1013" s="42"/>
      <c r="H1013" s="42"/>
      <c r="I1013" s="42"/>
      <c r="J1013" s="42"/>
      <c r="K1013" s="42"/>
      <c r="L1013" s="42"/>
      <c r="M1013" s="42"/>
      <c r="N1013" s="42"/>
      <c r="O1013" s="42"/>
      <c r="P1013" s="42"/>
      <c r="Q1013" s="42"/>
      <c r="R1013" s="42"/>
      <c r="S1013" s="42"/>
      <c r="T1013" s="42"/>
      <c r="U1013" s="42"/>
      <c r="V1013" s="42"/>
      <c r="W1013" s="42"/>
      <c r="X1013" s="42"/>
      <c r="Y1013" s="42"/>
      <c r="Z1013" s="42"/>
      <c r="AA1013" s="42"/>
      <c r="AB1013" s="42"/>
      <c r="AC1013" s="42"/>
      <c r="AD1013" s="42"/>
      <c r="AE1013" s="42"/>
      <c r="AF1013" s="42"/>
      <c r="AG1013" s="42"/>
      <c r="AH1013" s="42"/>
      <c r="AI1013" s="42"/>
      <c r="AJ1013" s="42"/>
      <c r="AK1013" s="42"/>
      <c r="AL1013" s="42"/>
      <c r="AM1013" s="42"/>
      <c r="AN1013" s="42"/>
      <c r="AO1013" s="42"/>
      <c r="AP1013" s="42"/>
      <c r="AQ1013" s="42"/>
      <c r="AR1013" s="42"/>
      <c r="AS1013" s="42"/>
      <c r="AT1013" s="42"/>
      <c r="AU1013" s="42"/>
      <c r="AV1013" s="42"/>
      <c r="AW1013" s="42"/>
      <c r="AX1013" s="42"/>
      <c r="AY1013" s="42"/>
      <c r="AZ1013" s="42"/>
      <c r="BA1013" s="42"/>
      <c r="BB1013" s="42"/>
      <c r="BC1013" s="42"/>
      <c r="BD1013" s="42"/>
      <c r="BE1013" s="42"/>
      <c r="BF1013" s="42"/>
      <c r="BG1013" s="42"/>
      <c r="BH1013" s="42"/>
      <c r="BI1013" s="42"/>
      <c r="BJ1013" s="42"/>
      <c r="BK1013" s="42"/>
      <c r="BL1013" s="42"/>
      <c r="BM1013" s="42"/>
      <c r="BN1013" s="42"/>
      <c r="BO1013" s="42"/>
    </row>
    <row r="1014">
      <c r="A1014" s="40"/>
      <c r="B1014" s="40"/>
      <c r="C1014" s="42"/>
      <c r="D1014" s="42"/>
      <c r="E1014" s="43"/>
      <c r="F1014" s="42"/>
      <c r="G1014" s="42"/>
      <c r="H1014" s="42"/>
      <c r="I1014" s="42"/>
      <c r="J1014" s="42"/>
      <c r="K1014" s="42"/>
      <c r="L1014" s="42"/>
      <c r="M1014" s="42"/>
      <c r="N1014" s="42"/>
      <c r="O1014" s="42"/>
      <c r="P1014" s="42"/>
      <c r="Q1014" s="42"/>
      <c r="R1014" s="42"/>
      <c r="S1014" s="42"/>
      <c r="T1014" s="42"/>
      <c r="U1014" s="42"/>
      <c r="V1014" s="42"/>
      <c r="W1014" s="42"/>
      <c r="X1014" s="42"/>
      <c r="Y1014" s="42"/>
      <c r="Z1014" s="42"/>
      <c r="AA1014" s="42"/>
      <c r="AB1014" s="42"/>
      <c r="AC1014" s="42"/>
      <c r="AD1014" s="42"/>
      <c r="AE1014" s="42"/>
      <c r="AF1014" s="42"/>
      <c r="AG1014" s="42"/>
      <c r="AH1014" s="42"/>
      <c r="AI1014" s="42"/>
      <c r="AJ1014" s="42"/>
      <c r="AK1014" s="42"/>
      <c r="AL1014" s="42"/>
      <c r="AM1014" s="42"/>
      <c r="AN1014" s="42"/>
      <c r="AO1014" s="42"/>
      <c r="AP1014" s="42"/>
      <c r="AQ1014" s="42"/>
      <c r="AR1014" s="42"/>
      <c r="AS1014" s="42"/>
      <c r="AT1014" s="42"/>
      <c r="AU1014" s="42"/>
      <c r="AV1014" s="42"/>
      <c r="AW1014" s="42"/>
      <c r="AX1014" s="42"/>
      <c r="AY1014" s="42"/>
      <c r="AZ1014" s="42"/>
      <c r="BA1014" s="42"/>
      <c r="BB1014" s="42"/>
      <c r="BC1014" s="42"/>
      <c r="BD1014" s="42"/>
      <c r="BE1014" s="42"/>
      <c r="BF1014" s="42"/>
      <c r="BG1014" s="42"/>
      <c r="BH1014" s="42"/>
      <c r="BI1014" s="42"/>
      <c r="BJ1014" s="42"/>
      <c r="BK1014" s="42"/>
      <c r="BL1014" s="42"/>
      <c r="BM1014" s="42"/>
      <c r="BN1014" s="42"/>
      <c r="BO1014" s="42"/>
    </row>
    <row r="1015">
      <c r="A1015" s="40"/>
      <c r="B1015" s="40"/>
      <c r="C1015" s="42"/>
      <c r="D1015" s="42"/>
      <c r="E1015" s="43"/>
      <c r="F1015" s="42"/>
      <c r="G1015" s="42"/>
      <c r="H1015" s="42"/>
      <c r="I1015" s="42"/>
      <c r="J1015" s="42"/>
      <c r="K1015" s="42"/>
      <c r="L1015" s="42"/>
      <c r="M1015" s="42"/>
      <c r="N1015" s="42"/>
      <c r="O1015" s="42"/>
      <c r="P1015" s="42"/>
      <c r="Q1015" s="42"/>
      <c r="R1015" s="42"/>
      <c r="S1015" s="42"/>
      <c r="T1015" s="42"/>
      <c r="U1015" s="42"/>
      <c r="V1015" s="42"/>
      <c r="W1015" s="42"/>
      <c r="X1015" s="42"/>
      <c r="Y1015" s="42"/>
      <c r="Z1015" s="42"/>
      <c r="AA1015" s="42"/>
      <c r="AB1015" s="42"/>
      <c r="AC1015" s="42"/>
      <c r="AD1015" s="42"/>
      <c r="AE1015" s="42"/>
      <c r="AF1015" s="42"/>
      <c r="AG1015" s="42"/>
      <c r="AH1015" s="42"/>
      <c r="AI1015" s="42"/>
      <c r="AJ1015" s="42"/>
      <c r="AK1015" s="42"/>
      <c r="AL1015" s="42"/>
      <c r="AM1015" s="42"/>
      <c r="AN1015" s="42"/>
      <c r="AO1015" s="42"/>
      <c r="AP1015" s="42"/>
      <c r="AQ1015" s="42"/>
      <c r="AR1015" s="42"/>
      <c r="AS1015" s="42"/>
      <c r="AT1015" s="42"/>
      <c r="AU1015" s="42"/>
      <c r="AV1015" s="42"/>
      <c r="AW1015" s="42"/>
      <c r="AX1015" s="42"/>
      <c r="AY1015" s="42"/>
      <c r="AZ1015" s="42"/>
      <c r="BA1015" s="42"/>
      <c r="BB1015" s="42"/>
      <c r="BC1015" s="42"/>
      <c r="BD1015" s="42"/>
      <c r="BE1015" s="42"/>
      <c r="BF1015" s="42"/>
      <c r="BG1015" s="42"/>
      <c r="BH1015" s="42"/>
      <c r="BI1015" s="42"/>
      <c r="BJ1015" s="42"/>
      <c r="BK1015" s="42"/>
      <c r="BL1015" s="42"/>
      <c r="BM1015" s="42"/>
      <c r="BN1015" s="42"/>
      <c r="BO1015" s="42"/>
    </row>
    <row r="1016">
      <c r="A1016" s="40"/>
      <c r="B1016" s="40"/>
      <c r="C1016" s="42"/>
      <c r="D1016" s="42"/>
      <c r="E1016" s="43"/>
      <c r="F1016" s="42"/>
      <c r="G1016" s="42"/>
      <c r="H1016" s="42"/>
      <c r="I1016" s="42"/>
      <c r="J1016" s="42"/>
      <c r="K1016" s="42"/>
      <c r="L1016" s="42"/>
      <c r="M1016" s="42"/>
      <c r="N1016" s="42"/>
      <c r="O1016" s="42"/>
      <c r="P1016" s="42"/>
      <c r="Q1016" s="42"/>
      <c r="R1016" s="42"/>
      <c r="S1016" s="42"/>
      <c r="T1016" s="42"/>
      <c r="U1016" s="42"/>
      <c r="V1016" s="42"/>
      <c r="W1016" s="42"/>
      <c r="X1016" s="42"/>
      <c r="Y1016" s="42"/>
      <c r="Z1016" s="42"/>
      <c r="AA1016" s="42"/>
      <c r="AB1016" s="42"/>
      <c r="AC1016" s="42"/>
      <c r="AD1016" s="42"/>
      <c r="AE1016" s="42"/>
      <c r="AF1016" s="42"/>
      <c r="AG1016" s="42"/>
      <c r="AH1016" s="42"/>
      <c r="AI1016" s="42"/>
      <c r="AJ1016" s="42"/>
      <c r="AK1016" s="42"/>
      <c r="AL1016" s="42"/>
      <c r="AM1016" s="42"/>
      <c r="AN1016" s="42"/>
      <c r="AO1016" s="42"/>
      <c r="AP1016" s="42"/>
      <c r="AQ1016" s="42"/>
      <c r="AR1016" s="42"/>
      <c r="AS1016" s="42"/>
      <c r="AT1016" s="42"/>
      <c r="AU1016" s="42"/>
      <c r="AV1016" s="42"/>
      <c r="AW1016" s="42"/>
      <c r="AX1016" s="42"/>
      <c r="AY1016" s="42"/>
      <c r="AZ1016" s="42"/>
      <c r="BA1016" s="42"/>
      <c r="BB1016" s="42"/>
      <c r="BC1016" s="42"/>
      <c r="BD1016" s="42"/>
      <c r="BE1016" s="42"/>
      <c r="BF1016" s="42"/>
      <c r="BG1016" s="42"/>
      <c r="BH1016" s="42"/>
      <c r="BI1016" s="42"/>
      <c r="BJ1016" s="42"/>
      <c r="BK1016" s="42"/>
      <c r="BL1016" s="42"/>
      <c r="BM1016" s="42"/>
      <c r="BN1016" s="42"/>
      <c r="BO1016" s="42"/>
    </row>
    <row r="1017">
      <c r="A1017" s="40"/>
      <c r="B1017" s="40"/>
      <c r="C1017" s="42"/>
      <c r="D1017" s="42"/>
      <c r="E1017" s="43"/>
      <c r="F1017" s="42"/>
      <c r="G1017" s="42"/>
      <c r="H1017" s="42"/>
      <c r="I1017" s="42"/>
      <c r="J1017" s="42"/>
      <c r="K1017" s="42"/>
      <c r="L1017" s="42"/>
      <c r="M1017" s="42"/>
      <c r="N1017" s="42"/>
      <c r="O1017" s="42"/>
      <c r="P1017" s="42"/>
      <c r="Q1017" s="42"/>
      <c r="R1017" s="42"/>
      <c r="S1017" s="42"/>
      <c r="T1017" s="42"/>
      <c r="U1017" s="42"/>
      <c r="V1017" s="42"/>
      <c r="W1017" s="42"/>
      <c r="X1017" s="42"/>
      <c r="Y1017" s="42"/>
      <c r="Z1017" s="42"/>
      <c r="AA1017" s="42"/>
      <c r="AB1017" s="42"/>
      <c r="AC1017" s="42"/>
      <c r="AD1017" s="42"/>
      <c r="AE1017" s="42"/>
      <c r="AF1017" s="42"/>
      <c r="AG1017" s="42"/>
      <c r="AH1017" s="42"/>
      <c r="AI1017" s="42"/>
      <c r="AJ1017" s="42"/>
      <c r="AK1017" s="42"/>
      <c r="AL1017" s="42"/>
      <c r="AM1017" s="42"/>
      <c r="AN1017" s="42"/>
      <c r="AO1017" s="42"/>
      <c r="AP1017" s="42"/>
      <c r="AQ1017" s="42"/>
      <c r="AR1017" s="42"/>
      <c r="AS1017" s="42"/>
      <c r="AT1017" s="42"/>
      <c r="AU1017" s="42"/>
      <c r="AV1017" s="42"/>
      <c r="AW1017" s="42"/>
      <c r="AX1017" s="42"/>
      <c r="AY1017" s="42"/>
      <c r="AZ1017" s="42"/>
      <c r="BA1017" s="42"/>
      <c r="BB1017" s="42"/>
      <c r="BC1017" s="42"/>
      <c r="BD1017" s="42"/>
      <c r="BE1017" s="42"/>
      <c r="BF1017" s="42"/>
      <c r="BG1017" s="42"/>
      <c r="BH1017" s="42"/>
      <c r="BI1017" s="42"/>
      <c r="BJ1017" s="42"/>
      <c r="BK1017" s="42"/>
      <c r="BL1017" s="42"/>
      <c r="BM1017" s="42"/>
      <c r="BN1017" s="42"/>
      <c r="BO1017" s="42"/>
    </row>
    <row r="1018">
      <c r="A1018" s="40"/>
      <c r="B1018" s="40"/>
      <c r="C1018" s="42"/>
      <c r="D1018" s="42"/>
      <c r="E1018" s="43"/>
      <c r="F1018" s="42"/>
      <c r="G1018" s="42"/>
      <c r="H1018" s="42"/>
      <c r="I1018" s="42"/>
      <c r="J1018" s="42"/>
      <c r="K1018" s="42"/>
      <c r="L1018" s="42"/>
      <c r="M1018" s="42"/>
      <c r="N1018" s="42"/>
      <c r="O1018" s="42"/>
      <c r="P1018" s="42"/>
      <c r="Q1018" s="42"/>
      <c r="R1018" s="42"/>
      <c r="S1018" s="42"/>
      <c r="T1018" s="42"/>
      <c r="U1018" s="42"/>
      <c r="V1018" s="42"/>
      <c r="W1018" s="42"/>
      <c r="X1018" s="42"/>
      <c r="Y1018" s="42"/>
      <c r="Z1018" s="42"/>
      <c r="AA1018" s="42"/>
      <c r="AB1018" s="42"/>
      <c r="AC1018" s="42"/>
      <c r="AD1018" s="42"/>
      <c r="AE1018" s="42"/>
      <c r="AF1018" s="42"/>
      <c r="AG1018" s="42"/>
      <c r="AH1018" s="42"/>
      <c r="AI1018" s="42"/>
      <c r="AJ1018" s="42"/>
      <c r="AK1018" s="42"/>
      <c r="AL1018" s="42"/>
      <c r="AM1018" s="42"/>
      <c r="AN1018" s="42"/>
      <c r="AO1018" s="42"/>
      <c r="AP1018" s="42"/>
      <c r="AQ1018" s="42"/>
      <c r="AR1018" s="42"/>
      <c r="AS1018" s="42"/>
      <c r="AT1018" s="42"/>
      <c r="AU1018" s="42"/>
      <c r="AV1018" s="42"/>
      <c r="AW1018" s="42"/>
      <c r="AX1018" s="42"/>
      <c r="AY1018" s="42"/>
      <c r="AZ1018" s="42"/>
      <c r="BA1018" s="42"/>
      <c r="BB1018" s="42"/>
      <c r="BC1018" s="42"/>
      <c r="BD1018" s="42"/>
      <c r="BE1018" s="42"/>
      <c r="BF1018" s="42"/>
      <c r="BG1018" s="42"/>
      <c r="BH1018" s="42"/>
      <c r="BI1018" s="42"/>
      <c r="BJ1018" s="42"/>
      <c r="BK1018" s="42"/>
      <c r="BL1018" s="42"/>
      <c r="BM1018" s="42"/>
      <c r="BN1018" s="42"/>
      <c r="BO1018" s="42"/>
    </row>
    <row r="1019">
      <c r="A1019" s="40"/>
      <c r="B1019" s="40"/>
      <c r="C1019" s="42"/>
      <c r="D1019" s="42"/>
      <c r="E1019" s="43"/>
      <c r="F1019" s="42"/>
      <c r="G1019" s="42"/>
      <c r="H1019" s="42"/>
      <c r="I1019" s="42"/>
      <c r="J1019" s="42"/>
      <c r="K1019" s="42"/>
      <c r="L1019" s="42"/>
      <c r="M1019" s="42"/>
      <c r="N1019" s="42"/>
      <c r="O1019" s="42"/>
      <c r="P1019" s="42"/>
      <c r="Q1019" s="42"/>
      <c r="R1019" s="42"/>
      <c r="S1019" s="42"/>
      <c r="T1019" s="42"/>
      <c r="U1019" s="42"/>
      <c r="V1019" s="42"/>
      <c r="W1019" s="42"/>
      <c r="X1019" s="42"/>
      <c r="Y1019" s="42"/>
      <c r="Z1019" s="42"/>
      <c r="AA1019" s="42"/>
      <c r="AB1019" s="42"/>
      <c r="AC1019" s="42"/>
      <c r="AD1019" s="42"/>
      <c r="AE1019" s="42"/>
      <c r="AF1019" s="42"/>
      <c r="AG1019" s="42"/>
      <c r="AH1019" s="42"/>
      <c r="AI1019" s="42"/>
      <c r="AJ1019" s="42"/>
      <c r="AK1019" s="42"/>
      <c r="AL1019" s="42"/>
      <c r="AM1019" s="42"/>
      <c r="AN1019" s="42"/>
      <c r="AO1019" s="42"/>
      <c r="AP1019" s="42"/>
      <c r="AQ1019" s="42"/>
      <c r="AR1019" s="42"/>
      <c r="AS1019" s="42"/>
      <c r="AT1019" s="42"/>
      <c r="AU1019" s="42"/>
      <c r="AV1019" s="42"/>
      <c r="AW1019" s="42"/>
      <c r="AX1019" s="42"/>
      <c r="AY1019" s="42"/>
      <c r="AZ1019" s="42"/>
      <c r="BA1019" s="42"/>
      <c r="BB1019" s="42"/>
      <c r="BC1019" s="42"/>
      <c r="BD1019" s="42"/>
      <c r="BE1019" s="42"/>
      <c r="BF1019" s="42"/>
      <c r="BG1019" s="42"/>
      <c r="BH1019" s="42"/>
      <c r="BI1019" s="42"/>
      <c r="BJ1019" s="42"/>
      <c r="BK1019" s="42"/>
      <c r="BL1019" s="42"/>
      <c r="BM1019" s="42"/>
      <c r="BN1019" s="42"/>
      <c r="BO1019" s="42"/>
    </row>
    <row r="1020">
      <c r="A1020" s="40"/>
      <c r="B1020" s="40"/>
      <c r="C1020" s="42"/>
      <c r="D1020" s="42"/>
      <c r="E1020" s="43"/>
      <c r="F1020" s="42"/>
      <c r="G1020" s="42"/>
      <c r="H1020" s="42"/>
      <c r="I1020" s="42"/>
      <c r="J1020" s="42"/>
      <c r="K1020" s="42"/>
      <c r="L1020" s="42"/>
      <c r="M1020" s="42"/>
      <c r="N1020" s="42"/>
      <c r="O1020" s="42"/>
      <c r="P1020" s="42"/>
      <c r="Q1020" s="42"/>
      <c r="R1020" s="42"/>
      <c r="S1020" s="42"/>
      <c r="T1020" s="42"/>
      <c r="U1020" s="42"/>
      <c r="V1020" s="42"/>
      <c r="W1020" s="42"/>
      <c r="X1020" s="42"/>
      <c r="Y1020" s="42"/>
      <c r="Z1020" s="42"/>
      <c r="AA1020" s="42"/>
      <c r="AB1020" s="42"/>
      <c r="AC1020" s="42"/>
      <c r="AD1020" s="42"/>
      <c r="AE1020" s="42"/>
      <c r="AF1020" s="42"/>
      <c r="AG1020" s="42"/>
      <c r="AH1020" s="42"/>
      <c r="AI1020" s="42"/>
      <c r="AJ1020" s="42"/>
      <c r="AK1020" s="42"/>
      <c r="AL1020" s="42"/>
      <c r="AM1020" s="42"/>
      <c r="AN1020" s="42"/>
      <c r="AO1020" s="42"/>
      <c r="AP1020" s="42"/>
      <c r="AQ1020" s="42"/>
      <c r="AR1020" s="42"/>
      <c r="AS1020" s="42"/>
      <c r="AT1020" s="42"/>
      <c r="AU1020" s="42"/>
      <c r="AV1020" s="42"/>
      <c r="AW1020" s="42"/>
      <c r="AX1020" s="42"/>
      <c r="AY1020" s="42"/>
      <c r="AZ1020" s="42"/>
      <c r="BA1020" s="42"/>
      <c r="BB1020" s="42"/>
      <c r="BC1020" s="42"/>
      <c r="BD1020" s="42"/>
      <c r="BE1020" s="42"/>
      <c r="BF1020" s="42"/>
      <c r="BG1020" s="42"/>
      <c r="BH1020" s="42"/>
      <c r="BI1020" s="42"/>
      <c r="BJ1020" s="42"/>
      <c r="BK1020" s="42"/>
      <c r="BL1020" s="42"/>
      <c r="BM1020" s="42"/>
      <c r="BN1020" s="42"/>
      <c r="BO1020" s="42"/>
    </row>
    <row r="1021">
      <c r="A1021" s="40"/>
      <c r="B1021" s="40"/>
      <c r="C1021" s="42"/>
      <c r="D1021" s="42"/>
      <c r="E1021" s="43"/>
      <c r="F1021" s="42"/>
      <c r="G1021" s="42"/>
      <c r="H1021" s="42"/>
      <c r="I1021" s="42"/>
      <c r="J1021" s="42"/>
      <c r="K1021" s="42"/>
      <c r="L1021" s="42"/>
      <c r="M1021" s="42"/>
      <c r="N1021" s="42"/>
      <c r="O1021" s="42"/>
      <c r="P1021" s="42"/>
      <c r="Q1021" s="42"/>
      <c r="R1021" s="42"/>
      <c r="S1021" s="42"/>
      <c r="T1021" s="42"/>
      <c r="U1021" s="42"/>
      <c r="V1021" s="42"/>
      <c r="W1021" s="42"/>
      <c r="X1021" s="42"/>
      <c r="Y1021" s="42"/>
      <c r="Z1021" s="42"/>
      <c r="AA1021" s="42"/>
      <c r="AB1021" s="42"/>
      <c r="AC1021" s="42"/>
      <c r="AD1021" s="42"/>
      <c r="AE1021" s="42"/>
      <c r="AF1021" s="42"/>
      <c r="AG1021" s="42"/>
      <c r="AH1021" s="42"/>
      <c r="AI1021" s="42"/>
      <c r="AJ1021" s="42"/>
      <c r="AK1021" s="42"/>
      <c r="AL1021" s="42"/>
      <c r="AM1021" s="42"/>
      <c r="AN1021" s="42"/>
      <c r="AO1021" s="42"/>
      <c r="AP1021" s="42"/>
      <c r="AQ1021" s="42"/>
      <c r="AR1021" s="42"/>
      <c r="AS1021" s="42"/>
      <c r="AT1021" s="42"/>
      <c r="AU1021" s="42"/>
      <c r="AV1021" s="42"/>
      <c r="AW1021" s="42"/>
      <c r="AX1021" s="42"/>
      <c r="AY1021" s="42"/>
      <c r="AZ1021" s="42"/>
      <c r="BA1021" s="42"/>
      <c r="BB1021" s="42"/>
      <c r="BC1021" s="42"/>
      <c r="BD1021" s="42"/>
      <c r="BE1021" s="42"/>
      <c r="BF1021" s="42"/>
      <c r="BG1021" s="42"/>
      <c r="BH1021" s="42"/>
      <c r="BI1021" s="42"/>
      <c r="BJ1021" s="42"/>
      <c r="BK1021" s="42"/>
      <c r="BL1021" s="42"/>
      <c r="BM1021" s="42"/>
      <c r="BN1021" s="42"/>
      <c r="BO1021" s="42"/>
    </row>
    <row r="1022">
      <c r="A1022" s="40"/>
      <c r="B1022" s="40"/>
      <c r="C1022" s="42"/>
      <c r="D1022" s="42"/>
      <c r="E1022" s="43"/>
      <c r="F1022" s="42"/>
      <c r="G1022" s="42"/>
      <c r="H1022" s="42"/>
      <c r="I1022" s="42"/>
      <c r="J1022" s="42"/>
      <c r="K1022" s="42"/>
      <c r="L1022" s="42"/>
      <c r="M1022" s="42"/>
      <c r="N1022" s="42"/>
      <c r="O1022" s="42"/>
      <c r="P1022" s="42"/>
      <c r="Q1022" s="42"/>
      <c r="R1022" s="42"/>
      <c r="S1022" s="42"/>
      <c r="T1022" s="42"/>
      <c r="U1022" s="42"/>
      <c r="V1022" s="42"/>
      <c r="W1022" s="42"/>
      <c r="X1022" s="42"/>
      <c r="Y1022" s="42"/>
      <c r="Z1022" s="42"/>
      <c r="AA1022" s="42"/>
      <c r="AB1022" s="42"/>
      <c r="AC1022" s="42"/>
      <c r="AD1022" s="42"/>
      <c r="AE1022" s="42"/>
      <c r="AF1022" s="42"/>
      <c r="AG1022" s="42"/>
      <c r="AH1022" s="42"/>
      <c r="AI1022" s="42"/>
      <c r="AJ1022" s="42"/>
      <c r="AK1022" s="42"/>
      <c r="AL1022" s="42"/>
      <c r="AM1022" s="42"/>
      <c r="AN1022" s="42"/>
      <c r="AO1022" s="42"/>
      <c r="AP1022" s="42"/>
      <c r="AQ1022" s="42"/>
      <c r="AR1022" s="42"/>
      <c r="AS1022" s="42"/>
      <c r="AT1022" s="42"/>
      <c r="AU1022" s="42"/>
      <c r="AV1022" s="42"/>
      <c r="AW1022" s="42"/>
      <c r="AX1022" s="42"/>
      <c r="AY1022" s="42"/>
      <c r="AZ1022" s="42"/>
      <c r="BA1022" s="42"/>
      <c r="BB1022" s="42"/>
      <c r="BC1022" s="42"/>
      <c r="BD1022" s="42"/>
      <c r="BE1022" s="42"/>
      <c r="BF1022" s="42"/>
      <c r="BG1022" s="42"/>
      <c r="BH1022" s="42"/>
      <c r="BI1022" s="42"/>
      <c r="BJ1022" s="42"/>
      <c r="BK1022" s="42"/>
      <c r="BL1022" s="42"/>
      <c r="BM1022" s="42"/>
      <c r="BN1022" s="42"/>
      <c r="BO1022" s="42"/>
    </row>
    <row r="1023">
      <c r="A1023" s="40"/>
      <c r="B1023" s="40"/>
      <c r="C1023" s="42"/>
      <c r="D1023" s="42"/>
      <c r="E1023" s="43"/>
      <c r="F1023" s="42"/>
      <c r="G1023" s="42"/>
      <c r="H1023" s="42"/>
      <c r="I1023" s="42"/>
      <c r="J1023" s="42"/>
      <c r="K1023" s="42"/>
      <c r="L1023" s="42"/>
      <c r="M1023" s="42"/>
      <c r="N1023" s="42"/>
      <c r="O1023" s="42"/>
      <c r="P1023" s="42"/>
      <c r="Q1023" s="42"/>
      <c r="R1023" s="42"/>
      <c r="S1023" s="42"/>
      <c r="T1023" s="42"/>
      <c r="U1023" s="42"/>
      <c r="V1023" s="42"/>
      <c r="W1023" s="42"/>
      <c r="X1023" s="42"/>
      <c r="Y1023" s="42"/>
      <c r="Z1023" s="42"/>
      <c r="AA1023" s="42"/>
      <c r="AB1023" s="42"/>
      <c r="AC1023" s="42"/>
      <c r="AD1023" s="42"/>
      <c r="AE1023" s="42"/>
      <c r="AF1023" s="42"/>
      <c r="AG1023" s="42"/>
      <c r="AH1023" s="42"/>
      <c r="AI1023" s="42"/>
      <c r="AJ1023" s="42"/>
      <c r="AK1023" s="42"/>
      <c r="AL1023" s="42"/>
      <c r="AM1023" s="42"/>
      <c r="AN1023" s="42"/>
      <c r="AO1023" s="42"/>
      <c r="AP1023" s="42"/>
      <c r="AQ1023" s="42"/>
      <c r="AR1023" s="42"/>
      <c r="AS1023" s="42"/>
      <c r="AT1023" s="42"/>
      <c r="AU1023" s="42"/>
      <c r="AV1023" s="42"/>
      <c r="AW1023" s="42"/>
      <c r="AX1023" s="42"/>
      <c r="AY1023" s="42"/>
      <c r="AZ1023" s="42"/>
      <c r="BA1023" s="42"/>
      <c r="BB1023" s="42"/>
      <c r="BC1023" s="42"/>
      <c r="BD1023" s="42"/>
      <c r="BE1023" s="42"/>
      <c r="BF1023" s="42"/>
      <c r="BG1023" s="42"/>
      <c r="BH1023" s="42"/>
      <c r="BI1023" s="42"/>
      <c r="BJ1023" s="42"/>
      <c r="BK1023" s="42"/>
      <c r="BL1023" s="42"/>
      <c r="BM1023" s="42"/>
      <c r="BN1023" s="42"/>
      <c r="BO1023" s="42"/>
    </row>
    <row r="1024">
      <c r="A1024" s="40"/>
      <c r="B1024" s="40"/>
      <c r="C1024" s="42"/>
      <c r="D1024" s="42"/>
      <c r="E1024" s="43"/>
      <c r="F1024" s="42"/>
      <c r="G1024" s="42"/>
      <c r="H1024" s="42"/>
      <c r="I1024" s="42"/>
      <c r="J1024" s="42"/>
      <c r="K1024" s="42"/>
      <c r="L1024" s="42"/>
      <c r="M1024" s="42"/>
      <c r="N1024" s="42"/>
      <c r="O1024" s="42"/>
      <c r="P1024" s="42"/>
      <c r="Q1024" s="42"/>
      <c r="R1024" s="42"/>
      <c r="S1024" s="42"/>
      <c r="T1024" s="42"/>
      <c r="U1024" s="42"/>
      <c r="V1024" s="42"/>
      <c r="W1024" s="42"/>
      <c r="X1024" s="42"/>
      <c r="Y1024" s="42"/>
      <c r="Z1024" s="42"/>
      <c r="AA1024" s="42"/>
      <c r="AB1024" s="42"/>
      <c r="AC1024" s="42"/>
      <c r="AD1024" s="42"/>
      <c r="AE1024" s="42"/>
      <c r="AF1024" s="42"/>
      <c r="AG1024" s="42"/>
      <c r="AH1024" s="42"/>
      <c r="AI1024" s="42"/>
      <c r="AJ1024" s="42"/>
      <c r="AK1024" s="42"/>
      <c r="AL1024" s="42"/>
      <c r="AM1024" s="42"/>
      <c r="AN1024" s="42"/>
      <c r="AO1024" s="42"/>
      <c r="AP1024" s="42"/>
      <c r="AQ1024" s="42"/>
      <c r="AR1024" s="42"/>
      <c r="AS1024" s="42"/>
      <c r="AT1024" s="42"/>
      <c r="AU1024" s="42"/>
      <c r="AV1024" s="42"/>
      <c r="AW1024" s="42"/>
      <c r="AX1024" s="42"/>
      <c r="AY1024" s="42"/>
      <c r="AZ1024" s="42"/>
      <c r="BA1024" s="42"/>
      <c r="BB1024" s="42"/>
      <c r="BC1024" s="42"/>
      <c r="BD1024" s="42"/>
      <c r="BE1024" s="42"/>
      <c r="BF1024" s="42"/>
      <c r="BG1024" s="42"/>
      <c r="BH1024" s="42"/>
      <c r="BI1024" s="42"/>
      <c r="BJ1024" s="42"/>
      <c r="BK1024" s="42"/>
      <c r="BL1024" s="42"/>
      <c r="BM1024" s="42"/>
      <c r="BN1024" s="42"/>
      <c r="BO1024" s="42"/>
    </row>
    <row r="1025">
      <c r="A1025" s="40"/>
      <c r="B1025" s="40"/>
      <c r="C1025" s="42"/>
      <c r="D1025" s="42"/>
      <c r="E1025" s="43"/>
      <c r="F1025" s="42"/>
      <c r="G1025" s="42"/>
      <c r="H1025" s="42"/>
      <c r="I1025" s="42"/>
      <c r="J1025" s="42"/>
      <c r="K1025" s="42"/>
      <c r="L1025" s="42"/>
      <c r="M1025" s="42"/>
      <c r="N1025" s="42"/>
      <c r="O1025" s="42"/>
      <c r="P1025" s="42"/>
      <c r="Q1025" s="42"/>
      <c r="R1025" s="42"/>
      <c r="S1025" s="42"/>
      <c r="T1025" s="42"/>
      <c r="U1025" s="42"/>
      <c r="V1025" s="42"/>
      <c r="W1025" s="42"/>
      <c r="X1025" s="42"/>
      <c r="Y1025" s="42"/>
      <c r="Z1025" s="42"/>
      <c r="AA1025" s="42"/>
      <c r="AB1025" s="42"/>
      <c r="AC1025" s="42"/>
      <c r="AD1025" s="42"/>
      <c r="AE1025" s="42"/>
      <c r="AF1025" s="42"/>
      <c r="AG1025" s="42"/>
      <c r="AH1025" s="42"/>
      <c r="AI1025" s="42"/>
      <c r="AJ1025" s="42"/>
      <c r="AK1025" s="42"/>
      <c r="AL1025" s="42"/>
      <c r="AM1025" s="42"/>
      <c r="AN1025" s="42"/>
      <c r="AO1025" s="42"/>
      <c r="AP1025" s="42"/>
      <c r="AQ1025" s="42"/>
      <c r="AR1025" s="42"/>
      <c r="AS1025" s="42"/>
      <c r="AT1025" s="42"/>
      <c r="AU1025" s="42"/>
      <c r="AV1025" s="42"/>
      <c r="AW1025" s="42"/>
      <c r="AX1025" s="42"/>
      <c r="AY1025" s="42"/>
      <c r="AZ1025" s="42"/>
      <c r="BA1025" s="42"/>
      <c r="BB1025" s="42"/>
      <c r="BC1025" s="42"/>
      <c r="BD1025" s="42"/>
      <c r="BE1025" s="42"/>
      <c r="BF1025" s="42"/>
      <c r="BG1025" s="42"/>
      <c r="BH1025" s="42"/>
      <c r="BI1025" s="42"/>
      <c r="BJ1025" s="42"/>
      <c r="BK1025" s="42"/>
      <c r="BL1025" s="42"/>
      <c r="BM1025" s="42"/>
      <c r="BN1025" s="42"/>
      <c r="BO1025" s="42"/>
    </row>
    <row r="1026">
      <c r="A1026" s="40"/>
      <c r="B1026" s="40"/>
      <c r="C1026" s="42"/>
      <c r="D1026" s="42"/>
      <c r="E1026" s="43"/>
      <c r="F1026" s="42"/>
      <c r="G1026" s="42"/>
      <c r="H1026" s="42"/>
      <c r="I1026" s="42"/>
      <c r="J1026" s="42"/>
      <c r="K1026" s="42"/>
      <c r="L1026" s="42"/>
      <c r="M1026" s="42"/>
      <c r="N1026" s="42"/>
      <c r="O1026" s="42"/>
      <c r="P1026" s="42"/>
      <c r="Q1026" s="42"/>
      <c r="R1026" s="42"/>
      <c r="S1026" s="42"/>
      <c r="T1026" s="42"/>
      <c r="U1026" s="42"/>
      <c r="V1026" s="42"/>
      <c r="W1026" s="42"/>
      <c r="X1026" s="42"/>
      <c r="Y1026" s="42"/>
      <c r="Z1026" s="42"/>
      <c r="AA1026" s="42"/>
      <c r="AB1026" s="42"/>
      <c r="AC1026" s="42"/>
      <c r="AD1026" s="42"/>
      <c r="AE1026" s="42"/>
      <c r="AF1026" s="42"/>
      <c r="AG1026" s="42"/>
      <c r="AH1026" s="42"/>
      <c r="AI1026" s="42"/>
      <c r="AJ1026" s="42"/>
      <c r="AK1026" s="42"/>
      <c r="AL1026" s="42"/>
      <c r="AM1026" s="42"/>
      <c r="AN1026" s="42"/>
      <c r="AO1026" s="42"/>
      <c r="AP1026" s="42"/>
      <c r="AQ1026" s="42"/>
      <c r="AR1026" s="42"/>
      <c r="AS1026" s="42"/>
      <c r="AT1026" s="42"/>
      <c r="AU1026" s="42"/>
      <c r="AV1026" s="42"/>
      <c r="AW1026" s="42"/>
      <c r="AX1026" s="42"/>
      <c r="AY1026" s="42"/>
      <c r="AZ1026" s="42"/>
      <c r="BA1026" s="42"/>
      <c r="BB1026" s="42"/>
      <c r="BC1026" s="42"/>
      <c r="BD1026" s="42"/>
      <c r="BE1026" s="42"/>
      <c r="BF1026" s="42"/>
      <c r="BG1026" s="42"/>
      <c r="BH1026" s="42"/>
      <c r="BI1026" s="42"/>
      <c r="BJ1026" s="42"/>
      <c r="BK1026" s="42"/>
      <c r="BL1026" s="42"/>
      <c r="BM1026" s="42"/>
      <c r="BN1026" s="42"/>
      <c r="BO1026" s="42"/>
    </row>
    <row r="1027">
      <c r="A1027" s="40"/>
      <c r="B1027" s="40"/>
      <c r="C1027" s="42"/>
      <c r="D1027" s="42"/>
      <c r="E1027" s="43"/>
      <c r="F1027" s="42"/>
      <c r="G1027" s="42"/>
      <c r="H1027" s="42"/>
      <c r="I1027" s="42"/>
      <c r="J1027" s="42"/>
      <c r="K1027" s="42"/>
      <c r="L1027" s="42"/>
      <c r="M1027" s="42"/>
      <c r="N1027" s="42"/>
      <c r="O1027" s="42"/>
      <c r="P1027" s="42"/>
      <c r="Q1027" s="42"/>
      <c r="R1027" s="42"/>
      <c r="S1027" s="42"/>
      <c r="T1027" s="42"/>
      <c r="U1027" s="42"/>
      <c r="V1027" s="42"/>
      <c r="W1027" s="42"/>
      <c r="X1027" s="42"/>
      <c r="Y1027" s="42"/>
      <c r="Z1027" s="42"/>
      <c r="AA1027" s="42"/>
      <c r="AB1027" s="42"/>
      <c r="AC1027" s="42"/>
      <c r="AD1027" s="42"/>
      <c r="AE1027" s="42"/>
      <c r="AF1027" s="42"/>
      <c r="AG1027" s="42"/>
      <c r="AH1027" s="42"/>
      <c r="AI1027" s="42"/>
      <c r="AJ1027" s="42"/>
      <c r="AK1027" s="42"/>
      <c r="AL1027" s="42"/>
      <c r="AM1027" s="42"/>
      <c r="AN1027" s="42"/>
      <c r="AO1027" s="42"/>
      <c r="AP1027" s="42"/>
      <c r="AQ1027" s="42"/>
      <c r="AR1027" s="42"/>
      <c r="AS1027" s="42"/>
      <c r="AT1027" s="42"/>
      <c r="AU1027" s="42"/>
      <c r="AV1027" s="42"/>
      <c r="AW1027" s="42"/>
      <c r="AX1027" s="42"/>
      <c r="AY1027" s="42"/>
      <c r="AZ1027" s="42"/>
      <c r="BA1027" s="42"/>
      <c r="BB1027" s="42"/>
      <c r="BC1027" s="42"/>
      <c r="BD1027" s="42"/>
      <c r="BE1027" s="42"/>
      <c r="BF1027" s="42"/>
      <c r="BG1027" s="42"/>
      <c r="BH1027" s="42"/>
      <c r="BI1027" s="42"/>
      <c r="BJ1027" s="42"/>
      <c r="BK1027" s="42"/>
      <c r="BL1027" s="42"/>
      <c r="BM1027" s="42"/>
      <c r="BN1027" s="42"/>
      <c r="BO1027" s="42"/>
    </row>
    <row r="1028">
      <c r="A1028" s="40"/>
      <c r="B1028" s="40"/>
      <c r="C1028" s="42"/>
      <c r="D1028" s="42"/>
      <c r="E1028" s="43"/>
      <c r="F1028" s="42"/>
      <c r="G1028" s="42"/>
      <c r="H1028" s="42"/>
      <c r="I1028" s="42"/>
      <c r="J1028" s="42"/>
      <c r="K1028" s="42"/>
      <c r="L1028" s="42"/>
      <c r="M1028" s="42"/>
      <c r="N1028" s="42"/>
      <c r="O1028" s="42"/>
      <c r="P1028" s="42"/>
      <c r="Q1028" s="42"/>
      <c r="R1028" s="42"/>
      <c r="S1028" s="42"/>
      <c r="T1028" s="42"/>
      <c r="U1028" s="42"/>
      <c r="V1028" s="42"/>
      <c r="W1028" s="42"/>
      <c r="X1028" s="42"/>
      <c r="Y1028" s="42"/>
      <c r="Z1028" s="42"/>
      <c r="AA1028" s="42"/>
      <c r="AB1028" s="42"/>
      <c r="AC1028" s="42"/>
      <c r="AD1028" s="42"/>
      <c r="AE1028" s="42"/>
      <c r="AF1028" s="42"/>
      <c r="AG1028" s="42"/>
      <c r="AH1028" s="42"/>
      <c r="AI1028" s="42"/>
      <c r="AJ1028" s="42"/>
      <c r="AK1028" s="42"/>
      <c r="AL1028" s="42"/>
      <c r="AM1028" s="42"/>
      <c r="AN1028" s="42"/>
      <c r="AO1028" s="42"/>
      <c r="AP1028" s="42"/>
      <c r="AQ1028" s="42"/>
      <c r="AR1028" s="42"/>
      <c r="AS1028" s="42"/>
      <c r="AT1028" s="42"/>
      <c r="AU1028" s="42"/>
      <c r="AV1028" s="42"/>
      <c r="AW1028" s="42"/>
      <c r="AX1028" s="42"/>
      <c r="AY1028" s="42"/>
      <c r="AZ1028" s="42"/>
      <c r="BA1028" s="42"/>
      <c r="BB1028" s="42"/>
      <c r="BC1028" s="42"/>
      <c r="BD1028" s="42"/>
      <c r="BE1028" s="42"/>
      <c r="BF1028" s="42"/>
      <c r="BG1028" s="42"/>
      <c r="BH1028" s="42"/>
      <c r="BI1028" s="42"/>
      <c r="BJ1028" s="42"/>
      <c r="BK1028" s="42"/>
      <c r="BL1028" s="42"/>
      <c r="BM1028" s="42"/>
      <c r="BN1028" s="42"/>
      <c r="BO1028" s="42"/>
    </row>
    <row r="1029">
      <c r="A1029" s="40"/>
      <c r="B1029" s="40"/>
      <c r="C1029" s="42"/>
      <c r="D1029" s="42"/>
      <c r="E1029" s="43"/>
      <c r="F1029" s="42"/>
      <c r="G1029" s="42"/>
      <c r="H1029" s="42"/>
      <c r="I1029" s="42"/>
      <c r="J1029" s="42"/>
      <c r="K1029" s="42"/>
      <c r="L1029" s="42"/>
      <c r="M1029" s="42"/>
      <c r="N1029" s="42"/>
      <c r="O1029" s="42"/>
      <c r="P1029" s="42"/>
      <c r="Q1029" s="42"/>
      <c r="R1029" s="42"/>
      <c r="S1029" s="42"/>
      <c r="T1029" s="42"/>
      <c r="U1029" s="42"/>
      <c r="V1029" s="42"/>
      <c r="W1029" s="42"/>
      <c r="X1029" s="42"/>
      <c r="Y1029" s="42"/>
      <c r="Z1029" s="42"/>
      <c r="AA1029" s="42"/>
      <c r="AB1029" s="42"/>
      <c r="AC1029" s="42"/>
      <c r="AD1029" s="42"/>
      <c r="AE1029" s="42"/>
      <c r="AF1029" s="42"/>
      <c r="AG1029" s="42"/>
      <c r="AH1029" s="42"/>
      <c r="AI1029" s="42"/>
      <c r="AJ1029" s="42"/>
      <c r="AK1029" s="42"/>
      <c r="AL1029" s="42"/>
      <c r="AM1029" s="42"/>
      <c r="AN1029" s="42"/>
      <c r="AO1029" s="42"/>
      <c r="AP1029" s="42"/>
      <c r="AQ1029" s="42"/>
      <c r="AR1029" s="42"/>
      <c r="AS1029" s="42"/>
      <c r="AT1029" s="42"/>
      <c r="AU1029" s="42"/>
      <c r="AV1029" s="42"/>
      <c r="AW1029" s="42"/>
      <c r="AX1029" s="42"/>
      <c r="AY1029" s="42"/>
      <c r="AZ1029" s="42"/>
      <c r="BA1029" s="42"/>
      <c r="BB1029" s="42"/>
      <c r="BC1029" s="42"/>
      <c r="BD1029" s="42"/>
      <c r="BE1029" s="42"/>
      <c r="BF1029" s="42"/>
      <c r="BG1029" s="42"/>
      <c r="BH1029" s="42"/>
      <c r="BI1029" s="42"/>
      <c r="BJ1029" s="42"/>
      <c r="BK1029" s="42"/>
      <c r="BL1029" s="42"/>
      <c r="BM1029" s="42"/>
      <c r="BN1029" s="42"/>
      <c r="BO1029" s="42"/>
    </row>
    <row r="1030">
      <c r="A1030" s="40"/>
      <c r="B1030" s="40"/>
      <c r="C1030" s="42"/>
      <c r="D1030" s="42"/>
      <c r="E1030" s="43"/>
      <c r="F1030" s="42"/>
      <c r="G1030" s="42"/>
      <c r="H1030" s="42"/>
      <c r="I1030" s="42"/>
      <c r="J1030" s="42"/>
      <c r="K1030" s="42"/>
      <c r="L1030" s="42"/>
      <c r="M1030" s="42"/>
      <c r="N1030" s="42"/>
      <c r="O1030" s="42"/>
      <c r="P1030" s="42"/>
      <c r="Q1030" s="42"/>
      <c r="R1030" s="42"/>
      <c r="S1030" s="42"/>
      <c r="T1030" s="42"/>
      <c r="U1030" s="42"/>
      <c r="V1030" s="42"/>
      <c r="W1030" s="42"/>
      <c r="X1030" s="42"/>
      <c r="Y1030" s="42"/>
      <c r="Z1030" s="42"/>
      <c r="AA1030" s="42"/>
      <c r="AB1030" s="42"/>
      <c r="AC1030" s="42"/>
      <c r="AD1030" s="42"/>
      <c r="AE1030" s="42"/>
      <c r="AF1030" s="42"/>
      <c r="AG1030" s="42"/>
      <c r="AH1030" s="42"/>
      <c r="AI1030" s="42"/>
      <c r="AJ1030" s="42"/>
      <c r="AK1030" s="42"/>
      <c r="AL1030" s="42"/>
      <c r="AM1030" s="42"/>
      <c r="AN1030" s="42"/>
      <c r="AO1030" s="42"/>
      <c r="AP1030" s="42"/>
      <c r="AQ1030" s="42"/>
      <c r="AR1030" s="42"/>
      <c r="AS1030" s="42"/>
      <c r="AT1030" s="42"/>
      <c r="AU1030" s="42"/>
      <c r="AV1030" s="42"/>
      <c r="AW1030" s="42"/>
      <c r="AX1030" s="42"/>
      <c r="AY1030" s="42"/>
      <c r="AZ1030" s="42"/>
      <c r="BA1030" s="42"/>
      <c r="BB1030" s="42"/>
      <c r="BC1030" s="42"/>
      <c r="BD1030" s="42"/>
      <c r="BE1030" s="42"/>
      <c r="BF1030" s="42"/>
      <c r="BG1030" s="42"/>
      <c r="BH1030" s="42"/>
      <c r="BI1030" s="42"/>
      <c r="BJ1030" s="42"/>
      <c r="BK1030" s="42"/>
      <c r="BL1030" s="42"/>
      <c r="BM1030" s="42"/>
      <c r="BN1030" s="42"/>
      <c r="BO1030" s="42"/>
    </row>
    <row r="1031">
      <c r="A1031" s="40"/>
      <c r="B1031" s="40"/>
      <c r="C1031" s="42"/>
      <c r="D1031" s="42"/>
      <c r="E1031" s="43"/>
      <c r="F1031" s="42"/>
      <c r="G1031" s="42"/>
      <c r="H1031" s="42"/>
      <c r="I1031" s="42"/>
      <c r="J1031" s="42"/>
      <c r="K1031" s="42"/>
      <c r="L1031" s="42"/>
      <c r="M1031" s="42"/>
      <c r="N1031" s="42"/>
      <c r="O1031" s="42"/>
      <c r="P1031" s="42"/>
      <c r="Q1031" s="42"/>
      <c r="R1031" s="42"/>
      <c r="S1031" s="42"/>
      <c r="T1031" s="42"/>
      <c r="U1031" s="42"/>
      <c r="V1031" s="42"/>
      <c r="W1031" s="42"/>
      <c r="X1031" s="42"/>
      <c r="Y1031" s="42"/>
      <c r="Z1031" s="42"/>
      <c r="AA1031" s="42"/>
      <c r="AB1031" s="42"/>
      <c r="AC1031" s="42"/>
      <c r="AD1031" s="42"/>
      <c r="AE1031" s="42"/>
      <c r="AF1031" s="42"/>
      <c r="AG1031" s="42"/>
      <c r="AH1031" s="42"/>
      <c r="AI1031" s="42"/>
      <c r="AJ1031" s="42"/>
      <c r="AK1031" s="42"/>
      <c r="AL1031" s="42"/>
      <c r="AM1031" s="42"/>
      <c r="AN1031" s="42"/>
      <c r="AO1031" s="42"/>
      <c r="AP1031" s="42"/>
      <c r="AQ1031" s="42"/>
      <c r="AR1031" s="42"/>
      <c r="AS1031" s="42"/>
      <c r="AT1031" s="42"/>
      <c r="AU1031" s="42"/>
      <c r="AV1031" s="42"/>
      <c r="AW1031" s="42"/>
      <c r="AX1031" s="42"/>
      <c r="AY1031" s="42"/>
      <c r="AZ1031" s="42"/>
      <c r="BA1031" s="42"/>
      <c r="BB1031" s="42"/>
      <c r="BC1031" s="42"/>
      <c r="BD1031" s="42"/>
      <c r="BE1031" s="42"/>
      <c r="BF1031" s="42"/>
      <c r="BG1031" s="42"/>
      <c r="BH1031" s="42"/>
      <c r="BI1031" s="42"/>
      <c r="BJ1031" s="42"/>
      <c r="BK1031" s="42"/>
      <c r="BL1031" s="42"/>
      <c r="BM1031" s="42"/>
      <c r="BN1031" s="42"/>
      <c r="BO1031" s="42"/>
    </row>
    <row r="1032">
      <c r="A1032" s="40"/>
      <c r="B1032" s="40"/>
      <c r="C1032" s="42"/>
      <c r="D1032" s="42"/>
      <c r="E1032" s="43"/>
      <c r="F1032" s="42"/>
      <c r="G1032" s="42"/>
      <c r="H1032" s="42"/>
      <c r="I1032" s="42"/>
      <c r="J1032" s="42"/>
      <c r="K1032" s="42"/>
      <c r="L1032" s="42"/>
      <c r="M1032" s="42"/>
      <c r="N1032" s="42"/>
      <c r="O1032" s="42"/>
      <c r="P1032" s="42"/>
      <c r="Q1032" s="42"/>
      <c r="R1032" s="42"/>
      <c r="S1032" s="42"/>
      <c r="T1032" s="42"/>
      <c r="U1032" s="42"/>
      <c r="V1032" s="42"/>
      <c r="W1032" s="42"/>
      <c r="X1032" s="42"/>
      <c r="Y1032" s="42"/>
      <c r="Z1032" s="42"/>
      <c r="AA1032" s="42"/>
      <c r="AB1032" s="42"/>
      <c r="AC1032" s="42"/>
      <c r="AD1032" s="42"/>
      <c r="AE1032" s="42"/>
      <c r="AF1032" s="42"/>
      <c r="AG1032" s="42"/>
      <c r="AH1032" s="42"/>
      <c r="AI1032" s="42"/>
      <c r="AJ1032" s="42"/>
      <c r="AK1032" s="42"/>
      <c r="AL1032" s="42"/>
      <c r="AM1032" s="42"/>
      <c r="AN1032" s="42"/>
      <c r="AO1032" s="42"/>
      <c r="AP1032" s="42"/>
      <c r="AQ1032" s="42"/>
      <c r="AR1032" s="42"/>
      <c r="AS1032" s="42"/>
      <c r="AT1032" s="42"/>
      <c r="AU1032" s="42"/>
      <c r="AV1032" s="42"/>
      <c r="AW1032" s="42"/>
      <c r="AX1032" s="42"/>
      <c r="AY1032" s="42"/>
      <c r="AZ1032" s="42"/>
      <c r="BA1032" s="42"/>
      <c r="BB1032" s="42"/>
      <c r="BC1032" s="42"/>
      <c r="BD1032" s="42"/>
      <c r="BE1032" s="42"/>
      <c r="BF1032" s="42"/>
      <c r="BG1032" s="42"/>
      <c r="BH1032" s="42"/>
      <c r="BI1032" s="42"/>
      <c r="BJ1032" s="42"/>
      <c r="BK1032" s="42"/>
      <c r="BL1032" s="42"/>
      <c r="BM1032" s="42"/>
      <c r="BN1032" s="42"/>
      <c r="BO1032" s="42"/>
    </row>
    <row r="1033">
      <c r="A1033" s="40"/>
      <c r="B1033" s="40"/>
      <c r="C1033" s="42"/>
      <c r="D1033" s="42"/>
      <c r="E1033" s="43"/>
      <c r="F1033" s="42"/>
      <c r="G1033" s="42"/>
      <c r="H1033" s="42"/>
      <c r="I1033" s="42"/>
      <c r="J1033" s="42"/>
      <c r="K1033" s="42"/>
      <c r="L1033" s="42"/>
      <c r="M1033" s="42"/>
      <c r="N1033" s="42"/>
      <c r="O1033" s="42"/>
      <c r="P1033" s="42"/>
      <c r="Q1033" s="42"/>
      <c r="R1033" s="42"/>
      <c r="S1033" s="42"/>
      <c r="T1033" s="42"/>
      <c r="U1033" s="42"/>
      <c r="V1033" s="42"/>
      <c r="W1033" s="42"/>
      <c r="X1033" s="42"/>
      <c r="Y1033" s="42"/>
      <c r="Z1033" s="42"/>
      <c r="AA1033" s="42"/>
      <c r="AB1033" s="42"/>
      <c r="AC1033" s="42"/>
      <c r="AD1033" s="42"/>
      <c r="AE1033" s="42"/>
      <c r="AF1033" s="42"/>
      <c r="AG1033" s="42"/>
      <c r="AH1033" s="42"/>
      <c r="AI1033" s="42"/>
      <c r="AJ1033" s="42"/>
      <c r="AK1033" s="42"/>
      <c r="AL1033" s="42"/>
      <c r="AM1033" s="42"/>
      <c r="AN1033" s="42"/>
      <c r="AO1033" s="42"/>
      <c r="AP1033" s="42"/>
      <c r="AQ1033" s="42"/>
      <c r="AR1033" s="42"/>
      <c r="AS1033" s="42"/>
      <c r="AT1033" s="42"/>
      <c r="AU1033" s="42"/>
      <c r="AV1033" s="42"/>
      <c r="AW1033" s="42"/>
      <c r="AX1033" s="42"/>
      <c r="AY1033" s="42"/>
      <c r="AZ1033" s="42"/>
      <c r="BA1033" s="42"/>
      <c r="BB1033" s="42"/>
      <c r="BC1033" s="42"/>
      <c r="BD1033" s="42"/>
      <c r="BE1033" s="42"/>
      <c r="BF1033" s="42"/>
      <c r="BG1033" s="42"/>
      <c r="BH1033" s="42"/>
      <c r="BI1033" s="42"/>
      <c r="BJ1033" s="42"/>
      <c r="BK1033" s="42"/>
      <c r="BL1033" s="42"/>
      <c r="BM1033" s="42"/>
      <c r="BN1033" s="42"/>
      <c r="BO1033" s="42"/>
    </row>
    <row r="1034">
      <c r="A1034" s="40"/>
      <c r="B1034" s="40"/>
      <c r="C1034" s="42"/>
      <c r="D1034" s="42"/>
      <c r="E1034" s="43"/>
      <c r="F1034" s="42"/>
      <c r="G1034" s="42"/>
      <c r="H1034" s="42"/>
      <c r="I1034" s="42"/>
      <c r="J1034" s="42"/>
      <c r="K1034" s="42"/>
      <c r="L1034" s="42"/>
      <c r="M1034" s="42"/>
      <c r="N1034" s="42"/>
      <c r="O1034" s="42"/>
      <c r="P1034" s="42"/>
      <c r="Q1034" s="42"/>
      <c r="R1034" s="42"/>
      <c r="S1034" s="42"/>
      <c r="T1034" s="42"/>
      <c r="U1034" s="42"/>
      <c r="V1034" s="42"/>
      <c r="W1034" s="42"/>
      <c r="X1034" s="42"/>
      <c r="Y1034" s="42"/>
      <c r="Z1034" s="42"/>
      <c r="AA1034" s="42"/>
      <c r="AB1034" s="42"/>
      <c r="AC1034" s="42"/>
      <c r="AD1034" s="42"/>
      <c r="AE1034" s="42"/>
      <c r="AF1034" s="42"/>
      <c r="AG1034" s="42"/>
      <c r="AH1034" s="42"/>
      <c r="AI1034" s="42"/>
      <c r="AJ1034" s="42"/>
      <c r="AK1034" s="42"/>
      <c r="AL1034" s="42"/>
      <c r="AM1034" s="42"/>
      <c r="AN1034" s="42"/>
      <c r="AO1034" s="42"/>
      <c r="AP1034" s="42"/>
      <c r="AQ1034" s="42"/>
      <c r="AR1034" s="42"/>
      <c r="AS1034" s="42"/>
      <c r="AT1034" s="42"/>
      <c r="AU1034" s="42"/>
      <c r="AV1034" s="42"/>
      <c r="AW1034" s="42"/>
      <c r="AX1034" s="42"/>
      <c r="AY1034" s="42"/>
      <c r="AZ1034" s="42"/>
      <c r="BA1034" s="42"/>
      <c r="BB1034" s="42"/>
      <c r="BC1034" s="42"/>
      <c r="BD1034" s="42"/>
      <c r="BE1034" s="42"/>
      <c r="BF1034" s="42"/>
      <c r="BG1034" s="42"/>
      <c r="BH1034" s="42"/>
      <c r="BI1034" s="42"/>
      <c r="BJ1034" s="42"/>
      <c r="BK1034" s="42"/>
      <c r="BL1034" s="42"/>
      <c r="BM1034" s="42"/>
      <c r="BN1034" s="42"/>
      <c r="BO1034" s="42"/>
    </row>
    <row r="1035">
      <c r="A1035" s="40"/>
      <c r="B1035" s="40"/>
      <c r="C1035" s="42"/>
      <c r="D1035" s="42"/>
      <c r="E1035" s="43"/>
      <c r="F1035" s="42"/>
      <c r="G1035" s="42"/>
      <c r="H1035" s="42"/>
      <c r="I1035" s="42"/>
      <c r="J1035" s="42"/>
      <c r="K1035" s="42"/>
      <c r="L1035" s="42"/>
      <c r="M1035" s="42"/>
      <c r="N1035" s="42"/>
      <c r="O1035" s="42"/>
      <c r="P1035" s="42"/>
      <c r="Q1035" s="42"/>
      <c r="R1035" s="42"/>
      <c r="S1035" s="42"/>
      <c r="T1035" s="42"/>
      <c r="U1035" s="42"/>
      <c r="V1035" s="42"/>
      <c r="W1035" s="42"/>
      <c r="X1035" s="42"/>
      <c r="Y1035" s="42"/>
      <c r="Z1035" s="42"/>
      <c r="AA1035" s="42"/>
      <c r="AB1035" s="42"/>
      <c r="AC1035" s="42"/>
      <c r="AD1035" s="42"/>
      <c r="AE1035" s="42"/>
      <c r="AF1035" s="42"/>
      <c r="AG1035" s="42"/>
      <c r="AH1035" s="42"/>
      <c r="AI1035" s="42"/>
      <c r="AJ1035" s="42"/>
      <c r="AK1035" s="42"/>
      <c r="AL1035" s="42"/>
      <c r="AM1035" s="42"/>
      <c r="AN1035" s="42"/>
      <c r="AO1035" s="42"/>
      <c r="AP1035" s="42"/>
      <c r="AQ1035" s="42"/>
      <c r="AR1035" s="42"/>
      <c r="AS1035" s="42"/>
      <c r="AT1035" s="42"/>
      <c r="AU1035" s="42"/>
      <c r="AV1035" s="42"/>
      <c r="AW1035" s="42"/>
      <c r="AX1035" s="42"/>
      <c r="AY1035" s="42"/>
      <c r="AZ1035" s="42"/>
      <c r="BA1035" s="42"/>
      <c r="BB1035" s="42"/>
      <c r="BC1035" s="42"/>
      <c r="BD1035" s="42"/>
      <c r="BE1035" s="42"/>
      <c r="BF1035" s="42"/>
      <c r="BG1035" s="42"/>
      <c r="BH1035" s="42"/>
      <c r="BI1035" s="42"/>
      <c r="BJ1035" s="42"/>
      <c r="BK1035" s="42"/>
      <c r="BL1035" s="42"/>
      <c r="BM1035" s="42"/>
      <c r="BN1035" s="42"/>
      <c r="BO1035" s="42"/>
    </row>
    <row r="1036">
      <c r="A1036" s="40"/>
      <c r="B1036" s="40"/>
      <c r="C1036" s="42"/>
      <c r="D1036" s="42"/>
      <c r="E1036" s="43"/>
      <c r="F1036" s="42"/>
      <c r="G1036" s="42"/>
      <c r="H1036" s="42"/>
      <c r="I1036" s="42"/>
      <c r="J1036" s="42"/>
      <c r="K1036" s="42"/>
      <c r="L1036" s="42"/>
      <c r="M1036" s="42"/>
      <c r="N1036" s="42"/>
      <c r="O1036" s="42"/>
      <c r="P1036" s="42"/>
      <c r="Q1036" s="42"/>
      <c r="R1036" s="42"/>
      <c r="S1036" s="42"/>
      <c r="T1036" s="42"/>
      <c r="U1036" s="42"/>
      <c r="V1036" s="42"/>
      <c r="W1036" s="42"/>
      <c r="X1036" s="42"/>
      <c r="Y1036" s="42"/>
      <c r="Z1036" s="42"/>
      <c r="AA1036" s="42"/>
      <c r="AB1036" s="42"/>
      <c r="AC1036" s="42"/>
      <c r="AD1036" s="42"/>
      <c r="AE1036" s="42"/>
      <c r="AF1036" s="42"/>
      <c r="AG1036" s="42"/>
      <c r="AH1036" s="42"/>
      <c r="AI1036" s="42"/>
      <c r="AJ1036" s="42"/>
      <c r="AK1036" s="42"/>
      <c r="AL1036" s="42"/>
      <c r="AM1036" s="42"/>
      <c r="AN1036" s="42"/>
      <c r="AO1036" s="42"/>
      <c r="AP1036" s="42"/>
      <c r="AQ1036" s="42"/>
      <c r="AR1036" s="42"/>
      <c r="AS1036" s="42"/>
      <c r="AT1036" s="42"/>
      <c r="AU1036" s="42"/>
      <c r="AV1036" s="42"/>
      <c r="AW1036" s="42"/>
      <c r="AX1036" s="42"/>
      <c r="AY1036" s="42"/>
      <c r="AZ1036" s="42"/>
      <c r="BA1036" s="42"/>
      <c r="BB1036" s="42"/>
      <c r="BC1036" s="42"/>
      <c r="BD1036" s="42"/>
      <c r="BE1036" s="42"/>
      <c r="BF1036" s="42"/>
      <c r="BG1036" s="42"/>
      <c r="BH1036" s="42"/>
      <c r="BI1036" s="42"/>
      <c r="BJ1036" s="42"/>
      <c r="BK1036" s="42"/>
      <c r="BL1036" s="42"/>
      <c r="BM1036" s="42"/>
      <c r="BN1036" s="42"/>
      <c r="BO1036" s="42"/>
    </row>
    <row r="1037">
      <c r="A1037" s="40"/>
      <c r="B1037" s="40"/>
      <c r="C1037" s="42"/>
      <c r="D1037" s="42"/>
      <c r="E1037" s="43"/>
      <c r="F1037" s="42"/>
      <c r="G1037" s="42"/>
      <c r="H1037" s="42"/>
      <c r="I1037" s="42"/>
      <c r="J1037" s="42"/>
      <c r="K1037" s="42"/>
      <c r="L1037" s="42"/>
      <c r="M1037" s="42"/>
      <c r="N1037" s="42"/>
      <c r="O1037" s="42"/>
      <c r="P1037" s="42"/>
      <c r="Q1037" s="42"/>
      <c r="R1037" s="42"/>
      <c r="S1037" s="42"/>
      <c r="T1037" s="42"/>
      <c r="U1037" s="42"/>
      <c r="V1037" s="42"/>
      <c r="W1037" s="42"/>
      <c r="X1037" s="42"/>
      <c r="Y1037" s="42"/>
      <c r="Z1037" s="42"/>
      <c r="AA1037" s="42"/>
      <c r="AB1037" s="42"/>
      <c r="AC1037" s="42"/>
      <c r="AD1037" s="42"/>
      <c r="AE1037" s="42"/>
      <c r="AF1037" s="42"/>
      <c r="AG1037" s="42"/>
      <c r="AH1037" s="42"/>
      <c r="AI1037" s="42"/>
      <c r="AJ1037" s="42"/>
      <c r="AK1037" s="42"/>
      <c r="AL1037" s="42"/>
      <c r="AM1037" s="42"/>
      <c r="AN1037" s="42"/>
      <c r="AO1037" s="42"/>
      <c r="AP1037" s="42"/>
      <c r="AQ1037" s="42"/>
      <c r="AR1037" s="42"/>
      <c r="AS1037" s="42"/>
      <c r="AT1037" s="42"/>
      <c r="AU1037" s="42"/>
      <c r="AV1037" s="42"/>
      <c r="AW1037" s="42"/>
      <c r="AX1037" s="42"/>
      <c r="AY1037" s="42"/>
      <c r="AZ1037" s="42"/>
      <c r="BA1037" s="42"/>
      <c r="BB1037" s="42"/>
      <c r="BC1037" s="42"/>
      <c r="BD1037" s="42"/>
      <c r="BE1037" s="42"/>
      <c r="BF1037" s="42"/>
      <c r="BG1037" s="42"/>
      <c r="BH1037" s="42"/>
      <c r="BI1037" s="42"/>
      <c r="BJ1037" s="42"/>
      <c r="BK1037" s="42"/>
      <c r="BL1037" s="42"/>
      <c r="BM1037" s="42"/>
      <c r="BN1037" s="42"/>
      <c r="BO1037" s="42"/>
    </row>
    <row r="1038">
      <c r="A1038" s="40"/>
      <c r="B1038" s="40"/>
      <c r="C1038" s="42"/>
      <c r="D1038" s="42"/>
      <c r="E1038" s="43"/>
      <c r="F1038" s="42"/>
      <c r="G1038" s="42"/>
      <c r="H1038" s="42"/>
      <c r="I1038" s="42"/>
      <c r="J1038" s="42"/>
      <c r="K1038" s="42"/>
      <c r="L1038" s="42"/>
      <c r="M1038" s="42"/>
      <c r="N1038" s="42"/>
      <c r="O1038" s="42"/>
      <c r="P1038" s="42"/>
      <c r="Q1038" s="42"/>
      <c r="R1038" s="42"/>
      <c r="S1038" s="42"/>
      <c r="T1038" s="42"/>
      <c r="U1038" s="42"/>
      <c r="V1038" s="42"/>
      <c r="W1038" s="42"/>
      <c r="X1038" s="42"/>
      <c r="Y1038" s="42"/>
      <c r="Z1038" s="42"/>
      <c r="AA1038" s="42"/>
      <c r="AB1038" s="42"/>
      <c r="AC1038" s="42"/>
      <c r="AD1038" s="42"/>
      <c r="AE1038" s="42"/>
      <c r="AF1038" s="42"/>
      <c r="AG1038" s="42"/>
      <c r="AH1038" s="42"/>
      <c r="AI1038" s="42"/>
      <c r="AJ1038" s="42"/>
      <c r="AK1038" s="42"/>
      <c r="AL1038" s="42"/>
      <c r="AM1038" s="42"/>
      <c r="AN1038" s="42"/>
      <c r="AO1038" s="42"/>
      <c r="AP1038" s="42"/>
      <c r="AQ1038" s="42"/>
      <c r="AR1038" s="42"/>
      <c r="AS1038" s="42"/>
      <c r="AT1038" s="42"/>
      <c r="AU1038" s="42"/>
      <c r="AV1038" s="42"/>
      <c r="AW1038" s="42"/>
      <c r="AX1038" s="42"/>
      <c r="AY1038" s="42"/>
      <c r="AZ1038" s="42"/>
      <c r="BA1038" s="42"/>
      <c r="BB1038" s="42"/>
      <c r="BC1038" s="42"/>
      <c r="BD1038" s="42"/>
      <c r="BE1038" s="42"/>
      <c r="BF1038" s="42"/>
      <c r="BG1038" s="42"/>
      <c r="BH1038" s="42"/>
      <c r="BI1038" s="42"/>
      <c r="BJ1038" s="42"/>
      <c r="BK1038" s="42"/>
      <c r="BL1038" s="42"/>
      <c r="BM1038" s="42"/>
      <c r="BN1038" s="42"/>
      <c r="BO1038" s="42"/>
    </row>
    <row r="1039">
      <c r="A1039" s="40"/>
      <c r="B1039" s="40"/>
      <c r="C1039" s="42"/>
      <c r="D1039" s="42"/>
      <c r="E1039" s="43"/>
      <c r="F1039" s="42"/>
      <c r="G1039" s="42"/>
      <c r="H1039" s="42"/>
      <c r="I1039" s="42"/>
      <c r="J1039" s="42"/>
      <c r="K1039" s="42"/>
      <c r="L1039" s="42"/>
      <c r="M1039" s="42"/>
      <c r="N1039" s="42"/>
      <c r="O1039" s="42"/>
      <c r="P1039" s="42"/>
      <c r="Q1039" s="42"/>
      <c r="R1039" s="42"/>
      <c r="S1039" s="42"/>
      <c r="T1039" s="42"/>
      <c r="U1039" s="42"/>
      <c r="V1039" s="42"/>
      <c r="W1039" s="42"/>
      <c r="X1039" s="42"/>
      <c r="Y1039" s="42"/>
      <c r="Z1039" s="42"/>
      <c r="AA1039" s="42"/>
      <c r="AB1039" s="42"/>
      <c r="AC1039" s="42"/>
      <c r="AD1039" s="42"/>
      <c r="AE1039" s="42"/>
      <c r="AF1039" s="42"/>
      <c r="AG1039" s="42"/>
      <c r="AH1039" s="42"/>
      <c r="AI1039" s="42"/>
      <c r="AJ1039" s="42"/>
      <c r="AK1039" s="42"/>
      <c r="AL1039" s="42"/>
      <c r="AM1039" s="42"/>
      <c r="AN1039" s="42"/>
      <c r="AO1039" s="42"/>
      <c r="AP1039" s="42"/>
      <c r="AQ1039" s="42"/>
      <c r="AR1039" s="42"/>
      <c r="AS1039" s="42"/>
      <c r="AT1039" s="42"/>
      <c r="AU1039" s="42"/>
      <c r="AV1039" s="42"/>
      <c r="AW1039" s="42"/>
      <c r="AX1039" s="42"/>
      <c r="AY1039" s="42"/>
      <c r="AZ1039" s="42"/>
      <c r="BA1039" s="42"/>
      <c r="BB1039" s="42"/>
      <c r="BC1039" s="42"/>
      <c r="BD1039" s="42"/>
      <c r="BE1039" s="42"/>
      <c r="BF1039" s="42"/>
      <c r="BG1039" s="42"/>
      <c r="BH1039" s="42"/>
      <c r="BI1039" s="42"/>
      <c r="BJ1039" s="42"/>
      <c r="BK1039" s="42"/>
      <c r="BL1039" s="42"/>
      <c r="BM1039" s="42"/>
      <c r="BN1039" s="42"/>
      <c r="BO1039" s="42"/>
    </row>
    <row r="1040">
      <c r="A1040" s="40"/>
      <c r="B1040" s="40"/>
      <c r="C1040" s="42"/>
      <c r="D1040" s="42"/>
      <c r="E1040" s="43"/>
      <c r="F1040" s="42"/>
      <c r="G1040" s="42"/>
      <c r="H1040" s="42"/>
      <c r="I1040" s="42"/>
      <c r="J1040" s="42"/>
      <c r="K1040" s="42"/>
      <c r="L1040" s="42"/>
      <c r="M1040" s="42"/>
      <c r="N1040" s="42"/>
      <c r="O1040" s="42"/>
      <c r="P1040" s="42"/>
      <c r="Q1040" s="42"/>
      <c r="R1040" s="42"/>
      <c r="S1040" s="42"/>
      <c r="T1040" s="42"/>
      <c r="U1040" s="42"/>
      <c r="V1040" s="42"/>
      <c r="W1040" s="42"/>
      <c r="X1040" s="42"/>
      <c r="Y1040" s="42"/>
      <c r="Z1040" s="42"/>
      <c r="AA1040" s="42"/>
      <c r="AB1040" s="42"/>
      <c r="AC1040" s="42"/>
      <c r="AD1040" s="42"/>
      <c r="AE1040" s="42"/>
      <c r="AF1040" s="42"/>
      <c r="AG1040" s="42"/>
      <c r="AH1040" s="42"/>
      <c r="AI1040" s="42"/>
      <c r="AJ1040" s="42"/>
      <c r="AK1040" s="42"/>
      <c r="AL1040" s="42"/>
      <c r="AM1040" s="42"/>
      <c r="AN1040" s="42"/>
      <c r="AO1040" s="42"/>
      <c r="AP1040" s="42"/>
      <c r="AQ1040" s="42"/>
      <c r="AR1040" s="42"/>
      <c r="AS1040" s="42"/>
      <c r="AT1040" s="42"/>
      <c r="AU1040" s="42"/>
      <c r="AV1040" s="42"/>
      <c r="AW1040" s="42"/>
      <c r="AX1040" s="42"/>
      <c r="AY1040" s="42"/>
      <c r="AZ1040" s="42"/>
      <c r="BA1040" s="42"/>
      <c r="BB1040" s="42"/>
      <c r="BC1040" s="42"/>
      <c r="BD1040" s="42"/>
      <c r="BE1040" s="42"/>
      <c r="BF1040" s="42"/>
      <c r="BG1040" s="42"/>
      <c r="BH1040" s="42"/>
      <c r="BI1040" s="42"/>
      <c r="BJ1040" s="42"/>
      <c r="BK1040" s="42"/>
      <c r="BL1040" s="42"/>
      <c r="BM1040" s="42"/>
      <c r="BN1040" s="42"/>
      <c r="BO1040" s="42"/>
    </row>
    <row r="1041">
      <c r="A1041" s="40"/>
      <c r="B1041" s="40"/>
      <c r="C1041" s="42"/>
      <c r="D1041" s="42"/>
      <c r="E1041" s="43"/>
      <c r="F1041" s="42"/>
      <c r="G1041" s="42"/>
      <c r="H1041" s="42"/>
      <c r="I1041" s="42"/>
      <c r="J1041" s="42"/>
      <c r="K1041" s="42"/>
      <c r="L1041" s="42"/>
      <c r="M1041" s="42"/>
      <c r="N1041" s="42"/>
      <c r="O1041" s="42"/>
      <c r="P1041" s="42"/>
      <c r="Q1041" s="42"/>
      <c r="R1041" s="42"/>
      <c r="S1041" s="42"/>
      <c r="T1041" s="42"/>
      <c r="U1041" s="42"/>
      <c r="V1041" s="42"/>
      <c r="W1041" s="42"/>
      <c r="X1041" s="42"/>
      <c r="Y1041" s="42"/>
      <c r="Z1041" s="42"/>
      <c r="AA1041" s="42"/>
      <c r="AB1041" s="42"/>
      <c r="AC1041" s="42"/>
      <c r="AD1041" s="42"/>
      <c r="AE1041" s="42"/>
      <c r="AF1041" s="42"/>
      <c r="AG1041" s="42"/>
      <c r="AH1041" s="42"/>
      <c r="AI1041" s="42"/>
      <c r="AJ1041" s="42"/>
      <c r="AK1041" s="42"/>
      <c r="AL1041" s="42"/>
      <c r="AM1041" s="42"/>
      <c r="AN1041" s="42"/>
      <c r="AO1041" s="42"/>
      <c r="AP1041" s="42"/>
      <c r="AQ1041" s="42"/>
      <c r="AR1041" s="42"/>
      <c r="AS1041" s="42"/>
      <c r="AT1041" s="42"/>
      <c r="AU1041" s="42"/>
      <c r="AV1041" s="42"/>
      <c r="AW1041" s="42"/>
      <c r="AX1041" s="42"/>
      <c r="AY1041" s="42"/>
      <c r="AZ1041" s="42"/>
      <c r="BA1041" s="42"/>
      <c r="BB1041" s="42"/>
      <c r="BC1041" s="42"/>
      <c r="BD1041" s="42"/>
      <c r="BE1041" s="42"/>
      <c r="BF1041" s="42"/>
      <c r="BG1041" s="42"/>
      <c r="BH1041" s="42"/>
      <c r="BI1041" s="42"/>
      <c r="BJ1041" s="42"/>
      <c r="BK1041" s="42"/>
      <c r="BL1041" s="42"/>
      <c r="BM1041" s="42"/>
      <c r="BN1041" s="42"/>
      <c r="BO1041" s="42"/>
    </row>
    <row r="1042">
      <c r="A1042" s="40"/>
      <c r="B1042" s="40"/>
      <c r="C1042" s="42"/>
      <c r="D1042" s="42"/>
      <c r="E1042" s="43"/>
      <c r="F1042" s="42"/>
      <c r="G1042" s="42"/>
      <c r="H1042" s="42"/>
      <c r="I1042" s="42"/>
      <c r="J1042" s="42"/>
      <c r="K1042" s="42"/>
      <c r="L1042" s="42"/>
      <c r="M1042" s="42"/>
      <c r="N1042" s="42"/>
      <c r="O1042" s="42"/>
      <c r="P1042" s="42"/>
      <c r="Q1042" s="42"/>
      <c r="R1042" s="42"/>
      <c r="S1042" s="42"/>
      <c r="T1042" s="42"/>
      <c r="U1042" s="42"/>
      <c r="V1042" s="42"/>
      <c r="W1042" s="42"/>
      <c r="X1042" s="42"/>
      <c r="Y1042" s="42"/>
      <c r="Z1042" s="42"/>
      <c r="AA1042" s="42"/>
      <c r="AB1042" s="42"/>
      <c r="AC1042" s="42"/>
      <c r="AD1042" s="42"/>
      <c r="AE1042" s="42"/>
      <c r="AF1042" s="42"/>
      <c r="AG1042" s="42"/>
      <c r="AH1042" s="42"/>
      <c r="AI1042" s="42"/>
      <c r="AJ1042" s="42"/>
      <c r="AK1042" s="42"/>
      <c r="AL1042" s="42"/>
      <c r="AM1042" s="42"/>
      <c r="AN1042" s="42"/>
      <c r="AO1042" s="42"/>
      <c r="AP1042" s="42"/>
      <c r="AQ1042" s="42"/>
      <c r="AR1042" s="42"/>
      <c r="AS1042" s="42"/>
      <c r="AT1042" s="42"/>
      <c r="AU1042" s="42"/>
      <c r="AV1042" s="42"/>
      <c r="AW1042" s="42"/>
      <c r="AX1042" s="42"/>
      <c r="AY1042" s="42"/>
      <c r="AZ1042" s="42"/>
      <c r="BA1042" s="42"/>
      <c r="BB1042" s="42"/>
      <c r="BC1042" s="42"/>
      <c r="BD1042" s="42"/>
      <c r="BE1042" s="42"/>
      <c r="BF1042" s="42"/>
      <c r="BG1042" s="42"/>
      <c r="BH1042" s="42"/>
      <c r="BI1042" s="42"/>
      <c r="BJ1042" s="42"/>
      <c r="BK1042" s="42"/>
      <c r="BL1042" s="42"/>
      <c r="BM1042" s="42"/>
      <c r="BN1042" s="42"/>
      <c r="BO1042" s="42"/>
    </row>
    <row r="1043">
      <c r="A1043" s="40"/>
      <c r="B1043" s="40"/>
      <c r="C1043" s="42"/>
      <c r="D1043" s="42"/>
      <c r="E1043" s="43"/>
      <c r="F1043" s="42"/>
      <c r="G1043" s="42"/>
      <c r="H1043" s="42"/>
      <c r="I1043" s="42"/>
      <c r="J1043" s="42"/>
      <c r="K1043" s="42"/>
      <c r="L1043" s="42"/>
      <c r="M1043" s="42"/>
      <c r="N1043" s="42"/>
      <c r="O1043" s="42"/>
      <c r="P1043" s="42"/>
      <c r="Q1043" s="42"/>
      <c r="R1043" s="42"/>
      <c r="S1043" s="42"/>
      <c r="T1043" s="42"/>
      <c r="U1043" s="42"/>
      <c r="V1043" s="42"/>
      <c r="W1043" s="42"/>
      <c r="X1043" s="42"/>
      <c r="Y1043" s="42"/>
      <c r="Z1043" s="42"/>
      <c r="AA1043" s="42"/>
      <c r="AB1043" s="42"/>
      <c r="AC1043" s="42"/>
      <c r="AD1043" s="42"/>
      <c r="AE1043" s="42"/>
      <c r="AF1043" s="42"/>
      <c r="AG1043" s="42"/>
      <c r="AH1043" s="42"/>
      <c r="AI1043" s="42"/>
      <c r="AJ1043" s="42"/>
      <c r="AK1043" s="42"/>
      <c r="AL1043" s="42"/>
      <c r="AM1043" s="42"/>
      <c r="AN1043" s="42"/>
      <c r="AO1043" s="42"/>
      <c r="AP1043" s="42"/>
      <c r="AQ1043" s="42"/>
      <c r="AR1043" s="42"/>
      <c r="AS1043" s="42"/>
      <c r="AT1043" s="42"/>
      <c r="AU1043" s="42"/>
      <c r="AV1043" s="42"/>
      <c r="AW1043" s="42"/>
      <c r="AX1043" s="42"/>
      <c r="AY1043" s="42"/>
      <c r="AZ1043" s="42"/>
      <c r="BA1043" s="42"/>
      <c r="BB1043" s="42"/>
      <c r="BC1043" s="42"/>
      <c r="BD1043" s="42"/>
      <c r="BE1043" s="42"/>
      <c r="BF1043" s="42"/>
      <c r="BG1043" s="42"/>
      <c r="BH1043" s="42"/>
      <c r="BI1043" s="42"/>
      <c r="BJ1043" s="42"/>
      <c r="BK1043" s="42"/>
      <c r="BL1043" s="42"/>
      <c r="BM1043" s="42"/>
      <c r="BN1043" s="42"/>
      <c r="BO1043" s="42"/>
    </row>
    <row r="1044">
      <c r="A1044" s="40"/>
      <c r="B1044" s="40"/>
      <c r="C1044" s="42"/>
      <c r="D1044" s="42"/>
      <c r="E1044" s="43"/>
      <c r="F1044" s="42"/>
      <c r="G1044" s="42"/>
      <c r="H1044" s="42"/>
      <c r="I1044" s="42"/>
      <c r="J1044" s="42"/>
      <c r="K1044" s="42"/>
      <c r="L1044" s="42"/>
      <c r="M1044" s="42"/>
      <c r="N1044" s="42"/>
      <c r="O1044" s="42"/>
      <c r="P1044" s="42"/>
      <c r="Q1044" s="42"/>
      <c r="R1044" s="42"/>
      <c r="S1044" s="42"/>
      <c r="T1044" s="42"/>
      <c r="U1044" s="42"/>
      <c r="V1044" s="42"/>
      <c r="W1044" s="42"/>
      <c r="X1044" s="42"/>
      <c r="Y1044" s="42"/>
      <c r="Z1044" s="42"/>
      <c r="AA1044" s="42"/>
      <c r="AB1044" s="42"/>
      <c r="AC1044" s="42"/>
      <c r="AD1044" s="42"/>
      <c r="AE1044" s="42"/>
      <c r="AF1044" s="42"/>
      <c r="AG1044" s="42"/>
      <c r="AH1044" s="42"/>
      <c r="AI1044" s="42"/>
      <c r="AJ1044" s="42"/>
      <c r="AK1044" s="42"/>
      <c r="AL1044" s="42"/>
      <c r="AM1044" s="42"/>
      <c r="AN1044" s="42"/>
      <c r="AO1044" s="42"/>
      <c r="AP1044" s="42"/>
      <c r="AQ1044" s="42"/>
      <c r="AR1044" s="42"/>
      <c r="AS1044" s="42"/>
      <c r="AT1044" s="42"/>
      <c r="AU1044" s="42"/>
      <c r="AV1044" s="42"/>
      <c r="AW1044" s="42"/>
      <c r="AX1044" s="42"/>
      <c r="AY1044" s="42"/>
      <c r="AZ1044" s="42"/>
      <c r="BA1044" s="42"/>
      <c r="BB1044" s="42"/>
      <c r="BC1044" s="42"/>
      <c r="BD1044" s="42"/>
      <c r="BE1044" s="42"/>
      <c r="BF1044" s="42"/>
      <c r="BG1044" s="42"/>
      <c r="BH1044" s="42"/>
      <c r="BI1044" s="42"/>
      <c r="BJ1044" s="42"/>
      <c r="BK1044" s="42"/>
      <c r="BL1044" s="42"/>
      <c r="BM1044" s="42"/>
      <c r="BN1044" s="42"/>
      <c r="BO1044" s="42"/>
    </row>
    <row r="1045">
      <c r="A1045" s="40"/>
      <c r="B1045" s="40"/>
      <c r="C1045" s="42"/>
      <c r="D1045" s="42"/>
      <c r="E1045" s="43"/>
      <c r="F1045" s="42"/>
      <c r="G1045" s="42"/>
      <c r="H1045" s="42"/>
      <c r="I1045" s="42"/>
      <c r="J1045" s="42"/>
      <c r="K1045" s="42"/>
      <c r="L1045" s="42"/>
      <c r="M1045" s="42"/>
      <c r="N1045" s="42"/>
      <c r="O1045" s="42"/>
      <c r="P1045" s="42"/>
      <c r="Q1045" s="42"/>
      <c r="R1045" s="42"/>
      <c r="S1045" s="42"/>
      <c r="T1045" s="42"/>
      <c r="U1045" s="42"/>
      <c r="V1045" s="42"/>
      <c r="W1045" s="42"/>
      <c r="X1045" s="42"/>
      <c r="Y1045" s="42"/>
      <c r="Z1045" s="42"/>
      <c r="AA1045" s="42"/>
      <c r="AB1045" s="42"/>
      <c r="AC1045" s="42"/>
      <c r="AD1045" s="42"/>
      <c r="AE1045" s="42"/>
      <c r="AF1045" s="42"/>
      <c r="AG1045" s="42"/>
      <c r="AH1045" s="42"/>
      <c r="AI1045" s="42"/>
      <c r="AJ1045" s="42"/>
      <c r="AK1045" s="42"/>
      <c r="AL1045" s="42"/>
      <c r="AM1045" s="42"/>
      <c r="AN1045" s="42"/>
      <c r="AO1045" s="42"/>
      <c r="AP1045" s="42"/>
      <c r="AQ1045" s="42"/>
      <c r="AR1045" s="42"/>
      <c r="AS1045" s="42"/>
      <c r="AT1045" s="42"/>
      <c r="AU1045" s="42"/>
      <c r="AV1045" s="42"/>
      <c r="AW1045" s="42"/>
      <c r="AX1045" s="42"/>
      <c r="AY1045" s="42"/>
      <c r="AZ1045" s="42"/>
      <c r="BA1045" s="42"/>
      <c r="BB1045" s="42"/>
      <c r="BC1045" s="42"/>
      <c r="BD1045" s="42"/>
      <c r="BE1045" s="42"/>
      <c r="BF1045" s="42"/>
      <c r="BG1045" s="42"/>
      <c r="BH1045" s="42"/>
      <c r="BI1045" s="42"/>
      <c r="BJ1045" s="42"/>
      <c r="BK1045" s="42"/>
      <c r="BL1045" s="42"/>
      <c r="BM1045" s="42"/>
      <c r="BN1045" s="42"/>
      <c r="BO1045" s="42"/>
    </row>
    <row r="1046">
      <c r="A1046" s="40"/>
      <c r="B1046" s="40"/>
      <c r="C1046" s="42"/>
      <c r="D1046" s="42"/>
      <c r="E1046" s="43"/>
      <c r="F1046" s="42"/>
      <c r="G1046" s="42"/>
      <c r="H1046" s="42"/>
      <c r="I1046" s="42"/>
      <c r="J1046" s="42"/>
      <c r="K1046" s="42"/>
      <c r="L1046" s="42"/>
      <c r="M1046" s="42"/>
      <c r="N1046" s="42"/>
      <c r="O1046" s="42"/>
      <c r="P1046" s="42"/>
      <c r="Q1046" s="42"/>
      <c r="R1046" s="42"/>
      <c r="S1046" s="42"/>
      <c r="T1046" s="42"/>
      <c r="U1046" s="42"/>
      <c r="V1046" s="42"/>
      <c r="W1046" s="42"/>
      <c r="X1046" s="42"/>
      <c r="Y1046" s="42"/>
      <c r="Z1046" s="42"/>
      <c r="AA1046" s="42"/>
      <c r="AB1046" s="42"/>
      <c r="AC1046" s="42"/>
      <c r="AD1046" s="42"/>
      <c r="AE1046" s="42"/>
      <c r="AF1046" s="42"/>
      <c r="AG1046" s="42"/>
      <c r="AH1046" s="42"/>
      <c r="AI1046" s="42"/>
      <c r="AJ1046" s="42"/>
      <c r="AK1046" s="42"/>
      <c r="AL1046" s="42"/>
      <c r="AM1046" s="42"/>
      <c r="AN1046" s="42"/>
      <c r="AO1046" s="42"/>
      <c r="AP1046" s="42"/>
      <c r="AQ1046" s="42"/>
      <c r="AR1046" s="42"/>
      <c r="AS1046" s="42"/>
      <c r="AT1046" s="42"/>
      <c r="AU1046" s="42"/>
      <c r="AV1046" s="42"/>
      <c r="AW1046" s="42"/>
      <c r="AX1046" s="42"/>
      <c r="AY1046" s="42"/>
      <c r="AZ1046" s="42"/>
      <c r="BA1046" s="42"/>
      <c r="BB1046" s="42"/>
      <c r="BC1046" s="42"/>
      <c r="BD1046" s="42"/>
      <c r="BE1046" s="42"/>
      <c r="BF1046" s="42"/>
      <c r="BG1046" s="42"/>
      <c r="BH1046" s="42"/>
      <c r="BI1046" s="42"/>
      <c r="BJ1046" s="42"/>
      <c r="BK1046" s="42"/>
      <c r="BL1046" s="42"/>
      <c r="BM1046" s="42"/>
      <c r="BN1046" s="42"/>
      <c r="BO1046" s="42"/>
    </row>
    <row r="1047">
      <c r="A1047" s="40"/>
      <c r="B1047" s="40"/>
      <c r="C1047" s="42"/>
      <c r="D1047" s="42"/>
      <c r="E1047" s="43"/>
      <c r="F1047" s="42"/>
      <c r="G1047" s="42"/>
      <c r="H1047" s="42"/>
      <c r="I1047" s="42"/>
      <c r="J1047" s="42"/>
      <c r="K1047" s="42"/>
      <c r="L1047" s="42"/>
      <c r="M1047" s="42"/>
      <c r="N1047" s="42"/>
      <c r="O1047" s="42"/>
      <c r="P1047" s="42"/>
      <c r="Q1047" s="42"/>
      <c r="R1047" s="42"/>
      <c r="S1047" s="42"/>
      <c r="T1047" s="42"/>
      <c r="U1047" s="42"/>
      <c r="V1047" s="42"/>
      <c r="W1047" s="42"/>
      <c r="X1047" s="42"/>
      <c r="Y1047" s="42"/>
      <c r="Z1047" s="42"/>
      <c r="AA1047" s="42"/>
      <c r="AB1047" s="42"/>
      <c r="AC1047" s="42"/>
      <c r="AD1047" s="42"/>
      <c r="AE1047" s="42"/>
      <c r="AF1047" s="42"/>
      <c r="AG1047" s="42"/>
      <c r="AH1047" s="42"/>
      <c r="AI1047" s="42"/>
      <c r="AJ1047" s="42"/>
      <c r="AK1047" s="42"/>
      <c r="AL1047" s="42"/>
      <c r="AM1047" s="42"/>
      <c r="AN1047" s="42"/>
      <c r="AO1047" s="42"/>
      <c r="AP1047" s="42"/>
      <c r="AQ1047" s="42"/>
      <c r="AR1047" s="42"/>
      <c r="AS1047" s="42"/>
      <c r="AT1047" s="42"/>
      <c r="AU1047" s="42"/>
      <c r="AV1047" s="42"/>
      <c r="AW1047" s="42"/>
      <c r="AX1047" s="42"/>
      <c r="AY1047" s="42"/>
      <c r="AZ1047" s="42"/>
      <c r="BA1047" s="42"/>
      <c r="BB1047" s="42"/>
      <c r="BC1047" s="42"/>
      <c r="BD1047" s="42"/>
      <c r="BE1047" s="42"/>
      <c r="BF1047" s="42"/>
      <c r="BG1047" s="42"/>
      <c r="BH1047" s="42"/>
      <c r="BI1047" s="42"/>
      <c r="BJ1047" s="42"/>
      <c r="BK1047" s="42"/>
      <c r="BL1047" s="42"/>
      <c r="BM1047" s="42"/>
      <c r="BN1047" s="42"/>
      <c r="BO1047" s="42"/>
    </row>
    <row r="1048">
      <c r="A1048" s="40"/>
      <c r="B1048" s="40"/>
      <c r="C1048" s="42"/>
      <c r="D1048" s="42"/>
      <c r="E1048" s="43"/>
      <c r="F1048" s="42"/>
      <c r="G1048" s="42"/>
      <c r="H1048" s="42"/>
      <c r="I1048" s="42"/>
      <c r="J1048" s="42"/>
      <c r="K1048" s="42"/>
      <c r="L1048" s="42"/>
      <c r="M1048" s="42"/>
      <c r="N1048" s="42"/>
      <c r="O1048" s="42"/>
      <c r="P1048" s="42"/>
      <c r="Q1048" s="42"/>
      <c r="R1048" s="42"/>
      <c r="S1048" s="42"/>
      <c r="T1048" s="42"/>
      <c r="U1048" s="42"/>
      <c r="V1048" s="42"/>
      <c r="W1048" s="42"/>
      <c r="X1048" s="42"/>
      <c r="Y1048" s="42"/>
      <c r="Z1048" s="42"/>
      <c r="AA1048" s="42"/>
      <c r="AB1048" s="42"/>
      <c r="AC1048" s="42"/>
      <c r="AD1048" s="42"/>
      <c r="AE1048" s="42"/>
      <c r="AF1048" s="42"/>
      <c r="AG1048" s="42"/>
      <c r="AH1048" s="42"/>
      <c r="AI1048" s="42"/>
      <c r="AJ1048" s="42"/>
      <c r="AK1048" s="42"/>
      <c r="AL1048" s="42"/>
      <c r="AM1048" s="42"/>
      <c r="AN1048" s="42"/>
      <c r="AO1048" s="42"/>
      <c r="AP1048" s="42"/>
      <c r="AQ1048" s="42"/>
      <c r="AR1048" s="42"/>
      <c r="AS1048" s="42"/>
      <c r="AT1048" s="42"/>
      <c r="AU1048" s="42"/>
      <c r="AV1048" s="42"/>
      <c r="AW1048" s="42"/>
      <c r="AX1048" s="42"/>
      <c r="AY1048" s="42"/>
      <c r="AZ1048" s="42"/>
      <c r="BA1048" s="42"/>
      <c r="BB1048" s="42"/>
      <c r="BC1048" s="42"/>
      <c r="BD1048" s="42"/>
      <c r="BE1048" s="42"/>
      <c r="BF1048" s="42"/>
      <c r="BG1048" s="42"/>
      <c r="BH1048" s="42"/>
      <c r="BI1048" s="42"/>
      <c r="BJ1048" s="42"/>
      <c r="BK1048" s="42"/>
      <c r="BL1048" s="42"/>
      <c r="BM1048" s="42"/>
      <c r="BN1048" s="42"/>
      <c r="BO1048" s="42"/>
    </row>
    <row r="1049">
      <c r="A1049" s="40"/>
      <c r="B1049" s="40"/>
      <c r="C1049" s="42"/>
      <c r="D1049" s="42"/>
      <c r="E1049" s="43"/>
      <c r="F1049" s="42"/>
      <c r="G1049" s="42"/>
      <c r="H1049" s="42"/>
      <c r="I1049" s="42"/>
      <c r="J1049" s="42"/>
      <c r="K1049" s="42"/>
      <c r="L1049" s="42"/>
      <c r="M1049" s="42"/>
      <c r="N1049" s="42"/>
      <c r="O1049" s="42"/>
      <c r="P1049" s="42"/>
      <c r="Q1049" s="42"/>
      <c r="R1049" s="42"/>
      <c r="S1049" s="42"/>
      <c r="T1049" s="42"/>
      <c r="U1049" s="42"/>
      <c r="V1049" s="42"/>
      <c r="W1049" s="42"/>
      <c r="X1049" s="42"/>
      <c r="Y1049" s="42"/>
      <c r="Z1049" s="42"/>
      <c r="AA1049" s="42"/>
      <c r="AB1049" s="42"/>
      <c r="AC1049" s="42"/>
      <c r="AD1049" s="42"/>
      <c r="AE1049" s="42"/>
      <c r="AF1049" s="42"/>
      <c r="AG1049" s="42"/>
      <c r="AH1049" s="42"/>
      <c r="AI1049" s="42"/>
      <c r="AJ1049" s="42"/>
      <c r="AK1049" s="42"/>
      <c r="AL1049" s="42"/>
      <c r="AM1049" s="42"/>
      <c r="AN1049" s="42"/>
      <c r="AO1049" s="42"/>
      <c r="AP1049" s="42"/>
      <c r="AQ1049" s="42"/>
      <c r="AR1049" s="42"/>
      <c r="AS1049" s="42"/>
      <c r="AT1049" s="42"/>
      <c r="AU1049" s="42"/>
      <c r="AV1049" s="42"/>
      <c r="AW1049" s="42"/>
      <c r="AX1049" s="42"/>
      <c r="AY1049" s="42"/>
      <c r="AZ1049" s="42"/>
      <c r="BA1049" s="42"/>
      <c r="BB1049" s="42"/>
      <c r="BC1049" s="42"/>
      <c r="BD1049" s="42"/>
      <c r="BE1049" s="42"/>
      <c r="BF1049" s="42"/>
      <c r="BG1049" s="42"/>
      <c r="BH1049" s="42"/>
      <c r="BI1049" s="42"/>
      <c r="BJ1049" s="42"/>
      <c r="BK1049" s="42"/>
      <c r="BL1049" s="42"/>
      <c r="BM1049" s="42"/>
      <c r="BN1049" s="42"/>
      <c r="BO1049" s="42"/>
    </row>
    <row r="1050">
      <c r="A1050" s="40"/>
      <c r="B1050" s="40"/>
      <c r="C1050" s="42"/>
      <c r="D1050" s="42"/>
      <c r="E1050" s="43"/>
      <c r="F1050" s="42"/>
      <c r="G1050" s="42"/>
      <c r="H1050" s="42"/>
      <c r="I1050" s="42"/>
      <c r="J1050" s="42"/>
      <c r="K1050" s="42"/>
      <c r="L1050" s="42"/>
      <c r="M1050" s="42"/>
      <c r="N1050" s="42"/>
      <c r="O1050" s="42"/>
      <c r="P1050" s="42"/>
      <c r="Q1050" s="42"/>
      <c r="R1050" s="42"/>
      <c r="S1050" s="42"/>
      <c r="T1050" s="42"/>
      <c r="U1050" s="42"/>
      <c r="V1050" s="42"/>
      <c r="W1050" s="42"/>
      <c r="X1050" s="42"/>
      <c r="Y1050" s="42"/>
      <c r="Z1050" s="42"/>
      <c r="AA1050" s="42"/>
      <c r="AB1050" s="42"/>
      <c r="AC1050" s="42"/>
      <c r="AD1050" s="42"/>
      <c r="AE1050" s="42"/>
      <c r="AF1050" s="42"/>
      <c r="AG1050" s="42"/>
      <c r="AH1050" s="42"/>
      <c r="AI1050" s="42"/>
      <c r="AJ1050" s="42"/>
      <c r="AK1050" s="42"/>
      <c r="AL1050" s="42"/>
      <c r="AM1050" s="42"/>
      <c r="AN1050" s="42"/>
      <c r="AO1050" s="42"/>
      <c r="AP1050" s="42"/>
      <c r="AQ1050" s="42"/>
      <c r="AR1050" s="42"/>
      <c r="AS1050" s="42"/>
      <c r="AT1050" s="42"/>
      <c r="AU1050" s="42"/>
      <c r="AV1050" s="42"/>
      <c r="AW1050" s="42"/>
      <c r="AX1050" s="42"/>
      <c r="AY1050" s="42"/>
      <c r="AZ1050" s="42"/>
      <c r="BA1050" s="42"/>
      <c r="BB1050" s="42"/>
      <c r="BC1050" s="42"/>
      <c r="BD1050" s="42"/>
      <c r="BE1050" s="42"/>
      <c r="BF1050" s="42"/>
      <c r="BG1050" s="42"/>
      <c r="BH1050" s="42"/>
      <c r="BI1050" s="42"/>
      <c r="BJ1050" s="42"/>
      <c r="BK1050" s="42"/>
      <c r="BL1050" s="42"/>
      <c r="BM1050" s="42"/>
      <c r="BN1050" s="42"/>
      <c r="BO1050" s="42"/>
    </row>
    <row r="1051">
      <c r="A1051" s="40"/>
      <c r="B1051" s="40"/>
      <c r="C1051" s="42"/>
      <c r="D1051" s="42"/>
      <c r="E1051" s="43"/>
      <c r="F1051" s="42"/>
      <c r="G1051" s="42"/>
      <c r="H1051" s="42"/>
      <c r="I1051" s="42"/>
      <c r="J1051" s="42"/>
      <c r="K1051" s="42"/>
      <c r="L1051" s="42"/>
      <c r="M1051" s="42"/>
      <c r="N1051" s="42"/>
      <c r="O1051" s="42"/>
      <c r="P1051" s="42"/>
      <c r="Q1051" s="42"/>
      <c r="R1051" s="42"/>
      <c r="S1051" s="42"/>
      <c r="T1051" s="42"/>
      <c r="U1051" s="42"/>
      <c r="V1051" s="42"/>
      <c r="W1051" s="42"/>
      <c r="X1051" s="42"/>
      <c r="Y1051" s="42"/>
      <c r="Z1051" s="42"/>
      <c r="AA1051" s="42"/>
      <c r="AB1051" s="42"/>
      <c r="AC1051" s="42"/>
      <c r="AD1051" s="42"/>
      <c r="AE1051" s="42"/>
      <c r="AF1051" s="42"/>
      <c r="AG1051" s="42"/>
      <c r="AH1051" s="42"/>
      <c r="AI1051" s="42"/>
      <c r="AJ1051" s="42"/>
      <c r="AK1051" s="42"/>
      <c r="AL1051" s="42"/>
      <c r="AM1051" s="42"/>
      <c r="AN1051" s="42"/>
      <c r="AO1051" s="42"/>
      <c r="AP1051" s="42"/>
      <c r="AQ1051" s="42"/>
      <c r="AR1051" s="42"/>
      <c r="AS1051" s="42"/>
      <c r="AT1051" s="42"/>
      <c r="AU1051" s="42"/>
      <c r="AV1051" s="42"/>
      <c r="AW1051" s="42"/>
      <c r="AX1051" s="42"/>
      <c r="AY1051" s="42"/>
      <c r="AZ1051" s="42"/>
      <c r="BA1051" s="42"/>
      <c r="BB1051" s="42"/>
      <c r="BC1051" s="42"/>
      <c r="BD1051" s="42"/>
      <c r="BE1051" s="42"/>
      <c r="BF1051" s="42"/>
      <c r="BG1051" s="42"/>
      <c r="BH1051" s="42"/>
      <c r="BI1051" s="42"/>
      <c r="BJ1051" s="42"/>
      <c r="BK1051" s="42"/>
      <c r="BL1051" s="42"/>
      <c r="BM1051" s="42"/>
      <c r="BN1051" s="42"/>
      <c r="BO1051" s="42"/>
    </row>
    <row r="1052">
      <c r="A1052" s="40"/>
      <c r="B1052" s="40"/>
      <c r="C1052" s="42"/>
      <c r="D1052" s="42"/>
      <c r="E1052" s="43"/>
      <c r="F1052" s="42"/>
      <c r="G1052" s="42"/>
      <c r="H1052" s="42"/>
      <c r="I1052" s="42"/>
      <c r="J1052" s="42"/>
      <c r="K1052" s="42"/>
      <c r="L1052" s="42"/>
      <c r="M1052" s="42"/>
      <c r="N1052" s="42"/>
      <c r="O1052" s="42"/>
      <c r="P1052" s="42"/>
      <c r="Q1052" s="42"/>
      <c r="R1052" s="42"/>
      <c r="S1052" s="42"/>
      <c r="T1052" s="42"/>
      <c r="U1052" s="42"/>
      <c r="V1052" s="42"/>
      <c r="W1052" s="42"/>
      <c r="X1052" s="42"/>
      <c r="Y1052" s="42"/>
      <c r="Z1052" s="42"/>
      <c r="AA1052" s="42"/>
      <c r="AB1052" s="42"/>
      <c r="AC1052" s="42"/>
      <c r="AD1052" s="42"/>
      <c r="AE1052" s="42"/>
      <c r="AF1052" s="42"/>
      <c r="AG1052" s="42"/>
      <c r="AH1052" s="42"/>
      <c r="AI1052" s="42"/>
      <c r="AJ1052" s="42"/>
      <c r="AK1052" s="42"/>
      <c r="AL1052" s="42"/>
      <c r="AM1052" s="42"/>
      <c r="AN1052" s="42"/>
      <c r="AO1052" s="42"/>
      <c r="AP1052" s="42"/>
      <c r="AQ1052" s="42"/>
      <c r="AR1052" s="42"/>
      <c r="AS1052" s="42"/>
      <c r="AT1052" s="42"/>
      <c r="AU1052" s="42"/>
      <c r="AV1052" s="42"/>
      <c r="AW1052" s="42"/>
      <c r="AX1052" s="42"/>
      <c r="AY1052" s="42"/>
      <c r="AZ1052" s="42"/>
      <c r="BA1052" s="42"/>
      <c r="BB1052" s="42"/>
      <c r="BC1052" s="42"/>
      <c r="BD1052" s="42"/>
      <c r="BE1052" s="42"/>
      <c r="BF1052" s="42"/>
      <c r="BG1052" s="42"/>
      <c r="BH1052" s="42"/>
      <c r="BI1052" s="42"/>
      <c r="BJ1052" s="42"/>
      <c r="BK1052" s="42"/>
      <c r="BL1052" s="42"/>
      <c r="BM1052" s="42"/>
      <c r="BN1052" s="42"/>
      <c r="BO1052" s="42"/>
    </row>
    <row r="1053">
      <c r="A1053" s="40"/>
      <c r="B1053" s="40"/>
      <c r="C1053" s="42"/>
      <c r="D1053" s="42"/>
      <c r="E1053" s="43"/>
      <c r="F1053" s="42"/>
      <c r="G1053" s="42"/>
      <c r="H1053" s="42"/>
      <c r="I1053" s="42"/>
      <c r="J1053" s="42"/>
      <c r="K1053" s="42"/>
      <c r="L1053" s="42"/>
      <c r="M1053" s="42"/>
      <c r="N1053" s="42"/>
      <c r="O1053" s="42"/>
      <c r="P1053" s="42"/>
      <c r="Q1053" s="42"/>
      <c r="R1053" s="42"/>
      <c r="S1053" s="42"/>
      <c r="T1053" s="42"/>
      <c r="U1053" s="42"/>
      <c r="V1053" s="42"/>
      <c r="W1053" s="42"/>
      <c r="X1053" s="42"/>
      <c r="Y1053" s="42"/>
      <c r="Z1053" s="42"/>
      <c r="AA1053" s="42"/>
      <c r="AB1053" s="42"/>
      <c r="AC1053" s="42"/>
      <c r="AD1053" s="42"/>
      <c r="AE1053" s="42"/>
      <c r="AF1053" s="42"/>
      <c r="AG1053" s="42"/>
      <c r="AH1053" s="42"/>
      <c r="AI1053" s="42"/>
      <c r="AJ1053" s="42"/>
      <c r="AK1053" s="42"/>
      <c r="AL1053" s="42"/>
      <c r="AM1053" s="42"/>
      <c r="AN1053" s="42"/>
      <c r="AO1053" s="42"/>
      <c r="AP1053" s="42"/>
      <c r="AQ1053" s="42"/>
      <c r="AR1053" s="42"/>
      <c r="AS1053" s="42"/>
      <c r="AT1053" s="42"/>
      <c r="AU1053" s="42"/>
      <c r="AV1053" s="42"/>
      <c r="AW1053" s="42"/>
      <c r="AX1053" s="42"/>
      <c r="AY1053" s="42"/>
      <c r="AZ1053" s="42"/>
      <c r="BA1053" s="42"/>
      <c r="BB1053" s="42"/>
      <c r="BC1053" s="42"/>
      <c r="BD1053" s="42"/>
      <c r="BE1053" s="42"/>
      <c r="BF1053" s="42"/>
      <c r="BG1053" s="42"/>
      <c r="BH1053" s="42"/>
      <c r="BI1053" s="42"/>
      <c r="BJ1053" s="42"/>
      <c r="BK1053" s="42"/>
      <c r="BL1053" s="42"/>
      <c r="BM1053" s="42"/>
      <c r="BN1053" s="42"/>
      <c r="BO1053" s="42"/>
    </row>
    <row r="1054">
      <c r="A1054" s="40"/>
      <c r="B1054" s="40"/>
      <c r="C1054" s="42"/>
      <c r="D1054" s="42"/>
      <c r="E1054" s="43"/>
      <c r="F1054" s="42"/>
      <c r="G1054" s="42"/>
      <c r="H1054" s="42"/>
      <c r="I1054" s="42"/>
      <c r="J1054" s="42"/>
      <c r="K1054" s="42"/>
      <c r="L1054" s="42"/>
      <c r="M1054" s="42"/>
      <c r="N1054" s="42"/>
      <c r="O1054" s="42"/>
      <c r="P1054" s="42"/>
      <c r="Q1054" s="42"/>
      <c r="R1054" s="42"/>
      <c r="S1054" s="42"/>
      <c r="T1054" s="42"/>
      <c r="U1054" s="42"/>
      <c r="V1054" s="42"/>
      <c r="W1054" s="42"/>
      <c r="X1054" s="42"/>
      <c r="Y1054" s="42"/>
      <c r="Z1054" s="42"/>
      <c r="AA1054" s="42"/>
      <c r="AB1054" s="42"/>
      <c r="AC1054" s="42"/>
      <c r="AD1054" s="42"/>
      <c r="AE1054" s="42"/>
      <c r="AF1054" s="42"/>
      <c r="AG1054" s="42"/>
      <c r="AH1054" s="42"/>
      <c r="AI1054" s="42"/>
      <c r="AJ1054" s="42"/>
      <c r="AK1054" s="42"/>
      <c r="AL1054" s="42"/>
      <c r="AM1054" s="42"/>
      <c r="AN1054" s="42"/>
      <c r="AO1054" s="42"/>
      <c r="AP1054" s="42"/>
      <c r="AQ1054" s="42"/>
      <c r="AR1054" s="42"/>
      <c r="AS1054" s="42"/>
      <c r="AT1054" s="42"/>
      <c r="AU1054" s="42"/>
      <c r="AV1054" s="42"/>
      <c r="AW1054" s="42"/>
      <c r="AX1054" s="42"/>
      <c r="AY1054" s="42"/>
      <c r="AZ1054" s="42"/>
      <c r="BA1054" s="42"/>
      <c r="BB1054" s="42"/>
      <c r="BC1054" s="42"/>
      <c r="BD1054" s="42"/>
      <c r="BE1054" s="42"/>
      <c r="BF1054" s="42"/>
      <c r="BG1054" s="42"/>
      <c r="BH1054" s="42"/>
      <c r="BI1054" s="42"/>
      <c r="BJ1054" s="42"/>
      <c r="BK1054" s="42"/>
      <c r="BL1054" s="42"/>
      <c r="BM1054" s="42"/>
      <c r="BN1054" s="42"/>
      <c r="BO1054" s="42"/>
    </row>
    <row r="1055">
      <c r="A1055" s="40"/>
      <c r="B1055" s="40"/>
      <c r="C1055" s="42"/>
      <c r="D1055" s="42"/>
      <c r="E1055" s="43"/>
      <c r="F1055" s="42"/>
      <c r="G1055" s="42"/>
      <c r="H1055" s="42"/>
      <c r="I1055" s="42"/>
      <c r="J1055" s="42"/>
      <c r="K1055" s="42"/>
      <c r="L1055" s="42"/>
      <c r="M1055" s="42"/>
      <c r="N1055" s="42"/>
      <c r="O1055" s="42"/>
      <c r="P1055" s="42"/>
      <c r="Q1055" s="42"/>
      <c r="R1055" s="42"/>
      <c r="S1055" s="42"/>
      <c r="T1055" s="42"/>
      <c r="U1055" s="42"/>
      <c r="V1055" s="42"/>
      <c r="W1055" s="42"/>
      <c r="X1055" s="42"/>
      <c r="Y1055" s="42"/>
      <c r="Z1055" s="42"/>
      <c r="AA1055" s="42"/>
      <c r="AB1055" s="42"/>
      <c r="AC1055" s="42"/>
      <c r="AD1055" s="42"/>
      <c r="AE1055" s="42"/>
      <c r="AF1055" s="42"/>
      <c r="AG1055" s="42"/>
      <c r="AH1055" s="42"/>
      <c r="AI1055" s="42"/>
      <c r="AJ1055" s="42"/>
      <c r="AK1055" s="42"/>
      <c r="AL1055" s="42"/>
      <c r="AM1055" s="42"/>
      <c r="AN1055" s="42"/>
      <c r="AO1055" s="42"/>
      <c r="AP1055" s="42"/>
      <c r="AQ1055" s="42"/>
      <c r="AR1055" s="42"/>
      <c r="AS1055" s="42"/>
      <c r="AT1055" s="42"/>
      <c r="AU1055" s="42"/>
      <c r="AV1055" s="42"/>
      <c r="AW1055" s="42"/>
      <c r="AX1055" s="42"/>
      <c r="AY1055" s="42"/>
      <c r="AZ1055" s="42"/>
      <c r="BA1055" s="42"/>
      <c r="BB1055" s="42"/>
      <c r="BC1055" s="42"/>
      <c r="BD1055" s="42"/>
      <c r="BE1055" s="42"/>
      <c r="BF1055" s="42"/>
      <c r="BG1055" s="42"/>
      <c r="BH1055" s="42"/>
      <c r="BI1055" s="42"/>
      <c r="BJ1055" s="42"/>
      <c r="BK1055" s="42"/>
      <c r="BL1055" s="42"/>
      <c r="BM1055" s="42"/>
      <c r="BN1055" s="42"/>
      <c r="BO1055" s="42"/>
    </row>
    <row r="1056">
      <c r="A1056" s="40"/>
      <c r="B1056" s="40"/>
      <c r="C1056" s="42"/>
      <c r="D1056" s="42"/>
      <c r="E1056" s="43"/>
      <c r="F1056" s="42"/>
      <c r="G1056" s="42"/>
      <c r="H1056" s="42"/>
      <c r="I1056" s="42"/>
      <c r="J1056" s="42"/>
      <c r="K1056" s="42"/>
      <c r="L1056" s="42"/>
      <c r="M1056" s="42"/>
      <c r="N1056" s="42"/>
      <c r="O1056" s="42"/>
      <c r="P1056" s="42"/>
      <c r="Q1056" s="42"/>
      <c r="R1056" s="42"/>
      <c r="S1056" s="42"/>
      <c r="T1056" s="42"/>
      <c r="U1056" s="42"/>
      <c r="V1056" s="42"/>
      <c r="W1056" s="42"/>
      <c r="X1056" s="42"/>
      <c r="Y1056" s="42"/>
      <c r="Z1056" s="42"/>
      <c r="AA1056" s="42"/>
      <c r="AB1056" s="42"/>
      <c r="AC1056" s="42"/>
      <c r="AD1056" s="42"/>
      <c r="AE1056" s="42"/>
      <c r="AF1056" s="42"/>
      <c r="AG1056" s="42"/>
      <c r="AH1056" s="42"/>
      <c r="AI1056" s="42"/>
      <c r="AJ1056" s="42"/>
      <c r="AK1056" s="42"/>
      <c r="AL1056" s="42"/>
      <c r="AM1056" s="42"/>
      <c r="AN1056" s="42"/>
      <c r="AO1056" s="42"/>
      <c r="AP1056" s="42"/>
      <c r="AQ1056" s="42"/>
      <c r="AR1056" s="42"/>
      <c r="AS1056" s="42"/>
      <c r="AT1056" s="42"/>
      <c r="AU1056" s="42"/>
      <c r="AV1056" s="42"/>
      <c r="AW1056" s="42"/>
      <c r="AX1056" s="42"/>
      <c r="AY1056" s="42"/>
      <c r="AZ1056" s="42"/>
      <c r="BA1056" s="42"/>
      <c r="BB1056" s="42"/>
      <c r="BC1056" s="42"/>
      <c r="BD1056" s="42"/>
      <c r="BE1056" s="42"/>
      <c r="BF1056" s="42"/>
      <c r="BG1056" s="42"/>
      <c r="BH1056" s="42"/>
      <c r="BI1056" s="42"/>
      <c r="BJ1056" s="42"/>
      <c r="BK1056" s="42"/>
      <c r="BL1056" s="42"/>
      <c r="BM1056" s="42"/>
      <c r="BN1056" s="42"/>
      <c r="BO1056" s="42"/>
    </row>
    <row r="1057">
      <c r="A1057" s="40"/>
      <c r="B1057" s="40"/>
      <c r="C1057" s="42"/>
      <c r="D1057" s="42"/>
      <c r="E1057" s="43"/>
      <c r="F1057" s="42"/>
      <c r="G1057" s="42"/>
      <c r="H1057" s="42"/>
      <c r="I1057" s="42"/>
      <c r="J1057" s="42"/>
      <c r="K1057" s="42"/>
      <c r="L1057" s="42"/>
      <c r="M1057" s="42"/>
      <c r="N1057" s="42"/>
      <c r="O1057" s="42"/>
      <c r="P1057" s="42"/>
      <c r="Q1057" s="42"/>
      <c r="R1057" s="42"/>
      <c r="S1057" s="42"/>
      <c r="T1057" s="42"/>
      <c r="U1057" s="42"/>
      <c r="V1057" s="42"/>
      <c r="W1057" s="42"/>
      <c r="X1057" s="42"/>
      <c r="Y1057" s="42"/>
      <c r="Z1057" s="42"/>
      <c r="AA1057" s="42"/>
      <c r="AB1057" s="42"/>
      <c r="AC1057" s="42"/>
      <c r="AD1057" s="42"/>
      <c r="AE1057" s="42"/>
      <c r="AF1057" s="42"/>
      <c r="AG1057" s="42"/>
      <c r="AH1057" s="42"/>
      <c r="AI1057" s="42"/>
      <c r="AJ1057" s="42"/>
      <c r="AK1057" s="42"/>
      <c r="AL1057" s="42"/>
      <c r="AM1057" s="42"/>
      <c r="AN1057" s="42"/>
      <c r="AO1057" s="42"/>
      <c r="AP1057" s="42"/>
      <c r="AQ1057" s="42"/>
      <c r="AR1057" s="42"/>
      <c r="AS1057" s="42"/>
      <c r="AT1057" s="42"/>
      <c r="AU1057" s="42"/>
      <c r="AV1057" s="42"/>
      <c r="AW1057" s="42"/>
      <c r="AX1057" s="42"/>
      <c r="AY1057" s="42"/>
      <c r="AZ1057" s="42"/>
      <c r="BA1057" s="42"/>
      <c r="BB1057" s="42"/>
      <c r="BC1057" s="42"/>
      <c r="BD1057" s="42"/>
      <c r="BE1057" s="42"/>
      <c r="BF1057" s="42"/>
      <c r="BG1057" s="42"/>
      <c r="BH1057" s="42"/>
      <c r="BI1057" s="42"/>
      <c r="BJ1057" s="42"/>
      <c r="BK1057" s="42"/>
      <c r="BL1057" s="42"/>
      <c r="BM1057" s="42"/>
      <c r="BN1057" s="42"/>
      <c r="BO1057" s="42"/>
    </row>
    <row r="1058">
      <c r="A1058" s="40"/>
      <c r="B1058" s="40"/>
      <c r="C1058" s="42"/>
      <c r="D1058" s="42"/>
      <c r="E1058" s="43"/>
      <c r="F1058" s="42"/>
      <c r="G1058" s="42"/>
      <c r="H1058" s="42"/>
      <c r="I1058" s="42"/>
      <c r="J1058" s="42"/>
      <c r="K1058" s="42"/>
      <c r="L1058" s="42"/>
      <c r="M1058" s="42"/>
      <c r="N1058" s="42"/>
      <c r="O1058" s="42"/>
      <c r="P1058" s="42"/>
      <c r="Q1058" s="42"/>
      <c r="R1058" s="42"/>
      <c r="S1058" s="42"/>
      <c r="T1058" s="42"/>
      <c r="U1058" s="42"/>
      <c r="V1058" s="42"/>
      <c r="W1058" s="42"/>
      <c r="X1058" s="42"/>
      <c r="Y1058" s="42"/>
      <c r="Z1058" s="42"/>
      <c r="AA1058" s="42"/>
      <c r="AB1058" s="42"/>
      <c r="AC1058" s="42"/>
      <c r="AD1058" s="42"/>
      <c r="AE1058" s="42"/>
      <c r="AF1058" s="42"/>
      <c r="AG1058" s="42"/>
      <c r="AH1058" s="42"/>
      <c r="AI1058" s="42"/>
      <c r="AJ1058" s="42"/>
      <c r="AK1058" s="42"/>
      <c r="AL1058" s="42"/>
      <c r="AM1058" s="42"/>
      <c r="AN1058" s="42"/>
      <c r="AO1058" s="42"/>
      <c r="AP1058" s="42"/>
      <c r="AQ1058" s="42"/>
      <c r="AR1058" s="42"/>
      <c r="AS1058" s="42"/>
      <c r="AT1058" s="42"/>
      <c r="AU1058" s="42"/>
      <c r="AV1058" s="42"/>
      <c r="AW1058" s="42"/>
      <c r="AX1058" s="42"/>
      <c r="AY1058" s="42"/>
      <c r="AZ1058" s="42"/>
      <c r="BA1058" s="42"/>
      <c r="BB1058" s="42"/>
      <c r="BC1058" s="42"/>
      <c r="BD1058" s="42"/>
      <c r="BE1058" s="42"/>
      <c r="BF1058" s="42"/>
      <c r="BG1058" s="42"/>
      <c r="BH1058" s="42"/>
      <c r="BI1058" s="42"/>
      <c r="BJ1058" s="42"/>
      <c r="BK1058" s="42"/>
      <c r="BL1058" s="42"/>
      <c r="BM1058" s="42"/>
      <c r="BN1058" s="42"/>
      <c r="BO1058" s="42"/>
    </row>
    <row r="1059">
      <c r="A1059" s="40"/>
      <c r="B1059" s="40"/>
      <c r="C1059" s="42"/>
      <c r="D1059" s="42"/>
      <c r="E1059" s="43"/>
      <c r="F1059" s="42"/>
      <c r="G1059" s="42"/>
      <c r="H1059" s="42"/>
      <c r="I1059" s="42"/>
      <c r="J1059" s="42"/>
      <c r="K1059" s="42"/>
      <c r="L1059" s="42"/>
      <c r="M1059" s="42"/>
      <c r="N1059" s="42"/>
      <c r="O1059" s="42"/>
      <c r="P1059" s="42"/>
      <c r="Q1059" s="42"/>
      <c r="R1059" s="42"/>
      <c r="S1059" s="42"/>
      <c r="T1059" s="42"/>
      <c r="U1059" s="42"/>
      <c r="V1059" s="42"/>
      <c r="W1059" s="42"/>
      <c r="X1059" s="42"/>
      <c r="Y1059" s="42"/>
      <c r="Z1059" s="42"/>
      <c r="AA1059" s="42"/>
      <c r="AB1059" s="42"/>
      <c r="AC1059" s="42"/>
      <c r="AD1059" s="42"/>
      <c r="AE1059" s="42"/>
      <c r="AF1059" s="42"/>
      <c r="AG1059" s="42"/>
      <c r="AH1059" s="42"/>
      <c r="AI1059" s="42"/>
      <c r="AJ1059" s="42"/>
      <c r="AK1059" s="42"/>
      <c r="AL1059" s="42"/>
      <c r="AM1059" s="42"/>
      <c r="AN1059" s="42"/>
      <c r="AO1059" s="42"/>
      <c r="AP1059" s="42"/>
      <c r="AQ1059" s="42"/>
      <c r="AR1059" s="42"/>
      <c r="AS1059" s="42"/>
      <c r="AT1059" s="42"/>
      <c r="AU1059" s="42"/>
      <c r="AV1059" s="42"/>
      <c r="AW1059" s="42"/>
      <c r="AX1059" s="42"/>
      <c r="AY1059" s="42"/>
      <c r="AZ1059" s="42"/>
      <c r="BA1059" s="42"/>
      <c r="BB1059" s="42"/>
      <c r="BC1059" s="42"/>
      <c r="BD1059" s="42"/>
      <c r="BE1059" s="42"/>
      <c r="BF1059" s="42"/>
      <c r="BG1059" s="42"/>
      <c r="BH1059" s="42"/>
      <c r="BI1059" s="42"/>
      <c r="BJ1059" s="42"/>
      <c r="BK1059" s="42"/>
      <c r="BL1059" s="42"/>
      <c r="BM1059" s="42"/>
      <c r="BN1059" s="42"/>
      <c r="BO1059" s="42"/>
    </row>
    <row r="1060">
      <c r="A1060" s="40"/>
      <c r="B1060" s="40"/>
      <c r="C1060" s="42"/>
      <c r="D1060" s="42"/>
      <c r="E1060" s="43"/>
      <c r="F1060" s="42"/>
      <c r="G1060" s="42"/>
      <c r="H1060" s="42"/>
      <c r="I1060" s="42"/>
      <c r="J1060" s="42"/>
      <c r="K1060" s="42"/>
      <c r="L1060" s="42"/>
      <c r="M1060" s="42"/>
      <c r="N1060" s="42"/>
      <c r="O1060" s="42"/>
      <c r="P1060" s="42"/>
      <c r="Q1060" s="42"/>
      <c r="R1060" s="42"/>
      <c r="S1060" s="42"/>
      <c r="T1060" s="42"/>
      <c r="U1060" s="42"/>
      <c r="V1060" s="42"/>
      <c r="W1060" s="42"/>
      <c r="X1060" s="42"/>
      <c r="Y1060" s="42"/>
      <c r="Z1060" s="42"/>
      <c r="AA1060" s="42"/>
      <c r="AB1060" s="42"/>
      <c r="AC1060" s="42"/>
      <c r="AD1060" s="42"/>
      <c r="AE1060" s="42"/>
      <c r="AF1060" s="42"/>
      <c r="AG1060" s="42"/>
      <c r="AH1060" s="42"/>
      <c r="AI1060" s="42"/>
      <c r="AJ1060" s="42"/>
      <c r="AK1060" s="42"/>
      <c r="AL1060" s="42"/>
      <c r="AM1060" s="42"/>
      <c r="AN1060" s="42"/>
      <c r="AO1060" s="42"/>
      <c r="AP1060" s="42"/>
      <c r="AQ1060" s="42"/>
      <c r="AR1060" s="42"/>
      <c r="AS1060" s="42"/>
      <c r="AT1060" s="42"/>
      <c r="AU1060" s="42"/>
      <c r="AV1060" s="42"/>
      <c r="AW1060" s="42"/>
      <c r="AX1060" s="42"/>
      <c r="AY1060" s="42"/>
      <c r="AZ1060" s="42"/>
      <c r="BA1060" s="42"/>
      <c r="BB1060" s="42"/>
      <c r="BC1060" s="42"/>
      <c r="BD1060" s="42"/>
      <c r="BE1060" s="42"/>
      <c r="BF1060" s="42"/>
      <c r="BG1060" s="42"/>
      <c r="BH1060" s="42"/>
      <c r="BI1060" s="42"/>
      <c r="BJ1060" s="42"/>
      <c r="BK1060" s="42"/>
      <c r="BL1060" s="42"/>
      <c r="BM1060" s="42"/>
      <c r="BN1060" s="42"/>
      <c r="BO1060" s="42"/>
    </row>
    <row r="1061">
      <c r="A1061" s="40"/>
      <c r="B1061" s="40"/>
      <c r="C1061" s="42"/>
      <c r="D1061" s="42"/>
      <c r="E1061" s="43"/>
      <c r="F1061" s="42"/>
      <c r="G1061" s="42"/>
      <c r="H1061" s="42"/>
      <c r="I1061" s="42"/>
      <c r="J1061" s="42"/>
      <c r="K1061" s="42"/>
      <c r="L1061" s="42"/>
      <c r="M1061" s="42"/>
      <c r="N1061" s="42"/>
      <c r="O1061" s="42"/>
      <c r="P1061" s="42"/>
      <c r="Q1061" s="42"/>
      <c r="R1061" s="42"/>
      <c r="S1061" s="42"/>
      <c r="T1061" s="42"/>
      <c r="U1061" s="42"/>
      <c r="V1061" s="42"/>
      <c r="W1061" s="42"/>
      <c r="X1061" s="42"/>
      <c r="Y1061" s="42"/>
      <c r="Z1061" s="42"/>
      <c r="AA1061" s="42"/>
      <c r="AB1061" s="42"/>
      <c r="AC1061" s="42"/>
      <c r="AD1061" s="42"/>
      <c r="AE1061" s="42"/>
      <c r="AF1061" s="42"/>
      <c r="AG1061" s="42"/>
      <c r="AH1061" s="42"/>
      <c r="AI1061" s="42"/>
      <c r="AJ1061" s="42"/>
      <c r="AK1061" s="42"/>
      <c r="AL1061" s="42"/>
      <c r="AM1061" s="42"/>
      <c r="AN1061" s="42"/>
      <c r="AO1061" s="42"/>
      <c r="AP1061" s="42"/>
      <c r="AQ1061" s="42"/>
      <c r="AR1061" s="42"/>
      <c r="AS1061" s="42"/>
      <c r="AT1061" s="42"/>
      <c r="AU1061" s="42"/>
      <c r="AV1061" s="42"/>
      <c r="AW1061" s="42"/>
      <c r="AX1061" s="42"/>
      <c r="AY1061" s="42"/>
      <c r="AZ1061" s="42"/>
      <c r="BA1061" s="42"/>
      <c r="BB1061" s="42"/>
      <c r="BC1061" s="42"/>
      <c r="BD1061" s="42"/>
      <c r="BE1061" s="42"/>
      <c r="BF1061" s="42"/>
      <c r="BG1061" s="42"/>
      <c r="BH1061" s="42"/>
      <c r="BI1061" s="42"/>
      <c r="BJ1061" s="42"/>
      <c r="BK1061" s="42"/>
      <c r="BL1061" s="42"/>
      <c r="BM1061" s="42"/>
      <c r="BN1061" s="42"/>
      <c r="BO1061" s="42"/>
    </row>
    <row r="1062">
      <c r="A1062" s="40"/>
      <c r="B1062" s="40"/>
      <c r="C1062" s="42"/>
      <c r="D1062" s="42"/>
      <c r="E1062" s="43"/>
      <c r="F1062" s="42"/>
      <c r="G1062" s="42"/>
      <c r="H1062" s="42"/>
      <c r="I1062" s="42"/>
      <c r="J1062" s="42"/>
      <c r="K1062" s="42"/>
      <c r="L1062" s="42"/>
      <c r="M1062" s="42"/>
      <c r="N1062" s="42"/>
      <c r="O1062" s="42"/>
      <c r="P1062" s="42"/>
      <c r="Q1062" s="42"/>
      <c r="R1062" s="42"/>
      <c r="S1062" s="42"/>
      <c r="T1062" s="42"/>
      <c r="U1062" s="42"/>
      <c r="V1062" s="42"/>
      <c r="W1062" s="42"/>
      <c r="X1062" s="42"/>
      <c r="Y1062" s="42"/>
      <c r="Z1062" s="42"/>
      <c r="AA1062" s="42"/>
      <c r="AB1062" s="42"/>
      <c r="AC1062" s="42"/>
      <c r="AD1062" s="42"/>
      <c r="AE1062" s="42"/>
      <c r="AF1062" s="42"/>
      <c r="AG1062" s="42"/>
      <c r="AH1062" s="42"/>
      <c r="AI1062" s="42"/>
      <c r="AJ1062" s="42"/>
      <c r="AK1062" s="42"/>
      <c r="AL1062" s="42"/>
      <c r="AM1062" s="42"/>
      <c r="AN1062" s="42"/>
      <c r="AO1062" s="42"/>
      <c r="AP1062" s="42"/>
      <c r="AQ1062" s="42"/>
      <c r="AR1062" s="42"/>
      <c r="AS1062" s="42"/>
      <c r="AT1062" s="42"/>
      <c r="AU1062" s="42"/>
      <c r="AV1062" s="42"/>
      <c r="AW1062" s="42"/>
      <c r="AX1062" s="42"/>
      <c r="AY1062" s="42"/>
      <c r="AZ1062" s="42"/>
      <c r="BA1062" s="42"/>
      <c r="BB1062" s="42"/>
      <c r="BC1062" s="42"/>
      <c r="BD1062" s="42"/>
      <c r="BE1062" s="42"/>
      <c r="BF1062" s="42"/>
      <c r="BG1062" s="42"/>
      <c r="BH1062" s="42"/>
      <c r="BI1062" s="42"/>
      <c r="BJ1062" s="42"/>
      <c r="BK1062" s="42"/>
      <c r="BL1062" s="42"/>
      <c r="BM1062" s="42"/>
      <c r="BN1062" s="42"/>
      <c r="BO1062" s="42"/>
    </row>
    <row r="1063">
      <c r="A1063" s="40"/>
      <c r="B1063" s="40"/>
      <c r="C1063" s="42"/>
      <c r="D1063" s="42"/>
      <c r="E1063" s="43"/>
      <c r="F1063" s="42"/>
      <c r="G1063" s="42"/>
      <c r="H1063" s="42"/>
      <c r="I1063" s="42"/>
      <c r="J1063" s="42"/>
      <c r="K1063" s="42"/>
      <c r="L1063" s="42"/>
      <c r="M1063" s="42"/>
      <c r="N1063" s="42"/>
      <c r="O1063" s="42"/>
      <c r="P1063" s="42"/>
      <c r="Q1063" s="42"/>
      <c r="R1063" s="42"/>
      <c r="S1063" s="42"/>
      <c r="T1063" s="42"/>
      <c r="U1063" s="42"/>
      <c r="V1063" s="42"/>
      <c r="W1063" s="42"/>
      <c r="X1063" s="42"/>
      <c r="Y1063" s="42"/>
      <c r="Z1063" s="42"/>
      <c r="AA1063" s="42"/>
      <c r="AB1063" s="42"/>
      <c r="AC1063" s="42"/>
      <c r="AD1063" s="42"/>
      <c r="AE1063" s="42"/>
      <c r="AF1063" s="42"/>
      <c r="AG1063" s="42"/>
      <c r="AH1063" s="42"/>
      <c r="AI1063" s="42"/>
      <c r="AJ1063" s="42"/>
      <c r="AK1063" s="42"/>
      <c r="AL1063" s="42"/>
      <c r="AM1063" s="42"/>
      <c r="AN1063" s="42"/>
      <c r="AO1063" s="42"/>
      <c r="AP1063" s="42"/>
      <c r="AQ1063" s="42"/>
      <c r="AR1063" s="42"/>
      <c r="AS1063" s="42"/>
      <c r="AT1063" s="42"/>
      <c r="AU1063" s="42"/>
      <c r="AV1063" s="42"/>
      <c r="AW1063" s="42"/>
      <c r="AX1063" s="42"/>
      <c r="AY1063" s="42"/>
      <c r="AZ1063" s="42"/>
      <c r="BA1063" s="42"/>
      <c r="BB1063" s="42"/>
      <c r="BC1063" s="42"/>
      <c r="BD1063" s="42"/>
      <c r="BE1063" s="42"/>
      <c r="BF1063" s="42"/>
      <c r="BG1063" s="42"/>
      <c r="BH1063" s="42"/>
      <c r="BI1063" s="42"/>
      <c r="BJ1063" s="42"/>
      <c r="BK1063" s="42"/>
      <c r="BL1063" s="42"/>
      <c r="BM1063" s="42"/>
      <c r="BN1063" s="42"/>
      <c r="BO1063" s="42"/>
    </row>
    <row r="1064">
      <c r="A1064" s="40"/>
      <c r="B1064" s="40"/>
      <c r="C1064" s="42"/>
      <c r="D1064" s="42"/>
      <c r="E1064" s="43"/>
      <c r="F1064" s="42"/>
      <c r="G1064" s="42"/>
      <c r="H1064" s="42"/>
      <c r="I1064" s="42"/>
      <c r="J1064" s="42"/>
      <c r="K1064" s="42"/>
      <c r="L1064" s="42"/>
      <c r="M1064" s="42"/>
      <c r="N1064" s="42"/>
      <c r="O1064" s="42"/>
      <c r="P1064" s="42"/>
      <c r="Q1064" s="42"/>
      <c r="R1064" s="42"/>
      <c r="S1064" s="42"/>
      <c r="T1064" s="42"/>
      <c r="U1064" s="42"/>
      <c r="V1064" s="42"/>
      <c r="W1064" s="42"/>
      <c r="X1064" s="42"/>
      <c r="Y1064" s="42"/>
      <c r="Z1064" s="42"/>
      <c r="AA1064" s="42"/>
      <c r="AB1064" s="42"/>
      <c r="AC1064" s="42"/>
      <c r="AD1064" s="42"/>
      <c r="AE1064" s="42"/>
      <c r="AF1064" s="42"/>
      <c r="AG1064" s="42"/>
      <c r="AH1064" s="42"/>
      <c r="AI1064" s="42"/>
      <c r="AJ1064" s="42"/>
      <c r="AK1064" s="42"/>
      <c r="AL1064" s="42"/>
      <c r="AM1064" s="42"/>
      <c r="AN1064" s="42"/>
      <c r="AO1064" s="42"/>
      <c r="AP1064" s="42"/>
      <c r="AQ1064" s="42"/>
      <c r="AR1064" s="42"/>
      <c r="AS1064" s="42"/>
      <c r="AT1064" s="42"/>
      <c r="AU1064" s="42"/>
      <c r="AV1064" s="42"/>
      <c r="AW1064" s="42"/>
      <c r="AX1064" s="42"/>
      <c r="AY1064" s="42"/>
      <c r="AZ1064" s="42"/>
      <c r="BA1064" s="42"/>
      <c r="BB1064" s="42"/>
      <c r="BC1064" s="42"/>
      <c r="BD1064" s="42"/>
      <c r="BE1064" s="42"/>
      <c r="BF1064" s="42"/>
      <c r="BG1064" s="42"/>
      <c r="BH1064" s="42"/>
      <c r="BI1064" s="42"/>
      <c r="BJ1064" s="42"/>
      <c r="BK1064" s="42"/>
      <c r="BL1064" s="42"/>
      <c r="BM1064" s="42"/>
      <c r="BN1064" s="42"/>
      <c r="BO1064" s="42"/>
    </row>
    <row r="1065">
      <c r="A1065" s="40"/>
      <c r="B1065" s="40"/>
      <c r="C1065" s="42"/>
      <c r="D1065" s="42"/>
      <c r="E1065" s="43"/>
      <c r="F1065" s="42"/>
      <c r="G1065" s="42"/>
      <c r="H1065" s="42"/>
      <c r="I1065" s="42"/>
      <c r="J1065" s="42"/>
      <c r="K1065" s="42"/>
      <c r="L1065" s="42"/>
      <c r="M1065" s="42"/>
      <c r="N1065" s="42"/>
      <c r="O1065" s="42"/>
      <c r="P1065" s="42"/>
      <c r="Q1065" s="42"/>
      <c r="R1065" s="42"/>
      <c r="S1065" s="42"/>
      <c r="T1065" s="42"/>
      <c r="U1065" s="42"/>
      <c r="V1065" s="42"/>
      <c r="W1065" s="42"/>
      <c r="X1065" s="42"/>
      <c r="Y1065" s="42"/>
      <c r="Z1065" s="42"/>
      <c r="AA1065" s="42"/>
      <c r="AB1065" s="42"/>
      <c r="AC1065" s="42"/>
      <c r="AD1065" s="42"/>
      <c r="AE1065" s="42"/>
      <c r="AF1065" s="42"/>
      <c r="AG1065" s="42"/>
      <c r="AH1065" s="42"/>
      <c r="AI1065" s="42"/>
      <c r="AJ1065" s="42"/>
      <c r="AK1065" s="42"/>
      <c r="AL1065" s="42"/>
      <c r="AM1065" s="42"/>
      <c r="AN1065" s="42"/>
      <c r="AO1065" s="42"/>
      <c r="AP1065" s="42"/>
      <c r="AQ1065" s="42"/>
      <c r="AR1065" s="42"/>
      <c r="AS1065" s="42"/>
      <c r="AT1065" s="42"/>
      <c r="AU1065" s="42"/>
      <c r="AV1065" s="42"/>
      <c r="AW1065" s="42"/>
      <c r="AX1065" s="42"/>
      <c r="AY1065" s="42"/>
      <c r="AZ1065" s="42"/>
      <c r="BA1065" s="42"/>
      <c r="BB1065" s="42"/>
      <c r="BC1065" s="42"/>
      <c r="BD1065" s="42"/>
      <c r="BE1065" s="42"/>
      <c r="BF1065" s="42"/>
      <c r="BG1065" s="42"/>
      <c r="BH1065" s="42"/>
      <c r="BI1065" s="42"/>
      <c r="BJ1065" s="42"/>
      <c r="BK1065" s="42"/>
      <c r="BL1065" s="42"/>
      <c r="BM1065" s="42"/>
      <c r="BN1065" s="42"/>
      <c r="BO1065" s="42"/>
    </row>
    <row r="1066">
      <c r="A1066" s="40"/>
      <c r="B1066" s="40"/>
      <c r="C1066" s="42"/>
      <c r="D1066" s="42"/>
      <c r="E1066" s="43"/>
      <c r="F1066" s="42"/>
      <c r="G1066" s="42"/>
      <c r="H1066" s="42"/>
      <c r="I1066" s="42"/>
      <c r="J1066" s="42"/>
      <c r="K1066" s="42"/>
      <c r="L1066" s="42"/>
      <c r="M1066" s="42"/>
      <c r="N1066" s="42"/>
      <c r="O1066" s="42"/>
      <c r="P1066" s="42"/>
      <c r="Q1066" s="42"/>
      <c r="R1066" s="42"/>
      <c r="S1066" s="42"/>
      <c r="T1066" s="42"/>
      <c r="U1066" s="42"/>
      <c r="V1066" s="42"/>
      <c r="W1066" s="42"/>
      <c r="X1066" s="42"/>
      <c r="Y1066" s="42"/>
      <c r="Z1066" s="42"/>
      <c r="AA1066" s="42"/>
      <c r="AB1066" s="42"/>
      <c r="AC1066" s="42"/>
      <c r="AD1066" s="42"/>
      <c r="AE1066" s="42"/>
      <c r="AF1066" s="42"/>
      <c r="AG1066" s="42"/>
      <c r="AH1066" s="42"/>
      <c r="AI1066" s="42"/>
      <c r="AJ1066" s="42"/>
      <c r="AK1066" s="42"/>
      <c r="AL1066" s="42"/>
      <c r="AM1066" s="42"/>
      <c r="AN1066" s="42"/>
      <c r="AO1066" s="42"/>
      <c r="AP1066" s="42"/>
      <c r="AQ1066" s="42"/>
      <c r="AR1066" s="42"/>
      <c r="AS1066" s="42"/>
      <c r="AT1066" s="42"/>
      <c r="AU1066" s="42"/>
      <c r="AV1066" s="42"/>
      <c r="AW1066" s="42"/>
      <c r="AX1066" s="42"/>
      <c r="AY1066" s="42"/>
      <c r="AZ1066" s="42"/>
      <c r="BA1066" s="42"/>
      <c r="BB1066" s="42"/>
      <c r="BC1066" s="42"/>
      <c r="BD1066" s="42"/>
      <c r="BE1066" s="42"/>
      <c r="BF1066" s="42"/>
      <c r="BG1066" s="42"/>
      <c r="BH1066" s="42"/>
      <c r="BI1066" s="42"/>
      <c r="BJ1066" s="42"/>
      <c r="BK1066" s="42"/>
      <c r="BL1066" s="42"/>
      <c r="BM1066" s="42"/>
      <c r="BN1066" s="42"/>
      <c r="BO1066" s="42"/>
    </row>
    <row r="1067">
      <c r="A1067" s="40"/>
      <c r="B1067" s="40"/>
      <c r="C1067" s="42"/>
      <c r="D1067" s="42"/>
      <c r="E1067" s="43"/>
      <c r="F1067" s="42"/>
      <c r="G1067" s="42"/>
      <c r="H1067" s="42"/>
      <c r="I1067" s="42"/>
      <c r="J1067" s="42"/>
      <c r="K1067" s="42"/>
      <c r="L1067" s="42"/>
      <c r="M1067" s="42"/>
      <c r="N1067" s="42"/>
      <c r="O1067" s="42"/>
      <c r="P1067" s="42"/>
      <c r="Q1067" s="42"/>
      <c r="R1067" s="42"/>
      <c r="S1067" s="42"/>
      <c r="T1067" s="42"/>
      <c r="U1067" s="42"/>
      <c r="V1067" s="42"/>
      <c r="W1067" s="42"/>
      <c r="X1067" s="42"/>
      <c r="Y1067" s="42"/>
      <c r="Z1067" s="42"/>
      <c r="AA1067" s="42"/>
      <c r="AB1067" s="42"/>
      <c r="AC1067" s="42"/>
      <c r="AD1067" s="42"/>
      <c r="AE1067" s="42"/>
      <c r="AF1067" s="42"/>
      <c r="AG1067" s="42"/>
      <c r="AH1067" s="42"/>
      <c r="AI1067" s="42"/>
      <c r="AJ1067" s="42"/>
      <c r="AK1067" s="42"/>
      <c r="AL1067" s="42"/>
      <c r="AM1067" s="42"/>
      <c r="AN1067" s="42"/>
      <c r="AO1067" s="42"/>
      <c r="AP1067" s="42"/>
      <c r="AQ1067" s="42"/>
      <c r="AR1067" s="42"/>
      <c r="AS1067" s="42"/>
      <c r="AT1067" s="42"/>
      <c r="AU1067" s="42"/>
      <c r="AV1067" s="42"/>
      <c r="AW1067" s="42"/>
      <c r="AX1067" s="42"/>
      <c r="AY1067" s="42"/>
      <c r="AZ1067" s="42"/>
      <c r="BA1067" s="42"/>
      <c r="BB1067" s="42"/>
      <c r="BC1067" s="42"/>
      <c r="BD1067" s="42"/>
      <c r="BE1067" s="42"/>
      <c r="BF1067" s="42"/>
      <c r="BG1067" s="42"/>
      <c r="BH1067" s="42"/>
      <c r="BI1067" s="42"/>
      <c r="BJ1067" s="42"/>
      <c r="BK1067" s="42"/>
      <c r="BL1067" s="42"/>
      <c r="BM1067" s="42"/>
      <c r="BN1067" s="42"/>
      <c r="BO1067" s="42"/>
    </row>
    <row r="1068">
      <c r="A1068" s="40"/>
      <c r="B1068" s="40"/>
      <c r="C1068" s="42"/>
      <c r="D1068" s="42"/>
      <c r="E1068" s="43"/>
      <c r="F1068" s="42"/>
      <c r="G1068" s="42"/>
      <c r="H1068" s="42"/>
      <c r="I1068" s="42"/>
      <c r="J1068" s="42"/>
      <c r="K1068" s="42"/>
      <c r="L1068" s="42"/>
      <c r="M1068" s="42"/>
      <c r="N1068" s="42"/>
      <c r="O1068" s="42"/>
      <c r="P1068" s="42"/>
      <c r="Q1068" s="42"/>
      <c r="R1068" s="42"/>
      <c r="S1068" s="42"/>
      <c r="T1068" s="42"/>
      <c r="U1068" s="42"/>
      <c r="V1068" s="42"/>
      <c r="W1068" s="42"/>
      <c r="X1068" s="42"/>
      <c r="Y1068" s="42"/>
      <c r="Z1068" s="42"/>
      <c r="AA1068" s="42"/>
      <c r="AB1068" s="42"/>
      <c r="AC1068" s="42"/>
      <c r="AD1068" s="42"/>
      <c r="AE1068" s="42"/>
      <c r="AF1068" s="42"/>
      <c r="AG1068" s="42"/>
      <c r="AH1068" s="42"/>
      <c r="AI1068" s="42"/>
      <c r="AJ1068" s="42"/>
      <c r="AK1068" s="42"/>
      <c r="AL1068" s="42"/>
      <c r="AM1068" s="42"/>
      <c r="AN1068" s="42"/>
      <c r="AO1068" s="42"/>
      <c r="AP1068" s="42"/>
      <c r="AQ1068" s="42"/>
      <c r="AR1068" s="42"/>
      <c r="AS1068" s="42"/>
      <c r="AT1068" s="42"/>
      <c r="AU1068" s="42"/>
      <c r="AV1068" s="42"/>
      <c r="AW1068" s="42"/>
      <c r="AX1068" s="42"/>
      <c r="AY1068" s="42"/>
      <c r="AZ1068" s="42"/>
      <c r="BA1068" s="42"/>
      <c r="BB1068" s="42"/>
      <c r="BC1068" s="42"/>
      <c r="BD1068" s="42"/>
      <c r="BE1068" s="42"/>
      <c r="BF1068" s="42"/>
      <c r="BG1068" s="42"/>
      <c r="BH1068" s="42"/>
      <c r="BI1068" s="42"/>
      <c r="BJ1068" s="42"/>
      <c r="BK1068" s="42"/>
      <c r="BL1068" s="42"/>
      <c r="BM1068" s="42"/>
      <c r="BN1068" s="42"/>
      <c r="BO1068" s="42"/>
    </row>
    <row r="1069">
      <c r="A1069" s="40"/>
      <c r="B1069" s="40"/>
      <c r="C1069" s="42"/>
      <c r="D1069" s="42"/>
      <c r="E1069" s="43"/>
      <c r="F1069" s="42"/>
      <c r="G1069" s="42"/>
      <c r="H1069" s="42"/>
      <c r="I1069" s="42"/>
      <c r="J1069" s="42"/>
      <c r="K1069" s="42"/>
      <c r="L1069" s="42"/>
      <c r="M1069" s="42"/>
      <c r="N1069" s="42"/>
      <c r="O1069" s="42"/>
      <c r="P1069" s="42"/>
      <c r="Q1069" s="42"/>
      <c r="R1069" s="42"/>
      <c r="S1069" s="42"/>
      <c r="T1069" s="42"/>
      <c r="U1069" s="42"/>
      <c r="V1069" s="42"/>
      <c r="W1069" s="42"/>
      <c r="X1069" s="42"/>
      <c r="Y1069" s="42"/>
      <c r="Z1069" s="42"/>
      <c r="AA1069" s="42"/>
      <c r="AB1069" s="42"/>
      <c r="AC1069" s="42"/>
      <c r="AD1069" s="42"/>
      <c r="AE1069" s="42"/>
      <c r="AF1069" s="42"/>
      <c r="AG1069" s="42"/>
      <c r="AH1069" s="42"/>
      <c r="AI1069" s="42"/>
      <c r="AJ1069" s="42"/>
      <c r="AK1069" s="42"/>
      <c r="AL1069" s="42"/>
      <c r="AM1069" s="42"/>
      <c r="AN1069" s="42"/>
      <c r="AO1069" s="42"/>
      <c r="AP1069" s="42"/>
      <c r="AQ1069" s="42"/>
      <c r="AR1069" s="42"/>
      <c r="AS1069" s="42"/>
      <c r="AT1069" s="42"/>
      <c r="AU1069" s="42"/>
      <c r="AV1069" s="42"/>
      <c r="AW1069" s="42"/>
      <c r="AX1069" s="42"/>
      <c r="AY1069" s="42"/>
      <c r="AZ1069" s="42"/>
      <c r="BA1069" s="42"/>
      <c r="BB1069" s="42"/>
      <c r="BC1069" s="42"/>
      <c r="BD1069" s="42"/>
      <c r="BE1069" s="42"/>
      <c r="BF1069" s="42"/>
      <c r="BG1069" s="42"/>
      <c r="BH1069" s="42"/>
      <c r="BI1069" s="42"/>
      <c r="BJ1069" s="42"/>
      <c r="BK1069" s="42"/>
      <c r="BL1069" s="42"/>
      <c r="BM1069" s="42"/>
      <c r="BN1069" s="42"/>
      <c r="BO1069" s="42"/>
    </row>
    <row r="1070">
      <c r="A1070" s="40"/>
      <c r="B1070" s="40"/>
      <c r="C1070" s="42"/>
      <c r="D1070" s="42"/>
      <c r="E1070" s="43"/>
      <c r="F1070" s="42"/>
      <c r="G1070" s="42"/>
      <c r="H1070" s="42"/>
      <c r="I1070" s="42"/>
      <c r="J1070" s="42"/>
      <c r="K1070" s="42"/>
      <c r="L1070" s="42"/>
      <c r="M1070" s="42"/>
      <c r="N1070" s="42"/>
      <c r="O1070" s="42"/>
      <c r="P1070" s="42"/>
      <c r="Q1070" s="42"/>
      <c r="R1070" s="42"/>
      <c r="S1070" s="42"/>
      <c r="T1070" s="42"/>
      <c r="U1070" s="42"/>
      <c r="V1070" s="42"/>
      <c r="W1070" s="42"/>
      <c r="X1070" s="42"/>
      <c r="Y1070" s="42"/>
      <c r="Z1070" s="42"/>
      <c r="AA1070" s="42"/>
      <c r="AB1070" s="42"/>
      <c r="AC1070" s="42"/>
      <c r="AD1070" s="42"/>
      <c r="AE1070" s="42"/>
      <c r="AF1070" s="42"/>
      <c r="AG1070" s="42"/>
      <c r="AH1070" s="42"/>
      <c r="AI1070" s="42"/>
      <c r="AJ1070" s="42"/>
      <c r="AK1070" s="42"/>
      <c r="AL1070" s="42"/>
      <c r="AM1070" s="42"/>
      <c r="AN1070" s="42"/>
      <c r="AO1070" s="42"/>
      <c r="AP1070" s="42"/>
      <c r="AQ1070" s="42"/>
      <c r="AR1070" s="42"/>
      <c r="AS1070" s="42"/>
      <c r="AT1070" s="42"/>
      <c r="AU1070" s="42"/>
      <c r="AV1070" s="42"/>
      <c r="AW1070" s="42"/>
      <c r="AX1070" s="42"/>
      <c r="AY1070" s="42"/>
      <c r="AZ1070" s="42"/>
      <c r="BA1070" s="42"/>
      <c r="BB1070" s="42"/>
      <c r="BC1070" s="42"/>
      <c r="BD1070" s="42"/>
      <c r="BE1070" s="42"/>
      <c r="BF1070" s="42"/>
      <c r="BG1070" s="42"/>
      <c r="BH1070" s="42"/>
      <c r="BI1070" s="42"/>
      <c r="BJ1070" s="42"/>
      <c r="BK1070" s="42"/>
      <c r="BL1070" s="42"/>
      <c r="BM1070" s="42"/>
      <c r="BN1070" s="42"/>
      <c r="BO1070" s="42"/>
    </row>
    <row r="1071">
      <c r="A1071" s="40"/>
      <c r="B1071" s="40"/>
      <c r="C1071" s="42"/>
      <c r="D1071" s="42"/>
      <c r="E1071" s="43"/>
      <c r="F1071" s="42"/>
      <c r="G1071" s="42"/>
      <c r="H1071" s="42"/>
      <c r="I1071" s="42"/>
      <c r="J1071" s="42"/>
      <c r="K1071" s="42"/>
      <c r="L1071" s="42"/>
      <c r="M1071" s="42"/>
      <c r="N1071" s="42"/>
      <c r="O1071" s="42"/>
      <c r="P1071" s="42"/>
      <c r="Q1071" s="42"/>
      <c r="R1071" s="42"/>
      <c r="S1071" s="42"/>
      <c r="T1071" s="42"/>
      <c r="U1071" s="42"/>
      <c r="V1071" s="42"/>
      <c r="W1071" s="42"/>
      <c r="X1071" s="42"/>
      <c r="Y1071" s="42"/>
      <c r="Z1071" s="42"/>
      <c r="AA1071" s="42"/>
      <c r="AB1071" s="42"/>
      <c r="AC1071" s="42"/>
      <c r="AD1071" s="42"/>
      <c r="AE1071" s="42"/>
      <c r="AF1071" s="42"/>
      <c r="AG1071" s="42"/>
      <c r="AH1071" s="42"/>
      <c r="AI1071" s="42"/>
      <c r="AJ1071" s="42"/>
      <c r="AK1071" s="42"/>
      <c r="AL1071" s="42"/>
      <c r="AM1071" s="42"/>
      <c r="AN1071" s="42"/>
      <c r="AO1071" s="42"/>
      <c r="AP1071" s="42"/>
      <c r="AQ1071" s="42"/>
      <c r="AR1071" s="42"/>
      <c r="AS1071" s="42"/>
      <c r="AT1071" s="42"/>
      <c r="AU1071" s="42"/>
      <c r="AV1071" s="42"/>
      <c r="AW1071" s="42"/>
      <c r="AX1071" s="42"/>
      <c r="AY1071" s="42"/>
      <c r="AZ1071" s="42"/>
      <c r="BA1071" s="42"/>
      <c r="BB1071" s="42"/>
      <c r="BC1071" s="42"/>
      <c r="BD1071" s="42"/>
      <c r="BE1071" s="42"/>
      <c r="BF1071" s="42"/>
      <c r="BG1071" s="42"/>
      <c r="BH1071" s="42"/>
      <c r="BI1071" s="42"/>
      <c r="BJ1071" s="42"/>
      <c r="BK1071" s="42"/>
      <c r="BL1071" s="42"/>
      <c r="BM1071" s="42"/>
      <c r="BN1071" s="42"/>
      <c r="BO1071" s="42"/>
    </row>
    <row r="1072">
      <c r="A1072" s="40"/>
      <c r="B1072" s="40"/>
      <c r="C1072" s="42"/>
      <c r="D1072" s="42"/>
      <c r="E1072" s="43"/>
      <c r="F1072" s="42"/>
      <c r="G1072" s="42"/>
      <c r="H1072" s="42"/>
      <c r="I1072" s="42"/>
      <c r="J1072" s="42"/>
      <c r="K1072" s="42"/>
      <c r="L1072" s="42"/>
      <c r="M1072" s="42"/>
      <c r="N1072" s="42"/>
      <c r="O1072" s="42"/>
      <c r="P1072" s="42"/>
      <c r="Q1072" s="42"/>
      <c r="R1072" s="42"/>
      <c r="S1072" s="42"/>
      <c r="T1072" s="42"/>
      <c r="U1072" s="42"/>
      <c r="V1072" s="42"/>
      <c r="W1072" s="42"/>
      <c r="X1072" s="42"/>
      <c r="Y1072" s="42"/>
      <c r="Z1072" s="42"/>
      <c r="AA1072" s="42"/>
      <c r="AB1072" s="42"/>
      <c r="AC1072" s="42"/>
      <c r="AD1072" s="42"/>
      <c r="AE1072" s="42"/>
      <c r="AF1072" s="42"/>
      <c r="AG1072" s="42"/>
      <c r="AH1072" s="42"/>
      <c r="AI1072" s="42"/>
      <c r="AJ1072" s="42"/>
      <c r="AK1072" s="42"/>
      <c r="AL1072" s="42"/>
      <c r="AM1072" s="42"/>
      <c r="AN1072" s="42"/>
      <c r="AO1072" s="42"/>
      <c r="AP1072" s="42"/>
      <c r="AQ1072" s="42"/>
      <c r="AR1072" s="42"/>
      <c r="AS1072" s="42"/>
      <c r="AT1072" s="42"/>
      <c r="AU1072" s="42"/>
      <c r="AV1072" s="42"/>
      <c r="AW1072" s="42"/>
      <c r="AX1072" s="42"/>
      <c r="AY1072" s="42"/>
      <c r="AZ1072" s="42"/>
      <c r="BA1072" s="42"/>
      <c r="BB1072" s="42"/>
      <c r="BC1072" s="42"/>
      <c r="BD1072" s="42"/>
      <c r="BE1072" s="42"/>
      <c r="BF1072" s="42"/>
      <c r="BG1072" s="42"/>
      <c r="BH1072" s="42"/>
      <c r="BI1072" s="42"/>
      <c r="BJ1072" s="42"/>
      <c r="BK1072" s="42"/>
      <c r="BL1072" s="42"/>
      <c r="BM1072" s="42"/>
      <c r="BN1072" s="42"/>
      <c r="BO1072" s="42"/>
    </row>
    <row r="1073">
      <c r="A1073" s="40"/>
      <c r="B1073" s="40"/>
      <c r="C1073" s="42"/>
      <c r="D1073" s="42"/>
      <c r="E1073" s="43"/>
      <c r="F1073" s="42"/>
      <c r="G1073" s="42"/>
      <c r="H1073" s="42"/>
      <c r="I1073" s="42"/>
      <c r="J1073" s="42"/>
      <c r="K1073" s="42"/>
      <c r="L1073" s="42"/>
      <c r="M1073" s="42"/>
      <c r="N1073" s="42"/>
      <c r="O1073" s="42"/>
      <c r="P1073" s="42"/>
      <c r="Q1073" s="42"/>
      <c r="R1073" s="42"/>
      <c r="S1073" s="42"/>
      <c r="T1073" s="42"/>
      <c r="U1073" s="42"/>
      <c r="V1073" s="42"/>
      <c r="W1073" s="42"/>
      <c r="X1073" s="42"/>
      <c r="Y1073" s="42"/>
      <c r="Z1073" s="42"/>
      <c r="AA1073" s="42"/>
      <c r="AB1073" s="42"/>
      <c r="AC1073" s="42"/>
      <c r="AD1073" s="42"/>
      <c r="AE1073" s="42"/>
      <c r="AF1073" s="42"/>
      <c r="AG1073" s="42"/>
      <c r="AH1073" s="42"/>
      <c r="AI1073" s="42"/>
      <c r="AJ1073" s="42"/>
      <c r="AK1073" s="42"/>
      <c r="AL1073" s="42"/>
      <c r="AM1073" s="42"/>
      <c r="AN1073" s="42"/>
      <c r="AO1073" s="42"/>
      <c r="AP1073" s="42"/>
      <c r="AQ1073" s="42"/>
      <c r="AR1073" s="42"/>
      <c r="AS1073" s="42"/>
      <c r="AT1073" s="42"/>
      <c r="AU1073" s="42"/>
      <c r="AV1073" s="42"/>
      <c r="AW1073" s="42"/>
      <c r="AX1073" s="42"/>
      <c r="AY1073" s="42"/>
      <c r="AZ1073" s="42"/>
      <c r="BA1073" s="42"/>
      <c r="BB1073" s="42"/>
      <c r="BC1073" s="42"/>
      <c r="BD1073" s="42"/>
      <c r="BE1073" s="42"/>
      <c r="BF1073" s="42"/>
      <c r="BG1073" s="42"/>
      <c r="BH1073" s="42"/>
      <c r="BI1073" s="42"/>
      <c r="BJ1073" s="42"/>
      <c r="BK1073" s="42"/>
      <c r="BL1073" s="42"/>
      <c r="BM1073" s="42"/>
      <c r="BN1073" s="42"/>
      <c r="BO1073" s="42"/>
    </row>
    <row r="1074">
      <c r="A1074" s="40"/>
      <c r="B1074" s="40"/>
      <c r="C1074" s="42"/>
      <c r="D1074" s="42"/>
      <c r="E1074" s="43"/>
      <c r="F1074" s="42"/>
      <c r="G1074" s="42"/>
      <c r="H1074" s="42"/>
      <c r="I1074" s="42"/>
      <c r="J1074" s="42"/>
      <c r="K1074" s="42"/>
      <c r="L1074" s="42"/>
      <c r="M1074" s="42"/>
      <c r="N1074" s="42"/>
      <c r="O1074" s="42"/>
      <c r="P1074" s="42"/>
      <c r="Q1074" s="42"/>
      <c r="R1074" s="42"/>
      <c r="S1074" s="42"/>
      <c r="T1074" s="42"/>
      <c r="U1074" s="42"/>
      <c r="V1074" s="42"/>
      <c r="W1074" s="42"/>
      <c r="X1074" s="42"/>
      <c r="Y1074" s="42"/>
      <c r="Z1074" s="42"/>
      <c r="AA1074" s="42"/>
      <c r="AB1074" s="42"/>
      <c r="AC1074" s="42"/>
      <c r="AD1074" s="42"/>
      <c r="AE1074" s="42"/>
      <c r="AF1074" s="42"/>
      <c r="AG1074" s="42"/>
      <c r="AH1074" s="42"/>
      <c r="AI1074" s="42"/>
      <c r="AJ1074" s="42"/>
      <c r="AK1074" s="42"/>
      <c r="AL1074" s="42"/>
      <c r="AM1074" s="42"/>
      <c r="AN1074" s="42"/>
      <c r="AO1074" s="42"/>
      <c r="AP1074" s="42"/>
      <c r="AQ1074" s="42"/>
      <c r="AR1074" s="42"/>
      <c r="AS1074" s="42"/>
      <c r="AT1074" s="42"/>
      <c r="AU1074" s="42"/>
      <c r="AV1074" s="42"/>
      <c r="AW1074" s="42"/>
      <c r="AX1074" s="42"/>
      <c r="AY1074" s="42"/>
      <c r="AZ1074" s="42"/>
      <c r="BA1074" s="42"/>
      <c r="BB1074" s="42"/>
      <c r="BC1074" s="42"/>
      <c r="BD1074" s="42"/>
      <c r="BE1074" s="42"/>
      <c r="BF1074" s="42"/>
      <c r="BG1074" s="42"/>
      <c r="BH1074" s="42"/>
      <c r="BI1074" s="42"/>
      <c r="BJ1074" s="42"/>
      <c r="BK1074" s="42"/>
      <c r="BL1074" s="42"/>
      <c r="BM1074" s="42"/>
      <c r="BN1074" s="42"/>
      <c r="BO1074" s="42"/>
    </row>
    <row r="1075">
      <c r="A1075" s="40"/>
      <c r="B1075" s="40"/>
      <c r="C1075" s="42"/>
      <c r="D1075" s="42"/>
      <c r="E1075" s="43"/>
      <c r="F1075" s="42"/>
      <c r="G1075" s="42"/>
      <c r="H1075" s="42"/>
      <c r="I1075" s="42"/>
      <c r="J1075" s="42"/>
      <c r="K1075" s="42"/>
      <c r="L1075" s="42"/>
      <c r="M1075" s="42"/>
      <c r="N1075" s="42"/>
      <c r="O1075" s="42"/>
      <c r="P1075" s="42"/>
      <c r="Q1075" s="42"/>
      <c r="R1075" s="42"/>
      <c r="S1075" s="42"/>
      <c r="T1075" s="42"/>
      <c r="U1075" s="42"/>
      <c r="V1075" s="42"/>
      <c r="W1075" s="42"/>
      <c r="X1075" s="42"/>
      <c r="Y1075" s="42"/>
      <c r="Z1075" s="42"/>
      <c r="AA1075" s="42"/>
      <c r="AB1075" s="42"/>
      <c r="AC1075" s="42"/>
      <c r="AD1075" s="42"/>
      <c r="AE1075" s="42"/>
      <c r="AF1075" s="42"/>
      <c r="AG1075" s="42"/>
      <c r="AH1075" s="42"/>
      <c r="AI1075" s="42"/>
      <c r="AJ1075" s="42"/>
      <c r="AK1075" s="42"/>
      <c r="AL1075" s="42"/>
      <c r="AM1075" s="42"/>
      <c r="AN1075" s="42"/>
      <c r="AO1075" s="42"/>
      <c r="AP1075" s="42"/>
      <c r="AQ1075" s="42"/>
      <c r="AR1075" s="42"/>
      <c r="AS1075" s="42"/>
      <c r="AT1075" s="42"/>
      <c r="AU1075" s="42"/>
      <c r="AV1075" s="42"/>
      <c r="AW1075" s="42"/>
      <c r="AX1075" s="42"/>
      <c r="AY1075" s="42"/>
      <c r="AZ1075" s="42"/>
      <c r="BA1075" s="42"/>
      <c r="BB1075" s="42"/>
      <c r="BC1075" s="42"/>
      <c r="BD1075" s="42"/>
      <c r="BE1075" s="42"/>
      <c r="BF1075" s="42"/>
      <c r="BG1075" s="42"/>
      <c r="BH1075" s="42"/>
      <c r="BI1075" s="42"/>
      <c r="BJ1075" s="42"/>
      <c r="BK1075" s="42"/>
      <c r="BL1075" s="42"/>
      <c r="BM1075" s="42"/>
      <c r="BN1075" s="42"/>
      <c r="BO1075" s="42"/>
    </row>
    <row r="1076">
      <c r="A1076" s="40"/>
      <c r="B1076" s="40"/>
      <c r="C1076" s="42"/>
      <c r="D1076" s="42"/>
      <c r="E1076" s="43"/>
      <c r="F1076" s="42"/>
      <c r="G1076" s="42"/>
      <c r="H1076" s="42"/>
      <c r="I1076" s="42"/>
      <c r="J1076" s="42"/>
      <c r="K1076" s="42"/>
      <c r="L1076" s="42"/>
      <c r="M1076" s="42"/>
      <c r="N1076" s="42"/>
      <c r="O1076" s="42"/>
      <c r="P1076" s="42"/>
      <c r="Q1076" s="42"/>
      <c r="R1076" s="42"/>
      <c r="S1076" s="42"/>
      <c r="T1076" s="42"/>
      <c r="U1076" s="42"/>
      <c r="V1076" s="42"/>
      <c r="W1076" s="42"/>
      <c r="X1076" s="42"/>
      <c r="Y1076" s="42"/>
      <c r="Z1076" s="42"/>
      <c r="AA1076" s="42"/>
      <c r="AB1076" s="42"/>
      <c r="AC1076" s="42"/>
      <c r="AD1076" s="42"/>
      <c r="AE1076" s="42"/>
      <c r="AF1076" s="42"/>
      <c r="AG1076" s="42"/>
      <c r="AH1076" s="42"/>
      <c r="AI1076" s="42"/>
      <c r="AJ1076" s="42"/>
      <c r="AK1076" s="42"/>
      <c r="AL1076" s="42"/>
      <c r="AM1076" s="42"/>
      <c r="AN1076" s="42"/>
      <c r="AO1076" s="42"/>
      <c r="AP1076" s="42"/>
      <c r="AQ1076" s="42"/>
      <c r="AR1076" s="42"/>
      <c r="AS1076" s="42"/>
      <c r="AT1076" s="42"/>
      <c r="AU1076" s="42"/>
      <c r="AV1076" s="42"/>
      <c r="AW1076" s="42"/>
      <c r="AX1076" s="42"/>
      <c r="AY1076" s="42"/>
      <c r="AZ1076" s="42"/>
      <c r="BA1076" s="42"/>
      <c r="BB1076" s="42"/>
      <c r="BC1076" s="42"/>
      <c r="BD1076" s="42"/>
      <c r="BE1076" s="42"/>
      <c r="BF1076" s="42"/>
      <c r="BG1076" s="42"/>
      <c r="BH1076" s="42"/>
      <c r="BI1076" s="42"/>
      <c r="BJ1076" s="42"/>
      <c r="BK1076" s="42"/>
      <c r="BL1076" s="42"/>
      <c r="BM1076" s="42"/>
      <c r="BN1076" s="42"/>
      <c r="BO1076" s="42"/>
    </row>
    <row r="1077">
      <c r="A1077" s="40"/>
      <c r="B1077" s="40"/>
      <c r="C1077" s="42"/>
      <c r="D1077" s="42"/>
      <c r="E1077" s="43"/>
      <c r="F1077" s="42"/>
      <c r="G1077" s="42"/>
      <c r="H1077" s="42"/>
      <c r="I1077" s="42"/>
      <c r="J1077" s="42"/>
      <c r="K1077" s="42"/>
      <c r="L1077" s="42"/>
      <c r="M1077" s="42"/>
      <c r="N1077" s="42"/>
      <c r="O1077" s="42"/>
      <c r="P1077" s="42"/>
      <c r="Q1077" s="42"/>
      <c r="R1077" s="42"/>
      <c r="S1077" s="42"/>
      <c r="T1077" s="42"/>
      <c r="U1077" s="42"/>
      <c r="V1077" s="42"/>
      <c r="W1077" s="42"/>
      <c r="X1077" s="42"/>
      <c r="Y1077" s="42"/>
      <c r="Z1077" s="42"/>
      <c r="AA1077" s="42"/>
      <c r="AB1077" s="42"/>
      <c r="AC1077" s="42"/>
      <c r="AD1077" s="42"/>
      <c r="AE1077" s="42"/>
      <c r="AF1077" s="42"/>
      <c r="AG1077" s="42"/>
      <c r="AH1077" s="42"/>
      <c r="AI1077" s="42"/>
      <c r="AJ1077" s="42"/>
      <c r="AK1077" s="42"/>
      <c r="AL1077" s="42"/>
      <c r="AM1077" s="42"/>
      <c r="AN1077" s="42"/>
      <c r="AO1077" s="42"/>
      <c r="AP1077" s="42"/>
      <c r="AQ1077" s="42"/>
      <c r="AR1077" s="42"/>
      <c r="AS1077" s="42"/>
      <c r="AT1077" s="42"/>
      <c r="AU1077" s="42"/>
      <c r="AV1077" s="42"/>
      <c r="AW1077" s="42"/>
      <c r="AX1077" s="42"/>
      <c r="AY1077" s="42"/>
      <c r="AZ1077" s="42"/>
      <c r="BA1077" s="42"/>
      <c r="BB1077" s="42"/>
      <c r="BC1077" s="42"/>
      <c r="BD1077" s="42"/>
      <c r="BE1077" s="42"/>
      <c r="BF1077" s="42"/>
      <c r="BG1077" s="42"/>
      <c r="BH1077" s="42"/>
      <c r="BI1077" s="42"/>
      <c r="BJ1077" s="42"/>
      <c r="BK1077" s="42"/>
      <c r="BL1077" s="42"/>
      <c r="BM1077" s="42"/>
      <c r="BN1077" s="42"/>
      <c r="BO1077" s="42"/>
    </row>
    <row r="1078">
      <c r="A1078" s="40"/>
      <c r="B1078" s="40"/>
      <c r="C1078" s="42"/>
      <c r="D1078" s="42"/>
      <c r="E1078" s="43"/>
      <c r="F1078" s="42"/>
      <c r="G1078" s="42"/>
      <c r="H1078" s="42"/>
      <c r="I1078" s="42"/>
      <c r="J1078" s="42"/>
      <c r="K1078" s="42"/>
      <c r="L1078" s="42"/>
      <c r="M1078" s="42"/>
      <c r="N1078" s="42"/>
      <c r="O1078" s="42"/>
      <c r="P1078" s="42"/>
      <c r="Q1078" s="42"/>
      <c r="R1078" s="42"/>
      <c r="S1078" s="42"/>
      <c r="T1078" s="42"/>
      <c r="U1078" s="42"/>
      <c r="V1078" s="42"/>
      <c r="W1078" s="42"/>
      <c r="X1078" s="42"/>
      <c r="Y1078" s="42"/>
      <c r="Z1078" s="42"/>
      <c r="AA1078" s="42"/>
      <c r="AB1078" s="42"/>
      <c r="AC1078" s="42"/>
      <c r="AD1078" s="42"/>
      <c r="AE1078" s="42"/>
      <c r="AF1078" s="42"/>
      <c r="AG1078" s="42"/>
      <c r="AH1078" s="42"/>
      <c r="AI1078" s="42"/>
      <c r="AJ1078" s="42"/>
      <c r="AK1078" s="42"/>
      <c r="AL1078" s="42"/>
      <c r="AM1078" s="42"/>
      <c r="AN1078" s="42"/>
      <c r="AO1078" s="42"/>
      <c r="AP1078" s="42"/>
      <c r="AQ1078" s="42"/>
      <c r="AR1078" s="42"/>
      <c r="AS1078" s="42"/>
      <c r="AT1078" s="42"/>
      <c r="AU1078" s="42"/>
      <c r="AV1078" s="42"/>
      <c r="AW1078" s="42"/>
      <c r="AX1078" s="42"/>
      <c r="AY1078" s="42"/>
      <c r="AZ1078" s="42"/>
      <c r="BA1078" s="42"/>
      <c r="BB1078" s="42"/>
      <c r="BC1078" s="42"/>
      <c r="BD1078" s="42"/>
      <c r="BE1078" s="42"/>
      <c r="BF1078" s="42"/>
      <c r="BG1078" s="42"/>
      <c r="BH1078" s="42"/>
      <c r="BI1078" s="42"/>
      <c r="BJ1078" s="42"/>
      <c r="BK1078" s="42"/>
      <c r="BL1078" s="42"/>
      <c r="BM1078" s="42"/>
      <c r="BN1078" s="42"/>
      <c r="BO1078" s="42"/>
    </row>
    <row r="1079">
      <c r="A1079" s="40"/>
      <c r="B1079" s="40"/>
      <c r="C1079" s="42"/>
      <c r="D1079" s="42"/>
      <c r="E1079" s="43"/>
      <c r="F1079" s="42"/>
      <c r="G1079" s="42"/>
      <c r="H1079" s="42"/>
      <c r="I1079" s="42"/>
      <c r="J1079" s="42"/>
      <c r="K1079" s="42"/>
      <c r="L1079" s="42"/>
      <c r="M1079" s="42"/>
      <c r="N1079" s="42"/>
      <c r="O1079" s="42"/>
      <c r="P1079" s="42"/>
      <c r="Q1079" s="42"/>
      <c r="R1079" s="42"/>
      <c r="S1079" s="42"/>
      <c r="T1079" s="42"/>
      <c r="U1079" s="42"/>
      <c r="V1079" s="42"/>
      <c r="W1079" s="42"/>
      <c r="X1079" s="42"/>
      <c r="Y1079" s="42"/>
      <c r="Z1079" s="42"/>
      <c r="AA1079" s="42"/>
      <c r="AB1079" s="42"/>
      <c r="AC1079" s="42"/>
      <c r="AD1079" s="42"/>
      <c r="AE1079" s="42"/>
      <c r="AF1079" s="42"/>
      <c r="AG1079" s="42"/>
      <c r="AH1079" s="42"/>
      <c r="AI1079" s="42"/>
      <c r="AJ1079" s="42"/>
      <c r="AK1079" s="42"/>
      <c r="AL1079" s="42"/>
      <c r="AM1079" s="42"/>
      <c r="AN1079" s="42"/>
      <c r="AO1079" s="42"/>
      <c r="AP1079" s="42"/>
      <c r="AQ1079" s="42"/>
      <c r="AR1079" s="42"/>
      <c r="AS1079" s="42"/>
      <c r="AT1079" s="42"/>
      <c r="AU1079" s="42"/>
      <c r="AV1079" s="42"/>
      <c r="AW1079" s="42"/>
      <c r="AX1079" s="42"/>
      <c r="AY1079" s="42"/>
      <c r="AZ1079" s="42"/>
      <c r="BA1079" s="42"/>
      <c r="BB1079" s="42"/>
      <c r="BC1079" s="42"/>
      <c r="BD1079" s="42"/>
      <c r="BE1079" s="42"/>
      <c r="BF1079" s="42"/>
      <c r="BG1079" s="42"/>
      <c r="BH1079" s="42"/>
      <c r="BI1079" s="42"/>
      <c r="BJ1079" s="42"/>
      <c r="BK1079" s="42"/>
      <c r="BL1079" s="42"/>
      <c r="BM1079" s="42"/>
      <c r="BN1079" s="42"/>
      <c r="BO1079" s="42"/>
    </row>
    <row r="1080">
      <c r="A1080" s="40"/>
      <c r="B1080" s="40"/>
      <c r="C1080" s="42"/>
      <c r="D1080" s="42"/>
      <c r="E1080" s="43"/>
      <c r="F1080" s="42"/>
      <c r="G1080" s="42"/>
      <c r="H1080" s="42"/>
      <c r="I1080" s="42"/>
      <c r="J1080" s="42"/>
      <c r="K1080" s="42"/>
      <c r="L1080" s="42"/>
      <c r="M1080" s="42"/>
      <c r="N1080" s="42"/>
      <c r="O1080" s="42"/>
      <c r="P1080" s="42"/>
      <c r="Q1080" s="42"/>
      <c r="R1080" s="42"/>
      <c r="S1080" s="42"/>
      <c r="T1080" s="42"/>
      <c r="U1080" s="42"/>
      <c r="V1080" s="42"/>
      <c r="W1080" s="42"/>
      <c r="X1080" s="42"/>
      <c r="Y1080" s="42"/>
      <c r="Z1080" s="42"/>
      <c r="AA1080" s="42"/>
      <c r="AB1080" s="42"/>
      <c r="AC1080" s="42"/>
      <c r="AD1080" s="42"/>
      <c r="AE1080" s="42"/>
      <c r="AF1080" s="42"/>
      <c r="AG1080" s="42"/>
      <c r="AH1080" s="42"/>
      <c r="AI1080" s="42"/>
      <c r="AJ1080" s="42"/>
      <c r="AK1080" s="42"/>
      <c r="AL1080" s="42"/>
      <c r="AM1080" s="42"/>
      <c r="AN1080" s="42"/>
      <c r="AO1080" s="42"/>
      <c r="AP1080" s="42"/>
      <c r="AQ1080" s="42"/>
      <c r="AR1080" s="42"/>
      <c r="AS1080" s="42"/>
      <c r="AT1080" s="42"/>
      <c r="AU1080" s="42"/>
      <c r="AV1080" s="42"/>
      <c r="AW1080" s="42"/>
      <c r="AX1080" s="42"/>
      <c r="AY1080" s="42"/>
      <c r="AZ1080" s="42"/>
      <c r="BA1080" s="42"/>
      <c r="BB1080" s="42"/>
      <c r="BC1080" s="42"/>
      <c r="BD1080" s="42"/>
      <c r="BE1080" s="42"/>
      <c r="BF1080" s="42"/>
      <c r="BG1080" s="42"/>
      <c r="BH1080" s="42"/>
      <c r="BI1080" s="42"/>
      <c r="BJ1080" s="42"/>
      <c r="BK1080" s="42"/>
      <c r="BL1080" s="42"/>
      <c r="BM1080" s="42"/>
      <c r="BN1080" s="42"/>
      <c r="BO1080" s="42"/>
    </row>
    <row r="1081">
      <c r="A1081" s="40"/>
      <c r="B1081" s="40"/>
      <c r="C1081" s="42"/>
      <c r="D1081" s="42"/>
      <c r="E1081" s="43"/>
      <c r="F1081" s="42"/>
      <c r="G1081" s="42"/>
      <c r="H1081" s="42"/>
      <c r="I1081" s="42"/>
      <c r="J1081" s="42"/>
      <c r="K1081" s="42"/>
      <c r="L1081" s="42"/>
      <c r="M1081" s="42"/>
      <c r="N1081" s="42"/>
      <c r="O1081" s="42"/>
      <c r="P1081" s="42"/>
      <c r="Q1081" s="42"/>
      <c r="R1081" s="42"/>
      <c r="S1081" s="42"/>
      <c r="T1081" s="42"/>
      <c r="U1081" s="42"/>
      <c r="V1081" s="42"/>
      <c r="W1081" s="42"/>
      <c r="X1081" s="42"/>
      <c r="Y1081" s="42"/>
      <c r="Z1081" s="42"/>
      <c r="AA1081" s="42"/>
      <c r="AB1081" s="42"/>
      <c r="AC1081" s="42"/>
      <c r="AD1081" s="42"/>
      <c r="AE1081" s="42"/>
      <c r="AF1081" s="42"/>
      <c r="AG1081" s="42"/>
      <c r="AH1081" s="42"/>
      <c r="AI1081" s="42"/>
      <c r="AJ1081" s="42"/>
      <c r="AK1081" s="42"/>
      <c r="AL1081" s="42"/>
      <c r="AM1081" s="42"/>
      <c r="AN1081" s="42"/>
      <c r="AO1081" s="42"/>
      <c r="AP1081" s="42"/>
      <c r="AQ1081" s="42"/>
      <c r="AR1081" s="42"/>
      <c r="AS1081" s="42"/>
      <c r="AT1081" s="42"/>
      <c r="AU1081" s="42"/>
      <c r="AV1081" s="42"/>
      <c r="AW1081" s="42"/>
      <c r="AX1081" s="42"/>
      <c r="AY1081" s="42"/>
      <c r="AZ1081" s="42"/>
      <c r="BA1081" s="42"/>
      <c r="BB1081" s="42"/>
      <c r="BC1081" s="42"/>
      <c r="BD1081" s="42"/>
      <c r="BE1081" s="42"/>
      <c r="BF1081" s="42"/>
      <c r="BG1081" s="42"/>
      <c r="BH1081" s="42"/>
      <c r="BI1081" s="42"/>
      <c r="BJ1081" s="42"/>
      <c r="BK1081" s="42"/>
      <c r="BL1081" s="42"/>
      <c r="BM1081" s="42"/>
      <c r="BN1081" s="42"/>
      <c r="BO1081" s="42"/>
    </row>
    <row r="1082">
      <c r="A1082" s="40"/>
      <c r="B1082" s="40"/>
      <c r="C1082" s="42"/>
      <c r="D1082" s="42"/>
      <c r="E1082" s="43"/>
      <c r="F1082" s="42"/>
      <c r="G1082" s="42"/>
      <c r="H1082" s="42"/>
      <c r="I1082" s="42"/>
      <c r="J1082" s="42"/>
      <c r="K1082" s="42"/>
      <c r="L1082" s="42"/>
      <c r="M1082" s="42"/>
      <c r="N1082" s="42"/>
      <c r="O1082" s="42"/>
      <c r="P1082" s="42"/>
      <c r="Q1082" s="42"/>
      <c r="R1082" s="42"/>
      <c r="S1082" s="42"/>
      <c r="T1082" s="42"/>
      <c r="U1082" s="42"/>
      <c r="V1082" s="42"/>
      <c r="W1082" s="42"/>
      <c r="X1082" s="42"/>
      <c r="Y1082" s="42"/>
      <c r="Z1082" s="42"/>
      <c r="AA1082" s="42"/>
      <c r="AB1082" s="42"/>
      <c r="AC1082" s="42"/>
      <c r="AD1082" s="42"/>
      <c r="AE1082" s="42"/>
      <c r="AF1082" s="42"/>
      <c r="AG1082" s="42"/>
      <c r="AH1082" s="42"/>
      <c r="AI1082" s="42"/>
      <c r="AJ1082" s="42"/>
      <c r="AK1082" s="42"/>
      <c r="AL1082" s="42"/>
      <c r="AM1082" s="42"/>
      <c r="AN1082" s="42"/>
      <c r="AO1082" s="42"/>
      <c r="AP1082" s="42"/>
      <c r="AQ1082" s="42"/>
      <c r="AR1082" s="42"/>
      <c r="AS1082" s="42"/>
      <c r="AT1082" s="42"/>
      <c r="AU1082" s="42"/>
      <c r="AV1082" s="42"/>
      <c r="AW1082" s="42"/>
      <c r="AX1082" s="42"/>
      <c r="AY1082" s="42"/>
      <c r="AZ1082" s="42"/>
      <c r="BA1082" s="42"/>
      <c r="BB1082" s="42"/>
      <c r="BC1082" s="42"/>
      <c r="BD1082" s="42"/>
      <c r="BE1082" s="42"/>
      <c r="BF1082" s="42"/>
      <c r="BG1082" s="42"/>
      <c r="BH1082" s="42"/>
      <c r="BI1082" s="42"/>
      <c r="BJ1082" s="42"/>
      <c r="BK1082" s="42"/>
      <c r="BL1082" s="42"/>
      <c r="BM1082" s="42"/>
      <c r="BN1082" s="42"/>
      <c r="BO1082" s="42"/>
    </row>
    <row r="1083">
      <c r="A1083" s="40"/>
      <c r="B1083" s="40"/>
      <c r="C1083" s="42"/>
      <c r="D1083" s="42"/>
      <c r="E1083" s="43"/>
      <c r="F1083" s="42"/>
      <c r="G1083" s="42"/>
      <c r="H1083" s="42"/>
      <c r="I1083" s="42"/>
      <c r="J1083" s="42"/>
      <c r="K1083" s="42"/>
      <c r="L1083" s="42"/>
      <c r="M1083" s="42"/>
      <c r="N1083" s="42"/>
      <c r="O1083" s="42"/>
      <c r="P1083" s="42"/>
      <c r="Q1083" s="42"/>
      <c r="R1083" s="42"/>
      <c r="S1083" s="42"/>
      <c r="T1083" s="42"/>
      <c r="U1083" s="42"/>
      <c r="V1083" s="42"/>
      <c r="W1083" s="42"/>
      <c r="X1083" s="42"/>
      <c r="Y1083" s="42"/>
      <c r="Z1083" s="42"/>
      <c r="AA1083" s="42"/>
      <c r="AB1083" s="42"/>
      <c r="AC1083" s="42"/>
      <c r="AD1083" s="42"/>
      <c r="AE1083" s="42"/>
      <c r="AF1083" s="42"/>
      <c r="AG1083" s="42"/>
      <c r="AH1083" s="42"/>
      <c r="AI1083" s="42"/>
      <c r="AJ1083" s="42"/>
      <c r="AK1083" s="42"/>
      <c r="AL1083" s="42"/>
      <c r="AM1083" s="42"/>
      <c r="AN1083" s="42"/>
      <c r="AO1083" s="42"/>
      <c r="AP1083" s="42"/>
      <c r="AQ1083" s="42"/>
      <c r="AR1083" s="42"/>
      <c r="AS1083" s="42"/>
      <c r="AT1083" s="42"/>
      <c r="AU1083" s="42"/>
      <c r="AV1083" s="42"/>
      <c r="AW1083" s="42"/>
      <c r="AX1083" s="42"/>
      <c r="AY1083" s="42"/>
      <c r="AZ1083" s="42"/>
      <c r="BA1083" s="42"/>
      <c r="BB1083" s="42"/>
      <c r="BC1083" s="42"/>
      <c r="BD1083" s="42"/>
      <c r="BE1083" s="42"/>
      <c r="BF1083" s="42"/>
      <c r="BG1083" s="42"/>
      <c r="BH1083" s="42"/>
      <c r="BI1083" s="42"/>
      <c r="BJ1083" s="42"/>
      <c r="BK1083" s="42"/>
      <c r="BL1083" s="42"/>
      <c r="BM1083" s="42"/>
      <c r="BN1083" s="42"/>
      <c r="BO1083" s="42"/>
    </row>
    <row r="1084">
      <c r="A1084" s="40"/>
      <c r="B1084" s="40"/>
      <c r="C1084" s="42"/>
      <c r="D1084" s="42"/>
      <c r="E1084" s="43"/>
      <c r="F1084" s="42"/>
      <c r="G1084" s="42"/>
      <c r="H1084" s="42"/>
      <c r="I1084" s="42"/>
      <c r="J1084" s="42"/>
      <c r="K1084" s="42"/>
      <c r="L1084" s="42"/>
      <c r="M1084" s="42"/>
      <c r="N1084" s="42"/>
      <c r="O1084" s="42"/>
      <c r="P1084" s="42"/>
      <c r="Q1084" s="42"/>
      <c r="R1084" s="42"/>
      <c r="S1084" s="42"/>
      <c r="T1084" s="42"/>
      <c r="U1084" s="42"/>
      <c r="V1084" s="42"/>
      <c r="W1084" s="42"/>
      <c r="X1084" s="42"/>
      <c r="Y1084" s="42"/>
      <c r="Z1084" s="42"/>
      <c r="AA1084" s="42"/>
      <c r="AB1084" s="42"/>
      <c r="AC1084" s="42"/>
      <c r="AD1084" s="42"/>
      <c r="AE1084" s="42"/>
      <c r="AF1084" s="42"/>
      <c r="AG1084" s="42"/>
      <c r="AH1084" s="42"/>
      <c r="AI1084" s="42"/>
      <c r="AJ1084" s="42"/>
      <c r="AK1084" s="42"/>
      <c r="AL1084" s="42"/>
      <c r="AM1084" s="42"/>
      <c r="AN1084" s="42"/>
      <c r="AO1084" s="42"/>
      <c r="AP1084" s="42"/>
      <c r="AQ1084" s="42"/>
      <c r="AR1084" s="42"/>
      <c r="AS1084" s="42"/>
      <c r="AT1084" s="42"/>
      <c r="AU1084" s="42"/>
      <c r="AV1084" s="42"/>
      <c r="AW1084" s="42"/>
      <c r="AX1084" s="42"/>
      <c r="AY1084" s="42"/>
      <c r="AZ1084" s="42"/>
      <c r="BA1084" s="42"/>
      <c r="BB1084" s="42"/>
      <c r="BC1084" s="42"/>
      <c r="BD1084" s="42"/>
      <c r="BE1084" s="42"/>
      <c r="BF1084" s="42"/>
      <c r="BG1084" s="42"/>
      <c r="BH1084" s="42"/>
      <c r="BI1084" s="42"/>
      <c r="BJ1084" s="42"/>
      <c r="BK1084" s="42"/>
      <c r="BL1084" s="42"/>
      <c r="BM1084" s="42"/>
      <c r="BN1084" s="42"/>
      <c r="BO1084" s="42"/>
    </row>
    <row r="1085">
      <c r="A1085" s="40"/>
      <c r="B1085" s="40"/>
      <c r="C1085" s="42"/>
      <c r="D1085" s="42"/>
      <c r="E1085" s="43"/>
      <c r="F1085" s="42"/>
      <c r="G1085" s="42"/>
      <c r="H1085" s="42"/>
      <c r="I1085" s="42"/>
      <c r="J1085" s="42"/>
      <c r="K1085" s="42"/>
      <c r="L1085" s="42"/>
      <c r="M1085" s="42"/>
      <c r="N1085" s="42"/>
      <c r="O1085" s="42"/>
      <c r="P1085" s="42"/>
      <c r="Q1085" s="42"/>
      <c r="R1085" s="42"/>
      <c r="S1085" s="42"/>
      <c r="T1085" s="42"/>
      <c r="U1085" s="42"/>
      <c r="V1085" s="42"/>
      <c r="W1085" s="42"/>
      <c r="X1085" s="42"/>
      <c r="Y1085" s="42"/>
      <c r="Z1085" s="42"/>
      <c r="AA1085" s="42"/>
      <c r="AB1085" s="42"/>
      <c r="AC1085" s="42"/>
      <c r="AD1085" s="42"/>
      <c r="AE1085" s="42"/>
      <c r="AF1085" s="42"/>
      <c r="AG1085" s="42"/>
      <c r="AH1085" s="42"/>
      <c r="AI1085" s="42"/>
      <c r="AJ1085" s="42"/>
      <c r="AK1085" s="42"/>
      <c r="AL1085" s="42"/>
      <c r="AM1085" s="42"/>
      <c r="AN1085" s="42"/>
      <c r="AO1085" s="42"/>
      <c r="AP1085" s="42"/>
      <c r="AQ1085" s="42"/>
      <c r="AR1085" s="42"/>
      <c r="AS1085" s="42"/>
      <c r="AT1085" s="42"/>
      <c r="AU1085" s="42"/>
      <c r="AV1085" s="42"/>
      <c r="AW1085" s="42"/>
      <c r="AX1085" s="42"/>
      <c r="AY1085" s="42"/>
      <c r="AZ1085" s="42"/>
      <c r="BA1085" s="42"/>
      <c r="BB1085" s="42"/>
      <c r="BC1085" s="42"/>
      <c r="BD1085" s="42"/>
      <c r="BE1085" s="42"/>
      <c r="BF1085" s="42"/>
      <c r="BG1085" s="42"/>
      <c r="BH1085" s="42"/>
      <c r="BI1085" s="42"/>
      <c r="BJ1085" s="42"/>
      <c r="BK1085" s="42"/>
      <c r="BL1085" s="42"/>
      <c r="BM1085" s="42"/>
      <c r="BN1085" s="42"/>
      <c r="BO1085" s="42"/>
    </row>
    <row r="1086">
      <c r="A1086" s="40"/>
      <c r="B1086" s="40"/>
      <c r="C1086" s="42"/>
      <c r="D1086" s="42"/>
      <c r="E1086" s="43"/>
      <c r="F1086" s="42"/>
      <c r="G1086" s="42"/>
      <c r="H1086" s="42"/>
      <c r="I1086" s="42"/>
      <c r="J1086" s="42"/>
      <c r="K1086" s="42"/>
      <c r="L1086" s="42"/>
      <c r="M1086" s="42"/>
      <c r="N1086" s="42"/>
      <c r="O1086" s="42"/>
      <c r="P1086" s="42"/>
      <c r="Q1086" s="42"/>
      <c r="R1086" s="42"/>
      <c r="S1086" s="42"/>
      <c r="T1086" s="42"/>
      <c r="U1086" s="42"/>
      <c r="V1086" s="42"/>
      <c r="W1086" s="42"/>
      <c r="X1086" s="42"/>
      <c r="Y1086" s="42"/>
      <c r="Z1086" s="42"/>
      <c r="AA1086" s="42"/>
      <c r="AB1086" s="42"/>
      <c r="AC1086" s="42"/>
      <c r="AD1086" s="42"/>
      <c r="AE1086" s="42"/>
      <c r="AF1086" s="42"/>
      <c r="AG1086" s="42"/>
      <c r="AH1086" s="42"/>
      <c r="AI1086" s="42"/>
      <c r="AJ1086" s="42"/>
      <c r="AK1086" s="42"/>
      <c r="AL1086" s="42"/>
      <c r="AM1086" s="42"/>
      <c r="AN1086" s="42"/>
      <c r="AO1086" s="42"/>
      <c r="AP1086" s="42"/>
      <c r="AQ1086" s="42"/>
      <c r="AR1086" s="42"/>
      <c r="AS1086" s="42"/>
      <c r="AT1086" s="42"/>
      <c r="AU1086" s="42"/>
      <c r="AV1086" s="42"/>
      <c r="AW1086" s="42"/>
      <c r="AX1086" s="42"/>
      <c r="AY1086" s="42"/>
      <c r="AZ1086" s="42"/>
      <c r="BA1086" s="42"/>
      <c r="BB1086" s="42"/>
      <c r="BC1086" s="42"/>
      <c r="BD1086" s="42"/>
      <c r="BE1086" s="42"/>
      <c r="BF1086" s="42"/>
      <c r="BG1086" s="42"/>
      <c r="BH1086" s="42"/>
      <c r="BI1086" s="42"/>
      <c r="BJ1086" s="42"/>
      <c r="BK1086" s="42"/>
      <c r="BL1086" s="42"/>
      <c r="BM1086" s="42"/>
      <c r="BN1086" s="42"/>
      <c r="BO1086" s="42"/>
    </row>
    <row r="1087">
      <c r="A1087" s="40"/>
      <c r="B1087" s="40"/>
      <c r="C1087" s="42"/>
      <c r="D1087" s="42"/>
      <c r="E1087" s="43"/>
      <c r="F1087" s="42"/>
      <c r="G1087" s="42"/>
      <c r="H1087" s="42"/>
      <c r="I1087" s="42"/>
      <c r="J1087" s="42"/>
      <c r="K1087" s="42"/>
      <c r="L1087" s="42"/>
      <c r="M1087" s="42"/>
      <c r="N1087" s="42"/>
      <c r="O1087" s="42"/>
      <c r="P1087" s="42"/>
      <c r="Q1087" s="42"/>
      <c r="R1087" s="42"/>
      <c r="S1087" s="42"/>
      <c r="T1087" s="42"/>
      <c r="U1087" s="42"/>
      <c r="V1087" s="42"/>
      <c r="W1087" s="42"/>
      <c r="X1087" s="42"/>
      <c r="Y1087" s="42"/>
      <c r="Z1087" s="42"/>
      <c r="AA1087" s="42"/>
      <c r="AB1087" s="42"/>
      <c r="AC1087" s="42"/>
      <c r="AD1087" s="42"/>
      <c r="AE1087" s="42"/>
      <c r="AF1087" s="42"/>
      <c r="AG1087" s="42"/>
      <c r="AH1087" s="42"/>
      <c r="AI1087" s="42"/>
      <c r="AJ1087" s="42"/>
      <c r="AK1087" s="42"/>
      <c r="AL1087" s="42"/>
      <c r="AM1087" s="42"/>
      <c r="AN1087" s="42"/>
      <c r="AO1087" s="42"/>
      <c r="AP1087" s="42"/>
      <c r="AQ1087" s="42"/>
      <c r="AR1087" s="42"/>
      <c r="AS1087" s="42"/>
      <c r="AT1087" s="42"/>
      <c r="AU1087" s="42"/>
      <c r="AV1087" s="42"/>
      <c r="AW1087" s="42"/>
      <c r="AX1087" s="42"/>
      <c r="AY1087" s="42"/>
      <c r="AZ1087" s="42"/>
      <c r="BA1087" s="42"/>
      <c r="BB1087" s="42"/>
      <c r="BC1087" s="42"/>
      <c r="BD1087" s="42"/>
      <c r="BE1087" s="42"/>
      <c r="BF1087" s="42"/>
      <c r="BG1087" s="42"/>
      <c r="BH1087" s="42"/>
      <c r="BI1087" s="42"/>
      <c r="BJ1087" s="42"/>
      <c r="BK1087" s="42"/>
      <c r="BL1087" s="42"/>
      <c r="BM1087" s="42"/>
      <c r="BN1087" s="42"/>
      <c r="BO1087" s="42"/>
    </row>
    <row r="1088">
      <c r="A1088" s="40"/>
      <c r="B1088" s="40"/>
      <c r="C1088" s="42"/>
      <c r="D1088" s="42"/>
      <c r="E1088" s="43"/>
      <c r="F1088" s="42"/>
      <c r="G1088" s="42"/>
      <c r="H1088" s="42"/>
      <c r="I1088" s="42"/>
      <c r="J1088" s="42"/>
      <c r="K1088" s="42"/>
      <c r="L1088" s="42"/>
      <c r="M1088" s="42"/>
      <c r="N1088" s="42"/>
      <c r="O1088" s="42"/>
      <c r="P1088" s="42"/>
      <c r="Q1088" s="42"/>
      <c r="R1088" s="42"/>
      <c r="S1088" s="42"/>
      <c r="T1088" s="42"/>
      <c r="U1088" s="42"/>
      <c r="V1088" s="42"/>
      <c r="W1088" s="42"/>
      <c r="X1088" s="42"/>
      <c r="Y1088" s="42"/>
      <c r="Z1088" s="42"/>
      <c r="AA1088" s="42"/>
      <c r="AB1088" s="42"/>
      <c r="AC1088" s="42"/>
      <c r="AD1088" s="42"/>
      <c r="AE1088" s="42"/>
      <c r="AF1088" s="42"/>
      <c r="AG1088" s="42"/>
      <c r="AH1088" s="42"/>
      <c r="AI1088" s="42"/>
      <c r="AJ1088" s="42"/>
      <c r="AK1088" s="42"/>
      <c r="AL1088" s="42"/>
      <c r="AM1088" s="42"/>
      <c r="AN1088" s="42"/>
      <c r="AO1088" s="42"/>
      <c r="AP1088" s="42"/>
      <c r="AQ1088" s="42"/>
      <c r="AR1088" s="42"/>
      <c r="AS1088" s="42"/>
      <c r="AT1088" s="42"/>
      <c r="AU1088" s="42"/>
      <c r="AV1088" s="42"/>
      <c r="AW1088" s="42"/>
      <c r="AX1088" s="42"/>
      <c r="AY1088" s="42"/>
      <c r="AZ1088" s="42"/>
      <c r="BA1088" s="42"/>
      <c r="BB1088" s="42"/>
      <c r="BC1088" s="42"/>
      <c r="BD1088" s="42"/>
      <c r="BE1088" s="42"/>
      <c r="BF1088" s="42"/>
      <c r="BG1088" s="42"/>
      <c r="BH1088" s="42"/>
      <c r="BI1088" s="42"/>
      <c r="BJ1088" s="42"/>
      <c r="BK1088" s="42"/>
      <c r="BL1088" s="42"/>
      <c r="BM1088" s="42"/>
      <c r="BN1088" s="42"/>
      <c r="BO1088" s="42"/>
    </row>
    <row r="1089">
      <c r="A1089" s="40"/>
      <c r="B1089" s="40"/>
      <c r="C1089" s="42"/>
      <c r="D1089" s="42"/>
      <c r="E1089" s="43"/>
      <c r="F1089" s="42"/>
      <c r="G1089" s="42"/>
      <c r="H1089" s="42"/>
      <c r="I1089" s="42"/>
      <c r="J1089" s="42"/>
      <c r="K1089" s="42"/>
      <c r="L1089" s="42"/>
      <c r="M1089" s="42"/>
      <c r="N1089" s="42"/>
      <c r="O1089" s="42"/>
      <c r="P1089" s="42"/>
      <c r="Q1089" s="42"/>
      <c r="R1089" s="42"/>
      <c r="S1089" s="42"/>
      <c r="T1089" s="42"/>
      <c r="U1089" s="42"/>
      <c r="V1089" s="42"/>
      <c r="W1089" s="42"/>
      <c r="X1089" s="42"/>
      <c r="Y1089" s="42"/>
      <c r="Z1089" s="42"/>
      <c r="AA1089" s="42"/>
      <c r="AB1089" s="42"/>
      <c r="AC1089" s="42"/>
      <c r="AD1089" s="42"/>
      <c r="AE1089" s="42"/>
      <c r="AF1089" s="42"/>
      <c r="AG1089" s="42"/>
      <c r="AH1089" s="42"/>
      <c r="AI1089" s="42"/>
      <c r="AJ1089" s="42"/>
      <c r="AK1089" s="42"/>
      <c r="AL1089" s="42"/>
      <c r="AM1089" s="42"/>
      <c r="AN1089" s="42"/>
      <c r="AO1089" s="42"/>
      <c r="AP1089" s="42"/>
      <c r="AQ1089" s="42"/>
      <c r="AR1089" s="42"/>
      <c r="AS1089" s="42"/>
      <c r="AT1089" s="42"/>
      <c r="AU1089" s="42"/>
      <c r="AV1089" s="42"/>
      <c r="AW1089" s="42"/>
      <c r="AX1089" s="42"/>
      <c r="AY1089" s="42"/>
      <c r="AZ1089" s="42"/>
      <c r="BA1089" s="42"/>
      <c r="BB1089" s="42"/>
      <c r="BC1089" s="42"/>
      <c r="BD1089" s="42"/>
      <c r="BE1089" s="42"/>
      <c r="BF1089" s="42"/>
      <c r="BG1089" s="42"/>
      <c r="BH1089" s="42"/>
      <c r="BI1089" s="42"/>
      <c r="BJ1089" s="42"/>
      <c r="BK1089" s="42"/>
      <c r="BL1089" s="42"/>
      <c r="BM1089" s="42"/>
      <c r="BN1089" s="42"/>
      <c r="BO1089" s="42"/>
    </row>
    <row r="1090">
      <c r="A1090" s="40"/>
      <c r="B1090" s="40"/>
      <c r="C1090" s="42"/>
      <c r="D1090" s="42"/>
      <c r="E1090" s="43"/>
      <c r="F1090" s="42"/>
      <c r="G1090" s="42"/>
      <c r="H1090" s="42"/>
      <c r="I1090" s="42"/>
      <c r="J1090" s="42"/>
      <c r="K1090" s="42"/>
      <c r="L1090" s="42"/>
      <c r="M1090" s="42"/>
      <c r="N1090" s="42"/>
      <c r="O1090" s="42"/>
      <c r="P1090" s="42"/>
      <c r="Q1090" s="42"/>
      <c r="R1090" s="42"/>
      <c r="S1090" s="42"/>
      <c r="T1090" s="42"/>
      <c r="U1090" s="42"/>
      <c r="V1090" s="42"/>
      <c r="W1090" s="42"/>
      <c r="X1090" s="42"/>
      <c r="Y1090" s="42"/>
      <c r="Z1090" s="42"/>
      <c r="AA1090" s="42"/>
      <c r="AB1090" s="42"/>
      <c r="AC1090" s="42"/>
      <c r="AD1090" s="42"/>
      <c r="AE1090" s="42"/>
      <c r="AF1090" s="42"/>
      <c r="AG1090" s="42"/>
      <c r="AH1090" s="42"/>
      <c r="AI1090" s="42"/>
      <c r="AJ1090" s="42"/>
      <c r="AK1090" s="42"/>
      <c r="AL1090" s="42"/>
      <c r="AM1090" s="42"/>
      <c r="AN1090" s="42"/>
      <c r="AO1090" s="42"/>
      <c r="AP1090" s="42"/>
      <c r="AQ1090" s="42"/>
      <c r="AR1090" s="42"/>
      <c r="AS1090" s="42"/>
      <c r="AT1090" s="42"/>
      <c r="AU1090" s="42"/>
      <c r="AV1090" s="42"/>
      <c r="AW1090" s="42"/>
      <c r="AX1090" s="42"/>
      <c r="AY1090" s="42"/>
      <c r="AZ1090" s="42"/>
      <c r="BA1090" s="42"/>
      <c r="BB1090" s="42"/>
      <c r="BC1090" s="42"/>
      <c r="BD1090" s="42"/>
      <c r="BE1090" s="42"/>
      <c r="BF1090" s="42"/>
      <c r="BG1090" s="42"/>
      <c r="BH1090" s="42"/>
      <c r="BI1090" s="42"/>
      <c r="BJ1090" s="42"/>
      <c r="BK1090" s="42"/>
      <c r="BL1090" s="42"/>
      <c r="BM1090" s="42"/>
      <c r="BN1090" s="42"/>
      <c r="BO1090" s="42"/>
    </row>
    <row r="1091">
      <c r="A1091" s="40"/>
      <c r="B1091" s="40"/>
      <c r="C1091" s="42"/>
      <c r="D1091" s="42"/>
      <c r="E1091" s="43"/>
      <c r="F1091" s="42"/>
      <c r="G1091" s="42"/>
      <c r="H1091" s="42"/>
      <c r="I1091" s="42"/>
      <c r="J1091" s="42"/>
      <c r="K1091" s="42"/>
      <c r="L1091" s="42"/>
      <c r="M1091" s="42"/>
      <c r="N1091" s="42"/>
      <c r="O1091" s="42"/>
      <c r="P1091" s="42"/>
      <c r="Q1091" s="42"/>
      <c r="R1091" s="42"/>
      <c r="S1091" s="42"/>
      <c r="T1091" s="42"/>
      <c r="U1091" s="42"/>
      <c r="V1091" s="42"/>
      <c r="W1091" s="42"/>
      <c r="X1091" s="42"/>
      <c r="Y1091" s="42"/>
      <c r="Z1091" s="42"/>
      <c r="AA1091" s="42"/>
      <c r="AB1091" s="42"/>
      <c r="AC1091" s="42"/>
      <c r="AD1091" s="42"/>
      <c r="AE1091" s="42"/>
      <c r="AF1091" s="42"/>
      <c r="AG1091" s="42"/>
      <c r="AH1091" s="42"/>
      <c r="AI1091" s="42"/>
      <c r="AJ1091" s="42"/>
      <c r="AK1091" s="42"/>
      <c r="AL1091" s="42"/>
      <c r="AM1091" s="42"/>
      <c r="AN1091" s="42"/>
      <c r="AO1091" s="42"/>
      <c r="AP1091" s="42"/>
      <c r="AQ1091" s="42"/>
      <c r="AR1091" s="42"/>
      <c r="AS1091" s="42"/>
      <c r="AT1091" s="42"/>
      <c r="AU1091" s="42"/>
      <c r="AV1091" s="42"/>
      <c r="AW1091" s="42"/>
      <c r="AX1091" s="42"/>
      <c r="AY1091" s="42"/>
      <c r="AZ1091" s="42"/>
      <c r="BA1091" s="42"/>
      <c r="BB1091" s="42"/>
      <c r="BC1091" s="42"/>
      <c r="BD1091" s="42"/>
      <c r="BE1091" s="42"/>
      <c r="BF1091" s="42"/>
      <c r="BG1091" s="42"/>
      <c r="BH1091" s="42"/>
      <c r="BI1091" s="42"/>
      <c r="BJ1091" s="42"/>
      <c r="BK1091" s="42"/>
      <c r="BL1091" s="42"/>
      <c r="BM1091" s="42"/>
      <c r="BN1091" s="42"/>
      <c r="BO1091" s="42"/>
    </row>
    <row r="1092">
      <c r="A1092" s="40"/>
      <c r="B1092" s="40"/>
      <c r="C1092" s="42"/>
      <c r="D1092" s="42"/>
      <c r="E1092" s="43"/>
      <c r="F1092" s="42"/>
      <c r="G1092" s="42"/>
      <c r="H1092" s="42"/>
      <c r="I1092" s="42"/>
      <c r="J1092" s="42"/>
      <c r="K1092" s="42"/>
      <c r="L1092" s="42"/>
      <c r="M1092" s="42"/>
      <c r="N1092" s="42"/>
      <c r="O1092" s="42"/>
      <c r="P1092" s="42"/>
      <c r="Q1092" s="42"/>
      <c r="R1092" s="42"/>
      <c r="S1092" s="42"/>
      <c r="T1092" s="42"/>
      <c r="U1092" s="42"/>
      <c r="V1092" s="42"/>
      <c r="W1092" s="42"/>
      <c r="X1092" s="42"/>
      <c r="Y1092" s="42"/>
      <c r="Z1092" s="42"/>
      <c r="AA1092" s="42"/>
      <c r="AB1092" s="42"/>
      <c r="AC1092" s="42"/>
      <c r="AD1092" s="42"/>
      <c r="AE1092" s="42"/>
      <c r="AF1092" s="42"/>
      <c r="AG1092" s="42"/>
      <c r="AH1092" s="42"/>
      <c r="AI1092" s="42"/>
      <c r="AJ1092" s="42"/>
      <c r="AK1092" s="42"/>
      <c r="AL1092" s="42"/>
      <c r="AM1092" s="42"/>
      <c r="AN1092" s="42"/>
      <c r="AO1092" s="42"/>
      <c r="AP1092" s="42"/>
      <c r="AQ1092" s="42"/>
      <c r="AR1092" s="42"/>
      <c r="AS1092" s="42"/>
      <c r="AT1092" s="42"/>
      <c r="AU1092" s="42"/>
      <c r="AV1092" s="42"/>
      <c r="AW1092" s="42"/>
      <c r="AX1092" s="42"/>
      <c r="AY1092" s="42"/>
      <c r="AZ1092" s="42"/>
      <c r="BA1092" s="42"/>
      <c r="BB1092" s="42"/>
      <c r="BC1092" s="42"/>
      <c r="BD1092" s="42"/>
      <c r="BE1092" s="42"/>
      <c r="BF1092" s="42"/>
      <c r="BG1092" s="42"/>
      <c r="BH1092" s="42"/>
      <c r="BI1092" s="42"/>
      <c r="BJ1092" s="42"/>
      <c r="BK1092" s="42"/>
      <c r="BL1092" s="42"/>
      <c r="BM1092" s="42"/>
      <c r="BN1092" s="42"/>
      <c r="BO1092" s="42"/>
    </row>
    <row r="1093">
      <c r="A1093" s="40"/>
      <c r="B1093" s="40"/>
      <c r="C1093" s="42"/>
      <c r="D1093" s="42"/>
      <c r="E1093" s="43"/>
      <c r="F1093" s="42"/>
      <c r="G1093" s="42"/>
      <c r="H1093" s="42"/>
      <c r="I1093" s="42"/>
      <c r="J1093" s="42"/>
      <c r="K1093" s="42"/>
      <c r="L1093" s="42"/>
      <c r="M1093" s="42"/>
      <c r="N1093" s="42"/>
      <c r="O1093" s="42"/>
      <c r="P1093" s="42"/>
      <c r="Q1093" s="42"/>
      <c r="R1093" s="42"/>
      <c r="S1093" s="42"/>
      <c r="T1093" s="42"/>
      <c r="U1093" s="42"/>
      <c r="V1093" s="42"/>
      <c r="W1093" s="42"/>
      <c r="X1093" s="42"/>
      <c r="Y1093" s="42"/>
      <c r="Z1093" s="42"/>
      <c r="AA1093" s="42"/>
      <c r="AB1093" s="42"/>
      <c r="AC1093" s="42"/>
      <c r="AD1093" s="42"/>
      <c r="AE1093" s="42"/>
      <c r="AF1093" s="42"/>
      <c r="AG1093" s="42"/>
      <c r="AH1093" s="42"/>
      <c r="AI1093" s="42"/>
      <c r="AJ1093" s="42"/>
      <c r="AK1093" s="42"/>
      <c r="AL1093" s="42"/>
      <c r="AM1093" s="42"/>
      <c r="AN1093" s="42"/>
      <c r="AO1093" s="42"/>
      <c r="AP1093" s="42"/>
      <c r="AQ1093" s="42"/>
      <c r="AR1093" s="42"/>
      <c r="AS1093" s="42"/>
      <c r="AT1093" s="42"/>
      <c r="AU1093" s="42"/>
      <c r="AV1093" s="42"/>
      <c r="AW1093" s="42"/>
      <c r="AX1093" s="42"/>
      <c r="AY1093" s="42"/>
      <c r="AZ1093" s="42"/>
      <c r="BA1093" s="42"/>
      <c r="BB1093" s="42"/>
      <c r="BC1093" s="42"/>
      <c r="BD1093" s="42"/>
      <c r="BE1093" s="42"/>
      <c r="BF1093" s="42"/>
      <c r="BG1093" s="42"/>
      <c r="BH1093" s="42"/>
      <c r="BI1093" s="42"/>
      <c r="BJ1093" s="42"/>
      <c r="BK1093" s="42"/>
      <c r="BL1093" s="42"/>
      <c r="BM1093" s="42"/>
      <c r="BN1093" s="42"/>
      <c r="BO1093" s="42"/>
    </row>
    <row r="1094">
      <c r="A1094" s="40"/>
      <c r="B1094" s="40"/>
      <c r="C1094" s="42"/>
      <c r="D1094" s="42"/>
      <c r="E1094" s="43"/>
      <c r="F1094" s="42"/>
      <c r="G1094" s="42"/>
      <c r="H1094" s="42"/>
      <c r="I1094" s="42"/>
      <c r="J1094" s="42"/>
      <c r="K1094" s="42"/>
      <c r="L1094" s="42"/>
      <c r="M1094" s="42"/>
      <c r="N1094" s="42"/>
      <c r="O1094" s="42"/>
      <c r="P1094" s="42"/>
      <c r="Q1094" s="42"/>
      <c r="R1094" s="42"/>
      <c r="S1094" s="42"/>
      <c r="T1094" s="42"/>
      <c r="U1094" s="42"/>
      <c r="V1094" s="42"/>
      <c r="W1094" s="42"/>
      <c r="X1094" s="42"/>
      <c r="Y1094" s="42"/>
      <c r="Z1094" s="42"/>
      <c r="AA1094" s="42"/>
      <c r="AB1094" s="42"/>
      <c r="AC1094" s="42"/>
      <c r="AD1094" s="42"/>
      <c r="AE1094" s="42"/>
      <c r="AF1094" s="42"/>
      <c r="AG1094" s="42"/>
      <c r="AH1094" s="42"/>
      <c r="AI1094" s="42"/>
      <c r="AJ1094" s="42"/>
      <c r="AK1094" s="42"/>
      <c r="AL1094" s="42"/>
      <c r="AM1094" s="42"/>
      <c r="AN1094" s="42"/>
      <c r="AO1094" s="42"/>
      <c r="AP1094" s="42"/>
      <c r="AQ1094" s="42"/>
      <c r="AR1094" s="42"/>
      <c r="AS1094" s="42"/>
      <c r="AT1094" s="42"/>
      <c r="AU1094" s="42"/>
      <c r="AV1094" s="42"/>
      <c r="AW1094" s="42"/>
      <c r="AX1094" s="42"/>
      <c r="AY1094" s="42"/>
      <c r="AZ1094" s="42"/>
      <c r="BA1094" s="42"/>
      <c r="BB1094" s="42"/>
      <c r="BC1094" s="42"/>
      <c r="BD1094" s="42"/>
      <c r="BE1094" s="42"/>
      <c r="BF1094" s="42"/>
      <c r="BG1094" s="42"/>
      <c r="BH1094" s="42"/>
      <c r="BI1094" s="42"/>
      <c r="BJ1094" s="42"/>
      <c r="BK1094" s="42"/>
      <c r="BL1094" s="42"/>
      <c r="BM1094" s="42"/>
      <c r="BN1094" s="42"/>
      <c r="BO1094" s="42"/>
    </row>
    <row r="1095">
      <c r="A1095" s="40"/>
      <c r="B1095" s="40"/>
      <c r="C1095" s="42"/>
      <c r="D1095" s="42"/>
      <c r="E1095" s="43"/>
      <c r="F1095" s="42"/>
      <c r="G1095" s="42"/>
      <c r="H1095" s="42"/>
      <c r="I1095" s="42"/>
      <c r="J1095" s="42"/>
      <c r="K1095" s="42"/>
      <c r="L1095" s="42"/>
      <c r="M1095" s="42"/>
      <c r="N1095" s="42"/>
      <c r="O1095" s="42"/>
      <c r="P1095" s="42"/>
      <c r="Q1095" s="42"/>
      <c r="R1095" s="42"/>
      <c r="S1095" s="42"/>
      <c r="T1095" s="42"/>
      <c r="U1095" s="42"/>
      <c r="V1095" s="42"/>
      <c r="W1095" s="42"/>
      <c r="X1095" s="42"/>
      <c r="Y1095" s="42"/>
      <c r="Z1095" s="42"/>
      <c r="AA1095" s="42"/>
      <c r="AB1095" s="42"/>
      <c r="AC1095" s="42"/>
      <c r="AD1095" s="42"/>
      <c r="AE1095" s="42"/>
      <c r="AF1095" s="42"/>
      <c r="AG1095" s="42"/>
      <c r="AH1095" s="42"/>
      <c r="AI1095" s="42"/>
      <c r="AJ1095" s="42"/>
      <c r="AK1095" s="42"/>
      <c r="AL1095" s="42"/>
      <c r="AM1095" s="42"/>
      <c r="AN1095" s="42"/>
      <c r="AO1095" s="42"/>
      <c r="AP1095" s="42"/>
      <c r="AQ1095" s="42"/>
      <c r="AR1095" s="42"/>
      <c r="AS1095" s="42"/>
      <c r="AT1095" s="42"/>
      <c r="AU1095" s="42"/>
      <c r="AV1095" s="42"/>
      <c r="AW1095" s="42"/>
      <c r="AX1095" s="42"/>
      <c r="AY1095" s="42"/>
      <c r="AZ1095" s="42"/>
      <c r="BA1095" s="42"/>
      <c r="BB1095" s="42"/>
      <c r="BC1095" s="42"/>
      <c r="BD1095" s="42"/>
      <c r="BE1095" s="42"/>
      <c r="BF1095" s="42"/>
      <c r="BG1095" s="42"/>
      <c r="BH1095" s="42"/>
      <c r="BI1095" s="42"/>
      <c r="BJ1095" s="42"/>
      <c r="BK1095" s="42"/>
      <c r="BL1095" s="42"/>
      <c r="BM1095" s="42"/>
      <c r="BN1095" s="42"/>
      <c r="BO1095" s="42"/>
    </row>
    <row r="1096">
      <c r="A1096" s="40"/>
      <c r="B1096" s="40"/>
      <c r="C1096" s="42"/>
      <c r="D1096" s="42"/>
      <c r="E1096" s="43"/>
      <c r="F1096" s="42"/>
      <c r="G1096" s="42"/>
      <c r="H1096" s="42"/>
      <c r="I1096" s="42"/>
      <c r="J1096" s="42"/>
      <c r="K1096" s="42"/>
      <c r="L1096" s="42"/>
      <c r="M1096" s="42"/>
      <c r="N1096" s="42"/>
      <c r="O1096" s="42"/>
      <c r="P1096" s="42"/>
      <c r="Q1096" s="42"/>
      <c r="R1096" s="42"/>
      <c r="S1096" s="42"/>
      <c r="T1096" s="42"/>
      <c r="U1096" s="42"/>
      <c r="V1096" s="42"/>
      <c r="W1096" s="42"/>
      <c r="X1096" s="42"/>
      <c r="Y1096" s="42"/>
      <c r="Z1096" s="42"/>
      <c r="AA1096" s="42"/>
      <c r="AB1096" s="42"/>
      <c r="AC1096" s="42"/>
      <c r="AD1096" s="42"/>
      <c r="AE1096" s="42"/>
      <c r="AF1096" s="42"/>
      <c r="AG1096" s="42"/>
      <c r="AH1096" s="42"/>
      <c r="AI1096" s="42"/>
      <c r="AJ1096" s="42"/>
      <c r="AK1096" s="42"/>
      <c r="AL1096" s="42"/>
      <c r="AM1096" s="42"/>
      <c r="AN1096" s="42"/>
      <c r="AO1096" s="42"/>
      <c r="AP1096" s="42"/>
      <c r="AQ1096" s="42"/>
      <c r="AR1096" s="42"/>
      <c r="AS1096" s="42"/>
      <c r="AT1096" s="42"/>
      <c r="AU1096" s="42"/>
      <c r="AV1096" s="42"/>
      <c r="AW1096" s="42"/>
      <c r="AX1096" s="42"/>
      <c r="AY1096" s="42"/>
      <c r="AZ1096" s="42"/>
      <c r="BA1096" s="42"/>
      <c r="BB1096" s="42"/>
      <c r="BC1096" s="42"/>
      <c r="BD1096" s="42"/>
      <c r="BE1096" s="42"/>
      <c r="BF1096" s="42"/>
      <c r="BG1096" s="42"/>
      <c r="BH1096" s="42"/>
      <c r="BI1096" s="42"/>
      <c r="BJ1096" s="42"/>
      <c r="BK1096" s="42"/>
      <c r="BL1096" s="42"/>
      <c r="BM1096" s="42"/>
      <c r="BN1096" s="42"/>
      <c r="BO1096" s="42"/>
    </row>
    <row r="1097">
      <c r="A1097" s="40"/>
      <c r="B1097" s="40"/>
      <c r="C1097" s="42"/>
      <c r="D1097" s="42"/>
      <c r="E1097" s="43"/>
      <c r="F1097" s="42"/>
      <c r="G1097" s="42"/>
      <c r="H1097" s="42"/>
      <c r="I1097" s="42"/>
      <c r="J1097" s="42"/>
      <c r="K1097" s="42"/>
      <c r="L1097" s="42"/>
      <c r="M1097" s="42"/>
      <c r="N1097" s="42"/>
      <c r="O1097" s="42"/>
      <c r="P1097" s="42"/>
      <c r="Q1097" s="42"/>
      <c r="R1097" s="42"/>
      <c r="S1097" s="42"/>
      <c r="T1097" s="42"/>
      <c r="U1097" s="42"/>
      <c r="V1097" s="42"/>
      <c r="W1097" s="42"/>
      <c r="X1097" s="42"/>
      <c r="Y1097" s="42"/>
      <c r="Z1097" s="42"/>
      <c r="AA1097" s="42"/>
      <c r="AB1097" s="42"/>
      <c r="AC1097" s="42"/>
      <c r="AD1097" s="42"/>
      <c r="AE1097" s="42"/>
      <c r="AF1097" s="42"/>
      <c r="AG1097" s="42"/>
      <c r="AH1097" s="42"/>
      <c r="AI1097" s="42"/>
      <c r="AJ1097" s="42"/>
      <c r="AK1097" s="42"/>
      <c r="AL1097" s="42"/>
      <c r="AM1097" s="42"/>
      <c r="AN1097" s="42"/>
      <c r="AO1097" s="42"/>
      <c r="AP1097" s="42"/>
      <c r="AQ1097" s="42"/>
      <c r="AR1097" s="42"/>
      <c r="AS1097" s="42"/>
      <c r="AT1097" s="42"/>
      <c r="AU1097" s="42"/>
      <c r="AV1097" s="42"/>
      <c r="AW1097" s="42"/>
      <c r="AX1097" s="42"/>
      <c r="AY1097" s="42"/>
      <c r="AZ1097" s="42"/>
      <c r="BA1097" s="42"/>
      <c r="BB1097" s="42"/>
      <c r="BC1097" s="42"/>
      <c r="BD1097" s="42"/>
      <c r="BE1097" s="42"/>
      <c r="BF1097" s="42"/>
      <c r="BG1097" s="42"/>
      <c r="BH1097" s="42"/>
      <c r="BI1097" s="42"/>
      <c r="BJ1097" s="42"/>
      <c r="BK1097" s="42"/>
      <c r="BL1097" s="42"/>
      <c r="BM1097" s="42"/>
      <c r="BN1097" s="42"/>
      <c r="BO1097" s="42"/>
    </row>
    <row r="1098">
      <c r="A1098" s="40"/>
      <c r="B1098" s="40"/>
      <c r="C1098" s="42"/>
      <c r="D1098" s="42"/>
      <c r="E1098" s="43"/>
      <c r="F1098" s="42"/>
      <c r="G1098" s="42"/>
      <c r="H1098" s="42"/>
      <c r="I1098" s="42"/>
      <c r="J1098" s="42"/>
      <c r="K1098" s="42"/>
      <c r="L1098" s="42"/>
      <c r="M1098" s="42"/>
      <c r="N1098" s="42"/>
      <c r="O1098" s="42"/>
      <c r="P1098" s="42"/>
      <c r="Q1098" s="42"/>
      <c r="R1098" s="42"/>
      <c r="S1098" s="42"/>
      <c r="T1098" s="42"/>
      <c r="U1098" s="42"/>
      <c r="V1098" s="42"/>
      <c r="W1098" s="42"/>
      <c r="X1098" s="42"/>
      <c r="Y1098" s="42"/>
      <c r="Z1098" s="42"/>
      <c r="AA1098" s="42"/>
      <c r="AB1098" s="42"/>
      <c r="AC1098" s="42"/>
      <c r="AD1098" s="42"/>
      <c r="AE1098" s="42"/>
      <c r="AF1098" s="42"/>
      <c r="AG1098" s="42"/>
      <c r="AH1098" s="42"/>
      <c r="AI1098" s="42"/>
      <c r="AJ1098" s="42"/>
      <c r="AK1098" s="42"/>
      <c r="AL1098" s="42"/>
      <c r="AM1098" s="42"/>
      <c r="AN1098" s="42"/>
      <c r="AO1098" s="42"/>
      <c r="AP1098" s="42"/>
      <c r="AQ1098" s="42"/>
      <c r="AR1098" s="42"/>
      <c r="AS1098" s="42"/>
      <c r="AT1098" s="42"/>
      <c r="AU1098" s="42"/>
      <c r="AV1098" s="42"/>
      <c r="AW1098" s="42"/>
      <c r="AX1098" s="42"/>
      <c r="AY1098" s="42"/>
      <c r="AZ1098" s="42"/>
      <c r="BA1098" s="42"/>
      <c r="BB1098" s="42"/>
      <c r="BC1098" s="42"/>
      <c r="BD1098" s="42"/>
      <c r="BE1098" s="42"/>
      <c r="BF1098" s="42"/>
      <c r="BG1098" s="42"/>
      <c r="BH1098" s="42"/>
      <c r="BI1098" s="42"/>
      <c r="BJ1098" s="42"/>
      <c r="BK1098" s="42"/>
      <c r="BL1098" s="42"/>
      <c r="BM1098" s="42"/>
      <c r="BN1098" s="42"/>
      <c r="BO1098" s="42"/>
    </row>
    <row r="1099">
      <c r="A1099" s="40"/>
      <c r="B1099" s="40"/>
      <c r="C1099" s="42"/>
      <c r="D1099" s="42"/>
      <c r="E1099" s="43"/>
      <c r="F1099" s="42"/>
      <c r="G1099" s="42"/>
      <c r="H1099" s="42"/>
      <c r="I1099" s="42"/>
      <c r="J1099" s="42"/>
      <c r="K1099" s="42"/>
      <c r="L1099" s="42"/>
      <c r="M1099" s="42"/>
      <c r="N1099" s="42"/>
      <c r="O1099" s="42"/>
      <c r="P1099" s="42"/>
      <c r="Q1099" s="42"/>
      <c r="R1099" s="42"/>
      <c r="S1099" s="42"/>
      <c r="T1099" s="42"/>
      <c r="U1099" s="42"/>
      <c r="V1099" s="42"/>
      <c r="W1099" s="42"/>
      <c r="X1099" s="42"/>
      <c r="Y1099" s="42"/>
      <c r="Z1099" s="42"/>
      <c r="AA1099" s="42"/>
      <c r="AB1099" s="42"/>
      <c r="AC1099" s="42"/>
      <c r="AD1099" s="42"/>
      <c r="AE1099" s="42"/>
      <c r="AF1099" s="42"/>
      <c r="AG1099" s="42"/>
      <c r="AH1099" s="42"/>
      <c r="AI1099" s="42"/>
      <c r="AJ1099" s="42"/>
      <c r="AK1099" s="42"/>
      <c r="AL1099" s="42"/>
      <c r="AM1099" s="42"/>
      <c r="AN1099" s="42"/>
      <c r="AO1099" s="42"/>
      <c r="AP1099" s="42"/>
      <c r="AQ1099" s="42"/>
      <c r="AR1099" s="42"/>
      <c r="AS1099" s="42"/>
      <c r="AT1099" s="42"/>
      <c r="AU1099" s="42"/>
      <c r="AV1099" s="42"/>
      <c r="AW1099" s="42"/>
      <c r="AX1099" s="42"/>
      <c r="AY1099" s="42"/>
      <c r="AZ1099" s="42"/>
      <c r="BA1099" s="42"/>
      <c r="BB1099" s="42"/>
      <c r="BC1099" s="42"/>
      <c r="BD1099" s="42"/>
      <c r="BE1099" s="42"/>
      <c r="BF1099" s="42"/>
      <c r="BG1099" s="42"/>
      <c r="BH1099" s="42"/>
      <c r="BI1099" s="42"/>
      <c r="BJ1099" s="42"/>
      <c r="BK1099" s="42"/>
      <c r="BL1099" s="42"/>
      <c r="BM1099" s="42"/>
      <c r="BN1099" s="42"/>
      <c r="BO1099" s="42"/>
    </row>
    <row r="1100">
      <c r="A1100" s="40"/>
      <c r="B1100" s="40"/>
      <c r="C1100" s="42"/>
      <c r="D1100" s="42"/>
      <c r="E1100" s="43"/>
      <c r="F1100" s="42"/>
      <c r="G1100" s="42"/>
      <c r="H1100" s="42"/>
      <c r="I1100" s="42"/>
      <c r="J1100" s="42"/>
      <c r="K1100" s="42"/>
      <c r="L1100" s="42"/>
      <c r="M1100" s="42"/>
      <c r="N1100" s="42"/>
      <c r="O1100" s="42"/>
      <c r="P1100" s="42"/>
      <c r="Q1100" s="42"/>
      <c r="R1100" s="42"/>
      <c r="S1100" s="42"/>
      <c r="T1100" s="42"/>
      <c r="U1100" s="42"/>
      <c r="V1100" s="42"/>
      <c r="W1100" s="42"/>
      <c r="X1100" s="42"/>
      <c r="Y1100" s="42"/>
      <c r="Z1100" s="42"/>
      <c r="AA1100" s="42"/>
      <c r="AB1100" s="42"/>
      <c r="AC1100" s="42"/>
      <c r="AD1100" s="42"/>
      <c r="AE1100" s="42"/>
      <c r="AF1100" s="42"/>
      <c r="AG1100" s="42"/>
      <c r="AH1100" s="42"/>
      <c r="AI1100" s="42"/>
      <c r="AJ1100" s="42"/>
      <c r="AK1100" s="42"/>
      <c r="AL1100" s="42"/>
      <c r="AM1100" s="42"/>
      <c r="AN1100" s="42"/>
      <c r="AO1100" s="42"/>
      <c r="AP1100" s="42"/>
      <c r="AQ1100" s="42"/>
      <c r="AR1100" s="42"/>
      <c r="AS1100" s="42"/>
      <c r="AT1100" s="42"/>
      <c r="AU1100" s="42"/>
      <c r="AV1100" s="42"/>
      <c r="AW1100" s="42"/>
      <c r="AX1100" s="42"/>
      <c r="AY1100" s="42"/>
      <c r="AZ1100" s="42"/>
      <c r="BA1100" s="42"/>
      <c r="BB1100" s="42"/>
      <c r="BC1100" s="42"/>
      <c r="BD1100" s="42"/>
      <c r="BE1100" s="42"/>
      <c r="BF1100" s="42"/>
      <c r="BG1100" s="42"/>
      <c r="BH1100" s="42"/>
      <c r="BI1100" s="42"/>
      <c r="BJ1100" s="42"/>
      <c r="BK1100" s="42"/>
      <c r="BL1100" s="42"/>
      <c r="BM1100" s="42"/>
      <c r="BN1100" s="42"/>
      <c r="BO1100" s="42"/>
    </row>
    <row r="1101">
      <c r="A1101" s="40"/>
      <c r="B1101" s="40"/>
      <c r="C1101" s="42"/>
      <c r="D1101" s="42"/>
      <c r="E1101" s="43"/>
      <c r="F1101" s="42"/>
      <c r="G1101" s="42"/>
      <c r="H1101" s="42"/>
      <c r="I1101" s="42"/>
      <c r="J1101" s="42"/>
      <c r="K1101" s="42"/>
      <c r="L1101" s="42"/>
      <c r="M1101" s="42"/>
      <c r="N1101" s="42"/>
      <c r="O1101" s="42"/>
      <c r="P1101" s="42"/>
      <c r="Q1101" s="42"/>
      <c r="R1101" s="42"/>
      <c r="S1101" s="42"/>
      <c r="T1101" s="42"/>
      <c r="U1101" s="42"/>
      <c r="V1101" s="42"/>
      <c r="W1101" s="42"/>
      <c r="X1101" s="42"/>
      <c r="Y1101" s="42"/>
      <c r="Z1101" s="42"/>
      <c r="AA1101" s="42"/>
      <c r="AB1101" s="42"/>
      <c r="AC1101" s="42"/>
      <c r="AD1101" s="42"/>
      <c r="AE1101" s="42"/>
      <c r="AF1101" s="42"/>
      <c r="AG1101" s="42"/>
      <c r="AH1101" s="42"/>
      <c r="AI1101" s="42"/>
      <c r="AJ1101" s="42"/>
      <c r="AK1101" s="42"/>
      <c r="AL1101" s="42"/>
      <c r="AM1101" s="42"/>
      <c r="AN1101" s="42"/>
      <c r="AO1101" s="42"/>
      <c r="AP1101" s="42"/>
      <c r="AQ1101" s="42"/>
      <c r="AR1101" s="42"/>
      <c r="AS1101" s="42"/>
      <c r="AT1101" s="42"/>
      <c r="AU1101" s="42"/>
      <c r="AV1101" s="42"/>
      <c r="AW1101" s="42"/>
      <c r="AX1101" s="42"/>
      <c r="AY1101" s="42"/>
      <c r="AZ1101" s="42"/>
      <c r="BA1101" s="42"/>
      <c r="BB1101" s="42"/>
      <c r="BC1101" s="42"/>
      <c r="BD1101" s="42"/>
      <c r="BE1101" s="42"/>
      <c r="BF1101" s="42"/>
      <c r="BG1101" s="42"/>
      <c r="BH1101" s="42"/>
      <c r="BI1101" s="42"/>
      <c r="BJ1101" s="42"/>
      <c r="BK1101" s="42"/>
      <c r="BL1101" s="42"/>
      <c r="BM1101" s="42"/>
      <c r="BN1101" s="42"/>
      <c r="BO1101" s="42"/>
    </row>
    <row r="1102">
      <c r="A1102" s="40"/>
      <c r="B1102" s="40"/>
      <c r="C1102" s="42"/>
      <c r="D1102" s="42"/>
      <c r="E1102" s="43"/>
      <c r="F1102" s="42"/>
      <c r="G1102" s="42"/>
      <c r="H1102" s="42"/>
      <c r="I1102" s="42"/>
      <c r="J1102" s="42"/>
      <c r="K1102" s="42"/>
      <c r="L1102" s="42"/>
      <c r="M1102" s="42"/>
      <c r="N1102" s="42"/>
      <c r="O1102" s="42"/>
      <c r="P1102" s="42"/>
      <c r="Q1102" s="42"/>
      <c r="R1102" s="42"/>
      <c r="S1102" s="42"/>
      <c r="T1102" s="42"/>
      <c r="U1102" s="42"/>
      <c r="V1102" s="42"/>
      <c r="W1102" s="42"/>
      <c r="X1102" s="42"/>
      <c r="Y1102" s="42"/>
      <c r="Z1102" s="42"/>
      <c r="AA1102" s="42"/>
      <c r="AB1102" s="42"/>
      <c r="AC1102" s="42"/>
      <c r="AD1102" s="42"/>
      <c r="AE1102" s="42"/>
      <c r="AF1102" s="42"/>
      <c r="AG1102" s="42"/>
      <c r="AH1102" s="42"/>
      <c r="AI1102" s="42"/>
      <c r="AJ1102" s="42"/>
      <c r="AK1102" s="42"/>
      <c r="AL1102" s="42"/>
      <c r="AM1102" s="42"/>
      <c r="AN1102" s="42"/>
      <c r="AO1102" s="42"/>
      <c r="AP1102" s="42"/>
      <c r="AQ1102" s="42"/>
      <c r="AR1102" s="42"/>
      <c r="AS1102" s="42"/>
      <c r="AT1102" s="42"/>
      <c r="AU1102" s="42"/>
      <c r="AV1102" s="42"/>
      <c r="AW1102" s="42"/>
      <c r="AX1102" s="42"/>
      <c r="AY1102" s="42"/>
      <c r="AZ1102" s="42"/>
      <c r="BA1102" s="42"/>
      <c r="BB1102" s="42"/>
      <c r="BC1102" s="42"/>
      <c r="BD1102" s="42"/>
      <c r="BE1102" s="42"/>
      <c r="BF1102" s="42"/>
      <c r="BG1102" s="42"/>
      <c r="BH1102" s="42"/>
      <c r="BI1102" s="42"/>
      <c r="BJ1102" s="42"/>
      <c r="BK1102" s="42"/>
      <c r="BL1102" s="42"/>
      <c r="BM1102" s="42"/>
      <c r="BN1102" s="42"/>
      <c r="BO1102" s="42"/>
    </row>
    <row r="1103">
      <c r="A1103" s="40"/>
      <c r="B1103" s="40"/>
      <c r="C1103" s="42"/>
      <c r="D1103" s="42"/>
      <c r="E1103" s="43"/>
      <c r="F1103" s="42"/>
      <c r="G1103" s="42"/>
      <c r="H1103" s="42"/>
      <c r="I1103" s="42"/>
      <c r="J1103" s="42"/>
      <c r="K1103" s="42"/>
      <c r="L1103" s="42"/>
      <c r="M1103" s="42"/>
      <c r="N1103" s="42"/>
      <c r="O1103" s="42"/>
      <c r="P1103" s="42"/>
      <c r="Q1103" s="42"/>
      <c r="R1103" s="42"/>
      <c r="S1103" s="42"/>
      <c r="T1103" s="42"/>
      <c r="U1103" s="42"/>
      <c r="V1103" s="42"/>
      <c r="W1103" s="42"/>
      <c r="X1103" s="42"/>
      <c r="Y1103" s="42"/>
      <c r="Z1103" s="42"/>
      <c r="AA1103" s="42"/>
      <c r="AB1103" s="42"/>
      <c r="AC1103" s="42"/>
      <c r="AD1103" s="42"/>
      <c r="AE1103" s="42"/>
      <c r="AF1103" s="42"/>
      <c r="AG1103" s="42"/>
      <c r="AH1103" s="42"/>
      <c r="AI1103" s="42"/>
      <c r="AJ1103" s="42"/>
      <c r="AK1103" s="42"/>
      <c r="AL1103" s="42"/>
      <c r="AM1103" s="42"/>
      <c r="AN1103" s="42"/>
      <c r="AO1103" s="42"/>
      <c r="AP1103" s="42"/>
      <c r="AQ1103" s="42"/>
      <c r="AR1103" s="42"/>
      <c r="AS1103" s="42"/>
      <c r="AT1103" s="42"/>
      <c r="AU1103" s="42"/>
      <c r="AV1103" s="42"/>
      <c r="AW1103" s="42"/>
      <c r="AX1103" s="42"/>
      <c r="AY1103" s="42"/>
      <c r="AZ1103" s="42"/>
      <c r="BA1103" s="42"/>
      <c r="BB1103" s="42"/>
      <c r="BC1103" s="42"/>
      <c r="BD1103" s="42"/>
      <c r="BE1103" s="42"/>
      <c r="BF1103" s="42"/>
      <c r="BG1103" s="42"/>
      <c r="BH1103" s="42"/>
      <c r="BI1103" s="42"/>
      <c r="BJ1103" s="42"/>
      <c r="BK1103" s="42"/>
      <c r="BL1103" s="42"/>
      <c r="BM1103" s="42"/>
      <c r="BN1103" s="42"/>
      <c r="BO1103" s="42"/>
    </row>
    <row r="1104">
      <c r="A1104" s="40"/>
      <c r="B1104" s="40"/>
      <c r="C1104" s="42"/>
      <c r="D1104" s="42"/>
      <c r="E1104" s="43"/>
      <c r="F1104" s="42"/>
      <c r="G1104" s="42"/>
      <c r="H1104" s="42"/>
      <c r="I1104" s="42"/>
      <c r="J1104" s="42"/>
      <c r="K1104" s="42"/>
      <c r="L1104" s="42"/>
      <c r="M1104" s="42"/>
      <c r="N1104" s="42"/>
      <c r="O1104" s="42"/>
      <c r="P1104" s="42"/>
      <c r="Q1104" s="42"/>
      <c r="R1104" s="42"/>
      <c r="S1104" s="42"/>
      <c r="T1104" s="42"/>
      <c r="U1104" s="42"/>
      <c r="V1104" s="42"/>
      <c r="W1104" s="42"/>
      <c r="X1104" s="42"/>
      <c r="Y1104" s="42"/>
      <c r="Z1104" s="42"/>
      <c r="AA1104" s="42"/>
      <c r="AB1104" s="42"/>
      <c r="AC1104" s="42"/>
      <c r="AD1104" s="42"/>
      <c r="AE1104" s="42"/>
      <c r="AF1104" s="42"/>
      <c r="AG1104" s="42"/>
      <c r="AH1104" s="42"/>
      <c r="AI1104" s="42"/>
      <c r="AJ1104" s="42"/>
      <c r="AK1104" s="42"/>
      <c r="AL1104" s="42"/>
      <c r="AM1104" s="42"/>
      <c r="AN1104" s="42"/>
      <c r="AO1104" s="42"/>
      <c r="AP1104" s="42"/>
      <c r="AQ1104" s="42"/>
      <c r="AR1104" s="42"/>
      <c r="AS1104" s="42"/>
      <c r="AT1104" s="42"/>
      <c r="AU1104" s="42"/>
      <c r="AV1104" s="42"/>
      <c r="AW1104" s="42"/>
      <c r="AX1104" s="42"/>
      <c r="AY1104" s="42"/>
      <c r="AZ1104" s="42"/>
      <c r="BA1104" s="42"/>
      <c r="BB1104" s="42"/>
      <c r="BC1104" s="42"/>
      <c r="BD1104" s="42"/>
      <c r="BE1104" s="42"/>
      <c r="BF1104" s="42"/>
      <c r="BG1104" s="42"/>
      <c r="BH1104" s="42"/>
      <c r="BI1104" s="42"/>
      <c r="BJ1104" s="42"/>
      <c r="BK1104" s="42"/>
      <c r="BL1104" s="42"/>
      <c r="BM1104" s="42"/>
      <c r="BN1104" s="42"/>
      <c r="BO1104" s="42"/>
    </row>
    <row r="1105">
      <c r="A1105" s="40"/>
      <c r="B1105" s="40"/>
      <c r="C1105" s="42"/>
      <c r="D1105" s="42"/>
      <c r="E1105" s="43"/>
      <c r="F1105" s="42"/>
      <c r="G1105" s="42"/>
      <c r="H1105" s="42"/>
      <c r="I1105" s="42"/>
      <c r="J1105" s="42"/>
      <c r="K1105" s="42"/>
      <c r="L1105" s="42"/>
      <c r="M1105" s="42"/>
      <c r="N1105" s="42"/>
      <c r="O1105" s="42"/>
      <c r="P1105" s="42"/>
      <c r="Q1105" s="42"/>
      <c r="R1105" s="42"/>
      <c r="S1105" s="42"/>
      <c r="T1105" s="42"/>
      <c r="U1105" s="42"/>
      <c r="V1105" s="42"/>
      <c r="W1105" s="42"/>
      <c r="X1105" s="42"/>
      <c r="Y1105" s="42"/>
      <c r="Z1105" s="42"/>
      <c r="AA1105" s="42"/>
      <c r="AB1105" s="42"/>
      <c r="AC1105" s="42"/>
      <c r="AD1105" s="42"/>
      <c r="AE1105" s="42"/>
      <c r="AF1105" s="42"/>
      <c r="AG1105" s="42"/>
      <c r="AH1105" s="42"/>
      <c r="AI1105" s="42"/>
      <c r="AJ1105" s="42"/>
      <c r="AK1105" s="42"/>
      <c r="AL1105" s="42"/>
      <c r="AM1105" s="42"/>
      <c r="AN1105" s="42"/>
      <c r="AO1105" s="42"/>
      <c r="AP1105" s="42"/>
      <c r="AQ1105" s="42"/>
      <c r="AR1105" s="42"/>
      <c r="AS1105" s="42"/>
      <c r="AT1105" s="42"/>
      <c r="AU1105" s="42"/>
      <c r="AV1105" s="42"/>
      <c r="AW1105" s="42"/>
      <c r="AX1105" s="42"/>
      <c r="AY1105" s="42"/>
      <c r="AZ1105" s="42"/>
      <c r="BA1105" s="42"/>
      <c r="BB1105" s="42"/>
      <c r="BC1105" s="42"/>
      <c r="BD1105" s="42"/>
      <c r="BE1105" s="42"/>
      <c r="BF1105" s="42"/>
      <c r="BG1105" s="42"/>
      <c r="BH1105" s="42"/>
      <c r="BI1105" s="42"/>
      <c r="BJ1105" s="42"/>
      <c r="BK1105" s="42"/>
      <c r="BL1105" s="42"/>
      <c r="BM1105" s="42"/>
      <c r="BN1105" s="42"/>
      <c r="BO1105" s="42"/>
    </row>
    <row r="1106">
      <c r="A1106" s="40"/>
      <c r="B1106" s="40"/>
      <c r="C1106" s="42"/>
      <c r="D1106" s="42"/>
      <c r="E1106" s="43"/>
      <c r="F1106" s="42"/>
      <c r="G1106" s="42"/>
      <c r="H1106" s="42"/>
      <c r="I1106" s="42"/>
      <c r="J1106" s="42"/>
      <c r="K1106" s="42"/>
      <c r="L1106" s="42"/>
      <c r="M1106" s="42"/>
      <c r="N1106" s="42"/>
      <c r="O1106" s="42"/>
      <c r="P1106" s="42"/>
      <c r="Q1106" s="42"/>
      <c r="R1106" s="42"/>
      <c r="S1106" s="42"/>
      <c r="T1106" s="42"/>
      <c r="U1106" s="42"/>
      <c r="V1106" s="42"/>
      <c r="W1106" s="42"/>
      <c r="X1106" s="42"/>
      <c r="Y1106" s="42"/>
      <c r="Z1106" s="42"/>
      <c r="AA1106" s="42"/>
      <c r="AB1106" s="42"/>
      <c r="AC1106" s="42"/>
      <c r="AD1106" s="42"/>
      <c r="AE1106" s="42"/>
      <c r="AF1106" s="42"/>
      <c r="AG1106" s="42"/>
      <c r="AH1106" s="42"/>
      <c r="AI1106" s="42"/>
      <c r="AJ1106" s="42"/>
      <c r="AK1106" s="42"/>
      <c r="AL1106" s="42"/>
      <c r="AM1106" s="42"/>
      <c r="AN1106" s="42"/>
      <c r="AO1106" s="42"/>
      <c r="AP1106" s="42"/>
      <c r="AQ1106" s="42"/>
      <c r="AR1106" s="42"/>
      <c r="AS1106" s="42"/>
      <c r="AT1106" s="42"/>
      <c r="AU1106" s="42"/>
      <c r="AV1106" s="42"/>
      <c r="AW1106" s="42"/>
      <c r="AX1106" s="42"/>
      <c r="AY1106" s="42"/>
      <c r="AZ1106" s="42"/>
      <c r="BA1106" s="42"/>
      <c r="BB1106" s="42"/>
      <c r="BC1106" s="42"/>
      <c r="BD1106" s="42"/>
      <c r="BE1106" s="42"/>
      <c r="BF1106" s="42"/>
      <c r="BG1106" s="42"/>
      <c r="BH1106" s="42"/>
      <c r="BI1106" s="42"/>
      <c r="BJ1106" s="42"/>
      <c r="BK1106" s="42"/>
      <c r="BL1106" s="42"/>
      <c r="BM1106" s="42"/>
      <c r="BN1106" s="42"/>
      <c r="BO1106" s="42"/>
    </row>
    <row r="1107">
      <c r="A1107" s="40"/>
      <c r="B1107" s="40"/>
      <c r="C1107" s="42"/>
      <c r="D1107" s="42"/>
      <c r="E1107" s="43"/>
      <c r="F1107" s="42"/>
      <c r="G1107" s="42"/>
      <c r="H1107" s="42"/>
      <c r="I1107" s="42"/>
      <c r="J1107" s="42"/>
      <c r="K1107" s="42"/>
      <c r="L1107" s="42"/>
      <c r="M1107" s="42"/>
      <c r="N1107" s="42"/>
      <c r="O1107" s="42"/>
      <c r="P1107" s="42"/>
      <c r="Q1107" s="42"/>
      <c r="R1107" s="42"/>
      <c r="S1107" s="42"/>
      <c r="T1107" s="42"/>
      <c r="U1107" s="42"/>
      <c r="V1107" s="42"/>
      <c r="W1107" s="42"/>
      <c r="X1107" s="42"/>
      <c r="Y1107" s="42"/>
      <c r="Z1107" s="42"/>
      <c r="AA1107" s="42"/>
      <c r="AB1107" s="42"/>
      <c r="AC1107" s="42"/>
      <c r="AD1107" s="42"/>
      <c r="AE1107" s="42"/>
      <c r="AF1107" s="42"/>
      <c r="AG1107" s="42"/>
      <c r="AH1107" s="42"/>
      <c r="AI1107" s="42"/>
      <c r="AJ1107" s="42"/>
      <c r="AK1107" s="42"/>
      <c r="AL1107" s="42"/>
      <c r="AM1107" s="42"/>
      <c r="AN1107" s="42"/>
      <c r="AO1107" s="42"/>
      <c r="AP1107" s="42"/>
      <c r="AQ1107" s="42"/>
      <c r="AR1107" s="42"/>
      <c r="AS1107" s="42"/>
      <c r="AT1107" s="42"/>
      <c r="AU1107" s="42"/>
      <c r="AV1107" s="42"/>
      <c r="AW1107" s="42"/>
      <c r="AX1107" s="42"/>
      <c r="AY1107" s="42"/>
      <c r="AZ1107" s="42"/>
      <c r="BA1107" s="42"/>
      <c r="BB1107" s="42"/>
      <c r="BC1107" s="42"/>
      <c r="BD1107" s="42"/>
      <c r="BE1107" s="42"/>
      <c r="BF1107" s="42"/>
      <c r="BG1107" s="42"/>
      <c r="BH1107" s="42"/>
      <c r="BI1107" s="42"/>
      <c r="BJ1107" s="42"/>
      <c r="BK1107" s="42"/>
      <c r="BL1107" s="42"/>
      <c r="BM1107" s="42"/>
      <c r="BN1107" s="42"/>
      <c r="BO1107" s="42"/>
    </row>
    <row r="1108">
      <c r="A1108" s="40"/>
      <c r="B1108" s="40"/>
      <c r="C1108" s="42"/>
      <c r="D1108" s="42"/>
      <c r="E1108" s="43"/>
      <c r="F1108" s="42"/>
      <c r="G1108" s="42"/>
      <c r="H1108" s="42"/>
      <c r="I1108" s="42"/>
      <c r="J1108" s="42"/>
      <c r="K1108" s="42"/>
      <c r="L1108" s="42"/>
      <c r="M1108" s="42"/>
      <c r="N1108" s="42"/>
      <c r="O1108" s="42"/>
      <c r="P1108" s="42"/>
      <c r="Q1108" s="42"/>
      <c r="R1108" s="42"/>
      <c r="S1108" s="42"/>
      <c r="T1108" s="42"/>
      <c r="U1108" s="42"/>
      <c r="V1108" s="42"/>
      <c r="W1108" s="42"/>
      <c r="X1108" s="42"/>
      <c r="Y1108" s="42"/>
      <c r="Z1108" s="42"/>
      <c r="AA1108" s="42"/>
      <c r="AB1108" s="42"/>
      <c r="AC1108" s="42"/>
      <c r="AD1108" s="42"/>
      <c r="AE1108" s="42"/>
      <c r="AF1108" s="42"/>
      <c r="AG1108" s="42"/>
      <c r="AH1108" s="42"/>
      <c r="AI1108" s="42"/>
      <c r="AJ1108" s="42"/>
      <c r="AK1108" s="42"/>
      <c r="AL1108" s="42"/>
      <c r="AM1108" s="42"/>
      <c r="AN1108" s="42"/>
      <c r="AO1108" s="42"/>
      <c r="AP1108" s="42"/>
      <c r="AQ1108" s="42"/>
      <c r="AR1108" s="42"/>
      <c r="AS1108" s="42"/>
      <c r="AT1108" s="42"/>
      <c r="AU1108" s="42"/>
      <c r="AV1108" s="42"/>
      <c r="AW1108" s="42"/>
      <c r="AX1108" s="42"/>
      <c r="AY1108" s="42"/>
      <c r="AZ1108" s="42"/>
      <c r="BA1108" s="42"/>
      <c r="BB1108" s="42"/>
      <c r="BC1108" s="42"/>
      <c r="BD1108" s="42"/>
      <c r="BE1108" s="42"/>
      <c r="BF1108" s="42"/>
      <c r="BG1108" s="42"/>
      <c r="BH1108" s="42"/>
      <c r="BI1108" s="42"/>
      <c r="BJ1108" s="42"/>
      <c r="BK1108" s="42"/>
      <c r="BL1108" s="42"/>
      <c r="BM1108" s="42"/>
      <c r="BN1108" s="42"/>
      <c r="BO1108" s="42"/>
    </row>
    <row r="1109">
      <c r="A1109" s="40"/>
      <c r="B1109" s="40"/>
      <c r="C1109" s="42"/>
      <c r="D1109" s="42"/>
      <c r="E1109" s="43"/>
      <c r="F1109" s="42"/>
      <c r="G1109" s="42"/>
      <c r="H1109" s="42"/>
      <c r="I1109" s="42"/>
      <c r="J1109" s="42"/>
      <c r="K1109" s="42"/>
      <c r="L1109" s="42"/>
      <c r="M1109" s="42"/>
      <c r="N1109" s="42"/>
      <c r="O1109" s="42"/>
      <c r="P1109" s="42"/>
      <c r="Q1109" s="42"/>
      <c r="R1109" s="42"/>
      <c r="S1109" s="42"/>
      <c r="T1109" s="42"/>
      <c r="U1109" s="42"/>
      <c r="V1109" s="42"/>
      <c r="W1109" s="42"/>
      <c r="X1109" s="42"/>
      <c r="Y1109" s="42"/>
      <c r="Z1109" s="42"/>
      <c r="AA1109" s="42"/>
      <c r="AB1109" s="42"/>
      <c r="AC1109" s="42"/>
      <c r="AD1109" s="42"/>
      <c r="AE1109" s="42"/>
      <c r="AF1109" s="42"/>
      <c r="AG1109" s="42"/>
      <c r="AH1109" s="42"/>
      <c r="AI1109" s="42"/>
      <c r="AJ1109" s="42"/>
      <c r="AK1109" s="42"/>
      <c r="AL1109" s="42"/>
      <c r="AM1109" s="42"/>
      <c r="AN1109" s="42"/>
      <c r="AO1109" s="42"/>
      <c r="AP1109" s="42"/>
      <c r="AQ1109" s="42"/>
      <c r="AR1109" s="42"/>
      <c r="AS1109" s="42"/>
      <c r="AT1109" s="42"/>
      <c r="AU1109" s="42"/>
      <c r="AV1109" s="42"/>
      <c r="AW1109" s="42"/>
      <c r="AX1109" s="42"/>
      <c r="AY1109" s="42"/>
      <c r="AZ1109" s="42"/>
      <c r="BA1109" s="42"/>
      <c r="BB1109" s="42"/>
      <c r="BC1109" s="42"/>
      <c r="BD1109" s="42"/>
      <c r="BE1109" s="42"/>
      <c r="BF1109" s="42"/>
      <c r="BG1109" s="42"/>
      <c r="BH1109" s="42"/>
      <c r="BI1109" s="42"/>
      <c r="BJ1109" s="42"/>
      <c r="BK1109" s="42"/>
      <c r="BL1109" s="42"/>
      <c r="BM1109" s="42"/>
      <c r="BN1109" s="42"/>
      <c r="BO1109" s="42"/>
    </row>
    <row r="1110">
      <c r="A1110" s="40"/>
      <c r="B1110" s="40"/>
      <c r="C1110" s="42"/>
      <c r="D1110" s="42"/>
      <c r="E1110" s="43"/>
      <c r="F1110" s="42"/>
      <c r="G1110" s="42"/>
      <c r="H1110" s="42"/>
      <c r="I1110" s="42"/>
      <c r="J1110" s="42"/>
      <c r="K1110" s="42"/>
      <c r="L1110" s="42"/>
      <c r="M1110" s="42"/>
      <c r="N1110" s="42"/>
      <c r="O1110" s="42"/>
      <c r="P1110" s="42"/>
      <c r="Q1110" s="42"/>
      <c r="R1110" s="42"/>
      <c r="S1110" s="42"/>
      <c r="T1110" s="42"/>
      <c r="U1110" s="42"/>
      <c r="V1110" s="42"/>
      <c r="W1110" s="42"/>
      <c r="X1110" s="42"/>
      <c r="Y1110" s="42"/>
      <c r="Z1110" s="42"/>
      <c r="AA1110" s="42"/>
      <c r="AB1110" s="42"/>
      <c r="AC1110" s="42"/>
      <c r="AD1110" s="42"/>
      <c r="AE1110" s="42"/>
      <c r="AF1110" s="42"/>
      <c r="AG1110" s="42"/>
      <c r="AH1110" s="42"/>
      <c r="AI1110" s="42"/>
      <c r="AJ1110" s="42"/>
      <c r="AK1110" s="42"/>
      <c r="AL1110" s="42"/>
      <c r="AM1110" s="42"/>
      <c r="AN1110" s="42"/>
      <c r="AO1110" s="42"/>
      <c r="AP1110" s="42"/>
      <c r="AQ1110" s="42"/>
      <c r="AR1110" s="42"/>
      <c r="AS1110" s="42"/>
      <c r="AT1110" s="42"/>
      <c r="AU1110" s="42"/>
      <c r="AV1110" s="42"/>
      <c r="AW1110" s="42"/>
      <c r="AX1110" s="42"/>
      <c r="AY1110" s="42"/>
      <c r="AZ1110" s="42"/>
      <c r="BA1110" s="42"/>
      <c r="BB1110" s="42"/>
      <c r="BC1110" s="42"/>
      <c r="BD1110" s="42"/>
      <c r="BE1110" s="42"/>
      <c r="BF1110" s="42"/>
      <c r="BG1110" s="42"/>
      <c r="BH1110" s="42"/>
      <c r="BI1110" s="42"/>
      <c r="BJ1110" s="42"/>
      <c r="BK1110" s="42"/>
      <c r="BL1110" s="42"/>
      <c r="BM1110" s="42"/>
      <c r="BN1110" s="42"/>
      <c r="BO1110" s="42"/>
    </row>
    <row r="1111">
      <c r="A1111" s="40"/>
      <c r="B1111" s="40"/>
      <c r="C1111" s="42"/>
      <c r="D1111" s="42"/>
      <c r="E1111" s="43"/>
      <c r="F1111" s="42"/>
      <c r="G1111" s="42"/>
      <c r="H1111" s="42"/>
      <c r="I1111" s="42"/>
      <c r="J1111" s="42"/>
      <c r="K1111" s="42"/>
      <c r="L1111" s="42"/>
      <c r="M1111" s="42"/>
      <c r="N1111" s="42"/>
      <c r="O1111" s="42"/>
      <c r="P1111" s="42"/>
      <c r="Q1111" s="42"/>
      <c r="R1111" s="42"/>
      <c r="S1111" s="42"/>
      <c r="T1111" s="42"/>
      <c r="U1111" s="42"/>
      <c r="V1111" s="42"/>
      <c r="W1111" s="42"/>
      <c r="X1111" s="42"/>
      <c r="Y1111" s="42"/>
      <c r="Z1111" s="42"/>
      <c r="AA1111" s="42"/>
      <c r="AB1111" s="42"/>
      <c r="AC1111" s="42"/>
      <c r="AD1111" s="42"/>
      <c r="AE1111" s="42"/>
      <c r="AF1111" s="42"/>
      <c r="AG1111" s="42"/>
      <c r="AH1111" s="42"/>
      <c r="AI1111" s="42"/>
      <c r="AJ1111" s="42"/>
      <c r="AK1111" s="42"/>
      <c r="AL1111" s="42"/>
      <c r="AM1111" s="42"/>
      <c r="AN1111" s="42"/>
      <c r="AO1111" s="42"/>
      <c r="AP1111" s="42"/>
      <c r="AQ1111" s="42"/>
      <c r="AR1111" s="42"/>
      <c r="AS1111" s="42"/>
      <c r="AT1111" s="42"/>
      <c r="AU1111" s="42"/>
      <c r="AV1111" s="42"/>
      <c r="AW1111" s="42"/>
      <c r="AX1111" s="42"/>
      <c r="AY1111" s="42"/>
      <c r="AZ1111" s="42"/>
      <c r="BA1111" s="42"/>
      <c r="BB1111" s="42"/>
      <c r="BC1111" s="42"/>
      <c r="BD1111" s="42"/>
      <c r="BE1111" s="42"/>
      <c r="BF1111" s="42"/>
      <c r="BG1111" s="42"/>
      <c r="BH1111" s="42"/>
      <c r="BI1111" s="42"/>
      <c r="BJ1111" s="42"/>
      <c r="BK1111" s="42"/>
      <c r="BL1111" s="42"/>
      <c r="BM1111" s="42"/>
      <c r="BN1111" s="42"/>
      <c r="BO1111" s="42"/>
    </row>
    <row r="1112">
      <c r="A1112" s="40"/>
      <c r="B1112" s="40"/>
      <c r="C1112" s="42"/>
      <c r="D1112" s="42"/>
      <c r="E1112" s="43"/>
      <c r="F1112" s="42"/>
      <c r="G1112" s="42"/>
      <c r="H1112" s="42"/>
      <c r="I1112" s="42"/>
      <c r="J1112" s="42"/>
      <c r="K1112" s="42"/>
      <c r="L1112" s="42"/>
      <c r="M1112" s="42"/>
      <c r="N1112" s="42"/>
      <c r="O1112" s="42"/>
      <c r="P1112" s="42"/>
      <c r="Q1112" s="42"/>
      <c r="R1112" s="42"/>
      <c r="S1112" s="42"/>
      <c r="T1112" s="42"/>
      <c r="U1112" s="42"/>
      <c r="V1112" s="42"/>
      <c r="W1112" s="42"/>
      <c r="X1112" s="42"/>
      <c r="Y1112" s="42"/>
      <c r="Z1112" s="42"/>
      <c r="AA1112" s="42"/>
      <c r="AB1112" s="42"/>
      <c r="AC1112" s="42"/>
      <c r="AD1112" s="42"/>
      <c r="AE1112" s="42"/>
      <c r="AF1112" s="42"/>
      <c r="AG1112" s="42"/>
      <c r="AH1112" s="42"/>
      <c r="AI1112" s="42"/>
      <c r="AJ1112" s="42"/>
      <c r="AK1112" s="42"/>
      <c r="AL1112" s="42"/>
      <c r="AM1112" s="42"/>
      <c r="AN1112" s="42"/>
      <c r="AO1112" s="42"/>
      <c r="AP1112" s="42"/>
      <c r="AQ1112" s="42"/>
      <c r="AR1112" s="42"/>
      <c r="AS1112" s="42"/>
      <c r="AT1112" s="42"/>
      <c r="AU1112" s="42"/>
      <c r="AV1112" s="42"/>
      <c r="AW1112" s="42"/>
      <c r="AX1112" s="42"/>
      <c r="AY1112" s="42"/>
      <c r="AZ1112" s="42"/>
      <c r="BA1112" s="42"/>
      <c r="BB1112" s="42"/>
      <c r="BC1112" s="42"/>
      <c r="BD1112" s="42"/>
      <c r="BE1112" s="42"/>
      <c r="BF1112" s="42"/>
      <c r="BG1112" s="42"/>
      <c r="BH1112" s="42"/>
      <c r="BI1112" s="42"/>
      <c r="BJ1112" s="42"/>
      <c r="BK1112" s="42"/>
      <c r="BL1112" s="42"/>
      <c r="BM1112" s="42"/>
      <c r="BN1112" s="42"/>
      <c r="BO1112" s="42"/>
    </row>
    <row r="1113">
      <c r="A1113" s="40"/>
      <c r="B1113" s="40"/>
      <c r="C1113" s="42"/>
      <c r="D1113" s="42"/>
      <c r="E1113" s="43"/>
      <c r="F1113" s="42"/>
      <c r="G1113" s="42"/>
      <c r="H1113" s="42"/>
      <c r="I1113" s="42"/>
      <c r="J1113" s="42"/>
      <c r="K1113" s="42"/>
      <c r="L1113" s="42"/>
      <c r="M1113" s="42"/>
      <c r="N1113" s="42"/>
      <c r="O1113" s="42"/>
      <c r="P1113" s="42"/>
      <c r="Q1113" s="42"/>
      <c r="R1113" s="42"/>
      <c r="S1113" s="42"/>
      <c r="T1113" s="42"/>
      <c r="U1113" s="42"/>
      <c r="V1113" s="42"/>
      <c r="W1113" s="42"/>
      <c r="X1113" s="42"/>
      <c r="Y1113" s="42"/>
      <c r="Z1113" s="42"/>
      <c r="AA1113" s="42"/>
      <c r="AB1113" s="42"/>
      <c r="AC1113" s="42"/>
      <c r="AD1113" s="42"/>
      <c r="AE1113" s="42"/>
      <c r="AF1113" s="42"/>
      <c r="AG1113" s="42"/>
      <c r="AH1113" s="42"/>
      <c r="AI1113" s="42"/>
      <c r="AJ1113" s="42"/>
      <c r="AK1113" s="42"/>
      <c r="AL1113" s="42"/>
      <c r="AM1113" s="42"/>
      <c r="AN1113" s="42"/>
      <c r="AO1113" s="42"/>
      <c r="AP1113" s="42"/>
      <c r="AQ1113" s="42"/>
      <c r="AR1113" s="42"/>
      <c r="AS1113" s="42"/>
      <c r="AT1113" s="42"/>
      <c r="AU1113" s="42"/>
      <c r="AV1113" s="42"/>
      <c r="AW1113" s="42"/>
      <c r="AX1113" s="42"/>
      <c r="AY1113" s="42"/>
      <c r="AZ1113" s="42"/>
      <c r="BA1113" s="42"/>
      <c r="BB1113" s="42"/>
      <c r="BC1113" s="42"/>
      <c r="BD1113" s="42"/>
      <c r="BE1113" s="42"/>
      <c r="BF1113" s="42"/>
      <c r="BG1113" s="42"/>
      <c r="BH1113" s="42"/>
      <c r="BI1113" s="42"/>
      <c r="BJ1113" s="42"/>
      <c r="BK1113" s="42"/>
      <c r="BL1113" s="42"/>
      <c r="BM1113" s="42"/>
      <c r="BN1113" s="42"/>
      <c r="BO1113" s="42"/>
    </row>
    <row r="1114">
      <c r="A1114" s="40"/>
      <c r="B1114" s="40"/>
      <c r="C1114" s="42"/>
      <c r="D1114" s="42"/>
      <c r="E1114" s="43"/>
      <c r="F1114" s="42"/>
      <c r="G1114" s="42"/>
      <c r="H1114" s="42"/>
      <c r="I1114" s="42"/>
      <c r="J1114" s="42"/>
      <c r="K1114" s="42"/>
      <c r="L1114" s="42"/>
      <c r="M1114" s="42"/>
      <c r="N1114" s="42"/>
      <c r="O1114" s="42"/>
      <c r="P1114" s="42"/>
      <c r="Q1114" s="42"/>
      <c r="R1114" s="42"/>
      <c r="S1114" s="42"/>
      <c r="T1114" s="42"/>
      <c r="U1114" s="42"/>
      <c r="V1114" s="42"/>
      <c r="W1114" s="42"/>
      <c r="X1114" s="42"/>
      <c r="Y1114" s="42"/>
      <c r="Z1114" s="42"/>
      <c r="AA1114" s="42"/>
      <c r="AB1114" s="42"/>
      <c r="AC1114" s="42"/>
      <c r="AD1114" s="42"/>
      <c r="AE1114" s="42"/>
      <c r="AF1114" s="42"/>
      <c r="AG1114" s="42"/>
      <c r="AH1114" s="42"/>
      <c r="AI1114" s="42"/>
      <c r="AJ1114" s="42"/>
      <c r="AK1114" s="42"/>
      <c r="AL1114" s="42"/>
      <c r="AM1114" s="42"/>
      <c r="AN1114" s="42"/>
      <c r="AO1114" s="42"/>
      <c r="AP1114" s="42"/>
      <c r="AQ1114" s="42"/>
      <c r="AR1114" s="42"/>
      <c r="AS1114" s="42"/>
      <c r="AT1114" s="42"/>
      <c r="AU1114" s="42"/>
      <c r="AV1114" s="42"/>
      <c r="AW1114" s="42"/>
      <c r="AX1114" s="42"/>
      <c r="AY1114" s="42"/>
      <c r="AZ1114" s="42"/>
      <c r="BA1114" s="42"/>
      <c r="BB1114" s="42"/>
      <c r="BC1114" s="42"/>
      <c r="BD1114" s="42"/>
      <c r="BE1114" s="42"/>
      <c r="BF1114" s="42"/>
      <c r="BG1114" s="42"/>
      <c r="BH1114" s="42"/>
      <c r="BI1114" s="42"/>
      <c r="BJ1114" s="42"/>
      <c r="BK1114" s="42"/>
      <c r="BL1114" s="42"/>
      <c r="BM1114" s="42"/>
      <c r="BN1114" s="42"/>
      <c r="BO1114" s="42"/>
    </row>
    <row r="1115">
      <c r="A1115" s="40"/>
      <c r="B1115" s="40"/>
      <c r="C1115" s="42"/>
      <c r="D1115" s="42"/>
      <c r="E1115" s="43"/>
      <c r="F1115" s="42"/>
      <c r="G1115" s="42"/>
      <c r="H1115" s="42"/>
      <c r="I1115" s="42"/>
      <c r="J1115" s="42"/>
      <c r="K1115" s="42"/>
      <c r="L1115" s="42"/>
      <c r="M1115" s="42"/>
      <c r="N1115" s="42"/>
      <c r="O1115" s="42"/>
      <c r="P1115" s="42"/>
      <c r="Q1115" s="42"/>
      <c r="R1115" s="42"/>
      <c r="S1115" s="42"/>
      <c r="T1115" s="42"/>
      <c r="U1115" s="42"/>
      <c r="V1115" s="42"/>
      <c r="W1115" s="42"/>
      <c r="X1115" s="42"/>
      <c r="Y1115" s="42"/>
      <c r="Z1115" s="42"/>
      <c r="AA1115" s="42"/>
      <c r="AB1115" s="42"/>
      <c r="AC1115" s="42"/>
      <c r="AD1115" s="42"/>
      <c r="AE1115" s="42"/>
      <c r="AF1115" s="42"/>
      <c r="AG1115" s="42"/>
      <c r="AH1115" s="42"/>
      <c r="AI1115" s="42"/>
      <c r="AJ1115" s="42"/>
      <c r="AK1115" s="42"/>
      <c r="AL1115" s="42"/>
      <c r="AM1115" s="42"/>
      <c r="AN1115" s="42"/>
      <c r="AO1115" s="42"/>
      <c r="AP1115" s="42"/>
      <c r="AQ1115" s="42"/>
      <c r="AR1115" s="42"/>
      <c r="AS1115" s="42"/>
      <c r="AT1115" s="42"/>
      <c r="AU1115" s="42"/>
      <c r="AV1115" s="42"/>
      <c r="AW1115" s="42"/>
      <c r="AX1115" s="42"/>
      <c r="AY1115" s="42"/>
      <c r="AZ1115" s="42"/>
      <c r="BA1115" s="42"/>
      <c r="BB1115" s="42"/>
      <c r="BC1115" s="42"/>
      <c r="BD1115" s="42"/>
      <c r="BE1115" s="42"/>
      <c r="BF1115" s="42"/>
      <c r="BG1115" s="42"/>
      <c r="BH1115" s="42"/>
      <c r="BI1115" s="42"/>
      <c r="BJ1115" s="42"/>
      <c r="BK1115" s="42"/>
      <c r="BL1115" s="42"/>
      <c r="BM1115" s="42"/>
      <c r="BN1115" s="42"/>
      <c r="BO1115" s="42"/>
    </row>
    <row r="1116">
      <c r="A1116" s="40"/>
      <c r="B1116" s="40"/>
      <c r="C1116" s="42"/>
      <c r="D1116" s="42"/>
      <c r="E1116" s="43"/>
      <c r="F1116" s="42"/>
      <c r="G1116" s="42"/>
      <c r="H1116" s="42"/>
      <c r="I1116" s="42"/>
      <c r="J1116" s="42"/>
      <c r="K1116" s="42"/>
      <c r="L1116" s="42"/>
      <c r="M1116" s="42"/>
      <c r="N1116" s="42"/>
      <c r="O1116" s="42"/>
      <c r="P1116" s="42"/>
      <c r="Q1116" s="42"/>
      <c r="R1116" s="42"/>
      <c r="S1116" s="42"/>
      <c r="T1116" s="42"/>
      <c r="U1116" s="42"/>
      <c r="V1116" s="42"/>
      <c r="W1116" s="42"/>
      <c r="X1116" s="42"/>
      <c r="Y1116" s="42"/>
      <c r="Z1116" s="42"/>
      <c r="AA1116" s="42"/>
      <c r="AB1116" s="42"/>
      <c r="AC1116" s="42"/>
      <c r="AD1116" s="42"/>
      <c r="AE1116" s="42"/>
      <c r="AF1116" s="42"/>
      <c r="AG1116" s="42"/>
      <c r="AH1116" s="42"/>
      <c r="AI1116" s="42"/>
      <c r="AJ1116" s="42"/>
      <c r="AK1116" s="42"/>
      <c r="AL1116" s="42"/>
      <c r="AM1116" s="42"/>
      <c r="AN1116" s="42"/>
      <c r="AO1116" s="42"/>
      <c r="AP1116" s="42"/>
      <c r="AQ1116" s="42"/>
      <c r="AR1116" s="42"/>
      <c r="AS1116" s="42"/>
      <c r="AT1116" s="42"/>
      <c r="AU1116" s="42"/>
      <c r="AV1116" s="42"/>
      <c r="AW1116" s="42"/>
      <c r="AX1116" s="42"/>
      <c r="AY1116" s="42"/>
      <c r="AZ1116" s="42"/>
      <c r="BA1116" s="42"/>
      <c r="BB1116" s="42"/>
      <c r="BC1116" s="42"/>
      <c r="BD1116" s="42"/>
      <c r="BE1116" s="42"/>
      <c r="BF1116" s="42"/>
      <c r="BG1116" s="42"/>
      <c r="BH1116" s="42"/>
      <c r="BI1116" s="42"/>
      <c r="BJ1116" s="42"/>
      <c r="BK1116" s="42"/>
      <c r="BL1116" s="42"/>
      <c r="BM1116" s="42"/>
      <c r="BN1116" s="42"/>
      <c r="BO1116" s="42"/>
    </row>
    <row r="1117">
      <c r="A1117" s="40"/>
      <c r="B1117" s="40"/>
      <c r="C1117" s="42"/>
      <c r="D1117" s="42"/>
      <c r="E1117" s="43"/>
      <c r="F1117" s="42"/>
      <c r="G1117" s="42"/>
      <c r="H1117" s="42"/>
      <c r="I1117" s="42"/>
      <c r="J1117" s="42"/>
      <c r="K1117" s="42"/>
      <c r="L1117" s="42"/>
      <c r="M1117" s="42"/>
      <c r="N1117" s="42"/>
      <c r="O1117" s="42"/>
      <c r="P1117" s="42"/>
      <c r="Q1117" s="42"/>
      <c r="R1117" s="42"/>
      <c r="S1117" s="42"/>
      <c r="T1117" s="42"/>
      <c r="U1117" s="42"/>
      <c r="V1117" s="42"/>
      <c r="W1117" s="42"/>
      <c r="X1117" s="42"/>
      <c r="Y1117" s="42"/>
      <c r="Z1117" s="42"/>
      <c r="AA1117" s="42"/>
      <c r="AB1117" s="42"/>
      <c r="AC1117" s="42"/>
      <c r="AD1117" s="42"/>
      <c r="AE1117" s="42"/>
      <c r="AF1117" s="42"/>
      <c r="AG1117" s="42"/>
      <c r="AH1117" s="42"/>
      <c r="AI1117" s="42"/>
      <c r="AJ1117" s="42"/>
      <c r="AK1117" s="42"/>
      <c r="AL1117" s="42"/>
      <c r="AM1117" s="42"/>
      <c r="AN1117" s="42"/>
      <c r="AO1117" s="42"/>
      <c r="AP1117" s="42"/>
      <c r="AQ1117" s="42"/>
      <c r="AR1117" s="42"/>
      <c r="AS1117" s="42"/>
      <c r="AT1117" s="42"/>
      <c r="AU1117" s="42"/>
      <c r="AV1117" s="42"/>
      <c r="AW1117" s="42"/>
      <c r="AX1117" s="42"/>
      <c r="AY1117" s="42"/>
      <c r="AZ1117" s="42"/>
      <c r="BA1117" s="42"/>
      <c r="BB1117" s="42"/>
      <c r="BC1117" s="42"/>
      <c r="BD1117" s="42"/>
      <c r="BE1117" s="42"/>
      <c r="BF1117" s="42"/>
      <c r="BG1117" s="42"/>
      <c r="BH1117" s="42"/>
      <c r="BI1117" s="42"/>
      <c r="BJ1117" s="42"/>
      <c r="BK1117" s="42"/>
      <c r="BL1117" s="42"/>
      <c r="BM1117" s="42"/>
      <c r="BN1117" s="42"/>
      <c r="BO1117" s="42"/>
    </row>
    <row r="1118">
      <c r="A1118" s="40"/>
      <c r="B1118" s="40"/>
      <c r="C1118" s="42"/>
      <c r="D1118" s="42"/>
      <c r="E1118" s="43"/>
      <c r="F1118" s="42"/>
      <c r="G1118" s="42"/>
      <c r="H1118" s="42"/>
      <c r="I1118" s="42"/>
      <c r="J1118" s="42"/>
      <c r="K1118" s="42"/>
      <c r="L1118" s="42"/>
      <c r="M1118" s="42"/>
      <c r="N1118" s="42"/>
      <c r="O1118" s="42"/>
      <c r="P1118" s="42"/>
      <c r="Q1118" s="42"/>
      <c r="R1118" s="42"/>
      <c r="S1118" s="42"/>
      <c r="T1118" s="42"/>
      <c r="U1118" s="42"/>
      <c r="V1118" s="42"/>
      <c r="W1118" s="42"/>
      <c r="X1118" s="42"/>
      <c r="Y1118" s="42"/>
      <c r="Z1118" s="42"/>
      <c r="AA1118" s="42"/>
      <c r="AB1118" s="42"/>
      <c r="AC1118" s="42"/>
      <c r="AD1118" s="42"/>
      <c r="AE1118" s="42"/>
      <c r="AF1118" s="42"/>
      <c r="AG1118" s="42"/>
      <c r="AH1118" s="42"/>
      <c r="AI1118" s="42"/>
      <c r="AJ1118" s="42"/>
      <c r="AK1118" s="42"/>
      <c r="AL1118" s="42"/>
      <c r="AM1118" s="42"/>
      <c r="AN1118" s="42"/>
      <c r="AO1118" s="42"/>
      <c r="AP1118" s="42"/>
      <c r="AQ1118" s="42"/>
      <c r="AR1118" s="42"/>
      <c r="AS1118" s="42"/>
      <c r="AT1118" s="42"/>
      <c r="AU1118" s="42"/>
      <c r="AV1118" s="42"/>
      <c r="AW1118" s="42"/>
      <c r="AX1118" s="42"/>
      <c r="AY1118" s="42"/>
      <c r="AZ1118" s="42"/>
      <c r="BA1118" s="42"/>
      <c r="BB1118" s="42"/>
      <c r="BC1118" s="42"/>
      <c r="BD1118" s="42"/>
      <c r="BE1118" s="42"/>
      <c r="BF1118" s="42"/>
      <c r="BG1118" s="42"/>
      <c r="BH1118" s="42"/>
      <c r="BI1118" s="42"/>
      <c r="BJ1118" s="42"/>
      <c r="BK1118" s="42"/>
      <c r="BL1118" s="42"/>
      <c r="BM1118" s="42"/>
      <c r="BN1118" s="42"/>
      <c r="BO1118" s="42"/>
    </row>
    <row r="1119">
      <c r="A1119" s="40"/>
      <c r="B1119" s="40"/>
      <c r="C1119" s="42"/>
      <c r="D1119" s="42"/>
      <c r="E1119" s="43"/>
      <c r="F1119" s="42"/>
      <c r="G1119" s="42"/>
      <c r="H1119" s="42"/>
      <c r="I1119" s="42"/>
      <c r="J1119" s="42"/>
      <c r="K1119" s="42"/>
      <c r="L1119" s="42"/>
      <c r="M1119" s="42"/>
      <c r="N1119" s="42"/>
      <c r="O1119" s="42"/>
      <c r="P1119" s="42"/>
      <c r="Q1119" s="42"/>
      <c r="R1119" s="42"/>
      <c r="S1119" s="42"/>
      <c r="T1119" s="42"/>
      <c r="U1119" s="42"/>
      <c r="V1119" s="42"/>
      <c r="W1119" s="42"/>
      <c r="X1119" s="42"/>
      <c r="Y1119" s="42"/>
      <c r="Z1119" s="42"/>
      <c r="AA1119" s="42"/>
      <c r="AB1119" s="42"/>
      <c r="AC1119" s="42"/>
      <c r="AD1119" s="42"/>
      <c r="AE1119" s="42"/>
      <c r="AF1119" s="42"/>
      <c r="AG1119" s="42"/>
      <c r="AH1119" s="42"/>
      <c r="AI1119" s="42"/>
      <c r="AJ1119" s="42"/>
      <c r="AK1119" s="42"/>
      <c r="AL1119" s="42"/>
      <c r="AM1119" s="42"/>
      <c r="AN1119" s="42"/>
      <c r="AO1119" s="42"/>
      <c r="AP1119" s="42"/>
      <c r="AQ1119" s="42"/>
      <c r="AR1119" s="42"/>
      <c r="AS1119" s="42"/>
      <c r="AT1119" s="42"/>
      <c r="AU1119" s="42"/>
      <c r="AV1119" s="42"/>
      <c r="AW1119" s="42"/>
      <c r="AX1119" s="42"/>
      <c r="AY1119" s="42"/>
      <c r="AZ1119" s="42"/>
      <c r="BA1119" s="42"/>
      <c r="BB1119" s="42"/>
      <c r="BC1119" s="42"/>
      <c r="BD1119" s="42"/>
      <c r="BE1119" s="42"/>
      <c r="BF1119" s="42"/>
      <c r="BG1119" s="42"/>
      <c r="BH1119" s="42"/>
      <c r="BI1119" s="42"/>
      <c r="BJ1119" s="42"/>
      <c r="BK1119" s="42"/>
      <c r="BL1119" s="42"/>
      <c r="BM1119" s="42"/>
      <c r="BN1119" s="42"/>
      <c r="BO1119" s="42"/>
    </row>
    <row r="1120">
      <c r="A1120" s="40"/>
      <c r="B1120" s="40"/>
      <c r="C1120" s="42"/>
      <c r="D1120" s="42"/>
      <c r="E1120" s="43"/>
      <c r="F1120" s="42"/>
      <c r="G1120" s="42"/>
      <c r="H1120" s="42"/>
      <c r="I1120" s="42"/>
      <c r="J1120" s="42"/>
      <c r="K1120" s="42"/>
      <c r="L1120" s="42"/>
      <c r="M1120" s="42"/>
      <c r="N1120" s="42"/>
      <c r="O1120" s="42"/>
      <c r="P1120" s="42"/>
      <c r="Q1120" s="42"/>
      <c r="R1120" s="42"/>
      <c r="S1120" s="42"/>
      <c r="T1120" s="42"/>
      <c r="U1120" s="42"/>
      <c r="V1120" s="42"/>
      <c r="W1120" s="42"/>
      <c r="X1120" s="42"/>
      <c r="Y1120" s="42"/>
      <c r="Z1120" s="42"/>
      <c r="AA1120" s="42"/>
      <c r="AB1120" s="42"/>
      <c r="AC1120" s="42"/>
      <c r="AD1120" s="42"/>
      <c r="AE1120" s="42"/>
      <c r="AF1120" s="42"/>
      <c r="AG1120" s="42"/>
      <c r="AH1120" s="42"/>
      <c r="AI1120" s="42"/>
      <c r="AJ1120" s="42"/>
      <c r="AK1120" s="42"/>
      <c r="AL1120" s="42"/>
      <c r="AM1120" s="42"/>
      <c r="AN1120" s="42"/>
      <c r="AO1120" s="42"/>
      <c r="AP1120" s="42"/>
      <c r="AQ1120" s="42"/>
      <c r="AR1120" s="42"/>
      <c r="AS1120" s="42"/>
      <c r="AT1120" s="42"/>
      <c r="AU1120" s="42"/>
      <c r="AV1120" s="42"/>
      <c r="AW1120" s="42"/>
      <c r="AX1120" s="42"/>
      <c r="AY1120" s="42"/>
      <c r="AZ1120" s="42"/>
      <c r="BA1120" s="42"/>
      <c r="BB1120" s="42"/>
      <c r="BC1120" s="42"/>
      <c r="BD1120" s="42"/>
      <c r="BE1120" s="42"/>
      <c r="BF1120" s="42"/>
      <c r="BG1120" s="42"/>
      <c r="BH1120" s="42"/>
      <c r="BI1120" s="42"/>
      <c r="BJ1120" s="42"/>
      <c r="BK1120" s="42"/>
      <c r="BL1120" s="42"/>
      <c r="BM1120" s="42"/>
      <c r="BN1120" s="42"/>
      <c r="BO1120" s="42"/>
    </row>
    <row r="1121">
      <c r="A1121" s="40"/>
      <c r="B1121" s="40"/>
      <c r="C1121" s="42"/>
      <c r="D1121" s="42"/>
      <c r="E1121" s="43"/>
      <c r="F1121" s="42"/>
      <c r="G1121" s="42"/>
      <c r="H1121" s="42"/>
      <c r="I1121" s="42"/>
      <c r="J1121" s="42"/>
      <c r="K1121" s="42"/>
      <c r="L1121" s="42"/>
      <c r="M1121" s="42"/>
      <c r="N1121" s="42"/>
      <c r="O1121" s="42"/>
      <c r="P1121" s="42"/>
      <c r="Q1121" s="42"/>
      <c r="R1121" s="42"/>
      <c r="S1121" s="42"/>
      <c r="T1121" s="42"/>
      <c r="U1121" s="42"/>
      <c r="V1121" s="42"/>
      <c r="W1121" s="42"/>
      <c r="X1121" s="42"/>
      <c r="Y1121" s="42"/>
      <c r="Z1121" s="42"/>
      <c r="AA1121" s="42"/>
      <c r="AB1121" s="42"/>
      <c r="AC1121" s="42"/>
      <c r="AD1121" s="42"/>
      <c r="AE1121" s="42"/>
      <c r="AF1121" s="42"/>
      <c r="AG1121" s="42"/>
      <c r="AH1121" s="42"/>
      <c r="AI1121" s="42"/>
      <c r="AJ1121" s="42"/>
      <c r="AK1121" s="42"/>
      <c r="AL1121" s="42"/>
      <c r="AM1121" s="42"/>
      <c r="AN1121" s="42"/>
      <c r="AO1121" s="42"/>
      <c r="AP1121" s="42"/>
      <c r="AQ1121" s="42"/>
      <c r="AR1121" s="42"/>
      <c r="AS1121" s="42"/>
      <c r="AT1121" s="42"/>
      <c r="AU1121" s="42"/>
      <c r="AV1121" s="42"/>
      <c r="AW1121" s="42"/>
      <c r="AX1121" s="42"/>
      <c r="AY1121" s="42"/>
      <c r="AZ1121" s="42"/>
      <c r="BA1121" s="42"/>
      <c r="BB1121" s="42"/>
      <c r="BC1121" s="42"/>
      <c r="BD1121" s="42"/>
      <c r="BE1121" s="42"/>
      <c r="BF1121" s="42"/>
      <c r="BG1121" s="42"/>
      <c r="BH1121" s="42"/>
      <c r="BI1121" s="42"/>
      <c r="BJ1121" s="42"/>
      <c r="BK1121" s="42"/>
      <c r="BL1121" s="42"/>
      <c r="BM1121" s="42"/>
      <c r="BN1121" s="42"/>
      <c r="BO1121" s="42"/>
    </row>
    <row r="1122">
      <c r="A1122" s="40"/>
      <c r="B1122" s="40"/>
      <c r="C1122" s="42"/>
      <c r="D1122" s="42"/>
      <c r="E1122" s="43"/>
      <c r="F1122" s="42"/>
      <c r="G1122" s="42"/>
      <c r="H1122" s="42"/>
      <c r="I1122" s="42"/>
      <c r="J1122" s="42"/>
      <c r="K1122" s="42"/>
      <c r="L1122" s="42"/>
      <c r="M1122" s="42"/>
      <c r="N1122" s="42"/>
      <c r="O1122" s="42"/>
      <c r="P1122" s="42"/>
      <c r="Q1122" s="42"/>
      <c r="R1122" s="42"/>
      <c r="S1122" s="42"/>
      <c r="T1122" s="42"/>
      <c r="U1122" s="42"/>
      <c r="V1122" s="42"/>
      <c r="W1122" s="42"/>
      <c r="X1122" s="42"/>
      <c r="Y1122" s="42"/>
      <c r="Z1122" s="42"/>
      <c r="AA1122" s="42"/>
      <c r="AB1122" s="42"/>
      <c r="AC1122" s="42"/>
      <c r="AD1122" s="42"/>
      <c r="AE1122" s="42"/>
      <c r="AF1122" s="42"/>
      <c r="AG1122" s="42"/>
      <c r="AH1122" s="42"/>
      <c r="AI1122" s="42"/>
      <c r="AJ1122" s="42"/>
      <c r="AK1122" s="42"/>
      <c r="AL1122" s="42"/>
      <c r="AM1122" s="42"/>
      <c r="AN1122" s="42"/>
      <c r="AO1122" s="42"/>
      <c r="AP1122" s="42"/>
      <c r="AQ1122" s="42"/>
      <c r="AR1122" s="42"/>
      <c r="AS1122" s="42"/>
      <c r="AT1122" s="42"/>
      <c r="AU1122" s="42"/>
      <c r="AV1122" s="42"/>
      <c r="AW1122" s="42"/>
      <c r="AX1122" s="42"/>
      <c r="AY1122" s="42"/>
      <c r="AZ1122" s="42"/>
      <c r="BA1122" s="42"/>
      <c r="BB1122" s="42"/>
      <c r="BC1122" s="42"/>
      <c r="BD1122" s="42"/>
      <c r="BE1122" s="42"/>
      <c r="BF1122" s="42"/>
      <c r="BG1122" s="42"/>
      <c r="BH1122" s="42"/>
      <c r="BI1122" s="42"/>
      <c r="BJ1122" s="42"/>
      <c r="BK1122" s="42"/>
      <c r="BL1122" s="42"/>
      <c r="BM1122" s="42"/>
      <c r="BN1122" s="42"/>
      <c r="BO1122" s="42"/>
    </row>
    <row r="1123">
      <c r="A1123" s="40"/>
      <c r="B1123" s="40"/>
      <c r="C1123" s="42"/>
      <c r="D1123" s="42"/>
      <c r="E1123" s="43"/>
      <c r="F1123" s="42"/>
      <c r="G1123" s="42"/>
      <c r="H1123" s="42"/>
      <c r="I1123" s="42"/>
      <c r="J1123" s="42"/>
      <c r="K1123" s="42"/>
      <c r="L1123" s="42"/>
      <c r="M1123" s="42"/>
      <c r="N1123" s="42"/>
      <c r="O1123" s="42"/>
      <c r="P1123" s="42"/>
      <c r="Q1123" s="42"/>
      <c r="R1123" s="42"/>
      <c r="S1123" s="42"/>
      <c r="T1123" s="42"/>
      <c r="U1123" s="42"/>
      <c r="V1123" s="42"/>
      <c r="W1123" s="42"/>
      <c r="X1123" s="42"/>
      <c r="Y1123" s="42"/>
      <c r="Z1123" s="42"/>
      <c r="AA1123" s="42"/>
      <c r="AB1123" s="42"/>
      <c r="AC1123" s="42"/>
      <c r="AD1123" s="42"/>
      <c r="AE1123" s="42"/>
      <c r="AF1123" s="42"/>
      <c r="AG1123" s="42"/>
      <c r="AH1123" s="42"/>
      <c r="AI1123" s="42"/>
      <c r="AJ1123" s="42"/>
      <c r="AK1123" s="42"/>
      <c r="AL1123" s="42"/>
      <c r="AM1123" s="42"/>
      <c r="AN1123" s="42"/>
      <c r="AO1123" s="42"/>
      <c r="AP1123" s="42"/>
      <c r="AQ1123" s="42"/>
      <c r="AR1123" s="42"/>
      <c r="AS1123" s="42"/>
      <c r="AT1123" s="42"/>
      <c r="AU1123" s="42"/>
      <c r="AV1123" s="42"/>
      <c r="AW1123" s="42"/>
      <c r="AX1123" s="42"/>
      <c r="AY1123" s="42"/>
      <c r="AZ1123" s="42"/>
      <c r="BA1123" s="42"/>
      <c r="BB1123" s="42"/>
      <c r="BC1123" s="42"/>
      <c r="BD1123" s="42"/>
      <c r="BE1123" s="42"/>
      <c r="BF1123" s="42"/>
      <c r="BG1123" s="42"/>
      <c r="BH1123" s="42"/>
      <c r="BI1123" s="42"/>
      <c r="BJ1123" s="42"/>
      <c r="BK1123" s="42"/>
      <c r="BL1123" s="42"/>
      <c r="BM1123" s="42"/>
      <c r="BN1123" s="42"/>
      <c r="BO1123" s="42"/>
    </row>
    <row r="1124">
      <c r="A1124" s="40"/>
      <c r="B1124" s="40"/>
      <c r="C1124" s="42"/>
      <c r="D1124" s="42"/>
      <c r="E1124" s="43"/>
      <c r="F1124" s="42"/>
      <c r="G1124" s="42"/>
      <c r="H1124" s="42"/>
      <c r="I1124" s="42"/>
      <c r="J1124" s="42"/>
      <c r="K1124" s="42"/>
      <c r="L1124" s="42"/>
      <c r="M1124" s="42"/>
      <c r="N1124" s="42"/>
      <c r="O1124" s="42"/>
      <c r="P1124" s="42"/>
      <c r="Q1124" s="42"/>
      <c r="R1124" s="42"/>
      <c r="S1124" s="42"/>
      <c r="T1124" s="42"/>
      <c r="U1124" s="42"/>
      <c r="V1124" s="42"/>
      <c r="W1124" s="42"/>
      <c r="X1124" s="42"/>
      <c r="Y1124" s="42"/>
      <c r="Z1124" s="42"/>
      <c r="AA1124" s="42"/>
      <c r="AB1124" s="42"/>
      <c r="AC1124" s="42"/>
      <c r="AD1124" s="42"/>
      <c r="AE1124" s="42"/>
      <c r="AF1124" s="42"/>
      <c r="AG1124" s="42"/>
      <c r="AH1124" s="42"/>
      <c r="AI1124" s="42"/>
      <c r="AJ1124" s="42"/>
      <c r="AK1124" s="42"/>
      <c r="AL1124" s="42"/>
      <c r="AM1124" s="42"/>
      <c r="AN1124" s="42"/>
      <c r="AO1124" s="42"/>
      <c r="AP1124" s="42"/>
      <c r="AQ1124" s="42"/>
      <c r="AR1124" s="42"/>
      <c r="AS1124" s="42"/>
      <c r="AT1124" s="42"/>
      <c r="AU1124" s="42"/>
      <c r="AV1124" s="42"/>
      <c r="AW1124" s="42"/>
      <c r="AX1124" s="42"/>
      <c r="AY1124" s="42"/>
      <c r="AZ1124" s="42"/>
      <c r="BA1124" s="42"/>
      <c r="BB1124" s="42"/>
      <c r="BC1124" s="42"/>
      <c r="BD1124" s="42"/>
      <c r="BE1124" s="42"/>
      <c r="BF1124" s="42"/>
      <c r="BG1124" s="42"/>
      <c r="BH1124" s="42"/>
      <c r="BI1124" s="42"/>
      <c r="BJ1124" s="42"/>
      <c r="BK1124" s="42"/>
      <c r="BL1124" s="42"/>
      <c r="BM1124" s="42"/>
      <c r="BN1124" s="42"/>
      <c r="BO1124" s="42"/>
    </row>
    <row r="1125">
      <c r="A1125" s="40"/>
      <c r="B1125" s="40"/>
      <c r="C1125" s="42"/>
      <c r="D1125" s="42"/>
      <c r="E1125" s="43"/>
      <c r="F1125" s="42"/>
      <c r="G1125" s="42"/>
      <c r="H1125" s="42"/>
      <c r="I1125" s="42"/>
      <c r="J1125" s="42"/>
      <c r="K1125" s="42"/>
      <c r="L1125" s="42"/>
      <c r="M1125" s="42"/>
      <c r="N1125" s="42"/>
      <c r="O1125" s="42"/>
      <c r="P1125" s="42"/>
      <c r="Q1125" s="42"/>
      <c r="R1125" s="42"/>
      <c r="S1125" s="42"/>
      <c r="T1125" s="42"/>
      <c r="U1125" s="42"/>
      <c r="V1125" s="42"/>
      <c r="W1125" s="42"/>
      <c r="X1125" s="42"/>
      <c r="Y1125" s="42"/>
      <c r="Z1125" s="42"/>
      <c r="AA1125" s="42"/>
      <c r="AB1125" s="42"/>
      <c r="AC1125" s="42"/>
      <c r="AD1125" s="42"/>
      <c r="AE1125" s="42"/>
      <c r="AF1125" s="42"/>
      <c r="AG1125" s="42"/>
      <c r="AH1125" s="42"/>
      <c r="AI1125" s="42"/>
      <c r="AJ1125" s="42"/>
      <c r="AK1125" s="42"/>
      <c r="AL1125" s="42"/>
      <c r="AM1125" s="42"/>
      <c r="AN1125" s="42"/>
      <c r="AO1125" s="42"/>
      <c r="AP1125" s="42"/>
      <c r="AQ1125" s="42"/>
      <c r="AR1125" s="42"/>
      <c r="AS1125" s="42"/>
      <c r="AT1125" s="42"/>
      <c r="AU1125" s="42"/>
      <c r="AV1125" s="42"/>
      <c r="AW1125" s="42"/>
      <c r="AX1125" s="42"/>
      <c r="AY1125" s="42"/>
      <c r="AZ1125" s="42"/>
      <c r="BA1125" s="42"/>
      <c r="BB1125" s="42"/>
      <c r="BC1125" s="42"/>
      <c r="BD1125" s="42"/>
      <c r="BE1125" s="42"/>
      <c r="BF1125" s="42"/>
      <c r="BG1125" s="42"/>
      <c r="BH1125" s="42"/>
      <c r="BI1125" s="42"/>
      <c r="BJ1125" s="42"/>
      <c r="BK1125" s="42"/>
      <c r="BL1125" s="42"/>
      <c r="BM1125" s="42"/>
      <c r="BN1125" s="42"/>
      <c r="BO1125" s="42"/>
    </row>
    <row r="1126">
      <c r="A1126" s="40"/>
      <c r="B1126" s="40"/>
      <c r="C1126" s="42"/>
      <c r="D1126" s="42"/>
      <c r="E1126" s="43"/>
      <c r="F1126" s="42"/>
      <c r="G1126" s="42"/>
      <c r="H1126" s="42"/>
      <c r="I1126" s="42"/>
      <c r="J1126" s="42"/>
      <c r="K1126" s="42"/>
      <c r="L1126" s="42"/>
      <c r="M1126" s="42"/>
      <c r="N1126" s="42"/>
      <c r="O1126" s="42"/>
      <c r="P1126" s="42"/>
      <c r="Q1126" s="42"/>
      <c r="R1126" s="42"/>
      <c r="S1126" s="42"/>
      <c r="T1126" s="42"/>
      <c r="U1126" s="42"/>
      <c r="V1126" s="42"/>
      <c r="W1126" s="42"/>
      <c r="X1126" s="42"/>
      <c r="Y1126" s="42"/>
      <c r="Z1126" s="42"/>
      <c r="AA1126" s="42"/>
      <c r="AB1126" s="42"/>
      <c r="AC1126" s="42"/>
      <c r="AD1126" s="42"/>
      <c r="AE1126" s="42"/>
      <c r="AF1126" s="42"/>
      <c r="AG1126" s="42"/>
      <c r="AH1126" s="42"/>
      <c r="AI1126" s="42"/>
      <c r="AJ1126" s="42"/>
      <c r="AK1126" s="42"/>
      <c r="AL1126" s="42"/>
      <c r="AM1126" s="42"/>
      <c r="AN1126" s="42"/>
      <c r="AO1126" s="42"/>
      <c r="AP1126" s="42"/>
      <c r="AQ1126" s="42"/>
      <c r="AR1126" s="42"/>
      <c r="AS1126" s="42"/>
      <c r="AT1126" s="42"/>
      <c r="AU1126" s="42"/>
      <c r="AV1126" s="42"/>
      <c r="AW1126" s="42"/>
      <c r="AX1126" s="42"/>
      <c r="AY1126" s="42"/>
      <c r="AZ1126" s="42"/>
      <c r="BA1126" s="42"/>
      <c r="BB1126" s="42"/>
      <c r="BC1126" s="42"/>
      <c r="BD1126" s="42"/>
      <c r="BE1126" s="42"/>
      <c r="BF1126" s="42"/>
      <c r="BG1126" s="42"/>
      <c r="BH1126" s="42"/>
      <c r="BI1126" s="42"/>
      <c r="BJ1126" s="42"/>
      <c r="BK1126" s="42"/>
      <c r="BL1126" s="42"/>
      <c r="BM1126" s="42"/>
      <c r="BN1126" s="42"/>
      <c r="BO1126" s="42"/>
    </row>
    <row r="1127">
      <c r="A1127" s="40"/>
      <c r="B1127" s="40"/>
      <c r="C1127" s="42"/>
      <c r="D1127" s="42"/>
      <c r="E1127" s="43"/>
      <c r="F1127" s="42"/>
      <c r="G1127" s="42"/>
      <c r="H1127" s="42"/>
      <c r="I1127" s="42"/>
      <c r="J1127" s="42"/>
      <c r="K1127" s="42"/>
      <c r="L1127" s="42"/>
      <c r="M1127" s="42"/>
      <c r="N1127" s="42"/>
      <c r="O1127" s="42"/>
      <c r="P1127" s="42"/>
      <c r="Q1127" s="42"/>
      <c r="R1127" s="42"/>
      <c r="S1127" s="42"/>
      <c r="T1127" s="42"/>
      <c r="U1127" s="42"/>
      <c r="V1127" s="42"/>
      <c r="W1127" s="42"/>
      <c r="X1127" s="42"/>
      <c r="Y1127" s="42"/>
      <c r="Z1127" s="42"/>
      <c r="AA1127" s="42"/>
      <c r="AB1127" s="42"/>
      <c r="AC1127" s="42"/>
      <c r="AD1127" s="42"/>
      <c r="AE1127" s="42"/>
      <c r="AF1127" s="42"/>
      <c r="AG1127" s="42"/>
      <c r="AH1127" s="42"/>
      <c r="AI1127" s="42"/>
      <c r="AJ1127" s="42"/>
      <c r="AK1127" s="42"/>
      <c r="AL1127" s="42"/>
      <c r="AM1127" s="42"/>
      <c r="AN1127" s="42"/>
      <c r="AO1127" s="42"/>
      <c r="AP1127" s="42"/>
      <c r="AQ1127" s="42"/>
      <c r="AR1127" s="42"/>
      <c r="AS1127" s="42"/>
      <c r="AT1127" s="42"/>
      <c r="AU1127" s="42"/>
      <c r="AV1127" s="42"/>
      <c r="AW1127" s="42"/>
      <c r="AX1127" s="42"/>
      <c r="AY1127" s="42"/>
      <c r="AZ1127" s="42"/>
      <c r="BA1127" s="42"/>
      <c r="BB1127" s="42"/>
      <c r="BC1127" s="42"/>
      <c r="BD1127" s="42"/>
      <c r="BE1127" s="42"/>
      <c r="BF1127" s="42"/>
      <c r="BG1127" s="42"/>
      <c r="BH1127" s="42"/>
      <c r="BI1127" s="42"/>
      <c r="BJ1127" s="42"/>
      <c r="BK1127" s="42"/>
      <c r="BL1127" s="42"/>
      <c r="BM1127" s="42"/>
      <c r="BN1127" s="42"/>
      <c r="BO1127" s="42"/>
    </row>
    <row r="1128">
      <c r="A1128" s="40"/>
      <c r="B1128" s="40"/>
      <c r="C1128" s="42"/>
      <c r="D1128" s="42"/>
      <c r="E1128" s="43"/>
      <c r="F1128" s="42"/>
      <c r="G1128" s="42"/>
      <c r="H1128" s="42"/>
      <c r="I1128" s="42"/>
      <c r="J1128" s="42"/>
      <c r="K1128" s="42"/>
      <c r="L1128" s="42"/>
      <c r="M1128" s="42"/>
      <c r="N1128" s="42"/>
      <c r="O1128" s="42"/>
      <c r="P1128" s="42"/>
      <c r="Q1128" s="42"/>
      <c r="R1128" s="42"/>
      <c r="S1128" s="42"/>
      <c r="T1128" s="42"/>
      <c r="U1128" s="42"/>
      <c r="V1128" s="42"/>
      <c r="W1128" s="42"/>
      <c r="X1128" s="42"/>
      <c r="Y1128" s="42"/>
      <c r="Z1128" s="42"/>
      <c r="AA1128" s="42"/>
      <c r="AB1128" s="42"/>
      <c r="AC1128" s="42"/>
      <c r="AD1128" s="42"/>
      <c r="AE1128" s="42"/>
      <c r="AF1128" s="42"/>
      <c r="AG1128" s="42"/>
      <c r="AH1128" s="42"/>
      <c r="AI1128" s="42"/>
      <c r="AJ1128" s="42"/>
      <c r="AK1128" s="42"/>
      <c r="AL1128" s="42"/>
      <c r="AM1128" s="42"/>
      <c r="AN1128" s="42"/>
      <c r="AO1128" s="42"/>
      <c r="AP1128" s="42"/>
      <c r="AQ1128" s="42"/>
      <c r="AR1128" s="42"/>
      <c r="AS1128" s="42"/>
      <c r="AT1128" s="42"/>
      <c r="AU1128" s="42"/>
      <c r="AV1128" s="42"/>
      <c r="AW1128" s="42"/>
      <c r="AX1128" s="42"/>
      <c r="AY1128" s="42"/>
      <c r="AZ1128" s="42"/>
      <c r="BA1128" s="42"/>
      <c r="BB1128" s="42"/>
      <c r="BC1128" s="42"/>
      <c r="BD1128" s="42"/>
      <c r="BE1128" s="42"/>
      <c r="BF1128" s="42"/>
      <c r="BG1128" s="42"/>
      <c r="BH1128" s="42"/>
      <c r="BI1128" s="42"/>
      <c r="BJ1128" s="42"/>
      <c r="BK1128" s="42"/>
      <c r="BL1128" s="42"/>
      <c r="BM1128" s="42"/>
      <c r="BN1128" s="42"/>
      <c r="BO1128" s="42"/>
    </row>
    <row r="1129">
      <c r="A1129" s="40"/>
      <c r="B1129" s="40"/>
      <c r="C1129" s="42"/>
      <c r="D1129" s="42"/>
      <c r="E1129" s="43"/>
      <c r="F1129" s="42"/>
      <c r="G1129" s="42"/>
      <c r="H1129" s="42"/>
      <c r="I1129" s="42"/>
      <c r="J1129" s="42"/>
      <c r="K1129" s="42"/>
      <c r="L1129" s="42"/>
      <c r="M1129" s="42"/>
      <c r="N1129" s="42"/>
      <c r="O1129" s="42"/>
      <c r="P1129" s="42"/>
      <c r="Q1129" s="42"/>
      <c r="R1129" s="42"/>
      <c r="S1129" s="42"/>
      <c r="T1129" s="42"/>
      <c r="U1129" s="42"/>
      <c r="V1129" s="42"/>
      <c r="W1129" s="42"/>
      <c r="X1129" s="42"/>
      <c r="Y1129" s="42"/>
      <c r="Z1129" s="42"/>
      <c r="AA1129" s="42"/>
      <c r="AB1129" s="42"/>
      <c r="AC1129" s="42"/>
      <c r="AD1129" s="42"/>
      <c r="AE1129" s="42"/>
      <c r="AF1129" s="42"/>
      <c r="AG1129" s="42"/>
      <c r="AH1129" s="42"/>
      <c r="AI1129" s="42"/>
      <c r="AJ1129" s="42"/>
      <c r="AK1129" s="42"/>
      <c r="AL1129" s="42"/>
      <c r="AM1129" s="42"/>
      <c r="AN1129" s="42"/>
      <c r="AO1129" s="42"/>
      <c r="AP1129" s="42"/>
      <c r="AQ1129" s="42"/>
      <c r="AR1129" s="42"/>
      <c r="AS1129" s="42"/>
      <c r="AT1129" s="42"/>
      <c r="AU1129" s="42"/>
      <c r="AV1129" s="42"/>
      <c r="AW1129" s="42"/>
      <c r="AX1129" s="42"/>
      <c r="AY1129" s="42"/>
      <c r="AZ1129" s="42"/>
      <c r="BA1129" s="42"/>
      <c r="BB1129" s="42"/>
      <c r="BC1129" s="42"/>
      <c r="BD1129" s="42"/>
      <c r="BE1129" s="42"/>
      <c r="BF1129" s="42"/>
      <c r="BG1129" s="42"/>
      <c r="BH1129" s="42"/>
      <c r="BI1129" s="42"/>
      <c r="BJ1129" s="42"/>
      <c r="BK1129" s="42"/>
      <c r="BL1129" s="42"/>
      <c r="BM1129" s="42"/>
      <c r="BN1129" s="42"/>
      <c r="BO1129" s="42"/>
    </row>
    <row r="1130">
      <c r="A1130" s="40"/>
      <c r="B1130" s="40"/>
      <c r="C1130" s="42"/>
      <c r="D1130" s="42"/>
      <c r="E1130" s="43"/>
      <c r="F1130" s="42"/>
      <c r="G1130" s="42"/>
      <c r="H1130" s="42"/>
      <c r="I1130" s="42"/>
      <c r="J1130" s="42"/>
      <c r="K1130" s="42"/>
      <c r="L1130" s="42"/>
      <c r="M1130" s="42"/>
      <c r="N1130" s="42"/>
      <c r="O1130" s="42"/>
      <c r="P1130" s="42"/>
      <c r="Q1130" s="42"/>
      <c r="R1130" s="42"/>
      <c r="S1130" s="42"/>
      <c r="T1130" s="42"/>
      <c r="U1130" s="42"/>
      <c r="V1130" s="42"/>
      <c r="W1130" s="42"/>
      <c r="X1130" s="42"/>
      <c r="Y1130" s="42"/>
      <c r="Z1130" s="42"/>
      <c r="AA1130" s="42"/>
      <c r="AB1130" s="42"/>
      <c r="AC1130" s="42"/>
      <c r="AD1130" s="42"/>
      <c r="AE1130" s="42"/>
      <c r="AF1130" s="42"/>
      <c r="AG1130" s="42"/>
      <c r="AH1130" s="42"/>
      <c r="AI1130" s="42"/>
      <c r="AJ1130" s="42"/>
      <c r="AK1130" s="42"/>
      <c r="AL1130" s="42"/>
      <c r="AM1130" s="42"/>
      <c r="AN1130" s="42"/>
      <c r="AO1130" s="42"/>
      <c r="AP1130" s="42"/>
      <c r="AQ1130" s="42"/>
      <c r="AR1130" s="42"/>
      <c r="AS1130" s="42"/>
      <c r="AT1130" s="42"/>
      <c r="AU1130" s="42"/>
      <c r="AV1130" s="42"/>
      <c r="AW1130" s="42"/>
      <c r="AX1130" s="42"/>
      <c r="AY1130" s="42"/>
      <c r="AZ1130" s="42"/>
      <c r="BA1130" s="42"/>
      <c r="BB1130" s="42"/>
      <c r="BC1130" s="42"/>
      <c r="BD1130" s="42"/>
      <c r="BE1130" s="42"/>
      <c r="BF1130" s="42"/>
      <c r="BG1130" s="42"/>
      <c r="BH1130" s="42"/>
      <c r="BI1130" s="42"/>
      <c r="BJ1130" s="42"/>
      <c r="BK1130" s="42"/>
      <c r="BL1130" s="42"/>
      <c r="BM1130" s="42"/>
      <c r="BN1130" s="42"/>
      <c r="BO1130" s="42"/>
    </row>
    <row r="1131">
      <c r="A1131" s="40"/>
      <c r="B1131" s="40"/>
      <c r="C1131" s="42"/>
      <c r="D1131" s="42"/>
      <c r="E1131" s="43"/>
      <c r="F1131" s="42"/>
      <c r="G1131" s="42"/>
      <c r="H1131" s="42"/>
      <c r="I1131" s="42"/>
      <c r="J1131" s="42"/>
      <c r="K1131" s="42"/>
      <c r="L1131" s="42"/>
      <c r="M1131" s="42"/>
      <c r="N1131" s="42"/>
      <c r="O1131" s="42"/>
      <c r="P1131" s="42"/>
      <c r="Q1131" s="42"/>
      <c r="R1131" s="42"/>
      <c r="S1131" s="42"/>
      <c r="T1131" s="42"/>
      <c r="U1131" s="42"/>
      <c r="V1131" s="42"/>
      <c r="W1131" s="42"/>
      <c r="X1131" s="42"/>
      <c r="Y1131" s="42"/>
      <c r="Z1131" s="42"/>
      <c r="AA1131" s="42"/>
      <c r="AB1131" s="42"/>
      <c r="AC1131" s="42"/>
      <c r="AD1131" s="42"/>
      <c r="AE1131" s="42"/>
      <c r="AF1131" s="42"/>
      <c r="AG1131" s="42"/>
      <c r="AH1131" s="42"/>
      <c r="AI1131" s="42"/>
      <c r="AJ1131" s="42"/>
      <c r="AK1131" s="42"/>
      <c r="AL1131" s="42"/>
      <c r="AM1131" s="42"/>
      <c r="AN1131" s="42"/>
      <c r="AO1131" s="42"/>
      <c r="AP1131" s="42"/>
      <c r="AQ1131" s="42"/>
      <c r="AR1131" s="42"/>
      <c r="AS1131" s="42"/>
      <c r="AT1131" s="42"/>
      <c r="AU1131" s="42"/>
      <c r="AV1131" s="42"/>
      <c r="AW1131" s="42"/>
      <c r="AX1131" s="42"/>
      <c r="AY1131" s="42"/>
      <c r="AZ1131" s="42"/>
      <c r="BA1131" s="42"/>
      <c r="BB1131" s="42"/>
      <c r="BC1131" s="42"/>
      <c r="BD1131" s="42"/>
      <c r="BE1131" s="42"/>
      <c r="BF1131" s="42"/>
      <c r="BG1131" s="42"/>
      <c r="BH1131" s="42"/>
      <c r="BI1131" s="42"/>
      <c r="BJ1131" s="42"/>
      <c r="BK1131" s="42"/>
      <c r="BL1131" s="42"/>
      <c r="BM1131" s="42"/>
      <c r="BN1131" s="42"/>
      <c r="BO1131" s="42"/>
    </row>
    <row r="1132">
      <c r="A1132" s="40"/>
      <c r="B1132" s="40"/>
      <c r="C1132" s="42"/>
      <c r="D1132" s="42"/>
      <c r="E1132" s="43"/>
      <c r="F1132" s="42"/>
      <c r="G1132" s="42"/>
      <c r="H1132" s="42"/>
      <c r="I1132" s="42"/>
      <c r="J1132" s="42"/>
      <c r="K1132" s="42"/>
      <c r="L1132" s="42"/>
      <c r="M1132" s="42"/>
      <c r="N1132" s="42"/>
      <c r="O1132" s="42"/>
      <c r="P1132" s="42"/>
      <c r="Q1132" s="42"/>
      <c r="R1132" s="42"/>
      <c r="S1132" s="42"/>
      <c r="T1132" s="42"/>
      <c r="U1132" s="42"/>
      <c r="V1132" s="42"/>
      <c r="W1132" s="42"/>
      <c r="X1132" s="42"/>
      <c r="Y1132" s="42"/>
      <c r="Z1132" s="42"/>
      <c r="AA1132" s="42"/>
      <c r="AB1132" s="42"/>
      <c r="AC1132" s="42"/>
      <c r="AD1132" s="42"/>
      <c r="AE1132" s="42"/>
      <c r="AF1132" s="42"/>
      <c r="AG1132" s="42"/>
      <c r="AH1132" s="42"/>
      <c r="AI1132" s="42"/>
      <c r="AJ1132" s="42"/>
      <c r="AK1132" s="42"/>
      <c r="AL1132" s="42"/>
      <c r="AM1132" s="42"/>
      <c r="AN1132" s="42"/>
      <c r="AO1132" s="42"/>
      <c r="AP1132" s="42"/>
      <c r="AQ1132" s="42"/>
      <c r="AR1132" s="42"/>
      <c r="AS1132" s="42"/>
      <c r="AT1132" s="42"/>
      <c r="AU1132" s="42"/>
      <c r="AV1132" s="42"/>
      <c r="AW1132" s="42"/>
      <c r="AX1132" s="42"/>
      <c r="AY1132" s="42"/>
      <c r="AZ1132" s="42"/>
      <c r="BA1132" s="42"/>
      <c r="BB1132" s="42"/>
      <c r="BC1132" s="42"/>
      <c r="BD1132" s="42"/>
      <c r="BE1132" s="42"/>
      <c r="BF1132" s="42"/>
      <c r="BG1132" s="42"/>
      <c r="BH1132" s="42"/>
      <c r="BI1132" s="42"/>
      <c r="BJ1132" s="42"/>
      <c r="BK1132" s="42"/>
      <c r="BL1132" s="42"/>
      <c r="BM1132" s="42"/>
      <c r="BN1132" s="42"/>
      <c r="BO1132" s="42"/>
    </row>
    <row r="1133">
      <c r="A1133" s="40"/>
      <c r="B1133" s="40"/>
      <c r="C1133" s="42"/>
      <c r="D1133" s="42"/>
      <c r="E1133" s="43"/>
      <c r="F1133" s="42"/>
      <c r="G1133" s="42"/>
      <c r="H1133" s="42"/>
      <c r="I1133" s="42"/>
      <c r="J1133" s="42"/>
      <c r="K1133" s="42"/>
      <c r="L1133" s="42"/>
      <c r="M1133" s="42"/>
      <c r="N1133" s="42"/>
      <c r="O1133" s="42"/>
      <c r="P1133" s="42"/>
      <c r="Q1133" s="42"/>
      <c r="R1133" s="42"/>
      <c r="S1133" s="42"/>
      <c r="T1133" s="42"/>
      <c r="U1133" s="42"/>
      <c r="V1133" s="42"/>
      <c r="W1133" s="42"/>
      <c r="X1133" s="42"/>
      <c r="Y1133" s="42"/>
      <c r="Z1133" s="42"/>
      <c r="AA1133" s="42"/>
      <c r="AB1133" s="42"/>
      <c r="AC1133" s="42"/>
      <c r="AD1133" s="42"/>
      <c r="AE1133" s="42"/>
      <c r="AF1133" s="42"/>
      <c r="AG1133" s="42"/>
      <c r="AH1133" s="42"/>
      <c r="AI1133" s="42"/>
      <c r="AJ1133" s="42"/>
      <c r="AK1133" s="42"/>
      <c r="AL1133" s="42"/>
      <c r="AM1133" s="42"/>
      <c r="AN1133" s="42"/>
      <c r="AO1133" s="42"/>
      <c r="AP1133" s="42"/>
      <c r="AQ1133" s="42"/>
      <c r="AR1133" s="42"/>
      <c r="AS1133" s="42"/>
      <c r="AT1133" s="42"/>
      <c r="AU1133" s="42"/>
      <c r="AV1133" s="42"/>
      <c r="AW1133" s="42"/>
      <c r="AX1133" s="42"/>
      <c r="AY1133" s="42"/>
      <c r="AZ1133" s="42"/>
      <c r="BA1133" s="42"/>
      <c r="BB1133" s="42"/>
      <c r="BC1133" s="42"/>
      <c r="BD1133" s="42"/>
      <c r="BE1133" s="42"/>
      <c r="BF1133" s="42"/>
      <c r="BG1133" s="42"/>
      <c r="BH1133" s="42"/>
      <c r="BI1133" s="42"/>
      <c r="BJ1133" s="42"/>
      <c r="BK1133" s="42"/>
      <c r="BL1133" s="42"/>
      <c r="BM1133" s="42"/>
      <c r="BN1133" s="42"/>
      <c r="BO1133" s="42"/>
    </row>
    <row r="1134">
      <c r="A1134" s="40"/>
      <c r="B1134" s="40"/>
      <c r="C1134" s="42"/>
      <c r="D1134" s="42"/>
      <c r="E1134" s="43"/>
      <c r="F1134" s="42"/>
      <c r="G1134" s="42"/>
      <c r="H1134" s="42"/>
      <c r="I1134" s="42"/>
      <c r="J1134" s="42"/>
      <c r="K1134" s="42"/>
      <c r="L1134" s="42"/>
      <c r="M1134" s="42"/>
      <c r="N1134" s="42"/>
      <c r="O1134" s="42"/>
      <c r="P1134" s="42"/>
      <c r="Q1134" s="42"/>
      <c r="R1134" s="42"/>
      <c r="S1134" s="42"/>
      <c r="T1134" s="42"/>
      <c r="U1134" s="42"/>
      <c r="V1134" s="42"/>
      <c r="W1134" s="42"/>
      <c r="X1134" s="42"/>
      <c r="Y1134" s="42"/>
      <c r="Z1134" s="42"/>
      <c r="AA1134" s="42"/>
      <c r="AB1134" s="42"/>
      <c r="AC1134" s="42"/>
      <c r="AD1134" s="42"/>
      <c r="AE1134" s="42"/>
      <c r="AF1134" s="42"/>
      <c r="AG1134" s="42"/>
      <c r="AH1134" s="42"/>
      <c r="AI1134" s="42"/>
      <c r="AJ1134" s="42"/>
      <c r="AK1134" s="42"/>
      <c r="AL1134" s="42"/>
      <c r="AM1134" s="42"/>
      <c r="AN1134" s="42"/>
      <c r="AO1134" s="42"/>
      <c r="AP1134" s="42"/>
      <c r="AQ1134" s="42"/>
      <c r="AR1134" s="42"/>
      <c r="AS1134" s="42"/>
      <c r="AT1134" s="42"/>
      <c r="AU1134" s="42"/>
      <c r="AV1134" s="42"/>
      <c r="AW1134" s="42"/>
      <c r="AX1134" s="42"/>
      <c r="AY1134" s="42"/>
      <c r="AZ1134" s="42"/>
      <c r="BA1134" s="42"/>
      <c r="BB1134" s="42"/>
      <c r="BC1134" s="42"/>
      <c r="BD1134" s="42"/>
      <c r="BE1134" s="42"/>
      <c r="BF1134" s="42"/>
      <c r="BG1134" s="42"/>
      <c r="BH1134" s="42"/>
      <c r="BI1134" s="42"/>
      <c r="BJ1134" s="42"/>
      <c r="BK1134" s="42"/>
      <c r="BL1134" s="42"/>
      <c r="BM1134" s="42"/>
      <c r="BN1134" s="42"/>
      <c r="BO1134" s="42"/>
    </row>
    <row r="1135">
      <c r="A1135" s="40"/>
      <c r="B1135" s="40"/>
      <c r="C1135" s="42"/>
      <c r="D1135" s="42"/>
      <c r="E1135" s="43"/>
      <c r="F1135" s="42"/>
      <c r="G1135" s="42"/>
      <c r="H1135" s="42"/>
      <c r="I1135" s="42"/>
      <c r="J1135" s="42"/>
      <c r="K1135" s="42"/>
      <c r="L1135" s="42"/>
      <c r="M1135" s="42"/>
      <c r="N1135" s="42"/>
      <c r="O1135" s="42"/>
      <c r="P1135" s="42"/>
      <c r="Q1135" s="42"/>
      <c r="R1135" s="42"/>
      <c r="S1135" s="42"/>
      <c r="T1135" s="42"/>
      <c r="U1135" s="42"/>
      <c r="V1135" s="42"/>
      <c r="W1135" s="42"/>
      <c r="X1135" s="42"/>
      <c r="Y1135" s="42"/>
      <c r="Z1135" s="42"/>
      <c r="AA1135" s="42"/>
      <c r="AB1135" s="42"/>
      <c r="AC1135" s="42"/>
      <c r="AD1135" s="42"/>
      <c r="AE1135" s="42"/>
      <c r="AF1135" s="42"/>
      <c r="AG1135" s="42"/>
      <c r="AH1135" s="42"/>
      <c r="AI1135" s="42"/>
      <c r="AJ1135" s="42"/>
      <c r="AK1135" s="42"/>
      <c r="AL1135" s="42"/>
      <c r="AM1135" s="42"/>
      <c r="AN1135" s="42"/>
      <c r="AO1135" s="42"/>
      <c r="AP1135" s="42"/>
      <c r="AQ1135" s="42"/>
      <c r="AR1135" s="42"/>
      <c r="AS1135" s="42"/>
      <c r="AT1135" s="42"/>
      <c r="AU1135" s="42"/>
      <c r="AV1135" s="42"/>
      <c r="AW1135" s="42"/>
      <c r="AX1135" s="42"/>
      <c r="AY1135" s="42"/>
      <c r="AZ1135" s="42"/>
      <c r="BA1135" s="42"/>
      <c r="BB1135" s="42"/>
      <c r="BC1135" s="42"/>
      <c r="BD1135" s="42"/>
      <c r="BE1135" s="42"/>
      <c r="BF1135" s="42"/>
      <c r="BG1135" s="42"/>
      <c r="BH1135" s="42"/>
      <c r="BI1135" s="42"/>
      <c r="BJ1135" s="42"/>
      <c r="BK1135" s="42"/>
      <c r="BL1135" s="42"/>
      <c r="BM1135" s="42"/>
      <c r="BN1135" s="42"/>
      <c r="BO1135" s="42"/>
    </row>
    <row r="1136">
      <c r="A1136" s="40"/>
      <c r="B1136" s="40"/>
      <c r="C1136" s="42"/>
      <c r="D1136" s="42"/>
      <c r="E1136" s="43"/>
      <c r="F1136" s="42"/>
      <c r="G1136" s="42"/>
      <c r="H1136" s="42"/>
      <c r="I1136" s="42"/>
      <c r="J1136" s="42"/>
      <c r="K1136" s="42"/>
      <c r="L1136" s="42"/>
      <c r="M1136" s="42"/>
      <c r="N1136" s="42"/>
      <c r="O1136" s="42"/>
      <c r="P1136" s="42"/>
      <c r="Q1136" s="42"/>
      <c r="R1136" s="42"/>
      <c r="S1136" s="42"/>
      <c r="T1136" s="42"/>
      <c r="U1136" s="42"/>
      <c r="V1136" s="42"/>
      <c r="W1136" s="42"/>
      <c r="X1136" s="42"/>
      <c r="Y1136" s="42"/>
      <c r="Z1136" s="42"/>
      <c r="AA1136" s="42"/>
      <c r="AB1136" s="42"/>
      <c r="AC1136" s="42"/>
      <c r="AD1136" s="42"/>
      <c r="AE1136" s="42"/>
      <c r="AF1136" s="42"/>
      <c r="AG1136" s="42"/>
      <c r="AH1136" s="42"/>
      <c r="AI1136" s="42"/>
      <c r="AJ1136" s="42"/>
      <c r="AK1136" s="42"/>
      <c r="AL1136" s="42"/>
      <c r="AM1136" s="42"/>
      <c r="AN1136" s="42"/>
      <c r="AO1136" s="42"/>
      <c r="AP1136" s="42"/>
      <c r="AQ1136" s="42"/>
      <c r="AR1136" s="42"/>
      <c r="AS1136" s="42"/>
      <c r="AT1136" s="42"/>
      <c r="AU1136" s="42"/>
      <c r="AV1136" s="42"/>
      <c r="AW1136" s="42"/>
      <c r="AX1136" s="42"/>
      <c r="AY1136" s="42"/>
      <c r="AZ1136" s="42"/>
      <c r="BA1136" s="42"/>
      <c r="BB1136" s="42"/>
      <c r="BC1136" s="42"/>
      <c r="BD1136" s="42"/>
      <c r="BE1136" s="42"/>
      <c r="BF1136" s="42"/>
      <c r="BG1136" s="42"/>
      <c r="BH1136" s="42"/>
      <c r="BI1136" s="42"/>
      <c r="BJ1136" s="42"/>
      <c r="BK1136" s="42"/>
      <c r="BL1136" s="42"/>
      <c r="BM1136" s="42"/>
      <c r="BN1136" s="42"/>
      <c r="BO1136" s="42"/>
    </row>
    <row r="1137">
      <c r="A1137" s="40"/>
      <c r="B1137" s="40"/>
      <c r="C1137" s="42"/>
      <c r="D1137" s="42"/>
      <c r="E1137" s="43"/>
      <c r="F1137" s="42"/>
      <c r="G1137" s="42"/>
      <c r="H1137" s="42"/>
      <c r="I1137" s="42"/>
      <c r="J1137" s="42"/>
      <c r="K1137" s="42"/>
      <c r="L1137" s="42"/>
      <c r="M1137" s="42"/>
      <c r="N1137" s="42"/>
      <c r="O1137" s="42"/>
      <c r="P1137" s="42"/>
      <c r="Q1137" s="42"/>
      <c r="R1137" s="42"/>
      <c r="S1137" s="42"/>
      <c r="T1137" s="42"/>
      <c r="U1137" s="42"/>
      <c r="V1137" s="42"/>
      <c r="W1137" s="42"/>
      <c r="X1137" s="42"/>
      <c r="Y1137" s="42"/>
      <c r="Z1137" s="42"/>
      <c r="AA1137" s="42"/>
      <c r="AB1137" s="42"/>
      <c r="AC1137" s="42"/>
      <c r="AD1137" s="42"/>
      <c r="AE1137" s="42"/>
      <c r="AF1137" s="42"/>
      <c r="AG1137" s="42"/>
      <c r="AH1137" s="42"/>
      <c r="AI1137" s="42"/>
      <c r="AJ1137" s="42"/>
      <c r="AK1137" s="42"/>
      <c r="AL1137" s="42"/>
      <c r="AM1137" s="42"/>
      <c r="AN1137" s="42"/>
      <c r="AO1137" s="42"/>
      <c r="AP1137" s="42"/>
      <c r="AQ1137" s="42"/>
      <c r="AR1137" s="42"/>
      <c r="AS1137" s="42"/>
      <c r="AT1137" s="42"/>
      <c r="AU1137" s="42"/>
      <c r="AV1137" s="42"/>
      <c r="AW1137" s="42"/>
      <c r="AX1137" s="42"/>
      <c r="AY1137" s="42"/>
      <c r="AZ1137" s="42"/>
      <c r="BA1137" s="42"/>
      <c r="BB1137" s="42"/>
      <c r="BC1137" s="42"/>
      <c r="BD1137" s="42"/>
      <c r="BE1137" s="42"/>
      <c r="BF1137" s="42"/>
      <c r="BG1137" s="42"/>
      <c r="BH1137" s="42"/>
      <c r="BI1137" s="42"/>
      <c r="BJ1137" s="42"/>
      <c r="BK1137" s="42"/>
      <c r="BL1137" s="42"/>
      <c r="BM1137" s="42"/>
      <c r="BN1137" s="42"/>
      <c r="BO1137" s="42"/>
    </row>
    <row r="1138">
      <c r="A1138" s="40"/>
      <c r="B1138" s="40"/>
      <c r="C1138" s="42"/>
      <c r="D1138" s="42"/>
      <c r="E1138" s="43"/>
      <c r="F1138" s="42"/>
      <c r="G1138" s="42"/>
      <c r="H1138" s="42"/>
      <c r="I1138" s="42"/>
      <c r="J1138" s="42"/>
      <c r="K1138" s="42"/>
      <c r="L1138" s="42"/>
      <c r="M1138" s="42"/>
      <c r="N1138" s="42"/>
      <c r="O1138" s="42"/>
      <c r="P1138" s="42"/>
      <c r="Q1138" s="42"/>
      <c r="R1138" s="42"/>
      <c r="S1138" s="42"/>
      <c r="T1138" s="42"/>
      <c r="U1138" s="42"/>
      <c r="V1138" s="42"/>
      <c r="W1138" s="42"/>
      <c r="X1138" s="42"/>
      <c r="Y1138" s="42"/>
      <c r="Z1138" s="42"/>
      <c r="AA1138" s="42"/>
      <c r="AB1138" s="42"/>
      <c r="AC1138" s="42"/>
      <c r="AD1138" s="42"/>
      <c r="AE1138" s="42"/>
      <c r="AF1138" s="42"/>
      <c r="AG1138" s="42"/>
      <c r="AH1138" s="42"/>
      <c r="AI1138" s="42"/>
      <c r="AJ1138" s="42"/>
      <c r="AK1138" s="42"/>
      <c r="AL1138" s="42"/>
      <c r="AM1138" s="42"/>
      <c r="AN1138" s="42"/>
      <c r="AO1138" s="42"/>
      <c r="AP1138" s="42"/>
      <c r="AQ1138" s="42"/>
      <c r="AR1138" s="42"/>
      <c r="AS1138" s="42"/>
      <c r="AT1138" s="42"/>
      <c r="AU1138" s="42"/>
      <c r="AV1138" s="42"/>
      <c r="AW1138" s="42"/>
      <c r="AX1138" s="42"/>
      <c r="AY1138" s="42"/>
      <c r="AZ1138" s="42"/>
      <c r="BA1138" s="42"/>
      <c r="BB1138" s="42"/>
      <c r="BC1138" s="42"/>
      <c r="BD1138" s="42"/>
      <c r="BE1138" s="42"/>
      <c r="BF1138" s="42"/>
      <c r="BG1138" s="42"/>
      <c r="BH1138" s="42"/>
      <c r="BI1138" s="42"/>
      <c r="BJ1138" s="42"/>
      <c r="BK1138" s="42"/>
      <c r="BL1138" s="42"/>
      <c r="BM1138" s="42"/>
      <c r="BN1138" s="42"/>
      <c r="BO1138" s="42"/>
    </row>
    <row r="1139">
      <c r="A1139" s="40"/>
      <c r="B1139" s="40"/>
      <c r="C1139" s="42"/>
      <c r="D1139" s="42"/>
      <c r="E1139" s="43"/>
      <c r="F1139" s="42"/>
      <c r="G1139" s="42"/>
      <c r="H1139" s="42"/>
      <c r="I1139" s="42"/>
      <c r="J1139" s="42"/>
      <c r="K1139" s="42"/>
      <c r="L1139" s="42"/>
      <c r="M1139" s="42"/>
      <c r="N1139" s="42"/>
      <c r="O1139" s="42"/>
      <c r="P1139" s="42"/>
      <c r="Q1139" s="42"/>
      <c r="R1139" s="42"/>
      <c r="S1139" s="42"/>
      <c r="T1139" s="42"/>
      <c r="U1139" s="42"/>
      <c r="V1139" s="42"/>
      <c r="W1139" s="42"/>
      <c r="X1139" s="42"/>
      <c r="Y1139" s="42"/>
      <c r="Z1139" s="42"/>
      <c r="AA1139" s="42"/>
      <c r="AB1139" s="42"/>
      <c r="AC1139" s="42"/>
      <c r="AD1139" s="42"/>
      <c r="AE1139" s="42"/>
      <c r="AF1139" s="42"/>
      <c r="AG1139" s="42"/>
      <c r="AH1139" s="42"/>
      <c r="AI1139" s="42"/>
      <c r="AJ1139" s="42"/>
      <c r="AK1139" s="42"/>
      <c r="AL1139" s="42"/>
      <c r="AM1139" s="42"/>
      <c r="AN1139" s="42"/>
      <c r="AO1139" s="42"/>
      <c r="AP1139" s="42"/>
      <c r="AQ1139" s="42"/>
      <c r="AR1139" s="42"/>
      <c r="AS1139" s="42"/>
      <c r="AT1139" s="42"/>
      <c r="AU1139" s="42"/>
      <c r="AV1139" s="42"/>
      <c r="AW1139" s="42"/>
      <c r="AX1139" s="42"/>
      <c r="AY1139" s="42"/>
      <c r="AZ1139" s="42"/>
      <c r="BA1139" s="42"/>
      <c r="BB1139" s="42"/>
      <c r="BC1139" s="42"/>
      <c r="BD1139" s="42"/>
      <c r="BE1139" s="42"/>
      <c r="BF1139" s="42"/>
      <c r="BG1139" s="42"/>
      <c r="BH1139" s="42"/>
      <c r="BI1139" s="42"/>
      <c r="BJ1139" s="42"/>
      <c r="BK1139" s="42"/>
      <c r="BL1139" s="42"/>
      <c r="BM1139" s="42"/>
      <c r="BN1139" s="42"/>
      <c r="BO1139" s="42"/>
    </row>
    <row r="1140">
      <c r="A1140" s="40"/>
      <c r="B1140" s="40"/>
      <c r="C1140" s="42"/>
      <c r="D1140" s="42"/>
      <c r="E1140" s="43"/>
      <c r="F1140" s="42"/>
      <c r="G1140" s="42"/>
      <c r="H1140" s="42"/>
      <c r="I1140" s="42"/>
      <c r="J1140" s="42"/>
      <c r="K1140" s="42"/>
      <c r="L1140" s="42"/>
      <c r="M1140" s="42"/>
      <c r="N1140" s="42"/>
      <c r="O1140" s="42"/>
      <c r="P1140" s="42"/>
      <c r="Q1140" s="42"/>
      <c r="R1140" s="42"/>
      <c r="S1140" s="42"/>
      <c r="T1140" s="42"/>
      <c r="U1140" s="42"/>
      <c r="V1140" s="42"/>
      <c r="W1140" s="42"/>
      <c r="X1140" s="42"/>
      <c r="Y1140" s="42"/>
      <c r="Z1140" s="42"/>
      <c r="AA1140" s="42"/>
      <c r="AB1140" s="42"/>
      <c r="AC1140" s="42"/>
      <c r="AD1140" s="42"/>
      <c r="AE1140" s="42"/>
      <c r="AF1140" s="42"/>
      <c r="AG1140" s="42"/>
      <c r="AH1140" s="42"/>
      <c r="AI1140" s="42"/>
      <c r="AJ1140" s="42"/>
      <c r="AK1140" s="42"/>
      <c r="AL1140" s="42"/>
      <c r="AM1140" s="42"/>
      <c r="AN1140" s="42"/>
      <c r="AO1140" s="42"/>
      <c r="AP1140" s="42"/>
      <c r="AQ1140" s="42"/>
      <c r="AR1140" s="42"/>
      <c r="AS1140" s="42"/>
      <c r="AT1140" s="42"/>
      <c r="AU1140" s="42"/>
      <c r="AV1140" s="42"/>
      <c r="AW1140" s="42"/>
      <c r="AX1140" s="42"/>
      <c r="AY1140" s="42"/>
      <c r="AZ1140" s="42"/>
      <c r="BA1140" s="42"/>
      <c r="BB1140" s="42"/>
      <c r="BC1140" s="42"/>
      <c r="BD1140" s="42"/>
      <c r="BE1140" s="42"/>
      <c r="BF1140" s="42"/>
      <c r="BG1140" s="42"/>
      <c r="BH1140" s="42"/>
      <c r="BI1140" s="42"/>
      <c r="BJ1140" s="42"/>
      <c r="BK1140" s="42"/>
      <c r="BL1140" s="42"/>
      <c r="BM1140" s="42"/>
      <c r="BN1140" s="42"/>
      <c r="BO1140" s="42"/>
    </row>
    <row r="1141">
      <c r="A1141" s="40"/>
      <c r="B1141" s="40"/>
      <c r="C1141" s="42"/>
      <c r="D1141" s="42"/>
      <c r="E1141" s="43"/>
      <c r="F1141" s="42"/>
      <c r="G1141" s="42"/>
      <c r="H1141" s="42"/>
      <c r="I1141" s="42"/>
      <c r="J1141" s="42"/>
      <c r="K1141" s="42"/>
      <c r="L1141" s="42"/>
      <c r="M1141" s="42"/>
      <c r="N1141" s="42"/>
      <c r="O1141" s="42"/>
      <c r="P1141" s="42"/>
      <c r="Q1141" s="42"/>
      <c r="R1141" s="42"/>
      <c r="S1141" s="42"/>
      <c r="T1141" s="42"/>
      <c r="U1141" s="42"/>
      <c r="V1141" s="42"/>
      <c r="W1141" s="42"/>
      <c r="X1141" s="42"/>
      <c r="Y1141" s="42"/>
      <c r="Z1141" s="42"/>
      <c r="AA1141" s="42"/>
      <c r="AB1141" s="42"/>
      <c r="AC1141" s="42"/>
      <c r="AD1141" s="42"/>
      <c r="AE1141" s="42"/>
      <c r="AF1141" s="42"/>
      <c r="AG1141" s="42"/>
      <c r="AH1141" s="42"/>
      <c r="AI1141" s="42"/>
      <c r="AJ1141" s="42"/>
      <c r="AK1141" s="42"/>
      <c r="AL1141" s="42"/>
      <c r="AM1141" s="42"/>
      <c r="AN1141" s="42"/>
      <c r="AO1141" s="42"/>
      <c r="AP1141" s="42"/>
      <c r="AQ1141" s="42"/>
      <c r="AR1141" s="42"/>
      <c r="AS1141" s="42"/>
      <c r="AT1141" s="42"/>
      <c r="AU1141" s="42"/>
      <c r="AV1141" s="42"/>
      <c r="AW1141" s="42"/>
      <c r="AX1141" s="42"/>
      <c r="AY1141" s="42"/>
      <c r="AZ1141" s="42"/>
      <c r="BA1141" s="42"/>
      <c r="BB1141" s="42"/>
      <c r="BC1141" s="42"/>
      <c r="BD1141" s="42"/>
      <c r="BE1141" s="42"/>
      <c r="BF1141" s="42"/>
      <c r="BG1141" s="42"/>
      <c r="BH1141" s="42"/>
      <c r="BI1141" s="42"/>
      <c r="BJ1141" s="42"/>
      <c r="BK1141" s="42"/>
      <c r="BL1141" s="42"/>
      <c r="BM1141" s="42"/>
      <c r="BN1141" s="42"/>
      <c r="BO1141" s="42"/>
    </row>
    <row r="1142">
      <c r="A1142" s="40"/>
      <c r="B1142" s="40"/>
      <c r="C1142" s="42"/>
      <c r="D1142" s="42"/>
      <c r="E1142" s="43"/>
      <c r="F1142" s="42"/>
      <c r="G1142" s="42"/>
      <c r="H1142" s="42"/>
      <c r="I1142" s="42"/>
      <c r="J1142" s="42"/>
      <c r="K1142" s="42"/>
      <c r="L1142" s="42"/>
      <c r="M1142" s="42"/>
      <c r="N1142" s="42"/>
      <c r="O1142" s="42"/>
      <c r="P1142" s="42"/>
      <c r="Q1142" s="42"/>
      <c r="R1142" s="42"/>
      <c r="S1142" s="42"/>
      <c r="T1142" s="42"/>
      <c r="U1142" s="42"/>
      <c r="V1142" s="42"/>
      <c r="W1142" s="42"/>
      <c r="X1142" s="42"/>
      <c r="Y1142" s="42"/>
      <c r="Z1142" s="42"/>
      <c r="AA1142" s="42"/>
      <c r="AB1142" s="42"/>
      <c r="AC1142" s="42"/>
      <c r="AD1142" s="42"/>
      <c r="AE1142" s="42"/>
      <c r="AF1142" s="42"/>
      <c r="AG1142" s="42"/>
      <c r="AH1142" s="42"/>
      <c r="AI1142" s="42"/>
      <c r="AJ1142" s="42"/>
      <c r="AK1142" s="42"/>
      <c r="AL1142" s="42"/>
      <c r="AM1142" s="42"/>
      <c r="AN1142" s="42"/>
      <c r="AO1142" s="42"/>
      <c r="AP1142" s="42"/>
      <c r="AQ1142" s="42"/>
      <c r="AR1142" s="42"/>
      <c r="AS1142" s="42"/>
      <c r="AT1142" s="42"/>
      <c r="AU1142" s="42"/>
      <c r="AV1142" s="42"/>
      <c r="AW1142" s="42"/>
      <c r="AX1142" s="42"/>
      <c r="AY1142" s="42"/>
      <c r="AZ1142" s="42"/>
      <c r="BA1142" s="42"/>
      <c r="BB1142" s="42"/>
      <c r="BC1142" s="42"/>
      <c r="BD1142" s="42"/>
      <c r="BE1142" s="42"/>
      <c r="BF1142" s="42"/>
      <c r="BG1142" s="42"/>
      <c r="BH1142" s="42"/>
      <c r="BI1142" s="42"/>
      <c r="BJ1142" s="42"/>
      <c r="BK1142" s="42"/>
      <c r="BL1142" s="42"/>
      <c r="BM1142" s="42"/>
      <c r="BN1142" s="42"/>
      <c r="BO1142" s="42"/>
    </row>
    <row r="1143">
      <c r="A1143" s="40"/>
      <c r="B1143" s="40"/>
      <c r="C1143" s="42"/>
      <c r="D1143" s="42"/>
      <c r="E1143" s="43"/>
      <c r="F1143" s="42"/>
      <c r="G1143" s="42"/>
      <c r="H1143" s="42"/>
      <c r="I1143" s="42"/>
      <c r="J1143" s="42"/>
      <c r="K1143" s="42"/>
      <c r="L1143" s="42"/>
      <c r="M1143" s="42"/>
      <c r="N1143" s="42"/>
      <c r="O1143" s="42"/>
      <c r="P1143" s="42"/>
      <c r="Q1143" s="42"/>
      <c r="R1143" s="42"/>
      <c r="S1143" s="42"/>
      <c r="T1143" s="42"/>
      <c r="U1143" s="42"/>
      <c r="V1143" s="42"/>
      <c r="W1143" s="42"/>
      <c r="X1143" s="42"/>
      <c r="Y1143" s="42"/>
      <c r="Z1143" s="42"/>
      <c r="AA1143" s="42"/>
      <c r="AB1143" s="42"/>
      <c r="AC1143" s="42"/>
      <c r="AD1143" s="42"/>
      <c r="AE1143" s="42"/>
      <c r="AF1143" s="42"/>
      <c r="AG1143" s="42"/>
      <c r="AH1143" s="42"/>
      <c r="AI1143" s="42"/>
      <c r="AJ1143" s="42"/>
      <c r="AK1143" s="42"/>
      <c r="AL1143" s="42"/>
      <c r="AM1143" s="42"/>
      <c r="AN1143" s="42"/>
      <c r="AO1143" s="42"/>
      <c r="AP1143" s="42"/>
      <c r="AQ1143" s="42"/>
      <c r="AR1143" s="42"/>
      <c r="AS1143" s="42"/>
      <c r="AT1143" s="42"/>
      <c r="AU1143" s="42"/>
      <c r="AV1143" s="42"/>
      <c r="AW1143" s="42"/>
      <c r="AX1143" s="42"/>
      <c r="AY1143" s="42"/>
      <c r="AZ1143" s="42"/>
      <c r="BA1143" s="42"/>
      <c r="BB1143" s="42"/>
      <c r="BC1143" s="42"/>
      <c r="BD1143" s="42"/>
      <c r="BE1143" s="42"/>
      <c r="BF1143" s="42"/>
      <c r="BG1143" s="42"/>
      <c r="BH1143" s="42"/>
      <c r="BI1143" s="42"/>
      <c r="BJ1143" s="42"/>
      <c r="BK1143" s="42"/>
      <c r="BL1143" s="42"/>
      <c r="BM1143" s="42"/>
      <c r="BN1143" s="42"/>
      <c r="BO1143" s="42"/>
    </row>
    <row r="1144">
      <c r="A1144" s="40"/>
      <c r="B1144" s="40"/>
      <c r="C1144" s="42"/>
      <c r="D1144" s="42"/>
      <c r="E1144" s="43"/>
      <c r="F1144" s="42"/>
      <c r="G1144" s="42"/>
      <c r="H1144" s="42"/>
      <c r="I1144" s="42"/>
      <c r="J1144" s="42"/>
      <c r="K1144" s="42"/>
      <c r="L1144" s="42"/>
      <c r="M1144" s="42"/>
      <c r="N1144" s="42"/>
      <c r="O1144" s="42"/>
      <c r="P1144" s="42"/>
      <c r="Q1144" s="42"/>
      <c r="R1144" s="42"/>
      <c r="S1144" s="42"/>
      <c r="T1144" s="42"/>
      <c r="U1144" s="42"/>
      <c r="V1144" s="42"/>
      <c r="W1144" s="42"/>
      <c r="X1144" s="42"/>
      <c r="Y1144" s="42"/>
      <c r="Z1144" s="42"/>
      <c r="AA1144" s="42"/>
      <c r="AB1144" s="42"/>
      <c r="AC1144" s="42"/>
      <c r="AD1144" s="42"/>
      <c r="AE1144" s="42"/>
      <c r="AF1144" s="42"/>
      <c r="AG1144" s="42"/>
      <c r="AH1144" s="42"/>
      <c r="AI1144" s="42"/>
      <c r="AJ1144" s="42"/>
      <c r="AK1144" s="42"/>
      <c r="AL1144" s="42"/>
      <c r="AM1144" s="42"/>
      <c r="AN1144" s="42"/>
      <c r="AO1144" s="42"/>
      <c r="AP1144" s="42"/>
      <c r="AQ1144" s="42"/>
      <c r="AR1144" s="42"/>
      <c r="AS1144" s="42"/>
      <c r="AT1144" s="42"/>
      <c r="AU1144" s="42"/>
      <c r="AV1144" s="42"/>
      <c r="AW1144" s="42"/>
      <c r="AX1144" s="42"/>
      <c r="AY1144" s="42"/>
      <c r="AZ1144" s="42"/>
      <c r="BA1144" s="42"/>
      <c r="BB1144" s="42"/>
      <c r="BC1144" s="42"/>
      <c r="BD1144" s="42"/>
      <c r="BE1144" s="42"/>
      <c r="BF1144" s="42"/>
      <c r="BG1144" s="42"/>
      <c r="BH1144" s="42"/>
      <c r="BI1144" s="42"/>
      <c r="BJ1144" s="42"/>
      <c r="BK1144" s="42"/>
      <c r="BL1144" s="42"/>
      <c r="BM1144" s="42"/>
      <c r="BN1144" s="42"/>
      <c r="BO1144" s="42"/>
    </row>
    <row r="1145">
      <c r="A1145" s="40"/>
      <c r="B1145" s="40"/>
      <c r="C1145" s="42"/>
      <c r="D1145" s="42"/>
      <c r="E1145" s="43"/>
      <c r="F1145" s="42"/>
      <c r="G1145" s="42"/>
      <c r="H1145" s="42"/>
      <c r="I1145" s="42"/>
      <c r="J1145" s="42"/>
      <c r="K1145" s="42"/>
      <c r="L1145" s="42"/>
      <c r="M1145" s="42"/>
      <c r="N1145" s="42"/>
      <c r="O1145" s="42"/>
      <c r="P1145" s="42"/>
      <c r="Q1145" s="42"/>
      <c r="R1145" s="42"/>
      <c r="S1145" s="42"/>
      <c r="T1145" s="42"/>
      <c r="U1145" s="42"/>
      <c r="V1145" s="42"/>
      <c r="W1145" s="42"/>
      <c r="X1145" s="42"/>
      <c r="Y1145" s="42"/>
      <c r="Z1145" s="42"/>
      <c r="AA1145" s="42"/>
      <c r="AB1145" s="42"/>
      <c r="AC1145" s="42"/>
      <c r="AD1145" s="42"/>
      <c r="AE1145" s="42"/>
      <c r="AF1145" s="42"/>
      <c r="AG1145" s="42"/>
      <c r="AH1145" s="42"/>
      <c r="AI1145" s="42"/>
      <c r="AJ1145" s="42"/>
      <c r="AK1145" s="42"/>
      <c r="AL1145" s="42"/>
      <c r="AM1145" s="42"/>
      <c r="AN1145" s="42"/>
      <c r="AO1145" s="42"/>
      <c r="AP1145" s="42"/>
      <c r="AQ1145" s="42"/>
      <c r="AR1145" s="42"/>
      <c r="AS1145" s="42"/>
      <c r="AT1145" s="42"/>
      <c r="AU1145" s="42"/>
      <c r="AV1145" s="42"/>
      <c r="AW1145" s="42"/>
      <c r="AX1145" s="42"/>
      <c r="AY1145" s="42"/>
      <c r="AZ1145" s="42"/>
      <c r="BA1145" s="42"/>
      <c r="BB1145" s="42"/>
      <c r="BC1145" s="42"/>
      <c r="BD1145" s="42"/>
      <c r="BE1145" s="42"/>
      <c r="BF1145" s="42"/>
      <c r="BG1145" s="42"/>
      <c r="BH1145" s="42"/>
      <c r="BI1145" s="42"/>
      <c r="BJ1145" s="42"/>
      <c r="BK1145" s="42"/>
      <c r="BL1145" s="42"/>
      <c r="BM1145" s="42"/>
      <c r="BN1145" s="42"/>
      <c r="BO1145" s="42"/>
    </row>
    <row r="1146">
      <c r="A1146" s="40"/>
      <c r="B1146" s="40"/>
      <c r="C1146" s="42"/>
      <c r="D1146" s="42"/>
      <c r="E1146" s="43"/>
      <c r="F1146" s="42"/>
      <c r="G1146" s="42"/>
      <c r="H1146" s="42"/>
      <c r="I1146" s="42"/>
      <c r="J1146" s="42"/>
      <c r="K1146" s="42"/>
      <c r="L1146" s="42"/>
      <c r="M1146" s="42"/>
      <c r="N1146" s="42"/>
      <c r="O1146" s="42"/>
      <c r="P1146" s="42"/>
      <c r="Q1146" s="42"/>
      <c r="R1146" s="42"/>
      <c r="S1146" s="42"/>
      <c r="T1146" s="42"/>
      <c r="U1146" s="42"/>
      <c r="V1146" s="42"/>
      <c r="W1146" s="42"/>
      <c r="X1146" s="42"/>
      <c r="Y1146" s="42"/>
      <c r="Z1146" s="42"/>
      <c r="AA1146" s="42"/>
      <c r="AB1146" s="42"/>
      <c r="AC1146" s="42"/>
      <c r="AD1146" s="42"/>
      <c r="AE1146" s="42"/>
      <c r="AF1146" s="42"/>
      <c r="AG1146" s="42"/>
      <c r="AH1146" s="42"/>
      <c r="AI1146" s="42"/>
      <c r="AJ1146" s="42"/>
      <c r="AK1146" s="42"/>
      <c r="AL1146" s="42"/>
      <c r="AM1146" s="42"/>
      <c r="AN1146" s="42"/>
      <c r="AO1146" s="42"/>
      <c r="AP1146" s="42"/>
      <c r="AQ1146" s="42"/>
      <c r="AR1146" s="42"/>
      <c r="AS1146" s="42"/>
      <c r="AT1146" s="42"/>
      <c r="AU1146" s="42"/>
      <c r="AV1146" s="42"/>
      <c r="AW1146" s="42"/>
      <c r="AX1146" s="42"/>
      <c r="AY1146" s="42"/>
      <c r="AZ1146" s="42"/>
      <c r="BA1146" s="42"/>
      <c r="BB1146" s="42"/>
      <c r="BC1146" s="42"/>
      <c r="BD1146" s="42"/>
      <c r="BE1146" s="42"/>
      <c r="BF1146" s="42"/>
      <c r="BG1146" s="42"/>
      <c r="BH1146" s="42"/>
      <c r="BI1146" s="42"/>
      <c r="BJ1146" s="42"/>
      <c r="BK1146" s="42"/>
      <c r="BL1146" s="42"/>
      <c r="BM1146" s="42"/>
      <c r="BN1146" s="42"/>
      <c r="BO1146" s="42"/>
    </row>
    <row r="1147">
      <c r="A1147" s="40"/>
      <c r="B1147" s="40"/>
      <c r="C1147" s="42"/>
      <c r="D1147" s="42"/>
      <c r="E1147" s="43"/>
      <c r="F1147" s="42"/>
      <c r="G1147" s="42"/>
      <c r="H1147" s="42"/>
      <c r="I1147" s="42"/>
      <c r="J1147" s="42"/>
      <c r="K1147" s="42"/>
      <c r="L1147" s="42"/>
      <c r="M1147" s="42"/>
      <c r="N1147" s="42"/>
      <c r="O1147" s="42"/>
      <c r="P1147" s="42"/>
      <c r="Q1147" s="42"/>
      <c r="R1147" s="42"/>
      <c r="S1147" s="42"/>
      <c r="T1147" s="42"/>
      <c r="U1147" s="42"/>
      <c r="V1147" s="42"/>
      <c r="W1147" s="42"/>
      <c r="X1147" s="42"/>
      <c r="Y1147" s="42"/>
      <c r="Z1147" s="42"/>
      <c r="AA1147" s="42"/>
      <c r="AB1147" s="42"/>
      <c r="AC1147" s="42"/>
      <c r="AD1147" s="42"/>
      <c r="AE1147" s="42"/>
      <c r="AF1147" s="42"/>
      <c r="AG1147" s="42"/>
      <c r="AH1147" s="42"/>
      <c r="AI1147" s="42"/>
      <c r="AJ1147" s="42"/>
      <c r="AK1147" s="42"/>
      <c r="AL1147" s="42"/>
      <c r="AM1147" s="42"/>
      <c r="AN1147" s="42"/>
      <c r="AO1147" s="42"/>
      <c r="AP1147" s="42"/>
      <c r="AQ1147" s="42"/>
      <c r="AR1147" s="42"/>
      <c r="AS1147" s="42"/>
      <c r="AT1147" s="42"/>
      <c r="AU1147" s="42"/>
      <c r="AV1147" s="42"/>
      <c r="AW1147" s="42"/>
      <c r="AX1147" s="42"/>
      <c r="AY1147" s="42"/>
      <c r="AZ1147" s="42"/>
      <c r="BA1147" s="42"/>
      <c r="BB1147" s="42"/>
      <c r="BC1147" s="42"/>
      <c r="BD1147" s="42"/>
      <c r="BE1147" s="42"/>
      <c r="BF1147" s="42"/>
      <c r="BG1147" s="42"/>
      <c r="BH1147" s="42"/>
      <c r="BI1147" s="42"/>
      <c r="BJ1147" s="42"/>
      <c r="BK1147" s="42"/>
      <c r="BL1147" s="42"/>
      <c r="BM1147" s="42"/>
      <c r="BN1147" s="42"/>
      <c r="BO1147" s="42"/>
    </row>
    <row r="1148">
      <c r="A1148" s="40"/>
      <c r="B1148" s="40"/>
      <c r="C1148" s="42"/>
      <c r="D1148" s="42"/>
      <c r="E1148" s="43"/>
      <c r="F1148" s="42"/>
      <c r="G1148" s="42"/>
      <c r="H1148" s="42"/>
      <c r="I1148" s="42"/>
      <c r="J1148" s="42"/>
      <c r="K1148" s="42"/>
      <c r="L1148" s="42"/>
      <c r="M1148" s="42"/>
      <c r="N1148" s="42"/>
      <c r="O1148" s="42"/>
      <c r="P1148" s="42"/>
      <c r="Q1148" s="42"/>
      <c r="R1148" s="42"/>
      <c r="S1148" s="42"/>
      <c r="T1148" s="42"/>
      <c r="U1148" s="42"/>
      <c r="V1148" s="42"/>
      <c r="W1148" s="42"/>
      <c r="X1148" s="42"/>
      <c r="Y1148" s="42"/>
      <c r="Z1148" s="42"/>
      <c r="AA1148" s="42"/>
      <c r="AB1148" s="42"/>
      <c r="AC1148" s="42"/>
      <c r="AD1148" s="42"/>
      <c r="AE1148" s="42"/>
      <c r="AF1148" s="42"/>
      <c r="AG1148" s="42"/>
      <c r="AH1148" s="42"/>
      <c r="AI1148" s="42"/>
      <c r="AJ1148" s="42"/>
      <c r="AK1148" s="42"/>
      <c r="AL1148" s="42"/>
      <c r="AM1148" s="42"/>
      <c r="AN1148" s="42"/>
      <c r="AO1148" s="42"/>
      <c r="AP1148" s="42"/>
      <c r="AQ1148" s="42"/>
      <c r="AR1148" s="42"/>
      <c r="AS1148" s="42"/>
      <c r="AT1148" s="42"/>
      <c r="AU1148" s="42"/>
      <c r="AV1148" s="42"/>
      <c r="AW1148" s="42"/>
      <c r="AX1148" s="42"/>
      <c r="AY1148" s="42"/>
      <c r="AZ1148" s="42"/>
      <c r="BA1148" s="42"/>
      <c r="BB1148" s="42"/>
      <c r="BC1148" s="42"/>
      <c r="BD1148" s="42"/>
      <c r="BE1148" s="42"/>
      <c r="BF1148" s="42"/>
      <c r="BG1148" s="42"/>
      <c r="BH1148" s="42"/>
      <c r="BI1148" s="42"/>
      <c r="BJ1148" s="42"/>
      <c r="BK1148" s="42"/>
      <c r="BL1148" s="42"/>
      <c r="BM1148" s="42"/>
      <c r="BN1148" s="42"/>
      <c r="BO1148" s="42"/>
    </row>
    <row r="1149">
      <c r="A1149" s="40"/>
      <c r="B1149" s="40"/>
      <c r="C1149" s="42"/>
      <c r="D1149" s="42"/>
      <c r="E1149" s="43"/>
      <c r="F1149" s="42"/>
      <c r="G1149" s="42"/>
      <c r="H1149" s="42"/>
      <c r="I1149" s="42"/>
      <c r="J1149" s="42"/>
      <c r="K1149" s="42"/>
      <c r="L1149" s="42"/>
      <c r="M1149" s="42"/>
      <c r="N1149" s="42"/>
      <c r="O1149" s="42"/>
      <c r="P1149" s="42"/>
      <c r="Q1149" s="42"/>
      <c r="R1149" s="42"/>
      <c r="S1149" s="42"/>
      <c r="T1149" s="42"/>
      <c r="U1149" s="42"/>
      <c r="V1149" s="42"/>
      <c r="W1149" s="42"/>
      <c r="X1149" s="42"/>
      <c r="Y1149" s="42"/>
      <c r="Z1149" s="42"/>
      <c r="AA1149" s="42"/>
      <c r="AB1149" s="42"/>
      <c r="AC1149" s="42"/>
      <c r="AD1149" s="42"/>
      <c r="AE1149" s="42"/>
      <c r="AF1149" s="42"/>
      <c r="AG1149" s="42"/>
      <c r="AH1149" s="42"/>
      <c r="AI1149" s="42"/>
      <c r="AJ1149" s="42"/>
      <c r="AK1149" s="42"/>
      <c r="AL1149" s="42"/>
      <c r="AM1149" s="42"/>
      <c r="AN1149" s="42"/>
      <c r="AO1149" s="42"/>
      <c r="AP1149" s="42"/>
      <c r="AQ1149" s="42"/>
      <c r="AR1149" s="42"/>
      <c r="AS1149" s="42"/>
      <c r="AT1149" s="42"/>
      <c r="AU1149" s="42"/>
      <c r="AV1149" s="42"/>
      <c r="AW1149" s="42"/>
      <c r="AX1149" s="42"/>
      <c r="AY1149" s="42"/>
      <c r="AZ1149" s="42"/>
      <c r="BA1149" s="42"/>
      <c r="BB1149" s="42"/>
      <c r="BC1149" s="42"/>
      <c r="BD1149" s="42"/>
      <c r="BE1149" s="42"/>
      <c r="BF1149" s="42"/>
      <c r="BG1149" s="42"/>
      <c r="BH1149" s="42"/>
      <c r="BI1149" s="42"/>
      <c r="BJ1149" s="42"/>
      <c r="BK1149" s="42"/>
      <c r="BL1149" s="42"/>
      <c r="BM1149" s="42"/>
      <c r="BN1149" s="42"/>
      <c r="BO1149" s="42"/>
    </row>
    <row r="1150">
      <c r="A1150" s="40"/>
      <c r="B1150" s="40"/>
      <c r="C1150" s="42"/>
      <c r="D1150" s="42"/>
      <c r="E1150" s="43"/>
      <c r="F1150" s="42"/>
      <c r="G1150" s="42"/>
      <c r="H1150" s="42"/>
      <c r="I1150" s="42"/>
      <c r="J1150" s="42"/>
      <c r="K1150" s="42"/>
      <c r="L1150" s="42"/>
      <c r="M1150" s="42"/>
      <c r="N1150" s="42"/>
      <c r="O1150" s="42"/>
      <c r="P1150" s="42"/>
      <c r="Q1150" s="42"/>
      <c r="R1150" s="42"/>
      <c r="S1150" s="42"/>
      <c r="T1150" s="42"/>
      <c r="U1150" s="42"/>
      <c r="V1150" s="42"/>
      <c r="W1150" s="42"/>
      <c r="X1150" s="42"/>
      <c r="Y1150" s="42"/>
      <c r="Z1150" s="42"/>
      <c r="AA1150" s="42"/>
      <c r="AB1150" s="42"/>
      <c r="AC1150" s="42"/>
      <c r="AD1150" s="42"/>
      <c r="AE1150" s="42"/>
      <c r="AF1150" s="42"/>
      <c r="AG1150" s="42"/>
      <c r="AH1150" s="42"/>
      <c r="AI1150" s="42"/>
      <c r="AJ1150" s="42"/>
      <c r="AK1150" s="42"/>
      <c r="AL1150" s="42"/>
      <c r="AM1150" s="42"/>
      <c r="AN1150" s="42"/>
      <c r="AO1150" s="42"/>
      <c r="AP1150" s="42"/>
      <c r="AQ1150" s="42"/>
      <c r="AR1150" s="42"/>
      <c r="AS1150" s="42"/>
      <c r="AT1150" s="42"/>
      <c r="AU1150" s="42"/>
      <c r="AV1150" s="42"/>
      <c r="AW1150" s="42"/>
      <c r="AX1150" s="42"/>
      <c r="AY1150" s="42"/>
      <c r="AZ1150" s="42"/>
      <c r="BA1150" s="42"/>
      <c r="BB1150" s="42"/>
      <c r="BC1150" s="42"/>
      <c r="BD1150" s="42"/>
      <c r="BE1150" s="42"/>
      <c r="BF1150" s="42"/>
      <c r="BG1150" s="42"/>
      <c r="BH1150" s="42"/>
      <c r="BI1150" s="42"/>
      <c r="BJ1150" s="42"/>
      <c r="BK1150" s="42"/>
      <c r="BL1150" s="42"/>
      <c r="BM1150" s="42"/>
      <c r="BN1150" s="42"/>
      <c r="BO1150" s="42"/>
    </row>
    <row r="1151">
      <c r="A1151" s="40"/>
      <c r="B1151" s="40"/>
      <c r="C1151" s="42"/>
      <c r="D1151" s="42"/>
      <c r="E1151" s="43"/>
      <c r="F1151" s="42"/>
      <c r="G1151" s="42"/>
      <c r="H1151" s="42"/>
      <c r="I1151" s="42"/>
      <c r="J1151" s="42"/>
      <c r="K1151" s="42"/>
      <c r="L1151" s="42"/>
      <c r="M1151" s="42"/>
      <c r="N1151" s="42"/>
      <c r="O1151" s="42"/>
      <c r="P1151" s="42"/>
      <c r="Q1151" s="42"/>
      <c r="R1151" s="42"/>
      <c r="S1151" s="42"/>
      <c r="T1151" s="42"/>
      <c r="U1151" s="42"/>
      <c r="V1151" s="42"/>
      <c r="W1151" s="42"/>
      <c r="X1151" s="42"/>
      <c r="Y1151" s="42"/>
      <c r="Z1151" s="42"/>
      <c r="AA1151" s="42"/>
      <c r="AB1151" s="42"/>
      <c r="AC1151" s="42"/>
      <c r="AD1151" s="42"/>
      <c r="AE1151" s="42"/>
      <c r="AF1151" s="42"/>
      <c r="AG1151" s="42"/>
      <c r="AH1151" s="42"/>
      <c r="AI1151" s="42"/>
      <c r="AJ1151" s="42"/>
      <c r="AK1151" s="42"/>
      <c r="AL1151" s="42"/>
      <c r="AM1151" s="42"/>
      <c r="AN1151" s="42"/>
      <c r="AO1151" s="42"/>
      <c r="AP1151" s="42"/>
      <c r="AQ1151" s="42"/>
      <c r="AR1151" s="42"/>
      <c r="AS1151" s="42"/>
      <c r="AT1151" s="42"/>
      <c r="AU1151" s="42"/>
      <c r="AV1151" s="42"/>
      <c r="AW1151" s="42"/>
      <c r="AX1151" s="42"/>
      <c r="AY1151" s="42"/>
      <c r="AZ1151" s="42"/>
      <c r="BA1151" s="42"/>
      <c r="BB1151" s="42"/>
      <c r="BC1151" s="42"/>
      <c r="BD1151" s="42"/>
      <c r="BE1151" s="42"/>
      <c r="BF1151" s="42"/>
      <c r="BG1151" s="42"/>
      <c r="BH1151" s="42"/>
      <c r="BI1151" s="42"/>
      <c r="BJ1151" s="42"/>
      <c r="BK1151" s="42"/>
      <c r="BL1151" s="42"/>
      <c r="BM1151" s="42"/>
      <c r="BN1151" s="42"/>
      <c r="BO1151" s="42"/>
    </row>
    <row r="1152">
      <c r="A1152" s="40"/>
      <c r="B1152" s="40"/>
      <c r="C1152" s="42"/>
      <c r="D1152" s="42"/>
      <c r="E1152" s="43"/>
      <c r="F1152" s="42"/>
      <c r="G1152" s="42"/>
      <c r="H1152" s="42"/>
      <c r="I1152" s="42"/>
      <c r="J1152" s="42"/>
      <c r="K1152" s="42"/>
      <c r="L1152" s="42"/>
      <c r="M1152" s="42"/>
      <c r="N1152" s="42"/>
      <c r="O1152" s="42"/>
      <c r="P1152" s="42"/>
      <c r="Q1152" s="42"/>
      <c r="R1152" s="42"/>
      <c r="S1152" s="42"/>
      <c r="T1152" s="42"/>
      <c r="U1152" s="42"/>
      <c r="V1152" s="42"/>
      <c r="W1152" s="42"/>
      <c r="X1152" s="42"/>
      <c r="Y1152" s="42"/>
      <c r="Z1152" s="42"/>
      <c r="AA1152" s="42"/>
      <c r="AB1152" s="42"/>
      <c r="AC1152" s="42"/>
      <c r="AD1152" s="42"/>
      <c r="AE1152" s="42"/>
      <c r="AF1152" s="42"/>
      <c r="AG1152" s="42"/>
      <c r="AH1152" s="42"/>
      <c r="AI1152" s="42"/>
      <c r="AJ1152" s="42"/>
      <c r="AK1152" s="42"/>
      <c r="AL1152" s="42"/>
      <c r="AM1152" s="42"/>
      <c r="AN1152" s="42"/>
      <c r="AO1152" s="42"/>
      <c r="AP1152" s="42"/>
      <c r="AQ1152" s="42"/>
      <c r="AR1152" s="42"/>
      <c r="AS1152" s="42"/>
      <c r="AT1152" s="42"/>
      <c r="AU1152" s="42"/>
      <c r="AV1152" s="42"/>
      <c r="AW1152" s="42"/>
      <c r="AX1152" s="42"/>
      <c r="AY1152" s="42"/>
      <c r="AZ1152" s="42"/>
      <c r="BA1152" s="42"/>
      <c r="BB1152" s="42"/>
      <c r="BC1152" s="42"/>
      <c r="BD1152" s="42"/>
      <c r="BE1152" s="42"/>
      <c r="BF1152" s="42"/>
      <c r="BG1152" s="42"/>
      <c r="BH1152" s="42"/>
      <c r="BI1152" s="42"/>
      <c r="BJ1152" s="42"/>
      <c r="BK1152" s="42"/>
      <c r="BL1152" s="42"/>
      <c r="BM1152" s="42"/>
      <c r="BN1152" s="42"/>
      <c r="BO1152" s="42"/>
    </row>
    <row r="1153">
      <c r="A1153" s="40"/>
      <c r="B1153" s="40"/>
      <c r="C1153" s="42"/>
      <c r="D1153" s="42"/>
      <c r="E1153" s="43"/>
      <c r="F1153" s="42"/>
      <c r="G1153" s="42"/>
      <c r="H1153" s="42"/>
      <c r="I1153" s="42"/>
      <c r="J1153" s="42"/>
      <c r="K1153" s="42"/>
      <c r="L1153" s="42"/>
      <c r="M1153" s="42"/>
      <c r="N1153" s="42"/>
      <c r="O1153" s="42"/>
      <c r="P1153" s="42"/>
      <c r="Q1153" s="42"/>
      <c r="R1153" s="42"/>
      <c r="S1153" s="42"/>
      <c r="T1153" s="42"/>
      <c r="U1153" s="42"/>
      <c r="V1153" s="42"/>
      <c r="W1153" s="42"/>
      <c r="X1153" s="42"/>
      <c r="Y1153" s="42"/>
      <c r="Z1153" s="42"/>
      <c r="AA1153" s="42"/>
      <c r="AB1153" s="42"/>
      <c r="AC1153" s="42"/>
      <c r="AD1153" s="42"/>
      <c r="AE1153" s="42"/>
      <c r="AF1153" s="42"/>
      <c r="AG1153" s="42"/>
      <c r="AH1153" s="42"/>
      <c r="AI1153" s="42"/>
      <c r="AJ1153" s="42"/>
      <c r="AK1153" s="42"/>
      <c r="AL1153" s="42"/>
      <c r="AM1153" s="42"/>
      <c r="AN1153" s="42"/>
      <c r="AO1153" s="42"/>
      <c r="AP1153" s="42"/>
      <c r="AQ1153" s="42"/>
      <c r="AR1153" s="42"/>
      <c r="AS1153" s="42"/>
      <c r="AT1153" s="42"/>
      <c r="AU1153" s="42"/>
      <c r="AV1153" s="42"/>
      <c r="AW1153" s="42"/>
      <c r="AX1153" s="42"/>
      <c r="AY1153" s="42"/>
      <c r="AZ1153" s="42"/>
      <c r="BA1153" s="42"/>
      <c r="BB1153" s="42"/>
      <c r="BC1153" s="42"/>
      <c r="BD1153" s="42"/>
      <c r="BE1153" s="42"/>
      <c r="BF1153" s="42"/>
      <c r="BG1153" s="42"/>
      <c r="BH1153" s="42"/>
      <c r="BI1153" s="42"/>
      <c r="BJ1153" s="42"/>
      <c r="BK1153" s="42"/>
      <c r="BL1153" s="42"/>
      <c r="BM1153" s="42"/>
      <c r="BN1153" s="42"/>
      <c r="BO1153" s="42"/>
    </row>
    <row r="1154">
      <c r="A1154" s="40"/>
      <c r="B1154" s="40"/>
      <c r="C1154" s="42"/>
      <c r="D1154" s="42"/>
      <c r="E1154" s="43"/>
      <c r="F1154" s="42"/>
      <c r="G1154" s="42"/>
      <c r="H1154" s="42"/>
      <c r="I1154" s="42"/>
      <c r="J1154" s="42"/>
      <c r="K1154" s="42"/>
      <c r="L1154" s="42"/>
      <c r="M1154" s="42"/>
      <c r="N1154" s="42"/>
      <c r="O1154" s="42"/>
      <c r="P1154" s="42"/>
      <c r="Q1154" s="42"/>
      <c r="R1154" s="42"/>
      <c r="S1154" s="42"/>
      <c r="T1154" s="42"/>
      <c r="U1154" s="42"/>
      <c r="V1154" s="42"/>
      <c r="W1154" s="42"/>
      <c r="X1154" s="42"/>
      <c r="Y1154" s="42"/>
      <c r="Z1154" s="42"/>
      <c r="AA1154" s="42"/>
      <c r="AB1154" s="42"/>
      <c r="AC1154" s="42"/>
      <c r="AD1154" s="42"/>
      <c r="AE1154" s="42"/>
      <c r="AF1154" s="42"/>
      <c r="AG1154" s="42"/>
      <c r="AH1154" s="42"/>
      <c r="AI1154" s="42"/>
      <c r="AJ1154" s="42"/>
      <c r="AK1154" s="42"/>
      <c r="AL1154" s="42"/>
      <c r="AM1154" s="42"/>
      <c r="AN1154" s="42"/>
      <c r="AO1154" s="42"/>
      <c r="AP1154" s="42"/>
      <c r="AQ1154" s="42"/>
      <c r="AR1154" s="42"/>
      <c r="AS1154" s="42"/>
      <c r="AT1154" s="42"/>
      <c r="AU1154" s="42"/>
      <c r="AV1154" s="42"/>
      <c r="AW1154" s="42"/>
      <c r="AX1154" s="42"/>
      <c r="AY1154" s="42"/>
      <c r="AZ1154" s="42"/>
      <c r="BA1154" s="42"/>
      <c r="BB1154" s="42"/>
      <c r="BC1154" s="42"/>
      <c r="BD1154" s="42"/>
      <c r="BE1154" s="42"/>
      <c r="BF1154" s="42"/>
      <c r="BG1154" s="42"/>
      <c r="BH1154" s="42"/>
      <c r="BI1154" s="42"/>
      <c r="BJ1154" s="42"/>
      <c r="BK1154" s="42"/>
      <c r="BL1154" s="42"/>
      <c r="BM1154" s="42"/>
      <c r="BN1154" s="42"/>
      <c r="BO1154" s="42"/>
    </row>
    <row r="1155">
      <c r="A1155" s="40"/>
      <c r="B1155" s="40"/>
      <c r="C1155" s="42"/>
      <c r="D1155" s="42"/>
      <c r="E1155" s="43"/>
      <c r="F1155" s="42"/>
      <c r="G1155" s="42"/>
      <c r="H1155" s="42"/>
      <c r="I1155" s="42"/>
      <c r="J1155" s="42"/>
      <c r="K1155" s="42"/>
      <c r="L1155" s="42"/>
      <c r="M1155" s="42"/>
      <c r="N1155" s="42"/>
      <c r="O1155" s="42"/>
      <c r="P1155" s="42"/>
      <c r="Q1155" s="42"/>
      <c r="R1155" s="42"/>
      <c r="S1155" s="42"/>
      <c r="T1155" s="42"/>
      <c r="U1155" s="42"/>
      <c r="V1155" s="42"/>
      <c r="W1155" s="42"/>
      <c r="X1155" s="42"/>
      <c r="Y1155" s="42"/>
      <c r="Z1155" s="42"/>
      <c r="AA1155" s="42"/>
      <c r="AB1155" s="42"/>
      <c r="AC1155" s="42"/>
      <c r="AD1155" s="42"/>
      <c r="AE1155" s="42"/>
      <c r="AF1155" s="42"/>
      <c r="AG1155" s="42"/>
      <c r="AH1155" s="42"/>
      <c r="AI1155" s="42"/>
      <c r="AJ1155" s="42"/>
      <c r="AK1155" s="42"/>
      <c r="AL1155" s="42"/>
      <c r="AM1155" s="42"/>
      <c r="AN1155" s="42"/>
      <c r="AO1155" s="42"/>
      <c r="AP1155" s="42"/>
      <c r="AQ1155" s="42"/>
      <c r="AR1155" s="42"/>
      <c r="AS1155" s="42"/>
      <c r="AT1155" s="42"/>
      <c r="AU1155" s="42"/>
      <c r="AV1155" s="42"/>
      <c r="AW1155" s="42"/>
      <c r="AX1155" s="42"/>
      <c r="AY1155" s="42"/>
      <c r="AZ1155" s="42"/>
      <c r="BA1155" s="42"/>
      <c r="BB1155" s="42"/>
      <c r="BC1155" s="42"/>
      <c r="BD1155" s="42"/>
      <c r="BE1155" s="42"/>
      <c r="BF1155" s="42"/>
      <c r="BG1155" s="42"/>
      <c r="BH1155" s="42"/>
      <c r="BI1155" s="42"/>
      <c r="BJ1155" s="42"/>
      <c r="BK1155" s="42"/>
      <c r="BL1155" s="42"/>
      <c r="BM1155" s="42"/>
      <c r="BN1155" s="42"/>
      <c r="BO1155" s="42"/>
    </row>
    <row r="1156">
      <c r="A1156" s="40"/>
      <c r="B1156" s="40"/>
      <c r="C1156" s="42"/>
      <c r="D1156" s="42"/>
      <c r="E1156" s="43"/>
      <c r="F1156" s="42"/>
      <c r="G1156" s="42"/>
      <c r="H1156" s="42"/>
      <c r="I1156" s="42"/>
      <c r="J1156" s="42"/>
      <c r="K1156" s="42"/>
      <c r="L1156" s="42"/>
      <c r="M1156" s="42"/>
      <c r="N1156" s="42"/>
      <c r="O1156" s="42"/>
      <c r="P1156" s="42"/>
      <c r="Q1156" s="42"/>
      <c r="R1156" s="42"/>
      <c r="S1156" s="42"/>
      <c r="T1156" s="42"/>
      <c r="U1156" s="42"/>
      <c r="V1156" s="42"/>
      <c r="W1156" s="42"/>
      <c r="X1156" s="42"/>
      <c r="Y1156" s="42"/>
      <c r="Z1156" s="42"/>
      <c r="AA1156" s="42"/>
      <c r="AB1156" s="42"/>
      <c r="AC1156" s="42"/>
      <c r="AD1156" s="42"/>
      <c r="AE1156" s="42"/>
      <c r="AF1156" s="42"/>
      <c r="AG1156" s="42"/>
      <c r="AH1156" s="42"/>
      <c r="AI1156" s="42"/>
      <c r="AJ1156" s="42"/>
      <c r="AK1156" s="42"/>
      <c r="AL1156" s="42"/>
      <c r="AM1156" s="42"/>
      <c r="AN1156" s="42"/>
      <c r="AO1156" s="42"/>
      <c r="AP1156" s="42"/>
      <c r="AQ1156" s="42"/>
      <c r="AR1156" s="42"/>
      <c r="AS1156" s="42"/>
      <c r="AT1156" s="42"/>
      <c r="AU1156" s="42"/>
      <c r="AV1156" s="42"/>
      <c r="AW1156" s="42"/>
      <c r="AX1156" s="42"/>
      <c r="AY1156" s="42"/>
      <c r="AZ1156" s="42"/>
      <c r="BA1156" s="42"/>
      <c r="BB1156" s="42"/>
      <c r="BC1156" s="42"/>
      <c r="BD1156" s="42"/>
      <c r="BE1156" s="42"/>
      <c r="BF1156" s="42"/>
      <c r="BG1156" s="42"/>
      <c r="BH1156" s="42"/>
      <c r="BI1156" s="42"/>
      <c r="BJ1156" s="42"/>
      <c r="BK1156" s="42"/>
      <c r="BL1156" s="42"/>
      <c r="BM1156" s="42"/>
      <c r="BN1156" s="42"/>
      <c r="BO1156" s="42"/>
    </row>
    <row r="1157">
      <c r="A1157" s="40"/>
      <c r="B1157" s="40"/>
      <c r="C1157" s="42"/>
      <c r="D1157" s="42"/>
      <c r="E1157" s="43"/>
      <c r="F1157" s="42"/>
      <c r="G1157" s="42"/>
      <c r="H1157" s="42"/>
      <c r="I1157" s="42"/>
      <c r="J1157" s="42"/>
      <c r="K1157" s="42"/>
      <c r="L1157" s="42"/>
      <c r="M1157" s="42"/>
      <c r="N1157" s="42"/>
      <c r="O1157" s="42"/>
      <c r="P1157" s="42"/>
      <c r="Q1157" s="42"/>
      <c r="R1157" s="42"/>
      <c r="S1157" s="42"/>
      <c r="T1157" s="42"/>
      <c r="U1157" s="42"/>
      <c r="V1157" s="42"/>
      <c r="W1157" s="42"/>
      <c r="X1157" s="42"/>
      <c r="Y1157" s="42"/>
      <c r="Z1157" s="42"/>
      <c r="AA1157" s="42"/>
      <c r="AB1157" s="42"/>
      <c r="AC1157" s="42"/>
      <c r="AD1157" s="42"/>
      <c r="AE1157" s="42"/>
      <c r="AF1157" s="42"/>
      <c r="AG1157" s="42"/>
      <c r="AH1157" s="42"/>
      <c r="AI1157" s="42"/>
      <c r="AJ1157" s="42"/>
      <c r="AK1157" s="42"/>
      <c r="AL1157" s="42"/>
      <c r="AM1157" s="42"/>
      <c r="AN1157" s="42"/>
      <c r="AO1157" s="42"/>
      <c r="AP1157" s="42"/>
      <c r="AQ1157" s="42"/>
      <c r="AR1157" s="42"/>
      <c r="AS1157" s="42"/>
      <c r="AT1157" s="42"/>
      <c r="AU1157" s="42"/>
      <c r="AV1157" s="42"/>
      <c r="AW1157" s="42"/>
      <c r="AX1157" s="42"/>
      <c r="AY1157" s="42"/>
      <c r="AZ1157" s="42"/>
      <c r="BA1157" s="42"/>
      <c r="BB1157" s="42"/>
      <c r="BC1157" s="42"/>
      <c r="BD1157" s="42"/>
      <c r="BE1157" s="42"/>
      <c r="BF1157" s="42"/>
      <c r="BG1157" s="42"/>
      <c r="BH1157" s="42"/>
      <c r="BI1157" s="42"/>
      <c r="BJ1157" s="42"/>
      <c r="BK1157" s="42"/>
      <c r="BL1157" s="42"/>
      <c r="BM1157" s="42"/>
      <c r="BN1157" s="42"/>
      <c r="BO1157" s="42"/>
    </row>
    <row r="1158">
      <c r="A1158" s="40"/>
      <c r="B1158" s="40"/>
      <c r="C1158" s="42"/>
      <c r="D1158" s="42"/>
      <c r="E1158" s="43"/>
      <c r="F1158" s="42"/>
      <c r="G1158" s="42"/>
      <c r="H1158" s="42"/>
      <c r="I1158" s="42"/>
      <c r="J1158" s="42"/>
      <c r="K1158" s="42"/>
      <c r="L1158" s="42"/>
      <c r="M1158" s="42"/>
      <c r="N1158" s="42"/>
      <c r="O1158" s="42"/>
      <c r="P1158" s="42"/>
      <c r="Q1158" s="42"/>
      <c r="R1158" s="42"/>
      <c r="S1158" s="42"/>
      <c r="T1158" s="42"/>
      <c r="U1158" s="42"/>
      <c r="V1158" s="42"/>
      <c r="W1158" s="42"/>
      <c r="X1158" s="42"/>
      <c r="Y1158" s="42"/>
      <c r="Z1158" s="42"/>
      <c r="AA1158" s="42"/>
      <c r="AB1158" s="42"/>
      <c r="AC1158" s="42"/>
      <c r="AD1158" s="42"/>
      <c r="AE1158" s="42"/>
      <c r="AF1158" s="42"/>
      <c r="AG1158" s="42"/>
      <c r="AH1158" s="42"/>
      <c r="AI1158" s="42"/>
      <c r="AJ1158" s="42"/>
      <c r="AK1158" s="42"/>
      <c r="AL1158" s="42"/>
      <c r="AM1158" s="42"/>
      <c r="AN1158" s="42"/>
      <c r="AO1158" s="42"/>
      <c r="AP1158" s="42"/>
      <c r="AQ1158" s="42"/>
      <c r="AR1158" s="42"/>
      <c r="AS1158" s="42"/>
      <c r="AT1158" s="42"/>
      <c r="AU1158" s="42"/>
      <c r="AV1158" s="42"/>
      <c r="AW1158" s="42"/>
      <c r="AX1158" s="42"/>
      <c r="AY1158" s="42"/>
      <c r="AZ1158" s="42"/>
      <c r="BA1158" s="42"/>
      <c r="BB1158" s="42"/>
      <c r="BC1158" s="42"/>
      <c r="BD1158" s="42"/>
      <c r="BE1158" s="42"/>
      <c r="BF1158" s="42"/>
      <c r="BG1158" s="42"/>
      <c r="BH1158" s="42"/>
      <c r="BI1158" s="42"/>
      <c r="BJ1158" s="42"/>
      <c r="BK1158" s="42"/>
      <c r="BL1158" s="42"/>
      <c r="BM1158" s="42"/>
      <c r="BN1158" s="42"/>
      <c r="BO1158" s="42"/>
    </row>
    <row r="1159">
      <c r="A1159" s="40"/>
      <c r="B1159" s="40"/>
      <c r="C1159" s="42"/>
      <c r="D1159" s="42"/>
      <c r="E1159" s="43"/>
      <c r="F1159" s="42"/>
      <c r="G1159" s="42"/>
      <c r="H1159" s="42"/>
      <c r="I1159" s="42"/>
      <c r="J1159" s="42"/>
      <c r="K1159" s="42"/>
      <c r="L1159" s="42"/>
      <c r="M1159" s="42"/>
      <c r="N1159" s="42"/>
      <c r="O1159" s="42"/>
      <c r="P1159" s="42"/>
      <c r="Q1159" s="42"/>
      <c r="R1159" s="42"/>
      <c r="S1159" s="42"/>
      <c r="T1159" s="42"/>
      <c r="U1159" s="42"/>
      <c r="V1159" s="42"/>
      <c r="W1159" s="42"/>
      <c r="X1159" s="42"/>
      <c r="Y1159" s="42"/>
      <c r="Z1159" s="42"/>
      <c r="AA1159" s="42"/>
      <c r="AB1159" s="42"/>
      <c r="AC1159" s="42"/>
      <c r="AD1159" s="42"/>
      <c r="AE1159" s="42"/>
      <c r="AF1159" s="42"/>
      <c r="AG1159" s="42"/>
      <c r="AH1159" s="42"/>
      <c r="AI1159" s="42"/>
      <c r="AJ1159" s="42"/>
      <c r="AK1159" s="42"/>
      <c r="AL1159" s="42"/>
      <c r="AM1159" s="42"/>
      <c r="AN1159" s="42"/>
      <c r="AO1159" s="42"/>
      <c r="AP1159" s="42"/>
      <c r="AQ1159" s="42"/>
      <c r="AR1159" s="42"/>
      <c r="AS1159" s="42"/>
      <c r="AT1159" s="42"/>
      <c r="AU1159" s="42"/>
      <c r="AV1159" s="42"/>
      <c r="AW1159" s="42"/>
      <c r="AX1159" s="42"/>
      <c r="AY1159" s="42"/>
      <c r="AZ1159" s="42"/>
      <c r="BA1159" s="42"/>
      <c r="BB1159" s="42"/>
      <c r="BC1159" s="42"/>
      <c r="BD1159" s="42"/>
      <c r="BE1159" s="42"/>
      <c r="BF1159" s="42"/>
      <c r="BG1159" s="42"/>
      <c r="BH1159" s="42"/>
      <c r="BI1159" s="42"/>
      <c r="BJ1159" s="42"/>
      <c r="BK1159" s="42"/>
      <c r="BL1159" s="42"/>
      <c r="BM1159" s="42"/>
      <c r="BN1159" s="42"/>
      <c r="BO1159" s="42"/>
    </row>
    <row r="1160">
      <c r="A1160" s="40"/>
      <c r="B1160" s="40"/>
      <c r="C1160" s="42"/>
      <c r="D1160" s="42"/>
      <c r="E1160" s="43"/>
      <c r="F1160" s="42"/>
      <c r="G1160" s="42"/>
      <c r="H1160" s="42"/>
      <c r="I1160" s="42"/>
      <c r="J1160" s="42"/>
      <c r="K1160" s="42"/>
      <c r="L1160" s="42"/>
      <c r="M1160" s="42"/>
      <c r="N1160" s="42"/>
      <c r="O1160" s="42"/>
      <c r="P1160" s="42"/>
      <c r="Q1160" s="42"/>
      <c r="R1160" s="42"/>
      <c r="S1160" s="42"/>
      <c r="T1160" s="42"/>
      <c r="U1160" s="42"/>
      <c r="V1160" s="42"/>
      <c r="W1160" s="42"/>
      <c r="X1160" s="42"/>
      <c r="Y1160" s="42"/>
      <c r="Z1160" s="42"/>
      <c r="AA1160" s="42"/>
      <c r="AB1160" s="42"/>
      <c r="AC1160" s="42"/>
      <c r="AD1160" s="42"/>
      <c r="AE1160" s="42"/>
      <c r="AF1160" s="42"/>
      <c r="AG1160" s="42"/>
      <c r="AH1160" s="42"/>
      <c r="AI1160" s="42"/>
      <c r="AJ1160" s="42"/>
      <c r="AK1160" s="42"/>
      <c r="AL1160" s="42"/>
      <c r="AM1160" s="42"/>
      <c r="AN1160" s="42"/>
      <c r="AO1160" s="42"/>
      <c r="AP1160" s="42"/>
      <c r="AQ1160" s="42"/>
      <c r="AR1160" s="42"/>
      <c r="AS1160" s="42"/>
      <c r="AT1160" s="42"/>
      <c r="AU1160" s="42"/>
      <c r="AV1160" s="42"/>
      <c r="AW1160" s="42"/>
      <c r="AX1160" s="42"/>
      <c r="AY1160" s="42"/>
      <c r="AZ1160" s="42"/>
      <c r="BA1160" s="42"/>
      <c r="BB1160" s="42"/>
      <c r="BC1160" s="42"/>
      <c r="BD1160" s="42"/>
      <c r="BE1160" s="42"/>
      <c r="BF1160" s="42"/>
      <c r="BG1160" s="42"/>
      <c r="BH1160" s="42"/>
      <c r="BI1160" s="42"/>
      <c r="BJ1160" s="42"/>
      <c r="BK1160" s="42"/>
      <c r="BL1160" s="42"/>
      <c r="BM1160" s="42"/>
      <c r="BN1160" s="42"/>
      <c r="BO1160" s="42"/>
    </row>
    <row r="1161">
      <c r="A1161" s="40"/>
      <c r="B1161" s="40"/>
      <c r="C1161" s="42"/>
      <c r="D1161" s="42"/>
      <c r="E1161" s="43"/>
      <c r="F1161" s="42"/>
      <c r="G1161" s="42"/>
      <c r="H1161" s="42"/>
      <c r="I1161" s="42"/>
      <c r="J1161" s="42"/>
      <c r="K1161" s="42"/>
      <c r="L1161" s="42"/>
      <c r="M1161" s="42"/>
      <c r="N1161" s="42"/>
      <c r="O1161" s="42"/>
      <c r="P1161" s="42"/>
      <c r="Q1161" s="42"/>
      <c r="R1161" s="42"/>
      <c r="S1161" s="42"/>
      <c r="T1161" s="42"/>
      <c r="U1161" s="42"/>
      <c r="V1161" s="42"/>
      <c r="W1161" s="42"/>
      <c r="X1161" s="42"/>
      <c r="Y1161" s="42"/>
      <c r="Z1161" s="42"/>
      <c r="AA1161" s="42"/>
      <c r="AB1161" s="42"/>
      <c r="AC1161" s="42"/>
      <c r="AD1161" s="42"/>
      <c r="AE1161" s="42"/>
      <c r="AF1161" s="42"/>
      <c r="AG1161" s="42"/>
      <c r="AH1161" s="42"/>
      <c r="AI1161" s="42"/>
      <c r="AJ1161" s="42"/>
      <c r="AK1161" s="42"/>
      <c r="AL1161" s="42"/>
      <c r="AM1161" s="42"/>
      <c r="AN1161" s="42"/>
      <c r="AO1161" s="42"/>
      <c r="AP1161" s="42"/>
      <c r="AQ1161" s="42"/>
      <c r="AR1161" s="42"/>
      <c r="AS1161" s="42"/>
      <c r="AT1161" s="42"/>
      <c r="AU1161" s="42"/>
      <c r="AV1161" s="42"/>
      <c r="AW1161" s="42"/>
      <c r="AX1161" s="42"/>
      <c r="AY1161" s="42"/>
      <c r="AZ1161" s="42"/>
      <c r="BA1161" s="42"/>
      <c r="BB1161" s="42"/>
      <c r="BC1161" s="42"/>
      <c r="BD1161" s="42"/>
      <c r="BE1161" s="42"/>
      <c r="BF1161" s="42"/>
      <c r="BG1161" s="42"/>
      <c r="BH1161" s="42"/>
      <c r="BI1161" s="42"/>
      <c r="BJ1161" s="42"/>
      <c r="BK1161" s="42"/>
      <c r="BL1161" s="42"/>
      <c r="BM1161" s="42"/>
      <c r="BN1161" s="42"/>
      <c r="BO1161" s="42"/>
    </row>
    <row r="1162">
      <c r="A1162" s="40"/>
      <c r="B1162" s="40"/>
      <c r="C1162" s="42"/>
      <c r="D1162" s="42"/>
      <c r="E1162" s="43"/>
      <c r="F1162" s="42"/>
      <c r="G1162" s="42"/>
      <c r="H1162" s="42"/>
      <c r="I1162" s="42"/>
      <c r="J1162" s="42"/>
      <c r="K1162" s="42"/>
      <c r="L1162" s="42"/>
      <c r="M1162" s="42"/>
      <c r="N1162" s="42"/>
      <c r="O1162" s="42"/>
      <c r="P1162" s="42"/>
      <c r="Q1162" s="42"/>
      <c r="R1162" s="42"/>
      <c r="S1162" s="42"/>
      <c r="T1162" s="42"/>
      <c r="U1162" s="42"/>
      <c r="V1162" s="42"/>
      <c r="W1162" s="42"/>
      <c r="X1162" s="42"/>
      <c r="Y1162" s="42"/>
      <c r="Z1162" s="42"/>
      <c r="AA1162" s="42"/>
      <c r="AB1162" s="42"/>
      <c r="AC1162" s="42"/>
      <c r="AD1162" s="42"/>
      <c r="AE1162" s="42"/>
      <c r="AF1162" s="42"/>
      <c r="AG1162" s="42"/>
      <c r="AH1162" s="42"/>
      <c r="AI1162" s="42"/>
      <c r="AJ1162" s="42"/>
      <c r="AK1162" s="42"/>
      <c r="AL1162" s="42"/>
      <c r="AM1162" s="42"/>
      <c r="AN1162" s="42"/>
      <c r="AO1162" s="42"/>
      <c r="AP1162" s="42"/>
      <c r="AQ1162" s="42"/>
      <c r="AR1162" s="42"/>
      <c r="AS1162" s="42"/>
      <c r="AT1162" s="42"/>
      <c r="AU1162" s="42"/>
      <c r="AV1162" s="42"/>
      <c r="AW1162" s="42"/>
      <c r="AX1162" s="42"/>
      <c r="AY1162" s="42"/>
      <c r="AZ1162" s="42"/>
      <c r="BA1162" s="42"/>
      <c r="BB1162" s="42"/>
      <c r="BC1162" s="42"/>
      <c r="BD1162" s="42"/>
      <c r="BE1162" s="42"/>
      <c r="BF1162" s="42"/>
      <c r="BG1162" s="42"/>
      <c r="BH1162" s="42"/>
      <c r="BI1162" s="42"/>
      <c r="BJ1162" s="42"/>
      <c r="BK1162" s="42"/>
      <c r="BL1162" s="42"/>
      <c r="BM1162" s="42"/>
      <c r="BN1162" s="42"/>
      <c r="BO1162" s="42"/>
    </row>
    <row r="1163">
      <c r="A1163" s="40"/>
      <c r="B1163" s="40"/>
      <c r="C1163" s="42"/>
      <c r="D1163" s="42"/>
      <c r="E1163" s="43"/>
      <c r="F1163" s="42"/>
      <c r="G1163" s="42"/>
      <c r="H1163" s="42"/>
      <c r="I1163" s="42"/>
      <c r="J1163" s="42"/>
      <c r="K1163" s="42"/>
      <c r="L1163" s="42"/>
      <c r="M1163" s="42"/>
      <c r="N1163" s="42"/>
      <c r="O1163" s="42"/>
      <c r="P1163" s="42"/>
      <c r="Q1163" s="42"/>
      <c r="R1163" s="42"/>
      <c r="S1163" s="42"/>
      <c r="T1163" s="42"/>
      <c r="U1163" s="42"/>
      <c r="V1163" s="42"/>
      <c r="W1163" s="42"/>
      <c r="X1163" s="42"/>
      <c r="Y1163" s="42"/>
      <c r="Z1163" s="42"/>
      <c r="AA1163" s="42"/>
      <c r="AB1163" s="42"/>
      <c r="AC1163" s="42"/>
      <c r="AD1163" s="42"/>
      <c r="AE1163" s="42"/>
      <c r="AF1163" s="42"/>
      <c r="AG1163" s="42"/>
      <c r="AH1163" s="42"/>
      <c r="AI1163" s="42"/>
      <c r="AJ1163" s="42"/>
      <c r="AK1163" s="42"/>
      <c r="AL1163" s="42"/>
      <c r="AM1163" s="42"/>
      <c r="AN1163" s="42"/>
      <c r="AO1163" s="42"/>
      <c r="AP1163" s="42"/>
      <c r="AQ1163" s="42"/>
      <c r="AR1163" s="42"/>
      <c r="AS1163" s="42"/>
      <c r="AT1163" s="42"/>
      <c r="AU1163" s="42"/>
      <c r="AV1163" s="42"/>
      <c r="AW1163" s="42"/>
      <c r="AX1163" s="42"/>
      <c r="AY1163" s="42"/>
      <c r="AZ1163" s="42"/>
      <c r="BA1163" s="42"/>
      <c r="BB1163" s="42"/>
      <c r="BC1163" s="42"/>
      <c r="BD1163" s="42"/>
      <c r="BE1163" s="42"/>
      <c r="BF1163" s="42"/>
      <c r="BG1163" s="42"/>
      <c r="BH1163" s="42"/>
      <c r="BI1163" s="42"/>
      <c r="BJ1163" s="42"/>
      <c r="BK1163" s="42"/>
      <c r="BL1163" s="42"/>
      <c r="BM1163" s="42"/>
      <c r="BN1163" s="42"/>
      <c r="BO1163" s="42"/>
    </row>
    <row r="1164">
      <c r="A1164" s="40"/>
      <c r="B1164" s="40"/>
      <c r="C1164" s="42"/>
      <c r="D1164" s="42"/>
      <c r="E1164" s="43"/>
      <c r="F1164" s="42"/>
      <c r="G1164" s="42"/>
      <c r="H1164" s="42"/>
      <c r="I1164" s="42"/>
      <c r="J1164" s="42"/>
      <c r="K1164" s="42"/>
      <c r="L1164" s="42"/>
      <c r="M1164" s="42"/>
      <c r="N1164" s="42"/>
      <c r="O1164" s="42"/>
      <c r="P1164" s="42"/>
      <c r="Q1164" s="42"/>
      <c r="R1164" s="42"/>
      <c r="S1164" s="42"/>
      <c r="T1164" s="42"/>
      <c r="U1164" s="42"/>
      <c r="V1164" s="42"/>
      <c r="W1164" s="42"/>
      <c r="X1164" s="42"/>
      <c r="Y1164" s="42"/>
      <c r="Z1164" s="42"/>
      <c r="AA1164" s="42"/>
      <c r="AB1164" s="42"/>
      <c r="AC1164" s="42"/>
      <c r="AD1164" s="42"/>
      <c r="AE1164" s="42"/>
      <c r="AF1164" s="42"/>
      <c r="AG1164" s="42"/>
      <c r="AH1164" s="42"/>
      <c r="AI1164" s="42"/>
      <c r="AJ1164" s="42"/>
      <c r="AK1164" s="42"/>
      <c r="AL1164" s="42"/>
      <c r="AM1164" s="42"/>
      <c r="AN1164" s="42"/>
      <c r="AO1164" s="42"/>
      <c r="AP1164" s="42"/>
      <c r="AQ1164" s="42"/>
      <c r="AR1164" s="42"/>
      <c r="AS1164" s="42"/>
      <c r="AT1164" s="42"/>
      <c r="AU1164" s="42"/>
      <c r="AV1164" s="42"/>
      <c r="AW1164" s="42"/>
      <c r="AX1164" s="42"/>
      <c r="AY1164" s="42"/>
      <c r="AZ1164" s="42"/>
      <c r="BA1164" s="42"/>
      <c r="BB1164" s="42"/>
      <c r="BC1164" s="42"/>
      <c r="BD1164" s="42"/>
      <c r="BE1164" s="42"/>
      <c r="BF1164" s="42"/>
      <c r="BG1164" s="42"/>
      <c r="BH1164" s="42"/>
      <c r="BI1164" s="42"/>
      <c r="BJ1164" s="42"/>
      <c r="BK1164" s="42"/>
      <c r="BL1164" s="42"/>
      <c r="BM1164" s="42"/>
      <c r="BN1164" s="42"/>
      <c r="BO1164" s="42"/>
    </row>
    <row r="1165">
      <c r="A1165" s="40"/>
      <c r="B1165" s="40"/>
      <c r="C1165" s="42"/>
      <c r="D1165" s="42"/>
      <c r="E1165" s="43"/>
      <c r="F1165" s="42"/>
      <c r="G1165" s="42"/>
      <c r="H1165" s="42"/>
      <c r="I1165" s="42"/>
      <c r="J1165" s="42"/>
      <c r="K1165" s="42"/>
      <c r="L1165" s="42"/>
      <c r="M1165" s="42"/>
      <c r="N1165" s="42"/>
      <c r="O1165" s="42"/>
      <c r="P1165" s="42"/>
      <c r="Q1165" s="42"/>
      <c r="R1165" s="42"/>
      <c r="S1165" s="42"/>
      <c r="T1165" s="42"/>
      <c r="U1165" s="42"/>
      <c r="V1165" s="42"/>
      <c r="W1165" s="42"/>
      <c r="X1165" s="42"/>
      <c r="Y1165" s="42"/>
      <c r="Z1165" s="42"/>
      <c r="AA1165" s="42"/>
      <c r="AB1165" s="42"/>
      <c r="AC1165" s="42"/>
      <c r="AD1165" s="42"/>
      <c r="AE1165" s="42"/>
      <c r="AF1165" s="42"/>
      <c r="AG1165" s="42"/>
      <c r="AH1165" s="42"/>
      <c r="AI1165" s="42"/>
      <c r="AJ1165" s="42"/>
      <c r="AK1165" s="42"/>
      <c r="AL1165" s="42"/>
      <c r="AM1165" s="42"/>
      <c r="AN1165" s="42"/>
      <c r="AO1165" s="42"/>
      <c r="AP1165" s="42"/>
      <c r="AQ1165" s="42"/>
      <c r="AR1165" s="42"/>
      <c r="AS1165" s="42"/>
      <c r="AT1165" s="42"/>
      <c r="AU1165" s="42"/>
      <c r="AV1165" s="42"/>
      <c r="AW1165" s="42"/>
      <c r="AX1165" s="42"/>
      <c r="AY1165" s="42"/>
      <c r="AZ1165" s="42"/>
      <c r="BA1165" s="42"/>
      <c r="BB1165" s="42"/>
      <c r="BC1165" s="42"/>
      <c r="BD1165" s="42"/>
      <c r="BE1165" s="42"/>
      <c r="BF1165" s="42"/>
      <c r="BG1165" s="42"/>
      <c r="BH1165" s="42"/>
      <c r="BI1165" s="42"/>
      <c r="BJ1165" s="42"/>
      <c r="BK1165" s="42"/>
      <c r="BL1165" s="42"/>
      <c r="BM1165" s="42"/>
      <c r="BN1165" s="42"/>
      <c r="BO1165" s="42"/>
    </row>
    <row r="1166">
      <c r="A1166" s="40"/>
      <c r="B1166" s="40"/>
      <c r="C1166" s="42"/>
      <c r="D1166" s="42"/>
      <c r="E1166" s="43"/>
      <c r="F1166" s="42"/>
      <c r="G1166" s="42"/>
      <c r="H1166" s="42"/>
      <c r="I1166" s="42"/>
      <c r="J1166" s="42"/>
      <c r="K1166" s="42"/>
      <c r="L1166" s="42"/>
      <c r="M1166" s="42"/>
      <c r="N1166" s="42"/>
      <c r="O1166" s="42"/>
      <c r="P1166" s="42"/>
      <c r="Q1166" s="42"/>
      <c r="R1166" s="42"/>
      <c r="S1166" s="42"/>
      <c r="T1166" s="42"/>
      <c r="U1166" s="42"/>
      <c r="V1166" s="42"/>
      <c r="W1166" s="42"/>
      <c r="X1166" s="42"/>
      <c r="Y1166" s="42"/>
      <c r="Z1166" s="42"/>
      <c r="AA1166" s="42"/>
      <c r="AB1166" s="42"/>
      <c r="AC1166" s="42"/>
      <c r="AD1166" s="42"/>
      <c r="AE1166" s="42"/>
      <c r="AF1166" s="42"/>
      <c r="AG1166" s="42"/>
      <c r="AH1166" s="42"/>
      <c r="AI1166" s="42"/>
      <c r="AJ1166" s="42"/>
      <c r="AK1166" s="42"/>
      <c r="AL1166" s="42"/>
      <c r="AM1166" s="42"/>
      <c r="AN1166" s="42"/>
      <c r="AO1166" s="42"/>
      <c r="AP1166" s="42"/>
      <c r="AQ1166" s="42"/>
      <c r="AR1166" s="42"/>
      <c r="AS1166" s="42"/>
      <c r="AT1166" s="42"/>
      <c r="AU1166" s="42"/>
      <c r="AV1166" s="42"/>
      <c r="AW1166" s="42"/>
      <c r="AX1166" s="42"/>
      <c r="AY1166" s="42"/>
      <c r="AZ1166" s="42"/>
      <c r="BA1166" s="42"/>
      <c r="BB1166" s="42"/>
      <c r="BC1166" s="42"/>
      <c r="BD1166" s="42"/>
      <c r="BE1166" s="42"/>
      <c r="BF1166" s="42"/>
      <c r="BG1166" s="42"/>
      <c r="BH1166" s="42"/>
      <c r="BI1166" s="42"/>
      <c r="BJ1166" s="42"/>
      <c r="BK1166" s="42"/>
      <c r="BL1166" s="42"/>
      <c r="BM1166" s="42"/>
      <c r="BN1166" s="42"/>
      <c r="BO1166" s="42"/>
    </row>
    <row r="1167">
      <c r="A1167" s="40"/>
      <c r="B1167" s="40"/>
      <c r="C1167" s="42"/>
      <c r="D1167" s="42"/>
      <c r="E1167" s="43"/>
      <c r="F1167" s="42"/>
      <c r="G1167" s="42"/>
      <c r="H1167" s="42"/>
      <c r="I1167" s="42"/>
      <c r="J1167" s="42"/>
      <c r="K1167" s="42"/>
      <c r="L1167" s="42"/>
      <c r="M1167" s="42"/>
      <c r="N1167" s="42"/>
      <c r="O1167" s="42"/>
      <c r="P1167" s="42"/>
      <c r="Q1167" s="42"/>
      <c r="R1167" s="42"/>
      <c r="S1167" s="42"/>
      <c r="T1167" s="42"/>
      <c r="U1167" s="42"/>
      <c r="V1167" s="42"/>
      <c r="W1167" s="42"/>
      <c r="X1167" s="42"/>
      <c r="Y1167" s="42"/>
      <c r="Z1167" s="42"/>
      <c r="AA1167" s="42"/>
      <c r="AB1167" s="42"/>
      <c r="AC1167" s="42"/>
      <c r="AD1167" s="42"/>
      <c r="AE1167" s="42"/>
      <c r="AF1167" s="42"/>
      <c r="AG1167" s="42"/>
      <c r="AH1167" s="42"/>
      <c r="AI1167" s="42"/>
      <c r="AJ1167" s="42"/>
      <c r="AK1167" s="42"/>
      <c r="AL1167" s="42"/>
      <c r="AM1167" s="42"/>
      <c r="AN1167" s="42"/>
      <c r="AO1167" s="42"/>
      <c r="AP1167" s="42"/>
      <c r="AQ1167" s="42"/>
      <c r="AR1167" s="42"/>
      <c r="AS1167" s="42"/>
      <c r="AT1167" s="42"/>
      <c r="AU1167" s="42"/>
      <c r="AV1167" s="42"/>
      <c r="AW1167" s="42"/>
      <c r="AX1167" s="42"/>
      <c r="AY1167" s="42"/>
      <c r="AZ1167" s="42"/>
      <c r="BA1167" s="42"/>
      <c r="BB1167" s="42"/>
      <c r="BC1167" s="42"/>
      <c r="BD1167" s="42"/>
      <c r="BE1167" s="42"/>
      <c r="BF1167" s="42"/>
      <c r="BG1167" s="42"/>
      <c r="BH1167" s="42"/>
      <c r="BI1167" s="42"/>
      <c r="BJ1167" s="42"/>
      <c r="BK1167" s="42"/>
      <c r="BL1167" s="42"/>
      <c r="BM1167" s="42"/>
      <c r="BN1167" s="42"/>
      <c r="BO1167" s="42"/>
    </row>
    <row r="1168">
      <c r="A1168" s="40"/>
      <c r="B1168" s="40"/>
      <c r="C1168" s="42"/>
      <c r="D1168" s="42"/>
      <c r="E1168" s="43"/>
      <c r="F1168" s="42"/>
      <c r="G1168" s="42"/>
      <c r="H1168" s="42"/>
      <c r="I1168" s="42"/>
      <c r="J1168" s="42"/>
      <c r="K1168" s="42"/>
      <c r="L1168" s="42"/>
      <c r="M1168" s="42"/>
      <c r="N1168" s="42"/>
      <c r="O1168" s="42"/>
      <c r="P1168" s="42"/>
      <c r="Q1168" s="42"/>
      <c r="R1168" s="42"/>
      <c r="S1168" s="42"/>
      <c r="T1168" s="42"/>
      <c r="U1168" s="42"/>
      <c r="V1168" s="42"/>
      <c r="W1168" s="42"/>
      <c r="X1168" s="42"/>
      <c r="Y1168" s="42"/>
      <c r="Z1168" s="42"/>
      <c r="AA1168" s="42"/>
      <c r="AB1168" s="42"/>
      <c r="AC1168" s="42"/>
      <c r="AD1168" s="42"/>
      <c r="AE1168" s="42"/>
      <c r="AF1168" s="42"/>
      <c r="AG1168" s="42"/>
      <c r="AH1168" s="42"/>
      <c r="AI1168" s="42"/>
      <c r="AJ1168" s="42"/>
      <c r="AK1168" s="42"/>
      <c r="AL1168" s="42"/>
      <c r="AM1168" s="42"/>
      <c r="AN1168" s="42"/>
      <c r="AO1168" s="42"/>
      <c r="AP1168" s="42"/>
      <c r="AQ1168" s="42"/>
      <c r="AR1168" s="42"/>
      <c r="AS1168" s="42"/>
      <c r="AT1168" s="42"/>
      <c r="AU1168" s="42"/>
      <c r="AV1168" s="42"/>
      <c r="AW1168" s="42"/>
      <c r="AX1168" s="42"/>
      <c r="AY1168" s="42"/>
      <c r="AZ1168" s="42"/>
      <c r="BA1168" s="42"/>
      <c r="BB1168" s="42"/>
      <c r="BC1168" s="42"/>
      <c r="BD1168" s="42"/>
      <c r="BE1168" s="42"/>
      <c r="BF1168" s="42"/>
      <c r="BG1168" s="42"/>
      <c r="BH1168" s="42"/>
      <c r="BI1168" s="42"/>
      <c r="BJ1168" s="42"/>
      <c r="BK1168" s="42"/>
      <c r="BL1168" s="42"/>
      <c r="BM1168" s="42"/>
      <c r="BN1168" s="42"/>
      <c r="BO1168" s="42"/>
    </row>
    <row r="1169">
      <c r="A1169" s="40"/>
      <c r="B1169" s="40"/>
      <c r="C1169" s="42"/>
      <c r="D1169" s="42"/>
      <c r="E1169" s="43"/>
      <c r="F1169" s="42"/>
      <c r="G1169" s="42"/>
      <c r="H1169" s="42"/>
      <c r="I1169" s="42"/>
      <c r="J1169" s="42"/>
      <c r="K1169" s="42"/>
      <c r="L1169" s="42"/>
      <c r="M1169" s="42"/>
      <c r="N1169" s="42"/>
      <c r="O1169" s="42"/>
      <c r="P1169" s="42"/>
      <c r="Q1169" s="42"/>
      <c r="R1169" s="42"/>
      <c r="S1169" s="42"/>
      <c r="T1169" s="42"/>
      <c r="U1169" s="42"/>
      <c r="V1169" s="42"/>
      <c r="W1169" s="42"/>
      <c r="X1169" s="42"/>
      <c r="Y1169" s="42"/>
      <c r="Z1169" s="42"/>
      <c r="AA1169" s="42"/>
      <c r="AB1169" s="42"/>
      <c r="AC1169" s="42"/>
      <c r="AD1169" s="42"/>
      <c r="AE1169" s="42"/>
      <c r="AF1169" s="42"/>
      <c r="AG1169" s="42"/>
      <c r="AH1169" s="42"/>
      <c r="AI1169" s="42"/>
      <c r="AJ1169" s="42"/>
      <c r="AK1169" s="42"/>
      <c r="AL1169" s="42"/>
      <c r="AM1169" s="42"/>
      <c r="AN1169" s="42"/>
      <c r="AO1169" s="42"/>
      <c r="AP1169" s="42"/>
      <c r="AQ1169" s="42"/>
      <c r="AR1169" s="42"/>
      <c r="AS1169" s="42"/>
      <c r="AT1169" s="42"/>
      <c r="AU1169" s="42"/>
      <c r="AV1169" s="42"/>
      <c r="AW1169" s="42"/>
      <c r="AX1169" s="42"/>
      <c r="AY1169" s="42"/>
      <c r="AZ1169" s="42"/>
      <c r="BA1169" s="42"/>
      <c r="BB1169" s="42"/>
      <c r="BC1169" s="42"/>
      <c r="BD1169" s="42"/>
      <c r="BE1169" s="42"/>
      <c r="BF1169" s="42"/>
      <c r="BG1169" s="42"/>
      <c r="BH1169" s="42"/>
      <c r="BI1169" s="42"/>
      <c r="BJ1169" s="42"/>
      <c r="BK1169" s="42"/>
      <c r="BL1169" s="42"/>
      <c r="BM1169" s="42"/>
      <c r="BN1169" s="42"/>
      <c r="BO1169" s="42"/>
    </row>
    <row r="1170">
      <c r="A1170" s="40"/>
      <c r="B1170" s="40"/>
      <c r="C1170" s="42"/>
      <c r="D1170" s="42"/>
      <c r="E1170" s="43"/>
      <c r="F1170" s="42"/>
      <c r="G1170" s="42"/>
      <c r="H1170" s="42"/>
      <c r="I1170" s="42"/>
      <c r="J1170" s="42"/>
      <c r="K1170" s="42"/>
      <c r="L1170" s="42"/>
      <c r="M1170" s="42"/>
      <c r="N1170" s="42"/>
      <c r="O1170" s="42"/>
      <c r="P1170" s="42"/>
      <c r="Q1170" s="42"/>
      <c r="R1170" s="42"/>
      <c r="S1170" s="42"/>
      <c r="T1170" s="42"/>
      <c r="U1170" s="42"/>
      <c r="V1170" s="42"/>
      <c r="W1170" s="42"/>
      <c r="X1170" s="42"/>
      <c r="Y1170" s="42"/>
      <c r="Z1170" s="42"/>
      <c r="AA1170" s="42"/>
      <c r="AB1170" s="42"/>
      <c r="AC1170" s="42"/>
      <c r="AD1170" s="42"/>
      <c r="AE1170" s="42"/>
      <c r="AF1170" s="42"/>
      <c r="AG1170" s="42"/>
      <c r="AH1170" s="42"/>
      <c r="AI1170" s="42"/>
      <c r="AJ1170" s="42"/>
      <c r="AK1170" s="42"/>
      <c r="AL1170" s="42"/>
      <c r="AM1170" s="42"/>
      <c r="AN1170" s="42"/>
      <c r="AO1170" s="42"/>
      <c r="AP1170" s="42"/>
      <c r="AQ1170" s="42"/>
      <c r="AR1170" s="42"/>
      <c r="AS1170" s="42"/>
      <c r="AT1170" s="42"/>
      <c r="AU1170" s="42"/>
      <c r="AV1170" s="42"/>
      <c r="AW1170" s="42"/>
      <c r="AX1170" s="42"/>
      <c r="AY1170" s="42"/>
      <c r="AZ1170" s="42"/>
      <c r="BA1170" s="42"/>
      <c r="BB1170" s="42"/>
      <c r="BC1170" s="42"/>
      <c r="BD1170" s="42"/>
      <c r="BE1170" s="42"/>
      <c r="BF1170" s="42"/>
      <c r="BG1170" s="42"/>
      <c r="BH1170" s="42"/>
      <c r="BI1170" s="42"/>
      <c r="BJ1170" s="42"/>
      <c r="BK1170" s="42"/>
      <c r="BL1170" s="42"/>
      <c r="BM1170" s="42"/>
      <c r="BN1170" s="42"/>
      <c r="BO1170" s="42"/>
    </row>
    <row r="1171">
      <c r="A1171" s="40"/>
      <c r="B1171" s="40"/>
      <c r="C1171" s="42"/>
      <c r="D1171" s="42"/>
      <c r="E1171" s="43"/>
      <c r="F1171" s="42"/>
      <c r="G1171" s="42"/>
      <c r="H1171" s="42"/>
      <c r="I1171" s="42"/>
      <c r="J1171" s="42"/>
      <c r="K1171" s="42"/>
      <c r="L1171" s="42"/>
      <c r="M1171" s="42"/>
      <c r="N1171" s="42"/>
      <c r="O1171" s="42"/>
      <c r="P1171" s="42"/>
      <c r="Q1171" s="42"/>
      <c r="R1171" s="42"/>
      <c r="S1171" s="42"/>
      <c r="T1171" s="42"/>
      <c r="U1171" s="42"/>
      <c r="V1171" s="42"/>
      <c r="W1171" s="42"/>
      <c r="X1171" s="42"/>
      <c r="Y1171" s="42"/>
      <c r="Z1171" s="42"/>
      <c r="AA1171" s="42"/>
      <c r="AB1171" s="42"/>
      <c r="AC1171" s="42"/>
      <c r="AD1171" s="42"/>
      <c r="AE1171" s="42"/>
      <c r="AF1171" s="42"/>
      <c r="AG1171" s="42"/>
      <c r="AH1171" s="42"/>
      <c r="AI1171" s="42"/>
      <c r="AJ1171" s="42"/>
      <c r="AK1171" s="42"/>
      <c r="AL1171" s="42"/>
      <c r="AM1171" s="42"/>
      <c r="AN1171" s="42"/>
      <c r="AO1171" s="42"/>
      <c r="AP1171" s="42"/>
      <c r="AQ1171" s="42"/>
      <c r="AR1171" s="42"/>
      <c r="AS1171" s="42"/>
      <c r="AT1171" s="42"/>
      <c r="AU1171" s="42"/>
      <c r="AV1171" s="42"/>
      <c r="AW1171" s="42"/>
      <c r="AX1171" s="42"/>
      <c r="AY1171" s="42"/>
      <c r="AZ1171" s="42"/>
      <c r="BA1171" s="42"/>
      <c r="BB1171" s="42"/>
      <c r="BC1171" s="42"/>
      <c r="BD1171" s="42"/>
      <c r="BE1171" s="42"/>
      <c r="BF1171" s="42"/>
      <c r="BG1171" s="42"/>
      <c r="BH1171" s="42"/>
      <c r="BI1171" s="42"/>
      <c r="BJ1171" s="42"/>
      <c r="BK1171" s="42"/>
      <c r="BL1171" s="42"/>
      <c r="BM1171" s="42"/>
      <c r="BN1171" s="42"/>
      <c r="BO1171" s="42"/>
    </row>
    <row r="1172">
      <c r="A1172" s="40"/>
      <c r="B1172" s="40"/>
      <c r="C1172" s="42"/>
      <c r="D1172" s="42"/>
      <c r="E1172" s="43"/>
      <c r="F1172" s="42"/>
      <c r="G1172" s="42"/>
      <c r="H1172" s="42"/>
      <c r="I1172" s="42"/>
      <c r="J1172" s="42"/>
      <c r="K1172" s="42"/>
      <c r="L1172" s="42"/>
      <c r="M1172" s="42"/>
      <c r="N1172" s="42"/>
      <c r="O1172" s="42"/>
      <c r="P1172" s="42"/>
      <c r="Q1172" s="42"/>
      <c r="R1172" s="42"/>
      <c r="S1172" s="42"/>
      <c r="T1172" s="42"/>
      <c r="U1172" s="42"/>
      <c r="V1172" s="42"/>
      <c r="W1172" s="42"/>
      <c r="X1172" s="42"/>
      <c r="Y1172" s="42"/>
      <c r="Z1172" s="42"/>
      <c r="AA1172" s="42"/>
      <c r="AB1172" s="42"/>
      <c r="AC1172" s="42"/>
      <c r="AD1172" s="42"/>
      <c r="AE1172" s="42"/>
      <c r="AF1172" s="42"/>
      <c r="AG1172" s="42"/>
      <c r="AH1172" s="42"/>
      <c r="AI1172" s="42"/>
      <c r="AJ1172" s="42"/>
      <c r="AK1172" s="42"/>
      <c r="AL1172" s="42"/>
      <c r="AM1172" s="42"/>
      <c r="AN1172" s="42"/>
      <c r="AO1172" s="42"/>
      <c r="AP1172" s="42"/>
      <c r="AQ1172" s="42"/>
      <c r="AR1172" s="42"/>
      <c r="AS1172" s="42"/>
      <c r="AT1172" s="42"/>
      <c r="AU1172" s="42"/>
      <c r="AV1172" s="42"/>
      <c r="AW1172" s="42"/>
      <c r="AX1172" s="42"/>
      <c r="AY1172" s="42"/>
      <c r="AZ1172" s="42"/>
      <c r="BA1172" s="42"/>
      <c r="BB1172" s="42"/>
      <c r="BC1172" s="42"/>
      <c r="BD1172" s="42"/>
      <c r="BE1172" s="42"/>
      <c r="BF1172" s="42"/>
      <c r="BG1172" s="42"/>
      <c r="BH1172" s="42"/>
      <c r="BI1172" s="42"/>
      <c r="BJ1172" s="42"/>
      <c r="BK1172" s="42"/>
      <c r="BL1172" s="42"/>
      <c r="BM1172" s="42"/>
      <c r="BN1172" s="42"/>
      <c r="BO1172" s="42"/>
    </row>
    <row r="1173">
      <c r="A1173" s="40"/>
      <c r="B1173" s="40"/>
      <c r="C1173" s="42"/>
      <c r="D1173" s="42"/>
      <c r="E1173" s="43"/>
      <c r="F1173" s="42"/>
      <c r="G1173" s="42"/>
      <c r="H1173" s="42"/>
      <c r="I1173" s="42"/>
      <c r="J1173" s="42"/>
      <c r="K1173" s="42"/>
      <c r="L1173" s="42"/>
      <c r="M1173" s="42"/>
      <c r="N1173" s="42"/>
      <c r="O1173" s="42"/>
      <c r="P1173" s="42"/>
      <c r="Q1173" s="42"/>
      <c r="R1173" s="42"/>
      <c r="S1173" s="42"/>
      <c r="T1173" s="42"/>
      <c r="U1173" s="42"/>
      <c r="V1173" s="42"/>
      <c r="W1173" s="42"/>
      <c r="X1173" s="42"/>
      <c r="Y1173" s="42"/>
      <c r="Z1173" s="42"/>
      <c r="AA1173" s="42"/>
      <c r="AB1173" s="42"/>
      <c r="AC1173" s="42"/>
      <c r="AD1173" s="42"/>
      <c r="AE1173" s="42"/>
      <c r="AF1173" s="42"/>
      <c r="AG1173" s="42"/>
      <c r="AH1173" s="42"/>
      <c r="AI1173" s="42"/>
      <c r="AJ1173" s="42"/>
      <c r="AK1173" s="42"/>
      <c r="AL1173" s="42"/>
      <c r="AM1173" s="42"/>
      <c r="AN1173" s="42"/>
      <c r="AO1173" s="42"/>
      <c r="AP1173" s="42"/>
      <c r="AQ1173" s="42"/>
      <c r="AR1173" s="42"/>
      <c r="AS1173" s="42"/>
      <c r="AT1173" s="42"/>
      <c r="AU1173" s="42"/>
      <c r="AV1173" s="42"/>
      <c r="AW1173" s="42"/>
      <c r="AX1173" s="42"/>
      <c r="AY1173" s="42"/>
      <c r="AZ1173" s="42"/>
      <c r="BA1173" s="42"/>
      <c r="BB1173" s="42"/>
      <c r="BC1173" s="42"/>
      <c r="BD1173" s="42"/>
      <c r="BE1173" s="42"/>
      <c r="BF1173" s="42"/>
      <c r="BG1173" s="42"/>
      <c r="BH1173" s="42"/>
      <c r="BI1173" s="42"/>
      <c r="BJ1173" s="42"/>
      <c r="BK1173" s="42"/>
      <c r="BL1173" s="42"/>
      <c r="BM1173" s="42"/>
      <c r="BN1173" s="42"/>
      <c r="BO1173" s="42"/>
    </row>
    <row r="1174">
      <c r="A1174" s="40"/>
      <c r="B1174" s="40"/>
      <c r="C1174" s="42"/>
      <c r="D1174" s="42"/>
      <c r="E1174" s="43"/>
      <c r="F1174" s="42"/>
      <c r="G1174" s="42"/>
      <c r="H1174" s="42"/>
      <c r="I1174" s="42"/>
      <c r="J1174" s="42"/>
      <c r="K1174" s="42"/>
      <c r="L1174" s="42"/>
      <c r="M1174" s="42"/>
      <c r="N1174" s="42"/>
      <c r="O1174" s="42"/>
      <c r="P1174" s="42"/>
      <c r="Q1174" s="42"/>
      <c r="R1174" s="42"/>
      <c r="S1174" s="42"/>
      <c r="T1174" s="42"/>
      <c r="U1174" s="42"/>
      <c r="V1174" s="42"/>
      <c r="W1174" s="42"/>
      <c r="X1174" s="42"/>
      <c r="Y1174" s="42"/>
      <c r="Z1174" s="42"/>
      <c r="AA1174" s="42"/>
      <c r="AB1174" s="42"/>
      <c r="AC1174" s="42"/>
      <c r="AD1174" s="42"/>
      <c r="AE1174" s="42"/>
      <c r="AF1174" s="42"/>
      <c r="AG1174" s="42"/>
      <c r="AH1174" s="42"/>
      <c r="AI1174" s="42"/>
      <c r="AJ1174" s="42"/>
      <c r="AK1174" s="42"/>
      <c r="AL1174" s="42"/>
      <c r="AM1174" s="42"/>
      <c r="AN1174" s="42"/>
      <c r="AO1174" s="42"/>
      <c r="AP1174" s="42"/>
      <c r="AQ1174" s="42"/>
      <c r="AR1174" s="42"/>
      <c r="AS1174" s="42"/>
      <c r="AT1174" s="42"/>
      <c r="AU1174" s="42"/>
      <c r="AV1174" s="42"/>
      <c r="AW1174" s="42"/>
      <c r="AX1174" s="42"/>
      <c r="AY1174" s="42"/>
      <c r="AZ1174" s="42"/>
      <c r="BA1174" s="42"/>
      <c r="BB1174" s="42"/>
      <c r="BC1174" s="42"/>
      <c r="BD1174" s="42"/>
      <c r="BE1174" s="42"/>
      <c r="BF1174" s="42"/>
      <c r="BG1174" s="42"/>
      <c r="BH1174" s="42"/>
      <c r="BI1174" s="42"/>
      <c r="BJ1174" s="42"/>
      <c r="BK1174" s="42"/>
      <c r="BL1174" s="42"/>
      <c r="BM1174" s="42"/>
      <c r="BN1174" s="42"/>
      <c r="BO1174" s="42"/>
    </row>
    <row r="1175">
      <c r="A1175" s="40"/>
      <c r="B1175" s="40"/>
      <c r="C1175" s="42"/>
      <c r="D1175" s="42"/>
      <c r="E1175" s="43"/>
      <c r="F1175" s="42"/>
      <c r="G1175" s="42"/>
      <c r="H1175" s="42"/>
      <c r="I1175" s="42"/>
      <c r="J1175" s="42"/>
      <c r="K1175" s="42"/>
      <c r="L1175" s="42"/>
      <c r="M1175" s="42"/>
      <c r="N1175" s="42"/>
      <c r="O1175" s="42"/>
      <c r="P1175" s="42"/>
      <c r="Q1175" s="42"/>
      <c r="R1175" s="42"/>
      <c r="S1175" s="42"/>
      <c r="T1175" s="42"/>
      <c r="U1175" s="42"/>
      <c r="V1175" s="42"/>
      <c r="W1175" s="42"/>
      <c r="X1175" s="42"/>
      <c r="Y1175" s="42"/>
      <c r="Z1175" s="42"/>
      <c r="AA1175" s="42"/>
      <c r="AB1175" s="42"/>
      <c r="AC1175" s="42"/>
      <c r="AD1175" s="42"/>
      <c r="AE1175" s="42"/>
      <c r="AF1175" s="42"/>
      <c r="AG1175" s="42"/>
      <c r="AH1175" s="42"/>
      <c r="AI1175" s="42"/>
      <c r="AJ1175" s="42"/>
      <c r="AK1175" s="42"/>
      <c r="AL1175" s="42"/>
      <c r="AM1175" s="42"/>
      <c r="AN1175" s="42"/>
      <c r="AO1175" s="42"/>
      <c r="AP1175" s="42"/>
      <c r="AQ1175" s="42"/>
      <c r="AR1175" s="42"/>
      <c r="AS1175" s="42"/>
      <c r="AT1175" s="42"/>
      <c r="AU1175" s="42"/>
      <c r="AV1175" s="42"/>
      <c r="AW1175" s="42"/>
      <c r="AX1175" s="42"/>
      <c r="AY1175" s="42"/>
      <c r="AZ1175" s="42"/>
      <c r="BA1175" s="42"/>
      <c r="BB1175" s="42"/>
      <c r="BC1175" s="42"/>
      <c r="BD1175" s="42"/>
      <c r="BE1175" s="42"/>
      <c r="BF1175" s="42"/>
      <c r="BG1175" s="42"/>
      <c r="BH1175" s="42"/>
      <c r="BI1175" s="42"/>
      <c r="BJ1175" s="42"/>
      <c r="BK1175" s="42"/>
      <c r="BL1175" s="42"/>
      <c r="BM1175" s="42"/>
      <c r="BN1175" s="42"/>
      <c r="BO1175" s="42"/>
    </row>
    <row r="1176">
      <c r="A1176" s="40"/>
      <c r="B1176" s="40"/>
      <c r="C1176" s="42"/>
      <c r="D1176" s="42"/>
      <c r="E1176" s="43"/>
      <c r="F1176" s="42"/>
      <c r="G1176" s="42"/>
      <c r="H1176" s="42"/>
      <c r="I1176" s="42"/>
      <c r="J1176" s="42"/>
      <c r="K1176" s="42"/>
      <c r="L1176" s="42"/>
      <c r="M1176" s="42"/>
      <c r="N1176" s="42"/>
      <c r="O1176" s="42"/>
      <c r="P1176" s="42"/>
      <c r="Q1176" s="42"/>
      <c r="R1176" s="42"/>
      <c r="S1176" s="42"/>
      <c r="T1176" s="42"/>
      <c r="U1176" s="42"/>
      <c r="V1176" s="42"/>
      <c r="W1176" s="42"/>
      <c r="X1176" s="42"/>
      <c r="Y1176" s="42"/>
      <c r="Z1176" s="42"/>
      <c r="AA1176" s="42"/>
      <c r="AB1176" s="42"/>
      <c r="AC1176" s="42"/>
      <c r="AD1176" s="42"/>
      <c r="AE1176" s="42"/>
      <c r="AF1176" s="42"/>
      <c r="AG1176" s="42"/>
      <c r="AH1176" s="42"/>
      <c r="AI1176" s="42"/>
      <c r="AJ1176" s="42"/>
      <c r="AK1176" s="42"/>
      <c r="AL1176" s="42"/>
      <c r="AM1176" s="42"/>
      <c r="AN1176" s="42"/>
      <c r="AO1176" s="42"/>
      <c r="AP1176" s="42"/>
      <c r="AQ1176" s="42"/>
      <c r="AR1176" s="42"/>
      <c r="AS1176" s="42"/>
      <c r="AT1176" s="42"/>
      <c r="AU1176" s="42"/>
      <c r="AV1176" s="42"/>
      <c r="AW1176" s="42"/>
      <c r="AX1176" s="42"/>
      <c r="AY1176" s="42"/>
      <c r="AZ1176" s="42"/>
      <c r="BA1176" s="42"/>
      <c r="BB1176" s="42"/>
      <c r="BC1176" s="42"/>
      <c r="BD1176" s="42"/>
      <c r="BE1176" s="42"/>
      <c r="BF1176" s="42"/>
      <c r="BG1176" s="42"/>
      <c r="BH1176" s="42"/>
      <c r="BI1176" s="42"/>
      <c r="BJ1176" s="42"/>
      <c r="BK1176" s="42"/>
      <c r="BL1176" s="42"/>
      <c r="BM1176" s="42"/>
      <c r="BN1176" s="42"/>
      <c r="BO1176" s="42"/>
    </row>
    <row r="1177">
      <c r="A1177" s="40"/>
      <c r="B1177" s="40"/>
      <c r="C1177" s="42"/>
      <c r="D1177" s="42"/>
      <c r="E1177" s="43"/>
      <c r="F1177" s="42"/>
      <c r="G1177" s="42"/>
      <c r="H1177" s="42"/>
      <c r="I1177" s="42"/>
      <c r="J1177" s="42"/>
      <c r="K1177" s="42"/>
      <c r="L1177" s="42"/>
      <c r="M1177" s="42"/>
      <c r="N1177" s="42"/>
      <c r="O1177" s="42"/>
      <c r="P1177" s="42"/>
      <c r="Q1177" s="42"/>
      <c r="R1177" s="42"/>
      <c r="S1177" s="42"/>
      <c r="T1177" s="42"/>
      <c r="U1177" s="42"/>
      <c r="V1177" s="42"/>
      <c r="W1177" s="42"/>
      <c r="X1177" s="42"/>
      <c r="Y1177" s="42"/>
      <c r="Z1177" s="42"/>
      <c r="AA1177" s="42"/>
      <c r="AB1177" s="42"/>
      <c r="AC1177" s="42"/>
      <c r="AD1177" s="42"/>
      <c r="AE1177" s="42"/>
      <c r="AF1177" s="42"/>
      <c r="AG1177" s="42"/>
      <c r="AH1177" s="42"/>
      <c r="AI1177" s="42"/>
      <c r="AJ1177" s="42"/>
      <c r="AK1177" s="42"/>
      <c r="AL1177" s="42"/>
      <c r="AM1177" s="42"/>
      <c r="AN1177" s="42"/>
      <c r="AO1177" s="42"/>
      <c r="AP1177" s="42"/>
      <c r="AQ1177" s="42"/>
      <c r="AR1177" s="42"/>
      <c r="AS1177" s="42"/>
      <c r="AT1177" s="42"/>
      <c r="AU1177" s="42"/>
      <c r="AV1177" s="42"/>
      <c r="AW1177" s="42"/>
      <c r="AX1177" s="42"/>
      <c r="AY1177" s="42"/>
      <c r="AZ1177" s="42"/>
      <c r="BA1177" s="42"/>
      <c r="BB1177" s="42"/>
      <c r="BC1177" s="42"/>
      <c r="BD1177" s="42"/>
      <c r="BE1177" s="42"/>
      <c r="BF1177" s="42"/>
      <c r="BG1177" s="42"/>
      <c r="BH1177" s="42"/>
      <c r="BI1177" s="42"/>
      <c r="BJ1177" s="42"/>
      <c r="BK1177" s="42"/>
      <c r="BL1177" s="42"/>
      <c r="BM1177" s="42"/>
      <c r="BN1177" s="42"/>
      <c r="BO1177" s="42"/>
    </row>
    <row r="1178">
      <c r="A1178" s="40"/>
      <c r="B1178" s="40"/>
      <c r="C1178" s="42"/>
      <c r="D1178" s="42"/>
      <c r="E1178" s="43"/>
      <c r="F1178" s="42"/>
      <c r="G1178" s="42"/>
      <c r="H1178" s="42"/>
      <c r="I1178" s="42"/>
      <c r="J1178" s="42"/>
      <c r="K1178" s="42"/>
      <c r="L1178" s="42"/>
      <c r="M1178" s="42"/>
      <c r="N1178" s="42"/>
      <c r="O1178" s="42"/>
      <c r="P1178" s="42"/>
      <c r="Q1178" s="42"/>
      <c r="R1178" s="42"/>
      <c r="S1178" s="42"/>
      <c r="T1178" s="42"/>
      <c r="U1178" s="42"/>
      <c r="V1178" s="42"/>
      <c r="W1178" s="42"/>
      <c r="X1178" s="42"/>
      <c r="Y1178" s="42"/>
      <c r="Z1178" s="42"/>
      <c r="AA1178" s="42"/>
      <c r="AB1178" s="42"/>
      <c r="AC1178" s="42"/>
      <c r="AD1178" s="42"/>
      <c r="AE1178" s="42"/>
      <c r="AF1178" s="42"/>
      <c r="AG1178" s="42"/>
      <c r="AH1178" s="42"/>
      <c r="AI1178" s="42"/>
      <c r="AJ1178" s="42"/>
      <c r="AK1178" s="42"/>
      <c r="AL1178" s="42"/>
      <c r="AM1178" s="42"/>
      <c r="AN1178" s="42"/>
      <c r="AO1178" s="42"/>
      <c r="AP1178" s="42"/>
      <c r="AQ1178" s="42"/>
      <c r="AR1178" s="42"/>
      <c r="AS1178" s="42"/>
      <c r="AT1178" s="42"/>
      <c r="AU1178" s="42"/>
      <c r="AV1178" s="42"/>
      <c r="AW1178" s="42"/>
      <c r="AX1178" s="42"/>
      <c r="AY1178" s="42"/>
      <c r="AZ1178" s="42"/>
      <c r="BA1178" s="42"/>
      <c r="BB1178" s="42"/>
      <c r="BC1178" s="42"/>
      <c r="BD1178" s="42"/>
      <c r="BE1178" s="42"/>
      <c r="BF1178" s="42"/>
      <c r="BG1178" s="42"/>
      <c r="BH1178" s="42"/>
      <c r="BI1178" s="42"/>
      <c r="BJ1178" s="42"/>
      <c r="BK1178" s="42"/>
      <c r="BL1178" s="42"/>
      <c r="BM1178" s="42"/>
      <c r="BN1178" s="42"/>
      <c r="BO1178" s="42"/>
    </row>
    <row r="1179">
      <c r="A1179" s="40"/>
      <c r="B1179" s="40"/>
      <c r="C1179" s="42"/>
      <c r="D1179" s="42"/>
      <c r="E1179" s="43"/>
      <c r="F1179" s="42"/>
      <c r="G1179" s="42"/>
      <c r="H1179" s="42"/>
      <c r="I1179" s="42"/>
      <c r="J1179" s="42"/>
      <c r="K1179" s="42"/>
      <c r="L1179" s="42"/>
      <c r="M1179" s="42"/>
      <c r="N1179" s="42"/>
      <c r="O1179" s="42"/>
      <c r="P1179" s="42"/>
      <c r="Q1179" s="42"/>
      <c r="R1179" s="42"/>
      <c r="S1179" s="42"/>
      <c r="T1179" s="42"/>
      <c r="U1179" s="42"/>
      <c r="V1179" s="42"/>
      <c r="W1179" s="42"/>
      <c r="X1179" s="42"/>
      <c r="Y1179" s="42"/>
      <c r="Z1179" s="42"/>
      <c r="AA1179" s="42"/>
      <c r="AB1179" s="42"/>
      <c r="AC1179" s="42"/>
      <c r="AD1179" s="42"/>
      <c r="AE1179" s="42"/>
      <c r="AF1179" s="42"/>
      <c r="AG1179" s="42"/>
      <c r="AH1179" s="42"/>
      <c r="AI1179" s="42"/>
      <c r="AJ1179" s="42"/>
      <c r="AK1179" s="42"/>
      <c r="AL1179" s="42"/>
      <c r="AM1179" s="42"/>
      <c r="AN1179" s="42"/>
      <c r="AO1179" s="42"/>
      <c r="AP1179" s="42"/>
      <c r="AQ1179" s="42"/>
      <c r="AR1179" s="42"/>
      <c r="AS1179" s="42"/>
      <c r="AT1179" s="42"/>
      <c r="AU1179" s="42"/>
      <c r="AV1179" s="42"/>
      <c r="AW1179" s="42"/>
      <c r="AX1179" s="42"/>
      <c r="AY1179" s="42"/>
      <c r="AZ1179" s="42"/>
      <c r="BA1179" s="42"/>
      <c r="BB1179" s="42"/>
      <c r="BC1179" s="42"/>
      <c r="BD1179" s="42"/>
      <c r="BE1179" s="42"/>
      <c r="BF1179" s="42"/>
      <c r="BG1179" s="42"/>
      <c r="BH1179" s="42"/>
      <c r="BI1179" s="42"/>
      <c r="BJ1179" s="42"/>
      <c r="BK1179" s="42"/>
      <c r="BL1179" s="42"/>
      <c r="BM1179" s="42"/>
      <c r="BN1179" s="42"/>
      <c r="BO1179" s="42"/>
    </row>
    <row r="1180">
      <c r="A1180" s="40"/>
      <c r="B1180" s="40"/>
      <c r="C1180" s="42"/>
      <c r="D1180" s="42"/>
      <c r="E1180" s="43"/>
      <c r="F1180" s="42"/>
      <c r="G1180" s="42"/>
      <c r="H1180" s="42"/>
      <c r="I1180" s="42"/>
      <c r="J1180" s="42"/>
      <c r="K1180" s="42"/>
      <c r="L1180" s="42"/>
      <c r="M1180" s="42"/>
      <c r="N1180" s="42"/>
      <c r="O1180" s="42"/>
      <c r="P1180" s="42"/>
      <c r="Q1180" s="42"/>
      <c r="R1180" s="42"/>
      <c r="S1180" s="42"/>
      <c r="T1180" s="42"/>
      <c r="U1180" s="42"/>
      <c r="V1180" s="42"/>
      <c r="W1180" s="42"/>
      <c r="X1180" s="42"/>
      <c r="Y1180" s="42"/>
      <c r="Z1180" s="42"/>
      <c r="AA1180" s="42"/>
      <c r="AB1180" s="42"/>
      <c r="AC1180" s="42"/>
      <c r="AD1180" s="42"/>
      <c r="AE1180" s="42"/>
      <c r="AF1180" s="42"/>
      <c r="AG1180" s="42"/>
      <c r="AH1180" s="42"/>
      <c r="AI1180" s="42"/>
      <c r="AJ1180" s="42"/>
      <c r="AK1180" s="42"/>
      <c r="AL1180" s="42"/>
      <c r="AM1180" s="42"/>
      <c r="AN1180" s="42"/>
      <c r="AO1180" s="42"/>
      <c r="AP1180" s="42"/>
      <c r="AQ1180" s="42"/>
      <c r="AR1180" s="42"/>
      <c r="AS1180" s="42"/>
      <c r="AT1180" s="42"/>
      <c r="AU1180" s="42"/>
      <c r="AV1180" s="42"/>
      <c r="AW1180" s="42"/>
      <c r="AX1180" s="42"/>
      <c r="AY1180" s="42"/>
      <c r="AZ1180" s="42"/>
      <c r="BA1180" s="42"/>
      <c r="BB1180" s="42"/>
      <c r="BC1180" s="42"/>
      <c r="BD1180" s="42"/>
      <c r="BE1180" s="42"/>
      <c r="BF1180" s="42"/>
      <c r="BG1180" s="42"/>
      <c r="BH1180" s="42"/>
      <c r="BI1180" s="42"/>
      <c r="BJ1180" s="42"/>
      <c r="BK1180" s="42"/>
      <c r="BL1180" s="42"/>
      <c r="BM1180" s="42"/>
      <c r="BN1180" s="42"/>
      <c r="BO1180" s="42"/>
    </row>
    <row r="1181">
      <c r="A1181" s="40"/>
      <c r="B1181" s="40"/>
      <c r="C1181" s="42"/>
      <c r="D1181" s="42"/>
      <c r="E1181" s="43"/>
      <c r="F1181" s="42"/>
      <c r="G1181" s="42"/>
      <c r="H1181" s="42"/>
      <c r="I1181" s="42"/>
      <c r="J1181" s="42"/>
      <c r="K1181" s="42"/>
      <c r="L1181" s="42"/>
      <c r="M1181" s="42"/>
      <c r="N1181" s="42"/>
      <c r="O1181" s="42"/>
      <c r="P1181" s="42"/>
      <c r="Q1181" s="42"/>
      <c r="R1181" s="42"/>
      <c r="S1181" s="42"/>
      <c r="T1181" s="42"/>
      <c r="U1181" s="42"/>
      <c r="V1181" s="42"/>
      <c r="W1181" s="42"/>
      <c r="X1181" s="42"/>
      <c r="Y1181" s="42"/>
      <c r="Z1181" s="42"/>
      <c r="AA1181" s="42"/>
      <c r="AB1181" s="42"/>
      <c r="AC1181" s="42"/>
      <c r="AD1181" s="42"/>
      <c r="AE1181" s="42"/>
      <c r="AF1181" s="42"/>
      <c r="AG1181" s="42"/>
      <c r="AH1181" s="42"/>
      <c r="AI1181" s="42"/>
      <c r="AJ1181" s="42"/>
      <c r="AK1181" s="42"/>
      <c r="AL1181" s="42"/>
      <c r="AM1181" s="42"/>
      <c r="AN1181" s="42"/>
      <c r="AO1181" s="42"/>
      <c r="AP1181" s="42"/>
      <c r="AQ1181" s="42"/>
      <c r="AR1181" s="42"/>
      <c r="AS1181" s="42"/>
      <c r="AT1181" s="42"/>
      <c r="AU1181" s="42"/>
      <c r="AV1181" s="42"/>
      <c r="AW1181" s="42"/>
      <c r="AX1181" s="42"/>
      <c r="AY1181" s="42"/>
      <c r="AZ1181" s="42"/>
      <c r="BA1181" s="42"/>
      <c r="BB1181" s="42"/>
      <c r="BC1181" s="42"/>
      <c r="BD1181" s="42"/>
      <c r="BE1181" s="42"/>
      <c r="BF1181" s="42"/>
      <c r="BG1181" s="42"/>
      <c r="BH1181" s="42"/>
      <c r="BI1181" s="42"/>
      <c r="BJ1181" s="42"/>
      <c r="BK1181" s="42"/>
      <c r="BL1181" s="42"/>
      <c r="BM1181" s="42"/>
      <c r="BN1181" s="42"/>
      <c r="BO1181" s="42"/>
    </row>
    <row r="1182">
      <c r="A1182" s="40"/>
      <c r="B1182" s="40"/>
      <c r="C1182" s="42"/>
      <c r="D1182" s="42"/>
      <c r="E1182" s="43"/>
      <c r="F1182" s="42"/>
      <c r="G1182" s="42"/>
      <c r="H1182" s="42"/>
      <c r="I1182" s="42"/>
      <c r="J1182" s="42"/>
      <c r="K1182" s="42"/>
      <c r="L1182" s="42"/>
      <c r="M1182" s="42"/>
      <c r="N1182" s="42"/>
      <c r="O1182" s="42"/>
      <c r="P1182" s="42"/>
      <c r="Q1182" s="42"/>
      <c r="R1182" s="42"/>
      <c r="S1182" s="42"/>
      <c r="T1182" s="42"/>
      <c r="U1182" s="42"/>
      <c r="V1182" s="42"/>
      <c r="W1182" s="42"/>
      <c r="X1182" s="42"/>
      <c r="Y1182" s="42"/>
      <c r="Z1182" s="42"/>
      <c r="AA1182" s="42"/>
      <c r="AB1182" s="42"/>
      <c r="AC1182" s="42"/>
      <c r="AD1182" s="42"/>
      <c r="AE1182" s="42"/>
      <c r="AF1182" s="42"/>
      <c r="AG1182" s="42"/>
      <c r="AH1182" s="42"/>
      <c r="AI1182" s="42"/>
      <c r="AJ1182" s="42"/>
      <c r="AK1182" s="42"/>
      <c r="AL1182" s="42"/>
      <c r="AM1182" s="42"/>
      <c r="AN1182" s="42"/>
      <c r="AO1182" s="42"/>
      <c r="AP1182" s="42"/>
      <c r="AQ1182" s="42"/>
      <c r="AR1182" s="42"/>
      <c r="AS1182" s="42"/>
      <c r="AT1182" s="42"/>
      <c r="AU1182" s="42"/>
      <c r="AV1182" s="42"/>
      <c r="AW1182" s="42"/>
      <c r="AX1182" s="42"/>
      <c r="AY1182" s="42"/>
      <c r="AZ1182" s="42"/>
      <c r="BA1182" s="42"/>
      <c r="BB1182" s="42"/>
      <c r="BC1182" s="42"/>
      <c r="BD1182" s="42"/>
      <c r="BE1182" s="42"/>
      <c r="BF1182" s="42"/>
      <c r="BG1182" s="42"/>
      <c r="BH1182" s="42"/>
      <c r="BI1182" s="42"/>
      <c r="BJ1182" s="42"/>
      <c r="BK1182" s="42"/>
      <c r="BL1182" s="42"/>
      <c r="BM1182" s="42"/>
      <c r="BN1182" s="42"/>
      <c r="BO1182" s="42"/>
    </row>
    <row r="1183">
      <c r="A1183" s="40"/>
      <c r="B1183" s="40"/>
      <c r="C1183" s="42"/>
      <c r="D1183" s="42"/>
      <c r="E1183" s="43"/>
      <c r="F1183" s="42"/>
      <c r="G1183" s="42"/>
      <c r="H1183" s="42"/>
      <c r="I1183" s="42"/>
      <c r="J1183" s="42"/>
      <c r="K1183" s="42"/>
      <c r="L1183" s="42"/>
      <c r="M1183" s="42"/>
      <c r="N1183" s="42"/>
      <c r="O1183" s="42"/>
      <c r="P1183" s="42"/>
      <c r="Q1183" s="42"/>
      <c r="R1183" s="42"/>
      <c r="S1183" s="42"/>
      <c r="T1183" s="42"/>
      <c r="U1183" s="42"/>
      <c r="V1183" s="42"/>
      <c r="W1183" s="42"/>
      <c r="X1183" s="42"/>
      <c r="Y1183" s="42"/>
      <c r="Z1183" s="42"/>
      <c r="AA1183" s="42"/>
      <c r="AB1183" s="42"/>
      <c r="AC1183" s="42"/>
      <c r="AD1183" s="42"/>
      <c r="AE1183" s="42"/>
      <c r="AF1183" s="42"/>
      <c r="AG1183" s="42"/>
      <c r="AH1183" s="42"/>
      <c r="AI1183" s="42"/>
      <c r="AJ1183" s="42"/>
      <c r="AK1183" s="42"/>
      <c r="AL1183" s="42"/>
      <c r="AM1183" s="42"/>
      <c r="AN1183" s="42"/>
      <c r="AO1183" s="42"/>
      <c r="AP1183" s="42"/>
      <c r="AQ1183" s="42"/>
      <c r="AR1183" s="42"/>
      <c r="AS1183" s="42"/>
      <c r="AT1183" s="42"/>
      <c r="AU1183" s="42"/>
      <c r="AV1183" s="42"/>
      <c r="AW1183" s="42"/>
      <c r="AX1183" s="42"/>
      <c r="AY1183" s="42"/>
      <c r="AZ1183" s="42"/>
      <c r="BA1183" s="42"/>
      <c r="BB1183" s="42"/>
      <c r="BC1183" s="42"/>
      <c r="BD1183" s="42"/>
      <c r="BE1183" s="42"/>
      <c r="BF1183" s="42"/>
      <c r="BG1183" s="42"/>
      <c r="BH1183" s="42"/>
      <c r="BI1183" s="42"/>
      <c r="BJ1183" s="42"/>
      <c r="BK1183" s="42"/>
      <c r="BL1183" s="42"/>
      <c r="BM1183" s="42"/>
      <c r="BN1183" s="42"/>
      <c r="BO1183" s="42"/>
    </row>
    <row r="1184">
      <c r="A1184" s="40"/>
      <c r="B1184" s="40"/>
      <c r="C1184" s="42"/>
      <c r="D1184" s="42"/>
      <c r="E1184" s="43"/>
      <c r="F1184" s="42"/>
      <c r="G1184" s="42"/>
      <c r="H1184" s="42"/>
      <c r="I1184" s="42"/>
      <c r="J1184" s="42"/>
      <c r="K1184" s="42"/>
      <c r="L1184" s="42"/>
      <c r="M1184" s="42"/>
      <c r="N1184" s="42"/>
      <c r="O1184" s="42"/>
      <c r="P1184" s="42"/>
      <c r="Q1184" s="42"/>
      <c r="R1184" s="42"/>
      <c r="S1184" s="42"/>
      <c r="T1184" s="42"/>
      <c r="U1184" s="42"/>
      <c r="V1184" s="42"/>
      <c r="W1184" s="42"/>
      <c r="X1184" s="42"/>
      <c r="Y1184" s="42"/>
      <c r="Z1184" s="42"/>
      <c r="AA1184" s="42"/>
      <c r="AB1184" s="42"/>
      <c r="AC1184" s="42"/>
      <c r="AD1184" s="42"/>
      <c r="AE1184" s="42"/>
      <c r="AF1184" s="42"/>
      <c r="AG1184" s="42"/>
      <c r="AH1184" s="42"/>
      <c r="AI1184" s="42"/>
      <c r="AJ1184" s="42"/>
      <c r="AK1184" s="42"/>
      <c r="AL1184" s="42"/>
      <c r="AM1184" s="42"/>
      <c r="AN1184" s="42"/>
      <c r="AO1184" s="42"/>
      <c r="AP1184" s="42"/>
      <c r="AQ1184" s="42"/>
      <c r="AR1184" s="42"/>
      <c r="AS1184" s="42"/>
      <c r="AT1184" s="42"/>
      <c r="AU1184" s="42"/>
      <c r="AV1184" s="42"/>
      <c r="AW1184" s="42"/>
      <c r="AX1184" s="42"/>
      <c r="AY1184" s="42"/>
      <c r="AZ1184" s="42"/>
      <c r="BA1184" s="42"/>
      <c r="BB1184" s="42"/>
      <c r="BC1184" s="42"/>
      <c r="BD1184" s="42"/>
      <c r="BE1184" s="42"/>
      <c r="BF1184" s="42"/>
      <c r="BG1184" s="42"/>
      <c r="BH1184" s="42"/>
      <c r="BI1184" s="42"/>
      <c r="BJ1184" s="42"/>
      <c r="BK1184" s="42"/>
      <c r="BL1184" s="42"/>
      <c r="BM1184" s="42"/>
      <c r="BN1184" s="42"/>
      <c r="BO1184" s="42"/>
    </row>
    <row r="1185">
      <c r="A1185" s="40"/>
      <c r="B1185" s="40"/>
      <c r="C1185" s="42"/>
      <c r="D1185" s="42"/>
      <c r="E1185" s="43"/>
      <c r="F1185" s="42"/>
      <c r="G1185" s="42"/>
      <c r="H1185" s="42"/>
      <c r="I1185" s="42"/>
      <c r="J1185" s="42"/>
      <c r="K1185" s="42"/>
      <c r="L1185" s="42"/>
      <c r="M1185" s="42"/>
      <c r="N1185" s="42"/>
      <c r="O1185" s="42"/>
      <c r="P1185" s="42"/>
      <c r="Q1185" s="42"/>
      <c r="R1185" s="42"/>
      <c r="S1185" s="42"/>
      <c r="T1185" s="42"/>
      <c r="U1185" s="42"/>
      <c r="V1185" s="42"/>
      <c r="W1185" s="42"/>
      <c r="X1185" s="42"/>
      <c r="Y1185" s="42"/>
      <c r="Z1185" s="42"/>
      <c r="AA1185" s="42"/>
      <c r="AB1185" s="42"/>
      <c r="AC1185" s="42"/>
      <c r="AD1185" s="42"/>
      <c r="AE1185" s="42"/>
      <c r="AF1185" s="42"/>
      <c r="AG1185" s="42"/>
      <c r="AH1185" s="42"/>
      <c r="AI1185" s="42"/>
      <c r="AJ1185" s="42"/>
      <c r="AK1185" s="42"/>
      <c r="AL1185" s="42"/>
      <c r="AM1185" s="42"/>
      <c r="AN1185" s="42"/>
      <c r="AO1185" s="42"/>
      <c r="AP1185" s="42"/>
      <c r="AQ1185" s="42"/>
      <c r="AR1185" s="42"/>
      <c r="AS1185" s="42"/>
      <c r="AT1185" s="42"/>
      <c r="AU1185" s="42"/>
      <c r="AV1185" s="42"/>
      <c r="AW1185" s="42"/>
      <c r="AX1185" s="42"/>
      <c r="AY1185" s="42"/>
      <c r="AZ1185" s="42"/>
      <c r="BA1185" s="42"/>
      <c r="BB1185" s="42"/>
      <c r="BC1185" s="42"/>
      <c r="BD1185" s="42"/>
      <c r="BE1185" s="42"/>
      <c r="BF1185" s="42"/>
      <c r="BG1185" s="42"/>
      <c r="BH1185" s="42"/>
      <c r="BI1185" s="42"/>
      <c r="BJ1185" s="42"/>
      <c r="BK1185" s="42"/>
      <c r="BL1185" s="42"/>
      <c r="BM1185" s="42"/>
      <c r="BN1185" s="42"/>
      <c r="BO1185" s="42"/>
    </row>
    <row r="1186">
      <c r="A1186" s="40"/>
      <c r="B1186" s="40"/>
      <c r="C1186" s="42"/>
      <c r="D1186" s="42"/>
      <c r="E1186" s="43"/>
      <c r="F1186" s="42"/>
      <c r="G1186" s="42"/>
      <c r="H1186" s="42"/>
      <c r="I1186" s="42"/>
      <c r="J1186" s="42"/>
      <c r="K1186" s="42"/>
      <c r="L1186" s="42"/>
      <c r="M1186" s="42"/>
      <c r="N1186" s="42"/>
      <c r="O1186" s="42"/>
      <c r="P1186" s="42"/>
      <c r="Q1186" s="42"/>
      <c r="R1186" s="42"/>
      <c r="S1186" s="42"/>
      <c r="T1186" s="42"/>
      <c r="U1186" s="42"/>
      <c r="V1186" s="42"/>
      <c r="W1186" s="42"/>
      <c r="X1186" s="42"/>
      <c r="Y1186" s="42"/>
      <c r="Z1186" s="42"/>
      <c r="AA1186" s="42"/>
      <c r="AB1186" s="42"/>
      <c r="AC1186" s="42"/>
      <c r="AD1186" s="42"/>
      <c r="AE1186" s="42"/>
      <c r="AF1186" s="42"/>
      <c r="AG1186" s="42"/>
      <c r="AH1186" s="42"/>
      <c r="AI1186" s="42"/>
      <c r="AJ1186" s="42"/>
      <c r="AK1186" s="42"/>
      <c r="AL1186" s="42"/>
      <c r="AM1186" s="42"/>
      <c r="AN1186" s="42"/>
      <c r="AO1186" s="42"/>
      <c r="AP1186" s="42"/>
      <c r="AQ1186" s="42"/>
      <c r="AR1186" s="42"/>
      <c r="AS1186" s="42"/>
      <c r="AT1186" s="42"/>
      <c r="AU1186" s="42"/>
      <c r="AV1186" s="42"/>
      <c r="AW1186" s="42"/>
      <c r="AX1186" s="42"/>
      <c r="AY1186" s="42"/>
      <c r="AZ1186" s="42"/>
      <c r="BA1186" s="42"/>
      <c r="BB1186" s="42"/>
      <c r="BC1186" s="42"/>
      <c r="BD1186" s="42"/>
      <c r="BE1186" s="42"/>
      <c r="BF1186" s="42"/>
      <c r="BG1186" s="42"/>
      <c r="BH1186" s="42"/>
      <c r="BI1186" s="42"/>
      <c r="BJ1186" s="42"/>
      <c r="BK1186" s="42"/>
      <c r="BL1186" s="42"/>
      <c r="BM1186" s="42"/>
      <c r="BN1186" s="42"/>
      <c r="BO1186" s="42"/>
    </row>
    <row r="1187">
      <c r="A1187" s="40"/>
      <c r="B1187" s="40"/>
      <c r="C1187" s="42"/>
      <c r="D1187" s="42"/>
      <c r="E1187" s="43"/>
      <c r="F1187" s="42"/>
      <c r="G1187" s="42"/>
      <c r="H1187" s="42"/>
      <c r="I1187" s="42"/>
      <c r="J1187" s="42"/>
      <c r="K1187" s="42"/>
      <c r="L1187" s="42"/>
      <c r="M1187" s="42"/>
      <c r="N1187" s="42"/>
      <c r="O1187" s="42"/>
      <c r="P1187" s="42"/>
      <c r="Q1187" s="42"/>
      <c r="R1187" s="42"/>
      <c r="S1187" s="42"/>
      <c r="T1187" s="42"/>
      <c r="U1187" s="42"/>
      <c r="V1187" s="42"/>
      <c r="W1187" s="42"/>
      <c r="X1187" s="42"/>
      <c r="Y1187" s="42"/>
      <c r="Z1187" s="42"/>
      <c r="AA1187" s="42"/>
      <c r="AB1187" s="42"/>
      <c r="AC1187" s="42"/>
      <c r="AD1187" s="42"/>
      <c r="AE1187" s="42"/>
      <c r="AF1187" s="42"/>
      <c r="AG1187" s="42"/>
      <c r="AH1187" s="42"/>
      <c r="AI1187" s="42"/>
      <c r="AJ1187" s="42"/>
      <c r="AK1187" s="42"/>
      <c r="AL1187" s="42"/>
      <c r="AM1187" s="42"/>
      <c r="AN1187" s="42"/>
      <c r="AO1187" s="42"/>
      <c r="AP1187" s="42"/>
      <c r="AQ1187" s="42"/>
      <c r="AR1187" s="42"/>
      <c r="AS1187" s="42"/>
      <c r="AT1187" s="42"/>
      <c r="AU1187" s="42"/>
      <c r="AV1187" s="42"/>
      <c r="AW1187" s="42"/>
      <c r="AX1187" s="42"/>
      <c r="AY1187" s="42"/>
      <c r="AZ1187" s="42"/>
      <c r="BA1187" s="42"/>
      <c r="BB1187" s="42"/>
      <c r="BC1187" s="42"/>
      <c r="BD1187" s="42"/>
      <c r="BE1187" s="42"/>
      <c r="BF1187" s="42"/>
      <c r="BG1187" s="42"/>
      <c r="BH1187" s="42"/>
      <c r="BI1187" s="42"/>
      <c r="BJ1187" s="42"/>
      <c r="BK1187" s="42"/>
      <c r="BL1187" s="42"/>
      <c r="BM1187" s="42"/>
      <c r="BN1187" s="42"/>
      <c r="BO1187" s="42"/>
    </row>
    <row r="1188">
      <c r="A1188" s="40"/>
      <c r="B1188" s="40"/>
      <c r="C1188" s="42"/>
      <c r="D1188" s="42"/>
      <c r="E1188" s="43"/>
      <c r="F1188" s="42"/>
      <c r="G1188" s="42"/>
      <c r="H1188" s="42"/>
      <c r="I1188" s="42"/>
      <c r="J1188" s="42"/>
      <c r="K1188" s="42"/>
      <c r="L1188" s="42"/>
      <c r="M1188" s="42"/>
      <c r="N1188" s="42"/>
      <c r="O1188" s="42"/>
      <c r="P1188" s="42"/>
      <c r="Q1188" s="42"/>
      <c r="R1188" s="42"/>
      <c r="S1188" s="42"/>
      <c r="T1188" s="42"/>
      <c r="U1188" s="42"/>
      <c r="V1188" s="42"/>
      <c r="W1188" s="42"/>
      <c r="X1188" s="42"/>
      <c r="Y1188" s="42"/>
      <c r="Z1188" s="42"/>
      <c r="AA1188" s="42"/>
      <c r="AB1188" s="42"/>
      <c r="AC1188" s="42"/>
      <c r="AD1188" s="42"/>
      <c r="AE1188" s="42"/>
      <c r="AF1188" s="42"/>
      <c r="AG1188" s="42"/>
      <c r="AH1188" s="42"/>
      <c r="AI1188" s="42"/>
      <c r="AJ1188" s="42"/>
      <c r="AK1188" s="42"/>
      <c r="AL1188" s="42"/>
      <c r="AM1188" s="42"/>
      <c r="AN1188" s="42"/>
      <c r="AO1188" s="42"/>
      <c r="AP1188" s="42"/>
      <c r="AQ1188" s="42"/>
      <c r="AR1188" s="42"/>
      <c r="AS1188" s="42"/>
      <c r="AT1188" s="42"/>
      <c r="AU1188" s="42"/>
      <c r="AV1188" s="42"/>
      <c r="AW1188" s="42"/>
      <c r="AX1188" s="42"/>
      <c r="AY1188" s="42"/>
      <c r="AZ1188" s="42"/>
      <c r="BA1188" s="42"/>
      <c r="BB1188" s="42"/>
      <c r="BC1188" s="42"/>
      <c r="BD1188" s="42"/>
      <c r="BE1188" s="42"/>
      <c r="BF1188" s="42"/>
      <c r="BG1188" s="42"/>
      <c r="BH1188" s="42"/>
      <c r="BI1188" s="42"/>
      <c r="BJ1188" s="42"/>
      <c r="BK1188" s="42"/>
      <c r="BL1188" s="42"/>
      <c r="BM1188" s="42"/>
      <c r="BN1188" s="42"/>
      <c r="BO1188" s="42"/>
    </row>
    <row r="1189">
      <c r="A1189" s="40"/>
      <c r="B1189" s="40"/>
      <c r="C1189" s="42"/>
      <c r="D1189" s="42"/>
      <c r="E1189" s="43"/>
      <c r="F1189" s="42"/>
      <c r="G1189" s="42"/>
      <c r="H1189" s="42"/>
      <c r="I1189" s="42"/>
      <c r="J1189" s="42"/>
      <c r="K1189" s="42"/>
      <c r="L1189" s="42"/>
      <c r="M1189" s="42"/>
      <c r="N1189" s="42"/>
      <c r="O1189" s="42"/>
      <c r="P1189" s="42"/>
      <c r="Q1189" s="42"/>
      <c r="R1189" s="42"/>
      <c r="S1189" s="42"/>
      <c r="T1189" s="42"/>
      <c r="U1189" s="42"/>
      <c r="V1189" s="42"/>
      <c r="W1189" s="42"/>
      <c r="X1189" s="42"/>
      <c r="Y1189" s="42"/>
      <c r="Z1189" s="42"/>
      <c r="AA1189" s="42"/>
      <c r="AB1189" s="42"/>
      <c r="AC1189" s="42"/>
      <c r="AD1189" s="42"/>
      <c r="AE1189" s="42"/>
      <c r="AF1189" s="42"/>
      <c r="AG1189" s="42"/>
      <c r="AH1189" s="42"/>
      <c r="AI1189" s="42"/>
      <c r="AJ1189" s="42"/>
      <c r="AK1189" s="42"/>
      <c r="AL1189" s="42"/>
      <c r="AM1189" s="42"/>
      <c r="AN1189" s="42"/>
      <c r="AO1189" s="42"/>
      <c r="AP1189" s="42"/>
      <c r="AQ1189" s="42"/>
      <c r="AR1189" s="42"/>
      <c r="AS1189" s="42"/>
      <c r="AT1189" s="42"/>
      <c r="AU1189" s="42"/>
      <c r="AV1189" s="42"/>
      <c r="AW1189" s="42"/>
      <c r="AX1189" s="42"/>
      <c r="AY1189" s="42"/>
      <c r="AZ1189" s="42"/>
      <c r="BA1189" s="42"/>
      <c r="BB1189" s="42"/>
      <c r="BC1189" s="42"/>
      <c r="BD1189" s="42"/>
      <c r="BE1189" s="42"/>
      <c r="BF1189" s="42"/>
      <c r="BG1189" s="42"/>
      <c r="BH1189" s="42"/>
      <c r="BI1189" s="42"/>
      <c r="BJ1189" s="42"/>
      <c r="BK1189" s="42"/>
      <c r="BL1189" s="42"/>
      <c r="BM1189" s="42"/>
      <c r="BN1189" s="42"/>
      <c r="BO1189" s="42"/>
    </row>
    <row r="1190">
      <c r="A1190" s="40"/>
      <c r="B1190" s="40"/>
      <c r="C1190" s="42"/>
      <c r="D1190" s="42"/>
      <c r="E1190" s="43"/>
      <c r="F1190" s="42"/>
      <c r="G1190" s="42"/>
      <c r="H1190" s="42"/>
      <c r="I1190" s="42"/>
      <c r="J1190" s="42"/>
      <c r="K1190" s="42"/>
      <c r="L1190" s="42"/>
      <c r="M1190" s="42"/>
      <c r="N1190" s="42"/>
      <c r="O1190" s="42"/>
      <c r="P1190" s="42"/>
      <c r="Q1190" s="42"/>
      <c r="R1190" s="42"/>
      <c r="S1190" s="42"/>
      <c r="T1190" s="42"/>
      <c r="U1190" s="42"/>
      <c r="V1190" s="42"/>
      <c r="W1190" s="42"/>
      <c r="X1190" s="42"/>
      <c r="Y1190" s="42"/>
      <c r="Z1190" s="42"/>
      <c r="AA1190" s="42"/>
      <c r="AB1190" s="42"/>
      <c r="AC1190" s="42"/>
      <c r="AD1190" s="42"/>
      <c r="AE1190" s="42"/>
      <c r="AF1190" s="42"/>
      <c r="AG1190" s="42"/>
      <c r="AH1190" s="42"/>
      <c r="AI1190" s="42"/>
      <c r="AJ1190" s="42"/>
      <c r="AK1190" s="42"/>
      <c r="AL1190" s="42"/>
      <c r="AM1190" s="42"/>
      <c r="AN1190" s="42"/>
      <c r="AO1190" s="42"/>
      <c r="AP1190" s="42"/>
      <c r="AQ1190" s="42"/>
      <c r="AR1190" s="42"/>
      <c r="AS1190" s="42"/>
      <c r="AT1190" s="42"/>
      <c r="AU1190" s="42"/>
      <c r="AV1190" s="42"/>
      <c r="AW1190" s="42"/>
      <c r="AX1190" s="42"/>
      <c r="AY1190" s="42"/>
      <c r="AZ1190" s="42"/>
      <c r="BA1190" s="42"/>
      <c r="BB1190" s="42"/>
      <c r="BC1190" s="42"/>
      <c r="BD1190" s="42"/>
      <c r="BE1190" s="42"/>
      <c r="BF1190" s="42"/>
      <c r="BG1190" s="42"/>
      <c r="BH1190" s="42"/>
      <c r="BI1190" s="42"/>
      <c r="BJ1190" s="42"/>
      <c r="BK1190" s="42"/>
      <c r="BL1190" s="42"/>
      <c r="BM1190" s="42"/>
      <c r="BN1190" s="42"/>
      <c r="BO1190" s="42"/>
    </row>
    <row r="1191">
      <c r="A1191" s="40"/>
      <c r="B1191" s="40"/>
      <c r="C1191" s="42"/>
      <c r="D1191" s="42"/>
      <c r="E1191" s="43"/>
      <c r="F1191" s="42"/>
      <c r="G1191" s="42"/>
      <c r="H1191" s="42"/>
      <c r="I1191" s="42"/>
      <c r="J1191" s="42"/>
      <c r="K1191" s="42"/>
      <c r="L1191" s="42"/>
      <c r="M1191" s="42"/>
      <c r="N1191" s="42"/>
      <c r="O1191" s="42"/>
      <c r="P1191" s="42"/>
      <c r="Q1191" s="42"/>
      <c r="R1191" s="42"/>
      <c r="S1191" s="42"/>
      <c r="T1191" s="42"/>
      <c r="U1191" s="42"/>
      <c r="V1191" s="42"/>
      <c r="W1191" s="42"/>
      <c r="X1191" s="42"/>
      <c r="Y1191" s="42"/>
      <c r="Z1191" s="42"/>
      <c r="AA1191" s="42"/>
      <c r="AB1191" s="42"/>
      <c r="AC1191" s="42"/>
      <c r="AD1191" s="42"/>
      <c r="AE1191" s="42"/>
      <c r="AF1191" s="42"/>
      <c r="AG1191" s="42"/>
      <c r="AH1191" s="42"/>
      <c r="AI1191" s="42"/>
      <c r="AJ1191" s="42"/>
      <c r="AK1191" s="42"/>
      <c r="AL1191" s="42"/>
      <c r="AM1191" s="42"/>
      <c r="AN1191" s="42"/>
      <c r="AO1191" s="42"/>
      <c r="AP1191" s="42"/>
      <c r="AQ1191" s="42"/>
      <c r="AR1191" s="42"/>
      <c r="AS1191" s="42"/>
      <c r="AT1191" s="42"/>
      <c r="AU1191" s="42"/>
      <c r="AV1191" s="42"/>
      <c r="AW1191" s="42"/>
      <c r="AX1191" s="42"/>
      <c r="AY1191" s="42"/>
      <c r="AZ1191" s="42"/>
      <c r="BA1191" s="42"/>
      <c r="BB1191" s="42"/>
      <c r="BC1191" s="42"/>
      <c r="BD1191" s="42"/>
      <c r="BE1191" s="42"/>
      <c r="BF1191" s="42"/>
      <c r="BG1191" s="42"/>
      <c r="BH1191" s="42"/>
      <c r="BI1191" s="42"/>
      <c r="BJ1191" s="42"/>
      <c r="BK1191" s="42"/>
      <c r="BL1191" s="42"/>
      <c r="BM1191" s="42"/>
      <c r="BN1191" s="42"/>
      <c r="BO1191" s="42"/>
    </row>
    <row r="1192">
      <c r="A1192" s="40"/>
      <c r="B1192" s="40"/>
      <c r="C1192" s="42"/>
      <c r="D1192" s="42"/>
      <c r="E1192" s="43"/>
      <c r="F1192" s="42"/>
      <c r="G1192" s="42"/>
      <c r="H1192" s="42"/>
      <c r="I1192" s="42"/>
      <c r="J1192" s="42"/>
      <c r="K1192" s="42"/>
      <c r="L1192" s="42"/>
      <c r="M1192" s="42"/>
      <c r="N1192" s="42"/>
      <c r="O1192" s="42"/>
      <c r="P1192" s="42"/>
      <c r="Q1192" s="42"/>
      <c r="R1192" s="42"/>
      <c r="S1192" s="42"/>
      <c r="T1192" s="42"/>
      <c r="U1192" s="42"/>
      <c r="V1192" s="42"/>
      <c r="W1192" s="42"/>
      <c r="X1192" s="42"/>
      <c r="Y1192" s="42"/>
      <c r="Z1192" s="42"/>
      <c r="AA1192" s="42"/>
      <c r="AB1192" s="42"/>
      <c r="AC1192" s="42"/>
      <c r="AD1192" s="42"/>
      <c r="AE1192" s="42"/>
      <c r="AF1192" s="42"/>
      <c r="AG1192" s="42"/>
      <c r="AH1192" s="42"/>
      <c r="AI1192" s="42"/>
      <c r="AJ1192" s="42"/>
      <c r="AK1192" s="42"/>
      <c r="AL1192" s="42"/>
      <c r="AM1192" s="42"/>
      <c r="AN1192" s="42"/>
      <c r="AO1192" s="42"/>
      <c r="AP1192" s="42"/>
      <c r="AQ1192" s="42"/>
      <c r="AR1192" s="42"/>
      <c r="AS1192" s="42"/>
      <c r="AT1192" s="42"/>
      <c r="AU1192" s="42"/>
      <c r="AV1192" s="42"/>
      <c r="AW1192" s="42"/>
      <c r="AX1192" s="42"/>
      <c r="AY1192" s="42"/>
      <c r="AZ1192" s="42"/>
      <c r="BA1192" s="42"/>
      <c r="BB1192" s="42"/>
      <c r="BC1192" s="42"/>
      <c r="BD1192" s="42"/>
      <c r="BE1192" s="42"/>
      <c r="BF1192" s="42"/>
      <c r="BG1192" s="42"/>
      <c r="BH1192" s="42"/>
      <c r="BI1192" s="42"/>
      <c r="BJ1192" s="42"/>
      <c r="BK1192" s="42"/>
      <c r="BL1192" s="42"/>
      <c r="BM1192" s="42"/>
      <c r="BN1192" s="42"/>
      <c r="BO1192" s="42"/>
    </row>
    <row r="1193">
      <c r="A1193" s="40"/>
      <c r="B1193" s="40"/>
      <c r="C1193" s="42"/>
      <c r="D1193" s="42"/>
      <c r="E1193" s="43"/>
      <c r="F1193" s="42"/>
      <c r="G1193" s="42"/>
      <c r="H1193" s="42"/>
      <c r="I1193" s="42"/>
      <c r="J1193" s="42"/>
      <c r="K1193" s="42"/>
      <c r="L1193" s="42"/>
      <c r="M1193" s="42"/>
      <c r="N1193" s="42"/>
      <c r="O1193" s="42"/>
      <c r="P1193" s="42"/>
      <c r="Q1193" s="42"/>
      <c r="R1193" s="42"/>
      <c r="S1193" s="42"/>
      <c r="T1193" s="42"/>
      <c r="U1193" s="42"/>
      <c r="V1193" s="42"/>
      <c r="W1193" s="42"/>
      <c r="X1193" s="42"/>
      <c r="Y1193" s="42"/>
      <c r="Z1193" s="42"/>
      <c r="AA1193" s="42"/>
      <c r="AB1193" s="42"/>
      <c r="AC1193" s="42"/>
      <c r="AD1193" s="42"/>
      <c r="AE1193" s="42"/>
      <c r="AF1193" s="42"/>
      <c r="AG1193" s="42"/>
      <c r="AH1193" s="42"/>
      <c r="AI1193" s="42"/>
      <c r="AJ1193" s="42"/>
      <c r="AK1193" s="42"/>
      <c r="AL1193" s="42"/>
      <c r="AM1193" s="42"/>
      <c r="AN1193" s="42"/>
      <c r="AO1193" s="42"/>
      <c r="AP1193" s="42"/>
      <c r="AQ1193" s="42"/>
      <c r="AR1193" s="42"/>
      <c r="AS1193" s="42"/>
      <c r="AT1193" s="42"/>
      <c r="AU1193" s="42"/>
      <c r="AV1193" s="42"/>
      <c r="AW1193" s="42"/>
      <c r="AX1193" s="42"/>
      <c r="AY1193" s="42"/>
      <c r="AZ1193" s="42"/>
      <c r="BA1193" s="42"/>
      <c r="BB1193" s="42"/>
      <c r="BC1193" s="42"/>
      <c r="BD1193" s="42"/>
      <c r="BE1193" s="42"/>
      <c r="BF1193" s="42"/>
      <c r="BG1193" s="42"/>
      <c r="BH1193" s="42"/>
      <c r="BI1193" s="42"/>
      <c r="BJ1193" s="42"/>
      <c r="BK1193" s="42"/>
      <c r="BL1193" s="42"/>
      <c r="BM1193" s="42"/>
      <c r="BN1193" s="42"/>
      <c r="BO1193" s="42"/>
    </row>
    <row r="1194">
      <c r="A1194" s="40"/>
      <c r="B1194" s="40"/>
      <c r="C1194" s="42"/>
      <c r="D1194" s="42"/>
      <c r="E1194" s="43"/>
      <c r="F1194" s="42"/>
      <c r="G1194" s="42"/>
      <c r="H1194" s="42"/>
      <c r="I1194" s="42"/>
      <c r="J1194" s="42"/>
      <c r="K1194" s="42"/>
      <c r="L1194" s="42"/>
      <c r="M1194" s="42"/>
      <c r="N1194" s="42"/>
      <c r="O1194" s="42"/>
      <c r="P1194" s="42"/>
      <c r="Q1194" s="42"/>
      <c r="R1194" s="42"/>
      <c r="S1194" s="42"/>
      <c r="T1194" s="42"/>
      <c r="U1194" s="42"/>
      <c r="V1194" s="42"/>
      <c r="W1194" s="42"/>
      <c r="X1194" s="42"/>
      <c r="Y1194" s="42"/>
      <c r="Z1194" s="42"/>
      <c r="AA1194" s="42"/>
      <c r="AB1194" s="42"/>
      <c r="AC1194" s="42"/>
      <c r="AD1194" s="42"/>
      <c r="AE1194" s="42"/>
      <c r="AF1194" s="42"/>
      <c r="AG1194" s="42"/>
      <c r="AH1194" s="42"/>
      <c r="AI1194" s="42"/>
      <c r="AJ1194" s="42"/>
      <c r="AK1194" s="42"/>
      <c r="AL1194" s="42"/>
      <c r="AM1194" s="42"/>
      <c r="AN1194" s="42"/>
      <c r="AO1194" s="42"/>
      <c r="AP1194" s="42"/>
      <c r="AQ1194" s="42"/>
      <c r="AR1194" s="42"/>
      <c r="AS1194" s="42"/>
      <c r="AT1194" s="42"/>
      <c r="AU1194" s="42"/>
      <c r="AV1194" s="42"/>
      <c r="AW1194" s="42"/>
      <c r="AX1194" s="42"/>
      <c r="AY1194" s="42"/>
      <c r="AZ1194" s="42"/>
      <c r="BA1194" s="42"/>
      <c r="BB1194" s="42"/>
      <c r="BC1194" s="42"/>
      <c r="BD1194" s="42"/>
      <c r="BE1194" s="42"/>
      <c r="BF1194" s="42"/>
      <c r="BG1194" s="42"/>
      <c r="BH1194" s="42"/>
      <c r="BI1194" s="42"/>
      <c r="BJ1194" s="42"/>
      <c r="BK1194" s="42"/>
      <c r="BL1194" s="42"/>
      <c r="BM1194" s="42"/>
      <c r="BN1194" s="42"/>
      <c r="BO1194" s="42"/>
    </row>
    <row r="1195">
      <c r="A1195" s="40"/>
      <c r="B1195" s="40"/>
      <c r="C1195" s="42"/>
      <c r="D1195" s="42"/>
      <c r="E1195" s="43"/>
      <c r="F1195" s="42"/>
      <c r="G1195" s="42"/>
      <c r="H1195" s="42"/>
      <c r="I1195" s="42"/>
      <c r="J1195" s="42"/>
      <c r="K1195" s="42"/>
      <c r="L1195" s="42"/>
      <c r="M1195" s="42"/>
      <c r="N1195" s="42"/>
      <c r="O1195" s="42"/>
      <c r="P1195" s="42"/>
      <c r="Q1195" s="42"/>
      <c r="R1195" s="42"/>
      <c r="S1195" s="42"/>
      <c r="T1195" s="42"/>
      <c r="U1195" s="42"/>
      <c r="V1195" s="42"/>
      <c r="W1195" s="42"/>
      <c r="X1195" s="42"/>
      <c r="Y1195" s="42"/>
      <c r="Z1195" s="42"/>
      <c r="AA1195" s="42"/>
      <c r="AB1195" s="42"/>
      <c r="AC1195" s="42"/>
      <c r="AD1195" s="42"/>
      <c r="AE1195" s="42"/>
      <c r="AF1195" s="42"/>
      <c r="AG1195" s="42"/>
      <c r="AH1195" s="42"/>
      <c r="AI1195" s="42"/>
      <c r="AJ1195" s="42"/>
      <c r="AK1195" s="42"/>
      <c r="AL1195" s="42"/>
      <c r="AM1195" s="42"/>
      <c r="AN1195" s="42"/>
      <c r="AO1195" s="42"/>
      <c r="AP1195" s="42"/>
      <c r="AQ1195" s="42"/>
      <c r="AR1195" s="42"/>
      <c r="AS1195" s="42"/>
      <c r="AT1195" s="42"/>
      <c r="AU1195" s="42"/>
      <c r="AV1195" s="42"/>
      <c r="AW1195" s="42"/>
      <c r="AX1195" s="42"/>
      <c r="AY1195" s="42"/>
      <c r="AZ1195" s="42"/>
      <c r="BA1195" s="42"/>
      <c r="BB1195" s="42"/>
      <c r="BC1195" s="42"/>
      <c r="BD1195" s="42"/>
      <c r="BE1195" s="42"/>
      <c r="BF1195" s="42"/>
      <c r="BG1195" s="42"/>
      <c r="BH1195" s="42"/>
      <c r="BI1195" s="42"/>
      <c r="BJ1195" s="42"/>
      <c r="BK1195" s="42"/>
      <c r="BL1195" s="42"/>
      <c r="BM1195" s="42"/>
      <c r="BN1195" s="42"/>
      <c r="BO1195" s="42"/>
    </row>
    <row r="1196">
      <c r="A1196" s="40"/>
      <c r="B1196" s="40"/>
      <c r="C1196" s="42"/>
      <c r="D1196" s="42"/>
      <c r="E1196" s="43"/>
      <c r="F1196" s="42"/>
      <c r="G1196" s="42"/>
      <c r="H1196" s="42"/>
      <c r="I1196" s="42"/>
      <c r="J1196" s="42"/>
      <c r="K1196" s="42"/>
      <c r="L1196" s="42"/>
      <c r="M1196" s="42"/>
      <c r="N1196" s="42"/>
      <c r="O1196" s="42"/>
      <c r="P1196" s="42"/>
      <c r="Q1196" s="42"/>
      <c r="R1196" s="42"/>
      <c r="S1196" s="42"/>
      <c r="T1196" s="42"/>
      <c r="U1196" s="42"/>
      <c r="V1196" s="42"/>
      <c r="W1196" s="42"/>
      <c r="X1196" s="42"/>
      <c r="Y1196" s="42"/>
      <c r="Z1196" s="42"/>
      <c r="AA1196" s="42"/>
      <c r="AB1196" s="42"/>
      <c r="AC1196" s="42"/>
      <c r="AD1196" s="42"/>
      <c r="AE1196" s="42"/>
      <c r="AF1196" s="42"/>
      <c r="AG1196" s="42"/>
      <c r="AH1196" s="42"/>
      <c r="AI1196" s="42"/>
      <c r="AJ1196" s="42"/>
      <c r="AK1196" s="42"/>
      <c r="AL1196" s="42"/>
      <c r="AM1196" s="42"/>
      <c r="AN1196" s="42"/>
      <c r="AO1196" s="42"/>
      <c r="AP1196" s="42"/>
      <c r="AQ1196" s="42"/>
      <c r="AR1196" s="42"/>
      <c r="AS1196" s="42"/>
      <c r="AT1196" s="42"/>
      <c r="AU1196" s="42"/>
      <c r="AV1196" s="42"/>
      <c r="AW1196" s="42"/>
      <c r="AX1196" s="42"/>
      <c r="AY1196" s="42"/>
      <c r="AZ1196" s="42"/>
      <c r="BA1196" s="42"/>
      <c r="BB1196" s="42"/>
      <c r="BC1196" s="42"/>
      <c r="BD1196" s="42"/>
      <c r="BE1196" s="42"/>
      <c r="BF1196" s="42"/>
      <c r="BG1196" s="42"/>
      <c r="BH1196" s="42"/>
      <c r="BI1196" s="42"/>
      <c r="BJ1196" s="42"/>
      <c r="BK1196" s="42"/>
      <c r="BL1196" s="42"/>
      <c r="BM1196" s="42"/>
      <c r="BN1196" s="42"/>
      <c r="BO1196" s="42"/>
    </row>
    <row r="1197">
      <c r="A1197" s="40"/>
      <c r="B1197" s="40"/>
      <c r="C1197" s="42"/>
      <c r="D1197" s="42"/>
      <c r="E1197" s="43"/>
      <c r="F1197" s="42"/>
      <c r="G1197" s="42"/>
      <c r="H1197" s="42"/>
      <c r="I1197" s="42"/>
      <c r="J1197" s="42"/>
      <c r="K1197" s="42"/>
      <c r="L1197" s="42"/>
      <c r="M1197" s="42"/>
      <c r="N1197" s="42"/>
      <c r="O1197" s="42"/>
      <c r="P1197" s="42"/>
      <c r="Q1197" s="42"/>
      <c r="R1197" s="42"/>
      <c r="S1197" s="42"/>
      <c r="T1197" s="42"/>
      <c r="U1197" s="42"/>
      <c r="V1197" s="42"/>
      <c r="W1197" s="42"/>
      <c r="X1197" s="42"/>
      <c r="Y1197" s="42"/>
      <c r="Z1197" s="42"/>
      <c r="AA1197" s="42"/>
      <c r="AB1197" s="42"/>
      <c r="AC1197" s="42"/>
      <c r="AD1197" s="42"/>
      <c r="AE1197" s="42"/>
      <c r="AF1197" s="42"/>
      <c r="AG1197" s="42"/>
      <c r="AH1197" s="42"/>
      <c r="AI1197" s="42"/>
      <c r="AJ1197" s="42"/>
      <c r="AK1197" s="42"/>
      <c r="AL1197" s="42"/>
      <c r="AM1197" s="42"/>
      <c r="AN1197" s="42"/>
      <c r="AO1197" s="42"/>
      <c r="AP1197" s="42"/>
      <c r="AQ1197" s="42"/>
      <c r="AR1197" s="42"/>
      <c r="AS1197" s="42"/>
      <c r="AT1197" s="42"/>
      <c r="AU1197" s="42"/>
      <c r="AV1197" s="42"/>
      <c r="AW1197" s="42"/>
      <c r="AX1197" s="42"/>
      <c r="AY1197" s="42"/>
      <c r="AZ1197" s="42"/>
      <c r="BA1197" s="42"/>
      <c r="BB1197" s="42"/>
      <c r="BC1197" s="42"/>
      <c r="BD1197" s="42"/>
      <c r="BE1197" s="42"/>
      <c r="BF1197" s="42"/>
      <c r="BG1197" s="42"/>
      <c r="BH1197" s="42"/>
      <c r="BI1197" s="42"/>
      <c r="BJ1197" s="42"/>
      <c r="BK1197" s="42"/>
      <c r="BL1197" s="42"/>
      <c r="BM1197" s="42"/>
      <c r="BN1197" s="42"/>
      <c r="BO1197" s="42"/>
    </row>
    <row r="1198">
      <c r="A1198" s="40"/>
      <c r="B1198" s="40"/>
      <c r="C1198" s="42"/>
      <c r="D1198" s="42"/>
      <c r="E1198" s="43"/>
      <c r="F1198" s="42"/>
      <c r="G1198" s="42"/>
      <c r="H1198" s="42"/>
      <c r="I1198" s="42"/>
      <c r="J1198" s="42"/>
      <c r="K1198" s="42"/>
      <c r="L1198" s="42"/>
      <c r="M1198" s="42"/>
      <c r="N1198" s="42"/>
      <c r="O1198" s="42"/>
      <c r="P1198" s="42"/>
      <c r="Q1198" s="42"/>
      <c r="R1198" s="42"/>
      <c r="S1198" s="42"/>
      <c r="T1198" s="42"/>
      <c r="U1198" s="42"/>
      <c r="V1198" s="42"/>
      <c r="W1198" s="42"/>
      <c r="X1198" s="42"/>
      <c r="Y1198" s="42"/>
      <c r="Z1198" s="42"/>
      <c r="AA1198" s="42"/>
      <c r="AB1198" s="42"/>
      <c r="AC1198" s="42"/>
      <c r="AD1198" s="42"/>
      <c r="AE1198" s="42"/>
      <c r="AF1198" s="42"/>
      <c r="AG1198" s="42"/>
      <c r="AH1198" s="42"/>
      <c r="AI1198" s="42"/>
      <c r="AJ1198" s="42"/>
      <c r="AK1198" s="42"/>
      <c r="AL1198" s="42"/>
      <c r="AM1198" s="42"/>
      <c r="AN1198" s="42"/>
      <c r="AO1198" s="42"/>
      <c r="AP1198" s="42"/>
      <c r="AQ1198" s="42"/>
      <c r="AR1198" s="42"/>
      <c r="AS1198" s="42"/>
      <c r="AT1198" s="42"/>
      <c r="AU1198" s="42"/>
      <c r="AV1198" s="42"/>
      <c r="AW1198" s="42"/>
      <c r="AX1198" s="42"/>
      <c r="AY1198" s="42"/>
      <c r="AZ1198" s="42"/>
      <c r="BA1198" s="42"/>
      <c r="BB1198" s="42"/>
      <c r="BC1198" s="42"/>
      <c r="BD1198" s="42"/>
      <c r="BE1198" s="42"/>
      <c r="BF1198" s="42"/>
      <c r="BG1198" s="42"/>
      <c r="BH1198" s="42"/>
      <c r="BI1198" s="42"/>
      <c r="BJ1198" s="42"/>
      <c r="BK1198" s="42"/>
      <c r="BL1198" s="42"/>
      <c r="BM1198" s="42"/>
      <c r="BN1198" s="42"/>
      <c r="BO1198" s="42"/>
    </row>
    <row r="1199">
      <c r="A1199" s="40"/>
      <c r="B1199" s="40"/>
      <c r="C1199" s="42"/>
      <c r="D1199" s="42"/>
      <c r="E1199" s="43"/>
      <c r="F1199" s="42"/>
      <c r="G1199" s="42"/>
      <c r="H1199" s="42"/>
      <c r="I1199" s="42"/>
      <c r="J1199" s="42"/>
      <c r="K1199" s="42"/>
      <c r="L1199" s="42"/>
      <c r="M1199" s="42"/>
      <c r="N1199" s="42"/>
      <c r="O1199" s="42"/>
      <c r="P1199" s="42"/>
      <c r="Q1199" s="42"/>
      <c r="R1199" s="42"/>
      <c r="S1199" s="42"/>
      <c r="T1199" s="42"/>
      <c r="U1199" s="42"/>
      <c r="V1199" s="42"/>
      <c r="W1199" s="42"/>
      <c r="X1199" s="42"/>
      <c r="Y1199" s="42"/>
      <c r="Z1199" s="42"/>
      <c r="AA1199" s="42"/>
      <c r="AB1199" s="42"/>
      <c r="AC1199" s="42"/>
      <c r="AD1199" s="42"/>
      <c r="AE1199" s="42"/>
      <c r="AF1199" s="42"/>
      <c r="AG1199" s="42"/>
      <c r="AH1199" s="42"/>
      <c r="AI1199" s="42"/>
      <c r="AJ1199" s="42"/>
      <c r="AK1199" s="42"/>
      <c r="AL1199" s="42"/>
      <c r="AM1199" s="42"/>
      <c r="AN1199" s="42"/>
      <c r="AO1199" s="42"/>
      <c r="AP1199" s="42"/>
      <c r="AQ1199" s="42"/>
      <c r="AR1199" s="42"/>
      <c r="AS1199" s="42"/>
      <c r="AT1199" s="42"/>
      <c r="AU1199" s="42"/>
      <c r="AV1199" s="42"/>
      <c r="AW1199" s="42"/>
      <c r="AX1199" s="42"/>
      <c r="AY1199" s="42"/>
      <c r="AZ1199" s="42"/>
      <c r="BA1199" s="42"/>
      <c r="BB1199" s="42"/>
      <c r="BC1199" s="42"/>
      <c r="BD1199" s="42"/>
      <c r="BE1199" s="42"/>
      <c r="BF1199" s="42"/>
      <c r="BG1199" s="42"/>
      <c r="BH1199" s="42"/>
      <c r="BI1199" s="42"/>
      <c r="BJ1199" s="42"/>
      <c r="BK1199" s="42"/>
      <c r="BL1199" s="42"/>
      <c r="BM1199" s="42"/>
      <c r="BN1199" s="42"/>
      <c r="BO1199" s="42"/>
    </row>
    <row r="1200">
      <c r="A1200" s="40"/>
      <c r="B1200" s="40"/>
      <c r="C1200" s="42"/>
      <c r="D1200" s="42"/>
      <c r="E1200" s="43"/>
      <c r="F1200" s="42"/>
      <c r="G1200" s="42"/>
      <c r="H1200" s="42"/>
      <c r="I1200" s="42"/>
      <c r="J1200" s="42"/>
      <c r="K1200" s="42"/>
      <c r="L1200" s="42"/>
      <c r="M1200" s="42"/>
      <c r="N1200" s="42"/>
      <c r="O1200" s="42"/>
      <c r="P1200" s="42"/>
      <c r="Q1200" s="42"/>
      <c r="R1200" s="42"/>
      <c r="S1200" s="42"/>
      <c r="T1200" s="42"/>
      <c r="U1200" s="42"/>
      <c r="V1200" s="42"/>
      <c r="W1200" s="42"/>
      <c r="X1200" s="42"/>
      <c r="Y1200" s="42"/>
      <c r="Z1200" s="42"/>
      <c r="AA1200" s="42"/>
      <c r="AB1200" s="42"/>
      <c r="AC1200" s="42"/>
      <c r="AD1200" s="42"/>
      <c r="AE1200" s="42"/>
      <c r="AF1200" s="42"/>
      <c r="AG1200" s="42"/>
      <c r="AH1200" s="42"/>
      <c r="AI1200" s="42"/>
      <c r="AJ1200" s="42"/>
      <c r="AK1200" s="42"/>
      <c r="AL1200" s="42"/>
      <c r="AM1200" s="42"/>
      <c r="AN1200" s="42"/>
      <c r="AO1200" s="42"/>
      <c r="AP1200" s="42"/>
      <c r="AQ1200" s="42"/>
      <c r="AR1200" s="42"/>
      <c r="AS1200" s="42"/>
      <c r="AT1200" s="42"/>
      <c r="AU1200" s="42"/>
      <c r="AV1200" s="42"/>
      <c r="AW1200" s="42"/>
      <c r="AX1200" s="42"/>
      <c r="AY1200" s="42"/>
      <c r="AZ1200" s="42"/>
      <c r="BA1200" s="42"/>
      <c r="BB1200" s="42"/>
      <c r="BC1200" s="42"/>
      <c r="BD1200" s="42"/>
      <c r="BE1200" s="42"/>
      <c r="BF1200" s="42"/>
      <c r="BG1200" s="42"/>
      <c r="BH1200" s="42"/>
      <c r="BI1200" s="42"/>
      <c r="BJ1200" s="42"/>
      <c r="BK1200" s="42"/>
      <c r="BL1200" s="42"/>
      <c r="BM1200" s="42"/>
      <c r="BN1200" s="42"/>
      <c r="BO1200" s="42"/>
    </row>
    <row r="1201">
      <c r="A1201" s="40"/>
      <c r="B1201" s="40"/>
      <c r="C1201" s="42"/>
      <c r="D1201" s="42"/>
      <c r="E1201" s="43"/>
      <c r="F1201" s="42"/>
      <c r="G1201" s="42"/>
      <c r="H1201" s="42"/>
      <c r="I1201" s="42"/>
      <c r="J1201" s="42"/>
      <c r="K1201" s="42"/>
      <c r="L1201" s="42"/>
      <c r="M1201" s="42"/>
      <c r="N1201" s="42"/>
      <c r="O1201" s="42"/>
      <c r="P1201" s="42"/>
      <c r="Q1201" s="42"/>
      <c r="R1201" s="42"/>
      <c r="S1201" s="42"/>
      <c r="T1201" s="42"/>
      <c r="U1201" s="42"/>
      <c r="V1201" s="42"/>
      <c r="W1201" s="42"/>
      <c r="X1201" s="42"/>
      <c r="Y1201" s="42"/>
      <c r="Z1201" s="42"/>
      <c r="AA1201" s="42"/>
      <c r="AB1201" s="42"/>
      <c r="AC1201" s="42"/>
      <c r="AD1201" s="42"/>
      <c r="AE1201" s="42"/>
      <c r="AF1201" s="42"/>
      <c r="AG1201" s="42"/>
      <c r="AH1201" s="42"/>
      <c r="AI1201" s="42"/>
      <c r="AJ1201" s="42"/>
      <c r="AK1201" s="42"/>
      <c r="AL1201" s="42"/>
      <c r="AM1201" s="42"/>
      <c r="AN1201" s="42"/>
      <c r="AO1201" s="42"/>
      <c r="AP1201" s="42"/>
      <c r="AQ1201" s="42"/>
      <c r="AR1201" s="42"/>
      <c r="AS1201" s="42"/>
      <c r="AT1201" s="42"/>
      <c r="AU1201" s="42"/>
      <c r="AV1201" s="42"/>
      <c r="AW1201" s="42"/>
      <c r="AX1201" s="42"/>
      <c r="AY1201" s="42"/>
      <c r="AZ1201" s="42"/>
      <c r="BA1201" s="42"/>
      <c r="BB1201" s="42"/>
      <c r="BC1201" s="42"/>
      <c r="BD1201" s="42"/>
      <c r="BE1201" s="42"/>
      <c r="BF1201" s="42"/>
      <c r="BG1201" s="42"/>
      <c r="BH1201" s="42"/>
      <c r="BI1201" s="42"/>
      <c r="BJ1201" s="42"/>
      <c r="BK1201" s="42"/>
      <c r="BL1201" s="42"/>
      <c r="BM1201" s="42"/>
      <c r="BN1201" s="42"/>
      <c r="BO1201" s="42"/>
    </row>
    <row r="1202">
      <c r="A1202" s="40"/>
      <c r="B1202" s="40"/>
      <c r="C1202" s="42"/>
      <c r="D1202" s="42"/>
      <c r="E1202" s="43"/>
      <c r="F1202" s="42"/>
      <c r="G1202" s="42"/>
      <c r="H1202" s="42"/>
      <c r="I1202" s="42"/>
      <c r="J1202" s="42"/>
      <c r="K1202" s="42"/>
      <c r="L1202" s="42"/>
      <c r="M1202" s="42"/>
      <c r="N1202" s="42"/>
      <c r="O1202" s="42"/>
      <c r="P1202" s="42"/>
      <c r="Q1202" s="42"/>
      <c r="R1202" s="42"/>
      <c r="S1202" s="42"/>
      <c r="T1202" s="42"/>
      <c r="U1202" s="42"/>
      <c r="V1202" s="42"/>
      <c r="W1202" s="42"/>
      <c r="X1202" s="42"/>
      <c r="Y1202" s="42"/>
      <c r="Z1202" s="42"/>
      <c r="AA1202" s="42"/>
      <c r="AB1202" s="42"/>
      <c r="AC1202" s="42"/>
      <c r="AD1202" s="42"/>
      <c r="AE1202" s="42"/>
      <c r="AF1202" s="42"/>
      <c r="AG1202" s="42"/>
      <c r="AH1202" s="42"/>
      <c r="AI1202" s="42"/>
      <c r="AJ1202" s="42"/>
      <c r="AK1202" s="42"/>
      <c r="AL1202" s="42"/>
      <c r="AM1202" s="42"/>
      <c r="AN1202" s="42"/>
      <c r="AO1202" s="42"/>
      <c r="AP1202" s="42"/>
      <c r="AQ1202" s="42"/>
      <c r="AR1202" s="42"/>
      <c r="AS1202" s="42"/>
      <c r="AT1202" s="42"/>
      <c r="AU1202" s="42"/>
      <c r="AV1202" s="42"/>
      <c r="AW1202" s="42"/>
      <c r="AX1202" s="42"/>
      <c r="AY1202" s="42"/>
      <c r="AZ1202" s="42"/>
      <c r="BA1202" s="42"/>
      <c r="BB1202" s="42"/>
      <c r="BC1202" s="42"/>
      <c r="BD1202" s="42"/>
      <c r="BE1202" s="42"/>
      <c r="BF1202" s="42"/>
      <c r="BG1202" s="42"/>
      <c r="BH1202" s="42"/>
      <c r="BI1202" s="42"/>
      <c r="BJ1202" s="42"/>
      <c r="BK1202" s="42"/>
      <c r="BL1202" s="42"/>
      <c r="BM1202" s="42"/>
      <c r="BN1202" s="42"/>
      <c r="BO1202" s="42"/>
    </row>
    <row r="1203">
      <c r="A1203" s="40"/>
      <c r="B1203" s="40"/>
      <c r="C1203" s="42"/>
      <c r="D1203" s="42"/>
      <c r="E1203" s="43"/>
      <c r="F1203" s="42"/>
      <c r="G1203" s="42"/>
      <c r="H1203" s="42"/>
      <c r="I1203" s="42"/>
      <c r="J1203" s="42"/>
      <c r="K1203" s="42"/>
      <c r="L1203" s="42"/>
      <c r="M1203" s="42"/>
      <c r="N1203" s="42"/>
      <c r="O1203" s="42"/>
      <c r="P1203" s="42"/>
      <c r="Q1203" s="42"/>
      <c r="R1203" s="42"/>
      <c r="S1203" s="42"/>
      <c r="T1203" s="42"/>
      <c r="U1203" s="42"/>
      <c r="V1203" s="42"/>
      <c r="W1203" s="42"/>
      <c r="X1203" s="42"/>
      <c r="Y1203" s="42"/>
      <c r="Z1203" s="42"/>
      <c r="AA1203" s="42"/>
      <c r="AB1203" s="42"/>
      <c r="AC1203" s="42"/>
      <c r="AD1203" s="42"/>
      <c r="AE1203" s="42"/>
      <c r="AF1203" s="42"/>
      <c r="AG1203" s="42"/>
      <c r="AH1203" s="42"/>
      <c r="AI1203" s="42"/>
      <c r="AJ1203" s="42"/>
      <c r="AK1203" s="42"/>
      <c r="AL1203" s="42"/>
      <c r="AM1203" s="42"/>
      <c r="AN1203" s="42"/>
      <c r="AO1203" s="42"/>
      <c r="AP1203" s="42"/>
      <c r="AQ1203" s="42"/>
      <c r="AR1203" s="42"/>
      <c r="AS1203" s="42"/>
      <c r="AT1203" s="42"/>
      <c r="AU1203" s="42"/>
      <c r="AV1203" s="42"/>
      <c r="AW1203" s="42"/>
      <c r="AX1203" s="42"/>
      <c r="AY1203" s="42"/>
      <c r="AZ1203" s="42"/>
      <c r="BA1203" s="42"/>
      <c r="BB1203" s="42"/>
      <c r="BC1203" s="42"/>
      <c r="BD1203" s="42"/>
      <c r="BE1203" s="42"/>
      <c r="BF1203" s="42"/>
      <c r="BG1203" s="42"/>
      <c r="BH1203" s="42"/>
      <c r="BI1203" s="42"/>
      <c r="BJ1203" s="42"/>
      <c r="BK1203" s="42"/>
      <c r="BL1203" s="42"/>
      <c r="BM1203" s="42"/>
      <c r="BN1203" s="42"/>
      <c r="BO1203" s="42"/>
    </row>
    <row r="1204">
      <c r="A1204" s="40"/>
      <c r="B1204" s="40"/>
      <c r="C1204" s="42"/>
      <c r="D1204" s="42"/>
      <c r="E1204" s="43"/>
      <c r="F1204" s="42"/>
      <c r="G1204" s="42"/>
      <c r="H1204" s="42"/>
      <c r="I1204" s="42"/>
      <c r="J1204" s="42"/>
      <c r="K1204" s="42"/>
      <c r="L1204" s="42"/>
      <c r="M1204" s="42"/>
      <c r="N1204" s="42"/>
      <c r="O1204" s="42"/>
      <c r="P1204" s="42"/>
      <c r="Q1204" s="42"/>
      <c r="R1204" s="42"/>
      <c r="S1204" s="42"/>
      <c r="T1204" s="42"/>
      <c r="U1204" s="42"/>
      <c r="V1204" s="42"/>
      <c r="W1204" s="42"/>
      <c r="X1204" s="42"/>
      <c r="Y1204" s="42"/>
      <c r="Z1204" s="42"/>
      <c r="AA1204" s="42"/>
      <c r="AB1204" s="42"/>
      <c r="AC1204" s="42"/>
      <c r="AD1204" s="42"/>
      <c r="AE1204" s="42"/>
      <c r="AF1204" s="42"/>
      <c r="AG1204" s="42"/>
      <c r="AH1204" s="42"/>
      <c r="AI1204" s="42"/>
      <c r="AJ1204" s="42"/>
      <c r="AK1204" s="42"/>
      <c r="AL1204" s="42"/>
      <c r="AM1204" s="42"/>
      <c r="AN1204" s="42"/>
      <c r="AO1204" s="42"/>
      <c r="AP1204" s="42"/>
      <c r="AQ1204" s="42"/>
      <c r="AR1204" s="42"/>
      <c r="AS1204" s="42"/>
      <c r="AT1204" s="42"/>
      <c r="AU1204" s="42"/>
      <c r="AV1204" s="42"/>
      <c r="AW1204" s="42"/>
      <c r="AX1204" s="42"/>
      <c r="AY1204" s="42"/>
      <c r="AZ1204" s="42"/>
      <c r="BA1204" s="42"/>
      <c r="BB1204" s="42"/>
      <c r="BC1204" s="42"/>
      <c r="BD1204" s="42"/>
      <c r="BE1204" s="42"/>
      <c r="BF1204" s="42"/>
      <c r="BG1204" s="42"/>
      <c r="BH1204" s="42"/>
      <c r="BI1204" s="42"/>
      <c r="BJ1204" s="42"/>
      <c r="BK1204" s="42"/>
      <c r="BL1204" s="42"/>
      <c r="BM1204" s="42"/>
      <c r="BN1204" s="42"/>
      <c r="BO1204" s="42"/>
    </row>
    <row r="1205">
      <c r="A1205" s="40"/>
      <c r="B1205" s="40"/>
      <c r="C1205" s="42"/>
      <c r="D1205" s="42"/>
      <c r="E1205" s="43"/>
      <c r="F1205" s="42"/>
      <c r="G1205" s="42"/>
      <c r="H1205" s="42"/>
      <c r="I1205" s="42"/>
      <c r="J1205" s="42"/>
      <c r="K1205" s="42"/>
      <c r="L1205" s="42"/>
      <c r="M1205" s="42"/>
      <c r="N1205" s="42"/>
      <c r="O1205" s="42"/>
      <c r="P1205" s="42"/>
      <c r="Q1205" s="42"/>
      <c r="R1205" s="42"/>
      <c r="S1205" s="42"/>
      <c r="T1205" s="42"/>
      <c r="U1205" s="42"/>
      <c r="V1205" s="42"/>
      <c r="W1205" s="42"/>
      <c r="X1205" s="42"/>
      <c r="Y1205" s="42"/>
      <c r="Z1205" s="42"/>
      <c r="AA1205" s="42"/>
      <c r="AB1205" s="42"/>
      <c r="AC1205" s="42"/>
      <c r="AD1205" s="42"/>
      <c r="AE1205" s="42"/>
      <c r="AF1205" s="42"/>
      <c r="AG1205" s="42"/>
      <c r="AH1205" s="42"/>
      <c r="AI1205" s="42"/>
      <c r="AJ1205" s="42"/>
      <c r="AK1205" s="42"/>
      <c r="AL1205" s="42"/>
      <c r="AM1205" s="42"/>
      <c r="AN1205" s="42"/>
      <c r="AO1205" s="42"/>
      <c r="AP1205" s="42"/>
      <c r="AQ1205" s="42"/>
      <c r="AR1205" s="42"/>
      <c r="AS1205" s="42"/>
      <c r="AT1205" s="42"/>
      <c r="AU1205" s="42"/>
      <c r="AV1205" s="42"/>
      <c r="AW1205" s="42"/>
      <c r="AX1205" s="42"/>
      <c r="AY1205" s="42"/>
      <c r="AZ1205" s="42"/>
      <c r="BA1205" s="42"/>
      <c r="BB1205" s="42"/>
      <c r="BC1205" s="42"/>
      <c r="BD1205" s="42"/>
      <c r="BE1205" s="42"/>
      <c r="BF1205" s="42"/>
      <c r="BG1205" s="42"/>
      <c r="BH1205" s="42"/>
      <c r="BI1205" s="42"/>
      <c r="BJ1205" s="42"/>
      <c r="BK1205" s="42"/>
      <c r="BL1205" s="42"/>
      <c r="BM1205" s="42"/>
      <c r="BN1205" s="42"/>
      <c r="BO1205" s="42"/>
    </row>
    <row r="1206">
      <c r="A1206" s="40"/>
      <c r="B1206" s="40"/>
      <c r="C1206" s="42"/>
      <c r="D1206" s="42"/>
      <c r="E1206" s="43"/>
      <c r="F1206" s="42"/>
      <c r="G1206" s="42"/>
      <c r="H1206" s="42"/>
      <c r="I1206" s="42"/>
      <c r="J1206" s="42"/>
      <c r="K1206" s="42"/>
      <c r="L1206" s="42"/>
      <c r="M1206" s="42"/>
      <c r="N1206" s="42"/>
      <c r="O1206" s="42"/>
      <c r="P1206" s="42"/>
      <c r="Q1206" s="42"/>
      <c r="R1206" s="42"/>
      <c r="S1206" s="42"/>
      <c r="T1206" s="42"/>
      <c r="U1206" s="42"/>
      <c r="V1206" s="42"/>
      <c r="W1206" s="42"/>
      <c r="X1206" s="42"/>
      <c r="Y1206" s="42"/>
      <c r="Z1206" s="42"/>
      <c r="AA1206" s="42"/>
      <c r="AB1206" s="42"/>
      <c r="AC1206" s="42"/>
      <c r="AD1206" s="42"/>
      <c r="AE1206" s="42"/>
      <c r="AF1206" s="42"/>
      <c r="AG1206" s="42"/>
      <c r="AH1206" s="42"/>
      <c r="AI1206" s="42"/>
      <c r="AJ1206" s="42"/>
      <c r="AK1206" s="42"/>
      <c r="AL1206" s="42"/>
      <c r="AM1206" s="42"/>
      <c r="AN1206" s="42"/>
      <c r="AO1206" s="42"/>
      <c r="AP1206" s="42"/>
      <c r="AQ1206" s="42"/>
      <c r="AR1206" s="42"/>
      <c r="AS1206" s="42"/>
      <c r="AT1206" s="42"/>
      <c r="AU1206" s="42"/>
      <c r="AV1206" s="42"/>
      <c r="AW1206" s="42"/>
      <c r="AX1206" s="42"/>
      <c r="AY1206" s="42"/>
      <c r="AZ1206" s="42"/>
      <c r="BA1206" s="42"/>
      <c r="BB1206" s="42"/>
      <c r="BC1206" s="42"/>
      <c r="BD1206" s="42"/>
      <c r="BE1206" s="42"/>
      <c r="BF1206" s="42"/>
      <c r="BG1206" s="42"/>
      <c r="BH1206" s="42"/>
      <c r="BI1206" s="42"/>
      <c r="BJ1206" s="42"/>
      <c r="BK1206" s="42"/>
      <c r="BL1206" s="42"/>
      <c r="BM1206" s="42"/>
      <c r="BN1206" s="42"/>
      <c r="BO1206" s="42"/>
    </row>
    <row r="1207">
      <c r="A1207" s="40"/>
      <c r="B1207" s="40"/>
      <c r="C1207" s="42"/>
      <c r="D1207" s="42"/>
      <c r="E1207" s="43"/>
      <c r="F1207" s="42"/>
      <c r="G1207" s="42"/>
      <c r="H1207" s="42"/>
      <c r="I1207" s="42"/>
      <c r="J1207" s="42"/>
      <c r="K1207" s="42"/>
      <c r="L1207" s="42"/>
      <c r="M1207" s="42"/>
      <c r="N1207" s="42"/>
      <c r="O1207" s="42"/>
      <c r="P1207" s="42"/>
      <c r="Q1207" s="42"/>
      <c r="R1207" s="42"/>
      <c r="S1207" s="42"/>
      <c r="T1207" s="42"/>
      <c r="U1207" s="42"/>
      <c r="V1207" s="42"/>
      <c r="W1207" s="42"/>
      <c r="X1207" s="42"/>
      <c r="Y1207" s="42"/>
      <c r="Z1207" s="42"/>
      <c r="AA1207" s="42"/>
      <c r="AB1207" s="42"/>
      <c r="AC1207" s="42"/>
      <c r="AD1207" s="42"/>
      <c r="AE1207" s="42"/>
      <c r="AF1207" s="42"/>
      <c r="AG1207" s="42"/>
      <c r="AH1207" s="42"/>
      <c r="AI1207" s="42"/>
      <c r="AJ1207" s="42"/>
      <c r="AK1207" s="42"/>
      <c r="AL1207" s="42"/>
      <c r="AM1207" s="42"/>
      <c r="AN1207" s="42"/>
      <c r="AO1207" s="42"/>
      <c r="AP1207" s="42"/>
      <c r="AQ1207" s="42"/>
      <c r="AR1207" s="42"/>
      <c r="AS1207" s="42"/>
      <c r="AT1207" s="42"/>
      <c r="AU1207" s="42"/>
      <c r="AV1207" s="42"/>
      <c r="AW1207" s="42"/>
      <c r="AX1207" s="42"/>
      <c r="AY1207" s="42"/>
      <c r="AZ1207" s="42"/>
      <c r="BA1207" s="42"/>
      <c r="BB1207" s="42"/>
      <c r="BC1207" s="42"/>
      <c r="BD1207" s="42"/>
      <c r="BE1207" s="42"/>
      <c r="BF1207" s="42"/>
      <c r="BG1207" s="42"/>
      <c r="BH1207" s="42"/>
      <c r="BI1207" s="42"/>
      <c r="BJ1207" s="42"/>
      <c r="BK1207" s="42"/>
      <c r="BL1207" s="42"/>
      <c r="BM1207" s="42"/>
      <c r="BN1207" s="42"/>
      <c r="BO1207" s="42"/>
    </row>
    <row r="1208">
      <c r="A1208" s="40"/>
      <c r="B1208" s="40"/>
      <c r="C1208" s="42"/>
      <c r="D1208" s="42"/>
      <c r="E1208" s="43"/>
      <c r="F1208" s="42"/>
      <c r="G1208" s="42"/>
      <c r="H1208" s="42"/>
      <c r="I1208" s="42"/>
      <c r="J1208" s="42"/>
      <c r="K1208" s="42"/>
      <c r="L1208" s="42"/>
      <c r="M1208" s="42"/>
      <c r="N1208" s="42"/>
      <c r="O1208" s="42"/>
      <c r="P1208" s="42"/>
      <c r="Q1208" s="42"/>
      <c r="R1208" s="42"/>
      <c r="S1208" s="42"/>
      <c r="T1208" s="42"/>
      <c r="U1208" s="42"/>
      <c r="V1208" s="42"/>
      <c r="W1208" s="42"/>
      <c r="X1208" s="42"/>
      <c r="Y1208" s="42"/>
      <c r="Z1208" s="42"/>
      <c r="AA1208" s="42"/>
      <c r="AB1208" s="42"/>
      <c r="AC1208" s="42"/>
      <c r="AD1208" s="42"/>
      <c r="AE1208" s="42"/>
      <c r="AF1208" s="42"/>
      <c r="AG1208" s="42"/>
      <c r="AH1208" s="42"/>
      <c r="AI1208" s="42"/>
      <c r="AJ1208" s="42"/>
      <c r="AK1208" s="42"/>
      <c r="AL1208" s="42"/>
      <c r="AM1208" s="42"/>
      <c r="AN1208" s="42"/>
      <c r="AO1208" s="42"/>
      <c r="AP1208" s="42"/>
      <c r="AQ1208" s="42"/>
      <c r="AR1208" s="42"/>
      <c r="AS1208" s="42"/>
      <c r="AT1208" s="42"/>
      <c r="AU1208" s="42"/>
      <c r="AV1208" s="42"/>
      <c r="AW1208" s="42"/>
      <c r="AX1208" s="42"/>
      <c r="AY1208" s="42"/>
      <c r="AZ1208" s="42"/>
      <c r="BA1208" s="42"/>
      <c r="BB1208" s="42"/>
      <c r="BC1208" s="42"/>
      <c r="BD1208" s="42"/>
      <c r="BE1208" s="42"/>
      <c r="BF1208" s="42"/>
      <c r="BG1208" s="42"/>
      <c r="BH1208" s="42"/>
      <c r="BI1208" s="42"/>
      <c r="BJ1208" s="42"/>
      <c r="BK1208" s="42"/>
      <c r="BL1208" s="42"/>
      <c r="BM1208" s="42"/>
      <c r="BN1208" s="42"/>
      <c r="BO1208" s="42"/>
    </row>
    <row r="1209">
      <c r="A1209" s="40"/>
      <c r="B1209" s="40"/>
      <c r="C1209" s="42"/>
      <c r="D1209" s="42"/>
      <c r="E1209" s="43"/>
      <c r="F1209" s="42"/>
      <c r="G1209" s="42"/>
      <c r="H1209" s="42"/>
      <c r="I1209" s="42"/>
      <c r="J1209" s="42"/>
      <c r="K1209" s="42"/>
      <c r="L1209" s="42"/>
      <c r="M1209" s="42"/>
      <c r="N1209" s="42"/>
      <c r="O1209" s="42"/>
      <c r="P1209" s="42"/>
      <c r="Q1209" s="42"/>
      <c r="R1209" s="42"/>
      <c r="S1209" s="42"/>
      <c r="T1209" s="42"/>
      <c r="U1209" s="42"/>
      <c r="V1209" s="42"/>
      <c r="W1209" s="42"/>
      <c r="X1209" s="42"/>
      <c r="Y1209" s="42"/>
      <c r="Z1209" s="42"/>
      <c r="AA1209" s="42"/>
      <c r="AB1209" s="42"/>
      <c r="AC1209" s="42"/>
      <c r="AD1209" s="42"/>
      <c r="AE1209" s="42"/>
      <c r="AF1209" s="42"/>
      <c r="AG1209" s="42"/>
      <c r="AH1209" s="42"/>
      <c r="AI1209" s="42"/>
      <c r="AJ1209" s="42"/>
      <c r="AK1209" s="42"/>
      <c r="AL1209" s="42"/>
      <c r="AM1209" s="42"/>
      <c r="AN1209" s="42"/>
      <c r="AO1209" s="42"/>
      <c r="AP1209" s="42"/>
      <c r="AQ1209" s="42"/>
      <c r="AR1209" s="42"/>
      <c r="AS1209" s="42"/>
      <c r="AT1209" s="42"/>
      <c r="AU1209" s="42"/>
      <c r="AV1209" s="42"/>
      <c r="AW1209" s="42"/>
      <c r="AX1209" s="42"/>
      <c r="AY1209" s="42"/>
      <c r="AZ1209" s="42"/>
      <c r="BA1209" s="42"/>
      <c r="BB1209" s="42"/>
      <c r="BC1209" s="42"/>
      <c r="BD1209" s="42"/>
      <c r="BE1209" s="42"/>
      <c r="BF1209" s="42"/>
      <c r="BG1209" s="42"/>
      <c r="BH1209" s="42"/>
      <c r="BI1209" s="42"/>
      <c r="BJ1209" s="42"/>
      <c r="BK1209" s="42"/>
      <c r="BL1209" s="42"/>
      <c r="BM1209" s="42"/>
      <c r="BN1209" s="42"/>
      <c r="BO1209" s="42"/>
    </row>
    <row r="1210">
      <c r="A1210" s="40"/>
      <c r="B1210" s="40"/>
      <c r="C1210" s="42"/>
      <c r="D1210" s="42"/>
      <c r="E1210" s="43"/>
      <c r="F1210" s="42"/>
      <c r="G1210" s="42"/>
      <c r="H1210" s="42"/>
      <c r="I1210" s="42"/>
      <c r="J1210" s="42"/>
      <c r="K1210" s="42"/>
      <c r="L1210" s="42"/>
      <c r="M1210" s="42"/>
      <c r="N1210" s="42"/>
      <c r="O1210" s="42"/>
      <c r="P1210" s="42"/>
      <c r="Q1210" s="42"/>
      <c r="R1210" s="42"/>
      <c r="S1210" s="42"/>
      <c r="T1210" s="42"/>
      <c r="U1210" s="42"/>
      <c r="V1210" s="42"/>
      <c r="W1210" s="42"/>
      <c r="X1210" s="42"/>
      <c r="Y1210" s="42"/>
      <c r="Z1210" s="42"/>
      <c r="AA1210" s="42"/>
      <c r="AB1210" s="42"/>
      <c r="AC1210" s="42"/>
      <c r="AD1210" s="42"/>
      <c r="AE1210" s="42"/>
      <c r="AF1210" s="42"/>
      <c r="AG1210" s="42"/>
      <c r="AH1210" s="42"/>
      <c r="AI1210" s="42"/>
      <c r="AJ1210" s="42"/>
      <c r="AK1210" s="42"/>
      <c r="AL1210" s="42"/>
      <c r="AM1210" s="42"/>
      <c r="AN1210" s="42"/>
      <c r="AO1210" s="42"/>
      <c r="AP1210" s="42"/>
      <c r="AQ1210" s="42"/>
      <c r="AR1210" s="42"/>
      <c r="AS1210" s="42"/>
      <c r="AT1210" s="42"/>
      <c r="AU1210" s="42"/>
      <c r="AV1210" s="42"/>
      <c r="AW1210" s="42"/>
      <c r="AX1210" s="42"/>
      <c r="AY1210" s="42"/>
      <c r="AZ1210" s="42"/>
      <c r="BA1210" s="42"/>
      <c r="BB1210" s="42"/>
      <c r="BC1210" s="42"/>
      <c r="BD1210" s="42"/>
      <c r="BE1210" s="42"/>
      <c r="BF1210" s="42"/>
      <c r="BG1210" s="42"/>
      <c r="BH1210" s="42"/>
      <c r="BI1210" s="42"/>
      <c r="BJ1210" s="42"/>
      <c r="BK1210" s="42"/>
      <c r="BL1210" s="42"/>
      <c r="BM1210" s="42"/>
      <c r="BN1210" s="42"/>
      <c r="BO1210" s="42"/>
    </row>
    <row r="1211">
      <c r="A1211" s="40"/>
      <c r="B1211" s="40"/>
      <c r="C1211" s="42"/>
      <c r="D1211" s="42"/>
      <c r="E1211" s="43"/>
      <c r="F1211" s="42"/>
      <c r="G1211" s="42"/>
      <c r="H1211" s="42"/>
      <c r="I1211" s="42"/>
      <c r="J1211" s="42"/>
      <c r="K1211" s="42"/>
      <c r="L1211" s="42"/>
      <c r="M1211" s="42"/>
      <c r="N1211" s="42"/>
      <c r="O1211" s="42"/>
      <c r="P1211" s="42"/>
      <c r="Q1211" s="42"/>
      <c r="R1211" s="42"/>
      <c r="S1211" s="42"/>
      <c r="T1211" s="42"/>
      <c r="U1211" s="42"/>
      <c r="V1211" s="42"/>
      <c r="W1211" s="42"/>
      <c r="X1211" s="42"/>
      <c r="Y1211" s="42"/>
      <c r="Z1211" s="42"/>
      <c r="AA1211" s="42"/>
      <c r="AB1211" s="42"/>
      <c r="AC1211" s="42"/>
      <c r="AD1211" s="42"/>
      <c r="AE1211" s="42"/>
      <c r="AF1211" s="42"/>
      <c r="AG1211" s="42"/>
      <c r="AH1211" s="42"/>
      <c r="AI1211" s="42"/>
      <c r="AJ1211" s="42"/>
      <c r="AK1211" s="42"/>
      <c r="AL1211" s="42"/>
      <c r="AM1211" s="42"/>
      <c r="AN1211" s="42"/>
      <c r="AO1211" s="42"/>
      <c r="AP1211" s="42"/>
      <c r="AQ1211" s="42"/>
      <c r="AR1211" s="42"/>
      <c r="AS1211" s="42"/>
      <c r="AT1211" s="42"/>
      <c r="AU1211" s="42"/>
      <c r="AV1211" s="42"/>
      <c r="AW1211" s="42"/>
      <c r="AX1211" s="42"/>
      <c r="AY1211" s="42"/>
      <c r="AZ1211" s="42"/>
      <c r="BA1211" s="42"/>
      <c r="BB1211" s="42"/>
      <c r="BC1211" s="42"/>
      <c r="BD1211" s="42"/>
      <c r="BE1211" s="42"/>
      <c r="BF1211" s="42"/>
      <c r="BG1211" s="42"/>
      <c r="BH1211" s="42"/>
      <c r="BI1211" s="42"/>
      <c r="BJ1211" s="42"/>
      <c r="BK1211" s="42"/>
      <c r="BL1211" s="42"/>
      <c r="BM1211" s="42"/>
      <c r="BN1211" s="42"/>
      <c r="BO1211" s="42"/>
    </row>
    <row r="1212">
      <c r="A1212" s="40"/>
      <c r="B1212" s="40"/>
      <c r="C1212" s="42"/>
      <c r="D1212" s="42"/>
      <c r="E1212" s="43"/>
      <c r="F1212" s="42"/>
      <c r="G1212" s="42"/>
      <c r="H1212" s="42"/>
      <c r="I1212" s="42"/>
      <c r="J1212" s="42"/>
      <c r="K1212" s="42"/>
      <c r="L1212" s="42"/>
      <c r="M1212" s="42"/>
      <c r="N1212" s="42"/>
      <c r="O1212" s="42"/>
      <c r="P1212" s="42"/>
      <c r="Q1212" s="42"/>
      <c r="R1212" s="42"/>
      <c r="S1212" s="42"/>
      <c r="T1212" s="42"/>
      <c r="U1212" s="42"/>
      <c r="V1212" s="42"/>
      <c r="W1212" s="42"/>
      <c r="X1212" s="42"/>
      <c r="Y1212" s="42"/>
      <c r="Z1212" s="42"/>
      <c r="AA1212" s="42"/>
      <c r="AB1212" s="42"/>
      <c r="AC1212" s="42"/>
      <c r="AD1212" s="42"/>
      <c r="AE1212" s="42"/>
      <c r="AF1212" s="42"/>
      <c r="AG1212" s="42"/>
      <c r="AH1212" s="42"/>
      <c r="AI1212" s="42"/>
      <c r="AJ1212" s="42"/>
      <c r="AK1212" s="42"/>
      <c r="AL1212" s="42"/>
      <c r="AM1212" s="42"/>
      <c r="AN1212" s="42"/>
      <c r="AO1212" s="42"/>
      <c r="AP1212" s="42"/>
      <c r="AQ1212" s="42"/>
      <c r="AR1212" s="42"/>
      <c r="AS1212" s="42"/>
      <c r="AT1212" s="42"/>
      <c r="AU1212" s="42"/>
      <c r="AV1212" s="42"/>
      <c r="AW1212" s="42"/>
      <c r="AX1212" s="42"/>
      <c r="AY1212" s="42"/>
      <c r="AZ1212" s="42"/>
      <c r="BA1212" s="42"/>
      <c r="BB1212" s="42"/>
      <c r="BC1212" s="42"/>
      <c r="BD1212" s="42"/>
      <c r="BE1212" s="42"/>
      <c r="BF1212" s="42"/>
      <c r="BG1212" s="42"/>
      <c r="BH1212" s="42"/>
      <c r="BI1212" s="42"/>
      <c r="BJ1212" s="42"/>
      <c r="BK1212" s="42"/>
      <c r="BL1212" s="42"/>
      <c r="BM1212" s="42"/>
      <c r="BN1212" s="42"/>
      <c r="BO1212" s="42"/>
    </row>
    <row r="1213">
      <c r="A1213" s="40"/>
      <c r="B1213" s="40"/>
      <c r="C1213" s="42"/>
      <c r="D1213" s="42"/>
      <c r="E1213" s="43"/>
      <c r="F1213" s="42"/>
      <c r="G1213" s="42"/>
      <c r="H1213" s="42"/>
      <c r="I1213" s="42"/>
      <c r="J1213" s="42"/>
      <c r="K1213" s="42"/>
      <c r="L1213" s="42"/>
      <c r="M1213" s="42"/>
      <c r="N1213" s="42"/>
      <c r="O1213" s="42"/>
      <c r="P1213" s="42"/>
      <c r="Q1213" s="42"/>
      <c r="R1213" s="42"/>
      <c r="S1213" s="42"/>
      <c r="T1213" s="42"/>
      <c r="U1213" s="42"/>
      <c r="V1213" s="42"/>
      <c r="W1213" s="42"/>
      <c r="X1213" s="42"/>
      <c r="Y1213" s="42"/>
      <c r="Z1213" s="42"/>
      <c r="AA1213" s="42"/>
      <c r="AB1213" s="42"/>
      <c r="AC1213" s="42"/>
      <c r="AD1213" s="42"/>
      <c r="AE1213" s="42"/>
      <c r="AF1213" s="42"/>
      <c r="AG1213" s="42"/>
      <c r="AH1213" s="42"/>
      <c r="AI1213" s="42"/>
      <c r="AJ1213" s="42"/>
      <c r="AK1213" s="42"/>
      <c r="AL1213" s="42"/>
      <c r="AM1213" s="42"/>
      <c r="AN1213" s="42"/>
      <c r="AO1213" s="42"/>
      <c r="AP1213" s="42"/>
      <c r="AQ1213" s="42"/>
      <c r="AR1213" s="42"/>
      <c r="AS1213" s="42"/>
      <c r="AT1213" s="42"/>
      <c r="AU1213" s="42"/>
      <c r="AV1213" s="42"/>
      <c r="AW1213" s="42"/>
      <c r="AX1213" s="42"/>
      <c r="AY1213" s="42"/>
      <c r="AZ1213" s="42"/>
      <c r="BA1213" s="42"/>
      <c r="BB1213" s="42"/>
      <c r="BC1213" s="42"/>
      <c r="BD1213" s="42"/>
      <c r="BE1213" s="42"/>
      <c r="BF1213" s="42"/>
      <c r="BG1213" s="42"/>
      <c r="BH1213" s="42"/>
      <c r="BI1213" s="42"/>
      <c r="BJ1213" s="42"/>
      <c r="BK1213" s="42"/>
      <c r="BL1213" s="42"/>
      <c r="BM1213" s="42"/>
      <c r="BN1213" s="42"/>
      <c r="BO1213" s="42"/>
    </row>
    <row r="1214">
      <c r="A1214" s="40"/>
      <c r="B1214" s="40"/>
      <c r="C1214" s="42"/>
      <c r="D1214" s="42"/>
      <c r="E1214" s="43"/>
      <c r="F1214" s="42"/>
      <c r="G1214" s="42"/>
      <c r="H1214" s="42"/>
      <c r="I1214" s="42"/>
      <c r="J1214" s="42"/>
      <c r="K1214" s="42"/>
      <c r="L1214" s="42"/>
      <c r="M1214" s="42"/>
      <c r="N1214" s="42"/>
      <c r="O1214" s="42"/>
      <c r="P1214" s="42"/>
      <c r="Q1214" s="42"/>
      <c r="R1214" s="42"/>
      <c r="S1214" s="42"/>
      <c r="T1214" s="42"/>
      <c r="U1214" s="42"/>
      <c r="V1214" s="42"/>
      <c r="W1214" s="42"/>
      <c r="X1214" s="42"/>
      <c r="Y1214" s="42"/>
      <c r="Z1214" s="42"/>
      <c r="AA1214" s="42"/>
      <c r="AB1214" s="42"/>
      <c r="AC1214" s="42"/>
      <c r="AD1214" s="42"/>
      <c r="AE1214" s="42"/>
      <c r="AF1214" s="42"/>
      <c r="AG1214" s="42"/>
      <c r="AH1214" s="42"/>
      <c r="AI1214" s="42"/>
      <c r="AJ1214" s="42"/>
      <c r="AK1214" s="42"/>
      <c r="AL1214" s="42"/>
      <c r="AM1214" s="42"/>
      <c r="AN1214" s="42"/>
      <c r="AO1214" s="42"/>
      <c r="AP1214" s="42"/>
      <c r="AQ1214" s="42"/>
      <c r="AR1214" s="42"/>
      <c r="AS1214" s="42"/>
      <c r="AT1214" s="42"/>
      <c r="AU1214" s="42"/>
      <c r="AV1214" s="42"/>
      <c r="AW1214" s="42"/>
      <c r="AX1214" s="42"/>
      <c r="AY1214" s="42"/>
      <c r="AZ1214" s="42"/>
      <c r="BA1214" s="42"/>
      <c r="BB1214" s="42"/>
      <c r="BC1214" s="42"/>
      <c r="BD1214" s="42"/>
      <c r="BE1214" s="42"/>
      <c r="BF1214" s="42"/>
      <c r="BG1214" s="42"/>
      <c r="BH1214" s="42"/>
      <c r="BI1214" s="42"/>
      <c r="BJ1214" s="42"/>
      <c r="BK1214" s="42"/>
      <c r="BL1214" s="42"/>
      <c r="BM1214" s="42"/>
      <c r="BN1214" s="42"/>
      <c r="BO1214" s="42"/>
    </row>
    <row r="1215">
      <c r="A1215" s="40"/>
      <c r="B1215" s="40"/>
      <c r="C1215" s="42"/>
      <c r="D1215" s="42"/>
      <c r="E1215" s="43"/>
      <c r="F1215" s="42"/>
      <c r="G1215" s="42"/>
      <c r="H1215" s="42"/>
      <c r="I1215" s="42"/>
      <c r="J1215" s="42"/>
      <c r="K1215" s="42"/>
      <c r="L1215" s="42"/>
      <c r="M1215" s="42"/>
      <c r="N1215" s="42"/>
      <c r="O1215" s="42"/>
      <c r="P1215" s="42"/>
      <c r="Q1215" s="42"/>
      <c r="R1215" s="42"/>
      <c r="S1215" s="42"/>
      <c r="T1215" s="42"/>
      <c r="U1215" s="42"/>
      <c r="V1215" s="42"/>
      <c r="W1215" s="42"/>
      <c r="X1215" s="42"/>
      <c r="Y1215" s="42"/>
      <c r="Z1215" s="42"/>
      <c r="AA1215" s="42"/>
      <c r="AB1215" s="42"/>
      <c r="AC1215" s="42"/>
      <c r="AD1215" s="42"/>
      <c r="AE1215" s="42"/>
      <c r="AF1215" s="42"/>
      <c r="AG1215" s="42"/>
      <c r="AH1215" s="42"/>
      <c r="AI1215" s="42"/>
      <c r="AJ1215" s="42"/>
      <c r="AK1215" s="42"/>
      <c r="AL1215" s="42"/>
      <c r="AM1215" s="42"/>
      <c r="AN1215" s="42"/>
      <c r="AO1215" s="42"/>
      <c r="AP1215" s="42"/>
      <c r="AQ1215" s="42"/>
      <c r="AR1215" s="42"/>
      <c r="AS1215" s="42"/>
      <c r="AT1215" s="42"/>
      <c r="AU1215" s="42"/>
      <c r="AV1215" s="42"/>
      <c r="AW1215" s="42"/>
      <c r="AX1215" s="42"/>
      <c r="AY1215" s="42"/>
      <c r="AZ1215" s="42"/>
      <c r="BA1215" s="42"/>
      <c r="BB1215" s="42"/>
      <c r="BC1215" s="42"/>
      <c r="BD1215" s="42"/>
      <c r="BE1215" s="42"/>
      <c r="BF1215" s="42"/>
      <c r="BG1215" s="42"/>
      <c r="BH1215" s="42"/>
      <c r="BI1215" s="42"/>
      <c r="BJ1215" s="42"/>
      <c r="BK1215" s="42"/>
      <c r="BL1215" s="42"/>
      <c r="BM1215" s="42"/>
      <c r="BN1215" s="42"/>
      <c r="BO1215" s="42"/>
    </row>
    <row r="1216">
      <c r="A1216" s="40"/>
      <c r="B1216" s="40"/>
      <c r="C1216" s="42"/>
      <c r="D1216" s="42"/>
      <c r="E1216" s="43"/>
      <c r="F1216" s="42"/>
      <c r="G1216" s="42"/>
      <c r="H1216" s="42"/>
      <c r="I1216" s="42"/>
      <c r="J1216" s="42"/>
      <c r="K1216" s="42"/>
      <c r="L1216" s="42"/>
      <c r="M1216" s="42"/>
      <c r="N1216" s="42"/>
      <c r="O1216" s="42"/>
      <c r="P1216" s="42"/>
      <c r="Q1216" s="42"/>
      <c r="R1216" s="42"/>
      <c r="S1216" s="42"/>
      <c r="T1216" s="42"/>
      <c r="U1216" s="42"/>
      <c r="V1216" s="42"/>
      <c r="W1216" s="42"/>
      <c r="X1216" s="42"/>
      <c r="Y1216" s="42"/>
      <c r="Z1216" s="42"/>
      <c r="AA1216" s="42"/>
      <c r="AB1216" s="42"/>
      <c r="AC1216" s="42"/>
      <c r="AD1216" s="42"/>
      <c r="AE1216" s="42"/>
      <c r="AF1216" s="42"/>
      <c r="AG1216" s="42"/>
      <c r="AH1216" s="42"/>
      <c r="AI1216" s="42"/>
      <c r="AJ1216" s="42"/>
      <c r="AK1216" s="42"/>
      <c r="AL1216" s="42"/>
      <c r="AM1216" s="42"/>
      <c r="AN1216" s="42"/>
      <c r="AO1216" s="42"/>
      <c r="AP1216" s="42"/>
      <c r="AQ1216" s="42"/>
      <c r="AR1216" s="42"/>
      <c r="AS1216" s="42"/>
      <c r="AT1216" s="42"/>
      <c r="AU1216" s="42"/>
      <c r="AV1216" s="42"/>
      <c r="AW1216" s="42"/>
      <c r="AX1216" s="42"/>
      <c r="AY1216" s="42"/>
      <c r="AZ1216" s="42"/>
      <c r="BA1216" s="42"/>
      <c r="BB1216" s="42"/>
      <c r="BC1216" s="42"/>
      <c r="BD1216" s="42"/>
      <c r="BE1216" s="42"/>
      <c r="BF1216" s="42"/>
      <c r="BG1216" s="42"/>
      <c r="BH1216" s="42"/>
      <c r="BI1216" s="42"/>
      <c r="BJ1216" s="42"/>
      <c r="BK1216" s="42"/>
      <c r="BL1216" s="42"/>
      <c r="BM1216" s="42"/>
      <c r="BN1216" s="42"/>
      <c r="BO1216" s="42"/>
    </row>
    <row r="1217">
      <c r="A1217" s="40"/>
      <c r="B1217" s="40"/>
      <c r="C1217" s="42"/>
      <c r="D1217" s="42"/>
      <c r="E1217" s="43"/>
      <c r="F1217" s="42"/>
      <c r="G1217" s="42"/>
      <c r="H1217" s="42"/>
      <c r="I1217" s="42"/>
      <c r="J1217" s="42"/>
      <c r="K1217" s="42"/>
      <c r="L1217" s="42"/>
      <c r="M1217" s="42"/>
      <c r="N1217" s="42"/>
      <c r="O1217" s="42"/>
      <c r="P1217" s="42"/>
      <c r="Q1217" s="42"/>
      <c r="R1217" s="42"/>
      <c r="S1217" s="42"/>
      <c r="T1217" s="42"/>
      <c r="U1217" s="42"/>
      <c r="V1217" s="42"/>
      <c r="W1217" s="42"/>
      <c r="X1217" s="42"/>
      <c r="Y1217" s="42"/>
      <c r="Z1217" s="42"/>
      <c r="AA1217" s="42"/>
      <c r="AB1217" s="42"/>
      <c r="AC1217" s="42"/>
      <c r="AD1217" s="42"/>
      <c r="AE1217" s="42"/>
      <c r="AF1217" s="42"/>
      <c r="AG1217" s="42"/>
      <c r="AH1217" s="42"/>
      <c r="AI1217" s="42"/>
      <c r="AJ1217" s="42"/>
      <c r="AK1217" s="42"/>
      <c r="AL1217" s="42"/>
      <c r="AM1217" s="42"/>
      <c r="AN1217" s="42"/>
      <c r="AO1217" s="42"/>
      <c r="AP1217" s="42"/>
      <c r="AQ1217" s="42"/>
      <c r="AR1217" s="42"/>
      <c r="AS1217" s="42"/>
      <c r="AT1217" s="42"/>
      <c r="AU1217" s="42"/>
      <c r="AV1217" s="42"/>
      <c r="AW1217" s="42"/>
      <c r="AX1217" s="42"/>
      <c r="AY1217" s="42"/>
      <c r="AZ1217" s="42"/>
      <c r="BA1217" s="42"/>
      <c r="BB1217" s="42"/>
      <c r="BC1217" s="42"/>
      <c r="BD1217" s="42"/>
      <c r="BE1217" s="42"/>
      <c r="BF1217" s="42"/>
      <c r="BG1217" s="42"/>
      <c r="BH1217" s="42"/>
      <c r="BI1217" s="42"/>
      <c r="BJ1217" s="42"/>
      <c r="BK1217" s="42"/>
      <c r="BL1217" s="42"/>
      <c r="BM1217" s="42"/>
      <c r="BN1217" s="42"/>
      <c r="BO1217" s="42"/>
    </row>
    <row r="1218">
      <c r="A1218" s="40"/>
      <c r="B1218" s="40"/>
      <c r="C1218" s="42"/>
      <c r="D1218" s="42"/>
      <c r="E1218" s="43"/>
      <c r="F1218" s="42"/>
      <c r="G1218" s="42"/>
      <c r="H1218" s="42"/>
      <c r="I1218" s="42"/>
      <c r="J1218" s="42"/>
      <c r="K1218" s="42"/>
      <c r="L1218" s="42"/>
      <c r="M1218" s="42"/>
      <c r="N1218" s="42"/>
      <c r="O1218" s="42"/>
      <c r="P1218" s="42"/>
      <c r="Q1218" s="42"/>
      <c r="R1218" s="42"/>
      <c r="S1218" s="42"/>
      <c r="T1218" s="42"/>
      <c r="U1218" s="42"/>
      <c r="V1218" s="42"/>
      <c r="W1218" s="42"/>
      <c r="X1218" s="42"/>
      <c r="Y1218" s="42"/>
      <c r="Z1218" s="42"/>
      <c r="AA1218" s="42"/>
      <c r="AB1218" s="42"/>
      <c r="AC1218" s="42"/>
      <c r="AD1218" s="42"/>
      <c r="AE1218" s="42"/>
      <c r="AF1218" s="42"/>
      <c r="AG1218" s="42"/>
      <c r="AH1218" s="42"/>
      <c r="AI1218" s="42"/>
      <c r="AJ1218" s="42"/>
      <c r="AK1218" s="42"/>
      <c r="AL1218" s="42"/>
      <c r="AM1218" s="42"/>
      <c r="AN1218" s="42"/>
      <c r="AO1218" s="42"/>
      <c r="AP1218" s="42"/>
      <c r="AQ1218" s="42"/>
      <c r="AR1218" s="42"/>
      <c r="AS1218" s="42"/>
      <c r="AT1218" s="42"/>
      <c r="AU1218" s="42"/>
      <c r="AV1218" s="42"/>
      <c r="AW1218" s="42"/>
      <c r="AX1218" s="42"/>
      <c r="AY1218" s="42"/>
      <c r="AZ1218" s="42"/>
      <c r="BA1218" s="42"/>
      <c r="BB1218" s="42"/>
      <c r="BC1218" s="42"/>
      <c r="BD1218" s="42"/>
      <c r="BE1218" s="42"/>
      <c r="BF1218" s="42"/>
      <c r="BG1218" s="42"/>
      <c r="BH1218" s="42"/>
      <c r="BI1218" s="42"/>
      <c r="BJ1218" s="42"/>
      <c r="BK1218" s="42"/>
      <c r="BL1218" s="42"/>
      <c r="BM1218" s="42"/>
      <c r="BN1218" s="42"/>
      <c r="BO1218" s="42"/>
    </row>
    <row r="1219">
      <c r="A1219" s="40"/>
      <c r="B1219" s="40"/>
      <c r="C1219" s="42"/>
      <c r="D1219" s="42"/>
      <c r="E1219" s="43"/>
      <c r="F1219" s="42"/>
      <c r="G1219" s="42"/>
      <c r="H1219" s="42"/>
      <c r="I1219" s="42"/>
      <c r="J1219" s="42"/>
      <c r="K1219" s="42"/>
      <c r="L1219" s="42"/>
      <c r="M1219" s="42"/>
      <c r="N1219" s="42"/>
      <c r="O1219" s="42"/>
      <c r="P1219" s="42"/>
      <c r="Q1219" s="42"/>
      <c r="R1219" s="42"/>
      <c r="S1219" s="42"/>
      <c r="T1219" s="42"/>
      <c r="U1219" s="42"/>
      <c r="V1219" s="42"/>
      <c r="W1219" s="42"/>
      <c r="X1219" s="42"/>
      <c r="Y1219" s="42"/>
      <c r="Z1219" s="42"/>
      <c r="AA1219" s="42"/>
      <c r="AB1219" s="42"/>
      <c r="AC1219" s="42"/>
      <c r="AD1219" s="42"/>
      <c r="AE1219" s="42"/>
      <c r="AF1219" s="42"/>
      <c r="AG1219" s="42"/>
      <c r="AH1219" s="42"/>
      <c r="AI1219" s="42"/>
      <c r="AJ1219" s="42"/>
      <c r="AK1219" s="42"/>
      <c r="AL1219" s="42"/>
      <c r="AM1219" s="42"/>
      <c r="AN1219" s="42"/>
      <c r="AO1219" s="42"/>
      <c r="AP1219" s="42"/>
      <c r="AQ1219" s="42"/>
      <c r="AR1219" s="42"/>
      <c r="AS1219" s="42"/>
      <c r="AT1219" s="42"/>
      <c r="AU1219" s="42"/>
      <c r="AV1219" s="42"/>
      <c r="AW1219" s="42"/>
      <c r="AX1219" s="42"/>
      <c r="AY1219" s="42"/>
      <c r="AZ1219" s="42"/>
      <c r="BA1219" s="42"/>
      <c r="BB1219" s="42"/>
      <c r="BC1219" s="42"/>
      <c r="BD1219" s="42"/>
      <c r="BE1219" s="42"/>
      <c r="BF1219" s="42"/>
      <c r="BG1219" s="42"/>
      <c r="BH1219" s="42"/>
      <c r="BI1219" s="42"/>
      <c r="BJ1219" s="42"/>
      <c r="BK1219" s="42"/>
      <c r="BL1219" s="42"/>
      <c r="BM1219" s="42"/>
      <c r="BN1219" s="42"/>
      <c r="BO1219" s="42"/>
    </row>
    <row r="1220">
      <c r="A1220" s="40"/>
      <c r="B1220" s="40"/>
      <c r="C1220" s="42"/>
      <c r="D1220" s="42"/>
      <c r="E1220" s="43"/>
      <c r="F1220" s="42"/>
      <c r="G1220" s="42"/>
      <c r="H1220" s="42"/>
      <c r="I1220" s="42"/>
      <c r="J1220" s="42"/>
      <c r="K1220" s="42"/>
      <c r="L1220" s="42"/>
      <c r="M1220" s="42"/>
      <c r="N1220" s="42"/>
      <c r="O1220" s="42"/>
      <c r="P1220" s="42"/>
      <c r="Q1220" s="42"/>
      <c r="R1220" s="42"/>
      <c r="S1220" s="42"/>
      <c r="T1220" s="42"/>
      <c r="U1220" s="42"/>
      <c r="V1220" s="42"/>
      <c r="W1220" s="42"/>
      <c r="X1220" s="42"/>
      <c r="Y1220" s="42"/>
      <c r="Z1220" s="42"/>
      <c r="AA1220" s="42"/>
      <c r="AB1220" s="42"/>
      <c r="AC1220" s="42"/>
      <c r="AD1220" s="42"/>
      <c r="AE1220" s="42"/>
      <c r="AF1220" s="42"/>
      <c r="AG1220" s="42"/>
      <c r="AH1220" s="42"/>
      <c r="AI1220" s="42"/>
      <c r="AJ1220" s="42"/>
      <c r="AK1220" s="42"/>
      <c r="AL1220" s="42"/>
      <c r="AM1220" s="42"/>
      <c r="AN1220" s="42"/>
      <c r="AO1220" s="42"/>
      <c r="AP1220" s="42"/>
      <c r="AQ1220" s="42"/>
      <c r="AR1220" s="42"/>
      <c r="AS1220" s="42"/>
      <c r="AT1220" s="42"/>
      <c r="AU1220" s="42"/>
      <c r="AV1220" s="42"/>
      <c r="AW1220" s="42"/>
      <c r="AX1220" s="42"/>
      <c r="AY1220" s="42"/>
      <c r="AZ1220" s="42"/>
      <c r="BA1220" s="42"/>
      <c r="BB1220" s="42"/>
      <c r="BC1220" s="42"/>
      <c r="BD1220" s="42"/>
      <c r="BE1220" s="42"/>
      <c r="BF1220" s="42"/>
      <c r="BG1220" s="42"/>
      <c r="BH1220" s="42"/>
      <c r="BI1220" s="42"/>
      <c r="BJ1220" s="42"/>
      <c r="BK1220" s="42"/>
      <c r="BL1220" s="42"/>
      <c r="BM1220" s="42"/>
      <c r="BN1220" s="42"/>
      <c r="BO1220" s="42"/>
    </row>
    <row r="1221">
      <c r="A1221" s="40"/>
      <c r="B1221" s="40"/>
      <c r="C1221" s="42"/>
      <c r="D1221" s="42"/>
      <c r="E1221" s="43"/>
      <c r="F1221" s="42"/>
      <c r="G1221" s="42"/>
      <c r="H1221" s="42"/>
      <c r="I1221" s="42"/>
      <c r="J1221" s="42"/>
      <c r="K1221" s="42"/>
      <c r="L1221" s="42"/>
      <c r="M1221" s="42"/>
      <c r="N1221" s="42"/>
      <c r="O1221" s="42"/>
      <c r="P1221" s="42"/>
      <c r="Q1221" s="42"/>
      <c r="R1221" s="42"/>
      <c r="S1221" s="42"/>
      <c r="T1221" s="42"/>
      <c r="U1221" s="42"/>
      <c r="V1221" s="42"/>
      <c r="W1221" s="42"/>
      <c r="X1221" s="42"/>
      <c r="Y1221" s="42"/>
      <c r="Z1221" s="42"/>
      <c r="AA1221" s="42"/>
      <c r="AB1221" s="42"/>
      <c r="AC1221" s="42"/>
      <c r="AD1221" s="42"/>
      <c r="AE1221" s="42"/>
      <c r="AF1221" s="42"/>
      <c r="AG1221" s="42"/>
      <c r="AH1221" s="42"/>
      <c r="AI1221" s="42"/>
      <c r="AJ1221" s="42"/>
      <c r="AK1221" s="42"/>
      <c r="AL1221" s="42"/>
      <c r="AM1221" s="42"/>
      <c r="AN1221" s="42"/>
      <c r="AO1221" s="42"/>
      <c r="AP1221" s="42"/>
      <c r="AQ1221" s="42"/>
      <c r="AR1221" s="42"/>
      <c r="AS1221" s="42"/>
      <c r="AT1221" s="42"/>
      <c r="AU1221" s="42"/>
      <c r="AV1221" s="42"/>
      <c r="AW1221" s="42"/>
      <c r="AX1221" s="42"/>
      <c r="AY1221" s="42"/>
      <c r="AZ1221" s="42"/>
      <c r="BA1221" s="42"/>
      <c r="BB1221" s="42"/>
      <c r="BC1221" s="42"/>
      <c r="BD1221" s="42"/>
      <c r="BE1221" s="42"/>
      <c r="BF1221" s="42"/>
      <c r="BG1221" s="42"/>
      <c r="BH1221" s="42"/>
      <c r="BI1221" s="42"/>
      <c r="BJ1221" s="42"/>
      <c r="BK1221" s="42"/>
      <c r="BL1221" s="42"/>
      <c r="BM1221" s="42"/>
      <c r="BN1221" s="42"/>
      <c r="BO1221" s="42"/>
    </row>
    <row r="1222">
      <c r="A1222" s="40"/>
      <c r="B1222" s="40"/>
      <c r="C1222" s="42"/>
      <c r="D1222" s="42"/>
      <c r="E1222" s="43"/>
      <c r="F1222" s="42"/>
      <c r="G1222" s="42"/>
      <c r="H1222" s="42"/>
      <c r="I1222" s="42"/>
      <c r="J1222" s="42"/>
      <c r="K1222" s="42"/>
      <c r="L1222" s="42"/>
      <c r="M1222" s="42"/>
      <c r="N1222" s="42"/>
      <c r="O1222" s="42"/>
      <c r="P1222" s="42"/>
      <c r="Q1222" s="42"/>
      <c r="R1222" s="42"/>
      <c r="S1222" s="42"/>
      <c r="T1222" s="42"/>
      <c r="U1222" s="42"/>
      <c r="V1222" s="42"/>
      <c r="W1222" s="42"/>
      <c r="X1222" s="42"/>
      <c r="Y1222" s="42"/>
      <c r="Z1222" s="42"/>
      <c r="AA1222" s="42"/>
      <c r="AB1222" s="42"/>
      <c r="AC1222" s="42"/>
      <c r="AD1222" s="42"/>
      <c r="AE1222" s="42"/>
      <c r="AF1222" s="42"/>
      <c r="AG1222" s="42"/>
      <c r="AH1222" s="42"/>
      <c r="AI1222" s="42"/>
      <c r="AJ1222" s="42"/>
      <c r="AK1222" s="42"/>
      <c r="AL1222" s="42"/>
      <c r="AM1222" s="42"/>
      <c r="AN1222" s="42"/>
      <c r="AO1222" s="42"/>
      <c r="AP1222" s="42"/>
      <c r="AQ1222" s="42"/>
      <c r="AR1222" s="42"/>
      <c r="AS1222" s="42"/>
      <c r="AT1222" s="42"/>
      <c r="AU1222" s="42"/>
      <c r="AV1222" s="42"/>
      <c r="AW1222" s="42"/>
      <c r="AX1222" s="42"/>
      <c r="AY1222" s="42"/>
      <c r="AZ1222" s="42"/>
      <c r="BA1222" s="42"/>
      <c r="BB1222" s="42"/>
      <c r="BC1222" s="42"/>
      <c r="BD1222" s="42"/>
      <c r="BE1222" s="42"/>
      <c r="BF1222" s="42"/>
      <c r="BG1222" s="42"/>
      <c r="BH1222" s="42"/>
      <c r="BI1222" s="42"/>
      <c r="BJ1222" s="42"/>
      <c r="BK1222" s="42"/>
      <c r="BL1222" s="42"/>
      <c r="BM1222" s="42"/>
      <c r="BN1222" s="42"/>
      <c r="BO1222" s="42"/>
    </row>
    <row r="1223">
      <c r="A1223" s="40"/>
      <c r="B1223" s="40"/>
      <c r="C1223" s="42"/>
      <c r="D1223" s="42"/>
      <c r="E1223" s="43"/>
      <c r="F1223" s="42"/>
      <c r="G1223" s="42"/>
      <c r="H1223" s="42"/>
      <c r="I1223" s="42"/>
      <c r="J1223" s="42"/>
      <c r="K1223" s="42"/>
      <c r="L1223" s="42"/>
      <c r="M1223" s="42"/>
      <c r="N1223" s="42"/>
      <c r="O1223" s="42"/>
      <c r="P1223" s="42"/>
      <c r="Q1223" s="42"/>
      <c r="R1223" s="42"/>
      <c r="S1223" s="42"/>
      <c r="T1223" s="42"/>
      <c r="U1223" s="42"/>
      <c r="V1223" s="42"/>
      <c r="W1223" s="42"/>
      <c r="X1223" s="42"/>
      <c r="Y1223" s="42"/>
      <c r="Z1223" s="42"/>
      <c r="AA1223" s="42"/>
      <c r="AB1223" s="42"/>
      <c r="AC1223" s="42"/>
      <c r="AD1223" s="42"/>
      <c r="AE1223" s="42"/>
      <c r="AF1223" s="42"/>
      <c r="AG1223" s="42"/>
      <c r="AH1223" s="42"/>
      <c r="AI1223" s="42"/>
      <c r="AJ1223" s="42"/>
      <c r="AK1223" s="42"/>
      <c r="AL1223" s="42"/>
      <c r="AM1223" s="42"/>
      <c r="AN1223" s="42"/>
      <c r="AO1223" s="42"/>
      <c r="AP1223" s="42"/>
      <c r="AQ1223" s="42"/>
      <c r="AR1223" s="42"/>
      <c r="AS1223" s="42"/>
      <c r="AT1223" s="42"/>
      <c r="AU1223" s="42"/>
      <c r="AV1223" s="42"/>
      <c r="AW1223" s="42"/>
      <c r="AX1223" s="42"/>
      <c r="AY1223" s="42"/>
      <c r="AZ1223" s="42"/>
      <c r="BA1223" s="42"/>
      <c r="BB1223" s="42"/>
      <c r="BC1223" s="42"/>
      <c r="BD1223" s="42"/>
      <c r="BE1223" s="42"/>
      <c r="BF1223" s="42"/>
      <c r="BG1223" s="42"/>
      <c r="BH1223" s="42"/>
      <c r="BI1223" s="42"/>
      <c r="BJ1223" s="42"/>
      <c r="BK1223" s="42"/>
      <c r="BL1223" s="42"/>
      <c r="BM1223" s="42"/>
      <c r="BN1223" s="42"/>
      <c r="BO1223" s="42"/>
    </row>
    <row r="1224">
      <c r="A1224" s="40"/>
      <c r="B1224" s="40"/>
      <c r="C1224" s="42"/>
      <c r="D1224" s="42"/>
      <c r="E1224" s="43"/>
      <c r="F1224" s="42"/>
      <c r="G1224" s="42"/>
      <c r="H1224" s="42"/>
      <c r="I1224" s="42"/>
      <c r="J1224" s="42"/>
      <c r="K1224" s="42"/>
      <c r="L1224" s="42"/>
      <c r="M1224" s="42"/>
      <c r="N1224" s="42"/>
      <c r="O1224" s="42"/>
      <c r="P1224" s="42"/>
      <c r="Q1224" s="42"/>
      <c r="R1224" s="42"/>
      <c r="S1224" s="42"/>
      <c r="T1224" s="42"/>
      <c r="U1224" s="42"/>
      <c r="V1224" s="42"/>
      <c r="W1224" s="42"/>
      <c r="X1224" s="42"/>
      <c r="Y1224" s="42"/>
      <c r="Z1224" s="42"/>
      <c r="AA1224" s="42"/>
      <c r="AB1224" s="42"/>
      <c r="AC1224" s="42"/>
      <c r="AD1224" s="42"/>
      <c r="AE1224" s="42"/>
      <c r="AF1224" s="42"/>
      <c r="AG1224" s="42"/>
      <c r="AH1224" s="42"/>
      <c r="AI1224" s="42"/>
      <c r="AJ1224" s="42"/>
      <c r="AK1224" s="42"/>
      <c r="AL1224" s="42"/>
      <c r="AM1224" s="42"/>
      <c r="AN1224" s="42"/>
      <c r="AO1224" s="42"/>
      <c r="AP1224" s="42"/>
      <c r="AQ1224" s="42"/>
      <c r="AR1224" s="42"/>
      <c r="AS1224" s="42"/>
      <c r="AT1224" s="42"/>
      <c r="AU1224" s="42"/>
      <c r="AV1224" s="42"/>
      <c r="AW1224" s="42"/>
      <c r="AX1224" s="42"/>
      <c r="AY1224" s="42"/>
      <c r="AZ1224" s="42"/>
      <c r="BA1224" s="42"/>
      <c r="BB1224" s="42"/>
      <c r="BC1224" s="42"/>
      <c r="BD1224" s="42"/>
      <c r="BE1224" s="42"/>
      <c r="BF1224" s="42"/>
      <c r="BG1224" s="42"/>
      <c r="BH1224" s="42"/>
      <c r="BI1224" s="42"/>
      <c r="BJ1224" s="42"/>
      <c r="BK1224" s="42"/>
      <c r="BL1224" s="42"/>
      <c r="BM1224" s="42"/>
      <c r="BN1224" s="42"/>
      <c r="BO1224" s="42"/>
    </row>
    <row r="1225">
      <c r="A1225" s="40"/>
      <c r="B1225" s="40"/>
      <c r="C1225" s="42"/>
      <c r="D1225" s="42"/>
      <c r="E1225" s="43"/>
      <c r="F1225" s="42"/>
      <c r="G1225" s="42"/>
      <c r="H1225" s="42"/>
      <c r="I1225" s="42"/>
      <c r="J1225" s="42"/>
      <c r="K1225" s="42"/>
      <c r="L1225" s="42"/>
      <c r="M1225" s="42"/>
      <c r="N1225" s="42"/>
      <c r="O1225" s="42"/>
      <c r="P1225" s="42"/>
      <c r="Q1225" s="42"/>
      <c r="R1225" s="42"/>
      <c r="S1225" s="42"/>
      <c r="T1225" s="42"/>
      <c r="U1225" s="42"/>
      <c r="V1225" s="42"/>
      <c r="W1225" s="42"/>
      <c r="X1225" s="42"/>
      <c r="Y1225" s="42"/>
      <c r="Z1225" s="42"/>
      <c r="AA1225" s="42"/>
      <c r="AB1225" s="42"/>
      <c r="AC1225" s="42"/>
      <c r="AD1225" s="42"/>
      <c r="AE1225" s="42"/>
      <c r="AF1225" s="42"/>
      <c r="AG1225" s="42"/>
      <c r="AH1225" s="42"/>
      <c r="AI1225" s="42"/>
      <c r="AJ1225" s="42"/>
      <c r="AK1225" s="42"/>
      <c r="AL1225" s="42"/>
      <c r="AM1225" s="42"/>
      <c r="AN1225" s="42"/>
      <c r="AO1225" s="42"/>
      <c r="AP1225" s="42"/>
      <c r="AQ1225" s="42"/>
      <c r="AR1225" s="42"/>
      <c r="AS1225" s="42"/>
      <c r="AT1225" s="42"/>
      <c r="AU1225" s="42"/>
      <c r="AV1225" s="42"/>
      <c r="AW1225" s="42"/>
      <c r="AX1225" s="42"/>
      <c r="AY1225" s="42"/>
      <c r="AZ1225" s="42"/>
      <c r="BA1225" s="42"/>
      <c r="BB1225" s="42"/>
      <c r="BC1225" s="42"/>
      <c r="BD1225" s="42"/>
      <c r="BE1225" s="42"/>
      <c r="BF1225" s="42"/>
      <c r="BG1225" s="42"/>
      <c r="BH1225" s="42"/>
      <c r="BI1225" s="42"/>
      <c r="BJ1225" s="42"/>
      <c r="BK1225" s="42"/>
      <c r="BL1225" s="42"/>
      <c r="BM1225" s="42"/>
      <c r="BN1225" s="42"/>
      <c r="BO1225" s="42"/>
    </row>
    <row r="1226">
      <c r="A1226" s="40"/>
      <c r="B1226" s="40"/>
      <c r="C1226" s="42"/>
      <c r="D1226" s="42"/>
      <c r="E1226" s="43"/>
      <c r="F1226" s="42"/>
      <c r="G1226" s="42"/>
      <c r="H1226" s="42"/>
      <c r="I1226" s="42"/>
      <c r="J1226" s="42"/>
      <c r="K1226" s="42"/>
      <c r="L1226" s="42"/>
      <c r="M1226" s="42"/>
      <c r="N1226" s="42"/>
      <c r="O1226" s="42"/>
      <c r="P1226" s="42"/>
      <c r="Q1226" s="42"/>
      <c r="R1226" s="42"/>
      <c r="S1226" s="42"/>
      <c r="T1226" s="42"/>
      <c r="U1226" s="42"/>
      <c r="V1226" s="42"/>
      <c r="W1226" s="42"/>
      <c r="X1226" s="42"/>
      <c r="Y1226" s="42"/>
      <c r="Z1226" s="42"/>
      <c r="AA1226" s="42"/>
      <c r="AB1226" s="42"/>
      <c r="AC1226" s="42"/>
      <c r="AD1226" s="42"/>
      <c r="AE1226" s="42"/>
      <c r="AF1226" s="42"/>
      <c r="AG1226" s="42"/>
      <c r="AH1226" s="42"/>
      <c r="AI1226" s="42"/>
      <c r="AJ1226" s="42"/>
      <c r="AK1226" s="42"/>
      <c r="AL1226" s="42"/>
      <c r="AM1226" s="42"/>
      <c r="AN1226" s="42"/>
      <c r="AO1226" s="42"/>
      <c r="AP1226" s="42"/>
      <c r="AQ1226" s="42"/>
      <c r="AR1226" s="42"/>
      <c r="AS1226" s="42"/>
      <c r="AT1226" s="42"/>
      <c r="AU1226" s="42"/>
      <c r="AV1226" s="42"/>
      <c r="AW1226" s="42"/>
      <c r="AX1226" s="42"/>
      <c r="AY1226" s="42"/>
      <c r="AZ1226" s="42"/>
      <c r="BA1226" s="42"/>
      <c r="BB1226" s="42"/>
      <c r="BC1226" s="42"/>
      <c r="BD1226" s="42"/>
      <c r="BE1226" s="42"/>
      <c r="BF1226" s="42"/>
      <c r="BG1226" s="42"/>
      <c r="BH1226" s="42"/>
      <c r="BI1226" s="42"/>
      <c r="BJ1226" s="42"/>
      <c r="BK1226" s="42"/>
      <c r="BL1226" s="42"/>
      <c r="BM1226" s="42"/>
      <c r="BN1226" s="42"/>
      <c r="BO1226" s="42"/>
    </row>
    <row r="1227">
      <c r="A1227" s="40"/>
      <c r="B1227" s="40"/>
      <c r="C1227" s="42"/>
      <c r="D1227" s="42"/>
      <c r="E1227" s="43"/>
      <c r="F1227" s="42"/>
      <c r="G1227" s="42"/>
      <c r="H1227" s="42"/>
      <c r="I1227" s="42"/>
      <c r="J1227" s="42"/>
      <c r="K1227" s="42"/>
      <c r="L1227" s="42"/>
      <c r="M1227" s="42"/>
      <c r="N1227" s="42"/>
      <c r="O1227" s="42"/>
      <c r="P1227" s="42"/>
      <c r="Q1227" s="42"/>
      <c r="R1227" s="42"/>
      <c r="S1227" s="42"/>
      <c r="T1227" s="42"/>
      <c r="U1227" s="42"/>
      <c r="V1227" s="42"/>
      <c r="W1227" s="42"/>
      <c r="X1227" s="42"/>
      <c r="Y1227" s="42"/>
      <c r="Z1227" s="42"/>
      <c r="AA1227" s="42"/>
      <c r="AB1227" s="42"/>
      <c r="AC1227" s="42"/>
      <c r="AD1227" s="42"/>
      <c r="AE1227" s="42"/>
      <c r="AF1227" s="42"/>
      <c r="AG1227" s="42"/>
      <c r="AH1227" s="42"/>
      <c r="AI1227" s="42"/>
      <c r="AJ1227" s="42"/>
      <c r="AK1227" s="42"/>
      <c r="AL1227" s="42"/>
      <c r="AM1227" s="42"/>
      <c r="AN1227" s="42"/>
      <c r="AO1227" s="42"/>
      <c r="AP1227" s="42"/>
      <c r="AQ1227" s="42"/>
      <c r="AR1227" s="42"/>
      <c r="AS1227" s="42"/>
      <c r="AT1227" s="42"/>
      <c r="AU1227" s="42"/>
      <c r="AV1227" s="42"/>
      <c r="AW1227" s="42"/>
      <c r="AX1227" s="42"/>
      <c r="AY1227" s="42"/>
      <c r="AZ1227" s="42"/>
      <c r="BA1227" s="42"/>
      <c r="BB1227" s="42"/>
      <c r="BC1227" s="42"/>
      <c r="BD1227" s="42"/>
      <c r="BE1227" s="42"/>
      <c r="BF1227" s="42"/>
      <c r="BG1227" s="42"/>
      <c r="BH1227" s="42"/>
      <c r="BI1227" s="42"/>
      <c r="BJ1227" s="42"/>
      <c r="BK1227" s="42"/>
      <c r="BL1227" s="42"/>
      <c r="BM1227" s="42"/>
      <c r="BN1227" s="42"/>
      <c r="BO1227" s="42"/>
    </row>
    <row r="1228">
      <c r="A1228" s="40"/>
      <c r="B1228" s="40"/>
      <c r="C1228" s="42"/>
      <c r="D1228" s="42"/>
      <c r="E1228" s="43"/>
      <c r="F1228" s="42"/>
      <c r="G1228" s="42"/>
      <c r="H1228" s="42"/>
      <c r="I1228" s="42"/>
      <c r="J1228" s="42"/>
      <c r="K1228" s="42"/>
      <c r="L1228" s="42"/>
      <c r="M1228" s="42"/>
      <c r="N1228" s="42"/>
      <c r="O1228" s="42"/>
      <c r="P1228" s="42"/>
      <c r="Q1228" s="42"/>
      <c r="R1228" s="42"/>
      <c r="S1228" s="42"/>
      <c r="T1228" s="42"/>
      <c r="U1228" s="42"/>
      <c r="V1228" s="42"/>
      <c r="W1228" s="42"/>
      <c r="X1228" s="42"/>
      <c r="Y1228" s="42"/>
      <c r="Z1228" s="42"/>
      <c r="AA1228" s="42"/>
      <c r="AB1228" s="42"/>
      <c r="AC1228" s="42"/>
      <c r="AD1228" s="42"/>
      <c r="AE1228" s="42"/>
      <c r="AF1228" s="42"/>
      <c r="AG1228" s="42"/>
      <c r="AH1228" s="42"/>
      <c r="AI1228" s="42"/>
      <c r="AJ1228" s="42"/>
      <c r="AK1228" s="42"/>
      <c r="AL1228" s="42"/>
      <c r="AM1228" s="42"/>
      <c r="AN1228" s="42"/>
      <c r="AO1228" s="42"/>
      <c r="AP1228" s="42"/>
      <c r="AQ1228" s="42"/>
      <c r="AR1228" s="42"/>
      <c r="AS1228" s="42"/>
      <c r="AT1228" s="42"/>
      <c r="AU1228" s="42"/>
      <c r="AV1228" s="42"/>
      <c r="AW1228" s="42"/>
      <c r="AX1228" s="42"/>
      <c r="AY1228" s="42"/>
      <c r="AZ1228" s="42"/>
      <c r="BA1228" s="42"/>
      <c r="BB1228" s="42"/>
      <c r="BC1228" s="42"/>
      <c r="BD1228" s="42"/>
      <c r="BE1228" s="42"/>
      <c r="BF1228" s="42"/>
      <c r="BG1228" s="42"/>
      <c r="BH1228" s="42"/>
      <c r="BI1228" s="42"/>
      <c r="BJ1228" s="42"/>
      <c r="BK1228" s="42"/>
      <c r="BL1228" s="42"/>
      <c r="BM1228" s="42"/>
      <c r="BN1228" s="42"/>
      <c r="BO1228" s="42"/>
    </row>
    <row r="1229">
      <c r="A1229" s="40"/>
      <c r="B1229" s="40"/>
      <c r="C1229" s="42"/>
      <c r="D1229" s="42"/>
      <c r="E1229" s="43"/>
      <c r="F1229" s="42"/>
      <c r="G1229" s="42"/>
      <c r="H1229" s="42"/>
      <c r="I1229" s="42"/>
      <c r="J1229" s="42"/>
      <c r="K1229" s="42"/>
      <c r="L1229" s="42"/>
      <c r="M1229" s="42"/>
      <c r="N1229" s="42"/>
      <c r="O1229" s="42"/>
      <c r="P1229" s="42"/>
      <c r="Q1229" s="42"/>
      <c r="R1229" s="42"/>
      <c r="S1229" s="42"/>
      <c r="T1229" s="42"/>
      <c r="U1229" s="42"/>
      <c r="V1229" s="42"/>
      <c r="W1229" s="42"/>
      <c r="X1229" s="42"/>
      <c r="Y1229" s="42"/>
      <c r="Z1229" s="42"/>
      <c r="AA1229" s="42"/>
      <c r="AB1229" s="42"/>
      <c r="AC1229" s="42"/>
      <c r="AD1229" s="42"/>
      <c r="AE1229" s="42"/>
      <c r="AF1229" s="42"/>
      <c r="AG1229" s="42"/>
      <c r="AH1229" s="42"/>
      <c r="AI1229" s="42"/>
      <c r="AJ1229" s="42"/>
      <c r="AK1229" s="42"/>
      <c r="AL1229" s="42"/>
      <c r="AM1229" s="42"/>
      <c r="AN1229" s="42"/>
      <c r="AO1229" s="42"/>
      <c r="AP1229" s="42"/>
      <c r="AQ1229" s="42"/>
      <c r="AR1229" s="42"/>
      <c r="AS1229" s="42"/>
      <c r="AT1229" s="42"/>
      <c r="AU1229" s="42"/>
      <c r="AV1229" s="42"/>
      <c r="AW1229" s="42"/>
      <c r="AX1229" s="42"/>
      <c r="AY1229" s="42"/>
      <c r="AZ1229" s="42"/>
      <c r="BA1229" s="42"/>
      <c r="BB1229" s="42"/>
      <c r="BC1229" s="42"/>
      <c r="BD1229" s="42"/>
      <c r="BE1229" s="42"/>
      <c r="BF1229" s="42"/>
      <c r="BG1229" s="42"/>
      <c r="BH1229" s="42"/>
      <c r="BI1229" s="42"/>
      <c r="BJ1229" s="42"/>
      <c r="BK1229" s="42"/>
      <c r="BL1229" s="42"/>
      <c r="BM1229" s="42"/>
      <c r="BN1229" s="42"/>
      <c r="BO1229" s="42"/>
    </row>
    <row r="1230">
      <c r="A1230" s="40"/>
      <c r="B1230" s="40"/>
      <c r="C1230" s="42"/>
      <c r="D1230" s="42"/>
      <c r="E1230" s="43"/>
      <c r="F1230" s="42"/>
      <c r="G1230" s="42"/>
      <c r="H1230" s="42"/>
      <c r="I1230" s="42"/>
      <c r="J1230" s="42"/>
      <c r="K1230" s="42"/>
      <c r="L1230" s="42"/>
      <c r="M1230" s="42"/>
      <c r="N1230" s="42"/>
      <c r="O1230" s="42"/>
      <c r="P1230" s="42"/>
      <c r="Q1230" s="42"/>
      <c r="R1230" s="42"/>
      <c r="S1230" s="42"/>
      <c r="T1230" s="42"/>
      <c r="U1230" s="42"/>
      <c r="V1230" s="42"/>
      <c r="W1230" s="42"/>
      <c r="X1230" s="42"/>
      <c r="Y1230" s="42"/>
      <c r="Z1230" s="42"/>
      <c r="AA1230" s="42"/>
      <c r="AB1230" s="42"/>
      <c r="AC1230" s="42"/>
      <c r="AD1230" s="42"/>
      <c r="AE1230" s="42"/>
      <c r="AF1230" s="42"/>
      <c r="AG1230" s="42"/>
      <c r="AH1230" s="42"/>
      <c r="AI1230" s="42"/>
      <c r="AJ1230" s="42"/>
      <c r="AK1230" s="42"/>
      <c r="AL1230" s="42"/>
      <c r="AM1230" s="42"/>
      <c r="AN1230" s="42"/>
      <c r="AO1230" s="42"/>
      <c r="AP1230" s="42"/>
      <c r="AQ1230" s="42"/>
      <c r="AR1230" s="42"/>
      <c r="AS1230" s="42"/>
      <c r="AT1230" s="42"/>
      <c r="AU1230" s="42"/>
      <c r="AV1230" s="42"/>
      <c r="AW1230" s="42"/>
      <c r="AX1230" s="42"/>
      <c r="AY1230" s="42"/>
      <c r="AZ1230" s="42"/>
      <c r="BA1230" s="42"/>
      <c r="BB1230" s="42"/>
      <c r="BC1230" s="42"/>
      <c r="BD1230" s="42"/>
      <c r="BE1230" s="42"/>
      <c r="BF1230" s="42"/>
      <c r="BG1230" s="42"/>
      <c r="BH1230" s="42"/>
      <c r="BI1230" s="42"/>
      <c r="BJ1230" s="42"/>
      <c r="BK1230" s="42"/>
      <c r="BL1230" s="42"/>
      <c r="BM1230" s="42"/>
      <c r="BN1230" s="42"/>
      <c r="BO1230" s="42"/>
    </row>
    <row r="1231">
      <c r="A1231" s="40"/>
      <c r="B1231" s="40"/>
      <c r="C1231" s="42"/>
      <c r="D1231" s="42"/>
      <c r="E1231" s="43"/>
      <c r="F1231" s="42"/>
      <c r="G1231" s="42"/>
      <c r="H1231" s="42"/>
      <c r="I1231" s="42"/>
      <c r="J1231" s="42"/>
      <c r="K1231" s="42"/>
      <c r="L1231" s="42"/>
      <c r="M1231" s="42"/>
      <c r="N1231" s="42"/>
      <c r="O1231" s="42"/>
      <c r="P1231" s="42"/>
      <c r="Q1231" s="42"/>
      <c r="R1231" s="42"/>
      <c r="S1231" s="42"/>
      <c r="T1231" s="42"/>
      <c r="U1231" s="42"/>
      <c r="V1231" s="42"/>
      <c r="W1231" s="42"/>
      <c r="X1231" s="42"/>
      <c r="Y1231" s="42"/>
      <c r="Z1231" s="42"/>
      <c r="AA1231" s="42"/>
      <c r="AB1231" s="42"/>
      <c r="AC1231" s="42"/>
      <c r="AD1231" s="42"/>
      <c r="AE1231" s="42"/>
      <c r="AF1231" s="42"/>
      <c r="AG1231" s="42"/>
      <c r="AH1231" s="42"/>
      <c r="AI1231" s="42"/>
      <c r="AJ1231" s="42"/>
      <c r="AK1231" s="42"/>
      <c r="AL1231" s="42"/>
      <c r="AM1231" s="42"/>
      <c r="AN1231" s="42"/>
      <c r="AO1231" s="42"/>
      <c r="AP1231" s="42"/>
      <c r="AQ1231" s="42"/>
      <c r="AR1231" s="42"/>
      <c r="AS1231" s="42"/>
      <c r="AT1231" s="42"/>
      <c r="AU1231" s="42"/>
      <c r="AV1231" s="42"/>
      <c r="AW1231" s="42"/>
      <c r="AX1231" s="42"/>
      <c r="AY1231" s="42"/>
      <c r="AZ1231" s="42"/>
      <c r="BA1231" s="42"/>
      <c r="BB1231" s="42"/>
      <c r="BC1231" s="42"/>
      <c r="BD1231" s="42"/>
      <c r="BE1231" s="42"/>
      <c r="BF1231" s="42"/>
      <c r="BG1231" s="42"/>
      <c r="BH1231" s="42"/>
      <c r="BI1231" s="42"/>
      <c r="BJ1231" s="42"/>
      <c r="BK1231" s="42"/>
      <c r="BL1231" s="42"/>
      <c r="BM1231" s="42"/>
      <c r="BN1231" s="42"/>
      <c r="BO1231" s="42"/>
    </row>
    <row r="1232">
      <c r="A1232" s="40"/>
      <c r="B1232" s="40"/>
      <c r="C1232" s="42"/>
      <c r="D1232" s="42"/>
      <c r="E1232" s="43"/>
      <c r="F1232" s="42"/>
      <c r="G1232" s="42"/>
      <c r="H1232" s="42"/>
      <c r="I1232" s="42"/>
      <c r="J1232" s="42"/>
      <c r="K1232" s="42"/>
      <c r="L1232" s="42"/>
      <c r="M1232" s="42"/>
      <c r="N1232" s="42"/>
      <c r="O1232" s="42"/>
      <c r="P1232" s="42"/>
      <c r="Q1232" s="42"/>
      <c r="R1232" s="42"/>
      <c r="S1232" s="42"/>
      <c r="T1232" s="42"/>
      <c r="U1232" s="42"/>
      <c r="V1232" s="42"/>
      <c r="W1232" s="42"/>
      <c r="X1232" s="42"/>
      <c r="Y1232" s="42"/>
      <c r="Z1232" s="42"/>
      <c r="AA1232" s="42"/>
      <c r="AB1232" s="42"/>
      <c r="AC1232" s="42"/>
      <c r="AD1232" s="42"/>
      <c r="AE1232" s="42"/>
      <c r="AF1232" s="42"/>
      <c r="AG1232" s="42"/>
      <c r="AH1232" s="42"/>
      <c r="AI1232" s="42"/>
      <c r="AJ1232" s="42"/>
      <c r="AK1232" s="42"/>
      <c r="AL1232" s="42"/>
      <c r="AM1232" s="42"/>
      <c r="AN1232" s="42"/>
      <c r="AO1232" s="42"/>
      <c r="AP1232" s="42"/>
      <c r="AQ1232" s="42"/>
      <c r="AR1232" s="42"/>
      <c r="AS1232" s="42"/>
      <c r="AT1232" s="42"/>
      <c r="AU1232" s="42"/>
      <c r="AV1232" s="42"/>
      <c r="AW1232" s="42"/>
      <c r="AX1232" s="42"/>
      <c r="AY1232" s="42"/>
      <c r="AZ1232" s="42"/>
      <c r="BA1232" s="42"/>
      <c r="BB1232" s="42"/>
      <c r="BC1232" s="42"/>
      <c r="BD1232" s="42"/>
      <c r="BE1232" s="42"/>
      <c r="BF1232" s="42"/>
      <c r="BG1232" s="42"/>
      <c r="BH1232" s="42"/>
      <c r="BI1232" s="42"/>
      <c r="BJ1232" s="42"/>
      <c r="BK1232" s="42"/>
      <c r="BL1232" s="42"/>
      <c r="BM1232" s="42"/>
      <c r="BN1232" s="42"/>
      <c r="BO1232" s="42"/>
    </row>
    <row r="1233">
      <c r="A1233" s="40"/>
      <c r="B1233" s="40"/>
      <c r="C1233" s="42"/>
      <c r="D1233" s="42"/>
      <c r="E1233" s="43"/>
      <c r="F1233" s="42"/>
      <c r="G1233" s="42"/>
      <c r="H1233" s="42"/>
      <c r="I1233" s="42"/>
      <c r="J1233" s="42"/>
      <c r="K1233" s="42"/>
      <c r="L1233" s="42"/>
      <c r="M1233" s="42"/>
      <c r="N1233" s="42"/>
      <c r="O1233" s="42"/>
      <c r="P1233" s="42"/>
      <c r="Q1233" s="42"/>
      <c r="R1233" s="42"/>
      <c r="S1233" s="42"/>
      <c r="T1233" s="42"/>
      <c r="U1233" s="42"/>
      <c r="V1233" s="42"/>
      <c r="W1233" s="42"/>
      <c r="X1233" s="42"/>
      <c r="Y1233" s="42"/>
      <c r="Z1233" s="42"/>
      <c r="AA1233" s="42"/>
      <c r="AB1233" s="42"/>
      <c r="AC1233" s="42"/>
      <c r="AD1233" s="42"/>
      <c r="AE1233" s="42"/>
      <c r="AF1233" s="42"/>
      <c r="AG1233" s="42"/>
      <c r="AH1233" s="42"/>
      <c r="AI1233" s="42"/>
      <c r="AJ1233" s="42"/>
      <c r="AK1233" s="42"/>
      <c r="AL1233" s="42"/>
      <c r="AM1233" s="42"/>
      <c r="AN1233" s="42"/>
      <c r="AO1233" s="42"/>
      <c r="AP1233" s="42"/>
      <c r="AQ1233" s="42"/>
      <c r="AR1233" s="42"/>
      <c r="AS1233" s="42"/>
      <c r="AT1233" s="42"/>
      <c r="AU1233" s="42"/>
      <c r="AV1233" s="42"/>
      <c r="AW1233" s="42"/>
      <c r="AX1233" s="42"/>
      <c r="AY1233" s="42"/>
      <c r="AZ1233" s="42"/>
      <c r="BA1233" s="42"/>
      <c r="BB1233" s="42"/>
      <c r="BC1233" s="42"/>
      <c r="BD1233" s="42"/>
      <c r="BE1233" s="42"/>
      <c r="BF1233" s="42"/>
      <c r="BG1233" s="42"/>
      <c r="BH1233" s="42"/>
      <c r="BI1233" s="42"/>
      <c r="BJ1233" s="42"/>
      <c r="BK1233" s="42"/>
      <c r="BL1233" s="42"/>
      <c r="BM1233" s="42"/>
      <c r="BN1233" s="42"/>
      <c r="BO1233" s="42"/>
    </row>
    <row r="1234">
      <c r="A1234" s="40"/>
      <c r="B1234" s="40"/>
      <c r="C1234" s="42"/>
      <c r="D1234" s="42"/>
      <c r="E1234" s="43"/>
      <c r="F1234" s="42"/>
      <c r="G1234" s="42"/>
      <c r="H1234" s="42"/>
      <c r="I1234" s="42"/>
      <c r="J1234" s="42"/>
      <c r="K1234" s="42"/>
      <c r="L1234" s="42"/>
      <c r="M1234" s="42"/>
      <c r="N1234" s="42"/>
      <c r="O1234" s="42"/>
      <c r="P1234" s="42"/>
      <c r="Q1234" s="42"/>
      <c r="R1234" s="42"/>
      <c r="S1234" s="42"/>
      <c r="T1234" s="42"/>
      <c r="U1234" s="42"/>
      <c r="V1234" s="42"/>
      <c r="W1234" s="42"/>
      <c r="X1234" s="42"/>
      <c r="Y1234" s="42"/>
      <c r="Z1234" s="42"/>
      <c r="AA1234" s="42"/>
      <c r="AB1234" s="42"/>
      <c r="AC1234" s="42"/>
      <c r="AD1234" s="42"/>
      <c r="AE1234" s="42"/>
      <c r="AF1234" s="42"/>
      <c r="AG1234" s="42"/>
      <c r="AH1234" s="42"/>
      <c r="AI1234" s="42"/>
      <c r="AJ1234" s="42"/>
      <c r="AK1234" s="42"/>
      <c r="AL1234" s="42"/>
      <c r="AM1234" s="42"/>
      <c r="AN1234" s="42"/>
      <c r="AO1234" s="42"/>
      <c r="AP1234" s="42"/>
      <c r="AQ1234" s="42"/>
      <c r="AR1234" s="42"/>
      <c r="AS1234" s="42"/>
      <c r="AT1234" s="42"/>
      <c r="AU1234" s="42"/>
      <c r="AV1234" s="42"/>
      <c r="AW1234" s="42"/>
      <c r="AX1234" s="42"/>
      <c r="AY1234" s="42"/>
      <c r="AZ1234" s="42"/>
      <c r="BA1234" s="42"/>
      <c r="BB1234" s="42"/>
      <c r="BC1234" s="42"/>
      <c r="BD1234" s="42"/>
      <c r="BE1234" s="42"/>
      <c r="BF1234" s="42"/>
      <c r="BG1234" s="42"/>
      <c r="BH1234" s="42"/>
      <c r="BI1234" s="42"/>
      <c r="BJ1234" s="42"/>
      <c r="BK1234" s="42"/>
      <c r="BL1234" s="42"/>
      <c r="BM1234" s="42"/>
      <c r="BN1234" s="42"/>
      <c r="BO1234" s="42"/>
    </row>
    <row r="1235">
      <c r="A1235" s="40"/>
      <c r="B1235" s="40"/>
      <c r="C1235" s="42"/>
      <c r="D1235" s="42"/>
      <c r="E1235" s="43"/>
      <c r="F1235" s="42"/>
      <c r="G1235" s="42"/>
      <c r="H1235" s="42"/>
      <c r="I1235" s="42"/>
      <c r="J1235" s="42"/>
      <c r="K1235" s="42"/>
      <c r="L1235" s="42"/>
      <c r="M1235" s="42"/>
      <c r="N1235" s="42"/>
      <c r="O1235" s="42"/>
      <c r="P1235" s="42"/>
      <c r="Q1235" s="42"/>
      <c r="R1235" s="42"/>
      <c r="S1235" s="42"/>
      <c r="T1235" s="42"/>
      <c r="U1235" s="42"/>
      <c r="V1235" s="42"/>
      <c r="W1235" s="42"/>
      <c r="X1235" s="42"/>
      <c r="Y1235" s="42"/>
      <c r="Z1235" s="42"/>
      <c r="AA1235" s="42"/>
      <c r="AB1235" s="42"/>
      <c r="AC1235" s="42"/>
      <c r="AD1235" s="42"/>
      <c r="AE1235" s="42"/>
      <c r="AF1235" s="42"/>
      <c r="AG1235" s="42"/>
      <c r="AH1235" s="42"/>
      <c r="AI1235" s="42"/>
      <c r="AJ1235" s="42"/>
      <c r="AK1235" s="42"/>
      <c r="AL1235" s="42"/>
      <c r="AM1235" s="42"/>
      <c r="AN1235" s="42"/>
      <c r="AO1235" s="42"/>
      <c r="AP1235" s="42"/>
      <c r="AQ1235" s="42"/>
      <c r="AR1235" s="42"/>
      <c r="AS1235" s="42"/>
      <c r="AT1235" s="42"/>
      <c r="AU1235" s="42"/>
      <c r="AV1235" s="42"/>
      <c r="AW1235" s="42"/>
      <c r="AX1235" s="42"/>
      <c r="AY1235" s="42"/>
      <c r="AZ1235" s="42"/>
      <c r="BA1235" s="42"/>
      <c r="BB1235" s="42"/>
      <c r="BC1235" s="42"/>
      <c r="BD1235" s="42"/>
      <c r="BE1235" s="42"/>
      <c r="BF1235" s="42"/>
      <c r="BG1235" s="42"/>
      <c r="BH1235" s="42"/>
      <c r="BI1235" s="42"/>
      <c r="BJ1235" s="42"/>
      <c r="BK1235" s="42"/>
      <c r="BL1235" s="42"/>
      <c r="BM1235" s="42"/>
      <c r="BN1235" s="42"/>
      <c r="BO1235" s="42"/>
    </row>
    <row r="1236">
      <c r="A1236" s="40"/>
      <c r="B1236" s="40"/>
      <c r="C1236" s="42"/>
      <c r="D1236" s="42"/>
      <c r="E1236" s="43"/>
      <c r="F1236" s="42"/>
      <c r="G1236" s="42"/>
      <c r="H1236" s="42"/>
      <c r="I1236" s="42"/>
      <c r="J1236" s="42"/>
      <c r="K1236" s="42"/>
      <c r="L1236" s="42"/>
      <c r="M1236" s="42"/>
      <c r="N1236" s="42"/>
      <c r="O1236" s="42"/>
      <c r="P1236" s="42"/>
      <c r="Q1236" s="42"/>
      <c r="R1236" s="42"/>
      <c r="S1236" s="42"/>
      <c r="T1236" s="42"/>
      <c r="U1236" s="42"/>
      <c r="V1236" s="42"/>
      <c r="W1236" s="42"/>
      <c r="X1236" s="42"/>
      <c r="Y1236" s="42"/>
      <c r="Z1236" s="42"/>
      <c r="AA1236" s="42"/>
      <c r="AB1236" s="42"/>
      <c r="AC1236" s="42"/>
      <c r="AD1236" s="42"/>
      <c r="AE1236" s="42"/>
      <c r="AF1236" s="42"/>
      <c r="AG1236" s="42"/>
      <c r="AH1236" s="42"/>
      <c r="AI1236" s="42"/>
      <c r="AJ1236" s="42"/>
      <c r="AK1236" s="42"/>
      <c r="AL1236" s="42"/>
      <c r="AM1236" s="42"/>
      <c r="AN1236" s="42"/>
      <c r="AO1236" s="42"/>
      <c r="AP1236" s="42"/>
      <c r="AQ1236" s="42"/>
      <c r="AR1236" s="42"/>
      <c r="AS1236" s="42"/>
      <c r="AT1236" s="42"/>
      <c r="AU1236" s="42"/>
      <c r="AV1236" s="42"/>
      <c r="AW1236" s="42"/>
      <c r="AX1236" s="42"/>
      <c r="AY1236" s="42"/>
      <c r="AZ1236" s="42"/>
      <c r="BA1236" s="42"/>
      <c r="BB1236" s="42"/>
      <c r="BC1236" s="42"/>
      <c r="BD1236" s="42"/>
      <c r="BE1236" s="42"/>
      <c r="BF1236" s="42"/>
      <c r="BG1236" s="42"/>
      <c r="BH1236" s="42"/>
      <c r="BI1236" s="42"/>
      <c r="BJ1236" s="42"/>
      <c r="BK1236" s="42"/>
      <c r="BL1236" s="42"/>
      <c r="BM1236" s="42"/>
      <c r="BN1236" s="42"/>
      <c r="BO1236" s="42"/>
    </row>
    <row r="1237">
      <c r="A1237" s="40"/>
      <c r="B1237" s="40"/>
      <c r="C1237" s="42"/>
      <c r="D1237" s="42"/>
      <c r="E1237" s="43"/>
      <c r="F1237" s="42"/>
      <c r="G1237" s="42"/>
      <c r="H1237" s="42"/>
      <c r="I1237" s="42"/>
      <c r="J1237" s="42"/>
      <c r="K1237" s="42"/>
      <c r="L1237" s="42"/>
      <c r="M1237" s="42"/>
      <c r="N1237" s="42"/>
      <c r="O1237" s="42"/>
      <c r="P1237" s="42"/>
      <c r="Q1237" s="42"/>
      <c r="R1237" s="42"/>
      <c r="S1237" s="42"/>
      <c r="T1237" s="42"/>
      <c r="U1237" s="42"/>
      <c r="V1237" s="42"/>
      <c r="W1237" s="42"/>
      <c r="X1237" s="42"/>
      <c r="Y1237" s="42"/>
      <c r="Z1237" s="42"/>
      <c r="AA1237" s="42"/>
      <c r="AB1237" s="42"/>
      <c r="AC1237" s="42"/>
      <c r="AD1237" s="42"/>
      <c r="AE1237" s="42"/>
      <c r="AF1237" s="42"/>
      <c r="AG1237" s="42"/>
      <c r="AH1237" s="42"/>
      <c r="AI1237" s="42"/>
      <c r="AJ1237" s="42"/>
      <c r="AK1237" s="42"/>
      <c r="AL1237" s="42"/>
      <c r="AM1237" s="42"/>
      <c r="AN1237" s="42"/>
      <c r="AO1237" s="42"/>
      <c r="AP1237" s="42"/>
      <c r="AQ1237" s="42"/>
      <c r="AR1237" s="42"/>
      <c r="AS1237" s="42"/>
      <c r="AT1237" s="42"/>
      <c r="AU1237" s="42"/>
      <c r="AV1237" s="42"/>
      <c r="AW1237" s="42"/>
      <c r="AX1237" s="42"/>
      <c r="AY1237" s="42"/>
      <c r="AZ1237" s="42"/>
      <c r="BA1237" s="42"/>
      <c r="BB1237" s="42"/>
      <c r="BC1237" s="42"/>
      <c r="BD1237" s="42"/>
      <c r="BE1237" s="42"/>
      <c r="BF1237" s="42"/>
      <c r="BG1237" s="42"/>
      <c r="BH1237" s="42"/>
      <c r="BI1237" s="42"/>
      <c r="BJ1237" s="42"/>
      <c r="BK1237" s="42"/>
      <c r="BL1237" s="42"/>
      <c r="BM1237" s="42"/>
      <c r="BN1237" s="42"/>
      <c r="BO1237" s="42"/>
    </row>
    <row r="1238">
      <c r="A1238" s="40"/>
      <c r="B1238" s="40"/>
      <c r="C1238" s="42"/>
      <c r="D1238" s="42"/>
      <c r="E1238" s="43"/>
      <c r="F1238" s="42"/>
      <c r="G1238" s="42"/>
      <c r="H1238" s="42"/>
      <c r="I1238" s="42"/>
      <c r="J1238" s="42"/>
      <c r="K1238" s="42"/>
      <c r="L1238" s="42"/>
      <c r="M1238" s="42"/>
      <c r="N1238" s="42"/>
      <c r="O1238" s="42"/>
      <c r="P1238" s="42"/>
      <c r="Q1238" s="42"/>
      <c r="R1238" s="42"/>
      <c r="S1238" s="42"/>
      <c r="T1238" s="42"/>
      <c r="U1238" s="42"/>
      <c r="V1238" s="42"/>
      <c r="W1238" s="42"/>
      <c r="X1238" s="42"/>
      <c r="Y1238" s="42"/>
      <c r="Z1238" s="42"/>
      <c r="AA1238" s="42"/>
      <c r="AB1238" s="42"/>
      <c r="AC1238" s="42"/>
      <c r="AD1238" s="42"/>
      <c r="AE1238" s="42"/>
      <c r="AF1238" s="42"/>
      <c r="AG1238" s="42"/>
      <c r="AH1238" s="42"/>
      <c r="AI1238" s="42"/>
      <c r="AJ1238" s="42"/>
      <c r="AK1238" s="42"/>
      <c r="AL1238" s="42"/>
      <c r="AM1238" s="42"/>
      <c r="AN1238" s="42"/>
      <c r="AO1238" s="42"/>
      <c r="AP1238" s="42"/>
      <c r="AQ1238" s="42"/>
      <c r="AR1238" s="42"/>
      <c r="AS1238" s="42"/>
      <c r="AT1238" s="42"/>
      <c r="AU1238" s="42"/>
      <c r="AV1238" s="42"/>
      <c r="AW1238" s="42"/>
      <c r="AX1238" s="42"/>
      <c r="AY1238" s="42"/>
      <c r="AZ1238" s="42"/>
      <c r="BA1238" s="42"/>
      <c r="BB1238" s="42"/>
      <c r="BC1238" s="42"/>
      <c r="BD1238" s="42"/>
      <c r="BE1238" s="42"/>
      <c r="BF1238" s="42"/>
      <c r="BG1238" s="42"/>
      <c r="BH1238" s="42"/>
      <c r="BI1238" s="42"/>
      <c r="BJ1238" s="42"/>
      <c r="BK1238" s="42"/>
      <c r="BL1238" s="42"/>
      <c r="BM1238" s="42"/>
      <c r="BN1238" s="42"/>
      <c r="BO1238" s="42"/>
    </row>
    <row r="1239">
      <c r="A1239" s="40"/>
      <c r="B1239" s="40"/>
      <c r="C1239" s="42"/>
      <c r="D1239" s="42"/>
      <c r="E1239" s="43"/>
      <c r="F1239" s="42"/>
      <c r="G1239" s="42"/>
      <c r="H1239" s="42"/>
      <c r="I1239" s="42"/>
      <c r="J1239" s="42"/>
      <c r="K1239" s="42"/>
      <c r="L1239" s="42"/>
      <c r="M1239" s="42"/>
      <c r="N1239" s="42"/>
      <c r="O1239" s="42"/>
      <c r="P1239" s="42"/>
      <c r="Q1239" s="42"/>
      <c r="R1239" s="42"/>
      <c r="S1239" s="42"/>
      <c r="T1239" s="42"/>
      <c r="U1239" s="42"/>
      <c r="V1239" s="42"/>
      <c r="W1239" s="42"/>
      <c r="X1239" s="42"/>
      <c r="Y1239" s="42"/>
      <c r="Z1239" s="42"/>
      <c r="AA1239" s="42"/>
      <c r="AB1239" s="42"/>
      <c r="AC1239" s="42"/>
      <c r="AD1239" s="42"/>
      <c r="AE1239" s="42"/>
      <c r="AF1239" s="42"/>
      <c r="AG1239" s="42"/>
      <c r="AH1239" s="42"/>
      <c r="AI1239" s="42"/>
      <c r="AJ1239" s="42"/>
      <c r="AK1239" s="42"/>
      <c r="AL1239" s="42"/>
      <c r="AM1239" s="42"/>
      <c r="AN1239" s="42"/>
      <c r="AO1239" s="42"/>
      <c r="AP1239" s="42"/>
      <c r="AQ1239" s="42"/>
      <c r="AR1239" s="42"/>
      <c r="AS1239" s="42"/>
      <c r="AT1239" s="42"/>
      <c r="AU1239" s="42"/>
      <c r="AV1239" s="42"/>
      <c r="AW1239" s="42"/>
      <c r="AX1239" s="42"/>
      <c r="AY1239" s="42"/>
      <c r="AZ1239" s="42"/>
      <c r="BA1239" s="42"/>
      <c r="BB1239" s="42"/>
      <c r="BC1239" s="42"/>
      <c r="BD1239" s="42"/>
      <c r="BE1239" s="42"/>
      <c r="BF1239" s="42"/>
      <c r="BG1239" s="42"/>
      <c r="BH1239" s="42"/>
      <c r="BI1239" s="42"/>
      <c r="BJ1239" s="42"/>
      <c r="BK1239" s="42"/>
      <c r="BL1239" s="42"/>
      <c r="BM1239" s="42"/>
      <c r="BN1239" s="42"/>
      <c r="BO1239" s="42"/>
    </row>
    <row r="1240">
      <c r="A1240" s="40"/>
      <c r="B1240" s="40"/>
      <c r="C1240" s="42"/>
      <c r="D1240" s="42"/>
      <c r="E1240" s="43"/>
      <c r="F1240" s="42"/>
      <c r="G1240" s="42"/>
      <c r="H1240" s="42"/>
      <c r="I1240" s="42"/>
      <c r="J1240" s="42"/>
      <c r="K1240" s="42"/>
      <c r="L1240" s="42"/>
      <c r="M1240" s="42"/>
      <c r="N1240" s="42"/>
      <c r="O1240" s="42"/>
      <c r="P1240" s="42"/>
      <c r="Q1240" s="42"/>
      <c r="R1240" s="42"/>
      <c r="S1240" s="42"/>
      <c r="T1240" s="42"/>
      <c r="U1240" s="42"/>
      <c r="V1240" s="42"/>
      <c r="W1240" s="42"/>
      <c r="X1240" s="42"/>
      <c r="Y1240" s="42"/>
      <c r="Z1240" s="42"/>
      <c r="AA1240" s="42"/>
      <c r="AB1240" s="42"/>
      <c r="AC1240" s="42"/>
      <c r="AD1240" s="42"/>
      <c r="AE1240" s="42"/>
      <c r="AF1240" s="42"/>
      <c r="AG1240" s="42"/>
      <c r="AH1240" s="42"/>
      <c r="AI1240" s="42"/>
      <c r="AJ1240" s="42"/>
      <c r="AK1240" s="42"/>
      <c r="AL1240" s="42"/>
      <c r="AM1240" s="42"/>
      <c r="AN1240" s="42"/>
      <c r="AO1240" s="42"/>
      <c r="AP1240" s="42"/>
      <c r="AQ1240" s="42"/>
      <c r="AR1240" s="42"/>
      <c r="AS1240" s="42"/>
      <c r="AT1240" s="42"/>
      <c r="AU1240" s="42"/>
      <c r="AV1240" s="42"/>
      <c r="AW1240" s="42"/>
      <c r="AX1240" s="42"/>
      <c r="AY1240" s="42"/>
      <c r="AZ1240" s="42"/>
      <c r="BA1240" s="42"/>
      <c r="BB1240" s="42"/>
      <c r="BC1240" s="42"/>
      <c r="BD1240" s="42"/>
      <c r="BE1240" s="42"/>
      <c r="BF1240" s="42"/>
      <c r="BG1240" s="42"/>
      <c r="BH1240" s="42"/>
      <c r="BI1240" s="42"/>
      <c r="BJ1240" s="42"/>
      <c r="BK1240" s="42"/>
      <c r="BL1240" s="42"/>
      <c r="BM1240" s="42"/>
      <c r="BN1240" s="42"/>
      <c r="BO1240" s="42"/>
    </row>
    <row r="1241">
      <c r="A1241" s="40"/>
      <c r="B1241" s="40"/>
      <c r="C1241" s="42"/>
      <c r="D1241" s="42"/>
      <c r="E1241" s="43"/>
      <c r="F1241" s="42"/>
      <c r="G1241" s="42"/>
      <c r="H1241" s="42"/>
      <c r="I1241" s="42"/>
      <c r="J1241" s="42"/>
      <c r="K1241" s="42"/>
      <c r="L1241" s="42"/>
      <c r="M1241" s="42"/>
      <c r="N1241" s="42"/>
      <c r="O1241" s="42"/>
      <c r="P1241" s="42"/>
      <c r="Q1241" s="42"/>
      <c r="R1241" s="42"/>
      <c r="S1241" s="42"/>
      <c r="T1241" s="42"/>
      <c r="U1241" s="42"/>
      <c r="V1241" s="42"/>
      <c r="W1241" s="42"/>
      <c r="X1241" s="42"/>
      <c r="Y1241" s="42"/>
      <c r="Z1241" s="42"/>
      <c r="AA1241" s="42"/>
      <c r="AB1241" s="42"/>
      <c r="AC1241" s="42"/>
      <c r="AD1241" s="42"/>
      <c r="AE1241" s="42"/>
      <c r="AF1241" s="42"/>
      <c r="AG1241" s="42"/>
      <c r="AH1241" s="42"/>
      <c r="AI1241" s="42"/>
      <c r="AJ1241" s="42"/>
      <c r="AK1241" s="42"/>
      <c r="AL1241" s="42"/>
      <c r="AM1241" s="42"/>
      <c r="AN1241" s="42"/>
      <c r="AO1241" s="42"/>
      <c r="AP1241" s="42"/>
      <c r="AQ1241" s="42"/>
      <c r="AR1241" s="42"/>
      <c r="AS1241" s="42"/>
      <c r="AT1241" s="42"/>
      <c r="AU1241" s="42"/>
      <c r="AV1241" s="42"/>
      <c r="AW1241" s="42"/>
      <c r="AX1241" s="42"/>
      <c r="AY1241" s="42"/>
      <c r="AZ1241" s="42"/>
      <c r="BA1241" s="42"/>
      <c r="BB1241" s="42"/>
      <c r="BC1241" s="42"/>
      <c r="BD1241" s="42"/>
      <c r="BE1241" s="42"/>
      <c r="BF1241" s="42"/>
      <c r="BG1241" s="42"/>
      <c r="BH1241" s="42"/>
      <c r="BI1241" s="42"/>
      <c r="BJ1241" s="42"/>
      <c r="BK1241" s="42"/>
      <c r="BL1241" s="42"/>
      <c r="BM1241" s="42"/>
      <c r="BN1241" s="42"/>
      <c r="BO1241" s="42"/>
    </row>
    <row r="1242">
      <c r="A1242" s="40"/>
      <c r="B1242" s="40"/>
      <c r="C1242" s="42"/>
      <c r="D1242" s="42"/>
      <c r="E1242" s="43"/>
      <c r="F1242" s="42"/>
      <c r="G1242" s="42"/>
      <c r="H1242" s="42"/>
      <c r="I1242" s="42"/>
      <c r="J1242" s="42"/>
      <c r="K1242" s="42"/>
      <c r="L1242" s="42"/>
      <c r="M1242" s="42"/>
      <c r="N1242" s="42"/>
      <c r="O1242" s="42"/>
      <c r="P1242" s="42"/>
      <c r="Q1242" s="42"/>
      <c r="R1242" s="42"/>
      <c r="S1242" s="42"/>
      <c r="T1242" s="42"/>
      <c r="U1242" s="42"/>
      <c r="V1242" s="42"/>
      <c r="W1242" s="42"/>
      <c r="X1242" s="42"/>
      <c r="Y1242" s="42"/>
      <c r="Z1242" s="42"/>
      <c r="AA1242" s="42"/>
      <c r="AB1242" s="42"/>
      <c r="AC1242" s="42"/>
      <c r="AD1242" s="42"/>
      <c r="AE1242" s="42"/>
      <c r="AF1242" s="42"/>
      <c r="AG1242" s="42"/>
      <c r="AH1242" s="42"/>
      <c r="AI1242" s="42"/>
      <c r="AJ1242" s="42"/>
      <c r="AK1242" s="42"/>
      <c r="AL1242" s="42"/>
      <c r="AM1242" s="42"/>
      <c r="AN1242" s="42"/>
      <c r="AO1242" s="42"/>
      <c r="AP1242" s="42"/>
      <c r="AQ1242" s="42"/>
      <c r="AR1242" s="42"/>
      <c r="AS1242" s="42"/>
      <c r="AT1242" s="42"/>
      <c r="AU1242" s="42"/>
      <c r="AV1242" s="42"/>
      <c r="AW1242" s="42"/>
      <c r="AX1242" s="42"/>
      <c r="AY1242" s="42"/>
      <c r="AZ1242" s="42"/>
      <c r="BA1242" s="42"/>
      <c r="BB1242" s="42"/>
      <c r="BC1242" s="42"/>
      <c r="BD1242" s="42"/>
      <c r="BE1242" s="42"/>
      <c r="BF1242" s="42"/>
      <c r="BG1242" s="42"/>
      <c r="BH1242" s="42"/>
      <c r="BI1242" s="42"/>
      <c r="BJ1242" s="42"/>
      <c r="BK1242" s="42"/>
      <c r="BL1242" s="42"/>
      <c r="BM1242" s="42"/>
      <c r="BN1242" s="42"/>
      <c r="BO1242" s="42"/>
    </row>
    <row r="1243">
      <c r="A1243" s="40"/>
      <c r="B1243" s="40"/>
      <c r="C1243" s="42"/>
      <c r="D1243" s="42"/>
      <c r="E1243" s="43"/>
      <c r="F1243" s="42"/>
      <c r="G1243" s="42"/>
      <c r="H1243" s="42"/>
      <c r="I1243" s="42"/>
      <c r="J1243" s="42"/>
      <c r="K1243" s="42"/>
      <c r="L1243" s="42"/>
      <c r="M1243" s="42"/>
      <c r="N1243" s="42"/>
      <c r="O1243" s="42"/>
      <c r="P1243" s="42"/>
      <c r="Q1243" s="42"/>
      <c r="R1243" s="42"/>
      <c r="S1243" s="42"/>
      <c r="T1243" s="42"/>
      <c r="U1243" s="42"/>
      <c r="V1243" s="42"/>
      <c r="W1243" s="42"/>
      <c r="X1243" s="42"/>
      <c r="Y1243" s="42"/>
      <c r="Z1243" s="42"/>
      <c r="AA1243" s="42"/>
      <c r="AB1243" s="42"/>
      <c r="AC1243" s="42"/>
      <c r="AD1243" s="42"/>
      <c r="AE1243" s="42"/>
      <c r="AF1243" s="42"/>
      <c r="AG1243" s="42"/>
      <c r="AH1243" s="42"/>
      <c r="AI1243" s="42"/>
      <c r="AJ1243" s="42"/>
      <c r="AK1243" s="42"/>
      <c r="AL1243" s="42"/>
      <c r="AM1243" s="42"/>
      <c r="AN1243" s="42"/>
      <c r="AO1243" s="42"/>
      <c r="AP1243" s="42"/>
      <c r="AQ1243" s="42"/>
      <c r="AR1243" s="42"/>
      <c r="AS1243" s="42"/>
      <c r="AT1243" s="42"/>
      <c r="AU1243" s="42"/>
      <c r="AV1243" s="42"/>
      <c r="AW1243" s="42"/>
      <c r="AX1243" s="42"/>
      <c r="AY1243" s="42"/>
      <c r="AZ1243" s="42"/>
      <c r="BA1243" s="42"/>
      <c r="BB1243" s="42"/>
      <c r="BC1243" s="42"/>
      <c r="BD1243" s="42"/>
      <c r="BE1243" s="42"/>
      <c r="BF1243" s="42"/>
      <c r="BG1243" s="42"/>
      <c r="BH1243" s="42"/>
      <c r="BI1243" s="42"/>
      <c r="BJ1243" s="42"/>
      <c r="BK1243" s="42"/>
      <c r="BL1243" s="42"/>
      <c r="BM1243" s="42"/>
      <c r="BN1243" s="42"/>
      <c r="BO1243" s="42"/>
    </row>
    <row r="1244">
      <c r="A1244" s="40"/>
      <c r="B1244" s="40"/>
      <c r="C1244" s="42"/>
      <c r="D1244" s="42"/>
      <c r="E1244" s="43"/>
      <c r="F1244" s="42"/>
      <c r="G1244" s="42"/>
      <c r="H1244" s="42"/>
      <c r="I1244" s="42"/>
      <c r="J1244" s="42"/>
      <c r="K1244" s="42"/>
      <c r="L1244" s="42"/>
      <c r="M1244" s="42"/>
      <c r="N1244" s="42"/>
      <c r="O1244" s="42"/>
      <c r="P1244" s="42"/>
      <c r="Q1244" s="42"/>
      <c r="R1244" s="42"/>
      <c r="S1244" s="42"/>
      <c r="T1244" s="42"/>
      <c r="U1244" s="42"/>
      <c r="V1244" s="42"/>
      <c r="W1244" s="42"/>
      <c r="X1244" s="42"/>
      <c r="Y1244" s="42"/>
      <c r="Z1244" s="42"/>
      <c r="AA1244" s="42"/>
      <c r="AB1244" s="42"/>
      <c r="AC1244" s="42"/>
      <c r="AD1244" s="42"/>
      <c r="AE1244" s="42"/>
      <c r="AF1244" s="42"/>
      <c r="AG1244" s="42"/>
      <c r="AH1244" s="42"/>
      <c r="AI1244" s="42"/>
      <c r="AJ1244" s="42"/>
      <c r="AK1244" s="42"/>
      <c r="AL1244" s="42"/>
      <c r="AM1244" s="42"/>
      <c r="AN1244" s="42"/>
      <c r="AO1244" s="42"/>
      <c r="AP1244" s="42"/>
      <c r="AQ1244" s="42"/>
      <c r="AR1244" s="42"/>
      <c r="AS1244" s="42"/>
      <c r="AT1244" s="42"/>
      <c r="AU1244" s="42"/>
      <c r="AV1244" s="42"/>
      <c r="AW1244" s="42"/>
      <c r="AX1244" s="42"/>
      <c r="AY1244" s="42"/>
      <c r="AZ1244" s="42"/>
      <c r="BA1244" s="42"/>
      <c r="BB1244" s="42"/>
      <c r="BC1244" s="42"/>
      <c r="BD1244" s="42"/>
      <c r="BE1244" s="42"/>
      <c r="BF1244" s="42"/>
      <c r="BG1244" s="42"/>
      <c r="BH1244" s="42"/>
      <c r="BI1244" s="42"/>
      <c r="BJ1244" s="42"/>
      <c r="BK1244" s="42"/>
      <c r="BL1244" s="42"/>
      <c r="BM1244" s="42"/>
      <c r="BN1244" s="42"/>
      <c r="BO1244" s="42"/>
    </row>
    <row r="1245">
      <c r="A1245" s="40"/>
      <c r="B1245" s="40"/>
      <c r="C1245" s="42"/>
      <c r="D1245" s="42"/>
      <c r="E1245" s="43"/>
      <c r="F1245" s="42"/>
      <c r="G1245" s="42"/>
      <c r="H1245" s="42"/>
      <c r="I1245" s="42"/>
      <c r="J1245" s="42"/>
      <c r="K1245" s="42"/>
      <c r="L1245" s="42"/>
      <c r="M1245" s="42"/>
      <c r="N1245" s="42"/>
      <c r="O1245" s="42"/>
      <c r="P1245" s="42"/>
      <c r="Q1245" s="42"/>
      <c r="R1245" s="42"/>
      <c r="S1245" s="42"/>
      <c r="T1245" s="42"/>
      <c r="U1245" s="42"/>
      <c r="V1245" s="42"/>
      <c r="W1245" s="42"/>
      <c r="X1245" s="42"/>
      <c r="Y1245" s="42"/>
      <c r="Z1245" s="42"/>
      <c r="AA1245" s="42"/>
      <c r="AB1245" s="42"/>
      <c r="AC1245" s="42"/>
      <c r="AD1245" s="42"/>
      <c r="AE1245" s="42"/>
      <c r="AF1245" s="42"/>
      <c r="AG1245" s="42"/>
      <c r="AH1245" s="42"/>
      <c r="AI1245" s="42"/>
      <c r="AJ1245" s="42"/>
      <c r="AK1245" s="42"/>
      <c r="AL1245" s="42"/>
      <c r="AM1245" s="42"/>
      <c r="AN1245" s="42"/>
      <c r="AO1245" s="42"/>
      <c r="AP1245" s="42"/>
      <c r="AQ1245" s="42"/>
      <c r="AR1245" s="42"/>
      <c r="AS1245" s="42"/>
      <c r="AT1245" s="42"/>
      <c r="AU1245" s="42"/>
      <c r="AV1245" s="42"/>
      <c r="AW1245" s="42"/>
      <c r="AX1245" s="42"/>
      <c r="AY1245" s="42"/>
      <c r="AZ1245" s="42"/>
      <c r="BA1245" s="42"/>
      <c r="BB1245" s="42"/>
      <c r="BC1245" s="42"/>
      <c r="BD1245" s="42"/>
      <c r="BE1245" s="42"/>
      <c r="BF1245" s="42"/>
      <c r="BG1245" s="42"/>
      <c r="BH1245" s="42"/>
      <c r="BI1245" s="42"/>
      <c r="BJ1245" s="42"/>
      <c r="BK1245" s="42"/>
      <c r="BL1245" s="42"/>
      <c r="BM1245" s="42"/>
      <c r="BN1245" s="42"/>
      <c r="BO1245" s="42"/>
    </row>
    <row r="1246">
      <c r="A1246" s="40"/>
      <c r="B1246" s="40"/>
      <c r="C1246" s="42"/>
      <c r="D1246" s="42"/>
      <c r="E1246" s="43"/>
      <c r="F1246" s="42"/>
      <c r="G1246" s="42"/>
      <c r="H1246" s="42"/>
      <c r="I1246" s="42"/>
      <c r="J1246" s="42"/>
      <c r="K1246" s="42"/>
      <c r="L1246" s="42"/>
      <c r="M1246" s="42"/>
      <c r="N1246" s="42"/>
      <c r="O1246" s="42"/>
      <c r="P1246" s="42"/>
      <c r="Q1246" s="42"/>
      <c r="R1246" s="42"/>
      <c r="S1246" s="42"/>
      <c r="T1246" s="42"/>
      <c r="U1246" s="42"/>
      <c r="V1246" s="42"/>
      <c r="W1246" s="42"/>
      <c r="X1246" s="42"/>
      <c r="Y1246" s="42"/>
      <c r="Z1246" s="42"/>
      <c r="AA1246" s="42"/>
      <c r="AB1246" s="42"/>
      <c r="AC1246" s="42"/>
      <c r="AD1246" s="42"/>
      <c r="AE1246" s="42"/>
      <c r="AF1246" s="42"/>
      <c r="AG1246" s="42"/>
      <c r="AH1246" s="42"/>
      <c r="AI1246" s="42"/>
      <c r="AJ1246" s="42"/>
      <c r="AK1246" s="42"/>
      <c r="AL1246" s="42"/>
      <c r="AM1246" s="42"/>
      <c r="AN1246" s="42"/>
      <c r="AO1246" s="42"/>
      <c r="AP1246" s="42"/>
      <c r="AQ1246" s="42"/>
      <c r="AR1246" s="42"/>
      <c r="AS1246" s="42"/>
      <c r="AT1246" s="42"/>
      <c r="AU1246" s="42"/>
      <c r="AV1246" s="42"/>
      <c r="AW1246" s="42"/>
      <c r="AX1246" s="42"/>
      <c r="AY1246" s="42"/>
      <c r="AZ1246" s="42"/>
      <c r="BA1246" s="42"/>
      <c r="BB1246" s="42"/>
      <c r="BC1246" s="42"/>
      <c r="BD1246" s="42"/>
      <c r="BE1246" s="42"/>
      <c r="BF1246" s="42"/>
      <c r="BG1246" s="42"/>
      <c r="BH1246" s="42"/>
      <c r="BI1246" s="42"/>
      <c r="BJ1246" s="42"/>
      <c r="BK1246" s="42"/>
      <c r="BL1246" s="42"/>
      <c r="BM1246" s="42"/>
      <c r="BN1246" s="42"/>
      <c r="BO1246" s="42"/>
    </row>
    <row r="1247">
      <c r="A1247" s="40"/>
      <c r="B1247" s="40"/>
      <c r="C1247" s="42"/>
      <c r="D1247" s="42"/>
      <c r="E1247" s="43"/>
      <c r="F1247" s="42"/>
      <c r="G1247" s="42"/>
      <c r="H1247" s="42"/>
      <c r="I1247" s="42"/>
      <c r="J1247" s="42"/>
      <c r="K1247" s="42"/>
      <c r="L1247" s="42"/>
      <c r="M1247" s="42"/>
      <c r="N1247" s="42"/>
      <c r="O1247" s="42"/>
      <c r="P1247" s="42"/>
      <c r="Q1247" s="42"/>
      <c r="R1247" s="42"/>
      <c r="S1247" s="42"/>
      <c r="T1247" s="42"/>
      <c r="U1247" s="42"/>
      <c r="V1247" s="42"/>
      <c r="W1247" s="42"/>
      <c r="X1247" s="42"/>
      <c r="Y1247" s="42"/>
      <c r="Z1247" s="42"/>
      <c r="AA1247" s="42"/>
      <c r="AB1247" s="42"/>
      <c r="AC1247" s="42"/>
      <c r="AD1247" s="42"/>
      <c r="AE1247" s="42"/>
      <c r="AF1247" s="42"/>
      <c r="AG1247" s="42"/>
      <c r="AH1247" s="42"/>
      <c r="AI1247" s="42"/>
      <c r="AJ1247" s="42"/>
      <c r="AK1247" s="42"/>
      <c r="AL1247" s="42"/>
      <c r="AM1247" s="42"/>
      <c r="AN1247" s="42"/>
      <c r="AO1247" s="42"/>
      <c r="AP1247" s="42"/>
      <c r="AQ1247" s="42"/>
      <c r="AR1247" s="42"/>
      <c r="AS1247" s="42"/>
      <c r="AT1247" s="42"/>
      <c r="AU1247" s="42"/>
      <c r="AV1247" s="42"/>
      <c r="AW1247" s="42"/>
      <c r="AX1247" s="42"/>
      <c r="AY1247" s="42"/>
      <c r="AZ1247" s="42"/>
      <c r="BA1247" s="42"/>
      <c r="BB1247" s="42"/>
      <c r="BC1247" s="42"/>
      <c r="BD1247" s="42"/>
      <c r="BE1247" s="42"/>
      <c r="BF1247" s="42"/>
      <c r="BG1247" s="42"/>
      <c r="BH1247" s="42"/>
      <c r="BI1247" s="42"/>
      <c r="BJ1247" s="42"/>
      <c r="BK1247" s="42"/>
      <c r="BL1247" s="42"/>
      <c r="BM1247" s="42"/>
      <c r="BN1247" s="42"/>
      <c r="BO1247" s="42"/>
    </row>
    <row r="1248">
      <c r="A1248" s="40"/>
      <c r="B1248" s="40"/>
      <c r="C1248" s="42"/>
      <c r="D1248" s="42"/>
      <c r="E1248" s="43"/>
      <c r="F1248" s="42"/>
      <c r="G1248" s="42"/>
      <c r="H1248" s="42"/>
      <c r="I1248" s="42"/>
      <c r="J1248" s="42"/>
      <c r="K1248" s="42"/>
      <c r="L1248" s="42"/>
      <c r="M1248" s="42"/>
      <c r="N1248" s="42"/>
      <c r="O1248" s="42"/>
      <c r="P1248" s="42"/>
      <c r="Q1248" s="42"/>
      <c r="R1248" s="42"/>
      <c r="S1248" s="42"/>
      <c r="T1248" s="42"/>
      <c r="U1248" s="42"/>
      <c r="V1248" s="42"/>
      <c r="W1248" s="42"/>
      <c r="X1248" s="42"/>
      <c r="Y1248" s="42"/>
      <c r="Z1248" s="42"/>
      <c r="AA1248" s="42"/>
      <c r="AB1248" s="42"/>
      <c r="AC1248" s="42"/>
      <c r="AD1248" s="42"/>
      <c r="AE1248" s="42"/>
      <c r="AF1248" s="42"/>
      <c r="AG1248" s="42"/>
      <c r="AH1248" s="42"/>
      <c r="AI1248" s="42"/>
      <c r="AJ1248" s="42"/>
      <c r="AK1248" s="42"/>
      <c r="AL1248" s="42"/>
      <c r="AM1248" s="42"/>
      <c r="AN1248" s="42"/>
      <c r="AO1248" s="42"/>
      <c r="AP1248" s="42"/>
      <c r="AQ1248" s="42"/>
      <c r="AR1248" s="42"/>
      <c r="AS1248" s="42"/>
      <c r="AT1248" s="42"/>
      <c r="AU1248" s="42"/>
      <c r="AV1248" s="42"/>
      <c r="AW1248" s="42"/>
      <c r="AX1248" s="42"/>
      <c r="AY1248" s="42"/>
      <c r="AZ1248" s="42"/>
      <c r="BA1248" s="42"/>
      <c r="BB1248" s="42"/>
      <c r="BC1248" s="42"/>
      <c r="BD1248" s="42"/>
      <c r="BE1248" s="42"/>
      <c r="BF1248" s="42"/>
      <c r="BG1248" s="42"/>
      <c r="BH1248" s="42"/>
      <c r="BI1248" s="42"/>
      <c r="BJ1248" s="42"/>
      <c r="BK1248" s="42"/>
      <c r="BL1248" s="42"/>
      <c r="BM1248" s="42"/>
      <c r="BN1248" s="42"/>
      <c r="BO1248" s="42"/>
    </row>
    <row r="1249">
      <c r="A1249" s="40"/>
      <c r="B1249" s="40"/>
      <c r="C1249" s="42"/>
      <c r="D1249" s="42"/>
      <c r="E1249" s="43"/>
      <c r="F1249" s="42"/>
      <c r="G1249" s="42"/>
      <c r="H1249" s="42"/>
      <c r="I1249" s="42"/>
      <c r="J1249" s="42"/>
      <c r="K1249" s="42"/>
      <c r="L1249" s="42"/>
      <c r="M1249" s="42"/>
      <c r="N1249" s="42"/>
      <c r="O1249" s="42"/>
      <c r="P1249" s="42"/>
      <c r="Q1249" s="42"/>
      <c r="R1249" s="42"/>
      <c r="S1249" s="42"/>
      <c r="T1249" s="42"/>
      <c r="U1249" s="42"/>
      <c r="V1249" s="42"/>
      <c r="W1249" s="42"/>
      <c r="X1249" s="42"/>
      <c r="Y1249" s="42"/>
      <c r="Z1249" s="42"/>
      <c r="AA1249" s="42"/>
      <c r="AB1249" s="42"/>
      <c r="AC1249" s="42"/>
      <c r="AD1249" s="42"/>
      <c r="AE1249" s="42"/>
      <c r="AF1249" s="42"/>
      <c r="AG1249" s="42"/>
      <c r="AH1249" s="42"/>
      <c r="AI1249" s="42"/>
      <c r="AJ1249" s="42"/>
      <c r="AK1249" s="42"/>
      <c r="AL1249" s="42"/>
      <c r="AM1249" s="42"/>
      <c r="AN1249" s="42"/>
      <c r="AO1249" s="42"/>
      <c r="AP1249" s="42"/>
      <c r="AQ1249" s="42"/>
      <c r="AR1249" s="42"/>
      <c r="AS1249" s="42"/>
      <c r="AT1249" s="42"/>
      <c r="AU1249" s="42"/>
      <c r="AV1249" s="42"/>
      <c r="AW1249" s="42"/>
      <c r="AX1249" s="42"/>
      <c r="AY1249" s="42"/>
      <c r="AZ1249" s="42"/>
      <c r="BA1249" s="42"/>
      <c r="BB1249" s="42"/>
      <c r="BC1249" s="42"/>
      <c r="BD1249" s="42"/>
      <c r="BE1249" s="42"/>
      <c r="BF1249" s="42"/>
      <c r="BG1249" s="42"/>
      <c r="BH1249" s="42"/>
      <c r="BI1249" s="42"/>
      <c r="BJ1249" s="42"/>
      <c r="BK1249" s="42"/>
      <c r="BL1249" s="42"/>
      <c r="BM1249" s="42"/>
      <c r="BN1249" s="42"/>
      <c r="BO1249" s="42"/>
    </row>
    <row r="1250">
      <c r="A1250" s="40"/>
      <c r="B1250" s="40"/>
      <c r="C1250" s="42"/>
      <c r="D1250" s="42"/>
      <c r="E1250" s="43"/>
      <c r="F1250" s="42"/>
      <c r="G1250" s="42"/>
      <c r="H1250" s="42"/>
      <c r="I1250" s="42"/>
      <c r="J1250" s="42"/>
      <c r="K1250" s="42"/>
      <c r="L1250" s="42"/>
      <c r="M1250" s="42"/>
      <c r="N1250" s="42"/>
      <c r="O1250" s="42"/>
      <c r="P1250" s="42"/>
      <c r="Q1250" s="42"/>
      <c r="R1250" s="42"/>
      <c r="S1250" s="42"/>
      <c r="T1250" s="42"/>
      <c r="U1250" s="42"/>
      <c r="V1250" s="42"/>
      <c r="W1250" s="42"/>
      <c r="X1250" s="42"/>
      <c r="Y1250" s="42"/>
      <c r="Z1250" s="42"/>
      <c r="AA1250" s="42"/>
      <c r="AB1250" s="42"/>
      <c r="AC1250" s="42"/>
      <c r="AD1250" s="42"/>
      <c r="AE1250" s="42"/>
      <c r="AF1250" s="42"/>
      <c r="AG1250" s="42"/>
      <c r="AH1250" s="42"/>
      <c r="AI1250" s="42"/>
      <c r="AJ1250" s="42"/>
      <c r="AK1250" s="42"/>
      <c r="AL1250" s="42"/>
      <c r="AM1250" s="42"/>
      <c r="AN1250" s="42"/>
      <c r="AO1250" s="42"/>
      <c r="AP1250" s="42"/>
      <c r="AQ1250" s="42"/>
      <c r="AR1250" s="42"/>
      <c r="AS1250" s="42"/>
      <c r="AT1250" s="42"/>
      <c r="AU1250" s="42"/>
      <c r="AV1250" s="42"/>
      <c r="AW1250" s="42"/>
      <c r="AX1250" s="42"/>
      <c r="AY1250" s="42"/>
      <c r="AZ1250" s="42"/>
      <c r="BA1250" s="42"/>
      <c r="BB1250" s="42"/>
      <c r="BC1250" s="42"/>
      <c r="BD1250" s="42"/>
      <c r="BE1250" s="42"/>
      <c r="BF1250" s="42"/>
      <c r="BG1250" s="42"/>
      <c r="BH1250" s="42"/>
      <c r="BI1250" s="42"/>
      <c r="BJ1250" s="42"/>
      <c r="BK1250" s="42"/>
      <c r="BL1250" s="42"/>
      <c r="BM1250" s="42"/>
      <c r="BN1250" s="42"/>
      <c r="BO1250" s="42"/>
    </row>
    <row r="1251">
      <c r="A1251" s="40"/>
      <c r="B1251" s="40"/>
      <c r="C1251" s="42"/>
      <c r="D1251" s="42"/>
      <c r="E1251" s="43"/>
      <c r="F1251" s="42"/>
      <c r="G1251" s="42"/>
      <c r="H1251" s="42"/>
      <c r="I1251" s="42"/>
      <c r="J1251" s="42"/>
      <c r="K1251" s="42"/>
      <c r="L1251" s="42"/>
      <c r="M1251" s="42"/>
      <c r="N1251" s="42"/>
      <c r="O1251" s="42"/>
      <c r="P1251" s="42"/>
      <c r="Q1251" s="42"/>
      <c r="R1251" s="42"/>
      <c r="S1251" s="42"/>
      <c r="T1251" s="42"/>
      <c r="U1251" s="42"/>
      <c r="V1251" s="42"/>
      <c r="W1251" s="42"/>
      <c r="X1251" s="42"/>
      <c r="Y1251" s="42"/>
      <c r="Z1251" s="42"/>
      <c r="AA1251" s="42"/>
      <c r="AB1251" s="42"/>
      <c r="AC1251" s="42"/>
      <c r="AD1251" s="42"/>
      <c r="AE1251" s="42"/>
      <c r="AF1251" s="42"/>
      <c r="AG1251" s="42"/>
      <c r="AH1251" s="42"/>
      <c r="AI1251" s="42"/>
      <c r="AJ1251" s="42"/>
      <c r="AK1251" s="42"/>
      <c r="AL1251" s="42"/>
      <c r="AM1251" s="42"/>
      <c r="AN1251" s="42"/>
      <c r="AO1251" s="42"/>
      <c r="AP1251" s="42"/>
      <c r="AQ1251" s="42"/>
      <c r="AR1251" s="42"/>
      <c r="AS1251" s="42"/>
      <c r="AT1251" s="42"/>
      <c r="AU1251" s="42"/>
      <c r="AV1251" s="42"/>
      <c r="AW1251" s="42"/>
      <c r="AX1251" s="42"/>
      <c r="AY1251" s="42"/>
      <c r="AZ1251" s="42"/>
      <c r="BA1251" s="42"/>
      <c r="BB1251" s="42"/>
      <c r="BC1251" s="42"/>
      <c r="BD1251" s="42"/>
      <c r="BE1251" s="42"/>
      <c r="BF1251" s="42"/>
      <c r="BG1251" s="42"/>
      <c r="BH1251" s="42"/>
      <c r="BI1251" s="42"/>
      <c r="BJ1251" s="42"/>
      <c r="BK1251" s="42"/>
      <c r="BL1251" s="42"/>
      <c r="BM1251" s="42"/>
      <c r="BN1251" s="42"/>
      <c r="BO1251" s="42"/>
    </row>
    <row r="1252">
      <c r="A1252" s="40"/>
      <c r="B1252" s="40"/>
      <c r="C1252" s="42"/>
      <c r="D1252" s="42"/>
      <c r="E1252" s="43"/>
      <c r="F1252" s="42"/>
      <c r="G1252" s="42"/>
      <c r="H1252" s="42"/>
      <c r="I1252" s="42"/>
      <c r="J1252" s="42"/>
      <c r="K1252" s="42"/>
      <c r="L1252" s="42"/>
      <c r="M1252" s="42"/>
      <c r="N1252" s="42"/>
      <c r="O1252" s="42"/>
      <c r="P1252" s="42"/>
      <c r="Q1252" s="42"/>
      <c r="R1252" s="42"/>
      <c r="S1252" s="42"/>
      <c r="T1252" s="42"/>
      <c r="U1252" s="42"/>
      <c r="V1252" s="42"/>
      <c r="W1252" s="42"/>
      <c r="X1252" s="42"/>
      <c r="Y1252" s="42"/>
      <c r="Z1252" s="42"/>
      <c r="AA1252" s="42"/>
      <c r="AB1252" s="42"/>
      <c r="AC1252" s="42"/>
      <c r="AD1252" s="42"/>
      <c r="AE1252" s="42"/>
      <c r="AF1252" s="42"/>
      <c r="AG1252" s="42"/>
      <c r="AH1252" s="42"/>
      <c r="AI1252" s="42"/>
      <c r="AJ1252" s="42"/>
      <c r="AK1252" s="42"/>
      <c r="AL1252" s="42"/>
      <c r="AM1252" s="42"/>
      <c r="AN1252" s="42"/>
      <c r="AO1252" s="42"/>
      <c r="AP1252" s="42"/>
      <c r="AQ1252" s="42"/>
      <c r="AR1252" s="42"/>
      <c r="AS1252" s="42"/>
      <c r="AT1252" s="42"/>
      <c r="AU1252" s="42"/>
      <c r="AV1252" s="42"/>
      <c r="AW1252" s="42"/>
      <c r="AX1252" s="42"/>
      <c r="AY1252" s="42"/>
      <c r="AZ1252" s="42"/>
      <c r="BA1252" s="42"/>
      <c r="BB1252" s="42"/>
      <c r="BC1252" s="42"/>
      <c r="BD1252" s="42"/>
      <c r="BE1252" s="42"/>
      <c r="BF1252" s="42"/>
      <c r="BG1252" s="42"/>
      <c r="BH1252" s="42"/>
      <c r="BI1252" s="42"/>
      <c r="BJ1252" s="42"/>
      <c r="BK1252" s="42"/>
      <c r="BL1252" s="42"/>
      <c r="BM1252" s="42"/>
      <c r="BN1252" s="42"/>
      <c r="BO1252" s="42"/>
    </row>
    <row r="1253">
      <c r="A1253" s="40"/>
      <c r="B1253" s="40"/>
      <c r="C1253" s="42"/>
      <c r="D1253" s="42"/>
      <c r="E1253" s="43"/>
      <c r="F1253" s="42"/>
      <c r="G1253" s="42"/>
      <c r="H1253" s="42"/>
      <c r="I1253" s="42"/>
      <c r="J1253" s="42"/>
      <c r="K1253" s="42"/>
      <c r="L1253" s="42"/>
      <c r="M1253" s="42"/>
      <c r="N1253" s="42"/>
      <c r="O1253" s="42"/>
      <c r="P1253" s="42"/>
      <c r="Q1253" s="42"/>
      <c r="R1253" s="42"/>
      <c r="S1253" s="42"/>
      <c r="T1253" s="42"/>
      <c r="U1253" s="42"/>
      <c r="V1253" s="42"/>
      <c r="W1253" s="42"/>
      <c r="X1253" s="42"/>
      <c r="Y1253" s="42"/>
      <c r="Z1253" s="42"/>
      <c r="AA1253" s="42"/>
      <c r="AB1253" s="42"/>
      <c r="AC1253" s="42"/>
      <c r="AD1253" s="42"/>
      <c r="AE1253" s="42"/>
      <c r="AF1253" s="42"/>
      <c r="AG1253" s="42"/>
      <c r="AH1253" s="42"/>
      <c r="AI1253" s="42"/>
      <c r="AJ1253" s="42"/>
      <c r="AK1253" s="42"/>
      <c r="AL1253" s="42"/>
      <c r="AM1253" s="42"/>
      <c r="AN1253" s="42"/>
      <c r="AO1253" s="42"/>
      <c r="AP1253" s="42"/>
      <c r="AQ1253" s="42"/>
      <c r="AR1253" s="42"/>
      <c r="AS1253" s="42"/>
      <c r="AT1253" s="42"/>
      <c r="AU1253" s="42"/>
      <c r="AV1253" s="42"/>
      <c r="AW1253" s="42"/>
      <c r="AX1253" s="42"/>
      <c r="AY1253" s="42"/>
      <c r="AZ1253" s="42"/>
      <c r="BA1253" s="42"/>
      <c r="BB1253" s="42"/>
      <c r="BC1253" s="42"/>
      <c r="BD1253" s="42"/>
      <c r="BE1253" s="42"/>
      <c r="BF1253" s="42"/>
      <c r="BG1253" s="42"/>
      <c r="BH1253" s="42"/>
      <c r="BI1253" s="42"/>
      <c r="BJ1253" s="42"/>
      <c r="BK1253" s="42"/>
      <c r="BL1253" s="42"/>
      <c r="BM1253" s="42"/>
      <c r="BN1253" s="42"/>
      <c r="BO1253" s="42"/>
    </row>
    <row r="1254">
      <c r="A1254" s="40"/>
      <c r="B1254" s="40"/>
      <c r="C1254" s="42"/>
      <c r="D1254" s="42"/>
      <c r="E1254" s="43"/>
      <c r="F1254" s="42"/>
      <c r="G1254" s="42"/>
      <c r="H1254" s="42"/>
      <c r="I1254" s="42"/>
      <c r="J1254" s="42"/>
      <c r="K1254" s="42"/>
      <c r="L1254" s="42"/>
      <c r="M1254" s="42"/>
      <c r="N1254" s="42"/>
      <c r="O1254" s="42"/>
      <c r="P1254" s="42"/>
      <c r="Q1254" s="42"/>
      <c r="R1254" s="42"/>
      <c r="S1254" s="42"/>
      <c r="T1254" s="42"/>
      <c r="U1254" s="42"/>
      <c r="V1254" s="42"/>
      <c r="W1254" s="42"/>
      <c r="X1254" s="42"/>
      <c r="Y1254" s="42"/>
      <c r="Z1254" s="42"/>
      <c r="AA1254" s="42"/>
      <c r="AB1254" s="42"/>
      <c r="AC1254" s="42"/>
      <c r="AD1254" s="42"/>
      <c r="AE1254" s="42"/>
      <c r="AF1254" s="42"/>
      <c r="AG1254" s="42"/>
      <c r="AH1254" s="42"/>
      <c r="AI1254" s="42"/>
      <c r="AJ1254" s="42"/>
      <c r="AK1254" s="42"/>
      <c r="AL1254" s="42"/>
      <c r="AM1254" s="42"/>
      <c r="AN1254" s="42"/>
      <c r="AO1254" s="42"/>
      <c r="AP1254" s="42"/>
      <c r="AQ1254" s="42"/>
      <c r="AR1254" s="42"/>
      <c r="AS1254" s="42"/>
      <c r="AT1254" s="42"/>
      <c r="AU1254" s="42"/>
      <c r="AV1254" s="42"/>
      <c r="AW1254" s="42"/>
      <c r="AX1254" s="42"/>
      <c r="AY1254" s="42"/>
      <c r="AZ1254" s="42"/>
      <c r="BA1254" s="42"/>
      <c r="BB1254" s="42"/>
      <c r="BC1254" s="42"/>
      <c r="BD1254" s="42"/>
      <c r="BE1254" s="42"/>
      <c r="BF1254" s="42"/>
      <c r="BG1254" s="42"/>
      <c r="BH1254" s="42"/>
      <c r="BI1254" s="42"/>
      <c r="BJ1254" s="42"/>
      <c r="BK1254" s="42"/>
      <c r="BL1254" s="42"/>
      <c r="BM1254" s="42"/>
      <c r="BN1254" s="42"/>
      <c r="BO1254" s="42"/>
    </row>
    <row r="1255">
      <c r="A1255" s="40"/>
      <c r="B1255" s="40"/>
      <c r="C1255" s="42"/>
      <c r="D1255" s="42"/>
      <c r="E1255" s="43"/>
      <c r="F1255" s="42"/>
      <c r="G1255" s="42"/>
      <c r="H1255" s="42"/>
      <c r="I1255" s="42"/>
      <c r="J1255" s="42"/>
      <c r="K1255" s="42"/>
      <c r="L1255" s="42"/>
      <c r="M1255" s="42"/>
      <c r="N1255" s="42"/>
      <c r="O1255" s="42"/>
      <c r="P1255" s="42"/>
      <c r="Q1255" s="42"/>
      <c r="R1255" s="42"/>
      <c r="S1255" s="42"/>
      <c r="T1255" s="42"/>
      <c r="U1255" s="42"/>
      <c r="V1255" s="42"/>
      <c r="W1255" s="42"/>
      <c r="X1255" s="42"/>
      <c r="Y1255" s="42"/>
      <c r="Z1255" s="42"/>
      <c r="AA1255" s="42"/>
      <c r="AB1255" s="42"/>
      <c r="AC1255" s="42"/>
      <c r="AD1255" s="42"/>
      <c r="AE1255" s="42"/>
      <c r="AF1255" s="42"/>
      <c r="AG1255" s="42"/>
      <c r="AH1255" s="42"/>
      <c r="AI1255" s="42"/>
      <c r="AJ1255" s="42"/>
      <c r="AK1255" s="42"/>
      <c r="AL1255" s="42"/>
      <c r="AM1255" s="42"/>
      <c r="AN1255" s="42"/>
      <c r="AO1255" s="42"/>
      <c r="AP1255" s="42"/>
      <c r="AQ1255" s="42"/>
      <c r="AR1255" s="42"/>
      <c r="AS1255" s="42"/>
      <c r="AT1255" s="42"/>
      <c r="AU1255" s="42"/>
      <c r="AV1255" s="42"/>
      <c r="AW1255" s="42"/>
      <c r="AX1255" s="42"/>
      <c r="AY1255" s="42"/>
      <c r="AZ1255" s="42"/>
      <c r="BA1255" s="42"/>
      <c r="BB1255" s="42"/>
      <c r="BC1255" s="42"/>
      <c r="BD1255" s="42"/>
      <c r="BE1255" s="42"/>
      <c r="BF1255" s="42"/>
      <c r="BG1255" s="42"/>
      <c r="BH1255" s="42"/>
      <c r="BI1255" s="42"/>
      <c r="BJ1255" s="42"/>
      <c r="BK1255" s="42"/>
      <c r="BL1255" s="42"/>
      <c r="BM1255" s="42"/>
      <c r="BN1255" s="42"/>
      <c r="BO1255" s="42"/>
    </row>
    <row r="1256">
      <c r="A1256" s="40"/>
      <c r="B1256" s="40"/>
      <c r="C1256" s="42"/>
      <c r="D1256" s="42"/>
      <c r="E1256" s="43"/>
      <c r="F1256" s="42"/>
      <c r="G1256" s="42"/>
      <c r="H1256" s="42"/>
      <c r="I1256" s="42"/>
      <c r="J1256" s="42"/>
      <c r="K1256" s="42"/>
      <c r="L1256" s="42"/>
      <c r="M1256" s="42"/>
      <c r="N1256" s="42"/>
      <c r="O1256" s="42"/>
      <c r="P1256" s="42"/>
      <c r="Q1256" s="42"/>
      <c r="R1256" s="42"/>
      <c r="S1256" s="42"/>
      <c r="T1256" s="42"/>
      <c r="U1256" s="42"/>
      <c r="V1256" s="42"/>
      <c r="W1256" s="42"/>
      <c r="X1256" s="42"/>
      <c r="Y1256" s="42"/>
      <c r="Z1256" s="42"/>
      <c r="AA1256" s="42"/>
      <c r="AB1256" s="42"/>
      <c r="AC1256" s="42"/>
      <c r="AD1256" s="42"/>
      <c r="AE1256" s="42"/>
      <c r="AF1256" s="42"/>
      <c r="AG1256" s="42"/>
      <c r="AH1256" s="42"/>
      <c r="AI1256" s="42"/>
      <c r="AJ1256" s="42"/>
      <c r="AK1256" s="42"/>
      <c r="AL1256" s="42"/>
      <c r="AM1256" s="42"/>
      <c r="AN1256" s="42"/>
      <c r="AO1256" s="42"/>
      <c r="AP1256" s="42"/>
      <c r="AQ1256" s="42"/>
      <c r="AR1256" s="42"/>
      <c r="AS1256" s="42"/>
      <c r="AT1256" s="42"/>
      <c r="AU1256" s="42"/>
      <c r="AV1256" s="42"/>
      <c r="AW1256" s="42"/>
      <c r="AX1256" s="42"/>
      <c r="AY1256" s="42"/>
      <c r="AZ1256" s="42"/>
      <c r="BA1256" s="42"/>
      <c r="BB1256" s="42"/>
      <c r="BC1256" s="42"/>
      <c r="BD1256" s="42"/>
      <c r="BE1256" s="42"/>
      <c r="BF1256" s="42"/>
      <c r="BG1256" s="42"/>
      <c r="BH1256" s="42"/>
      <c r="BI1256" s="42"/>
      <c r="BJ1256" s="42"/>
      <c r="BK1256" s="42"/>
      <c r="BL1256" s="42"/>
      <c r="BM1256" s="42"/>
      <c r="BN1256" s="42"/>
      <c r="BO1256" s="42"/>
    </row>
    <row r="1257">
      <c r="A1257" s="40"/>
      <c r="B1257" s="40"/>
      <c r="C1257" s="42"/>
      <c r="D1257" s="42"/>
      <c r="E1257" s="43"/>
      <c r="F1257" s="42"/>
      <c r="G1257" s="42"/>
      <c r="H1257" s="42"/>
      <c r="I1257" s="42"/>
      <c r="J1257" s="42"/>
      <c r="K1257" s="42"/>
      <c r="L1257" s="42"/>
      <c r="M1257" s="42"/>
      <c r="N1257" s="42"/>
      <c r="O1257" s="42"/>
      <c r="P1257" s="42"/>
      <c r="Q1257" s="42"/>
      <c r="R1257" s="42"/>
      <c r="S1257" s="42"/>
      <c r="T1257" s="42"/>
      <c r="U1257" s="42"/>
      <c r="V1257" s="42"/>
      <c r="W1257" s="42"/>
      <c r="X1257" s="42"/>
      <c r="Y1257" s="42"/>
      <c r="Z1257" s="42"/>
      <c r="AA1257" s="42"/>
      <c r="AB1257" s="42"/>
      <c r="AC1257" s="42"/>
      <c r="AD1257" s="42"/>
      <c r="AE1257" s="42"/>
      <c r="AF1257" s="42"/>
      <c r="AG1257" s="42"/>
      <c r="AH1257" s="42"/>
      <c r="AI1257" s="42"/>
      <c r="AJ1257" s="42"/>
      <c r="AK1257" s="42"/>
      <c r="AL1257" s="42"/>
      <c r="AM1257" s="42"/>
      <c r="AN1257" s="42"/>
      <c r="AO1257" s="42"/>
      <c r="AP1257" s="42"/>
      <c r="AQ1257" s="42"/>
      <c r="AR1257" s="42"/>
      <c r="AS1257" s="42"/>
      <c r="AT1257" s="42"/>
      <c r="AU1257" s="42"/>
      <c r="AV1257" s="42"/>
      <c r="AW1257" s="42"/>
      <c r="AX1257" s="42"/>
      <c r="AY1257" s="42"/>
      <c r="AZ1257" s="42"/>
      <c r="BA1257" s="42"/>
      <c r="BB1257" s="42"/>
      <c r="BC1257" s="42"/>
      <c r="BD1257" s="42"/>
      <c r="BE1257" s="42"/>
      <c r="BF1257" s="42"/>
      <c r="BG1257" s="42"/>
      <c r="BH1257" s="42"/>
      <c r="BI1257" s="42"/>
      <c r="BJ1257" s="42"/>
      <c r="BK1257" s="42"/>
      <c r="BL1257" s="42"/>
      <c r="BM1257" s="42"/>
      <c r="BN1257" s="42"/>
      <c r="BO1257" s="42"/>
    </row>
    <row r="1258">
      <c r="A1258" s="40"/>
      <c r="B1258" s="40"/>
      <c r="C1258" s="42"/>
      <c r="D1258" s="42"/>
      <c r="E1258" s="43"/>
      <c r="F1258" s="42"/>
      <c r="G1258" s="42"/>
      <c r="H1258" s="42"/>
      <c r="I1258" s="42"/>
      <c r="J1258" s="42"/>
      <c r="K1258" s="42"/>
      <c r="L1258" s="42"/>
      <c r="M1258" s="42"/>
      <c r="N1258" s="42"/>
      <c r="O1258" s="42"/>
      <c r="P1258" s="42"/>
      <c r="Q1258" s="42"/>
      <c r="R1258" s="42"/>
      <c r="S1258" s="42"/>
      <c r="T1258" s="42"/>
      <c r="U1258" s="42"/>
      <c r="V1258" s="42"/>
      <c r="W1258" s="42"/>
      <c r="X1258" s="42"/>
      <c r="Y1258" s="42"/>
      <c r="Z1258" s="42"/>
      <c r="AA1258" s="42"/>
      <c r="AB1258" s="42"/>
      <c r="AC1258" s="42"/>
      <c r="AD1258" s="42"/>
      <c r="AE1258" s="42"/>
      <c r="AF1258" s="42"/>
      <c r="AG1258" s="42"/>
      <c r="AH1258" s="42"/>
      <c r="AI1258" s="42"/>
      <c r="AJ1258" s="42"/>
      <c r="AK1258" s="42"/>
      <c r="AL1258" s="42"/>
      <c r="AM1258" s="42"/>
      <c r="AN1258" s="42"/>
      <c r="AO1258" s="42"/>
      <c r="AP1258" s="42"/>
      <c r="AQ1258" s="42"/>
      <c r="AR1258" s="42"/>
      <c r="AS1258" s="42"/>
      <c r="AT1258" s="42"/>
      <c r="AU1258" s="42"/>
      <c r="AV1258" s="42"/>
      <c r="AW1258" s="42"/>
      <c r="AX1258" s="42"/>
      <c r="AY1258" s="42"/>
      <c r="AZ1258" s="42"/>
      <c r="BA1258" s="42"/>
      <c r="BB1258" s="42"/>
      <c r="BC1258" s="42"/>
      <c r="BD1258" s="42"/>
      <c r="BE1258" s="42"/>
      <c r="BF1258" s="42"/>
      <c r="BG1258" s="42"/>
      <c r="BH1258" s="42"/>
      <c r="BI1258" s="42"/>
      <c r="BJ1258" s="42"/>
      <c r="BK1258" s="42"/>
      <c r="BL1258" s="42"/>
      <c r="BM1258" s="42"/>
      <c r="BN1258" s="42"/>
      <c r="BO1258" s="42"/>
    </row>
    <row r="1259">
      <c r="A1259" s="40"/>
      <c r="B1259" s="40"/>
      <c r="C1259" s="42"/>
      <c r="D1259" s="42"/>
      <c r="E1259" s="43"/>
      <c r="F1259" s="42"/>
      <c r="G1259" s="42"/>
      <c r="H1259" s="42"/>
      <c r="I1259" s="42"/>
      <c r="J1259" s="42"/>
      <c r="K1259" s="42"/>
      <c r="L1259" s="42"/>
      <c r="M1259" s="42"/>
      <c r="N1259" s="42"/>
      <c r="O1259" s="42"/>
      <c r="P1259" s="42"/>
      <c r="Q1259" s="42"/>
      <c r="R1259" s="42"/>
      <c r="S1259" s="42"/>
      <c r="T1259" s="42"/>
      <c r="U1259" s="42"/>
      <c r="V1259" s="42"/>
      <c r="W1259" s="42"/>
      <c r="X1259" s="42"/>
      <c r="Y1259" s="42"/>
      <c r="Z1259" s="42"/>
      <c r="AA1259" s="42"/>
      <c r="AB1259" s="42"/>
      <c r="AC1259" s="42"/>
      <c r="AD1259" s="42"/>
      <c r="AE1259" s="42"/>
      <c r="AF1259" s="42"/>
      <c r="AG1259" s="42"/>
      <c r="AH1259" s="42"/>
      <c r="AI1259" s="42"/>
      <c r="AJ1259" s="42"/>
      <c r="AK1259" s="42"/>
      <c r="AL1259" s="42"/>
      <c r="AM1259" s="42"/>
      <c r="AN1259" s="42"/>
      <c r="AO1259" s="42"/>
      <c r="AP1259" s="42"/>
      <c r="AQ1259" s="42"/>
      <c r="AR1259" s="42"/>
      <c r="AS1259" s="42"/>
      <c r="AT1259" s="42"/>
      <c r="AU1259" s="42"/>
      <c r="AV1259" s="42"/>
      <c r="AW1259" s="42"/>
      <c r="AX1259" s="42"/>
      <c r="AY1259" s="42"/>
      <c r="AZ1259" s="42"/>
      <c r="BA1259" s="42"/>
      <c r="BB1259" s="42"/>
      <c r="BC1259" s="42"/>
      <c r="BD1259" s="42"/>
      <c r="BE1259" s="42"/>
      <c r="BF1259" s="42"/>
      <c r="BG1259" s="42"/>
      <c r="BH1259" s="42"/>
      <c r="BI1259" s="42"/>
      <c r="BJ1259" s="42"/>
      <c r="BK1259" s="42"/>
      <c r="BL1259" s="42"/>
      <c r="BM1259" s="42"/>
      <c r="BN1259" s="42"/>
      <c r="BO1259" s="42"/>
    </row>
    <row r="1260">
      <c r="A1260" s="40"/>
      <c r="B1260" s="40"/>
      <c r="C1260" s="42"/>
      <c r="D1260" s="42"/>
      <c r="E1260" s="43"/>
      <c r="F1260" s="42"/>
      <c r="G1260" s="42"/>
      <c r="H1260" s="42"/>
      <c r="I1260" s="42"/>
      <c r="J1260" s="42"/>
      <c r="K1260" s="42"/>
      <c r="L1260" s="42"/>
      <c r="M1260" s="42"/>
      <c r="N1260" s="42"/>
      <c r="O1260" s="42"/>
      <c r="P1260" s="42"/>
      <c r="Q1260" s="42"/>
      <c r="R1260" s="42"/>
      <c r="S1260" s="42"/>
      <c r="T1260" s="42"/>
      <c r="U1260" s="42"/>
      <c r="V1260" s="42"/>
      <c r="W1260" s="42"/>
      <c r="X1260" s="42"/>
      <c r="Y1260" s="42"/>
      <c r="Z1260" s="42"/>
      <c r="AA1260" s="42"/>
      <c r="AB1260" s="42"/>
      <c r="AC1260" s="42"/>
      <c r="AD1260" s="42"/>
      <c r="AE1260" s="42"/>
      <c r="AF1260" s="42"/>
      <c r="AG1260" s="42"/>
      <c r="AH1260" s="42"/>
      <c r="AI1260" s="42"/>
      <c r="AJ1260" s="42"/>
      <c r="AK1260" s="42"/>
      <c r="AL1260" s="42"/>
      <c r="AM1260" s="42"/>
      <c r="AN1260" s="42"/>
      <c r="AO1260" s="42"/>
      <c r="AP1260" s="42"/>
      <c r="AQ1260" s="42"/>
      <c r="AR1260" s="42"/>
      <c r="AS1260" s="42"/>
      <c r="AT1260" s="42"/>
      <c r="AU1260" s="42"/>
      <c r="AV1260" s="42"/>
      <c r="AW1260" s="42"/>
      <c r="AX1260" s="42"/>
      <c r="AY1260" s="42"/>
      <c r="AZ1260" s="42"/>
      <c r="BA1260" s="42"/>
      <c r="BB1260" s="42"/>
      <c r="BC1260" s="42"/>
      <c r="BD1260" s="42"/>
      <c r="BE1260" s="42"/>
      <c r="BF1260" s="42"/>
      <c r="BG1260" s="42"/>
      <c r="BH1260" s="42"/>
      <c r="BI1260" s="42"/>
      <c r="BJ1260" s="42"/>
      <c r="BK1260" s="42"/>
      <c r="BL1260" s="42"/>
      <c r="BM1260" s="42"/>
      <c r="BN1260" s="42"/>
      <c r="BO1260" s="42"/>
    </row>
    <row r="1261">
      <c r="A1261" s="40"/>
      <c r="B1261" s="40"/>
      <c r="C1261" s="42"/>
      <c r="D1261" s="42"/>
      <c r="E1261" s="43"/>
      <c r="F1261" s="42"/>
      <c r="G1261" s="42"/>
      <c r="H1261" s="42"/>
      <c r="I1261" s="42"/>
      <c r="J1261" s="42"/>
      <c r="K1261" s="42"/>
      <c r="L1261" s="42"/>
      <c r="M1261" s="42"/>
      <c r="N1261" s="42"/>
      <c r="O1261" s="42"/>
      <c r="P1261" s="42"/>
      <c r="Q1261" s="42"/>
      <c r="R1261" s="42"/>
      <c r="S1261" s="42"/>
      <c r="T1261" s="42"/>
      <c r="U1261" s="42"/>
      <c r="V1261" s="42"/>
      <c r="W1261" s="42"/>
      <c r="X1261" s="42"/>
      <c r="Y1261" s="42"/>
      <c r="Z1261" s="42"/>
      <c r="AA1261" s="42"/>
      <c r="AB1261" s="42"/>
      <c r="AC1261" s="42"/>
      <c r="AD1261" s="42"/>
      <c r="AE1261" s="42"/>
      <c r="AF1261" s="42"/>
      <c r="AG1261" s="42"/>
      <c r="AH1261" s="42"/>
      <c r="AI1261" s="42"/>
      <c r="AJ1261" s="42"/>
      <c r="AK1261" s="42"/>
      <c r="AL1261" s="42"/>
      <c r="AM1261" s="42"/>
      <c r="AN1261" s="42"/>
      <c r="AO1261" s="42"/>
      <c r="AP1261" s="42"/>
      <c r="AQ1261" s="42"/>
      <c r="AR1261" s="42"/>
      <c r="AS1261" s="42"/>
      <c r="AT1261" s="42"/>
      <c r="AU1261" s="42"/>
      <c r="AV1261" s="42"/>
      <c r="AW1261" s="42"/>
      <c r="AX1261" s="42"/>
      <c r="AY1261" s="42"/>
      <c r="AZ1261" s="42"/>
      <c r="BA1261" s="42"/>
      <c r="BB1261" s="42"/>
      <c r="BC1261" s="42"/>
      <c r="BD1261" s="42"/>
      <c r="BE1261" s="42"/>
      <c r="BF1261" s="42"/>
      <c r="BG1261" s="42"/>
      <c r="BH1261" s="42"/>
      <c r="BI1261" s="42"/>
      <c r="BJ1261" s="42"/>
      <c r="BK1261" s="42"/>
      <c r="BL1261" s="42"/>
      <c r="BM1261" s="42"/>
      <c r="BN1261" s="42"/>
      <c r="BO1261" s="42"/>
    </row>
    <row r="1262">
      <c r="A1262" s="40"/>
      <c r="B1262" s="40"/>
      <c r="C1262" s="42"/>
      <c r="D1262" s="42"/>
      <c r="E1262" s="43"/>
      <c r="F1262" s="42"/>
      <c r="G1262" s="42"/>
      <c r="H1262" s="42"/>
      <c r="I1262" s="42"/>
      <c r="J1262" s="42"/>
      <c r="K1262" s="42"/>
      <c r="L1262" s="42"/>
      <c r="M1262" s="42"/>
      <c r="N1262" s="42"/>
      <c r="O1262" s="42"/>
      <c r="P1262" s="42"/>
      <c r="Q1262" s="42"/>
      <c r="R1262" s="42"/>
      <c r="S1262" s="42"/>
      <c r="T1262" s="42"/>
      <c r="U1262" s="42"/>
      <c r="V1262" s="42"/>
      <c r="W1262" s="42"/>
      <c r="X1262" s="42"/>
      <c r="Y1262" s="42"/>
      <c r="Z1262" s="42"/>
      <c r="AA1262" s="42"/>
      <c r="AB1262" s="42"/>
      <c r="AC1262" s="42"/>
      <c r="AD1262" s="42"/>
      <c r="AE1262" s="42"/>
      <c r="AF1262" s="42"/>
      <c r="AG1262" s="42"/>
      <c r="AH1262" s="42"/>
      <c r="AI1262" s="42"/>
      <c r="AJ1262" s="42"/>
      <c r="AK1262" s="42"/>
      <c r="AL1262" s="42"/>
      <c r="AM1262" s="42"/>
      <c r="AN1262" s="42"/>
      <c r="AO1262" s="42"/>
      <c r="AP1262" s="42"/>
      <c r="AQ1262" s="42"/>
      <c r="AR1262" s="42"/>
      <c r="AS1262" s="42"/>
      <c r="AT1262" s="42"/>
      <c r="AU1262" s="42"/>
      <c r="AV1262" s="42"/>
      <c r="AW1262" s="42"/>
      <c r="AX1262" s="42"/>
      <c r="AY1262" s="42"/>
      <c r="AZ1262" s="42"/>
      <c r="BA1262" s="42"/>
      <c r="BB1262" s="42"/>
      <c r="BC1262" s="42"/>
      <c r="BD1262" s="42"/>
      <c r="BE1262" s="42"/>
      <c r="BF1262" s="42"/>
      <c r="BG1262" s="42"/>
      <c r="BH1262" s="42"/>
      <c r="BI1262" s="42"/>
      <c r="BJ1262" s="42"/>
      <c r="BK1262" s="42"/>
      <c r="BL1262" s="42"/>
      <c r="BM1262" s="42"/>
      <c r="BN1262" s="42"/>
      <c r="BO1262" s="42"/>
    </row>
    <row r="1263">
      <c r="A1263" s="40"/>
      <c r="B1263" s="40"/>
      <c r="C1263" s="42"/>
      <c r="D1263" s="42"/>
      <c r="E1263" s="43"/>
      <c r="F1263" s="42"/>
      <c r="G1263" s="42"/>
      <c r="H1263" s="42"/>
      <c r="I1263" s="42"/>
      <c r="J1263" s="42"/>
      <c r="K1263" s="42"/>
      <c r="L1263" s="42"/>
      <c r="M1263" s="42"/>
      <c r="N1263" s="42"/>
      <c r="O1263" s="42"/>
      <c r="P1263" s="42"/>
      <c r="Q1263" s="42"/>
      <c r="R1263" s="42"/>
      <c r="S1263" s="42"/>
      <c r="T1263" s="42"/>
      <c r="U1263" s="42"/>
      <c r="V1263" s="42"/>
      <c r="W1263" s="42"/>
      <c r="X1263" s="42"/>
      <c r="Y1263" s="42"/>
      <c r="Z1263" s="42"/>
      <c r="AA1263" s="42"/>
      <c r="AB1263" s="42"/>
      <c r="AC1263" s="42"/>
      <c r="AD1263" s="42"/>
      <c r="AE1263" s="42"/>
      <c r="AF1263" s="42"/>
      <c r="AG1263" s="42"/>
      <c r="AH1263" s="42"/>
      <c r="AI1263" s="42"/>
      <c r="AJ1263" s="42"/>
      <c r="AK1263" s="42"/>
      <c r="AL1263" s="42"/>
      <c r="AM1263" s="42"/>
      <c r="AN1263" s="42"/>
      <c r="AO1263" s="42"/>
      <c r="AP1263" s="42"/>
      <c r="AQ1263" s="42"/>
      <c r="AR1263" s="42"/>
      <c r="AS1263" s="42"/>
      <c r="AT1263" s="42"/>
      <c r="AU1263" s="42"/>
      <c r="AV1263" s="42"/>
      <c r="AW1263" s="42"/>
      <c r="AX1263" s="42"/>
      <c r="AY1263" s="42"/>
      <c r="AZ1263" s="42"/>
      <c r="BA1263" s="42"/>
      <c r="BB1263" s="42"/>
      <c r="BC1263" s="42"/>
      <c r="BD1263" s="42"/>
      <c r="BE1263" s="42"/>
      <c r="BF1263" s="42"/>
      <c r="BG1263" s="42"/>
      <c r="BH1263" s="42"/>
      <c r="BI1263" s="42"/>
      <c r="BJ1263" s="42"/>
      <c r="BK1263" s="42"/>
      <c r="BL1263" s="42"/>
      <c r="BM1263" s="42"/>
      <c r="BN1263" s="42"/>
      <c r="BO1263" s="42"/>
    </row>
    <row r="1264">
      <c r="A1264" s="40"/>
      <c r="B1264" s="40"/>
      <c r="C1264" s="42"/>
      <c r="D1264" s="42"/>
      <c r="E1264" s="43"/>
      <c r="F1264" s="42"/>
      <c r="G1264" s="42"/>
      <c r="H1264" s="42"/>
      <c r="I1264" s="42"/>
      <c r="J1264" s="42"/>
      <c r="K1264" s="42"/>
      <c r="L1264" s="42"/>
      <c r="M1264" s="42"/>
      <c r="N1264" s="42"/>
      <c r="O1264" s="42"/>
      <c r="P1264" s="42"/>
      <c r="Q1264" s="42"/>
      <c r="R1264" s="42"/>
      <c r="S1264" s="42"/>
      <c r="T1264" s="42"/>
      <c r="U1264" s="42"/>
      <c r="V1264" s="42"/>
      <c r="W1264" s="42"/>
      <c r="X1264" s="42"/>
      <c r="Y1264" s="42"/>
      <c r="Z1264" s="42"/>
      <c r="AA1264" s="42"/>
      <c r="AB1264" s="42"/>
      <c r="AC1264" s="42"/>
      <c r="AD1264" s="42"/>
      <c r="AE1264" s="42"/>
      <c r="AF1264" s="42"/>
      <c r="AG1264" s="42"/>
      <c r="AH1264" s="42"/>
      <c r="AI1264" s="42"/>
      <c r="AJ1264" s="42"/>
      <c r="AK1264" s="42"/>
      <c r="AL1264" s="42"/>
      <c r="AM1264" s="42"/>
      <c r="AN1264" s="42"/>
      <c r="AO1264" s="42"/>
      <c r="AP1264" s="42"/>
      <c r="AQ1264" s="42"/>
      <c r="AR1264" s="42"/>
      <c r="AS1264" s="42"/>
      <c r="AT1264" s="42"/>
      <c r="AU1264" s="42"/>
      <c r="AV1264" s="42"/>
      <c r="AW1264" s="42"/>
      <c r="AX1264" s="42"/>
      <c r="AY1264" s="42"/>
      <c r="AZ1264" s="42"/>
      <c r="BA1264" s="42"/>
      <c r="BB1264" s="42"/>
      <c r="BC1264" s="42"/>
      <c r="BD1264" s="42"/>
      <c r="BE1264" s="42"/>
      <c r="BF1264" s="42"/>
      <c r="BG1264" s="42"/>
      <c r="BH1264" s="42"/>
      <c r="BI1264" s="42"/>
      <c r="BJ1264" s="42"/>
      <c r="BK1264" s="42"/>
      <c r="BL1264" s="42"/>
      <c r="BM1264" s="42"/>
      <c r="BN1264" s="42"/>
      <c r="BO1264" s="42"/>
    </row>
    <row r="1265">
      <c r="A1265" s="40"/>
      <c r="B1265" s="40"/>
      <c r="C1265" s="42"/>
      <c r="D1265" s="42"/>
      <c r="E1265" s="43"/>
      <c r="F1265" s="42"/>
      <c r="G1265" s="42"/>
      <c r="H1265" s="42"/>
      <c r="I1265" s="42"/>
      <c r="J1265" s="42"/>
      <c r="K1265" s="42"/>
      <c r="L1265" s="42"/>
      <c r="M1265" s="42"/>
      <c r="N1265" s="42"/>
      <c r="O1265" s="42"/>
      <c r="P1265" s="42"/>
      <c r="Q1265" s="42"/>
      <c r="R1265" s="42"/>
      <c r="S1265" s="42"/>
      <c r="T1265" s="42"/>
      <c r="U1265" s="42"/>
      <c r="V1265" s="42"/>
      <c r="W1265" s="42"/>
      <c r="X1265" s="42"/>
      <c r="Y1265" s="42"/>
      <c r="Z1265" s="42"/>
      <c r="AA1265" s="42"/>
      <c r="AB1265" s="42"/>
      <c r="AC1265" s="42"/>
      <c r="AD1265" s="42"/>
      <c r="AE1265" s="42"/>
      <c r="AF1265" s="42"/>
      <c r="AG1265" s="42"/>
      <c r="AH1265" s="42"/>
      <c r="AI1265" s="42"/>
      <c r="AJ1265" s="42"/>
      <c r="AK1265" s="42"/>
      <c r="AL1265" s="42"/>
      <c r="AM1265" s="42"/>
      <c r="AN1265" s="42"/>
      <c r="AO1265" s="42"/>
      <c r="AP1265" s="42"/>
      <c r="AQ1265" s="42"/>
      <c r="AR1265" s="42"/>
      <c r="AS1265" s="42"/>
      <c r="AT1265" s="42"/>
      <c r="AU1265" s="42"/>
      <c r="AV1265" s="42"/>
      <c r="AW1265" s="42"/>
      <c r="AX1265" s="42"/>
      <c r="AY1265" s="42"/>
      <c r="AZ1265" s="42"/>
      <c r="BA1265" s="42"/>
      <c r="BB1265" s="42"/>
      <c r="BC1265" s="42"/>
      <c r="BD1265" s="42"/>
      <c r="BE1265" s="42"/>
      <c r="BF1265" s="42"/>
      <c r="BG1265" s="42"/>
      <c r="BH1265" s="42"/>
      <c r="BI1265" s="42"/>
      <c r="BJ1265" s="42"/>
      <c r="BK1265" s="42"/>
      <c r="BL1265" s="42"/>
      <c r="BM1265" s="42"/>
      <c r="BN1265" s="42"/>
      <c r="BO1265" s="42"/>
    </row>
    <row r="1266">
      <c r="A1266" s="40"/>
      <c r="B1266" s="40"/>
      <c r="C1266" s="42"/>
      <c r="D1266" s="42"/>
      <c r="E1266" s="43"/>
      <c r="F1266" s="42"/>
      <c r="G1266" s="42"/>
      <c r="H1266" s="42"/>
      <c r="I1266" s="42"/>
      <c r="J1266" s="42"/>
      <c r="K1266" s="42"/>
      <c r="L1266" s="42"/>
      <c r="M1266" s="42"/>
      <c r="N1266" s="42"/>
      <c r="O1266" s="42"/>
      <c r="P1266" s="42"/>
      <c r="Q1266" s="42"/>
      <c r="R1266" s="42"/>
      <c r="S1266" s="42"/>
      <c r="T1266" s="42"/>
      <c r="U1266" s="42"/>
      <c r="V1266" s="42"/>
      <c r="W1266" s="42"/>
      <c r="X1266" s="42"/>
      <c r="Y1266" s="42"/>
      <c r="Z1266" s="42"/>
      <c r="AA1266" s="42"/>
      <c r="AB1266" s="42"/>
      <c r="AC1266" s="42"/>
      <c r="AD1266" s="42"/>
      <c r="AE1266" s="42"/>
      <c r="AF1266" s="42"/>
      <c r="AG1266" s="42"/>
      <c r="AH1266" s="42"/>
      <c r="AI1266" s="42"/>
      <c r="AJ1266" s="42"/>
      <c r="AK1266" s="42"/>
      <c r="AL1266" s="42"/>
      <c r="AM1266" s="42"/>
      <c r="AN1266" s="42"/>
      <c r="AO1266" s="42"/>
      <c r="AP1266" s="42"/>
      <c r="AQ1266" s="42"/>
      <c r="AR1266" s="42"/>
      <c r="AS1266" s="42"/>
      <c r="AT1266" s="42"/>
      <c r="AU1266" s="42"/>
      <c r="AV1266" s="42"/>
      <c r="AW1266" s="42"/>
      <c r="AX1266" s="42"/>
      <c r="AY1266" s="42"/>
      <c r="AZ1266" s="42"/>
      <c r="BA1266" s="42"/>
      <c r="BB1266" s="42"/>
      <c r="BC1266" s="42"/>
      <c r="BD1266" s="42"/>
      <c r="BE1266" s="42"/>
      <c r="BF1266" s="42"/>
      <c r="BG1266" s="42"/>
      <c r="BH1266" s="42"/>
      <c r="BI1266" s="42"/>
      <c r="BJ1266" s="42"/>
      <c r="BK1266" s="42"/>
      <c r="BL1266" s="42"/>
      <c r="BM1266" s="42"/>
      <c r="BN1266" s="42"/>
      <c r="BO1266" s="42"/>
    </row>
    <row r="1267">
      <c r="A1267" s="40"/>
      <c r="B1267" s="40"/>
      <c r="C1267" s="42"/>
      <c r="D1267" s="42"/>
      <c r="E1267" s="43"/>
      <c r="F1267" s="42"/>
      <c r="G1267" s="42"/>
      <c r="H1267" s="42"/>
      <c r="I1267" s="42"/>
      <c r="J1267" s="42"/>
      <c r="K1267" s="42"/>
      <c r="L1267" s="42"/>
      <c r="M1267" s="42"/>
      <c r="N1267" s="42"/>
      <c r="O1267" s="42"/>
      <c r="P1267" s="42"/>
      <c r="Q1267" s="42"/>
      <c r="R1267" s="42"/>
      <c r="S1267" s="42"/>
      <c r="T1267" s="42"/>
      <c r="U1267" s="42"/>
      <c r="V1267" s="42"/>
      <c r="W1267" s="42"/>
      <c r="X1267" s="42"/>
      <c r="Y1267" s="42"/>
      <c r="Z1267" s="42"/>
      <c r="AA1267" s="42"/>
      <c r="AB1267" s="42"/>
      <c r="AC1267" s="42"/>
      <c r="AD1267" s="42"/>
      <c r="AE1267" s="42"/>
      <c r="AF1267" s="42"/>
      <c r="AG1267" s="42"/>
      <c r="AH1267" s="42"/>
      <c r="AI1267" s="42"/>
      <c r="AJ1267" s="42"/>
      <c r="AK1267" s="42"/>
      <c r="AL1267" s="42"/>
      <c r="AM1267" s="42"/>
      <c r="AN1267" s="42"/>
      <c r="AO1267" s="42"/>
      <c r="AP1267" s="42"/>
      <c r="AQ1267" s="42"/>
      <c r="AR1267" s="42"/>
      <c r="AS1267" s="42"/>
      <c r="AT1267" s="42"/>
      <c r="AU1267" s="42"/>
      <c r="AV1267" s="42"/>
      <c r="AW1267" s="42"/>
      <c r="AX1267" s="42"/>
      <c r="AY1267" s="42"/>
      <c r="AZ1267" s="42"/>
      <c r="BA1267" s="42"/>
      <c r="BB1267" s="42"/>
      <c r="BC1267" s="42"/>
      <c r="BD1267" s="42"/>
      <c r="BE1267" s="42"/>
      <c r="BF1267" s="42"/>
      <c r="BG1267" s="42"/>
      <c r="BH1267" s="42"/>
      <c r="BI1267" s="42"/>
      <c r="BJ1267" s="42"/>
      <c r="BK1267" s="42"/>
      <c r="BL1267" s="42"/>
      <c r="BM1267" s="42"/>
      <c r="BN1267" s="42"/>
      <c r="BO1267" s="42"/>
    </row>
    <row r="1268">
      <c r="A1268" s="40"/>
      <c r="B1268" s="40"/>
      <c r="C1268" s="42"/>
      <c r="D1268" s="42"/>
      <c r="E1268" s="43"/>
      <c r="F1268" s="42"/>
      <c r="G1268" s="42"/>
      <c r="H1268" s="42"/>
      <c r="I1268" s="42"/>
      <c r="J1268" s="42"/>
      <c r="K1268" s="42"/>
      <c r="L1268" s="42"/>
      <c r="M1268" s="42"/>
      <c r="N1268" s="42"/>
      <c r="O1268" s="42"/>
      <c r="P1268" s="42"/>
      <c r="Q1268" s="42"/>
      <c r="R1268" s="42"/>
      <c r="S1268" s="42"/>
      <c r="T1268" s="42"/>
      <c r="U1268" s="42"/>
      <c r="V1268" s="42"/>
      <c r="W1268" s="42"/>
      <c r="X1268" s="42"/>
      <c r="Y1268" s="42"/>
      <c r="Z1268" s="42"/>
      <c r="AA1268" s="42"/>
      <c r="AB1268" s="42"/>
      <c r="AC1268" s="42"/>
      <c r="AD1268" s="42"/>
      <c r="AE1268" s="42"/>
      <c r="AF1268" s="42"/>
      <c r="AG1268" s="42"/>
      <c r="AH1268" s="42"/>
      <c r="AI1268" s="42"/>
      <c r="AJ1268" s="42"/>
      <c r="AK1268" s="42"/>
      <c r="AL1268" s="42"/>
      <c r="AM1268" s="42"/>
      <c r="AN1268" s="42"/>
      <c r="AO1268" s="42"/>
      <c r="AP1268" s="42"/>
      <c r="AQ1268" s="42"/>
      <c r="AR1268" s="42"/>
      <c r="AS1268" s="42"/>
      <c r="AT1268" s="42"/>
      <c r="AU1268" s="42"/>
      <c r="AV1268" s="42"/>
      <c r="AW1268" s="42"/>
      <c r="AX1268" s="42"/>
      <c r="AY1268" s="42"/>
      <c r="AZ1268" s="42"/>
      <c r="BA1268" s="42"/>
      <c r="BB1268" s="42"/>
      <c r="BC1268" s="42"/>
      <c r="BD1268" s="42"/>
      <c r="BE1268" s="42"/>
      <c r="BF1268" s="42"/>
      <c r="BG1268" s="42"/>
      <c r="BH1268" s="42"/>
      <c r="BI1268" s="42"/>
      <c r="BJ1268" s="42"/>
      <c r="BK1268" s="42"/>
      <c r="BL1268" s="42"/>
      <c r="BM1268" s="42"/>
      <c r="BN1268" s="42"/>
      <c r="BO1268" s="42"/>
    </row>
    <row r="1269">
      <c r="A1269" s="40"/>
      <c r="B1269" s="40"/>
      <c r="C1269" s="42"/>
      <c r="D1269" s="42"/>
      <c r="E1269" s="43"/>
      <c r="F1269" s="42"/>
      <c r="G1269" s="42"/>
      <c r="H1269" s="42"/>
      <c r="I1269" s="42"/>
      <c r="J1269" s="42"/>
      <c r="K1269" s="42"/>
      <c r="L1269" s="42"/>
      <c r="M1269" s="42"/>
      <c r="N1269" s="42"/>
      <c r="O1269" s="42"/>
      <c r="P1269" s="42"/>
      <c r="Q1269" s="42"/>
      <c r="R1269" s="42"/>
      <c r="S1269" s="42"/>
      <c r="T1269" s="42"/>
      <c r="U1269" s="42"/>
      <c r="V1269" s="42"/>
      <c r="W1269" s="42"/>
      <c r="X1269" s="42"/>
      <c r="Y1269" s="42"/>
      <c r="Z1269" s="42"/>
      <c r="AA1269" s="42"/>
      <c r="AB1269" s="42"/>
      <c r="AC1269" s="42"/>
      <c r="AD1269" s="42"/>
      <c r="AE1269" s="42"/>
      <c r="AF1269" s="42"/>
      <c r="AG1269" s="42"/>
      <c r="AH1269" s="42"/>
      <c r="AI1269" s="42"/>
      <c r="AJ1269" s="42"/>
      <c r="AK1269" s="42"/>
      <c r="AL1269" s="42"/>
      <c r="AM1269" s="42"/>
      <c r="AN1269" s="42"/>
      <c r="AO1269" s="42"/>
      <c r="AP1269" s="42"/>
      <c r="AQ1269" s="42"/>
      <c r="AR1269" s="42"/>
      <c r="AS1269" s="42"/>
      <c r="AT1269" s="42"/>
      <c r="AU1269" s="42"/>
      <c r="AV1269" s="42"/>
      <c r="AW1269" s="42"/>
      <c r="AX1269" s="42"/>
      <c r="AY1269" s="42"/>
      <c r="AZ1269" s="42"/>
      <c r="BA1269" s="42"/>
      <c r="BB1269" s="42"/>
      <c r="BC1269" s="42"/>
      <c r="BD1269" s="42"/>
      <c r="BE1269" s="42"/>
      <c r="BF1269" s="42"/>
      <c r="BG1269" s="42"/>
      <c r="BH1269" s="42"/>
      <c r="BI1269" s="42"/>
      <c r="BJ1269" s="42"/>
      <c r="BK1269" s="42"/>
      <c r="BL1269" s="42"/>
      <c r="BM1269" s="42"/>
      <c r="BN1269" s="42"/>
      <c r="BO1269" s="42"/>
    </row>
    <row r="1270">
      <c r="A1270" s="40"/>
      <c r="B1270" s="40"/>
      <c r="C1270" s="42"/>
      <c r="D1270" s="42"/>
      <c r="E1270" s="43"/>
      <c r="F1270" s="42"/>
      <c r="G1270" s="42"/>
      <c r="H1270" s="42"/>
      <c r="I1270" s="42"/>
      <c r="J1270" s="42"/>
      <c r="K1270" s="42"/>
      <c r="L1270" s="42"/>
      <c r="M1270" s="42"/>
      <c r="N1270" s="42"/>
      <c r="O1270" s="42"/>
      <c r="P1270" s="42"/>
      <c r="Q1270" s="42"/>
      <c r="R1270" s="42"/>
      <c r="S1270" s="42"/>
      <c r="T1270" s="42"/>
      <c r="U1270" s="42"/>
      <c r="V1270" s="42"/>
      <c r="W1270" s="42"/>
      <c r="X1270" s="42"/>
      <c r="Y1270" s="42"/>
      <c r="Z1270" s="42"/>
      <c r="AA1270" s="42"/>
      <c r="AB1270" s="42"/>
      <c r="AC1270" s="42"/>
      <c r="AD1270" s="42"/>
      <c r="AE1270" s="42"/>
      <c r="AF1270" s="42"/>
      <c r="AG1270" s="42"/>
      <c r="AH1270" s="42"/>
      <c r="AI1270" s="42"/>
      <c r="AJ1270" s="42"/>
      <c r="AK1270" s="42"/>
      <c r="AL1270" s="42"/>
      <c r="AM1270" s="42"/>
      <c r="AN1270" s="42"/>
      <c r="AO1270" s="42"/>
      <c r="AP1270" s="42"/>
      <c r="AQ1270" s="42"/>
      <c r="AR1270" s="42"/>
      <c r="AS1270" s="42"/>
      <c r="AT1270" s="42"/>
      <c r="AU1270" s="42"/>
      <c r="AV1270" s="42"/>
      <c r="AW1270" s="42"/>
      <c r="AX1270" s="42"/>
      <c r="AY1270" s="42"/>
      <c r="AZ1270" s="42"/>
      <c r="BA1270" s="42"/>
      <c r="BB1270" s="42"/>
      <c r="BC1270" s="42"/>
      <c r="BD1270" s="42"/>
      <c r="BE1270" s="42"/>
      <c r="BF1270" s="42"/>
      <c r="BG1270" s="42"/>
      <c r="BH1270" s="42"/>
      <c r="BI1270" s="42"/>
      <c r="BJ1270" s="42"/>
      <c r="BK1270" s="42"/>
      <c r="BL1270" s="42"/>
      <c r="BM1270" s="42"/>
      <c r="BN1270" s="42"/>
      <c r="BO1270" s="42"/>
    </row>
    <row r="1271">
      <c r="A1271" s="40"/>
      <c r="B1271" s="40"/>
      <c r="C1271" s="42"/>
      <c r="D1271" s="42"/>
      <c r="E1271" s="43"/>
      <c r="F1271" s="42"/>
      <c r="G1271" s="42"/>
      <c r="H1271" s="42"/>
      <c r="I1271" s="42"/>
      <c r="J1271" s="42"/>
      <c r="K1271" s="42"/>
      <c r="L1271" s="42"/>
      <c r="M1271" s="42"/>
      <c r="N1271" s="42"/>
      <c r="O1271" s="42"/>
      <c r="P1271" s="42"/>
      <c r="Q1271" s="42"/>
      <c r="R1271" s="42"/>
      <c r="S1271" s="42"/>
      <c r="T1271" s="42"/>
      <c r="U1271" s="42"/>
      <c r="V1271" s="42"/>
      <c r="W1271" s="42"/>
      <c r="X1271" s="42"/>
      <c r="Y1271" s="42"/>
      <c r="Z1271" s="42"/>
      <c r="AA1271" s="42"/>
      <c r="AB1271" s="42"/>
      <c r="AC1271" s="42"/>
      <c r="AD1271" s="42"/>
      <c r="AE1271" s="42"/>
      <c r="AF1271" s="42"/>
      <c r="AG1271" s="42"/>
      <c r="AH1271" s="42"/>
      <c r="AI1271" s="42"/>
      <c r="AJ1271" s="42"/>
      <c r="AK1271" s="42"/>
      <c r="AL1271" s="42"/>
      <c r="AM1271" s="42"/>
      <c r="AN1271" s="42"/>
      <c r="AO1271" s="42"/>
      <c r="AP1271" s="42"/>
      <c r="AQ1271" s="42"/>
      <c r="AR1271" s="42"/>
      <c r="AS1271" s="42"/>
      <c r="AT1271" s="42"/>
      <c r="AU1271" s="42"/>
      <c r="AV1271" s="42"/>
      <c r="AW1271" s="42"/>
      <c r="AX1271" s="42"/>
      <c r="AY1271" s="42"/>
      <c r="AZ1271" s="42"/>
      <c r="BA1271" s="42"/>
      <c r="BB1271" s="42"/>
      <c r="BC1271" s="42"/>
      <c r="BD1271" s="42"/>
      <c r="BE1271" s="42"/>
      <c r="BF1271" s="42"/>
      <c r="BG1271" s="42"/>
      <c r="BH1271" s="42"/>
      <c r="BI1271" s="42"/>
      <c r="BJ1271" s="42"/>
      <c r="BK1271" s="42"/>
      <c r="BL1271" s="42"/>
      <c r="BM1271" s="42"/>
      <c r="BN1271" s="42"/>
      <c r="BO1271" s="42"/>
    </row>
    <row r="1272">
      <c r="A1272" s="40"/>
      <c r="B1272" s="40"/>
      <c r="C1272" s="42"/>
      <c r="D1272" s="42"/>
      <c r="E1272" s="43"/>
      <c r="F1272" s="42"/>
      <c r="G1272" s="42"/>
      <c r="H1272" s="42"/>
      <c r="I1272" s="42"/>
      <c r="J1272" s="42"/>
      <c r="K1272" s="42"/>
      <c r="L1272" s="42"/>
      <c r="M1272" s="42"/>
      <c r="N1272" s="42"/>
      <c r="O1272" s="42"/>
      <c r="P1272" s="42"/>
      <c r="Q1272" s="42"/>
      <c r="R1272" s="42"/>
      <c r="S1272" s="42"/>
      <c r="T1272" s="42"/>
      <c r="U1272" s="42"/>
      <c r="V1272" s="42"/>
      <c r="W1272" s="42"/>
      <c r="X1272" s="42"/>
      <c r="Y1272" s="42"/>
      <c r="Z1272" s="42"/>
      <c r="AA1272" s="42"/>
      <c r="AB1272" s="42"/>
      <c r="AC1272" s="42"/>
      <c r="AD1272" s="42"/>
      <c r="AE1272" s="42"/>
      <c r="AF1272" s="42"/>
      <c r="AG1272" s="42"/>
      <c r="AH1272" s="42"/>
      <c r="AI1272" s="42"/>
      <c r="AJ1272" s="42"/>
      <c r="AK1272" s="42"/>
      <c r="AL1272" s="42"/>
      <c r="AM1272" s="42"/>
      <c r="AN1272" s="42"/>
      <c r="AO1272" s="42"/>
      <c r="AP1272" s="42"/>
      <c r="AQ1272" s="42"/>
      <c r="AR1272" s="42"/>
      <c r="AS1272" s="42"/>
      <c r="AT1272" s="42"/>
      <c r="AU1272" s="42"/>
      <c r="AV1272" s="42"/>
      <c r="AW1272" s="42"/>
      <c r="AX1272" s="42"/>
      <c r="AY1272" s="42"/>
      <c r="AZ1272" s="42"/>
      <c r="BA1272" s="42"/>
      <c r="BB1272" s="42"/>
      <c r="BC1272" s="42"/>
      <c r="BD1272" s="42"/>
      <c r="BE1272" s="42"/>
      <c r="BF1272" s="42"/>
      <c r="BG1272" s="42"/>
      <c r="BH1272" s="42"/>
      <c r="BI1272" s="42"/>
      <c r="BJ1272" s="42"/>
      <c r="BK1272" s="42"/>
      <c r="BL1272" s="42"/>
      <c r="BM1272" s="42"/>
      <c r="BN1272" s="42"/>
      <c r="BO1272" s="42"/>
    </row>
    <row r="1273">
      <c r="A1273" s="40"/>
      <c r="B1273" s="40"/>
      <c r="C1273" s="42"/>
      <c r="D1273" s="42"/>
      <c r="E1273" s="43"/>
      <c r="F1273" s="42"/>
      <c r="G1273" s="42"/>
      <c r="H1273" s="42"/>
      <c r="I1273" s="42"/>
      <c r="J1273" s="42"/>
      <c r="K1273" s="42"/>
      <c r="L1273" s="42"/>
      <c r="M1273" s="42"/>
      <c r="N1273" s="42"/>
      <c r="O1273" s="42"/>
      <c r="P1273" s="42"/>
      <c r="Q1273" s="42"/>
      <c r="R1273" s="42"/>
      <c r="S1273" s="42"/>
      <c r="T1273" s="42"/>
      <c r="U1273" s="42"/>
      <c r="V1273" s="42"/>
      <c r="W1273" s="42"/>
      <c r="X1273" s="42"/>
      <c r="Y1273" s="42"/>
      <c r="Z1273" s="42"/>
      <c r="AA1273" s="42"/>
      <c r="AB1273" s="42"/>
      <c r="AC1273" s="42"/>
      <c r="AD1273" s="42"/>
      <c r="AE1273" s="42"/>
      <c r="AF1273" s="42"/>
      <c r="AG1273" s="42"/>
      <c r="AH1273" s="42"/>
      <c r="AI1273" s="42"/>
      <c r="AJ1273" s="42"/>
      <c r="AK1273" s="42"/>
      <c r="AL1273" s="42"/>
      <c r="AM1273" s="42"/>
      <c r="AN1273" s="42"/>
      <c r="AO1273" s="42"/>
      <c r="AP1273" s="42"/>
      <c r="AQ1273" s="42"/>
      <c r="AR1273" s="42"/>
      <c r="AS1273" s="42"/>
      <c r="AT1273" s="42"/>
      <c r="AU1273" s="42"/>
      <c r="AV1273" s="42"/>
      <c r="AW1273" s="42"/>
      <c r="AX1273" s="42"/>
      <c r="AY1273" s="42"/>
      <c r="AZ1273" s="42"/>
      <c r="BA1273" s="42"/>
      <c r="BB1273" s="42"/>
      <c r="BC1273" s="42"/>
      <c r="BD1273" s="42"/>
      <c r="BE1273" s="42"/>
      <c r="BF1273" s="42"/>
      <c r="BG1273" s="42"/>
      <c r="BH1273" s="42"/>
      <c r="BI1273" s="42"/>
      <c r="BJ1273" s="42"/>
      <c r="BK1273" s="42"/>
      <c r="BL1273" s="42"/>
      <c r="BM1273" s="42"/>
      <c r="BN1273" s="42"/>
      <c r="BO1273" s="42"/>
    </row>
    <row r="1274">
      <c r="A1274" s="40"/>
      <c r="B1274" s="40"/>
      <c r="C1274" s="42"/>
      <c r="D1274" s="42"/>
      <c r="E1274" s="43"/>
      <c r="F1274" s="42"/>
      <c r="G1274" s="42"/>
      <c r="H1274" s="42"/>
      <c r="I1274" s="42"/>
      <c r="J1274" s="42"/>
      <c r="K1274" s="42"/>
      <c r="L1274" s="42"/>
      <c r="M1274" s="42"/>
      <c r="N1274" s="42"/>
      <c r="O1274" s="42"/>
      <c r="P1274" s="42"/>
      <c r="Q1274" s="42"/>
      <c r="R1274" s="42"/>
      <c r="S1274" s="42"/>
      <c r="T1274" s="42"/>
      <c r="U1274" s="42"/>
      <c r="V1274" s="42"/>
      <c r="W1274" s="42"/>
      <c r="X1274" s="42"/>
      <c r="Y1274" s="42"/>
      <c r="Z1274" s="42"/>
      <c r="AA1274" s="42"/>
      <c r="AB1274" s="42"/>
      <c r="AC1274" s="42"/>
      <c r="AD1274" s="42"/>
      <c r="AE1274" s="42"/>
      <c r="AF1274" s="42"/>
      <c r="AG1274" s="42"/>
      <c r="AH1274" s="42"/>
      <c r="AI1274" s="42"/>
      <c r="AJ1274" s="42"/>
      <c r="AK1274" s="42"/>
      <c r="AL1274" s="42"/>
      <c r="AM1274" s="42"/>
      <c r="AN1274" s="42"/>
      <c r="AO1274" s="42"/>
      <c r="AP1274" s="42"/>
      <c r="AQ1274" s="42"/>
      <c r="AR1274" s="42"/>
      <c r="AS1274" s="42"/>
      <c r="AT1274" s="42"/>
      <c r="AU1274" s="42"/>
      <c r="AV1274" s="42"/>
      <c r="AW1274" s="42"/>
      <c r="AX1274" s="42"/>
      <c r="AY1274" s="42"/>
      <c r="AZ1274" s="42"/>
      <c r="BA1274" s="42"/>
      <c r="BB1274" s="42"/>
      <c r="BC1274" s="42"/>
      <c r="BD1274" s="42"/>
      <c r="BE1274" s="42"/>
      <c r="BF1274" s="42"/>
      <c r="BG1274" s="42"/>
      <c r="BH1274" s="42"/>
      <c r="BI1274" s="42"/>
      <c r="BJ1274" s="42"/>
      <c r="BK1274" s="42"/>
      <c r="BL1274" s="42"/>
      <c r="BM1274" s="42"/>
      <c r="BN1274" s="42"/>
      <c r="BO1274" s="42"/>
    </row>
    <row r="1275">
      <c r="A1275" s="40"/>
      <c r="B1275" s="40"/>
      <c r="C1275" s="42"/>
      <c r="D1275" s="42"/>
      <c r="E1275" s="43"/>
      <c r="F1275" s="42"/>
      <c r="G1275" s="42"/>
      <c r="H1275" s="42"/>
      <c r="I1275" s="42"/>
      <c r="J1275" s="42"/>
      <c r="K1275" s="42"/>
      <c r="L1275" s="42"/>
      <c r="M1275" s="42"/>
      <c r="N1275" s="42"/>
      <c r="O1275" s="42"/>
      <c r="P1275" s="42"/>
      <c r="Q1275" s="42"/>
      <c r="R1275" s="42"/>
      <c r="S1275" s="42"/>
      <c r="T1275" s="42"/>
      <c r="U1275" s="42"/>
      <c r="V1275" s="42"/>
      <c r="W1275" s="42"/>
      <c r="X1275" s="42"/>
      <c r="Y1275" s="42"/>
      <c r="Z1275" s="42"/>
      <c r="AA1275" s="42"/>
      <c r="AB1275" s="42"/>
      <c r="AC1275" s="42"/>
      <c r="AD1275" s="42"/>
      <c r="AE1275" s="42"/>
      <c r="AF1275" s="42"/>
      <c r="AG1275" s="42"/>
      <c r="AH1275" s="42"/>
      <c r="AI1275" s="42"/>
      <c r="AJ1275" s="42"/>
      <c r="AK1275" s="42"/>
      <c r="AL1275" s="42"/>
      <c r="AM1275" s="42"/>
      <c r="AN1275" s="42"/>
      <c r="AO1275" s="42"/>
      <c r="AP1275" s="42"/>
      <c r="AQ1275" s="42"/>
      <c r="AR1275" s="42"/>
      <c r="AS1275" s="42"/>
      <c r="AT1275" s="42"/>
      <c r="AU1275" s="42"/>
      <c r="AV1275" s="42"/>
      <c r="AW1275" s="42"/>
      <c r="AX1275" s="42"/>
      <c r="AY1275" s="42"/>
      <c r="AZ1275" s="42"/>
      <c r="BA1275" s="42"/>
      <c r="BB1275" s="42"/>
      <c r="BC1275" s="42"/>
      <c r="BD1275" s="42"/>
      <c r="BE1275" s="42"/>
      <c r="BF1275" s="42"/>
      <c r="BG1275" s="42"/>
      <c r="BH1275" s="42"/>
      <c r="BI1275" s="42"/>
      <c r="BJ1275" s="42"/>
      <c r="BK1275" s="42"/>
      <c r="BL1275" s="42"/>
      <c r="BM1275" s="42"/>
      <c r="BN1275" s="42"/>
      <c r="BO1275" s="42"/>
    </row>
    <row r="1276">
      <c r="A1276" s="40"/>
      <c r="B1276" s="40"/>
      <c r="C1276" s="42"/>
      <c r="D1276" s="42"/>
      <c r="E1276" s="43"/>
      <c r="F1276" s="42"/>
      <c r="G1276" s="42"/>
      <c r="H1276" s="42"/>
      <c r="I1276" s="42"/>
      <c r="J1276" s="42"/>
      <c r="K1276" s="42"/>
      <c r="L1276" s="42"/>
      <c r="M1276" s="42"/>
      <c r="N1276" s="42"/>
      <c r="O1276" s="42"/>
      <c r="P1276" s="42"/>
      <c r="Q1276" s="42"/>
      <c r="R1276" s="42"/>
      <c r="S1276" s="42"/>
      <c r="T1276" s="42"/>
      <c r="U1276" s="42"/>
      <c r="V1276" s="42"/>
      <c r="W1276" s="42"/>
      <c r="X1276" s="42"/>
      <c r="Y1276" s="42"/>
      <c r="Z1276" s="42"/>
      <c r="AA1276" s="42"/>
      <c r="AB1276" s="42"/>
      <c r="AC1276" s="42"/>
      <c r="AD1276" s="42"/>
      <c r="AE1276" s="42"/>
      <c r="AF1276" s="42"/>
      <c r="AG1276" s="42"/>
      <c r="AH1276" s="42"/>
      <c r="AI1276" s="42"/>
      <c r="AJ1276" s="42"/>
      <c r="AK1276" s="42"/>
      <c r="AL1276" s="42"/>
      <c r="AM1276" s="42"/>
      <c r="AN1276" s="42"/>
      <c r="AO1276" s="42"/>
      <c r="AP1276" s="42"/>
      <c r="AQ1276" s="42"/>
      <c r="AR1276" s="42"/>
      <c r="AS1276" s="42"/>
      <c r="AT1276" s="42"/>
      <c r="AU1276" s="42"/>
      <c r="AV1276" s="42"/>
      <c r="AW1276" s="42"/>
      <c r="AX1276" s="42"/>
      <c r="AY1276" s="42"/>
      <c r="AZ1276" s="42"/>
      <c r="BA1276" s="42"/>
      <c r="BB1276" s="42"/>
      <c r="BC1276" s="42"/>
      <c r="BD1276" s="42"/>
      <c r="BE1276" s="42"/>
      <c r="BF1276" s="42"/>
      <c r="BG1276" s="42"/>
      <c r="BH1276" s="42"/>
      <c r="BI1276" s="42"/>
      <c r="BJ1276" s="42"/>
      <c r="BK1276" s="42"/>
      <c r="BL1276" s="42"/>
      <c r="BM1276" s="42"/>
      <c r="BN1276" s="42"/>
      <c r="BO1276" s="42"/>
    </row>
    <row r="1277">
      <c r="A1277" s="40"/>
      <c r="B1277" s="40"/>
      <c r="C1277" s="42"/>
      <c r="D1277" s="42"/>
      <c r="E1277" s="43"/>
      <c r="F1277" s="42"/>
      <c r="G1277" s="42"/>
      <c r="H1277" s="42"/>
      <c r="I1277" s="42"/>
      <c r="J1277" s="42"/>
      <c r="K1277" s="42"/>
      <c r="L1277" s="42"/>
      <c r="M1277" s="42"/>
      <c r="N1277" s="42"/>
      <c r="O1277" s="42"/>
      <c r="P1277" s="42"/>
      <c r="Q1277" s="42"/>
      <c r="R1277" s="42"/>
      <c r="S1277" s="42"/>
      <c r="T1277" s="42"/>
      <c r="U1277" s="42"/>
      <c r="V1277" s="42"/>
      <c r="W1277" s="42"/>
      <c r="X1277" s="42"/>
      <c r="Y1277" s="42"/>
      <c r="Z1277" s="42"/>
      <c r="AA1277" s="42"/>
      <c r="AB1277" s="42"/>
      <c r="AC1277" s="42"/>
      <c r="AD1277" s="42"/>
      <c r="AE1277" s="42"/>
      <c r="AF1277" s="42"/>
      <c r="AG1277" s="42"/>
      <c r="AH1277" s="42"/>
      <c r="AI1277" s="42"/>
      <c r="AJ1277" s="42"/>
      <c r="AK1277" s="42"/>
      <c r="AL1277" s="42"/>
      <c r="AM1277" s="42"/>
      <c r="AN1277" s="42"/>
      <c r="AO1277" s="42"/>
      <c r="AP1277" s="42"/>
      <c r="AQ1277" s="42"/>
      <c r="AR1277" s="42"/>
      <c r="AS1277" s="42"/>
      <c r="AT1277" s="42"/>
      <c r="AU1277" s="42"/>
      <c r="AV1277" s="42"/>
      <c r="AW1277" s="42"/>
      <c r="AX1277" s="42"/>
      <c r="AY1277" s="42"/>
      <c r="AZ1277" s="42"/>
      <c r="BA1277" s="42"/>
      <c r="BB1277" s="42"/>
      <c r="BC1277" s="42"/>
      <c r="BD1277" s="42"/>
      <c r="BE1277" s="42"/>
      <c r="BF1277" s="42"/>
      <c r="BG1277" s="42"/>
      <c r="BH1277" s="42"/>
      <c r="BI1277" s="42"/>
      <c r="BJ1277" s="42"/>
      <c r="BK1277" s="42"/>
      <c r="BL1277" s="42"/>
      <c r="BM1277" s="42"/>
      <c r="BN1277" s="42"/>
      <c r="BO1277" s="42"/>
    </row>
    <row r="1278">
      <c r="A1278" s="40"/>
      <c r="B1278" s="40"/>
      <c r="C1278" s="42"/>
      <c r="D1278" s="42"/>
      <c r="E1278" s="43"/>
      <c r="F1278" s="42"/>
      <c r="G1278" s="42"/>
      <c r="H1278" s="42"/>
      <c r="I1278" s="42"/>
      <c r="J1278" s="42"/>
      <c r="K1278" s="42"/>
      <c r="L1278" s="42"/>
      <c r="M1278" s="42"/>
      <c r="N1278" s="42"/>
      <c r="O1278" s="42"/>
      <c r="P1278" s="42"/>
      <c r="Q1278" s="42"/>
      <c r="R1278" s="42"/>
      <c r="S1278" s="42"/>
      <c r="T1278" s="42"/>
      <c r="U1278" s="42"/>
      <c r="V1278" s="42"/>
      <c r="W1278" s="42"/>
      <c r="X1278" s="42"/>
      <c r="Y1278" s="42"/>
      <c r="Z1278" s="42"/>
      <c r="AA1278" s="42"/>
      <c r="AB1278" s="42"/>
      <c r="AC1278" s="42"/>
      <c r="AD1278" s="42"/>
      <c r="AE1278" s="42"/>
      <c r="AF1278" s="42"/>
      <c r="AG1278" s="42"/>
      <c r="AH1278" s="42"/>
      <c r="AI1278" s="42"/>
      <c r="AJ1278" s="42"/>
      <c r="AK1278" s="42"/>
      <c r="AL1278" s="42"/>
      <c r="AM1278" s="42"/>
      <c r="AN1278" s="42"/>
      <c r="AO1278" s="42"/>
      <c r="AP1278" s="42"/>
      <c r="AQ1278" s="42"/>
      <c r="AR1278" s="42"/>
      <c r="AS1278" s="42"/>
      <c r="AT1278" s="42"/>
      <c r="AU1278" s="42"/>
      <c r="AV1278" s="42"/>
      <c r="AW1278" s="42"/>
      <c r="AX1278" s="42"/>
      <c r="AY1278" s="42"/>
      <c r="AZ1278" s="42"/>
      <c r="BA1278" s="42"/>
      <c r="BB1278" s="42"/>
      <c r="BC1278" s="42"/>
      <c r="BD1278" s="42"/>
      <c r="BE1278" s="42"/>
      <c r="BF1278" s="42"/>
      <c r="BG1278" s="42"/>
      <c r="BH1278" s="42"/>
      <c r="BI1278" s="42"/>
      <c r="BJ1278" s="42"/>
      <c r="BK1278" s="42"/>
      <c r="BL1278" s="42"/>
      <c r="BM1278" s="42"/>
      <c r="BN1278" s="42"/>
      <c r="BO1278" s="42"/>
    </row>
    <row r="1279">
      <c r="A1279" s="40"/>
      <c r="B1279" s="40"/>
      <c r="C1279" s="42"/>
      <c r="D1279" s="42"/>
      <c r="E1279" s="43"/>
      <c r="F1279" s="42"/>
      <c r="G1279" s="42"/>
      <c r="H1279" s="42"/>
      <c r="I1279" s="42"/>
      <c r="J1279" s="42"/>
      <c r="K1279" s="42"/>
      <c r="L1279" s="42"/>
      <c r="M1279" s="42"/>
      <c r="N1279" s="42"/>
      <c r="O1279" s="42"/>
      <c r="P1279" s="42"/>
      <c r="Q1279" s="42"/>
      <c r="R1279" s="42"/>
      <c r="S1279" s="42"/>
      <c r="T1279" s="42"/>
      <c r="U1279" s="42"/>
      <c r="V1279" s="42"/>
      <c r="W1279" s="42"/>
      <c r="X1279" s="42"/>
      <c r="Y1279" s="42"/>
      <c r="Z1279" s="42"/>
      <c r="AA1279" s="42"/>
      <c r="AB1279" s="42"/>
      <c r="AC1279" s="42"/>
      <c r="AD1279" s="42"/>
      <c r="AE1279" s="42"/>
      <c r="AF1279" s="42"/>
      <c r="AG1279" s="42"/>
      <c r="AH1279" s="42"/>
      <c r="AI1279" s="42"/>
      <c r="AJ1279" s="42"/>
      <c r="AK1279" s="42"/>
      <c r="AL1279" s="42"/>
      <c r="AM1279" s="42"/>
      <c r="AN1279" s="42"/>
      <c r="AO1279" s="42"/>
      <c r="AP1279" s="42"/>
      <c r="AQ1279" s="42"/>
      <c r="AR1279" s="42"/>
      <c r="AS1279" s="42"/>
      <c r="AT1279" s="42"/>
      <c r="AU1279" s="42"/>
      <c r="AV1279" s="42"/>
      <c r="AW1279" s="42"/>
      <c r="AX1279" s="42"/>
      <c r="AY1279" s="42"/>
      <c r="AZ1279" s="42"/>
      <c r="BA1279" s="42"/>
      <c r="BB1279" s="42"/>
      <c r="BC1279" s="42"/>
      <c r="BD1279" s="42"/>
      <c r="BE1279" s="42"/>
      <c r="BF1279" s="42"/>
      <c r="BG1279" s="42"/>
      <c r="BH1279" s="42"/>
      <c r="BI1279" s="42"/>
      <c r="BJ1279" s="42"/>
      <c r="BK1279" s="42"/>
      <c r="BL1279" s="42"/>
      <c r="BM1279" s="42"/>
      <c r="BN1279" s="42"/>
      <c r="BO1279" s="42"/>
    </row>
    <row r="1280">
      <c r="A1280" s="40"/>
      <c r="B1280" s="40"/>
      <c r="C1280" s="42"/>
      <c r="D1280" s="42"/>
      <c r="E1280" s="43"/>
      <c r="F1280" s="42"/>
      <c r="G1280" s="42"/>
      <c r="H1280" s="42"/>
      <c r="I1280" s="42"/>
      <c r="J1280" s="42"/>
      <c r="K1280" s="42"/>
      <c r="L1280" s="42"/>
      <c r="M1280" s="42"/>
      <c r="N1280" s="42"/>
      <c r="O1280" s="42"/>
      <c r="P1280" s="42"/>
      <c r="Q1280" s="42"/>
      <c r="R1280" s="42"/>
      <c r="S1280" s="42"/>
      <c r="T1280" s="42"/>
      <c r="U1280" s="42"/>
      <c r="V1280" s="42"/>
      <c r="W1280" s="42"/>
      <c r="X1280" s="42"/>
      <c r="Y1280" s="42"/>
      <c r="Z1280" s="42"/>
      <c r="AA1280" s="42"/>
      <c r="AB1280" s="42"/>
      <c r="AC1280" s="42"/>
      <c r="AD1280" s="42"/>
      <c r="AE1280" s="42"/>
      <c r="AF1280" s="42"/>
      <c r="AG1280" s="42"/>
      <c r="AH1280" s="42"/>
      <c r="AI1280" s="42"/>
      <c r="AJ1280" s="42"/>
      <c r="AK1280" s="42"/>
      <c r="AL1280" s="42"/>
      <c r="AM1280" s="42"/>
      <c r="AN1280" s="42"/>
      <c r="AO1280" s="42"/>
      <c r="AP1280" s="42"/>
      <c r="AQ1280" s="42"/>
      <c r="AR1280" s="42"/>
      <c r="AS1280" s="42"/>
      <c r="AT1280" s="42"/>
      <c r="AU1280" s="42"/>
      <c r="AV1280" s="42"/>
      <c r="AW1280" s="42"/>
      <c r="AX1280" s="42"/>
      <c r="AY1280" s="42"/>
      <c r="AZ1280" s="42"/>
      <c r="BA1280" s="42"/>
      <c r="BB1280" s="42"/>
      <c r="BC1280" s="42"/>
      <c r="BD1280" s="42"/>
      <c r="BE1280" s="42"/>
      <c r="BF1280" s="42"/>
      <c r="BG1280" s="42"/>
      <c r="BH1280" s="42"/>
      <c r="BI1280" s="42"/>
      <c r="BJ1280" s="42"/>
      <c r="BK1280" s="42"/>
      <c r="BL1280" s="42"/>
      <c r="BM1280" s="42"/>
      <c r="BN1280" s="42"/>
      <c r="BO1280" s="42"/>
    </row>
    <row r="1281">
      <c r="A1281" s="40"/>
      <c r="B1281" s="40"/>
      <c r="C1281" s="42"/>
      <c r="D1281" s="42"/>
      <c r="E1281" s="43"/>
      <c r="F1281" s="42"/>
      <c r="G1281" s="42"/>
      <c r="H1281" s="42"/>
      <c r="I1281" s="42"/>
      <c r="J1281" s="42"/>
      <c r="K1281" s="42"/>
      <c r="L1281" s="42"/>
      <c r="M1281" s="42"/>
      <c r="N1281" s="42"/>
      <c r="O1281" s="42"/>
      <c r="P1281" s="42"/>
      <c r="Q1281" s="42"/>
      <c r="R1281" s="42"/>
      <c r="S1281" s="42"/>
      <c r="T1281" s="42"/>
      <c r="U1281" s="42"/>
      <c r="V1281" s="42"/>
      <c r="W1281" s="42"/>
      <c r="X1281" s="42"/>
      <c r="Y1281" s="42"/>
      <c r="Z1281" s="42"/>
      <c r="AA1281" s="42"/>
      <c r="AB1281" s="42"/>
      <c r="AC1281" s="42"/>
      <c r="AD1281" s="42"/>
      <c r="AE1281" s="42"/>
      <c r="AF1281" s="42"/>
      <c r="AG1281" s="42"/>
      <c r="AH1281" s="42"/>
      <c r="AI1281" s="42"/>
      <c r="AJ1281" s="42"/>
      <c r="AK1281" s="42"/>
      <c r="AL1281" s="42"/>
      <c r="AM1281" s="42"/>
      <c r="AN1281" s="42"/>
      <c r="AO1281" s="42"/>
      <c r="AP1281" s="42"/>
      <c r="AQ1281" s="42"/>
      <c r="AR1281" s="42"/>
      <c r="AS1281" s="42"/>
      <c r="AT1281" s="42"/>
      <c r="AU1281" s="42"/>
      <c r="AV1281" s="42"/>
      <c r="AW1281" s="42"/>
      <c r="AX1281" s="42"/>
      <c r="AY1281" s="42"/>
      <c r="AZ1281" s="42"/>
      <c r="BA1281" s="42"/>
      <c r="BB1281" s="42"/>
      <c r="BC1281" s="42"/>
      <c r="BD1281" s="42"/>
      <c r="BE1281" s="42"/>
      <c r="BF1281" s="42"/>
      <c r="BG1281" s="42"/>
      <c r="BH1281" s="42"/>
      <c r="BI1281" s="42"/>
      <c r="BJ1281" s="42"/>
      <c r="BK1281" s="42"/>
      <c r="BL1281" s="42"/>
      <c r="BM1281" s="42"/>
      <c r="BN1281" s="42"/>
      <c r="BO1281" s="42"/>
    </row>
    <row r="1282">
      <c r="A1282" s="40"/>
      <c r="B1282" s="40"/>
      <c r="C1282" s="42"/>
      <c r="D1282" s="42"/>
      <c r="E1282" s="43"/>
      <c r="F1282" s="42"/>
      <c r="G1282" s="42"/>
      <c r="H1282" s="42"/>
      <c r="I1282" s="42"/>
      <c r="J1282" s="42"/>
      <c r="K1282" s="42"/>
      <c r="L1282" s="42"/>
      <c r="M1282" s="42"/>
      <c r="N1282" s="42"/>
      <c r="O1282" s="42"/>
      <c r="P1282" s="42"/>
      <c r="Q1282" s="42"/>
      <c r="R1282" s="42"/>
      <c r="S1282" s="42"/>
      <c r="T1282" s="42"/>
      <c r="U1282" s="42"/>
      <c r="V1282" s="42"/>
      <c r="W1282" s="42"/>
      <c r="X1282" s="42"/>
      <c r="Y1282" s="42"/>
      <c r="Z1282" s="42"/>
      <c r="AA1282" s="42"/>
      <c r="AB1282" s="42"/>
      <c r="AC1282" s="42"/>
      <c r="AD1282" s="42"/>
      <c r="AE1282" s="42"/>
      <c r="AF1282" s="42"/>
      <c r="AG1282" s="42"/>
      <c r="AH1282" s="42"/>
      <c r="AI1282" s="42"/>
      <c r="AJ1282" s="42"/>
      <c r="AK1282" s="42"/>
      <c r="AL1282" s="42"/>
      <c r="AM1282" s="42"/>
      <c r="AN1282" s="42"/>
      <c r="AO1282" s="42"/>
      <c r="AP1282" s="42"/>
      <c r="AQ1282" s="42"/>
      <c r="AR1282" s="42"/>
      <c r="AS1282" s="42"/>
      <c r="AT1282" s="42"/>
      <c r="AU1282" s="42"/>
      <c r="AV1282" s="42"/>
      <c r="AW1282" s="42"/>
      <c r="AX1282" s="42"/>
      <c r="AY1282" s="42"/>
      <c r="AZ1282" s="42"/>
      <c r="BA1282" s="42"/>
      <c r="BB1282" s="42"/>
      <c r="BC1282" s="42"/>
      <c r="BD1282" s="42"/>
      <c r="BE1282" s="42"/>
      <c r="BF1282" s="42"/>
      <c r="BG1282" s="42"/>
      <c r="BH1282" s="42"/>
      <c r="BI1282" s="42"/>
      <c r="BJ1282" s="42"/>
      <c r="BK1282" s="42"/>
      <c r="BL1282" s="42"/>
      <c r="BM1282" s="42"/>
      <c r="BN1282" s="42"/>
      <c r="BO1282" s="42"/>
    </row>
    <row r="1283">
      <c r="A1283" s="40"/>
      <c r="B1283" s="40"/>
      <c r="C1283" s="42"/>
      <c r="D1283" s="42"/>
      <c r="E1283" s="43"/>
      <c r="F1283" s="42"/>
      <c r="G1283" s="42"/>
      <c r="H1283" s="42"/>
      <c r="I1283" s="42"/>
      <c r="J1283" s="42"/>
      <c r="K1283" s="42"/>
      <c r="L1283" s="42"/>
      <c r="M1283" s="42"/>
      <c r="N1283" s="42"/>
      <c r="O1283" s="42"/>
      <c r="P1283" s="42"/>
      <c r="Q1283" s="42"/>
      <c r="R1283" s="42"/>
      <c r="S1283" s="42"/>
      <c r="T1283" s="42"/>
      <c r="U1283" s="42"/>
      <c r="V1283" s="42"/>
      <c r="W1283" s="42"/>
      <c r="X1283" s="42"/>
      <c r="Y1283" s="42"/>
      <c r="Z1283" s="42"/>
      <c r="AA1283" s="42"/>
      <c r="AB1283" s="42"/>
      <c r="AC1283" s="42"/>
      <c r="AD1283" s="42"/>
      <c r="AE1283" s="42"/>
      <c r="AF1283" s="42"/>
      <c r="AG1283" s="42"/>
      <c r="AH1283" s="42"/>
      <c r="AI1283" s="42"/>
      <c r="AJ1283" s="42"/>
      <c r="AK1283" s="42"/>
      <c r="AL1283" s="42"/>
      <c r="AM1283" s="42"/>
      <c r="AN1283" s="42"/>
      <c r="AO1283" s="42"/>
      <c r="AP1283" s="42"/>
      <c r="AQ1283" s="42"/>
      <c r="AR1283" s="42"/>
      <c r="AS1283" s="42"/>
      <c r="AT1283" s="42"/>
      <c r="AU1283" s="42"/>
      <c r="AV1283" s="42"/>
      <c r="AW1283" s="42"/>
      <c r="AX1283" s="42"/>
      <c r="AY1283" s="42"/>
      <c r="AZ1283" s="42"/>
      <c r="BA1283" s="42"/>
      <c r="BB1283" s="42"/>
      <c r="BC1283" s="42"/>
      <c r="BD1283" s="42"/>
      <c r="BE1283" s="42"/>
      <c r="BF1283" s="42"/>
      <c r="BG1283" s="42"/>
      <c r="BH1283" s="42"/>
      <c r="BI1283" s="42"/>
      <c r="BJ1283" s="42"/>
      <c r="BK1283" s="42"/>
      <c r="BL1283" s="42"/>
      <c r="BM1283" s="42"/>
      <c r="BN1283" s="42"/>
      <c r="BO1283" s="42"/>
    </row>
    <row r="1284">
      <c r="A1284" s="40"/>
      <c r="B1284" s="40"/>
      <c r="C1284" s="42"/>
      <c r="D1284" s="42"/>
      <c r="E1284" s="43"/>
      <c r="F1284" s="42"/>
      <c r="G1284" s="42"/>
      <c r="H1284" s="42"/>
      <c r="I1284" s="42"/>
      <c r="J1284" s="42"/>
      <c r="K1284" s="42"/>
      <c r="L1284" s="42"/>
      <c r="M1284" s="42"/>
      <c r="N1284" s="42"/>
      <c r="O1284" s="42"/>
      <c r="P1284" s="42"/>
      <c r="Q1284" s="42"/>
      <c r="R1284" s="42"/>
      <c r="S1284" s="42"/>
      <c r="T1284" s="42"/>
      <c r="U1284" s="42"/>
      <c r="V1284" s="42"/>
      <c r="W1284" s="42"/>
      <c r="X1284" s="42"/>
      <c r="Y1284" s="42"/>
      <c r="Z1284" s="42"/>
      <c r="AA1284" s="42"/>
      <c r="AB1284" s="42"/>
      <c r="AC1284" s="42"/>
      <c r="AD1284" s="42"/>
      <c r="AE1284" s="42"/>
      <c r="AF1284" s="42"/>
      <c r="AG1284" s="42"/>
      <c r="AH1284" s="42"/>
      <c r="AI1284" s="42"/>
      <c r="AJ1284" s="42"/>
      <c r="AK1284" s="42"/>
      <c r="AL1284" s="42"/>
      <c r="AM1284" s="42"/>
      <c r="AN1284" s="42"/>
      <c r="AO1284" s="42"/>
      <c r="AP1284" s="42"/>
      <c r="AQ1284" s="42"/>
      <c r="AR1284" s="42"/>
      <c r="AS1284" s="42"/>
      <c r="AT1284" s="42"/>
      <c r="AU1284" s="42"/>
      <c r="AV1284" s="42"/>
      <c r="AW1284" s="42"/>
      <c r="AX1284" s="42"/>
      <c r="AY1284" s="42"/>
      <c r="AZ1284" s="42"/>
      <c r="BA1284" s="42"/>
      <c r="BB1284" s="42"/>
      <c r="BC1284" s="42"/>
      <c r="BD1284" s="42"/>
      <c r="BE1284" s="42"/>
      <c r="BF1284" s="42"/>
      <c r="BG1284" s="42"/>
      <c r="BH1284" s="42"/>
      <c r="BI1284" s="42"/>
      <c r="BJ1284" s="42"/>
      <c r="BK1284" s="42"/>
      <c r="BL1284" s="42"/>
      <c r="BM1284" s="42"/>
      <c r="BN1284" s="42"/>
      <c r="BO1284" s="42"/>
    </row>
    <row r="1285">
      <c r="A1285" s="40"/>
      <c r="B1285" s="40"/>
      <c r="C1285" s="42"/>
      <c r="D1285" s="42"/>
      <c r="E1285" s="43"/>
      <c r="F1285" s="42"/>
      <c r="G1285" s="42"/>
      <c r="H1285" s="42"/>
      <c r="I1285" s="42"/>
      <c r="J1285" s="42"/>
      <c r="K1285" s="42"/>
      <c r="L1285" s="42"/>
      <c r="M1285" s="42"/>
      <c r="N1285" s="42"/>
      <c r="O1285" s="42"/>
      <c r="P1285" s="42"/>
      <c r="Q1285" s="42"/>
      <c r="R1285" s="42"/>
      <c r="S1285" s="42"/>
      <c r="T1285" s="42"/>
      <c r="U1285" s="42"/>
      <c r="V1285" s="42"/>
      <c r="W1285" s="42"/>
      <c r="X1285" s="42"/>
      <c r="Y1285" s="42"/>
      <c r="Z1285" s="42"/>
      <c r="AA1285" s="42"/>
      <c r="AB1285" s="42"/>
      <c r="AC1285" s="42"/>
      <c r="AD1285" s="42"/>
      <c r="AE1285" s="42"/>
      <c r="AF1285" s="42"/>
      <c r="AG1285" s="42"/>
      <c r="AH1285" s="42"/>
      <c r="AI1285" s="42"/>
      <c r="AJ1285" s="42"/>
      <c r="AK1285" s="42"/>
      <c r="AL1285" s="42"/>
      <c r="AM1285" s="42"/>
      <c r="AN1285" s="42"/>
      <c r="AO1285" s="42"/>
      <c r="AP1285" s="42"/>
      <c r="AQ1285" s="42"/>
      <c r="AR1285" s="42"/>
      <c r="AS1285" s="42"/>
      <c r="AT1285" s="42"/>
      <c r="AU1285" s="42"/>
      <c r="AV1285" s="42"/>
      <c r="AW1285" s="42"/>
      <c r="AX1285" s="42"/>
      <c r="AY1285" s="42"/>
      <c r="AZ1285" s="42"/>
      <c r="BA1285" s="42"/>
      <c r="BB1285" s="42"/>
      <c r="BC1285" s="42"/>
      <c r="BD1285" s="42"/>
      <c r="BE1285" s="42"/>
      <c r="BF1285" s="42"/>
      <c r="BG1285" s="42"/>
      <c r="BH1285" s="42"/>
      <c r="BI1285" s="42"/>
      <c r="BJ1285" s="42"/>
      <c r="BK1285" s="42"/>
      <c r="BL1285" s="42"/>
      <c r="BM1285" s="42"/>
      <c r="BN1285" s="42"/>
      <c r="BO1285" s="42"/>
    </row>
    <row r="1286">
      <c r="A1286" s="40"/>
      <c r="B1286" s="40"/>
      <c r="C1286" s="42"/>
      <c r="D1286" s="42"/>
      <c r="E1286" s="43"/>
      <c r="F1286" s="42"/>
      <c r="G1286" s="42"/>
      <c r="H1286" s="42"/>
      <c r="I1286" s="42"/>
      <c r="J1286" s="42"/>
      <c r="K1286" s="42"/>
      <c r="L1286" s="42"/>
      <c r="M1286" s="42"/>
      <c r="N1286" s="42"/>
      <c r="O1286" s="42"/>
      <c r="P1286" s="42"/>
      <c r="Q1286" s="42"/>
      <c r="R1286" s="42"/>
      <c r="S1286" s="42"/>
      <c r="T1286" s="42"/>
      <c r="U1286" s="42"/>
      <c r="V1286" s="42"/>
      <c r="W1286" s="42"/>
      <c r="X1286" s="42"/>
      <c r="Y1286" s="42"/>
      <c r="Z1286" s="42"/>
      <c r="AA1286" s="42"/>
      <c r="AB1286" s="42"/>
      <c r="AC1286" s="42"/>
      <c r="AD1286" s="42"/>
      <c r="AE1286" s="42"/>
      <c r="AF1286" s="42"/>
      <c r="AG1286" s="42"/>
      <c r="AH1286" s="42"/>
      <c r="AI1286" s="42"/>
      <c r="AJ1286" s="42"/>
      <c r="AK1286" s="42"/>
      <c r="AL1286" s="42"/>
      <c r="AM1286" s="42"/>
      <c r="AN1286" s="42"/>
      <c r="AO1286" s="42"/>
      <c r="AP1286" s="42"/>
      <c r="AQ1286" s="42"/>
      <c r="AR1286" s="42"/>
      <c r="AS1286" s="42"/>
      <c r="AT1286" s="42"/>
      <c r="AU1286" s="42"/>
      <c r="AV1286" s="42"/>
      <c r="AW1286" s="42"/>
      <c r="AX1286" s="42"/>
      <c r="AY1286" s="42"/>
      <c r="AZ1286" s="42"/>
      <c r="BA1286" s="42"/>
      <c r="BB1286" s="42"/>
      <c r="BC1286" s="42"/>
      <c r="BD1286" s="42"/>
      <c r="BE1286" s="42"/>
      <c r="BF1286" s="42"/>
      <c r="BG1286" s="42"/>
      <c r="BH1286" s="42"/>
      <c r="BI1286" s="42"/>
      <c r="BJ1286" s="42"/>
      <c r="BK1286" s="42"/>
      <c r="BL1286" s="42"/>
      <c r="BM1286" s="42"/>
      <c r="BN1286" s="42"/>
      <c r="BO1286" s="42"/>
    </row>
    <row r="1287">
      <c r="A1287" s="40"/>
      <c r="B1287" s="40"/>
      <c r="C1287" s="42"/>
      <c r="D1287" s="42"/>
      <c r="E1287" s="43"/>
      <c r="F1287" s="42"/>
      <c r="G1287" s="42"/>
      <c r="H1287" s="42"/>
      <c r="I1287" s="42"/>
      <c r="J1287" s="42"/>
      <c r="K1287" s="42"/>
      <c r="L1287" s="42"/>
      <c r="M1287" s="42"/>
      <c r="N1287" s="42"/>
      <c r="O1287" s="42"/>
      <c r="P1287" s="42"/>
      <c r="Q1287" s="42"/>
      <c r="R1287" s="42"/>
      <c r="S1287" s="42"/>
      <c r="T1287" s="42"/>
      <c r="U1287" s="42"/>
      <c r="V1287" s="42"/>
      <c r="W1287" s="42"/>
      <c r="X1287" s="42"/>
      <c r="Y1287" s="42"/>
      <c r="Z1287" s="42"/>
      <c r="AA1287" s="42"/>
      <c r="AB1287" s="42"/>
      <c r="AC1287" s="42"/>
      <c r="AD1287" s="42"/>
      <c r="AE1287" s="42"/>
      <c r="AF1287" s="42"/>
      <c r="AG1287" s="42"/>
      <c r="AH1287" s="42"/>
      <c r="AI1287" s="42"/>
      <c r="AJ1287" s="42"/>
      <c r="AK1287" s="42"/>
      <c r="AL1287" s="42"/>
      <c r="AM1287" s="42"/>
      <c r="AN1287" s="42"/>
      <c r="AO1287" s="42"/>
      <c r="AP1287" s="42"/>
      <c r="AQ1287" s="42"/>
      <c r="AR1287" s="42"/>
      <c r="AS1287" s="42"/>
      <c r="AT1287" s="42"/>
      <c r="AU1287" s="42"/>
      <c r="AV1287" s="42"/>
      <c r="AW1287" s="42"/>
      <c r="AX1287" s="42"/>
      <c r="AY1287" s="42"/>
      <c r="AZ1287" s="42"/>
      <c r="BA1287" s="42"/>
      <c r="BB1287" s="42"/>
      <c r="BC1287" s="42"/>
      <c r="BD1287" s="42"/>
      <c r="BE1287" s="42"/>
      <c r="BF1287" s="42"/>
      <c r="BG1287" s="42"/>
      <c r="BH1287" s="42"/>
      <c r="BI1287" s="42"/>
      <c r="BJ1287" s="42"/>
      <c r="BK1287" s="42"/>
      <c r="BL1287" s="42"/>
      <c r="BM1287" s="42"/>
      <c r="BN1287" s="42"/>
      <c r="BO1287" s="42"/>
    </row>
    <row r="1288">
      <c r="A1288" s="40"/>
      <c r="B1288" s="40"/>
      <c r="C1288" s="42"/>
      <c r="D1288" s="42"/>
      <c r="E1288" s="43"/>
      <c r="F1288" s="42"/>
      <c r="G1288" s="42"/>
      <c r="H1288" s="42"/>
      <c r="I1288" s="42"/>
      <c r="J1288" s="42"/>
      <c r="K1288" s="42"/>
      <c r="L1288" s="42"/>
      <c r="M1288" s="42"/>
      <c r="N1288" s="42"/>
      <c r="O1288" s="42"/>
      <c r="P1288" s="42"/>
      <c r="Q1288" s="42"/>
      <c r="R1288" s="42"/>
      <c r="S1288" s="42"/>
      <c r="T1288" s="42"/>
      <c r="U1288" s="42"/>
      <c r="V1288" s="42"/>
      <c r="W1288" s="42"/>
      <c r="X1288" s="42"/>
      <c r="Y1288" s="42"/>
      <c r="Z1288" s="42"/>
      <c r="AA1288" s="42"/>
      <c r="AB1288" s="42"/>
      <c r="AC1288" s="42"/>
      <c r="AD1288" s="42"/>
      <c r="AE1288" s="42"/>
      <c r="AF1288" s="42"/>
      <c r="AG1288" s="42"/>
      <c r="AH1288" s="42"/>
      <c r="AI1288" s="42"/>
      <c r="AJ1288" s="42"/>
      <c r="AK1288" s="42"/>
      <c r="AL1288" s="42"/>
      <c r="AM1288" s="42"/>
      <c r="AN1288" s="42"/>
      <c r="AO1288" s="42"/>
      <c r="AP1288" s="42"/>
      <c r="AQ1288" s="42"/>
      <c r="AR1288" s="42"/>
      <c r="AS1288" s="42"/>
      <c r="AT1288" s="42"/>
      <c r="AU1288" s="42"/>
      <c r="AV1288" s="42"/>
      <c r="AW1288" s="42"/>
      <c r="AX1288" s="42"/>
      <c r="AY1288" s="42"/>
      <c r="AZ1288" s="42"/>
      <c r="BA1288" s="42"/>
      <c r="BB1288" s="42"/>
      <c r="BC1288" s="42"/>
      <c r="BD1288" s="42"/>
      <c r="BE1288" s="42"/>
      <c r="BF1288" s="42"/>
      <c r="BG1288" s="42"/>
      <c r="BH1288" s="42"/>
      <c r="BI1288" s="42"/>
      <c r="BJ1288" s="42"/>
      <c r="BK1288" s="42"/>
      <c r="BL1288" s="42"/>
      <c r="BM1288" s="42"/>
      <c r="BN1288" s="42"/>
      <c r="BO1288" s="42"/>
    </row>
    <row r="1289">
      <c r="A1289" s="40"/>
      <c r="B1289" s="40"/>
      <c r="C1289" s="42"/>
      <c r="D1289" s="42"/>
      <c r="E1289" s="43"/>
      <c r="F1289" s="42"/>
      <c r="G1289" s="42"/>
      <c r="H1289" s="42"/>
      <c r="I1289" s="42"/>
      <c r="J1289" s="42"/>
      <c r="K1289" s="42"/>
      <c r="L1289" s="42"/>
      <c r="M1289" s="42"/>
      <c r="N1289" s="42"/>
      <c r="O1289" s="42"/>
      <c r="P1289" s="42"/>
      <c r="Q1289" s="42"/>
      <c r="R1289" s="42"/>
      <c r="S1289" s="42"/>
      <c r="T1289" s="42"/>
      <c r="U1289" s="42"/>
      <c r="V1289" s="42"/>
      <c r="W1289" s="42"/>
      <c r="X1289" s="42"/>
      <c r="Y1289" s="42"/>
      <c r="Z1289" s="42"/>
      <c r="AA1289" s="42"/>
      <c r="AB1289" s="42"/>
      <c r="AC1289" s="42"/>
      <c r="AD1289" s="42"/>
      <c r="AE1289" s="42"/>
      <c r="AF1289" s="42"/>
      <c r="AG1289" s="42"/>
      <c r="AH1289" s="42"/>
      <c r="AI1289" s="42"/>
      <c r="AJ1289" s="42"/>
      <c r="AK1289" s="42"/>
      <c r="AL1289" s="42"/>
      <c r="AM1289" s="42"/>
      <c r="AN1289" s="42"/>
      <c r="AO1289" s="42"/>
      <c r="AP1289" s="42"/>
      <c r="AQ1289" s="42"/>
      <c r="AR1289" s="42"/>
      <c r="AS1289" s="42"/>
      <c r="AT1289" s="42"/>
      <c r="AU1289" s="42"/>
      <c r="AV1289" s="42"/>
      <c r="AW1289" s="42"/>
      <c r="AX1289" s="42"/>
      <c r="AY1289" s="42"/>
      <c r="AZ1289" s="42"/>
      <c r="BA1289" s="42"/>
      <c r="BB1289" s="42"/>
      <c r="BC1289" s="42"/>
      <c r="BD1289" s="42"/>
      <c r="BE1289" s="42"/>
      <c r="BF1289" s="42"/>
      <c r="BG1289" s="42"/>
      <c r="BH1289" s="42"/>
      <c r="BI1289" s="42"/>
      <c r="BJ1289" s="42"/>
      <c r="BK1289" s="42"/>
      <c r="BL1289" s="42"/>
      <c r="BM1289" s="42"/>
      <c r="BN1289" s="42"/>
      <c r="BO1289" s="42"/>
    </row>
    <row r="1290">
      <c r="A1290" s="40"/>
      <c r="B1290" s="40"/>
      <c r="C1290" s="42"/>
      <c r="D1290" s="42"/>
      <c r="E1290" s="43"/>
      <c r="F1290" s="42"/>
      <c r="G1290" s="42"/>
      <c r="H1290" s="42"/>
      <c r="I1290" s="42"/>
      <c r="J1290" s="42"/>
      <c r="K1290" s="42"/>
      <c r="L1290" s="42"/>
      <c r="M1290" s="42"/>
      <c r="N1290" s="42"/>
      <c r="O1290" s="42"/>
      <c r="P1290" s="42"/>
      <c r="Q1290" s="42"/>
      <c r="R1290" s="42"/>
      <c r="S1290" s="42"/>
      <c r="T1290" s="42"/>
      <c r="U1290" s="42"/>
      <c r="V1290" s="42"/>
      <c r="W1290" s="42"/>
      <c r="X1290" s="42"/>
      <c r="Y1290" s="42"/>
      <c r="Z1290" s="42"/>
      <c r="AA1290" s="42"/>
      <c r="AB1290" s="42"/>
      <c r="AC1290" s="42"/>
      <c r="AD1290" s="42"/>
      <c r="AE1290" s="42"/>
      <c r="AF1290" s="42"/>
      <c r="AG1290" s="42"/>
      <c r="AH1290" s="42"/>
      <c r="AI1290" s="42"/>
      <c r="AJ1290" s="42"/>
      <c r="AK1290" s="42"/>
      <c r="AL1290" s="42"/>
      <c r="AM1290" s="42"/>
      <c r="AN1290" s="42"/>
      <c r="AO1290" s="42"/>
      <c r="AP1290" s="42"/>
      <c r="AQ1290" s="42"/>
      <c r="AR1290" s="42"/>
      <c r="AS1290" s="42"/>
      <c r="AT1290" s="42"/>
      <c r="AU1290" s="42"/>
      <c r="AV1290" s="42"/>
      <c r="AW1290" s="42"/>
      <c r="AX1290" s="42"/>
      <c r="AY1290" s="42"/>
      <c r="AZ1290" s="42"/>
      <c r="BA1290" s="42"/>
      <c r="BB1290" s="42"/>
      <c r="BC1290" s="42"/>
      <c r="BD1290" s="42"/>
      <c r="BE1290" s="42"/>
      <c r="BF1290" s="42"/>
      <c r="BG1290" s="42"/>
      <c r="BH1290" s="42"/>
      <c r="BI1290" s="42"/>
      <c r="BJ1290" s="42"/>
      <c r="BK1290" s="42"/>
      <c r="BL1290" s="42"/>
      <c r="BM1290" s="42"/>
      <c r="BN1290" s="42"/>
      <c r="BO1290" s="42"/>
    </row>
    <row r="1291">
      <c r="A1291" s="40"/>
      <c r="B1291" s="40"/>
      <c r="C1291" s="42"/>
      <c r="D1291" s="42"/>
      <c r="E1291" s="43"/>
      <c r="F1291" s="42"/>
      <c r="G1291" s="42"/>
      <c r="H1291" s="42"/>
      <c r="I1291" s="42"/>
      <c r="J1291" s="42"/>
      <c r="K1291" s="42"/>
      <c r="L1291" s="42"/>
      <c r="M1291" s="42"/>
      <c r="N1291" s="42"/>
      <c r="O1291" s="42"/>
      <c r="P1291" s="42"/>
      <c r="Q1291" s="42"/>
      <c r="R1291" s="42"/>
      <c r="S1291" s="42"/>
      <c r="T1291" s="42"/>
      <c r="U1291" s="42"/>
      <c r="V1291" s="42"/>
      <c r="W1291" s="42"/>
      <c r="X1291" s="42"/>
      <c r="Y1291" s="42"/>
      <c r="Z1291" s="42"/>
      <c r="AA1291" s="42"/>
      <c r="AB1291" s="42"/>
      <c r="AC1291" s="42"/>
      <c r="AD1291" s="42"/>
      <c r="AE1291" s="42"/>
      <c r="AF1291" s="42"/>
      <c r="AG1291" s="42"/>
      <c r="AH1291" s="42"/>
      <c r="AI1291" s="42"/>
      <c r="AJ1291" s="42"/>
      <c r="AK1291" s="42"/>
      <c r="AL1291" s="42"/>
      <c r="AM1291" s="42"/>
      <c r="AN1291" s="42"/>
      <c r="AO1291" s="42"/>
      <c r="AP1291" s="42"/>
      <c r="AQ1291" s="42"/>
      <c r="AR1291" s="42"/>
      <c r="AS1291" s="42"/>
      <c r="AT1291" s="42"/>
      <c r="AU1291" s="42"/>
      <c r="AV1291" s="42"/>
      <c r="AW1291" s="42"/>
      <c r="AX1291" s="42"/>
      <c r="AY1291" s="42"/>
      <c r="AZ1291" s="42"/>
      <c r="BA1291" s="42"/>
      <c r="BB1291" s="42"/>
      <c r="BC1291" s="42"/>
      <c r="BD1291" s="42"/>
      <c r="BE1291" s="42"/>
      <c r="BF1291" s="42"/>
      <c r="BG1291" s="42"/>
      <c r="BH1291" s="42"/>
      <c r="BI1291" s="42"/>
      <c r="BJ1291" s="42"/>
      <c r="BK1291" s="42"/>
      <c r="BL1291" s="42"/>
      <c r="BM1291" s="42"/>
      <c r="BN1291" s="42"/>
      <c r="BO1291" s="42"/>
    </row>
    <row r="1292">
      <c r="A1292" s="40"/>
      <c r="B1292" s="40"/>
      <c r="C1292" s="42"/>
      <c r="D1292" s="42"/>
      <c r="E1292" s="43"/>
      <c r="F1292" s="42"/>
      <c r="G1292" s="42"/>
      <c r="H1292" s="42"/>
      <c r="I1292" s="42"/>
      <c r="J1292" s="42"/>
      <c r="K1292" s="42"/>
      <c r="L1292" s="42"/>
      <c r="M1292" s="42"/>
      <c r="N1292" s="42"/>
      <c r="O1292" s="42"/>
      <c r="P1292" s="42"/>
      <c r="Q1292" s="42"/>
      <c r="R1292" s="42"/>
      <c r="S1292" s="42"/>
      <c r="T1292" s="42"/>
      <c r="U1292" s="42"/>
      <c r="V1292" s="42"/>
      <c r="W1292" s="42"/>
      <c r="X1292" s="42"/>
      <c r="Y1292" s="42"/>
      <c r="Z1292" s="42"/>
      <c r="AA1292" s="42"/>
      <c r="AB1292" s="42"/>
      <c r="AC1292" s="42"/>
      <c r="AD1292" s="42"/>
      <c r="AE1292" s="42"/>
      <c r="AF1292" s="42"/>
      <c r="AG1292" s="42"/>
      <c r="AH1292" s="42"/>
      <c r="AI1292" s="42"/>
      <c r="AJ1292" s="42"/>
      <c r="AK1292" s="42"/>
      <c r="AL1292" s="42"/>
      <c r="AM1292" s="42"/>
      <c r="AN1292" s="42"/>
      <c r="AO1292" s="42"/>
      <c r="AP1292" s="42"/>
      <c r="AQ1292" s="42"/>
      <c r="AR1292" s="42"/>
      <c r="AS1292" s="42"/>
      <c r="AT1292" s="42"/>
      <c r="AU1292" s="42"/>
      <c r="AV1292" s="42"/>
      <c r="AW1292" s="42"/>
      <c r="AX1292" s="42"/>
      <c r="AY1292" s="42"/>
      <c r="AZ1292" s="42"/>
      <c r="BA1292" s="42"/>
      <c r="BB1292" s="42"/>
      <c r="BC1292" s="42"/>
      <c r="BD1292" s="42"/>
      <c r="BE1292" s="42"/>
      <c r="BF1292" s="42"/>
      <c r="BG1292" s="42"/>
      <c r="BH1292" s="42"/>
      <c r="BI1292" s="42"/>
      <c r="BJ1292" s="42"/>
      <c r="BK1292" s="42"/>
      <c r="BL1292" s="42"/>
      <c r="BM1292" s="42"/>
      <c r="BN1292" s="42"/>
      <c r="BO1292" s="42"/>
    </row>
    <row r="1293">
      <c r="A1293" s="40"/>
      <c r="B1293" s="40"/>
      <c r="C1293" s="42"/>
      <c r="D1293" s="42"/>
      <c r="E1293" s="43"/>
      <c r="F1293" s="42"/>
      <c r="G1293" s="42"/>
      <c r="H1293" s="42"/>
      <c r="I1293" s="42"/>
      <c r="J1293" s="42"/>
      <c r="K1293" s="42"/>
      <c r="L1293" s="42"/>
      <c r="M1293" s="42"/>
      <c r="N1293" s="42"/>
      <c r="O1293" s="42"/>
      <c r="P1293" s="42"/>
      <c r="Q1293" s="42"/>
      <c r="R1293" s="42"/>
      <c r="S1293" s="42"/>
      <c r="T1293" s="42"/>
      <c r="U1293" s="42"/>
      <c r="V1293" s="42"/>
      <c r="W1293" s="42"/>
      <c r="X1293" s="42"/>
      <c r="Y1293" s="42"/>
      <c r="Z1293" s="42"/>
      <c r="AA1293" s="42"/>
      <c r="AB1293" s="42"/>
      <c r="AC1293" s="42"/>
      <c r="AD1293" s="42"/>
      <c r="AE1293" s="42"/>
      <c r="AF1293" s="42"/>
      <c r="AG1293" s="42"/>
      <c r="AH1293" s="42"/>
      <c r="AI1293" s="42"/>
      <c r="AJ1293" s="42"/>
      <c r="AK1293" s="42"/>
      <c r="AL1293" s="42"/>
      <c r="AM1293" s="42"/>
      <c r="AN1293" s="42"/>
      <c r="AO1293" s="42"/>
      <c r="AP1293" s="42"/>
      <c r="AQ1293" s="42"/>
      <c r="AR1293" s="42"/>
      <c r="AS1293" s="42"/>
      <c r="AT1293" s="42"/>
      <c r="AU1293" s="42"/>
      <c r="AV1293" s="42"/>
      <c r="AW1293" s="42"/>
      <c r="AX1293" s="42"/>
      <c r="AY1293" s="42"/>
      <c r="AZ1293" s="42"/>
      <c r="BA1293" s="42"/>
      <c r="BB1293" s="42"/>
      <c r="BC1293" s="42"/>
      <c r="BD1293" s="42"/>
      <c r="BE1293" s="42"/>
      <c r="BF1293" s="42"/>
      <c r="BG1293" s="42"/>
      <c r="BH1293" s="42"/>
      <c r="BI1293" s="42"/>
      <c r="BJ1293" s="42"/>
      <c r="BK1293" s="42"/>
      <c r="BL1293" s="42"/>
      <c r="BM1293" s="42"/>
      <c r="BN1293" s="42"/>
      <c r="BO1293" s="42"/>
    </row>
    <row r="1294">
      <c r="A1294" s="40"/>
      <c r="B1294" s="40"/>
      <c r="C1294" s="42"/>
      <c r="D1294" s="42"/>
      <c r="E1294" s="43"/>
      <c r="F1294" s="42"/>
      <c r="G1294" s="42"/>
      <c r="H1294" s="42"/>
      <c r="I1294" s="42"/>
      <c r="J1294" s="42"/>
      <c r="K1294" s="42"/>
      <c r="L1294" s="42"/>
      <c r="M1294" s="42"/>
      <c r="N1294" s="42"/>
      <c r="O1294" s="42"/>
      <c r="P1294" s="42"/>
      <c r="Q1294" s="42"/>
      <c r="R1294" s="42"/>
      <c r="S1294" s="42"/>
      <c r="T1294" s="42"/>
      <c r="U1294" s="42"/>
      <c r="V1294" s="42"/>
      <c r="W1294" s="42"/>
      <c r="X1294" s="42"/>
      <c r="Y1294" s="42"/>
      <c r="Z1294" s="42"/>
      <c r="AA1294" s="42"/>
      <c r="AB1294" s="42"/>
      <c r="AC1294" s="42"/>
      <c r="AD1294" s="42"/>
      <c r="AE1294" s="42"/>
      <c r="AF1294" s="42"/>
      <c r="AG1294" s="42"/>
      <c r="AH1294" s="42"/>
      <c r="AI1294" s="42"/>
      <c r="AJ1294" s="42"/>
      <c r="AK1294" s="42"/>
      <c r="AL1294" s="42"/>
      <c r="AM1294" s="42"/>
      <c r="AN1294" s="42"/>
      <c r="AO1294" s="42"/>
      <c r="AP1294" s="42"/>
      <c r="AQ1294" s="42"/>
      <c r="AR1294" s="42"/>
      <c r="AS1294" s="42"/>
      <c r="AT1294" s="42"/>
      <c r="AU1294" s="42"/>
      <c r="AV1294" s="42"/>
      <c r="AW1294" s="42"/>
      <c r="AX1294" s="42"/>
      <c r="AY1294" s="42"/>
      <c r="AZ1294" s="42"/>
      <c r="BA1294" s="42"/>
      <c r="BB1294" s="42"/>
      <c r="BC1294" s="42"/>
      <c r="BD1294" s="42"/>
      <c r="BE1294" s="42"/>
      <c r="BF1294" s="42"/>
      <c r="BG1294" s="42"/>
      <c r="BH1294" s="42"/>
      <c r="BI1294" s="42"/>
      <c r="BJ1294" s="42"/>
      <c r="BK1294" s="42"/>
      <c r="BL1294" s="42"/>
      <c r="BM1294" s="42"/>
      <c r="BN1294" s="42"/>
      <c r="BO1294" s="42"/>
    </row>
    <row r="1295">
      <c r="A1295" s="40"/>
      <c r="B1295" s="40"/>
      <c r="C1295" s="42"/>
      <c r="D1295" s="42"/>
      <c r="E1295" s="43"/>
      <c r="F1295" s="42"/>
      <c r="G1295" s="42"/>
      <c r="H1295" s="42"/>
      <c r="I1295" s="42"/>
      <c r="J1295" s="42"/>
      <c r="K1295" s="42"/>
      <c r="L1295" s="42"/>
      <c r="M1295" s="42"/>
      <c r="N1295" s="42"/>
      <c r="O1295" s="42"/>
      <c r="P1295" s="42"/>
      <c r="Q1295" s="42"/>
      <c r="R1295" s="42"/>
      <c r="S1295" s="42"/>
      <c r="T1295" s="42"/>
      <c r="U1295" s="42"/>
      <c r="V1295" s="42"/>
      <c r="W1295" s="42"/>
      <c r="X1295" s="42"/>
      <c r="Y1295" s="42"/>
      <c r="Z1295" s="42"/>
      <c r="AA1295" s="42"/>
      <c r="AB1295" s="42"/>
      <c r="AC1295" s="42"/>
      <c r="AD1295" s="42"/>
      <c r="AE1295" s="42"/>
      <c r="AF1295" s="42"/>
      <c r="AG1295" s="42"/>
      <c r="AH1295" s="42"/>
      <c r="AI1295" s="42"/>
      <c r="AJ1295" s="42"/>
      <c r="AK1295" s="42"/>
      <c r="AL1295" s="42"/>
      <c r="AM1295" s="42"/>
      <c r="AN1295" s="42"/>
      <c r="AO1295" s="42"/>
      <c r="AP1295" s="42"/>
      <c r="AQ1295" s="42"/>
      <c r="AR1295" s="42"/>
      <c r="AS1295" s="42"/>
      <c r="AT1295" s="42"/>
      <c r="AU1295" s="42"/>
      <c r="AV1295" s="42"/>
      <c r="AW1295" s="42"/>
      <c r="AX1295" s="42"/>
      <c r="AY1295" s="42"/>
      <c r="AZ1295" s="42"/>
      <c r="BA1295" s="42"/>
      <c r="BB1295" s="42"/>
      <c r="BC1295" s="42"/>
      <c r="BD1295" s="42"/>
      <c r="BE1295" s="42"/>
      <c r="BF1295" s="42"/>
      <c r="BG1295" s="42"/>
      <c r="BH1295" s="42"/>
      <c r="BI1295" s="42"/>
      <c r="BJ1295" s="42"/>
      <c r="BK1295" s="42"/>
      <c r="BL1295" s="42"/>
      <c r="BM1295" s="42"/>
      <c r="BN1295" s="42"/>
      <c r="BO1295" s="42"/>
    </row>
    <row r="1296">
      <c r="A1296" s="40"/>
      <c r="B1296" s="40"/>
      <c r="C1296" s="42"/>
      <c r="D1296" s="42"/>
      <c r="E1296" s="43"/>
      <c r="F1296" s="42"/>
      <c r="G1296" s="42"/>
      <c r="H1296" s="42"/>
      <c r="I1296" s="42"/>
      <c r="J1296" s="42"/>
      <c r="K1296" s="42"/>
      <c r="L1296" s="42"/>
      <c r="M1296" s="42"/>
      <c r="N1296" s="42"/>
      <c r="O1296" s="42"/>
      <c r="P1296" s="42"/>
      <c r="Q1296" s="42"/>
      <c r="R1296" s="42"/>
      <c r="S1296" s="42"/>
      <c r="T1296" s="42"/>
      <c r="U1296" s="42"/>
      <c r="V1296" s="42"/>
      <c r="W1296" s="42"/>
      <c r="X1296" s="42"/>
      <c r="Y1296" s="42"/>
      <c r="Z1296" s="42"/>
      <c r="AA1296" s="42"/>
      <c r="AB1296" s="42"/>
      <c r="AC1296" s="42"/>
      <c r="AD1296" s="42"/>
      <c r="AE1296" s="42"/>
      <c r="AF1296" s="42"/>
      <c r="AG1296" s="42"/>
      <c r="AH1296" s="42"/>
      <c r="AI1296" s="42"/>
      <c r="AJ1296" s="42"/>
      <c r="AK1296" s="42"/>
      <c r="AL1296" s="42"/>
      <c r="AM1296" s="42"/>
      <c r="AN1296" s="42"/>
      <c r="AO1296" s="42"/>
      <c r="AP1296" s="42"/>
      <c r="AQ1296" s="42"/>
      <c r="AR1296" s="42"/>
      <c r="AS1296" s="42"/>
      <c r="AT1296" s="42"/>
      <c r="AU1296" s="42"/>
      <c r="AV1296" s="42"/>
      <c r="AW1296" s="42"/>
      <c r="AX1296" s="42"/>
      <c r="AY1296" s="42"/>
      <c r="AZ1296" s="42"/>
      <c r="BA1296" s="42"/>
      <c r="BB1296" s="42"/>
      <c r="BC1296" s="42"/>
      <c r="BD1296" s="42"/>
      <c r="BE1296" s="42"/>
      <c r="BF1296" s="42"/>
      <c r="BG1296" s="42"/>
      <c r="BH1296" s="42"/>
      <c r="BI1296" s="42"/>
      <c r="BJ1296" s="42"/>
      <c r="BK1296" s="42"/>
      <c r="BL1296" s="42"/>
      <c r="BM1296" s="42"/>
      <c r="BN1296" s="42"/>
      <c r="BO1296" s="42"/>
    </row>
    <row r="1297">
      <c r="A1297" s="40"/>
      <c r="B1297" s="40"/>
      <c r="C1297" s="42"/>
      <c r="D1297" s="42"/>
      <c r="E1297" s="43"/>
      <c r="F1297" s="42"/>
      <c r="G1297" s="42"/>
      <c r="H1297" s="42"/>
      <c r="I1297" s="42"/>
      <c r="J1297" s="42"/>
      <c r="K1297" s="42"/>
      <c r="L1297" s="42"/>
      <c r="M1297" s="42"/>
      <c r="N1297" s="42"/>
      <c r="O1297" s="42"/>
      <c r="P1297" s="42"/>
      <c r="Q1297" s="42"/>
      <c r="R1297" s="42"/>
      <c r="S1297" s="42"/>
      <c r="T1297" s="42"/>
      <c r="U1297" s="42"/>
      <c r="V1297" s="42"/>
      <c r="W1297" s="42"/>
      <c r="X1297" s="42"/>
      <c r="Y1297" s="42"/>
      <c r="Z1297" s="42"/>
      <c r="AA1297" s="42"/>
      <c r="AB1297" s="42"/>
      <c r="AC1297" s="42"/>
      <c r="AD1297" s="42"/>
      <c r="AE1297" s="42"/>
      <c r="AF1297" s="42"/>
      <c r="AG1297" s="42"/>
      <c r="AH1297" s="42"/>
      <c r="AI1297" s="42"/>
      <c r="AJ1297" s="42"/>
      <c r="AK1297" s="42"/>
      <c r="AL1297" s="42"/>
      <c r="AM1297" s="42"/>
      <c r="AN1297" s="42"/>
      <c r="AO1297" s="42"/>
      <c r="AP1297" s="42"/>
      <c r="AQ1297" s="42"/>
      <c r="AR1297" s="42"/>
      <c r="AS1297" s="42"/>
      <c r="AT1297" s="42"/>
      <c r="AU1297" s="42"/>
      <c r="AV1297" s="42"/>
      <c r="AW1297" s="42"/>
      <c r="AX1297" s="42"/>
      <c r="AY1297" s="42"/>
      <c r="AZ1297" s="42"/>
      <c r="BA1297" s="42"/>
      <c r="BB1297" s="42"/>
      <c r="BC1297" s="42"/>
      <c r="BD1297" s="42"/>
      <c r="BE1297" s="42"/>
      <c r="BF1297" s="42"/>
      <c r="BG1297" s="42"/>
      <c r="BH1297" s="42"/>
      <c r="BI1297" s="42"/>
      <c r="BJ1297" s="42"/>
      <c r="BK1297" s="42"/>
      <c r="BL1297" s="42"/>
      <c r="BM1297" s="42"/>
      <c r="BN1297" s="42"/>
      <c r="BO1297" s="42"/>
    </row>
    <row r="1298">
      <c r="A1298" s="40"/>
      <c r="B1298" s="40"/>
      <c r="C1298" s="42"/>
      <c r="D1298" s="42"/>
      <c r="E1298" s="43"/>
      <c r="F1298" s="42"/>
      <c r="G1298" s="42"/>
      <c r="H1298" s="42"/>
      <c r="I1298" s="42"/>
      <c r="J1298" s="42"/>
      <c r="K1298" s="42"/>
      <c r="L1298" s="42"/>
      <c r="M1298" s="42"/>
      <c r="N1298" s="42"/>
      <c r="O1298" s="42"/>
      <c r="P1298" s="42"/>
      <c r="Q1298" s="42"/>
      <c r="R1298" s="42"/>
      <c r="S1298" s="42"/>
      <c r="T1298" s="42"/>
      <c r="U1298" s="42"/>
      <c r="V1298" s="42"/>
      <c r="W1298" s="42"/>
      <c r="X1298" s="42"/>
      <c r="Y1298" s="42"/>
      <c r="Z1298" s="42"/>
      <c r="AA1298" s="42"/>
      <c r="AB1298" s="42"/>
      <c r="AC1298" s="42"/>
      <c r="AD1298" s="42"/>
      <c r="AE1298" s="42"/>
      <c r="AF1298" s="42"/>
      <c r="AG1298" s="42"/>
      <c r="AH1298" s="42"/>
      <c r="AI1298" s="42"/>
      <c r="AJ1298" s="42"/>
      <c r="AK1298" s="42"/>
      <c r="AL1298" s="42"/>
      <c r="AM1298" s="42"/>
      <c r="AN1298" s="42"/>
      <c r="AO1298" s="42"/>
      <c r="AP1298" s="42"/>
      <c r="AQ1298" s="42"/>
      <c r="AR1298" s="42"/>
      <c r="AS1298" s="42"/>
      <c r="AT1298" s="42"/>
      <c r="AU1298" s="42"/>
      <c r="AV1298" s="42"/>
      <c r="AW1298" s="42"/>
      <c r="AX1298" s="42"/>
      <c r="AY1298" s="42"/>
      <c r="AZ1298" s="42"/>
      <c r="BA1298" s="42"/>
      <c r="BB1298" s="42"/>
      <c r="BC1298" s="42"/>
      <c r="BD1298" s="42"/>
      <c r="BE1298" s="42"/>
      <c r="BF1298" s="42"/>
      <c r="BG1298" s="42"/>
      <c r="BH1298" s="42"/>
      <c r="BI1298" s="42"/>
      <c r="BJ1298" s="42"/>
      <c r="BK1298" s="42"/>
      <c r="BL1298" s="42"/>
      <c r="BM1298" s="42"/>
      <c r="BN1298" s="42"/>
      <c r="BO1298" s="42"/>
    </row>
    <row r="1299">
      <c r="A1299" s="40"/>
      <c r="B1299" s="40"/>
      <c r="C1299" s="42"/>
      <c r="D1299" s="42"/>
      <c r="E1299" s="43"/>
      <c r="F1299" s="42"/>
      <c r="G1299" s="42"/>
      <c r="H1299" s="42"/>
      <c r="I1299" s="42"/>
      <c r="J1299" s="42"/>
      <c r="K1299" s="42"/>
      <c r="L1299" s="42"/>
      <c r="M1299" s="42"/>
      <c r="N1299" s="42"/>
      <c r="O1299" s="42"/>
      <c r="P1299" s="42"/>
      <c r="Q1299" s="42"/>
      <c r="R1299" s="42"/>
      <c r="S1299" s="42"/>
      <c r="T1299" s="42"/>
      <c r="U1299" s="42"/>
      <c r="V1299" s="42"/>
      <c r="W1299" s="42"/>
      <c r="X1299" s="42"/>
      <c r="Y1299" s="42"/>
      <c r="Z1299" s="42"/>
      <c r="AA1299" s="42"/>
      <c r="AB1299" s="42"/>
      <c r="AC1299" s="42"/>
      <c r="AD1299" s="42"/>
      <c r="AE1299" s="42"/>
      <c r="AF1299" s="42"/>
      <c r="AG1299" s="42"/>
      <c r="AH1299" s="42"/>
      <c r="AI1299" s="42"/>
      <c r="AJ1299" s="42"/>
      <c r="AK1299" s="42"/>
      <c r="AL1299" s="42"/>
      <c r="AM1299" s="42"/>
      <c r="AN1299" s="42"/>
      <c r="AO1299" s="42"/>
      <c r="AP1299" s="42"/>
      <c r="AQ1299" s="42"/>
      <c r="AR1299" s="42"/>
      <c r="AS1299" s="42"/>
      <c r="AT1299" s="42"/>
      <c r="AU1299" s="42"/>
      <c r="AV1299" s="42"/>
      <c r="AW1299" s="42"/>
      <c r="AX1299" s="42"/>
      <c r="AY1299" s="42"/>
      <c r="AZ1299" s="42"/>
      <c r="BA1299" s="42"/>
      <c r="BB1299" s="42"/>
      <c r="BC1299" s="42"/>
      <c r="BD1299" s="42"/>
      <c r="BE1299" s="42"/>
      <c r="BF1299" s="42"/>
      <c r="BG1299" s="42"/>
      <c r="BH1299" s="42"/>
      <c r="BI1299" s="42"/>
      <c r="BJ1299" s="42"/>
      <c r="BK1299" s="42"/>
      <c r="BL1299" s="42"/>
      <c r="BM1299" s="42"/>
      <c r="BN1299" s="42"/>
      <c r="BO1299" s="42"/>
    </row>
    <row r="1300">
      <c r="A1300" s="40"/>
      <c r="B1300" s="40"/>
      <c r="C1300" s="42"/>
      <c r="D1300" s="42"/>
      <c r="E1300" s="43"/>
      <c r="F1300" s="42"/>
      <c r="G1300" s="42"/>
      <c r="H1300" s="42"/>
      <c r="I1300" s="42"/>
      <c r="J1300" s="42"/>
      <c r="K1300" s="42"/>
      <c r="L1300" s="42"/>
      <c r="M1300" s="42"/>
      <c r="N1300" s="42"/>
      <c r="O1300" s="42"/>
      <c r="P1300" s="42"/>
      <c r="Q1300" s="42"/>
      <c r="R1300" s="42"/>
      <c r="S1300" s="42"/>
      <c r="T1300" s="42"/>
      <c r="U1300" s="42"/>
      <c r="V1300" s="42"/>
      <c r="W1300" s="42"/>
      <c r="X1300" s="42"/>
      <c r="Y1300" s="42"/>
      <c r="Z1300" s="42"/>
      <c r="AA1300" s="42"/>
      <c r="AB1300" s="42"/>
      <c r="AC1300" s="42"/>
      <c r="AD1300" s="42"/>
      <c r="AE1300" s="42"/>
      <c r="AF1300" s="42"/>
      <c r="AG1300" s="42"/>
      <c r="AH1300" s="42"/>
      <c r="AI1300" s="42"/>
      <c r="AJ1300" s="42"/>
      <c r="AK1300" s="42"/>
      <c r="AL1300" s="42"/>
      <c r="AM1300" s="42"/>
      <c r="AN1300" s="42"/>
      <c r="AO1300" s="42"/>
      <c r="AP1300" s="42"/>
      <c r="AQ1300" s="42"/>
      <c r="AR1300" s="42"/>
      <c r="AS1300" s="42"/>
      <c r="AT1300" s="42"/>
      <c r="AU1300" s="42"/>
      <c r="AV1300" s="42"/>
      <c r="AW1300" s="42"/>
      <c r="AX1300" s="42"/>
      <c r="AY1300" s="42"/>
      <c r="AZ1300" s="42"/>
      <c r="BA1300" s="42"/>
      <c r="BB1300" s="42"/>
      <c r="BC1300" s="42"/>
      <c r="BD1300" s="42"/>
      <c r="BE1300" s="42"/>
      <c r="BF1300" s="42"/>
      <c r="BG1300" s="42"/>
      <c r="BH1300" s="42"/>
      <c r="BI1300" s="42"/>
      <c r="BJ1300" s="42"/>
      <c r="BK1300" s="42"/>
      <c r="BL1300" s="42"/>
      <c r="BM1300" s="42"/>
      <c r="BN1300" s="42"/>
      <c r="BO1300" s="42"/>
    </row>
    <row r="1301">
      <c r="A1301" s="40"/>
      <c r="B1301" s="40"/>
      <c r="C1301" s="42"/>
      <c r="D1301" s="42"/>
      <c r="E1301" s="43"/>
      <c r="F1301" s="42"/>
      <c r="G1301" s="42"/>
      <c r="H1301" s="42"/>
      <c r="I1301" s="42"/>
      <c r="J1301" s="42"/>
      <c r="K1301" s="42"/>
      <c r="L1301" s="42"/>
      <c r="M1301" s="42"/>
      <c r="N1301" s="42"/>
      <c r="O1301" s="42"/>
      <c r="P1301" s="42"/>
      <c r="Q1301" s="42"/>
      <c r="R1301" s="42"/>
      <c r="S1301" s="42"/>
      <c r="T1301" s="42"/>
      <c r="U1301" s="42"/>
      <c r="V1301" s="42"/>
      <c r="W1301" s="42"/>
      <c r="X1301" s="42"/>
      <c r="Y1301" s="42"/>
      <c r="Z1301" s="42"/>
      <c r="AA1301" s="42"/>
      <c r="AB1301" s="42"/>
      <c r="AC1301" s="42"/>
      <c r="AD1301" s="42"/>
      <c r="AE1301" s="42"/>
      <c r="AF1301" s="42"/>
      <c r="AG1301" s="42"/>
      <c r="AH1301" s="42"/>
      <c r="AI1301" s="42"/>
      <c r="AJ1301" s="42"/>
      <c r="AK1301" s="42"/>
      <c r="AL1301" s="42"/>
      <c r="AM1301" s="42"/>
      <c r="AN1301" s="42"/>
      <c r="AO1301" s="42"/>
      <c r="AP1301" s="42"/>
      <c r="AQ1301" s="42"/>
      <c r="AR1301" s="42"/>
      <c r="AS1301" s="42"/>
      <c r="AT1301" s="42"/>
      <c r="AU1301" s="42"/>
      <c r="AV1301" s="42"/>
      <c r="AW1301" s="42"/>
      <c r="AX1301" s="42"/>
      <c r="AY1301" s="42"/>
      <c r="AZ1301" s="42"/>
      <c r="BA1301" s="42"/>
      <c r="BB1301" s="42"/>
      <c r="BC1301" s="42"/>
      <c r="BD1301" s="42"/>
      <c r="BE1301" s="42"/>
      <c r="BF1301" s="42"/>
      <c r="BG1301" s="42"/>
      <c r="BH1301" s="42"/>
      <c r="BI1301" s="42"/>
      <c r="BJ1301" s="42"/>
      <c r="BK1301" s="42"/>
      <c r="BL1301" s="42"/>
      <c r="BM1301" s="42"/>
      <c r="BN1301" s="42"/>
      <c r="BO1301" s="42"/>
    </row>
    <row r="1302">
      <c r="A1302" s="40"/>
      <c r="B1302" s="40"/>
      <c r="C1302" s="42"/>
      <c r="D1302" s="42"/>
      <c r="E1302" s="43"/>
      <c r="F1302" s="42"/>
      <c r="G1302" s="42"/>
      <c r="H1302" s="42"/>
      <c r="I1302" s="42"/>
      <c r="J1302" s="42"/>
      <c r="K1302" s="42"/>
      <c r="L1302" s="42"/>
      <c r="M1302" s="42"/>
      <c r="N1302" s="42"/>
      <c r="O1302" s="42"/>
      <c r="P1302" s="42"/>
      <c r="Q1302" s="42"/>
      <c r="R1302" s="42"/>
      <c r="S1302" s="42"/>
      <c r="T1302" s="42"/>
      <c r="U1302" s="42"/>
      <c r="V1302" s="42"/>
      <c r="W1302" s="42"/>
      <c r="X1302" s="42"/>
      <c r="Y1302" s="42"/>
      <c r="Z1302" s="42"/>
      <c r="AA1302" s="42"/>
      <c r="AB1302" s="42"/>
      <c r="AC1302" s="42"/>
      <c r="AD1302" s="42"/>
      <c r="AE1302" s="42"/>
      <c r="AF1302" s="42"/>
      <c r="AG1302" s="42"/>
      <c r="AH1302" s="42"/>
      <c r="AI1302" s="42"/>
      <c r="AJ1302" s="42"/>
      <c r="AK1302" s="42"/>
      <c r="AL1302" s="42"/>
      <c r="AM1302" s="42"/>
      <c r="AN1302" s="42"/>
      <c r="AO1302" s="42"/>
      <c r="AP1302" s="42"/>
      <c r="AQ1302" s="42"/>
      <c r="AR1302" s="42"/>
      <c r="AS1302" s="42"/>
      <c r="AT1302" s="42"/>
      <c r="AU1302" s="42"/>
      <c r="AV1302" s="42"/>
      <c r="AW1302" s="42"/>
      <c r="AX1302" s="42"/>
      <c r="AY1302" s="42"/>
      <c r="AZ1302" s="42"/>
      <c r="BA1302" s="42"/>
      <c r="BB1302" s="42"/>
      <c r="BC1302" s="42"/>
      <c r="BD1302" s="42"/>
      <c r="BE1302" s="42"/>
      <c r="BF1302" s="42"/>
      <c r="BG1302" s="42"/>
      <c r="BH1302" s="42"/>
      <c r="BI1302" s="42"/>
      <c r="BJ1302" s="42"/>
      <c r="BK1302" s="42"/>
      <c r="BL1302" s="42"/>
      <c r="BM1302" s="42"/>
      <c r="BN1302" s="42"/>
      <c r="BO1302" s="42"/>
    </row>
    <row r="1303">
      <c r="A1303" s="40"/>
      <c r="B1303" s="40"/>
      <c r="C1303" s="42"/>
      <c r="D1303" s="42"/>
      <c r="E1303" s="43"/>
      <c r="F1303" s="42"/>
      <c r="G1303" s="42"/>
      <c r="H1303" s="42"/>
      <c r="I1303" s="42"/>
      <c r="J1303" s="42"/>
      <c r="K1303" s="42"/>
      <c r="L1303" s="42"/>
      <c r="M1303" s="42"/>
      <c r="N1303" s="42"/>
      <c r="O1303" s="42"/>
      <c r="P1303" s="42"/>
      <c r="Q1303" s="42"/>
      <c r="R1303" s="42"/>
      <c r="S1303" s="42"/>
      <c r="T1303" s="42"/>
      <c r="U1303" s="42"/>
      <c r="V1303" s="42"/>
      <c r="W1303" s="42"/>
      <c r="X1303" s="42"/>
      <c r="Y1303" s="42"/>
      <c r="Z1303" s="42"/>
      <c r="AA1303" s="42"/>
      <c r="AB1303" s="42"/>
      <c r="AC1303" s="42"/>
      <c r="AD1303" s="42"/>
      <c r="AE1303" s="42"/>
      <c r="AF1303" s="42"/>
      <c r="AG1303" s="42"/>
      <c r="AH1303" s="42"/>
      <c r="AI1303" s="42"/>
      <c r="AJ1303" s="42"/>
      <c r="AK1303" s="42"/>
      <c r="AL1303" s="42"/>
      <c r="AM1303" s="42"/>
      <c r="AN1303" s="42"/>
      <c r="AO1303" s="42"/>
      <c r="AP1303" s="42"/>
      <c r="AQ1303" s="42"/>
      <c r="AR1303" s="42"/>
      <c r="AS1303" s="42"/>
      <c r="AT1303" s="42"/>
      <c r="AU1303" s="42"/>
      <c r="AV1303" s="42"/>
      <c r="AW1303" s="42"/>
      <c r="AX1303" s="42"/>
      <c r="AY1303" s="42"/>
      <c r="AZ1303" s="42"/>
      <c r="BA1303" s="42"/>
      <c r="BB1303" s="42"/>
      <c r="BC1303" s="42"/>
      <c r="BD1303" s="42"/>
      <c r="BE1303" s="42"/>
      <c r="BF1303" s="42"/>
      <c r="BG1303" s="42"/>
      <c r="BH1303" s="42"/>
      <c r="BI1303" s="42"/>
      <c r="BJ1303" s="42"/>
      <c r="BK1303" s="42"/>
      <c r="BL1303" s="42"/>
      <c r="BM1303" s="42"/>
      <c r="BN1303" s="42"/>
      <c r="BO1303" s="42"/>
    </row>
    <row r="1304">
      <c r="A1304" s="40"/>
      <c r="B1304" s="40"/>
      <c r="C1304" s="42"/>
      <c r="D1304" s="42"/>
      <c r="E1304" s="43"/>
      <c r="F1304" s="42"/>
      <c r="G1304" s="42"/>
      <c r="H1304" s="42"/>
      <c r="I1304" s="42"/>
      <c r="J1304" s="42"/>
      <c r="K1304" s="42"/>
      <c r="L1304" s="42"/>
      <c r="M1304" s="42"/>
      <c r="N1304" s="42"/>
      <c r="O1304" s="42"/>
      <c r="P1304" s="42"/>
      <c r="Q1304" s="42"/>
      <c r="R1304" s="42"/>
      <c r="S1304" s="42"/>
      <c r="T1304" s="42"/>
      <c r="U1304" s="42"/>
      <c r="V1304" s="42"/>
      <c r="W1304" s="42"/>
      <c r="X1304" s="42"/>
      <c r="Y1304" s="42"/>
      <c r="Z1304" s="42"/>
      <c r="AA1304" s="42"/>
      <c r="AB1304" s="42"/>
      <c r="AC1304" s="42"/>
      <c r="AD1304" s="42"/>
      <c r="AE1304" s="42"/>
      <c r="AF1304" s="42"/>
      <c r="AG1304" s="42"/>
      <c r="AH1304" s="42"/>
      <c r="AI1304" s="42"/>
      <c r="AJ1304" s="42"/>
      <c r="AK1304" s="42"/>
      <c r="AL1304" s="42"/>
      <c r="AM1304" s="42"/>
      <c r="AN1304" s="42"/>
      <c r="AO1304" s="42"/>
      <c r="AP1304" s="42"/>
      <c r="AQ1304" s="42"/>
      <c r="AR1304" s="42"/>
      <c r="AS1304" s="42"/>
      <c r="AT1304" s="42"/>
      <c r="AU1304" s="42"/>
      <c r="AV1304" s="42"/>
      <c r="AW1304" s="42"/>
      <c r="AX1304" s="42"/>
      <c r="AY1304" s="42"/>
      <c r="AZ1304" s="42"/>
      <c r="BA1304" s="42"/>
      <c r="BB1304" s="42"/>
      <c r="BC1304" s="42"/>
      <c r="BD1304" s="42"/>
      <c r="BE1304" s="42"/>
      <c r="BF1304" s="42"/>
      <c r="BG1304" s="42"/>
      <c r="BH1304" s="42"/>
      <c r="BI1304" s="42"/>
      <c r="BJ1304" s="42"/>
      <c r="BK1304" s="42"/>
      <c r="BL1304" s="42"/>
      <c r="BM1304" s="42"/>
      <c r="BN1304" s="42"/>
      <c r="BO1304" s="42"/>
    </row>
    <row r="1305">
      <c r="A1305" s="40"/>
      <c r="B1305" s="40"/>
      <c r="C1305" s="42"/>
      <c r="D1305" s="42"/>
      <c r="E1305" s="43"/>
      <c r="F1305" s="42"/>
      <c r="G1305" s="42"/>
      <c r="H1305" s="42"/>
      <c r="I1305" s="42"/>
      <c r="J1305" s="42"/>
      <c r="K1305" s="42"/>
      <c r="L1305" s="42"/>
      <c r="M1305" s="42"/>
      <c r="N1305" s="42"/>
      <c r="O1305" s="42"/>
      <c r="P1305" s="42"/>
      <c r="Q1305" s="42"/>
      <c r="R1305" s="42"/>
      <c r="S1305" s="42"/>
      <c r="T1305" s="42"/>
      <c r="U1305" s="42"/>
      <c r="V1305" s="42"/>
      <c r="W1305" s="42"/>
      <c r="X1305" s="42"/>
      <c r="Y1305" s="42"/>
      <c r="Z1305" s="42"/>
      <c r="AA1305" s="42"/>
      <c r="AB1305" s="42"/>
      <c r="AC1305" s="42"/>
      <c r="AD1305" s="42"/>
      <c r="AE1305" s="42"/>
      <c r="AF1305" s="42"/>
      <c r="AG1305" s="42"/>
      <c r="AH1305" s="42"/>
      <c r="AI1305" s="42"/>
      <c r="AJ1305" s="42"/>
      <c r="AK1305" s="42"/>
      <c r="AL1305" s="42"/>
      <c r="AM1305" s="42"/>
      <c r="AN1305" s="42"/>
      <c r="AO1305" s="42"/>
      <c r="AP1305" s="42"/>
      <c r="AQ1305" s="42"/>
      <c r="AR1305" s="42"/>
      <c r="AS1305" s="42"/>
      <c r="AT1305" s="42"/>
      <c r="AU1305" s="42"/>
      <c r="AV1305" s="42"/>
      <c r="AW1305" s="42"/>
      <c r="AX1305" s="42"/>
      <c r="AY1305" s="42"/>
      <c r="AZ1305" s="42"/>
      <c r="BA1305" s="42"/>
      <c r="BB1305" s="42"/>
      <c r="BC1305" s="42"/>
      <c r="BD1305" s="42"/>
      <c r="BE1305" s="42"/>
      <c r="BF1305" s="42"/>
      <c r="BG1305" s="42"/>
      <c r="BH1305" s="42"/>
      <c r="BI1305" s="42"/>
      <c r="BJ1305" s="42"/>
      <c r="BK1305" s="42"/>
      <c r="BL1305" s="42"/>
      <c r="BM1305" s="42"/>
      <c r="BN1305" s="42"/>
      <c r="BO1305" s="42"/>
    </row>
    <row r="1306">
      <c r="A1306" s="40"/>
      <c r="B1306" s="40"/>
      <c r="C1306" s="42"/>
      <c r="D1306" s="42"/>
      <c r="E1306" s="43"/>
      <c r="F1306" s="42"/>
      <c r="G1306" s="42"/>
      <c r="H1306" s="42"/>
      <c r="I1306" s="42"/>
      <c r="J1306" s="42"/>
      <c r="K1306" s="42"/>
      <c r="L1306" s="42"/>
      <c r="M1306" s="42"/>
      <c r="N1306" s="42"/>
      <c r="O1306" s="42"/>
      <c r="P1306" s="42"/>
      <c r="Q1306" s="42"/>
      <c r="R1306" s="42"/>
      <c r="S1306" s="42"/>
      <c r="T1306" s="42"/>
      <c r="U1306" s="42"/>
      <c r="V1306" s="42"/>
      <c r="W1306" s="42"/>
      <c r="X1306" s="42"/>
      <c r="Y1306" s="42"/>
      <c r="Z1306" s="42"/>
      <c r="AA1306" s="42"/>
      <c r="AB1306" s="42"/>
      <c r="AC1306" s="42"/>
      <c r="AD1306" s="42"/>
      <c r="AE1306" s="42"/>
      <c r="AF1306" s="42"/>
      <c r="AG1306" s="42"/>
      <c r="AH1306" s="42"/>
      <c r="AI1306" s="42"/>
      <c r="AJ1306" s="42"/>
      <c r="AK1306" s="42"/>
      <c r="AL1306" s="42"/>
      <c r="AM1306" s="42"/>
      <c r="AN1306" s="42"/>
      <c r="AO1306" s="42"/>
      <c r="AP1306" s="42"/>
      <c r="AQ1306" s="42"/>
      <c r="AR1306" s="42"/>
      <c r="AS1306" s="42"/>
      <c r="AT1306" s="42"/>
      <c r="AU1306" s="42"/>
      <c r="AV1306" s="42"/>
      <c r="AW1306" s="42"/>
      <c r="AX1306" s="42"/>
      <c r="AY1306" s="42"/>
      <c r="AZ1306" s="42"/>
      <c r="BA1306" s="42"/>
      <c r="BB1306" s="42"/>
      <c r="BC1306" s="42"/>
      <c r="BD1306" s="42"/>
      <c r="BE1306" s="42"/>
      <c r="BF1306" s="42"/>
      <c r="BG1306" s="42"/>
      <c r="BH1306" s="42"/>
      <c r="BI1306" s="42"/>
      <c r="BJ1306" s="42"/>
      <c r="BK1306" s="42"/>
      <c r="BL1306" s="42"/>
      <c r="BM1306" s="42"/>
      <c r="BN1306" s="42"/>
      <c r="BO1306" s="42"/>
    </row>
    <row r="1307">
      <c r="A1307" s="40"/>
      <c r="B1307" s="40"/>
      <c r="C1307" s="42"/>
      <c r="D1307" s="42"/>
      <c r="E1307" s="43"/>
      <c r="F1307" s="42"/>
      <c r="G1307" s="42"/>
      <c r="H1307" s="42"/>
      <c r="I1307" s="42"/>
      <c r="J1307" s="42"/>
      <c r="K1307" s="42"/>
      <c r="L1307" s="42"/>
      <c r="M1307" s="42"/>
      <c r="N1307" s="42"/>
      <c r="O1307" s="42"/>
      <c r="P1307" s="42"/>
      <c r="Q1307" s="42"/>
      <c r="R1307" s="42"/>
      <c r="S1307" s="42"/>
      <c r="T1307" s="42"/>
      <c r="U1307" s="42"/>
      <c r="V1307" s="42"/>
      <c r="W1307" s="42"/>
      <c r="X1307" s="42"/>
      <c r="Y1307" s="42"/>
      <c r="Z1307" s="42"/>
      <c r="AA1307" s="42"/>
      <c r="AB1307" s="42"/>
      <c r="AC1307" s="42"/>
      <c r="AD1307" s="42"/>
      <c r="AE1307" s="42"/>
      <c r="AF1307" s="42"/>
      <c r="AG1307" s="42"/>
      <c r="AH1307" s="42"/>
      <c r="AI1307" s="42"/>
      <c r="AJ1307" s="42"/>
      <c r="AK1307" s="42"/>
      <c r="AL1307" s="42"/>
      <c r="AM1307" s="42"/>
      <c r="AN1307" s="42"/>
      <c r="AO1307" s="42"/>
      <c r="AP1307" s="42"/>
      <c r="AQ1307" s="42"/>
      <c r="AR1307" s="42"/>
      <c r="AS1307" s="42"/>
      <c r="AT1307" s="42"/>
      <c r="AU1307" s="42"/>
      <c r="AV1307" s="42"/>
      <c r="AW1307" s="42"/>
      <c r="AX1307" s="42"/>
      <c r="AY1307" s="42"/>
      <c r="AZ1307" s="42"/>
      <c r="BA1307" s="42"/>
      <c r="BB1307" s="42"/>
      <c r="BC1307" s="42"/>
      <c r="BD1307" s="42"/>
      <c r="BE1307" s="42"/>
      <c r="BF1307" s="42"/>
      <c r="BG1307" s="42"/>
      <c r="BH1307" s="42"/>
      <c r="BI1307" s="42"/>
      <c r="BJ1307" s="42"/>
      <c r="BK1307" s="42"/>
      <c r="BL1307" s="42"/>
      <c r="BM1307" s="42"/>
      <c r="BN1307" s="42"/>
      <c r="BO1307" s="42"/>
    </row>
    <row r="1308">
      <c r="A1308" s="40"/>
      <c r="B1308" s="40"/>
      <c r="C1308" s="42"/>
      <c r="D1308" s="42"/>
      <c r="E1308" s="43"/>
      <c r="F1308" s="42"/>
      <c r="G1308" s="42"/>
      <c r="H1308" s="42"/>
      <c r="I1308" s="42"/>
      <c r="J1308" s="42"/>
      <c r="K1308" s="42"/>
      <c r="L1308" s="42"/>
      <c r="M1308" s="42"/>
      <c r="N1308" s="42"/>
      <c r="O1308" s="42"/>
      <c r="P1308" s="42"/>
      <c r="Q1308" s="42"/>
      <c r="R1308" s="42"/>
      <c r="S1308" s="42"/>
      <c r="T1308" s="42"/>
      <c r="U1308" s="42"/>
      <c r="V1308" s="42"/>
      <c r="W1308" s="42"/>
      <c r="X1308" s="42"/>
      <c r="Y1308" s="42"/>
      <c r="Z1308" s="42"/>
      <c r="AA1308" s="42"/>
      <c r="AB1308" s="42"/>
      <c r="AC1308" s="42"/>
      <c r="AD1308" s="42"/>
      <c r="AE1308" s="42"/>
      <c r="AF1308" s="42"/>
      <c r="AG1308" s="42"/>
      <c r="AH1308" s="42"/>
      <c r="AI1308" s="42"/>
      <c r="AJ1308" s="42"/>
      <c r="AK1308" s="42"/>
      <c r="AL1308" s="42"/>
      <c r="AM1308" s="42"/>
      <c r="AN1308" s="42"/>
      <c r="AO1308" s="42"/>
      <c r="AP1308" s="42"/>
      <c r="AQ1308" s="42"/>
      <c r="AR1308" s="42"/>
      <c r="AS1308" s="42"/>
      <c r="AT1308" s="42"/>
      <c r="AU1308" s="42"/>
      <c r="AV1308" s="42"/>
      <c r="AW1308" s="42"/>
      <c r="AX1308" s="42"/>
      <c r="AY1308" s="42"/>
      <c r="AZ1308" s="42"/>
      <c r="BA1308" s="42"/>
      <c r="BB1308" s="42"/>
      <c r="BC1308" s="42"/>
      <c r="BD1308" s="42"/>
      <c r="BE1308" s="42"/>
      <c r="BF1308" s="42"/>
      <c r="BG1308" s="42"/>
      <c r="BH1308" s="42"/>
      <c r="BI1308" s="42"/>
      <c r="BJ1308" s="42"/>
      <c r="BK1308" s="42"/>
      <c r="BL1308" s="42"/>
      <c r="BM1308" s="42"/>
      <c r="BN1308" s="42"/>
      <c r="BO1308" s="42"/>
    </row>
    <row r="1309">
      <c r="A1309" s="40"/>
      <c r="B1309" s="40"/>
      <c r="C1309" s="42"/>
      <c r="D1309" s="42"/>
      <c r="E1309" s="43"/>
      <c r="F1309" s="42"/>
      <c r="G1309" s="42"/>
      <c r="H1309" s="42"/>
      <c r="I1309" s="42"/>
      <c r="J1309" s="42"/>
      <c r="K1309" s="42"/>
      <c r="L1309" s="42"/>
      <c r="M1309" s="42"/>
      <c r="N1309" s="42"/>
      <c r="O1309" s="42"/>
      <c r="P1309" s="42"/>
      <c r="Q1309" s="42"/>
      <c r="R1309" s="42"/>
      <c r="S1309" s="42"/>
      <c r="T1309" s="42"/>
      <c r="U1309" s="42"/>
      <c r="V1309" s="42"/>
      <c r="W1309" s="42"/>
      <c r="X1309" s="42"/>
      <c r="Y1309" s="42"/>
      <c r="Z1309" s="42"/>
      <c r="AA1309" s="42"/>
      <c r="AB1309" s="42"/>
      <c r="AC1309" s="42"/>
      <c r="AD1309" s="42"/>
      <c r="AE1309" s="42"/>
      <c r="AF1309" s="42"/>
      <c r="AG1309" s="42"/>
      <c r="AH1309" s="42"/>
      <c r="AI1309" s="42"/>
      <c r="AJ1309" s="42"/>
      <c r="AK1309" s="42"/>
      <c r="AL1309" s="42"/>
      <c r="AM1309" s="42"/>
      <c r="AN1309" s="42"/>
      <c r="AO1309" s="42"/>
      <c r="AP1309" s="42"/>
      <c r="AQ1309" s="42"/>
      <c r="AR1309" s="42"/>
      <c r="AS1309" s="42"/>
      <c r="AT1309" s="42"/>
      <c r="AU1309" s="42"/>
      <c r="AV1309" s="42"/>
      <c r="AW1309" s="42"/>
      <c r="AX1309" s="42"/>
      <c r="AY1309" s="42"/>
      <c r="AZ1309" s="42"/>
      <c r="BA1309" s="42"/>
      <c r="BB1309" s="42"/>
      <c r="BC1309" s="42"/>
      <c r="BD1309" s="42"/>
      <c r="BE1309" s="42"/>
      <c r="BF1309" s="42"/>
      <c r="BG1309" s="42"/>
      <c r="BH1309" s="42"/>
      <c r="BI1309" s="42"/>
      <c r="BJ1309" s="42"/>
      <c r="BK1309" s="42"/>
      <c r="BL1309" s="42"/>
      <c r="BM1309" s="42"/>
      <c r="BN1309" s="42"/>
      <c r="BO1309" s="42"/>
    </row>
    <row r="1310">
      <c r="A1310" s="40"/>
      <c r="B1310" s="40"/>
      <c r="C1310" s="42"/>
      <c r="D1310" s="42"/>
      <c r="E1310" s="43"/>
      <c r="F1310" s="42"/>
      <c r="G1310" s="42"/>
      <c r="H1310" s="42"/>
      <c r="I1310" s="42"/>
      <c r="J1310" s="42"/>
      <c r="K1310" s="42"/>
      <c r="L1310" s="42"/>
      <c r="M1310" s="42"/>
      <c r="N1310" s="42"/>
      <c r="O1310" s="42"/>
      <c r="P1310" s="42"/>
      <c r="Q1310" s="42"/>
      <c r="R1310" s="42"/>
      <c r="S1310" s="42"/>
      <c r="T1310" s="42"/>
      <c r="U1310" s="42"/>
      <c r="V1310" s="42"/>
      <c r="W1310" s="42"/>
      <c r="X1310" s="42"/>
      <c r="Y1310" s="42"/>
      <c r="Z1310" s="42"/>
      <c r="AA1310" s="42"/>
      <c r="AB1310" s="42"/>
      <c r="AC1310" s="42"/>
      <c r="AD1310" s="42"/>
      <c r="AE1310" s="42"/>
      <c r="AF1310" s="42"/>
      <c r="AG1310" s="42"/>
      <c r="AH1310" s="42"/>
      <c r="AI1310" s="42"/>
      <c r="AJ1310" s="42"/>
      <c r="AK1310" s="42"/>
      <c r="AL1310" s="42"/>
      <c r="AM1310" s="42"/>
      <c r="AN1310" s="42"/>
      <c r="AO1310" s="42"/>
      <c r="AP1310" s="42"/>
      <c r="AQ1310" s="42"/>
      <c r="AR1310" s="42"/>
      <c r="AS1310" s="42"/>
      <c r="AT1310" s="42"/>
      <c r="AU1310" s="42"/>
      <c r="AV1310" s="42"/>
      <c r="AW1310" s="42"/>
      <c r="AX1310" s="42"/>
      <c r="AY1310" s="42"/>
      <c r="AZ1310" s="42"/>
      <c r="BA1310" s="42"/>
      <c r="BB1310" s="42"/>
      <c r="BC1310" s="42"/>
      <c r="BD1310" s="42"/>
      <c r="BE1310" s="42"/>
      <c r="BF1310" s="42"/>
      <c r="BG1310" s="42"/>
      <c r="BH1310" s="42"/>
      <c r="BI1310" s="42"/>
      <c r="BJ1310" s="42"/>
      <c r="BK1310" s="42"/>
      <c r="BL1310" s="42"/>
      <c r="BM1310" s="42"/>
      <c r="BN1310" s="42"/>
      <c r="BO1310" s="42"/>
    </row>
    <row r="1311">
      <c r="A1311" s="40"/>
      <c r="B1311" s="40"/>
      <c r="C1311" s="42"/>
      <c r="D1311" s="42"/>
      <c r="E1311" s="43"/>
      <c r="F1311" s="42"/>
      <c r="G1311" s="42"/>
      <c r="H1311" s="42"/>
      <c r="I1311" s="42"/>
      <c r="J1311" s="42"/>
      <c r="K1311" s="42"/>
      <c r="L1311" s="42"/>
      <c r="M1311" s="42"/>
      <c r="N1311" s="42"/>
      <c r="O1311" s="42"/>
      <c r="P1311" s="42"/>
      <c r="Q1311" s="42"/>
      <c r="R1311" s="42"/>
      <c r="S1311" s="42"/>
      <c r="T1311" s="42"/>
      <c r="U1311" s="42"/>
      <c r="V1311" s="42"/>
      <c r="W1311" s="42"/>
      <c r="X1311" s="42"/>
      <c r="Y1311" s="42"/>
      <c r="Z1311" s="42"/>
      <c r="AA1311" s="42"/>
      <c r="AB1311" s="42"/>
      <c r="AC1311" s="42"/>
      <c r="AD1311" s="42"/>
      <c r="AE1311" s="42"/>
      <c r="AF1311" s="42"/>
      <c r="AG1311" s="42"/>
      <c r="AH1311" s="42"/>
      <c r="AI1311" s="42"/>
      <c r="AJ1311" s="42"/>
      <c r="AK1311" s="42"/>
      <c r="AL1311" s="42"/>
      <c r="AM1311" s="42"/>
      <c r="AN1311" s="42"/>
      <c r="AO1311" s="42"/>
      <c r="AP1311" s="42"/>
      <c r="AQ1311" s="42"/>
      <c r="AR1311" s="42"/>
      <c r="AS1311" s="42"/>
      <c r="AT1311" s="42"/>
      <c r="AU1311" s="42"/>
      <c r="AV1311" s="42"/>
      <c r="AW1311" s="42"/>
      <c r="AX1311" s="42"/>
      <c r="AY1311" s="42"/>
      <c r="AZ1311" s="42"/>
      <c r="BA1311" s="42"/>
      <c r="BB1311" s="42"/>
      <c r="BC1311" s="42"/>
      <c r="BD1311" s="42"/>
      <c r="BE1311" s="42"/>
      <c r="BF1311" s="42"/>
      <c r="BG1311" s="42"/>
      <c r="BH1311" s="42"/>
      <c r="BI1311" s="42"/>
      <c r="BJ1311" s="42"/>
      <c r="BK1311" s="42"/>
      <c r="BL1311" s="42"/>
      <c r="BM1311" s="42"/>
      <c r="BN1311" s="42"/>
      <c r="BO1311" s="42"/>
    </row>
    <row r="1312">
      <c r="A1312" s="40"/>
      <c r="B1312" s="40"/>
      <c r="C1312" s="42"/>
      <c r="D1312" s="42"/>
      <c r="E1312" s="43"/>
      <c r="F1312" s="42"/>
      <c r="G1312" s="42"/>
      <c r="H1312" s="42"/>
      <c r="I1312" s="42"/>
      <c r="J1312" s="42"/>
      <c r="K1312" s="42"/>
      <c r="L1312" s="42"/>
      <c r="M1312" s="42"/>
      <c r="N1312" s="42"/>
      <c r="O1312" s="42"/>
      <c r="P1312" s="42"/>
      <c r="Q1312" s="42"/>
      <c r="R1312" s="42"/>
      <c r="S1312" s="42"/>
      <c r="T1312" s="42"/>
      <c r="U1312" s="42"/>
      <c r="V1312" s="42"/>
      <c r="W1312" s="42"/>
      <c r="X1312" s="42"/>
      <c r="Y1312" s="42"/>
      <c r="Z1312" s="42"/>
      <c r="AA1312" s="42"/>
      <c r="AB1312" s="42"/>
      <c r="AC1312" s="42"/>
      <c r="AD1312" s="42"/>
      <c r="AE1312" s="42"/>
      <c r="AF1312" s="42"/>
      <c r="AG1312" s="42"/>
      <c r="AH1312" s="42"/>
      <c r="AI1312" s="42"/>
      <c r="AJ1312" s="42"/>
      <c r="AK1312" s="42"/>
      <c r="AL1312" s="42"/>
      <c r="AM1312" s="42"/>
      <c r="AN1312" s="42"/>
      <c r="AO1312" s="42"/>
      <c r="AP1312" s="42"/>
      <c r="AQ1312" s="42"/>
      <c r="AR1312" s="42"/>
      <c r="AS1312" s="42"/>
      <c r="AT1312" s="42"/>
      <c r="AU1312" s="42"/>
      <c r="AV1312" s="42"/>
      <c r="AW1312" s="42"/>
      <c r="AX1312" s="42"/>
      <c r="AY1312" s="42"/>
      <c r="AZ1312" s="42"/>
      <c r="BA1312" s="42"/>
      <c r="BB1312" s="42"/>
      <c r="BC1312" s="42"/>
      <c r="BD1312" s="42"/>
      <c r="BE1312" s="42"/>
      <c r="BF1312" s="42"/>
      <c r="BG1312" s="42"/>
      <c r="BH1312" s="42"/>
      <c r="BI1312" s="42"/>
      <c r="BJ1312" s="42"/>
      <c r="BK1312" s="42"/>
      <c r="BL1312" s="42"/>
      <c r="BM1312" s="42"/>
      <c r="BN1312" s="42"/>
      <c r="BO1312" s="42"/>
    </row>
    <row r="1313">
      <c r="A1313" s="40"/>
      <c r="B1313" s="40"/>
      <c r="C1313" s="42"/>
      <c r="D1313" s="42"/>
      <c r="E1313" s="43"/>
      <c r="F1313" s="42"/>
      <c r="G1313" s="42"/>
      <c r="H1313" s="42"/>
      <c r="I1313" s="42"/>
      <c r="J1313" s="42"/>
      <c r="K1313" s="42"/>
      <c r="L1313" s="42"/>
      <c r="M1313" s="42"/>
      <c r="N1313" s="42"/>
      <c r="O1313" s="42"/>
      <c r="P1313" s="42"/>
      <c r="Q1313" s="42"/>
      <c r="R1313" s="42"/>
      <c r="S1313" s="42"/>
      <c r="T1313" s="42"/>
      <c r="U1313" s="42"/>
      <c r="V1313" s="42"/>
      <c r="W1313" s="42"/>
      <c r="X1313" s="42"/>
      <c r="Y1313" s="42"/>
      <c r="Z1313" s="42"/>
      <c r="AA1313" s="42"/>
      <c r="AB1313" s="42"/>
      <c r="AC1313" s="42"/>
      <c r="AD1313" s="42"/>
      <c r="AE1313" s="42"/>
      <c r="AF1313" s="42"/>
      <c r="AG1313" s="42"/>
      <c r="AH1313" s="42"/>
      <c r="AI1313" s="42"/>
      <c r="AJ1313" s="42"/>
      <c r="AK1313" s="42"/>
      <c r="AL1313" s="42"/>
      <c r="AM1313" s="42"/>
      <c r="AN1313" s="42"/>
      <c r="AO1313" s="42"/>
      <c r="AP1313" s="42"/>
      <c r="AQ1313" s="42"/>
      <c r="AR1313" s="42"/>
      <c r="AS1313" s="42"/>
      <c r="AT1313" s="42"/>
      <c r="AU1313" s="42"/>
      <c r="AV1313" s="42"/>
      <c r="AW1313" s="42"/>
      <c r="AX1313" s="42"/>
      <c r="AY1313" s="42"/>
      <c r="AZ1313" s="42"/>
      <c r="BA1313" s="42"/>
      <c r="BB1313" s="42"/>
      <c r="BC1313" s="42"/>
      <c r="BD1313" s="42"/>
      <c r="BE1313" s="42"/>
      <c r="BF1313" s="42"/>
      <c r="BG1313" s="42"/>
      <c r="BH1313" s="42"/>
      <c r="BI1313" s="42"/>
      <c r="BJ1313" s="42"/>
      <c r="BK1313" s="42"/>
      <c r="BL1313" s="42"/>
      <c r="BM1313" s="42"/>
      <c r="BN1313" s="42"/>
      <c r="BO1313" s="42"/>
    </row>
    <row r="1314">
      <c r="A1314" s="40"/>
      <c r="B1314" s="40"/>
      <c r="C1314" s="42"/>
      <c r="D1314" s="42"/>
      <c r="E1314" s="43"/>
      <c r="F1314" s="42"/>
      <c r="G1314" s="42"/>
      <c r="H1314" s="42"/>
      <c r="I1314" s="42"/>
      <c r="J1314" s="42"/>
      <c r="K1314" s="42"/>
      <c r="L1314" s="42"/>
      <c r="M1314" s="42"/>
      <c r="N1314" s="42"/>
      <c r="O1314" s="42"/>
      <c r="P1314" s="42"/>
      <c r="Q1314" s="42"/>
      <c r="R1314" s="42"/>
      <c r="S1314" s="42"/>
      <c r="T1314" s="42"/>
      <c r="U1314" s="42"/>
      <c r="V1314" s="42"/>
      <c r="W1314" s="42"/>
      <c r="X1314" s="42"/>
      <c r="Y1314" s="42"/>
      <c r="Z1314" s="42"/>
      <c r="AA1314" s="42"/>
      <c r="AB1314" s="42"/>
      <c r="AC1314" s="42"/>
      <c r="AD1314" s="42"/>
      <c r="AE1314" s="42"/>
      <c r="AF1314" s="42"/>
      <c r="AG1314" s="42"/>
      <c r="AH1314" s="42"/>
      <c r="AI1314" s="42"/>
      <c r="AJ1314" s="42"/>
      <c r="AK1314" s="42"/>
      <c r="AL1314" s="42"/>
      <c r="AM1314" s="42"/>
      <c r="AN1314" s="42"/>
      <c r="AO1314" s="42"/>
      <c r="AP1314" s="42"/>
      <c r="AQ1314" s="42"/>
      <c r="AR1314" s="42"/>
      <c r="AS1314" s="42"/>
      <c r="AT1314" s="42"/>
      <c r="AU1314" s="42"/>
      <c r="AV1314" s="42"/>
      <c r="AW1314" s="42"/>
      <c r="AX1314" s="42"/>
      <c r="AY1314" s="42"/>
      <c r="AZ1314" s="42"/>
      <c r="BA1314" s="42"/>
      <c r="BB1314" s="42"/>
      <c r="BC1314" s="42"/>
      <c r="BD1314" s="42"/>
      <c r="BE1314" s="42"/>
      <c r="BF1314" s="42"/>
      <c r="BG1314" s="42"/>
      <c r="BH1314" s="42"/>
      <c r="BI1314" s="42"/>
      <c r="BJ1314" s="42"/>
      <c r="BK1314" s="42"/>
      <c r="BL1314" s="42"/>
      <c r="BM1314" s="42"/>
      <c r="BN1314" s="42"/>
      <c r="BO1314" s="42"/>
    </row>
    <row r="1315">
      <c r="A1315" s="40"/>
      <c r="B1315" s="40"/>
      <c r="C1315" s="42"/>
      <c r="D1315" s="42"/>
      <c r="E1315" s="43"/>
      <c r="F1315" s="42"/>
      <c r="G1315" s="42"/>
      <c r="H1315" s="42"/>
      <c r="I1315" s="42"/>
      <c r="J1315" s="42"/>
      <c r="K1315" s="42"/>
      <c r="L1315" s="42"/>
      <c r="M1315" s="42"/>
      <c r="N1315" s="42"/>
      <c r="O1315" s="42"/>
      <c r="P1315" s="42"/>
      <c r="Q1315" s="42"/>
      <c r="R1315" s="42"/>
      <c r="S1315" s="42"/>
      <c r="T1315" s="42"/>
      <c r="U1315" s="42"/>
      <c r="V1315" s="42"/>
      <c r="W1315" s="42"/>
      <c r="X1315" s="42"/>
      <c r="Y1315" s="42"/>
      <c r="Z1315" s="42"/>
      <c r="AA1315" s="42"/>
      <c r="AB1315" s="42"/>
      <c r="AC1315" s="42"/>
      <c r="AD1315" s="42"/>
      <c r="AE1315" s="42"/>
      <c r="AF1315" s="42"/>
      <c r="AG1315" s="42"/>
      <c r="AH1315" s="42"/>
      <c r="AI1315" s="42"/>
      <c r="AJ1315" s="42"/>
      <c r="AK1315" s="42"/>
      <c r="AL1315" s="42"/>
      <c r="AM1315" s="42"/>
      <c r="AN1315" s="42"/>
      <c r="AO1315" s="42"/>
      <c r="AP1315" s="42"/>
      <c r="AQ1315" s="42"/>
      <c r="AR1315" s="42"/>
      <c r="AS1315" s="42"/>
      <c r="AT1315" s="42"/>
      <c r="AU1315" s="42"/>
      <c r="AV1315" s="42"/>
      <c r="AW1315" s="42"/>
      <c r="AX1315" s="42"/>
      <c r="AY1315" s="42"/>
      <c r="AZ1315" s="42"/>
      <c r="BA1315" s="42"/>
      <c r="BB1315" s="42"/>
      <c r="BC1315" s="42"/>
      <c r="BD1315" s="42"/>
      <c r="BE1315" s="42"/>
      <c r="BF1315" s="42"/>
      <c r="BG1315" s="42"/>
      <c r="BH1315" s="42"/>
      <c r="BI1315" s="42"/>
      <c r="BJ1315" s="42"/>
      <c r="BK1315" s="42"/>
      <c r="BL1315" s="42"/>
      <c r="BM1315" s="42"/>
      <c r="BN1315" s="42"/>
      <c r="BO1315" s="42"/>
    </row>
    <row r="1316">
      <c r="A1316" s="40"/>
      <c r="B1316" s="40"/>
      <c r="C1316" s="42"/>
      <c r="D1316" s="42"/>
      <c r="E1316" s="43"/>
      <c r="F1316" s="42"/>
      <c r="G1316" s="42"/>
      <c r="H1316" s="42"/>
      <c r="I1316" s="42"/>
      <c r="J1316" s="42"/>
      <c r="K1316" s="42"/>
      <c r="L1316" s="42"/>
      <c r="M1316" s="42"/>
      <c r="N1316" s="42"/>
      <c r="O1316" s="42"/>
      <c r="P1316" s="42"/>
      <c r="Q1316" s="42"/>
      <c r="R1316" s="42"/>
      <c r="S1316" s="42"/>
      <c r="T1316" s="42"/>
      <c r="U1316" s="42"/>
      <c r="V1316" s="42"/>
      <c r="W1316" s="42"/>
      <c r="X1316" s="42"/>
      <c r="Y1316" s="42"/>
      <c r="Z1316" s="42"/>
      <c r="AA1316" s="42"/>
      <c r="AB1316" s="42"/>
      <c r="AC1316" s="42"/>
      <c r="AD1316" s="42"/>
      <c r="AE1316" s="42"/>
      <c r="AF1316" s="42"/>
      <c r="AG1316" s="42"/>
      <c r="AH1316" s="42"/>
      <c r="AI1316" s="42"/>
      <c r="AJ1316" s="42"/>
      <c r="AK1316" s="42"/>
      <c r="AL1316" s="42"/>
      <c r="AM1316" s="42"/>
      <c r="AN1316" s="42"/>
      <c r="AO1316" s="42"/>
      <c r="AP1316" s="42"/>
      <c r="AQ1316" s="42"/>
      <c r="AR1316" s="42"/>
      <c r="AS1316" s="42"/>
      <c r="AT1316" s="42"/>
      <c r="AU1316" s="42"/>
      <c r="AV1316" s="42"/>
      <c r="AW1316" s="42"/>
      <c r="AX1316" s="42"/>
      <c r="AY1316" s="42"/>
      <c r="AZ1316" s="42"/>
      <c r="BA1316" s="42"/>
      <c r="BB1316" s="42"/>
      <c r="BC1316" s="42"/>
      <c r="BD1316" s="42"/>
      <c r="BE1316" s="42"/>
      <c r="BF1316" s="42"/>
      <c r="BG1316" s="42"/>
      <c r="BH1316" s="42"/>
      <c r="BI1316" s="42"/>
      <c r="BJ1316" s="42"/>
      <c r="BK1316" s="42"/>
      <c r="BL1316" s="42"/>
      <c r="BM1316" s="42"/>
      <c r="BN1316" s="42"/>
      <c r="BO1316" s="42"/>
    </row>
    <row r="1317">
      <c r="A1317" s="40"/>
      <c r="B1317" s="40"/>
      <c r="C1317" s="42"/>
      <c r="D1317" s="42"/>
      <c r="E1317" s="43"/>
      <c r="F1317" s="42"/>
      <c r="G1317" s="42"/>
      <c r="H1317" s="42"/>
      <c r="I1317" s="42"/>
      <c r="J1317" s="42"/>
      <c r="K1317" s="42"/>
      <c r="L1317" s="42"/>
      <c r="M1317" s="42"/>
      <c r="N1317" s="42"/>
      <c r="O1317" s="42"/>
      <c r="P1317" s="42"/>
      <c r="Q1317" s="42"/>
      <c r="R1317" s="42"/>
      <c r="S1317" s="42"/>
      <c r="T1317" s="42"/>
      <c r="U1317" s="42"/>
      <c r="V1317" s="42"/>
      <c r="W1317" s="42"/>
      <c r="X1317" s="42"/>
      <c r="Y1317" s="42"/>
      <c r="Z1317" s="42"/>
      <c r="AA1317" s="42"/>
      <c r="AB1317" s="42"/>
      <c r="AC1317" s="42"/>
      <c r="AD1317" s="42"/>
      <c r="AE1317" s="42"/>
      <c r="AF1317" s="42"/>
      <c r="AG1317" s="42"/>
      <c r="AH1317" s="42"/>
      <c r="AI1317" s="42"/>
      <c r="AJ1317" s="42"/>
      <c r="AK1317" s="42"/>
      <c r="AL1317" s="42"/>
      <c r="AM1317" s="42"/>
      <c r="AN1317" s="42"/>
      <c r="AO1317" s="42"/>
      <c r="AP1317" s="42"/>
      <c r="AQ1317" s="42"/>
      <c r="AR1317" s="42"/>
      <c r="AS1317" s="42"/>
      <c r="AT1317" s="42"/>
      <c r="AU1317" s="42"/>
      <c r="AV1317" s="42"/>
      <c r="AW1317" s="42"/>
      <c r="AX1317" s="42"/>
      <c r="AY1317" s="42"/>
      <c r="AZ1317" s="42"/>
      <c r="BA1317" s="42"/>
      <c r="BB1317" s="42"/>
      <c r="BC1317" s="42"/>
      <c r="BD1317" s="42"/>
      <c r="BE1317" s="42"/>
      <c r="BF1317" s="42"/>
      <c r="BG1317" s="42"/>
      <c r="BH1317" s="42"/>
      <c r="BI1317" s="42"/>
      <c r="BJ1317" s="42"/>
      <c r="BK1317" s="42"/>
      <c r="BL1317" s="42"/>
      <c r="BM1317" s="42"/>
      <c r="BN1317" s="42"/>
      <c r="BO1317" s="42"/>
    </row>
    <row r="1318">
      <c r="A1318" s="40"/>
      <c r="B1318" s="40"/>
      <c r="C1318" s="42"/>
      <c r="D1318" s="42"/>
      <c r="E1318" s="43"/>
      <c r="F1318" s="42"/>
      <c r="G1318" s="42"/>
      <c r="H1318" s="42"/>
      <c r="I1318" s="42"/>
      <c r="J1318" s="42"/>
      <c r="K1318" s="42"/>
      <c r="L1318" s="42"/>
      <c r="M1318" s="42"/>
      <c r="N1318" s="42"/>
      <c r="O1318" s="42"/>
      <c r="P1318" s="42"/>
      <c r="Q1318" s="42"/>
      <c r="R1318" s="42"/>
      <c r="S1318" s="42"/>
      <c r="T1318" s="42"/>
      <c r="U1318" s="42"/>
      <c r="V1318" s="42"/>
      <c r="W1318" s="42"/>
      <c r="X1318" s="42"/>
      <c r="Y1318" s="42"/>
      <c r="Z1318" s="42"/>
      <c r="AA1318" s="42"/>
      <c r="AB1318" s="42"/>
      <c r="AC1318" s="42"/>
      <c r="AD1318" s="42"/>
      <c r="AE1318" s="42"/>
      <c r="AF1318" s="42"/>
      <c r="AG1318" s="42"/>
      <c r="AH1318" s="42"/>
      <c r="AI1318" s="42"/>
      <c r="AJ1318" s="42"/>
      <c r="AK1318" s="42"/>
      <c r="AL1318" s="42"/>
      <c r="AM1318" s="42"/>
      <c r="AN1318" s="42"/>
      <c r="AO1318" s="42"/>
      <c r="AP1318" s="42"/>
      <c r="AQ1318" s="42"/>
      <c r="AR1318" s="42"/>
      <c r="AS1318" s="42"/>
      <c r="AT1318" s="42"/>
      <c r="AU1318" s="42"/>
      <c r="AV1318" s="42"/>
      <c r="AW1318" s="42"/>
      <c r="AX1318" s="42"/>
      <c r="AY1318" s="42"/>
      <c r="AZ1318" s="42"/>
      <c r="BA1318" s="42"/>
      <c r="BB1318" s="42"/>
      <c r="BC1318" s="42"/>
      <c r="BD1318" s="42"/>
      <c r="BE1318" s="42"/>
      <c r="BF1318" s="42"/>
      <c r="BG1318" s="42"/>
      <c r="BH1318" s="42"/>
      <c r="BI1318" s="42"/>
      <c r="BJ1318" s="42"/>
      <c r="BK1318" s="42"/>
      <c r="BL1318" s="42"/>
      <c r="BM1318" s="42"/>
      <c r="BN1318" s="42"/>
      <c r="BO1318" s="42"/>
    </row>
    <row r="1319">
      <c r="A1319" s="40"/>
      <c r="B1319" s="40"/>
      <c r="C1319" s="42"/>
      <c r="D1319" s="42"/>
      <c r="E1319" s="43"/>
      <c r="F1319" s="42"/>
      <c r="G1319" s="42"/>
      <c r="H1319" s="42"/>
      <c r="I1319" s="42"/>
      <c r="J1319" s="42"/>
      <c r="K1319" s="42"/>
      <c r="L1319" s="42"/>
      <c r="M1319" s="42"/>
      <c r="N1319" s="42"/>
      <c r="O1319" s="42"/>
      <c r="P1319" s="42"/>
      <c r="Q1319" s="42"/>
      <c r="R1319" s="42"/>
      <c r="S1319" s="42"/>
      <c r="T1319" s="42"/>
      <c r="U1319" s="42"/>
      <c r="V1319" s="42"/>
      <c r="W1319" s="42"/>
      <c r="X1319" s="42"/>
      <c r="Y1319" s="42"/>
      <c r="Z1319" s="42"/>
      <c r="AA1319" s="42"/>
      <c r="AB1319" s="42"/>
      <c r="AC1319" s="42"/>
      <c r="AD1319" s="42"/>
      <c r="AE1319" s="42"/>
      <c r="AF1319" s="42"/>
      <c r="AG1319" s="42"/>
      <c r="AH1319" s="42"/>
      <c r="AI1319" s="42"/>
      <c r="AJ1319" s="42"/>
      <c r="AK1319" s="42"/>
      <c r="AL1319" s="42"/>
      <c r="AM1319" s="42"/>
      <c r="AN1319" s="42"/>
      <c r="AO1319" s="42"/>
      <c r="AP1319" s="42"/>
      <c r="AQ1319" s="42"/>
      <c r="AR1319" s="42"/>
      <c r="AS1319" s="42"/>
      <c r="AT1319" s="42"/>
      <c r="AU1319" s="42"/>
      <c r="AV1319" s="42"/>
      <c r="AW1319" s="42"/>
      <c r="AX1319" s="42"/>
      <c r="AY1319" s="42"/>
      <c r="AZ1319" s="42"/>
      <c r="BA1319" s="42"/>
      <c r="BB1319" s="42"/>
      <c r="BC1319" s="42"/>
      <c r="BD1319" s="42"/>
      <c r="BE1319" s="42"/>
      <c r="BF1319" s="42"/>
      <c r="BG1319" s="42"/>
      <c r="BH1319" s="42"/>
      <c r="BI1319" s="42"/>
      <c r="BJ1319" s="42"/>
      <c r="BK1319" s="42"/>
      <c r="BL1319" s="42"/>
      <c r="BM1319" s="42"/>
      <c r="BN1319" s="42"/>
      <c r="BO1319" s="42"/>
    </row>
    <row r="1320">
      <c r="A1320" s="40"/>
      <c r="B1320" s="40"/>
      <c r="C1320" s="42"/>
      <c r="D1320" s="42"/>
      <c r="E1320" s="43"/>
      <c r="F1320" s="42"/>
      <c r="G1320" s="42"/>
      <c r="H1320" s="42"/>
      <c r="I1320" s="42"/>
      <c r="J1320" s="42"/>
      <c r="K1320" s="42"/>
      <c r="L1320" s="42"/>
      <c r="M1320" s="42"/>
      <c r="N1320" s="42"/>
      <c r="O1320" s="42"/>
      <c r="P1320" s="42"/>
      <c r="Q1320" s="42"/>
      <c r="R1320" s="42"/>
      <c r="S1320" s="42"/>
      <c r="T1320" s="42"/>
      <c r="U1320" s="42"/>
      <c r="V1320" s="42"/>
      <c r="W1320" s="42"/>
      <c r="X1320" s="42"/>
      <c r="Y1320" s="42"/>
      <c r="Z1320" s="42"/>
      <c r="AA1320" s="42"/>
      <c r="AB1320" s="42"/>
      <c r="AC1320" s="42"/>
      <c r="AD1320" s="42"/>
      <c r="AE1320" s="42"/>
      <c r="AF1320" s="42"/>
      <c r="AG1320" s="42"/>
      <c r="AH1320" s="42"/>
      <c r="AI1320" s="42"/>
      <c r="AJ1320" s="42"/>
      <c r="AK1320" s="42"/>
      <c r="AL1320" s="42"/>
      <c r="AM1320" s="42"/>
      <c r="AN1320" s="42"/>
      <c r="AO1320" s="42"/>
      <c r="AP1320" s="42"/>
      <c r="AQ1320" s="42"/>
      <c r="AR1320" s="42"/>
      <c r="AS1320" s="42"/>
      <c r="AT1320" s="42"/>
      <c r="AU1320" s="42"/>
      <c r="AV1320" s="42"/>
      <c r="AW1320" s="42"/>
      <c r="AX1320" s="42"/>
      <c r="AY1320" s="42"/>
      <c r="AZ1320" s="42"/>
      <c r="BA1320" s="42"/>
      <c r="BB1320" s="42"/>
      <c r="BC1320" s="42"/>
      <c r="BD1320" s="42"/>
      <c r="BE1320" s="42"/>
      <c r="BF1320" s="42"/>
      <c r="BG1320" s="42"/>
      <c r="BH1320" s="42"/>
      <c r="BI1320" s="42"/>
      <c r="BJ1320" s="42"/>
      <c r="BK1320" s="42"/>
      <c r="BL1320" s="42"/>
      <c r="BM1320" s="42"/>
      <c r="BN1320" s="42"/>
      <c r="BO1320" s="42"/>
    </row>
    <row r="1321">
      <c r="A1321" s="40"/>
      <c r="B1321" s="40"/>
      <c r="C1321" s="42"/>
      <c r="D1321" s="42"/>
      <c r="E1321" s="43"/>
      <c r="F1321" s="42"/>
      <c r="G1321" s="42"/>
      <c r="H1321" s="42"/>
      <c r="I1321" s="42"/>
      <c r="J1321" s="42"/>
      <c r="K1321" s="42"/>
      <c r="L1321" s="42"/>
      <c r="M1321" s="42"/>
      <c r="N1321" s="42"/>
      <c r="O1321" s="42"/>
      <c r="P1321" s="42"/>
      <c r="Q1321" s="42"/>
      <c r="R1321" s="42"/>
      <c r="S1321" s="42"/>
      <c r="T1321" s="42"/>
      <c r="U1321" s="42"/>
      <c r="V1321" s="42"/>
      <c r="W1321" s="42"/>
      <c r="X1321" s="42"/>
      <c r="Y1321" s="42"/>
      <c r="Z1321" s="42"/>
      <c r="AA1321" s="42"/>
      <c r="AB1321" s="42"/>
      <c r="AC1321" s="42"/>
      <c r="AD1321" s="42"/>
      <c r="AE1321" s="42"/>
      <c r="AF1321" s="42"/>
      <c r="AG1321" s="42"/>
      <c r="AH1321" s="42"/>
      <c r="AI1321" s="42"/>
      <c r="AJ1321" s="42"/>
      <c r="AK1321" s="42"/>
      <c r="AL1321" s="42"/>
      <c r="AM1321" s="42"/>
      <c r="AN1321" s="42"/>
      <c r="AO1321" s="42"/>
      <c r="AP1321" s="42"/>
      <c r="AQ1321" s="42"/>
      <c r="AR1321" s="42"/>
      <c r="AS1321" s="42"/>
      <c r="AT1321" s="42"/>
      <c r="AU1321" s="42"/>
      <c r="AV1321" s="42"/>
      <c r="AW1321" s="42"/>
      <c r="AX1321" s="42"/>
      <c r="AY1321" s="42"/>
      <c r="AZ1321" s="42"/>
      <c r="BA1321" s="42"/>
      <c r="BB1321" s="42"/>
      <c r="BC1321" s="42"/>
      <c r="BD1321" s="42"/>
      <c r="BE1321" s="42"/>
      <c r="BF1321" s="42"/>
      <c r="BG1321" s="42"/>
      <c r="BH1321" s="42"/>
      <c r="BI1321" s="42"/>
      <c r="BJ1321" s="42"/>
      <c r="BK1321" s="42"/>
      <c r="BL1321" s="42"/>
      <c r="BM1321" s="42"/>
      <c r="BN1321" s="42"/>
      <c r="BO1321" s="42"/>
    </row>
    <row r="1322">
      <c r="A1322" s="40"/>
      <c r="B1322" s="40"/>
      <c r="C1322" s="42"/>
      <c r="D1322" s="42"/>
      <c r="E1322" s="43"/>
      <c r="F1322" s="42"/>
      <c r="G1322" s="42"/>
      <c r="H1322" s="42"/>
      <c r="I1322" s="42"/>
      <c r="J1322" s="42"/>
      <c r="K1322" s="42"/>
      <c r="L1322" s="42"/>
      <c r="M1322" s="42"/>
      <c r="N1322" s="42"/>
      <c r="O1322" s="42"/>
      <c r="P1322" s="42"/>
      <c r="Q1322" s="42"/>
      <c r="R1322" s="42"/>
      <c r="S1322" s="42"/>
      <c r="T1322" s="42"/>
      <c r="U1322" s="42"/>
      <c r="V1322" s="42"/>
      <c r="W1322" s="42"/>
      <c r="X1322" s="42"/>
      <c r="Y1322" s="42"/>
      <c r="Z1322" s="42"/>
      <c r="AA1322" s="42"/>
      <c r="AB1322" s="42"/>
      <c r="AC1322" s="42"/>
      <c r="AD1322" s="42"/>
      <c r="AE1322" s="42"/>
      <c r="AF1322" s="42"/>
      <c r="AG1322" s="42"/>
      <c r="AH1322" s="42"/>
      <c r="AI1322" s="42"/>
      <c r="AJ1322" s="42"/>
      <c r="AK1322" s="42"/>
      <c r="AL1322" s="42"/>
      <c r="AM1322" s="42"/>
      <c r="AN1322" s="42"/>
      <c r="AO1322" s="42"/>
      <c r="AP1322" s="42"/>
      <c r="AQ1322" s="42"/>
      <c r="AR1322" s="42"/>
      <c r="AS1322" s="42"/>
      <c r="AT1322" s="42"/>
      <c r="AU1322" s="42"/>
      <c r="AV1322" s="42"/>
      <c r="AW1322" s="42"/>
      <c r="AX1322" s="42"/>
      <c r="AY1322" s="42"/>
      <c r="AZ1322" s="42"/>
      <c r="BA1322" s="42"/>
      <c r="BB1322" s="42"/>
      <c r="BC1322" s="42"/>
      <c r="BD1322" s="42"/>
      <c r="BE1322" s="42"/>
      <c r="BF1322" s="42"/>
      <c r="BG1322" s="42"/>
      <c r="BH1322" s="42"/>
      <c r="BI1322" s="42"/>
      <c r="BJ1322" s="42"/>
      <c r="BK1322" s="42"/>
      <c r="BL1322" s="42"/>
      <c r="BM1322" s="42"/>
      <c r="BN1322" s="42"/>
      <c r="BO1322" s="42"/>
    </row>
    <row r="1323">
      <c r="A1323" s="40"/>
      <c r="B1323" s="40"/>
      <c r="C1323" s="42"/>
      <c r="D1323" s="42"/>
      <c r="E1323" s="43"/>
      <c r="F1323" s="42"/>
      <c r="G1323" s="42"/>
      <c r="H1323" s="42"/>
      <c r="I1323" s="42"/>
      <c r="J1323" s="42"/>
      <c r="K1323" s="42"/>
      <c r="L1323" s="42"/>
      <c r="M1323" s="42"/>
      <c r="N1323" s="42"/>
      <c r="O1323" s="42"/>
      <c r="P1323" s="42"/>
      <c r="Q1323" s="42"/>
      <c r="R1323" s="42"/>
      <c r="S1323" s="42"/>
      <c r="T1323" s="42"/>
      <c r="U1323" s="42"/>
      <c r="V1323" s="42"/>
      <c r="W1323" s="42"/>
      <c r="X1323" s="42"/>
      <c r="Y1323" s="42"/>
      <c r="Z1323" s="42"/>
      <c r="AA1323" s="42"/>
      <c r="AB1323" s="42"/>
      <c r="AC1323" s="42"/>
      <c r="AD1323" s="42"/>
      <c r="AE1323" s="42"/>
      <c r="AF1323" s="42"/>
      <c r="AG1323" s="42"/>
      <c r="AH1323" s="42"/>
      <c r="AI1323" s="42"/>
      <c r="AJ1323" s="42"/>
      <c r="AK1323" s="42"/>
      <c r="AL1323" s="42"/>
      <c r="AM1323" s="42"/>
      <c r="AN1323" s="42"/>
      <c r="AO1323" s="42"/>
      <c r="AP1323" s="42"/>
      <c r="AQ1323" s="42"/>
      <c r="AR1323" s="42"/>
      <c r="AS1323" s="42"/>
      <c r="AT1323" s="42"/>
      <c r="AU1323" s="42"/>
      <c r="AV1323" s="42"/>
      <c r="AW1323" s="42"/>
      <c r="AX1323" s="42"/>
      <c r="AY1323" s="42"/>
      <c r="AZ1323" s="42"/>
      <c r="BA1323" s="42"/>
      <c r="BB1323" s="42"/>
      <c r="BC1323" s="42"/>
      <c r="BD1323" s="42"/>
      <c r="BE1323" s="42"/>
      <c r="BF1323" s="42"/>
      <c r="BG1323" s="42"/>
      <c r="BH1323" s="42"/>
      <c r="BI1323" s="42"/>
      <c r="BJ1323" s="42"/>
      <c r="BK1323" s="42"/>
      <c r="BL1323" s="42"/>
      <c r="BM1323" s="42"/>
      <c r="BN1323" s="42"/>
      <c r="BO1323" s="42"/>
    </row>
    <row r="1324">
      <c r="A1324" s="40"/>
      <c r="B1324" s="40"/>
      <c r="C1324" s="42"/>
      <c r="D1324" s="42"/>
      <c r="E1324" s="43"/>
      <c r="F1324" s="42"/>
      <c r="G1324" s="42"/>
      <c r="H1324" s="42"/>
      <c r="I1324" s="42"/>
      <c r="J1324" s="42"/>
      <c r="K1324" s="42"/>
      <c r="L1324" s="42"/>
      <c r="M1324" s="42"/>
      <c r="N1324" s="42"/>
      <c r="O1324" s="42"/>
      <c r="P1324" s="42"/>
      <c r="Q1324" s="42"/>
      <c r="R1324" s="42"/>
      <c r="S1324" s="42"/>
      <c r="T1324" s="42"/>
      <c r="U1324" s="42"/>
      <c r="V1324" s="42"/>
      <c r="W1324" s="42"/>
      <c r="X1324" s="42"/>
      <c r="Y1324" s="42"/>
      <c r="Z1324" s="42"/>
      <c r="AA1324" s="42"/>
      <c r="AB1324" s="42"/>
      <c r="AC1324" s="42"/>
      <c r="AD1324" s="42"/>
      <c r="AE1324" s="42"/>
      <c r="AF1324" s="42"/>
      <c r="AG1324" s="42"/>
      <c r="AH1324" s="42"/>
      <c r="AI1324" s="42"/>
      <c r="AJ1324" s="42"/>
      <c r="AK1324" s="42"/>
      <c r="AL1324" s="42"/>
      <c r="AM1324" s="42"/>
      <c r="AN1324" s="42"/>
      <c r="AO1324" s="42"/>
      <c r="AP1324" s="42"/>
      <c r="AQ1324" s="42"/>
      <c r="AR1324" s="42"/>
      <c r="AS1324" s="42"/>
      <c r="AT1324" s="42"/>
      <c r="AU1324" s="42"/>
      <c r="AV1324" s="42"/>
      <c r="AW1324" s="42"/>
      <c r="AX1324" s="42"/>
      <c r="AY1324" s="42"/>
      <c r="AZ1324" s="42"/>
      <c r="BA1324" s="42"/>
      <c r="BB1324" s="42"/>
      <c r="BC1324" s="42"/>
      <c r="BD1324" s="42"/>
      <c r="BE1324" s="42"/>
      <c r="BF1324" s="42"/>
      <c r="BG1324" s="42"/>
      <c r="BH1324" s="42"/>
      <c r="BI1324" s="42"/>
      <c r="BJ1324" s="42"/>
      <c r="BK1324" s="42"/>
      <c r="BL1324" s="42"/>
      <c r="BM1324" s="42"/>
      <c r="BN1324" s="42"/>
      <c r="BO1324" s="42"/>
    </row>
    <row r="1325">
      <c r="A1325" s="40"/>
      <c r="B1325" s="40"/>
      <c r="C1325" s="42"/>
      <c r="D1325" s="42"/>
      <c r="E1325" s="43"/>
      <c r="F1325" s="42"/>
      <c r="G1325" s="42"/>
      <c r="H1325" s="42"/>
      <c r="I1325" s="42"/>
      <c r="J1325" s="42"/>
      <c r="K1325" s="42"/>
      <c r="L1325" s="42"/>
      <c r="M1325" s="42"/>
      <c r="N1325" s="42"/>
      <c r="O1325" s="42"/>
      <c r="P1325" s="42"/>
      <c r="Q1325" s="42"/>
      <c r="R1325" s="42"/>
      <c r="S1325" s="42"/>
      <c r="T1325" s="42"/>
      <c r="U1325" s="42"/>
      <c r="V1325" s="42"/>
      <c r="W1325" s="42"/>
      <c r="X1325" s="42"/>
      <c r="Y1325" s="42"/>
      <c r="Z1325" s="42"/>
      <c r="AA1325" s="42"/>
      <c r="AB1325" s="42"/>
      <c r="AC1325" s="42"/>
      <c r="AD1325" s="42"/>
      <c r="AE1325" s="42"/>
      <c r="AF1325" s="42"/>
      <c r="AG1325" s="42"/>
      <c r="AH1325" s="42"/>
      <c r="AI1325" s="42"/>
      <c r="AJ1325" s="42"/>
      <c r="AK1325" s="42"/>
      <c r="AL1325" s="42"/>
      <c r="AM1325" s="42"/>
      <c r="AN1325" s="42"/>
      <c r="AO1325" s="42"/>
      <c r="AP1325" s="42"/>
      <c r="AQ1325" s="42"/>
      <c r="AR1325" s="42"/>
      <c r="AS1325" s="42"/>
      <c r="AT1325" s="42"/>
      <c r="AU1325" s="42"/>
      <c r="AV1325" s="42"/>
      <c r="AW1325" s="42"/>
      <c r="AX1325" s="42"/>
      <c r="AY1325" s="42"/>
      <c r="AZ1325" s="42"/>
      <c r="BA1325" s="42"/>
      <c r="BB1325" s="42"/>
      <c r="BC1325" s="42"/>
      <c r="BD1325" s="42"/>
      <c r="BE1325" s="42"/>
      <c r="BF1325" s="42"/>
      <c r="BG1325" s="42"/>
      <c r="BH1325" s="42"/>
      <c r="BI1325" s="42"/>
      <c r="BJ1325" s="42"/>
      <c r="BK1325" s="42"/>
      <c r="BL1325" s="42"/>
      <c r="BM1325" s="42"/>
      <c r="BN1325" s="42"/>
      <c r="BO1325" s="42"/>
    </row>
    <row r="1326">
      <c r="A1326" s="40"/>
      <c r="B1326" s="40"/>
      <c r="C1326" s="42"/>
      <c r="D1326" s="42"/>
      <c r="E1326" s="43"/>
      <c r="F1326" s="42"/>
      <c r="G1326" s="42"/>
      <c r="H1326" s="42"/>
      <c r="I1326" s="42"/>
      <c r="J1326" s="42"/>
      <c r="K1326" s="42"/>
      <c r="L1326" s="42"/>
      <c r="M1326" s="42"/>
      <c r="N1326" s="42"/>
      <c r="O1326" s="42"/>
      <c r="P1326" s="42"/>
      <c r="Q1326" s="42"/>
      <c r="R1326" s="42"/>
      <c r="S1326" s="42"/>
      <c r="T1326" s="42"/>
      <c r="U1326" s="42"/>
      <c r="V1326" s="42"/>
      <c r="W1326" s="42"/>
      <c r="X1326" s="42"/>
      <c r="Y1326" s="42"/>
      <c r="Z1326" s="42"/>
      <c r="AA1326" s="42"/>
      <c r="AB1326" s="42"/>
      <c r="AC1326" s="42"/>
      <c r="AD1326" s="42"/>
      <c r="AE1326" s="42"/>
      <c r="AF1326" s="42"/>
      <c r="AG1326" s="42"/>
      <c r="AH1326" s="42"/>
      <c r="AI1326" s="42"/>
      <c r="AJ1326" s="42"/>
      <c r="AK1326" s="42"/>
      <c r="AL1326" s="42"/>
      <c r="AM1326" s="42"/>
      <c r="AN1326" s="42"/>
      <c r="AO1326" s="42"/>
      <c r="AP1326" s="42"/>
      <c r="AQ1326" s="42"/>
      <c r="AR1326" s="42"/>
      <c r="AS1326" s="42"/>
      <c r="AT1326" s="42"/>
      <c r="AU1326" s="42"/>
      <c r="AV1326" s="42"/>
      <c r="AW1326" s="42"/>
      <c r="AX1326" s="42"/>
      <c r="AY1326" s="42"/>
      <c r="AZ1326" s="42"/>
      <c r="BA1326" s="42"/>
      <c r="BB1326" s="42"/>
      <c r="BC1326" s="42"/>
      <c r="BD1326" s="42"/>
      <c r="BE1326" s="42"/>
      <c r="BF1326" s="42"/>
      <c r="BG1326" s="42"/>
      <c r="BH1326" s="42"/>
      <c r="BI1326" s="42"/>
      <c r="BJ1326" s="42"/>
      <c r="BK1326" s="42"/>
      <c r="BL1326" s="42"/>
      <c r="BM1326" s="42"/>
      <c r="BN1326" s="42"/>
      <c r="BO1326" s="42"/>
    </row>
    <row r="1327">
      <c r="A1327" s="40"/>
      <c r="B1327" s="40"/>
      <c r="C1327" s="42"/>
      <c r="D1327" s="42"/>
      <c r="E1327" s="43"/>
      <c r="F1327" s="42"/>
      <c r="G1327" s="42"/>
      <c r="H1327" s="42"/>
      <c r="I1327" s="42"/>
      <c r="J1327" s="42"/>
      <c r="K1327" s="42"/>
      <c r="L1327" s="42"/>
      <c r="M1327" s="42"/>
      <c r="N1327" s="42"/>
      <c r="O1327" s="42"/>
      <c r="P1327" s="42"/>
      <c r="Q1327" s="42"/>
      <c r="R1327" s="42"/>
      <c r="S1327" s="42"/>
      <c r="T1327" s="42"/>
      <c r="U1327" s="42"/>
      <c r="V1327" s="42"/>
      <c r="W1327" s="42"/>
      <c r="X1327" s="42"/>
      <c r="Y1327" s="42"/>
      <c r="Z1327" s="42"/>
      <c r="AA1327" s="42"/>
      <c r="AB1327" s="42"/>
      <c r="AC1327" s="42"/>
      <c r="AD1327" s="42"/>
      <c r="AE1327" s="42"/>
      <c r="AF1327" s="42"/>
      <c r="AG1327" s="42"/>
      <c r="AH1327" s="42"/>
      <c r="AI1327" s="42"/>
      <c r="AJ1327" s="42"/>
      <c r="AK1327" s="42"/>
      <c r="AL1327" s="42"/>
      <c r="AM1327" s="42"/>
      <c r="AN1327" s="42"/>
      <c r="AO1327" s="42"/>
      <c r="AP1327" s="42"/>
      <c r="AQ1327" s="42"/>
      <c r="AR1327" s="42"/>
      <c r="AS1327" s="42"/>
      <c r="AT1327" s="42"/>
      <c r="AU1327" s="42"/>
      <c r="AV1327" s="42"/>
      <c r="AW1327" s="42"/>
      <c r="AX1327" s="42"/>
      <c r="AY1327" s="42"/>
      <c r="AZ1327" s="42"/>
      <c r="BA1327" s="42"/>
      <c r="BB1327" s="42"/>
      <c r="BC1327" s="42"/>
      <c r="BD1327" s="42"/>
      <c r="BE1327" s="42"/>
      <c r="BF1327" s="42"/>
      <c r="BG1327" s="42"/>
      <c r="BH1327" s="42"/>
      <c r="BI1327" s="42"/>
      <c r="BJ1327" s="42"/>
      <c r="BK1327" s="42"/>
      <c r="BL1327" s="42"/>
      <c r="BM1327" s="42"/>
      <c r="BN1327" s="42"/>
      <c r="BO1327" s="42"/>
    </row>
    <row r="1328">
      <c r="A1328" s="40"/>
      <c r="B1328" s="40"/>
      <c r="C1328" s="42"/>
      <c r="D1328" s="42"/>
      <c r="E1328" s="43"/>
      <c r="F1328" s="42"/>
      <c r="G1328" s="42"/>
      <c r="H1328" s="42"/>
      <c r="I1328" s="42"/>
      <c r="J1328" s="42"/>
      <c r="K1328" s="42"/>
      <c r="L1328" s="42"/>
      <c r="M1328" s="42"/>
      <c r="N1328" s="42"/>
      <c r="O1328" s="42"/>
      <c r="P1328" s="42"/>
      <c r="Q1328" s="42"/>
      <c r="R1328" s="42"/>
      <c r="S1328" s="42"/>
      <c r="T1328" s="42"/>
      <c r="U1328" s="42"/>
      <c r="V1328" s="42"/>
      <c r="W1328" s="42"/>
      <c r="X1328" s="42"/>
      <c r="Y1328" s="42"/>
      <c r="Z1328" s="42"/>
      <c r="AA1328" s="42"/>
      <c r="AB1328" s="42"/>
      <c r="AC1328" s="42"/>
      <c r="AD1328" s="42"/>
      <c r="AE1328" s="42"/>
      <c r="AF1328" s="42"/>
      <c r="AG1328" s="42"/>
      <c r="AH1328" s="42"/>
      <c r="AI1328" s="42"/>
      <c r="AJ1328" s="42"/>
      <c r="AK1328" s="42"/>
      <c r="AL1328" s="42"/>
      <c r="AM1328" s="42"/>
      <c r="AN1328" s="42"/>
      <c r="AO1328" s="42"/>
      <c r="AP1328" s="42"/>
      <c r="AQ1328" s="42"/>
      <c r="AR1328" s="42"/>
      <c r="AS1328" s="42"/>
      <c r="AT1328" s="42"/>
      <c r="AU1328" s="42"/>
      <c r="AV1328" s="42"/>
      <c r="AW1328" s="42"/>
      <c r="AX1328" s="42"/>
      <c r="AY1328" s="42"/>
      <c r="AZ1328" s="42"/>
      <c r="BA1328" s="42"/>
      <c r="BB1328" s="42"/>
      <c r="BC1328" s="42"/>
      <c r="BD1328" s="42"/>
      <c r="BE1328" s="42"/>
      <c r="BF1328" s="42"/>
      <c r="BG1328" s="42"/>
      <c r="BH1328" s="42"/>
      <c r="BI1328" s="42"/>
      <c r="BJ1328" s="42"/>
      <c r="BK1328" s="42"/>
      <c r="BL1328" s="42"/>
      <c r="BM1328" s="42"/>
      <c r="BN1328" s="42"/>
      <c r="BO1328" s="42"/>
    </row>
    <row r="1329">
      <c r="A1329" s="40"/>
      <c r="B1329" s="40"/>
      <c r="C1329" s="42"/>
      <c r="D1329" s="42"/>
      <c r="E1329" s="43"/>
      <c r="F1329" s="42"/>
      <c r="G1329" s="42"/>
      <c r="H1329" s="42"/>
      <c r="I1329" s="42"/>
      <c r="J1329" s="42"/>
      <c r="K1329" s="42"/>
      <c r="L1329" s="42"/>
      <c r="M1329" s="42"/>
      <c r="N1329" s="42"/>
      <c r="O1329" s="42"/>
      <c r="P1329" s="42"/>
      <c r="Q1329" s="42"/>
      <c r="R1329" s="42"/>
      <c r="S1329" s="42"/>
      <c r="T1329" s="42"/>
      <c r="U1329" s="42"/>
      <c r="V1329" s="42"/>
      <c r="W1329" s="42"/>
      <c r="X1329" s="42"/>
      <c r="Y1329" s="42"/>
      <c r="Z1329" s="42"/>
      <c r="AA1329" s="42"/>
      <c r="AB1329" s="42"/>
      <c r="AC1329" s="42"/>
      <c r="AD1329" s="42"/>
      <c r="AE1329" s="42"/>
      <c r="AF1329" s="42"/>
      <c r="AG1329" s="42"/>
      <c r="AH1329" s="42"/>
      <c r="AI1329" s="42"/>
      <c r="AJ1329" s="42"/>
      <c r="AK1329" s="42"/>
      <c r="AL1329" s="42"/>
      <c r="AM1329" s="42"/>
      <c r="AN1329" s="42"/>
      <c r="AO1329" s="42"/>
      <c r="AP1329" s="42"/>
      <c r="AQ1329" s="42"/>
      <c r="AR1329" s="42"/>
      <c r="AS1329" s="42"/>
      <c r="AT1329" s="42"/>
      <c r="AU1329" s="42"/>
      <c r="AV1329" s="42"/>
      <c r="AW1329" s="42"/>
      <c r="AX1329" s="42"/>
      <c r="AY1329" s="42"/>
      <c r="AZ1329" s="42"/>
      <c r="BA1329" s="42"/>
      <c r="BB1329" s="42"/>
      <c r="BC1329" s="42"/>
      <c r="BD1329" s="42"/>
      <c r="BE1329" s="42"/>
      <c r="BF1329" s="42"/>
      <c r="BG1329" s="42"/>
      <c r="BH1329" s="42"/>
      <c r="BI1329" s="42"/>
      <c r="BJ1329" s="42"/>
      <c r="BK1329" s="42"/>
      <c r="BL1329" s="42"/>
      <c r="BM1329" s="42"/>
      <c r="BN1329" s="42"/>
      <c r="BO1329" s="42"/>
    </row>
    <row r="1330">
      <c r="A1330" s="40"/>
      <c r="B1330" s="40"/>
      <c r="C1330" s="42"/>
      <c r="D1330" s="42"/>
      <c r="E1330" s="43"/>
      <c r="F1330" s="42"/>
      <c r="G1330" s="42"/>
      <c r="H1330" s="42"/>
      <c r="I1330" s="42"/>
      <c r="J1330" s="42"/>
      <c r="K1330" s="42"/>
      <c r="L1330" s="42"/>
      <c r="M1330" s="42"/>
      <c r="N1330" s="42"/>
      <c r="O1330" s="42"/>
      <c r="P1330" s="42"/>
      <c r="Q1330" s="42"/>
      <c r="R1330" s="42"/>
      <c r="S1330" s="42"/>
      <c r="T1330" s="42"/>
      <c r="U1330" s="42"/>
      <c r="V1330" s="42"/>
      <c r="W1330" s="42"/>
      <c r="X1330" s="42"/>
      <c r="Y1330" s="42"/>
      <c r="Z1330" s="42"/>
      <c r="AA1330" s="42"/>
      <c r="AB1330" s="42"/>
      <c r="AC1330" s="42"/>
      <c r="AD1330" s="42"/>
      <c r="AE1330" s="42"/>
      <c r="AF1330" s="42"/>
      <c r="AG1330" s="42"/>
      <c r="AH1330" s="42"/>
      <c r="AI1330" s="42"/>
      <c r="AJ1330" s="42"/>
      <c r="AK1330" s="42"/>
      <c r="AL1330" s="42"/>
      <c r="AM1330" s="42"/>
      <c r="AN1330" s="42"/>
      <c r="AO1330" s="42"/>
      <c r="AP1330" s="42"/>
      <c r="AQ1330" s="42"/>
      <c r="AR1330" s="42"/>
      <c r="AS1330" s="42"/>
      <c r="AT1330" s="42"/>
      <c r="AU1330" s="42"/>
      <c r="AV1330" s="42"/>
      <c r="AW1330" s="42"/>
      <c r="AX1330" s="42"/>
      <c r="AY1330" s="42"/>
      <c r="AZ1330" s="42"/>
      <c r="BA1330" s="42"/>
      <c r="BB1330" s="42"/>
      <c r="BC1330" s="42"/>
      <c r="BD1330" s="42"/>
      <c r="BE1330" s="42"/>
      <c r="BF1330" s="42"/>
      <c r="BG1330" s="42"/>
      <c r="BH1330" s="42"/>
      <c r="BI1330" s="42"/>
      <c r="BJ1330" s="42"/>
      <c r="BK1330" s="42"/>
      <c r="BL1330" s="42"/>
      <c r="BM1330" s="42"/>
      <c r="BN1330" s="42"/>
      <c r="BO1330" s="42"/>
    </row>
    <row r="1331">
      <c r="A1331" s="40"/>
      <c r="B1331" s="40"/>
      <c r="C1331" s="42"/>
      <c r="D1331" s="42"/>
      <c r="E1331" s="43"/>
      <c r="F1331" s="42"/>
      <c r="G1331" s="42"/>
      <c r="H1331" s="42"/>
      <c r="I1331" s="42"/>
      <c r="J1331" s="42"/>
      <c r="K1331" s="42"/>
      <c r="L1331" s="42"/>
      <c r="M1331" s="42"/>
      <c r="N1331" s="42"/>
      <c r="O1331" s="42"/>
      <c r="P1331" s="42"/>
      <c r="Q1331" s="42"/>
      <c r="R1331" s="42"/>
      <c r="S1331" s="42"/>
      <c r="T1331" s="42"/>
      <c r="U1331" s="42"/>
      <c r="V1331" s="42"/>
      <c r="W1331" s="42"/>
      <c r="X1331" s="42"/>
      <c r="Y1331" s="42"/>
      <c r="Z1331" s="42"/>
      <c r="AA1331" s="42"/>
      <c r="AB1331" s="42"/>
      <c r="AC1331" s="42"/>
      <c r="AD1331" s="42"/>
      <c r="AE1331" s="42"/>
      <c r="AF1331" s="42"/>
      <c r="AG1331" s="42"/>
      <c r="AH1331" s="42"/>
      <c r="AI1331" s="42"/>
      <c r="AJ1331" s="42"/>
      <c r="AK1331" s="42"/>
      <c r="AL1331" s="42"/>
      <c r="AM1331" s="42"/>
      <c r="AN1331" s="42"/>
      <c r="AO1331" s="42"/>
      <c r="AP1331" s="42"/>
      <c r="AQ1331" s="42"/>
      <c r="AR1331" s="42"/>
      <c r="AS1331" s="42"/>
      <c r="AT1331" s="42"/>
      <c r="AU1331" s="42"/>
      <c r="AV1331" s="42"/>
      <c r="AW1331" s="42"/>
      <c r="AX1331" s="42"/>
      <c r="AY1331" s="42"/>
      <c r="AZ1331" s="42"/>
      <c r="BA1331" s="42"/>
      <c r="BB1331" s="42"/>
      <c r="BC1331" s="42"/>
      <c r="BD1331" s="42"/>
      <c r="BE1331" s="42"/>
      <c r="BF1331" s="42"/>
      <c r="BG1331" s="42"/>
      <c r="BH1331" s="42"/>
      <c r="BI1331" s="42"/>
      <c r="BJ1331" s="42"/>
      <c r="BK1331" s="42"/>
      <c r="BL1331" s="42"/>
      <c r="BM1331" s="42"/>
      <c r="BN1331" s="42"/>
      <c r="BO1331" s="42"/>
    </row>
    <row r="1332">
      <c r="A1332" s="40"/>
      <c r="B1332" s="40"/>
      <c r="C1332" s="42"/>
      <c r="D1332" s="42"/>
      <c r="E1332" s="43"/>
      <c r="F1332" s="42"/>
      <c r="G1332" s="42"/>
      <c r="H1332" s="42"/>
      <c r="I1332" s="42"/>
      <c r="J1332" s="42"/>
      <c r="K1332" s="42"/>
      <c r="L1332" s="42"/>
      <c r="M1332" s="42"/>
      <c r="N1332" s="42"/>
      <c r="O1332" s="42"/>
      <c r="P1332" s="42"/>
      <c r="Q1332" s="42"/>
      <c r="R1332" s="42"/>
      <c r="S1332" s="42"/>
      <c r="T1332" s="42"/>
      <c r="U1332" s="42"/>
      <c r="V1332" s="42"/>
      <c r="W1332" s="42"/>
      <c r="X1332" s="42"/>
      <c r="Y1332" s="42"/>
      <c r="Z1332" s="42"/>
      <c r="AA1332" s="42"/>
      <c r="AB1332" s="42"/>
      <c r="AC1332" s="42"/>
      <c r="AD1332" s="42"/>
      <c r="AE1332" s="42"/>
      <c r="AF1332" s="42"/>
      <c r="AG1332" s="42"/>
      <c r="AH1332" s="42"/>
      <c r="AI1332" s="42"/>
      <c r="AJ1332" s="42"/>
      <c r="AK1332" s="42"/>
      <c r="AL1332" s="42"/>
      <c r="AM1332" s="42"/>
      <c r="AN1332" s="42"/>
      <c r="AO1332" s="42"/>
      <c r="AP1332" s="42"/>
      <c r="AQ1332" s="42"/>
      <c r="AR1332" s="42"/>
      <c r="AS1332" s="42"/>
      <c r="AT1332" s="42"/>
      <c r="AU1332" s="42"/>
      <c r="AV1332" s="42"/>
      <c r="AW1332" s="42"/>
      <c r="AX1332" s="42"/>
      <c r="AY1332" s="42"/>
      <c r="AZ1332" s="42"/>
      <c r="BA1332" s="42"/>
      <c r="BB1332" s="42"/>
      <c r="BC1332" s="42"/>
      <c r="BD1332" s="42"/>
      <c r="BE1332" s="42"/>
      <c r="BF1332" s="42"/>
      <c r="BG1332" s="42"/>
      <c r="BH1332" s="42"/>
      <c r="BI1332" s="42"/>
      <c r="BJ1332" s="42"/>
      <c r="BK1332" s="42"/>
      <c r="BL1332" s="42"/>
      <c r="BM1332" s="42"/>
      <c r="BN1332" s="42"/>
      <c r="BO1332" s="42"/>
    </row>
    <row r="1333">
      <c r="A1333" s="40"/>
      <c r="B1333" s="40"/>
      <c r="C1333" s="42"/>
      <c r="D1333" s="42"/>
      <c r="E1333" s="43"/>
      <c r="F1333" s="42"/>
      <c r="G1333" s="42"/>
      <c r="H1333" s="42"/>
      <c r="I1333" s="42"/>
      <c r="J1333" s="42"/>
      <c r="K1333" s="42"/>
      <c r="L1333" s="42"/>
      <c r="M1333" s="42"/>
      <c r="N1333" s="42"/>
      <c r="O1333" s="42"/>
      <c r="P1333" s="42"/>
      <c r="Q1333" s="42"/>
      <c r="R1333" s="42"/>
      <c r="S1333" s="42"/>
      <c r="T1333" s="42"/>
      <c r="U1333" s="42"/>
      <c r="V1333" s="42"/>
      <c r="W1333" s="42"/>
      <c r="X1333" s="42"/>
      <c r="Y1333" s="42"/>
      <c r="Z1333" s="42"/>
      <c r="AA1333" s="42"/>
      <c r="AB1333" s="42"/>
      <c r="AC1333" s="42"/>
      <c r="AD1333" s="42"/>
      <c r="AE1333" s="42"/>
      <c r="AF1333" s="42"/>
      <c r="AG1333" s="42"/>
      <c r="AH1333" s="42"/>
      <c r="AI1333" s="42"/>
      <c r="AJ1333" s="42"/>
      <c r="AK1333" s="42"/>
      <c r="AL1333" s="42"/>
      <c r="AM1333" s="42"/>
      <c r="AN1333" s="42"/>
      <c r="AO1333" s="42"/>
      <c r="AP1333" s="42"/>
      <c r="AQ1333" s="42"/>
      <c r="AR1333" s="42"/>
      <c r="AS1333" s="42"/>
      <c r="AT1333" s="42"/>
      <c r="AU1333" s="42"/>
      <c r="AV1333" s="42"/>
      <c r="AW1333" s="42"/>
      <c r="AX1333" s="42"/>
      <c r="AY1333" s="42"/>
      <c r="AZ1333" s="42"/>
      <c r="BA1333" s="42"/>
      <c r="BB1333" s="42"/>
      <c r="BC1333" s="42"/>
      <c r="BD1333" s="42"/>
      <c r="BE1333" s="42"/>
      <c r="BF1333" s="42"/>
      <c r="BG1333" s="42"/>
      <c r="BH1333" s="42"/>
      <c r="BI1333" s="42"/>
      <c r="BJ1333" s="42"/>
      <c r="BK1333" s="42"/>
      <c r="BL1333" s="42"/>
      <c r="BM1333" s="42"/>
      <c r="BN1333" s="42"/>
      <c r="BO1333" s="42"/>
    </row>
    <row r="1334">
      <c r="A1334" s="40"/>
      <c r="B1334" s="40"/>
      <c r="C1334" s="42"/>
      <c r="D1334" s="42"/>
      <c r="E1334" s="43"/>
      <c r="F1334" s="42"/>
      <c r="G1334" s="42"/>
      <c r="H1334" s="42"/>
      <c r="I1334" s="42"/>
      <c r="J1334" s="42"/>
      <c r="K1334" s="42"/>
      <c r="L1334" s="42"/>
      <c r="M1334" s="42"/>
      <c r="N1334" s="42"/>
      <c r="O1334" s="42"/>
      <c r="P1334" s="42"/>
      <c r="Q1334" s="42"/>
      <c r="R1334" s="42"/>
      <c r="S1334" s="42"/>
      <c r="T1334" s="42"/>
      <c r="U1334" s="42"/>
      <c r="V1334" s="42"/>
      <c r="W1334" s="42"/>
      <c r="X1334" s="42"/>
      <c r="Y1334" s="42"/>
      <c r="Z1334" s="42"/>
      <c r="AA1334" s="42"/>
      <c r="AB1334" s="42"/>
      <c r="AC1334" s="42"/>
      <c r="AD1334" s="42"/>
      <c r="AE1334" s="42"/>
      <c r="AF1334" s="42"/>
      <c r="AG1334" s="42"/>
      <c r="AH1334" s="42"/>
      <c r="AI1334" s="42"/>
      <c r="AJ1334" s="42"/>
      <c r="AK1334" s="42"/>
      <c r="AL1334" s="42"/>
      <c r="AM1334" s="42"/>
      <c r="AN1334" s="42"/>
      <c r="AO1334" s="42"/>
      <c r="AP1334" s="42"/>
      <c r="AQ1334" s="42"/>
      <c r="AR1334" s="42"/>
      <c r="AS1334" s="42"/>
      <c r="AT1334" s="42"/>
      <c r="AU1334" s="42"/>
      <c r="AV1334" s="42"/>
      <c r="AW1334" s="42"/>
      <c r="AX1334" s="42"/>
      <c r="AY1334" s="42"/>
      <c r="AZ1334" s="42"/>
      <c r="BA1334" s="42"/>
      <c r="BB1334" s="42"/>
      <c r="BC1334" s="42"/>
      <c r="BD1334" s="42"/>
      <c r="BE1334" s="42"/>
      <c r="BF1334" s="42"/>
      <c r="BG1334" s="42"/>
      <c r="BH1334" s="42"/>
      <c r="BI1334" s="42"/>
      <c r="BJ1334" s="42"/>
      <c r="BK1334" s="42"/>
      <c r="BL1334" s="42"/>
      <c r="BM1334" s="42"/>
      <c r="BN1334" s="42"/>
      <c r="BO1334" s="42"/>
    </row>
    <row r="1335">
      <c r="A1335" s="40"/>
      <c r="B1335" s="40"/>
      <c r="C1335" s="42"/>
      <c r="D1335" s="42"/>
      <c r="E1335" s="43"/>
      <c r="F1335" s="42"/>
      <c r="G1335" s="42"/>
      <c r="H1335" s="42"/>
      <c r="I1335" s="42"/>
      <c r="J1335" s="42"/>
      <c r="K1335" s="42"/>
      <c r="L1335" s="42"/>
      <c r="M1335" s="42"/>
      <c r="N1335" s="42"/>
      <c r="O1335" s="42"/>
      <c r="P1335" s="42"/>
      <c r="Q1335" s="42"/>
      <c r="R1335" s="42"/>
      <c r="S1335" s="42"/>
      <c r="T1335" s="42"/>
      <c r="U1335" s="42"/>
      <c r="V1335" s="42"/>
      <c r="W1335" s="42"/>
      <c r="X1335" s="42"/>
      <c r="Y1335" s="42"/>
      <c r="Z1335" s="42"/>
      <c r="AA1335" s="42"/>
      <c r="AB1335" s="42"/>
      <c r="AC1335" s="42"/>
      <c r="AD1335" s="42"/>
      <c r="AE1335" s="42"/>
      <c r="AF1335" s="42"/>
      <c r="AG1335" s="42"/>
      <c r="AH1335" s="42"/>
      <c r="AI1335" s="42"/>
      <c r="AJ1335" s="42"/>
      <c r="AK1335" s="42"/>
      <c r="AL1335" s="42"/>
      <c r="AM1335" s="42"/>
      <c r="AN1335" s="42"/>
      <c r="AO1335" s="42"/>
      <c r="AP1335" s="42"/>
      <c r="AQ1335" s="42"/>
      <c r="AR1335" s="42"/>
      <c r="AS1335" s="42"/>
      <c r="AT1335" s="42"/>
      <c r="AU1335" s="42"/>
      <c r="AV1335" s="42"/>
      <c r="AW1335" s="42"/>
      <c r="AX1335" s="42"/>
      <c r="AY1335" s="42"/>
      <c r="AZ1335" s="42"/>
      <c r="BA1335" s="42"/>
      <c r="BB1335" s="42"/>
      <c r="BC1335" s="42"/>
      <c r="BD1335" s="42"/>
      <c r="BE1335" s="42"/>
      <c r="BF1335" s="42"/>
      <c r="BG1335" s="42"/>
      <c r="BH1335" s="42"/>
      <c r="BI1335" s="42"/>
      <c r="BJ1335" s="42"/>
      <c r="BK1335" s="42"/>
      <c r="BL1335" s="42"/>
      <c r="BM1335" s="42"/>
      <c r="BN1335" s="42"/>
      <c r="BO1335" s="42"/>
    </row>
    <row r="1336">
      <c r="A1336" s="40"/>
      <c r="B1336" s="40"/>
      <c r="C1336" s="42"/>
      <c r="D1336" s="42"/>
      <c r="E1336" s="43"/>
      <c r="F1336" s="42"/>
      <c r="G1336" s="42"/>
      <c r="H1336" s="42"/>
      <c r="I1336" s="42"/>
      <c r="J1336" s="42"/>
      <c r="K1336" s="42"/>
      <c r="L1336" s="42"/>
      <c r="M1336" s="42"/>
      <c r="N1336" s="42"/>
      <c r="O1336" s="42"/>
      <c r="P1336" s="42"/>
      <c r="Q1336" s="42"/>
      <c r="R1336" s="42"/>
      <c r="S1336" s="42"/>
      <c r="T1336" s="42"/>
      <c r="U1336" s="42"/>
      <c r="V1336" s="42"/>
      <c r="W1336" s="42"/>
      <c r="X1336" s="42"/>
      <c r="Y1336" s="42"/>
      <c r="Z1336" s="42"/>
      <c r="AA1336" s="42"/>
      <c r="AB1336" s="42"/>
      <c r="AC1336" s="42"/>
      <c r="AD1336" s="42"/>
      <c r="AE1336" s="42"/>
      <c r="AF1336" s="42"/>
      <c r="AG1336" s="42"/>
      <c r="AH1336" s="42"/>
      <c r="AI1336" s="42"/>
      <c r="AJ1336" s="42"/>
      <c r="AK1336" s="42"/>
      <c r="AL1336" s="42"/>
      <c r="AM1336" s="42"/>
      <c r="AN1336" s="42"/>
      <c r="AO1336" s="42"/>
      <c r="AP1336" s="42"/>
      <c r="AQ1336" s="42"/>
      <c r="AR1336" s="42"/>
      <c r="AS1336" s="42"/>
      <c r="AT1336" s="42"/>
      <c r="AU1336" s="42"/>
      <c r="AV1336" s="42"/>
      <c r="AW1336" s="42"/>
      <c r="AX1336" s="42"/>
      <c r="AY1336" s="42"/>
      <c r="AZ1336" s="42"/>
      <c r="BA1336" s="42"/>
      <c r="BB1336" s="42"/>
      <c r="BC1336" s="42"/>
      <c r="BD1336" s="42"/>
      <c r="BE1336" s="42"/>
      <c r="BF1336" s="42"/>
      <c r="BG1336" s="42"/>
      <c r="BH1336" s="42"/>
      <c r="BI1336" s="42"/>
      <c r="BJ1336" s="42"/>
      <c r="BK1336" s="42"/>
      <c r="BL1336" s="42"/>
      <c r="BM1336" s="42"/>
      <c r="BN1336" s="42"/>
      <c r="BO1336" s="42"/>
    </row>
    <row r="1337">
      <c r="A1337" s="40"/>
      <c r="B1337" s="40"/>
      <c r="C1337" s="42"/>
      <c r="D1337" s="42"/>
      <c r="E1337" s="43"/>
      <c r="F1337" s="42"/>
      <c r="G1337" s="42"/>
      <c r="H1337" s="42"/>
      <c r="I1337" s="42"/>
      <c r="J1337" s="42"/>
      <c r="K1337" s="42"/>
      <c r="L1337" s="42"/>
      <c r="M1337" s="42"/>
      <c r="N1337" s="42"/>
      <c r="O1337" s="42"/>
      <c r="P1337" s="42"/>
      <c r="Q1337" s="42"/>
      <c r="R1337" s="42"/>
      <c r="S1337" s="42"/>
      <c r="T1337" s="42"/>
      <c r="U1337" s="42"/>
      <c r="V1337" s="42"/>
      <c r="W1337" s="42"/>
      <c r="X1337" s="42"/>
      <c r="Y1337" s="42"/>
      <c r="Z1337" s="42"/>
      <c r="AA1337" s="42"/>
      <c r="AB1337" s="42"/>
      <c r="AC1337" s="42"/>
      <c r="AD1337" s="42"/>
      <c r="AE1337" s="42"/>
      <c r="AF1337" s="42"/>
      <c r="AG1337" s="42"/>
      <c r="AH1337" s="42"/>
      <c r="AI1337" s="42"/>
      <c r="AJ1337" s="42"/>
      <c r="AK1337" s="42"/>
      <c r="AL1337" s="42"/>
      <c r="AM1337" s="42"/>
      <c r="AN1337" s="42"/>
      <c r="AO1337" s="42"/>
      <c r="AP1337" s="42"/>
      <c r="AQ1337" s="42"/>
      <c r="AR1337" s="42"/>
      <c r="AS1337" s="42"/>
      <c r="AT1337" s="42"/>
      <c r="AU1337" s="42"/>
      <c r="AV1337" s="42"/>
      <c r="AW1337" s="42"/>
      <c r="AX1337" s="42"/>
      <c r="AY1337" s="42"/>
      <c r="AZ1337" s="42"/>
      <c r="BA1337" s="42"/>
      <c r="BB1337" s="42"/>
      <c r="BC1337" s="42"/>
      <c r="BD1337" s="42"/>
      <c r="BE1337" s="42"/>
      <c r="BF1337" s="42"/>
      <c r="BG1337" s="42"/>
      <c r="BH1337" s="42"/>
      <c r="BI1337" s="42"/>
      <c r="BJ1337" s="42"/>
      <c r="BK1337" s="42"/>
      <c r="BL1337" s="42"/>
      <c r="BM1337" s="42"/>
      <c r="BN1337" s="42"/>
      <c r="BO1337" s="42"/>
    </row>
    <row r="1338">
      <c r="A1338" s="40"/>
      <c r="B1338" s="40"/>
      <c r="C1338" s="42"/>
      <c r="D1338" s="42"/>
      <c r="E1338" s="43"/>
      <c r="F1338" s="42"/>
      <c r="G1338" s="42"/>
      <c r="H1338" s="42"/>
      <c r="I1338" s="42"/>
      <c r="J1338" s="42"/>
      <c r="K1338" s="42"/>
      <c r="L1338" s="42"/>
      <c r="M1338" s="42"/>
      <c r="N1338" s="42"/>
      <c r="O1338" s="42"/>
      <c r="P1338" s="42"/>
      <c r="Q1338" s="42"/>
      <c r="R1338" s="42"/>
      <c r="S1338" s="42"/>
      <c r="T1338" s="42"/>
      <c r="U1338" s="42"/>
      <c r="V1338" s="42"/>
      <c r="W1338" s="42"/>
      <c r="X1338" s="42"/>
      <c r="Y1338" s="42"/>
      <c r="Z1338" s="42"/>
      <c r="AA1338" s="42"/>
      <c r="AB1338" s="42"/>
      <c r="AC1338" s="42"/>
      <c r="AD1338" s="42"/>
      <c r="AE1338" s="42"/>
      <c r="AF1338" s="42"/>
      <c r="AG1338" s="42"/>
      <c r="AH1338" s="42"/>
      <c r="AI1338" s="42"/>
      <c r="AJ1338" s="42"/>
      <c r="AK1338" s="42"/>
      <c r="AL1338" s="42"/>
      <c r="AM1338" s="42"/>
      <c r="AN1338" s="42"/>
      <c r="AO1338" s="42"/>
      <c r="AP1338" s="42"/>
      <c r="AQ1338" s="42"/>
      <c r="AR1338" s="42"/>
      <c r="AS1338" s="42"/>
      <c r="AT1338" s="42"/>
      <c r="AU1338" s="42"/>
      <c r="AV1338" s="42"/>
      <c r="AW1338" s="42"/>
      <c r="AX1338" s="42"/>
      <c r="AY1338" s="42"/>
      <c r="AZ1338" s="42"/>
      <c r="BA1338" s="42"/>
      <c r="BB1338" s="42"/>
      <c r="BC1338" s="42"/>
      <c r="BD1338" s="42"/>
      <c r="BE1338" s="42"/>
      <c r="BF1338" s="42"/>
      <c r="BG1338" s="42"/>
      <c r="BH1338" s="42"/>
      <c r="BI1338" s="42"/>
      <c r="BJ1338" s="42"/>
      <c r="BK1338" s="42"/>
      <c r="BL1338" s="42"/>
      <c r="BM1338" s="42"/>
      <c r="BN1338" s="42"/>
      <c r="BO1338" s="42"/>
    </row>
    <row r="1339">
      <c r="A1339" s="40"/>
      <c r="B1339" s="40"/>
      <c r="C1339" s="42"/>
      <c r="D1339" s="42"/>
      <c r="E1339" s="43"/>
      <c r="F1339" s="42"/>
      <c r="G1339" s="42"/>
      <c r="H1339" s="42"/>
      <c r="I1339" s="42"/>
      <c r="J1339" s="42"/>
      <c r="K1339" s="42"/>
      <c r="L1339" s="42"/>
      <c r="M1339" s="42"/>
      <c r="N1339" s="42"/>
      <c r="O1339" s="42"/>
      <c r="P1339" s="42"/>
      <c r="Q1339" s="42"/>
      <c r="R1339" s="42"/>
      <c r="S1339" s="42"/>
      <c r="T1339" s="42"/>
      <c r="U1339" s="42"/>
      <c r="V1339" s="42"/>
      <c r="W1339" s="42"/>
      <c r="X1339" s="42"/>
      <c r="Y1339" s="42"/>
      <c r="Z1339" s="42"/>
      <c r="AA1339" s="42"/>
      <c r="AB1339" s="42"/>
      <c r="AC1339" s="42"/>
      <c r="AD1339" s="42"/>
      <c r="AE1339" s="42"/>
      <c r="AF1339" s="42"/>
      <c r="AG1339" s="42"/>
      <c r="AH1339" s="42"/>
      <c r="AI1339" s="42"/>
      <c r="AJ1339" s="42"/>
      <c r="AK1339" s="42"/>
      <c r="AL1339" s="42"/>
      <c r="AM1339" s="42"/>
      <c r="AN1339" s="42"/>
      <c r="AO1339" s="42"/>
      <c r="AP1339" s="42"/>
      <c r="AQ1339" s="42"/>
      <c r="AR1339" s="42"/>
      <c r="AS1339" s="42"/>
      <c r="AT1339" s="42"/>
      <c r="AU1339" s="42"/>
      <c r="AV1339" s="42"/>
      <c r="AW1339" s="42"/>
      <c r="AX1339" s="42"/>
      <c r="AY1339" s="42"/>
      <c r="AZ1339" s="42"/>
      <c r="BA1339" s="42"/>
      <c r="BB1339" s="42"/>
      <c r="BC1339" s="42"/>
      <c r="BD1339" s="42"/>
      <c r="BE1339" s="42"/>
      <c r="BF1339" s="42"/>
      <c r="BG1339" s="42"/>
      <c r="BH1339" s="42"/>
      <c r="BI1339" s="42"/>
      <c r="BJ1339" s="42"/>
      <c r="BK1339" s="42"/>
      <c r="BL1339" s="42"/>
      <c r="BM1339" s="42"/>
      <c r="BN1339" s="42"/>
      <c r="BO1339" s="42"/>
    </row>
    <row r="1340">
      <c r="A1340" s="40"/>
      <c r="B1340" s="40"/>
      <c r="C1340" s="42"/>
      <c r="D1340" s="42"/>
      <c r="E1340" s="43"/>
      <c r="F1340" s="42"/>
      <c r="G1340" s="42"/>
      <c r="H1340" s="42"/>
      <c r="I1340" s="42"/>
      <c r="J1340" s="42"/>
      <c r="K1340" s="42"/>
      <c r="L1340" s="42"/>
      <c r="M1340" s="42"/>
      <c r="N1340" s="42"/>
      <c r="O1340" s="42"/>
      <c r="P1340" s="42"/>
      <c r="Q1340" s="42"/>
      <c r="R1340" s="42"/>
      <c r="S1340" s="42"/>
      <c r="T1340" s="42"/>
      <c r="U1340" s="42"/>
      <c r="V1340" s="42"/>
      <c r="W1340" s="42"/>
      <c r="X1340" s="42"/>
      <c r="Y1340" s="42"/>
      <c r="Z1340" s="42"/>
      <c r="AA1340" s="42"/>
      <c r="AB1340" s="42"/>
      <c r="AC1340" s="42"/>
      <c r="AD1340" s="42"/>
      <c r="AE1340" s="42"/>
      <c r="AF1340" s="42"/>
      <c r="AG1340" s="42"/>
      <c r="AH1340" s="42"/>
      <c r="AI1340" s="42"/>
      <c r="AJ1340" s="42"/>
      <c r="AK1340" s="42"/>
      <c r="AL1340" s="42"/>
      <c r="AM1340" s="42"/>
      <c r="AN1340" s="42"/>
      <c r="AO1340" s="42"/>
      <c r="AP1340" s="42"/>
      <c r="AQ1340" s="42"/>
      <c r="AR1340" s="42"/>
      <c r="AS1340" s="42"/>
      <c r="AT1340" s="42"/>
      <c r="AU1340" s="42"/>
      <c r="AV1340" s="42"/>
      <c r="AW1340" s="42"/>
      <c r="AX1340" s="42"/>
      <c r="AY1340" s="42"/>
      <c r="AZ1340" s="42"/>
      <c r="BA1340" s="42"/>
      <c r="BB1340" s="42"/>
      <c r="BC1340" s="42"/>
      <c r="BD1340" s="42"/>
      <c r="BE1340" s="42"/>
      <c r="BF1340" s="42"/>
      <c r="BG1340" s="42"/>
      <c r="BH1340" s="42"/>
      <c r="BI1340" s="42"/>
      <c r="BJ1340" s="42"/>
      <c r="BK1340" s="42"/>
      <c r="BL1340" s="42"/>
      <c r="BM1340" s="42"/>
      <c r="BN1340" s="42"/>
      <c r="BO1340" s="42"/>
    </row>
    <row r="1341">
      <c r="A1341" s="40"/>
      <c r="B1341" s="40"/>
      <c r="C1341" s="42"/>
      <c r="D1341" s="42"/>
      <c r="E1341" s="43"/>
      <c r="F1341" s="42"/>
      <c r="G1341" s="42"/>
      <c r="H1341" s="42"/>
      <c r="I1341" s="42"/>
      <c r="J1341" s="42"/>
      <c r="K1341" s="42"/>
      <c r="L1341" s="42"/>
      <c r="M1341" s="42"/>
      <c r="N1341" s="42"/>
      <c r="O1341" s="42"/>
      <c r="P1341" s="42"/>
      <c r="Q1341" s="42"/>
      <c r="R1341" s="42"/>
      <c r="S1341" s="42"/>
      <c r="T1341" s="42"/>
      <c r="U1341" s="42"/>
      <c r="V1341" s="42"/>
      <c r="W1341" s="42"/>
      <c r="X1341" s="42"/>
      <c r="Y1341" s="42"/>
      <c r="Z1341" s="42"/>
      <c r="AA1341" s="42"/>
      <c r="AB1341" s="42"/>
      <c r="AC1341" s="42"/>
      <c r="AD1341" s="42"/>
      <c r="AE1341" s="42"/>
      <c r="AF1341" s="42"/>
      <c r="AG1341" s="42"/>
      <c r="AH1341" s="42"/>
      <c r="AI1341" s="42"/>
      <c r="AJ1341" s="42"/>
      <c r="AK1341" s="42"/>
      <c r="AL1341" s="42"/>
      <c r="AM1341" s="42"/>
      <c r="AN1341" s="42"/>
      <c r="AO1341" s="42"/>
      <c r="AP1341" s="42"/>
      <c r="AQ1341" s="42"/>
      <c r="AR1341" s="42"/>
      <c r="AS1341" s="42"/>
      <c r="AT1341" s="42"/>
      <c r="AU1341" s="42"/>
      <c r="AV1341" s="42"/>
      <c r="AW1341" s="42"/>
      <c r="AX1341" s="42"/>
      <c r="AY1341" s="42"/>
      <c r="AZ1341" s="42"/>
      <c r="BA1341" s="42"/>
      <c r="BB1341" s="42"/>
      <c r="BC1341" s="42"/>
      <c r="BD1341" s="42"/>
      <c r="BE1341" s="42"/>
      <c r="BF1341" s="42"/>
      <c r="BG1341" s="42"/>
      <c r="BH1341" s="42"/>
      <c r="BI1341" s="42"/>
      <c r="BJ1341" s="42"/>
      <c r="BK1341" s="42"/>
      <c r="BL1341" s="42"/>
      <c r="BM1341" s="42"/>
      <c r="BN1341" s="42"/>
      <c r="BO1341" s="42"/>
    </row>
    <row r="1342">
      <c r="A1342" s="40"/>
      <c r="B1342" s="40"/>
      <c r="C1342" s="42"/>
      <c r="D1342" s="42"/>
      <c r="E1342" s="43"/>
      <c r="F1342" s="42"/>
      <c r="G1342" s="42"/>
      <c r="H1342" s="42"/>
      <c r="I1342" s="42"/>
      <c r="J1342" s="42"/>
      <c r="K1342" s="42"/>
      <c r="L1342" s="42"/>
      <c r="M1342" s="42"/>
      <c r="N1342" s="42"/>
      <c r="O1342" s="42"/>
      <c r="P1342" s="42"/>
      <c r="Q1342" s="42"/>
      <c r="R1342" s="42"/>
      <c r="S1342" s="42"/>
      <c r="T1342" s="42"/>
      <c r="U1342" s="42"/>
      <c r="V1342" s="42"/>
      <c r="W1342" s="42"/>
      <c r="X1342" s="42"/>
      <c r="Y1342" s="42"/>
      <c r="Z1342" s="42"/>
      <c r="AA1342" s="42"/>
      <c r="AB1342" s="42"/>
      <c r="AC1342" s="42"/>
      <c r="AD1342" s="42"/>
      <c r="AE1342" s="42"/>
      <c r="AF1342" s="42"/>
      <c r="AG1342" s="42"/>
      <c r="AH1342" s="42"/>
      <c r="AI1342" s="42"/>
      <c r="AJ1342" s="42"/>
      <c r="AK1342" s="42"/>
      <c r="AL1342" s="42"/>
      <c r="AM1342" s="42"/>
      <c r="AN1342" s="42"/>
      <c r="AO1342" s="42"/>
      <c r="AP1342" s="42"/>
      <c r="AQ1342" s="42"/>
      <c r="AR1342" s="42"/>
      <c r="AS1342" s="42"/>
      <c r="AT1342" s="42"/>
      <c r="AU1342" s="42"/>
      <c r="AV1342" s="42"/>
      <c r="AW1342" s="42"/>
      <c r="AX1342" s="42"/>
      <c r="AY1342" s="42"/>
      <c r="AZ1342" s="42"/>
      <c r="BA1342" s="42"/>
      <c r="BB1342" s="42"/>
      <c r="BC1342" s="42"/>
      <c r="BD1342" s="42"/>
      <c r="BE1342" s="42"/>
      <c r="BF1342" s="42"/>
      <c r="BG1342" s="42"/>
      <c r="BH1342" s="42"/>
      <c r="BI1342" s="42"/>
      <c r="BJ1342" s="42"/>
      <c r="BK1342" s="42"/>
      <c r="BL1342" s="42"/>
      <c r="BM1342" s="42"/>
      <c r="BN1342" s="42"/>
      <c r="BO1342" s="42"/>
    </row>
    <row r="1343">
      <c r="A1343" s="40"/>
      <c r="B1343" s="40"/>
      <c r="C1343" s="42"/>
      <c r="D1343" s="42"/>
      <c r="E1343" s="43"/>
      <c r="F1343" s="42"/>
      <c r="G1343" s="42"/>
      <c r="H1343" s="42"/>
      <c r="I1343" s="42"/>
      <c r="J1343" s="42"/>
      <c r="K1343" s="42"/>
      <c r="L1343" s="42"/>
      <c r="M1343" s="42"/>
      <c r="N1343" s="42"/>
      <c r="O1343" s="42"/>
      <c r="P1343" s="42"/>
      <c r="Q1343" s="42"/>
      <c r="R1343" s="42"/>
      <c r="S1343" s="42"/>
      <c r="T1343" s="42"/>
      <c r="U1343" s="42"/>
      <c r="V1343" s="42"/>
      <c r="W1343" s="42"/>
      <c r="X1343" s="42"/>
      <c r="Y1343" s="42"/>
      <c r="Z1343" s="42"/>
      <c r="AA1343" s="42"/>
      <c r="AB1343" s="42"/>
      <c r="AC1343" s="42"/>
      <c r="AD1343" s="42"/>
      <c r="AE1343" s="42"/>
      <c r="AF1343" s="42"/>
      <c r="AG1343" s="42"/>
      <c r="AH1343" s="42"/>
      <c r="AI1343" s="42"/>
      <c r="AJ1343" s="42"/>
      <c r="AK1343" s="42"/>
      <c r="AL1343" s="42"/>
      <c r="AM1343" s="42"/>
      <c r="AN1343" s="42"/>
      <c r="AO1343" s="42"/>
      <c r="AP1343" s="42"/>
      <c r="AQ1343" s="42"/>
      <c r="AR1343" s="42"/>
      <c r="AS1343" s="42"/>
      <c r="AT1343" s="42"/>
      <c r="AU1343" s="42"/>
      <c r="AV1343" s="42"/>
      <c r="AW1343" s="42"/>
      <c r="AX1343" s="42"/>
      <c r="AY1343" s="42"/>
      <c r="AZ1343" s="42"/>
      <c r="BA1343" s="42"/>
      <c r="BB1343" s="42"/>
      <c r="BC1343" s="42"/>
      <c r="BD1343" s="42"/>
      <c r="BE1343" s="42"/>
      <c r="BF1343" s="42"/>
      <c r="BG1343" s="42"/>
      <c r="BH1343" s="42"/>
      <c r="BI1343" s="42"/>
      <c r="BJ1343" s="42"/>
      <c r="BK1343" s="42"/>
      <c r="BL1343" s="42"/>
      <c r="BM1343" s="42"/>
      <c r="BN1343" s="42"/>
      <c r="BO1343" s="42"/>
    </row>
    <row r="1344">
      <c r="A1344" s="40"/>
      <c r="B1344" s="40"/>
      <c r="C1344" s="42"/>
      <c r="D1344" s="42"/>
      <c r="E1344" s="43"/>
      <c r="F1344" s="42"/>
      <c r="G1344" s="42"/>
      <c r="H1344" s="42"/>
      <c r="I1344" s="42"/>
      <c r="J1344" s="42"/>
      <c r="K1344" s="42"/>
      <c r="L1344" s="42"/>
      <c r="M1344" s="42"/>
      <c r="N1344" s="42"/>
      <c r="O1344" s="42"/>
      <c r="P1344" s="42"/>
      <c r="Q1344" s="42"/>
      <c r="R1344" s="42"/>
      <c r="S1344" s="42"/>
      <c r="T1344" s="42"/>
      <c r="U1344" s="42"/>
      <c r="V1344" s="42"/>
      <c r="W1344" s="42"/>
      <c r="X1344" s="42"/>
      <c r="Y1344" s="42"/>
      <c r="Z1344" s="42"/>
      <c r="AA1344" s="42"/>
      <c r="AB1344" s="42"/>
      <c r="AC1344" s="42"/>
      <c r="AD1344" s="42"/>
      <c r="AE1344" s="42"/>
      <c r="AF1344" s="42"/>
      <c r="AG1344" s="42"/>
      <c r="AH1344" s="42"/>
      <c r="AI1344" s="42"/>
      <c r="AJ1344" s="42"/>
      <c r="AK1344" s="42"/>
      <c r="AL1344" s="42"/>
      <c r="AM1344" s="42"/>
      <c r="AN1344" s="42"/>
      <c r="AO1344" s="42"/>
      <c r="AP1344" s="42"/>
      <c r="AQ1344" s="42"/>
      <c r="AR1344" s="42"/>
      <c r="AS1344" s="42"/>
      <c r="AT1344" s="42"/>
      <c r="AU1344" s="42"/>
      <c r="AV1344" s="42"/>
      <c r="AW1344" s="42"/>
      <c r="AX1344" s="42"/>
      <c r="AY1344" s="42"/>
      <c r="AZ1344" s="42"/>
      <c r="BA1344" s="42"/>
      <c r="BB1344" s="42"/>
      <c r="BC1344" s="42"/>
      <c r="BD1344" s="42"/>
      <c r="BE1344" s="42"/>
      <c r="BF1344" s="42"/>
      <c r="BG1344" s="42"/>
      <c r="BH1344" s="42"/>
      <c r="BI1344" s="42"/>
      <c r="BJ1344" s="42"/>
      <c r="BK1344" s="42"/>
      <c r="BL1344" s="42"/>
      <c r="BM1344" s="42"/>
      <c r="BN1344" s="42"/>
      <c r="BO1344" s="42"/>
    </row>
    <row r="1345">
      <c r="A1345" s="40"/>
      <c r="B1345" s="40"/>
      <c r="C1345" s="42"/>
      <c r="D1345" s="42"/>
      <c r="E1345" s="43"/>
      <c r="F1345" s="42"/>
      <c r="G1345" s="42"/>
      <c r="H1345" s="42"/>
      <c r="I1345" s="42"/>
      <c r="J1345" s="42"/>
      <c r="K1345" s="42"/>
      <c r="L1345" s="42"/>
      <c r="M1345" s="42"/>
      <c r="N1345" s="42"/>
      <c r="O1345" s="42"/>
      <c r="P1345" s="42"/>
      <c r="Q1345" s="42"/>
      <c r="R1345" s="42"/>
      <c r="S1345" s="42"/>
      <c r="T1345" s="42"/>
      <c r="U1345" s="42"/>
      <c r="V1345" s="42"/>
      <c r="W1345" s="42"/>
      <c r="X1345" s="42"/>
      <c r="Y1345" s="42"/>
      <c r="Z1345" s="42"/>
      <c r="AA1345" s="42"/>
      <c r="AB1345" s="42"/>
      <c r="AC1345" s="42"/>
      <c r="AD1345" s="42"/>
      <c r="AE1345" s="42"/>
      <c r="AF1345" s="42"/>
      <c r="AG1345" s="42"/>
      <c r="AH1345" s="42"/>
      <c r="AI1345" s="42"/>
      <c r="AJ1345" s="42"/>
      <c r="AK1345" s="42"/>
      <c r="AL1345" s="42"/>
      <c r="AM1345" s="42"/>
      <c r="AN1345" s="42"/>
      <c r="AO1345" s="42"/>
      <c r="AP1345" s="42"/>
      <c r="AQ1345" s="42"/>
      <c r="AR1345" s="42"/>
      <c r="AS1345" s="42"/>
      <c r="AT1345" s="42"/>
      <c r="AU1345" s="42"/>
      <c r="AV1345" s="42"/>
      <c r="AW1345" s="42"/>
      <c r="AX1345" s="42"/>
      <c r="AY1345" s="42"/>
      <c r="AZ1345" s="42"/>
      <c r="BA1345" s="42"/>
      <c r="BB1345" s="42"/>
      <c r="BC1345" s="42"/>
      <c r="BD1345" s="42"/>
      <c r="BE1345" s="42"/>
      <c r="BF1345" s="42"/>
      <c r="BG1345" s="42"/>
      <c r="BH1345" s="42"/>
      <c r="BI1345" s="42"/>
      <c r="BJ1345" s="42"/>
      <c r="BK1345" s="42"/>
      <c r="BL1345" s="42"/>
      <c r="BM1345" s="42"/>
      <c r="BN1345" s="42"/>
      <c r="BO1345" s="42"/>
    </row>
    <row r="1346">
      <c r="A1346" s="40"/>
      <c r="B1346" s="40"/>
      <c r="C1346" s="42"/>
      <c r="D1346" s="42"/>
      <c r="E1346" s="43"/>
      <c r="F1346" s="42"/>
      <c r="G1346" s="42"/>
      <c r="H1346" s="42"/>
      <c r="I1346" s="42"/>
      <c r="J1346" s="42"/>
      <c r="K1346" s="42"/>
      <c r="L1346" s="42"/>
      <c r="M1346" s="42"/>
      <c r="N1346" s="42"/>
      <c r="O1346" s="42"/>
      <c r="P1346" s="42"/>
      <c r="Q1346" s="42"/>
      <c r="R1346" s="42"/>
      <c r="S1346" s="42"/>
      <c r="T1346" s="42"/>
      <c r="U1346" s="42"/>
      <c r="V1346" s="42"/>
      <c r="W1346" s="42"/>
      <c r="X1346" s="42"/>
      <c r="Y1346" s="42"/>
      <c r="Z1346" s="42"/>
      <c r="AA1346" s="42"/>
      <c r="AB1346" s="42"/>
      <c r="AC1346" s="42"/>
      <c r="AD1346" s="42"/>
      <c r="AE1346" s="42"/>
      <c r="AF1346" s="42"/>
      <c r="AG1346" s="42"/>
      <c r="AH1346" s="42"/>
      <c r="AI1346" s="42"/>
      <c r="AJ1346" s="42"/>
      <c r="AK1346" s="42"/>
      <c r="AL1346" s="42"/>
      <c r="AM1346" s="42"/>
      <c r="AN1346" s="42"/>
      <c r="AO1346" s="42"/>
      <c r="AP1346" s="42"/>
      <c r="AQ1346" s="42"/>
      <c r="AR1346" s="42"/>
      <c r="AS1346" s="42"/>
      <c r="AT1346" s="42"/>
      <c r="AU1346" s="42"/>
      <c r="AV1346" s="42"/>
      <c r="AW1346" s="42"/>
      <c r="AX1346" s="42"/>
      <c r="AY1346" s="42"/>
      <c r="AZ1346" s="42"/>
      <c r="BA1346" s="42"/>
      <c r="BB1346" s="42"/>
      <c r="BC1346" s="42"/>
      <c r="BD1346" s="42"/>
      <c r="BE1346" s="42"/>
      <c r="BF1346" s="42"/>
      <c r="BG1346" s="42"/>
      <c r="BH1346" s="42"/>
      <c r="BI1346" s="42"/>
      <c r="BJ1346" s="42"/>
      <c r="BK1346" s="42"/>
      <c r="BL1346" s="42"/>
      <c r="BM1346" s="42"/>
      <c r="BN1346" s="42"/>
      <c r="BO1346" s="42"/>
    </row>
    <row r="1347">
      <c r="A1347" s="40"/>
      <c r="B1347" s="40"/>
      <c r="C1347" s="42"/>
      <c r="D1347" s="42"/>
      <c r="E1347" s="43"/>
      <c r="F1347" s="42"/>
      <c r="G1347" s="42"/>
      <c r="H1347" s="42"/>
      <c r="I1347" s="42"/>
      <c r="J1347" s="42"/>
      <c r="K1347" s="42"/>
      <c r="L1347" s="42"/>
      <c r="M1347" s="42"/>
      <c r="N1347" s="42"/>
      <c r="O1347" s="42"/>
      <c r="P1347" s="42"/>
      <c r="Q1347" s="42"/>
      <c r="R1347" s="42"/>
      <c r="S1347" s="42"/>
      <c r="T1347" s="42"/>
      <c r="U1347" s="42"/>
      <c r="V1347" s="42"/>
      <c r="W1347" s="42"/>
      <c r="X1347" s="42"/>
      <c r="Y1347" s="42"/>
      <c r="Z1347" s="42"/>
      <c r="AA1347" s="42"/>
      <c r="AB1347" s="42"/>
      <c r="AC1347" s="42"/>
      <c r="AD1347" s="42"/>
      <c r="AE1347" s="42"/>
      <c r="AF1347" s="42"/>
      <c r="AG1347" s="42"/>
      <c r="AH1347" s="42"/>
      <c r="AI1347" s="42"/>
      <c r="AJ1347" s="42"/>
      <c r="AK1347" s="42"/>
      <c r="AL1347" s="42"/>
      <c r="AM1347" s="42"/>
      <c r="AN1347" s="42"/>
      <c r="AO1347" s="42"/>
      <c r="AP1347" s="42"/>
      <c r="AQ1347" s="42"/>
      <c r="AR1347" s="42"/>
      <c r="AS1347" s="42"/>
      <c r="AT1347" s="42"/>
      <c r="AU1347" s="42"/>
      <c r="AV1347" s="42"/>
      <c r="AW1347" s="42"/>
      <c r="AX1347" s="42"/>
      <c r="AY1347" s="42"/>
      <c r="AZ1347" s="42"/>
      <c r="BA1347" s="42"/>
      <c r="BB1347" s="42"/>
      <c r="BC1347" s="42"/>
      <c r="BD1347" s="42"/>
      <c r="BE1347" s="42"/>
      <c r="BF1347" s="42"/>
      <c r="BG1347" s="42"/>
      <c r="BH1347" s="42"/>
      <c r="BI1347" s="42"/>
      <c r="BJ1347" s="42"/>
      <c r="BK1347" s="42"/>
      <c r="BL1347" s="42"/>
      <c r="BM1347" s="42"/>
      <c r="BN1347" s="42"/>
      <c r="BO1347" s="42"/>
    </row>
    <row r="1348">
      <c r="A1348" s="40"/>
      <c r="B1348" s="40"/>
      <c r="C1348" s="42"/>
      <c r="D1348" s="42"/>
      <c r="E1348" s="43"/>
      <c r="F1348" s="42"/>
      <c r="G1348" s="42"/>
      <c r="H1348" s="42"/>
      <c r="I1348" s="42"/>
      <c r="J1348" s="42"/>
      <c r="K1348" s="42"/>
      <c r="L1348" s="42"/>
      <c r="M1348" s="42"/>
      <c r="N1348" s="42"/>
      <c r="O1348" s="42"/>
      <c r="P1348" s="42"/>
      <c r="Q1348" s="42"/>
      <c r="R1348" s="42"/>
      <c r="S1348" s="42"/>
      <c r="T1348" s="42"/>
      <c r="U1348" s="42"/>
      <c r="V1348" s="42"/>
      <c r="W1348" s="42"/>
      <c r="X1348" s="42"/>
      <c r="Y1348" s="42"/>
      <c r="Z1348" s="42"/>
      <c r="AA1348" s="42"/>
      <c r="AB1348" s="42"/>
      <c r="AC1348" s="42"/>
      <c r="AD1348" s="42"/>
      <c r="AE1348" s="42"/>
      <c r="AF1348" s="42"/>
      <c r="AG1348" s="42"/>
      <c r="AH1348" s="42"/>
      <c r="AI1348" s="42"/>
      <c r="AJ1348" s="42"/>
      <c r="AK1348" s="42"/>
      <c r="AL1348" s="42"/>
      <c r="AM1348" s="42"/>
      <c r="AN1348" s="42"/>
      <c r="AO1348" s="42"/>
      <c r="AP1348" s="42"/>
      <c r="AQ1348" s="42"/>
      <c r="AR1348" s="42"/>
      <c r="AS1348" s="42"/>
      <c r="AT1348" s="42"/>
      <c r="AU1348" s="42"/>
      <c r="AV1348" s="42"/>
      <c r="AW1348" s="42"/>
      <c r="AX1348" s="42"/>
      <c r="AY1348" s="42"/>
      <c r="AZ1348" s="42"/>
      <c r="BA1348" s="42"/>
      <c r="BB1348" s="42"/>
      <c r="BC1348" s="42"/>
      <c r="BD1348" s="42"/>
      <c r="BE1348" s="42"/>
      <c r="BF1348" s="42"/>
      <c r="BG1348" s="42"/>
      <c r="BH1348" s="42"/>
      <c r="BI1348" s="42"/>
      <c r="BJ1348" s="42"/>
      <c r="BK1348" s="42"/>
      <c r="BL1348" s="42"/>
      <c r="BM1348" s="42"/>
      <c r="BN1348" s="42"/>
      <c r="BO1348" s="42"/>
    </row>
    <row r="1349">
      <c r="A1349" s="40"/>
      <c r="B1349" s="40"/>
      <c r="C1349" s="42"/>
      <c r="D1349" s="42"/>
      <c r="E1349" s="43"/>
      <c r="F1349" s="42"/>
      <c r="G1349" s="42"/>
      <c r="H1349" s="42"/>
      <c r="I1349" s="42"/>
      <c r="J1349" s="42"/>
      <c r="K1349" s="42"/>
      <c r="L1349" s="42"/>
      <c r="M1349" s="42"/>
      <c r="N1349" s="42"/>
      <c r="O1349" s="42"/>
      <c r="P1349" s="42"/>
      <c r="Q1349" s="42"/>
      <c r="R1349" s="42"/>
      <c r="S1349" s="42"/>
      <c r="T1349" s="42"/>
      <c r="U1349" s="42"/>
      <c r="V1349" s="42"/>
      <c r="W1349" s="42"/>
      <c r="X1349" s="42"/>
      <c r="Y1349" s="42"/>
      <c r="Z1349" s="42"/>
      <c r="AA1349" s="42"/>
      <c r="AB1349" s="42"/>
      <c r="AC1349" s="42"/>
      <c r="AD1349" s="42"/>
      <c r="AE1349" s="42"/>
      <c r="AF1349" s="42"/>
      <c r="AG1349" s="42"/>
      <c r="AH1349" s="42"/>
      <c r="AI1349" s="42"/>
      <c r="AJ1349" s="42"/>
      <c r="AK1349" s="42"/>
      <c r="AL1349" s="42"/>
      <c r="AM1349" s="42"/>
      <c r="AN1349" s="42"/>
      <c r="AO1349" s="42"/>
      <c r="AP1349" s="42"/>
      <c r="AQ1349" s="42"/>
      <c r="AR1349" s="42"/>
      <c r="AS1349" s="42"/>
      <c r="AT1349" s="42"/>
      <c r="AU1349" s="42"/>
      <c r="AV1349" s="42"/>
      <c r="AW1349" s="42"/>
      <c r="AX1349" s="42"/>
      <c r="AY1349" s="42"/>
      <c r="AZ1349" s="42"/>
      <c r="BA1349" s="42"/>
      <c r="BB1349" s="42"/>
      <c r="BC1349" s="42"/>
      <c r="BD1349" s="42"/>
      <c r="BE1349" s="42"/>
      <c r="BF1349" s="42"/>
      <c r="BG1349" s="42"/>
      <c r="BH1349" s="42"/>
      <c r="BI1349" s="42"/>
      <c r="BJ1349" s="42"/>
      <c r="BK1349" s="42"/>
      <c r="BL1349" s="42"/>
      <c r="BM1349" s="42"/>
      <c r="BN1349" s="42"/>
      <c r="BO1349" s="42"/>
    </row>
    <row r="1350">
      <c r="A1350" s="40"/>
      <c r="B1350" s="40"/>
      <c r="C1350" s="42"/>
      <c r="D1350" s="42"/>
      <c r="E1350" s="43"/>
      <c r="F1350" s="42"/>
      <c r="G1350" s="42"/>
      <c r="H1350" s="42"/>
      <c r="I1350" s="42"/>
      <c r="J1350" s="42"/>
      <c r="K1350" s="42"/>
      <c r="L1350" s="42"/>
      <c r="M1350" s="42"/>
      <c r="N1350" s="42"/>
      <c r="O1350" s="42"/>
      <c r="P1350" s="42"/>
      <c r="Q1350" s="42"/>
      <c r="R1350" s="42"/>
      <c r="S1350" s="42"/>
      <c r="T1350" s="42"/>
      <c r="U1350" s="42"/>
      <c r="V1350" s="42"/>
      <c r="W1350" s="42"/>
      <c r="X1350" s="42"/>
      <c r="Y1350" s="42"/>
      <c r="Z1350" s="42"/>
      <c r="AA1350" s="42"/>
      <c r="AB1350" s="42"/>
      <c r="AC1350" s="42"/>
      <c r="AD1350" s="42"/>
      <c r="AE1350" s="42"/>
      <c r="AF1350" s="42"/>
      <c r="AG1350" s="42"/>
      <c r="AH1350" s="42"/>
      <c r="AI1350" s="42"/>
      <c r="AJ1350" s="42"/>
      <c r="AK1350" s="42"/>
      <c r="AL1350" s="42"/>
      <c r="AM1350" s="42"/>
      <c r="AN1350" s="42"/>
      <c r="AO1350" s="42"/>
      <c r="AP1350" s="42"/>
      <c r="AQ1350" s="42"/>
      <c r="AR1350" s="42"/>
      <c r="AS1350" s="42"/>
      <c r="AT1350" s="42"/>
      <c r="AU1350" s="42"/>
      <c r="AV1350" s="42"/>
      <c r="AW1350" s="42"/>
      <c r="AX1350" s="42"/>
      <c r="AY1350" s="42"/>
      <c r="AZ1350" s="42"/>
      <c r="BA1350" s="42"/>
      <c r="BB1350" s="42"/>
      <c r="BC1350" s="42"/>
      <c r="BD1350" s="42"/>
      <c r="BE1350" s="42"/>
      <c r="BF1350" s="42"/>
      <c r="BG1350" s="42"/>
      <c r="BH1350" s="42"/>
      <c r="BI1350" s="42"/>
      <c r="BJ1350" s="42"/>
      <c r="BK1350" s="42"/>
      <c r="BL1350" s="42"/>
      <c r="BM1350" s="42"/>
      <c r="BN1350" s="42"/>
      <c r="BO1350" s="42"/>
    </row>
    <row r="1351">
      <c r="A1351" s="40"/>
      <c r="B1351" s="40"/>
      <c r="C1351" s="42"/>
      <c r="D1351" s="42"/>
      <c r="E1351" s="43"/>
      <c r="F1351" s="42"/>
      <c r="G1351" s="42"/>
      <c r="H1351" s="42"/>
      <c r="I1351" s="42"/>
      <c r="J1351" s="42"/>
      <c r="K1351" s="42"/>
      <c r="L1351" s="42"/>
      <c r="M1351" s="42"/>
      <c r="N1351" s="42"/>
      <c r="O1351" s="42"/>
      <c r="P1351" s="42"/>
      <c r="Q1351" s="42"/>
      <c r="R1351" s="42"/>
      <c r="S1351" s="42"/>
      <c r="T1351" s="42"/>
      <c r="U1351" s="42"/>
      <c r="V1351" s="42"/>
      <c r="W1351" s="42"/>
      <c r="X1351" s="42"/>
      <c r="Y1351" s="42"/>
      <c r="Z1351" s="42"/>
      <c r="AA1351" s="42"/>
      <c r="AB1351" s="42"/>
      <c r="AC1351" s="42"/>
      <c r="AD1351" s="42"/>
      <c r="AE1351" s="42"/>
      <c r="AF1351" s="42"/>
      <c r="AG1351" s="42"/>
      <c r="AH1351" s="42"/>
      <c r="AI1351" s="42"/>
      <c r="AJ1351" s="42"/>
      <c r="AK1351" s="42"/>
      <c r="AL1351" s="42"/>
      <c r="AM1351" s="42"/>
      <c r="AN1351" s="42"/>
      <c r="AO1351" s="42"/>
      <c r="AP1351" s="42"/>
      <c r="AQ1351" s="42"/>
      <c r="AR1351" s="42"/>
      <c r="AS1351" s="42"/>
      <c r="AT1351" s="42"/>
      <c r="AU1351" s="42"/>
      <c r="AV1351" s="42"/>
      <c r="AW1351" s="42"/>
      <c r="AX1351" s="42"/>
      <c r="AY1351" s="42"/>
      <c r="AZ1351" s="42"/>
      <c r="BA1351" s="42"/>
      <c r="BB1351" s="42"/>
      <c r="BC1351" s="42"/>
      <c r="BD1351" s="42"/>
      <c r="BE1351" s="42"/>
      <c r="BF1351" s="42"/>
      <c r="BG1351" s="42"/>
      <c r="BH1351" s="42"/>
      <c r="BI1351" s="42"/>
      <c r="BJ1351" s="42"/>
      <c r="BK1351" s="42"/>
      <c r="BL1351" s="42"/>
      <c r="BM1351" s="42"/>
      <c r="BN1351" s="42"/>
      <c r="BO1351" s="42"/>
    </row>
    <row r="1352">
      <c r="A1352" s="40"/>
      <c r="B1352" s="40"/>
      <c r="C1352" s="42"/>
      <c r="D1352" s="42"/>
      <c r="E1352" s="43"/>
      <c r="F1352" s="42"/>
      <c r="G1352" s="42"/>
      <c r="H1352" s="42"/>
      <c r="I1352" s="42"/>
      <c r="J1352" s="42"/>
      <c r="K1352" s="42"/>
      <c r="L1352" s="42"/>
      <c r="M1352" s="42"/>
      <c r="N1352" s="42"/>
      <c r="O1352" s="42"/>
      <c r="P1352" s="42"/>
      <c r="Q1352" s="42"/>
      <c r="R1352" s="42"/>
      <c r="S1352" s="42"/>
      <c r="T1352" s="42"/>
      <c r="U1352" s="42"/>
      <c r="V1352" s="42"/>
      <c r="W1352" s="42"/>
      <c r="X1352" s="42"/>
      <c r="Y1352" s="42"/>
      <c r="Z1352" s="42"/>
      <c r="AA1352" s="42"/>
      <c r="AB1352" s="42"/>
      <c r="AC1352" s="42"/>
      <c r="AD1352" s="42"/>
      <c r="AE1352" s="42"/>
      <c r="AF1352" s="42"/>
      <c r="AG1352" s="42"/>
      <c r="AH1352" s="42"/>
      <c r="AI1352" s="42"/>
      <c r="AJ1352" s="42"/>
      <c r="AK1352" s="42"/>
      <c r="AL1352" s="42"/>
      <c r="AM1352" s="42"/>
      <c r="AN1352" s="42"/>
      <c r="AO1352" s="42"/>
      <c r="AP1352" s="42"/>
      <c r="AQ1352" s="42"/>
      <c r="AR1352" s="42"/>
      <c r="AS1352" s="42"/>
      <c r="AT1352" s="42"/>
      <c r="AU1352" s="42"/>
      <c r="AV1352" s="42"/>
      <c r="AW1352" s="42"/>
      <c r="AX1352" s="42"/>
      <c r="AY1352" s="42"/>
      <c r="AZ1352" s="42"/>
      <c r="BA1352" s="42"/>
      <c r="BB1352" s="42"/>
      <c r="BC1352" s="42"/>
      <c r="BD1352" s="42"/>
      <c r="BE1352" s="42"/>
      <c r="BF1352" s="42"/>
      <c r="BG1352" s="42"/>
      <c r="BH1352" s="42"/>
      <c r="BI1352" s="42"/>
      <c r="BJ1352" s="42"/>
      <c r="BK1352" s="42"/>
      <c r="BL1352" s="42"/>
      <c r="BM1352" s="42"/>
      <c r="BN1352" s="42"/>
      <c r="BO1352" s="42"/>
    </row>
    <row r="1353">
      <c r="A1353" s="40"/>
      <c r="B1353" s="40"/>
      <c r="C1353" s="42"/>
      <c r="D1353" s="42"/>
      <c r="E1353" s="43"/>
      <c r="F1353" s="42"/>
      <c r="G1353" s="42"/>
      <c r="H1353" s="42"/>
      <c r="I1353" s="42"/>
      <c r="J1353" s="42"/>
      <c r="K1353" s="42"/>
      <c r="L1353" s="42"/>
      <c r="M1353" s="42"/>
      <c r="N1353" s="42"/>
      <c r="O1353" s="42"/>
      <c r="P1353" s="42"/>
      <c r="Q1353" s="42"/>
      <c r="R1353" s="42"/>
      <c r="S1353" s="42"/>
      <c r="T1353" s="42"/>
      <c r="U1353" s="42"/>
      <c r="V1353" s="42"/>
      <c r="W1353" s="42"/>
      <c r="X1353" s="42"/>
      <c r="Y1353" s="42"/>
      <c r="Z1353" s="42"/>
      <c r="AA1353" s="42"/>
      <c r="AB1353" s="42"/>
      <c r="AC1353" s="42"/>
      <c r="AD1353" s="42"/>
      <c r="AE1353" s="42"/>
      <c r="AF1353" s="42"/>
      <c r="AG1353" s="42"/>
      <c r="AH1353" s="42"/>
      <c r="AI1353" s="42"/>
      <c r="AJ1353" s="42"/>
      <c r="AK1353" s="42"/>
      <c r="AL1353" s="42"/>
      <c r="AM1353" s="42"/>
      <c r="AN1353" s="42"/>
      <c r="AO1353" s="42"/>
      <c r="AP1353" s="42"/>
      <c r="AQ1353" s="42"/>
      <c r="AR1353" s="42"/>
      <c r="AS1353" s="42"/>
      <c r="AT1353" s="42"/>
      <c r="AU1353" s="42"/>
      <c r="AV1353" s="42"/>
      <c r="AW1353" s="42"/>
      <c r="AX1353" s="42"/>
      <c r="AY1353" s="42"/>
      <c r="AZ1353" s="42"/>
      <c r="BA1353" s="42"/>
      <c r="BB1353" s="42"/>
      <c r="BC1353" s="42"/>
      <c r="BD1353" s="42"/>
      <c r="BE1353" s="42"/>
      <c r="BF1353" s="42"/>
      <c r="BG1353" s="42"/>
      <c r="BH1353" s="42"/>
      <c r="BI1353" s="42"/>
      <c r="BJ1353" s="42"/>
      <c r="BK1353" s="42"/>
      <c r="BL1353" s="42"/>
      <c r="BM1353" s="42"/>
      <c r="BN1353" s="42"/>
      <c r="BO1353" s="42"/>
    </row>
    <row r="1354">
      <c r="A1354" s="40"/>
      <c r="B1354" s="40"/>
      <c r="C1354" s="42"/>
      <c r="D1354" s="42"/>
      <c r="E1354" s="43"/>
      <c r="F1354" s="42"/>
      <c r="G1354" s="42"/>
      <c r="H1354" s="42"/>
      <c r="I1354" s="42"/>
      <c r="J1354" s="42"/>
      <c r="K1354" s="42"/>
      <c r="L1354" s="42"/>
      <c r="M1354" s="42"/>
      <c r="N1354" s="42"/>
      <c r="O1354" s="42"/>
      <c r="P1354" s="42"/>
      <c r="Q1354" s="42"/>
      <c r="R1354" s="42"/>
      <c r="S1354" s="42"/>
      <c r="T1354" s="42"/>
      <c r="U1354" s="42"/>
      <c r="V1354" s="42"/>
      <c r="W1354" s="42"/>
      <c r="X1354" s="42"/>
      <c r="Y1354" s="42"/>
      <c r="Z1354" s="42"/>
      <c r="AA1354" s="42"/>
      <c r="AB1354" s="42"/>
      <c r="AC1354" s="42"/>
      <c r="AD1354" s="42"/>
      <c r="AE1354" s="42"/>
      <c r="AF1354" s="42"/>
      <c r="AG1354" s="42"/>
      <c r="AH1354" s="42"/>
      <c r="AI1354" s="42"/>
      <c r="AJ1354" s="42"/>
      <c r="AK1354" s="42"/>
      <c r="AL1354" s="42"/>
      <c r="AM1354" s="42"/>
      <c r="AN1354" s="42"/>
      <c r="AO1354" s="42"/>
      <c r="AP1354" s="42"/>
      <c r="AQ1354" s="42"/>
      <c r="AR1354" s="42"/>
      <c r="AS1354" s="42"/>
      <c r="AT1354" s="42"/>
      <c r="AU1354" s="42"/>
      <c r="AV1354" s="42"/>
      <c r="AW1354" s="42"/>
      <c r="AX1354" s="42"/>
      <c r="AY1354" s="42"/>
      <c r="AZ1354" s="42"/>
      <c r="BA1354" s="42"/>
      <c r="BB1354" s="42"/>
      <c r="BC1354" s="42"/>
      <c r="BD1354" s="42"/>
      <c r="BE1354" s="42"/>
      <c r="BF1354" s="42"/>
      <c r="BG1354" s="42"/>
      <c r="BH1354" s="42"/>
      <c r="BI1354" s="42"/>
      <c r="BJ1354" s="42"/>
      <c r="BK1354" s="42"/>
      <c r="BL1354" s="42"/>
      <c r="BM1354" s="42"/>
      <c r="BN1354" s="42"/>
      <c r="BO1354" s="42"/>
    </row>
    <row r="1355">
      <c r="A1355" s="40"/>
      <c r="B1355" s="40"/>
      <c r="C1355" s="42"/>
      <c r="D1355" s="42"/>
      <c r="E1355" s="43"/>
      <c r="F1355" s="42"/>
      <c r="G1355" s="42"/>
      <c r="H1355" s="42"/>
      <c r="I1355" s="42"/>
      <c r="J1355" s="42"/>
      <c r="K1355" s="42"/>
      <c r="L1355" s="42"/>
      <c r="M1355" s="42"/>
      <c r="N1355" s="42"/>
      <c r="O1355" s="42"/>
      <c r="P1355" s="42"/>
      <c r="Q1355" s="42"/>
      <c r="R1355" s="42"/>
      <c r="S1355" s="42"/>
      <c r="T1355" s="42"/>
      <c r="U1355" s="42"/>
      <c r="V1355" s="42"/>
      <c r="W1355" s="42"/>
      <c r="X1355" s="42"/>
      <c r="Y1355" s="42"/>
      <c r="Z1355" s="42"/>
      <c r="AA1355" s="42"/>
      <c r="AB1355" s="42"/>
      <c r="AC1355" s="42"/>
      <c r="AD1355" s="42"/>
      <c r="AE1355" s="42"/>
      <c r="AF1355" s="42"/>
      <c r="AG1355" s="42"/>
      <c r="AH1355" s="42"/>
      <c r="AI1355" s="42"/>
      <c r="AJ1355" s="42"/>
      <c r="AK1355" s="42"/>
      <c r="AL1355" s="42"/>
      <c r="AM1355" s="42"/>
      <c r="AN1355" s="42"/>
      <c r="AO1355" s="42"/>
      <c r="AP1355" s="42"/>
      <c r="AQ1355" s="42"/>
      <c r="AR1355" s="42"/>
      <c r="AS1355" s="42"/>
      <c r="AT1355" s="42"/>
      <c r="AU1355" s="42"/>
      <c r="AV1355" s="42"/>
      <c r="AW1355" s="42"/>
      <c r="AX1355" s="42"/>
      <c r="AY1355" s="42"/>
      <c r="AZ1355" s="42"/>
      <c r="BA1355" s="42"/>
      <c r="BB1355" s="42"/>
      <c r="BC1355" s="42"/>
      <c r="BD1355" s="42"/>
      <c r="BE1355" s="42"/>
      <c r="BF1355" s="42"/>
      <c r="BG1355" s="42"/>
      <c r="BH1355" s="42"/>
      <c r="BI1355" s="42"/>
      <c r="BJ1355" s="42"/>
      <c r="BK1355" s="42"/>
      <c r="BL1355" s="42"/>
      <c r="BM1355" s="42"/>
      <c r="BN1355" s="42"/>
      <c r="BO1355" s="42"/>
    </row>
    <row r="1356">
      <c r="A1356" s="40"/>
      <c r="B1356" s="40"/>
      <c r="C1356" s="42"/>
      <c r="D1356" s="42"/>
      <c r="E1356" s="43"/>
      <c r="F1356" s="42"/>
      <c r="G1356" s="42"/>
      <c r="H1356" s="42"/>
      <c r="I1356" s="42"/>
      <c r="J1356" s="42"/>
      <c r="K1356" s="42"/>
      <c r="L1356" s="42"/>
      <c r="M1356" s="42"/>
      <c r="N1356" s="42"/>
      <c r="O1356" s="42"/>
      <c r="P1356" s="42"/>
      <c r="Q1356" s="42"/>
      <c r="R1356" s="42"/>
      <c r="S1356" s="42"/>
      <c r="T1356" s="42"/>
      <c r="U1356" s="42"/>
      <c r="V1356" s="42"/>
      <c r="W1356" s="42"/>
      <c r="X1356" s="42"/>
      <c r="Y1356" s="42"/>
      <c r="Z1356" s="42"/>
      <c r="AA1356" s="42"/>
      <c r="AB1356" s="42"/>
      <c r="AC1356" s="42"/>
      <c r="AD1356" s="42"/>
      <c r="AE1356" s="42"/>
      <c r="AF1356" s="42"/>
      <c r="AG1356" s="42"/>
      <c r="AH1356" s="42"/>
      <c r="AI1356" s="42"/>
      <c r="AJ1356" s="42"/>
      <c r="AK1356" s="42"/>
      <c r="AL1356" s="42"/>
      <c r="AM1356" s="42"/>
      <c r="AN1356" s="42"/>
      <c r="AO1356" s="42"/>
      <c r="AP1356" s="42"/>
      <c r="AQ1356" s="42"/>
      <c r="AR1356" s="42"/>
      <c r="AS1356" s="42"/>
      <c r="AT1356" s="42"/>
      <c r="AU1356" s="42"/>
      <c r="AV1356" s="42"/>
      <c r="AW1356" s="42"/>
      <c r="AX1356" s="42"/>
      <c r="AY1356" s="42"/>
      <c r="AZ1356" s="42"/>
      <c r="BA1356" s="42"/>
      <c r="BB1356" s="42"/>
      <c r="BC1356" s="42"/>
      <c r="BD1356" s="42"/>
      <c r="BE1356" s="42"/>
      <c r="BF1356" s="42"/>
      <c r="BG1356" s="42"/>
      <c r="BH1356" s="42"/>
      <c r="BI1356" s="42"/>
      <c r="BJ1356" s="42"/>
      <c r="BK1356" s="42"/>
      <c r="BL1356" s="42"/>
      <c r="BM1356" s="42"/>
      <c r="BN1356" s="42"/>
      <c r="BO1356" s="42"/>
    </row>
    <row r="1357">
      <c r="A1357" s="40"/>
      <c r="B1357" s="40"/>
      <c r="C1357" s="42"/>
      <c r="D1357" s="42"/>
      <c r="E1357" s="43"/>
      <c r="F1357" s="42"/>
      <c r="G1357" s="42"/>
      <c r="H1357" s="42"/>
      <c r="I1357" s="42"/>
      <c r="J1357" s="42"/>
      <c r="K1357" s="42"/>
      <c r="L1357" s="42"/>
      <c r="M1357" s="42"/>
      <c r="N1357" s="42"/>
      <c r="O1357" s="42"/>
      <c r="P1357" s="42"/>
      <c r="Q1357" s="42"/>
      <c r="R1357" s="42"/>
      <c r="S1357" s="42"/>
      <c r="T1357" s="42"/>
      <c r="U1357" s="42"/>
      <c r="V1357" s="42"/>
      <c r="W1357" s="42"/>
      <c r="X1357" s="42"/>
      <c r="Y1357" s="42"/>
      <c r="Z1357" s="42"/>
      <c r="AA1357" s="42"/>
      <c r="AB1357" s="42"/>
      <c r="AC1357" s="42"/>
      <c r="AD1357" s="42"/>
      <c r="AE1357" s="42"/>
      <c r="AF1357" s="42"/>
      <c r="AG1357" s="42"/>
      <c r="AH1357" s="42"/>
      <c r="AI1357" s="42"/>
      <c r="AJ1357" s="42"/>
      <c r="AK1357" s="42"/>
      <c r="AL1357" s="42"/>
      <c r="AM1357" s="42"/>
      <c r="AN1357" s="42"/>
      <c r="AO1357" s="42"/>
      <c r="AP1357" s="42"/>
      <c r="AQ1357" s="42"/>
      <c r="AR1357" s="42"/>
      <c r="AS1357" s="42"/>
      <c r="AT1357" s="42"/>
      <c r="AU1357" s="42"/>
      <c r="AV1357" s="42"/>
      <c r="AW1357" s="42"/>
      <c r="AX1357" s="42"/>
      <c r="AY1357" s="42"/>
      <c r="AZ1357" s="42"/>
      <c r="BA1357" s="42"/>
      <c r="BB1357" s="42"/>
      <c r="BC1357" s="42"/>
      <c r="BD1357" s="42"/>
      <c r="BE1357" s="42"/>
      <c r="BF1357" s="42"/>
      <c r="BG1357" s="42"/>
      <c r="BH1357" s="42"/>
      <c r="BI1357" s="42"/>
      <c r="BJ1357" s="42"/>
      <c r="BK1357" s="42"/>
      <c r="BL1357" s="42"/>
      <c r="BM1357" s="42"/>
      <c r="BN1357" s="42"/>
      <c r="BO1357" s="42"/>
    </row>
    <row r="1358">
      <c r="A1358" s="40"/>
      <c r="B1358" s="40"/>
      <c r="C1358" s="42"/>
      <c r="D1358" s="42"/>
      <c r="E1358" s="43"/>
      <c r="F1358" s="42"/>
      <c r="G1358" s="42"/>
      <c r="H1358" s="42"/>
      <c r="I1358" s="42"/>
      <c r="J1358" s="42"/>
      <c r="K1358" s="42"/>
      <c r="L1358" s="42"/>
      <c r="M1358" s="42"/>
      <c r="N1358" s="42"/>
      <c r="O1358" s="42"/>
      <c r="P1358" s="42"/>
      <c r="Q1358" s="42"/>
      <c r="R1358" s="42"/>
      <c r="S1358" s="42"/>
      <c r="T1358" s="42"/>
      <c r="U1358" s="42"/>
      <c r="V1358" s="42"/>
      <c r="W1358" s="42"/>
      <c r="X1358" s="42"/>
      <c r="Y1358" s="42"/>
      <c r="Z1358" s="42"/>
      <c r="AA1358" s="42"/>
      <c r="AB1358" s="42"/>
      <c r="AC1358" s="42"/>
      <c r="AD1358" s="42"/>
      <c r="AE1358" s="42"/>
      <c r="AF1358" s="42"/>
      <c r="AG1358" s="42"/>
      <c r="AH1358" s="42"/>
      <c r="AI1358" s="42"/>
      <c r="AJ1358" s="42"/>
      <c r="AK1358" s="42"/>
      <c r="AL1358" s="42"/>
      <c r="AM1358" s="42"/>
      <c r="AN1358" s="42"/>
      <c r="AO1358" s="42"/>
      <c r="AP1358" s="42"/>
      <c r="AQ1358" s="42"/>
      <c r="AR1358" s="42"/>
      <c r="AS1358" s="42"/>
      <c r="AT1358" s="42"/>
      <c r="AU1358" s="42"/>
      <c r="AV1358" s="42"/>
      <c r="AW1358" s="42"/>
      <c r="AX1358" s="42"/>
      <c r="AY1358" s="42"/>
      <c r="AZ1358" s="42"/>
      <c r="BA1358" s="42"/>
      <c r="BB1358" s="42"/>
      <c r="BC1358" s="42"/>
      <c r="BD1358" s="42"/>
      <c r="BE1358" s="42"/>
      <c r="BF1358" s="42"/>
      <c r="BG1358" s="42"/>
      <c r="BH1358" s="42"/>
      <c r="BI1358" s="42"/>
      <c r="BJ1358" s="42"/>
      <c r="BK1358" s="42"/>
      <c r="BL1358" s="42"/>
      <c r="BM1358" s="42"/>
      <c r="BN1358" s="42"/>
      <c r="BO1358" s="42"/>
    </row>
    <row r="1359">
      <c r="A1359" s="40"/>
      <c r="B1359" s="40"/>
      <c r="C1359" s="42"/>
      <c r="D1359" s="42"/>
      <c r="E1359" s="43"/>
      <c r="F1359" s="42"/>
      <c r="G1359" s="42"/>
      <c r="H1359" s="42"/>
      <c r="I1359" s="42"/>
      <c r="J1359" s="42"/>
      <c r="K1359" s="42"/>
      <c r="L1359" s="42"/>
      <c r="M1359" s="42"/>
      <c r="N1359" s="42"/>
      <c r="O1359" s="42"/>
      <c r="P1359" s="42"/>
      <c r="Q1359" s="42"/>
      <c r="R1359" s="42"/>
      <c r="S1359" s="42"/>
      <c r="T1359" s="42"/>
      <c r="U1359" s="42"/>
      <c r="V1359" s="42"/>
      <c r="W1359" s="42"/>
      <c r="X1359" s="42"/>
      <c r="Y1359" s="42"/>
      <c r="Z1359" s="42"/>
      <c r="AA1359" s="42"/>
      <c r="AB1359" s="42"/>
      <c r="AC1359" s="42"/>
      <c r="AD1359" s="42"/>
      <c r="AE1359" s="42"/>
      <c r="AF1359" s="42"/>
      <c r="AG1359" s="42"/>
      <c r="AH1359" s="42"/>
      <c r="AI1359" s="42"/>
      <c r="AJ1359" s="42"/>
      <c r="AK1359" s="42"/>
      <c r="AL1359" s="42"/>
      <c r="AM1359" s="42"/>
      <c r="AN1359" s="42"/>
      <c r="AO1359" s="42"/>
      <c r="AP1359" s="42"/>
      <c r="AQ1359" s="42"/>
      <c r="AR1359" s="42"/>
      <c r="AS1359" s="42"/>
      <c r="AT1359" s="42"/>
      <c r="AU1359" s="42"/>
      <c r="AV1359" s="42"/>
      <c r="AW1359" s="42"/>
      <c r="AX1359" s="42"/>
      <c r="AY1359" s="42"/>
      <c r="AZ1359" s="42"/>
      <c r="BA1359" s="42"/>
      <c r="BB1359" s="42"/>
      <c r="BC1359" s="42"/>
      <c r="BD1359" s="42"/>
      <c r="BE1359" s="42"/>
      <c r="BF1359" s="42"/>
      <c r="BG1359" s="42"/>
      <c r="BH1359" s="42"/>
      <c r="BI1359" s="42"/>
      <c r="BJ1359" s="42"/>
      <c r="BK1359" s="42"/>
      <c r="BL1359" s="42"/>
      <c r="BM1359" s="42"/>
      <c r="BN1359" s="42"/>
      <c r="BO1359" s="42"/>
    </row>
    <row r="1360">
      <c r="A1360" s="40"/>
      <c r="B1360" s="40"/>
      <c r="C1360" s="42"/>
      <c r="D1360" s="42"/>
      <c r="E1360" s="43"/>
      <c r="F1360" s="42"/>
      <c r="G1360" s="42"/>
      <c r="H1360" s="42"/>
      <c r="I1360" s="42"/>
      <c r="J1360" s="42"/>
      <c r="K1360" s="42"/>
      <c r="L1360" s="42"/>
      <c r="M1360" s="42"/>
      <c r="N1360" s="42"/>
      <c r="O1360" s="42"/>
      <c r="P1360" s="42"/>
      <c r="Q1360" s="42"/>
      <c r="R1360" s="42"/>
      <c r="S1360" s="42"/>
      <c r="T1360" s="42"/>
      <c r="U1360" s="42"/>
      <c r="V1360" s="42"/>
      <c r="W1360" s="42"/>
      <c r="X1360" s="42"/>
      <c r="Y1360" s="42"/>
      <c r="Z1360" s="42"/>
      <c r="AA1360" s="42"/>
      <c r="AB1360" s="42"/>
      <c r="AC1360" s="42"/>
      <c r="AD1360" s="42"/>
      <c r="AE1360" s="42"/>
      <c r="AF1360" s="42"/>
      <c r="AG1360" s="42"/>
      <c r="AH1360" s="42"/>
      <c r="AI1360" s="42"/>
      <c r="AJ1360" s="42"/>
      <c r="AK1360" s="42"/>
      <c r="AL1360" s="42"/>
      <c r="AM1360" s="42"/>
      <c r="AN1360" s="42"/>
      <c r="AO1360" s="42"/>
      <c r="AP1360" s="42"/>
      <c r="AQ1360" s="42"/>
      <c r="AR1360" s="42"/>
      <c r="AS1360" s="42"/>
      <c r="AT1360" s="42"/>
      <c r="AU1360" s="42"/>
      <c r="AV1360" s="42"/>
      <c r="AW1360" s="42"/>
      <c r="AX1360" s="42"/>
      <c r="AY1360" s="42"/>
      <c r="AZ1360" s="42"/>
      <c r="BA1360" s="42"/>
      <c r="BB1360" s="42"/>
      <c r="BC1360" s="42"/>
      <c r="BD1360" s="42"/>
      <c r="BE1360" s="42"/>
      <c r="BF1360" s="42"/>
      <c r="BG1360" s="42"/>
      <c r="BH1360" s="42"/>
      <c r="BI1360" s="42"/>
      <c r="BJ1360" s="42"/>
      <c r="BK1360" s="42"/>
      <c r="BL1360" s="42"/>
      <c r="BM1360" s="42"/>
      <c r="BN1360" s="42"/>
      <c r="BO1360" s="42"/>
    </row>
    <row r="1361">
      <c r="A1361" s="40"/>
      <c r="B1361" s="40"/>
      <c r="C1361" s="42"/>
      <c r="D1361" s="42"/>
      <c r="E1361" s="43"/>
      <c r="F1361" s="42"/>
      <c r="G1361" s="42"/>
      <c r="H1361" s="42"/>
      <c r="I1361" s="42"/>
      <c r="J1361" s="42"/>
      <c r="K1361" s="42"/>
      <c r="L1361" s="42"/>
      <c r="M1361" s="42"/>
      <c r="N1361" s="42"/>
      <c r="O1361" s="42"/>
      <c r="P1361" s="42"/>
      <c r="Q1361" s="42"/>
      <c r="R1361" s="42"/>
      <c r="S1361" s="42"/>
      <c r="T1361" s="42"/>
      <c r="U1361" s="42"/>
      <c r="V1361" s="42"/>
      <c r="W1361" s="42"/>
      <c r="X1361" s="42"/>
      <c r="Y1361" s="42"/>
      <c r="Z1361" s="42"/>
      <c r="AA1361" s="42"/>
      <c r="AB1361" s="42"/>
      <c r="AC1361" s="42"/>
      <c r="AD1361" s="42"/>
      <c r="AE1361" s="42"/>
      <c r="AF1361" s="42"/>
      <c r="AG1361" s="42"/>
      <c r="AH1361" s="42"/>
      <c r="AI1361" s="42"/>
      <c r="AJ1361" s="42"/>
      <c r="AK1361" s="42"/>
      <c r="AL1361" s="42"/>
      <c r="AM1361" s="42"/>
      <c r="AN1361" s="42"/>
      <c r="AO1361" s="42"/>
      <c r="AP1361" s="42"/>
      <c r="AQ1361" s="42"/>
      <c r="AR1361" s="42"/>
      <c r="AS1361" s="42"/>
      <c r="AT1361" s="42"/>
      <c r="AU1361" s="42"/>
      <c r="AV1361" s="42"/>
      <c r="AW1361" s="42"/>
      <c r="AX1361" s="42"/>
      <c r="AY1361" s="42"/>
      <c r="AZ1361" s="42"/>
      <c r="BA1361" s="42"/>
      <c r="BB1361" s="42"/>
      <c r="BC1361" s="42"/>
      <c r="BD1361" s="42"/>
      <c r="BE1361" s="42"/>
      <c r="BF1361" s="42"/>
      <c r="BG1361" s="42"/>
      <c r="BH1361" s="42"/>
      <c r="BI1361" s="42"/>
      <c r="BJ1361" s="42"/>
      <c r="BK1361" s="42"/>
      <c r="BL1361" s="42"/>
      <c r="BM1361" s="42"/>
      <c r="BN1361" s="42"/>
      <c r="BO1361" s="42"/>
    </row>
    <row r="1362">
      <c r="A1362" s="40"/>
      <c r="B1362" s="40"/>
      <c r="C1362" s="42"/>
      <c r="D1362" s="42"/>
      <c r="E1362" s="43"/>
      <c r="F1362" s="42"/>
      <c r="G1362" s="42"/>
      <c r="H1362" s="42"/>
      <c r="I1362" s="42"/>
      <c r="J1362" s="42"/>
      <c r="K1362" s="42"/>
      <c r="L1362" s="42"/>
      <c r="M1362" s="42"/>
      <c r="N1362" s="42"/>
      <c r="O1362" s="42"/>
      <c r="P1362" s="42"/>
      <c r="Q1362" s="42"/>
      <c r="R1362" s="42"/>
      <c r="S1362" s="42"/>
      <c r="T1362" s="42"/>
      <c r="U1362" s="42"/>
      <c r="V1362" s="42"/>
      <c r="W1362" s="42"/>
      <c r="X1362" s="42"/>
      <c r="Y1362" s="42"/>
      <c r="Z1362" s="42"/>
      <c r="AA1362" s="42"/>
      <c r="AB1362" s="42"/>
      <c r="AC1362" s="42"/>
      <c r="AD1362" s="42"/>
      <c r="AE1362" s="42"/>
      <c r="AF1362" s="42"/>
      <c r="AG1362" s="42"/>
      <c r="AH1362" s="42"/>
      <c r="AI1362" s="42"/>
      <c r="AJ1362" s="42"/>
      <c r="AK1362" s="42"/>
      <c r="AL1362" s="42"/>
      <c r="AM1362" s="42"/>
      <c r="AN1362" s="42"/>
      <c r="AO1362" s="42"/>
      <c r="AP1362" s="42"/>
      <c r="AQ1362" s="42"/>
      <c r="AR1362" s="42"/>
      <c r="AS1362" s="42"/>
      <c r="AT1362" s="42"/>
      <c r="AU1362" s="42"/>
      <c r="AV1362" s="42"/>
      <c r="AW1362" s="42"/>
      <c r="AX1362" s="42"/>
      <c r="AY1362" s="42"/>
      <c r="AZ1362" s="42"/>
      <c r="BA1362" s="42"/>
      <c r="BB1362" s="42"/>
      <c r="BC1362" s="42"/>
      <c r="BD1362" s="42"/>
      <c r="BE1362" s="42"/>
      <c r="BF1362" s="42"/>
      <c r="BG1362" s="42"/>
      <c r="BH1362" s="42"/>
      <c r="BI1362" s="42"/>
      <c r="BJ1362" s="42"/>
      <c r="BK1362" s="42"/>
      <c r="BL1362" s="42"/>
      <c r="BM1362" s="42"/>
      <c r="BN1362" s="42"/>
      <c r="BO1362" s="42"/>
    </row>
    <row r="1363">
      <c r="A1363" s="40"/>
      <c r="B1363" s="40"/>
      <c r="C1363" s="42"/>
      <c r="D1363" s="42"/>
      <c r="E1363" s="43"/>
      <c r="F1363" s="42"/>
      <c r="G1363" s="42"/>
      <c r="H1363" s="42"/>
      <c r="I1363" s="42"/>
      <c r="J1363" s="42"/>
      <c r="K1363" s="42"/>
      <c r="L1363" s="42"/>
      <c r="M1363" s="42"/>
      <c r="N1363" s="42"/>
      <c r="O1363" s="42"/>
      <c r="P1363" s="42"/>
      <c r="Q1363" s="42"/>
      <c r="R1363" s="42"/>
      <c r="S1363" s="42"/>
      <c r="T1363" s="42"/>
      <c r="U1363" s="42"/>
      <c r="V1363" s="42"/>
      <c r="W1363" s="42"/>
      <c r="X1363" s="42"/>
      <c r="Y1363" s="42"/>
      <c r="Z1363" s="42"/>
      <c r="AA1363" s="42"/>
      <c r="AB1363" s="42"/>
      <c r="AC1363" s="42"/>
      <c r="AD1363" s="42"/>
      <c r="AE1363" s="42"/>
      <c r="AF1363" s="42"/>
      <c r="AG1363" s="42"/>
      <c r="AH1363" s="42"/>
      <c r="AI1363" s="42"/>
      <c r="AJ1363" s="42"/>
      <c r="AK1363" s="42"/>
      <c r="AL1363" s="42"/>
      <c r="AM1363" s="42"/>
      <c r="AN1363" s="42"/>
      <c r="AO1363" s="42"/>
      <c r="AP1363" s="42"/>
      <c r="AQ1363" s="42"/>
      <c r="AR1363" s="42"/>
      <c r="AS1363" s="42"/>
      <c r="AT1363" s="42"/>
      <c r="AU1363" s="42"/>
      <c r="AV1363" s="42"/>
      <c r="AW1363" s="42"/>
      <c r="AX1363" s="42"/>
      <c r="AY1363" s="42"/>
      <c r="AZ1363" s="42"/>
      <c r="BA1363" s="42"/>
      <c r="BB1363" s="42"/>
      <c r="BC1363" s="42"/>
      <c r="BD1363" s="42"/>
      <c r="BE1363" s="42"/>
      <c r="BF1363" s="42"/>
      <c r="BG1363" s="42"/>
      <c r="BH1363" s="42"/>
      <c r="BI1363" s="42"/>
      <c r="BJ1363" s="42"/>
      <c r="BK1363" s="42"/>
      <c r="BL1363" s="42"/>
      <c r="BM1363" s="42"/>
      <c r="BN1363" s="42"/>
      <c r="BO1363" s="42"/>
    </row>
    <row r="1364">
      <c r="A1364" s="40"/>
      <c r="B1364" s="40"/>
      <c r="C1364" s="42"/>
      <c r="D1364" s="42"/>
      <c r="E1364" s="43"/>
      <c r="F1364" s="42"/>
      <c r="G1364" s="42"/>
      <c r="H1364" s="42"/>
      <c r="I1364" s="42"/>
      <c r="J1364" s="42"/>
      <c r="K1364" s="42"/>
      <c r="L1364" s="42"/>
      <c r="M1364" s="42"/>
      <c r="N1364" s="42"/>
      <c r="O1364" s="42"/>
      <c r="P1364" s="42"/>
      <c r="Q1364" s="42"/>
      <c r="R1364" s="42"/>
      <c r="S1364" s="42"/>
      <c r="T1364" s="42"/>
      <c r="U1364" s="42"/>
      <c r="V1364" s="42"/>
      <c r="W1364" s="42"/>
      <c r="X1364" s="42"/>
      <c r="Y1364" s="42"/>
      <c r="Z1364" s="42"/>
      <c r="AA1364" s="42"/>
      <c r="AB1364" s="42"/>
      <c r="AC1364" s="42"/>
      <c r="AD1364" s="42"/>
      <c r="AE1364" s="42"/>
      <c r="AF1364" s="42"/>
      <c r="AG1364" s="42"/>
      <c r="AH1364" s="42"/>
      <c r="AI1364" s="42"/>
      <c r="AJ1364" s="42"/>
      <c r="AK1364" s="42"/>
      <c r="AL1364" s="42"/>
      <c r="AM1364" s="42"/>
      <c r="AN1364" s="42"/>
      <c r="AO1364" s="42"/>
      <c r="AP1364" s="42"/>
      <c r="AQ1364" s="42"/>
      <c r="AR1364" s="42"/>
      <c r="AS1364" s="42"/>
      <c r="AT1364" s="42"/>
      <c r="AU1364" s="42"/>
      <c r="AV1364" s="42"/>
      <c r="AW1364" s="42"/>
      <c r="AX1364" s="42"/>
      <c r="AY1364" s="42"/>
      <c r="AZ1364" s="42"/>
      <c r="BA1364" s="42"/>
      <c r="BB1364" s="42"/>
      <c r="BC1364" s="42"/>
      <c r="BD1364" s="42"/>
      <c r="BE1364" s="42"/>
      <c r="BF1364" s="42"/>
      <c r="BG1364" s="42"/>
      <c r="BH1364" s="42"/>
      <c r="BI1364" s="42"/>
      <c r="BJ1364" s="42"/>
      <c r="BK1364" s="42"/>
      <c r="BL1364" s="42"/>
      <c r="BM1364" s="42"/>
      <c r="BN1364" s="42"/>
      <c r="BO1364" s="42"/>
    </row>
    <row r="1365">
      <c r="A1365" s="40"/>
      <c r="B1365" s="40"/>
      <c r="C1365" s="42"/>
      <c r="D1365" s="42"/>
      <c r="E1365" s="43"/>
      <c r="F1365" s="42"/>
      <c r="G1365" s="42"/>
      <c r="H1365" s="42"/>
      <c r="I1365" s="42"/>
      <c r="J1365" s="42"/>
      <c r="K1365" s="42"/>
      <c r="L1365" s="42"/>
      <c r="M1365" s="42"/>
      <c r="N1365" s="42"/>
      <c r="O1365" s="42"/>
      <c r="P1365" s="42"/>
      <c r="Q1365" s="42"/>
      <c r="R1365" s="42"/>
      <c r="S1365" s="42"/>
      <c r="T1365" s="42"/>
      <c r="U1365" s="42"/>
      <c r="V1365" s="42"/>
      <c r="W1365" s="42"/>
      <c r="X1365" s="42"/>
      <c r="Y1365" s="42"/>
      <c r="Z1365" s="42"/>
      <c r="AA1365" s="42"/>
      <c r="AB1365" s="42"/>
      <c r="AC1365" s="42"/>
      <c r="AD1365" s="42"/>
      <c r="AE1365" s="42"/>
      <c r="AF1365" s="42"/>
      <c r="AG1365" s="42"/>
      <c r="AH1365" s="42"/>
      <c r="AI1365" s="42"/>
      <c r="AJ1365" s="42"/>
      <c r="AK1365" s="42"/>
      <c r="AL1365" s="42"/>
      <c r="AM1365" s="42"/>
      <c r="AN1365" s="42"/>
      <c r="AO1365" s="42"/>
      <c r="AP1365" s="42"/>
      <c r="AQ1365" s="42"/>
      <c r="AR1365" s="42"/>
      <c r="AS1365" s="42"/>
      <c r="AT1365" s="42"/>
      <c r="AU1365" s="42"/>
      <c r="AV1365" s="42"/>
      <c r="AW1365" s="42"/>
      <c r="AX1365" s="42"/>
      <c r="AY1365" s="42"/>
      <c r="AZ1365" s="42"/>
      <c r="BA1365" s="42"/>
      <c r="BB1365" s="42"/>
      <c r="BC1365" s="42"/>
      <c r="BD1365" s="42"/>
      <c r="BE1365" s="42"/>
      <c r="BF1365" s="42"/>
      <c r="BG1365" s="42"/>
      <c r="BH1365" s="42"/>
      <c r="BI1365" s="42"/>
      <c r="BJ1365" s="42"/>
      <c r="BK1365" s="42"/>
      <c r="BL1365" s="42"/>
      <c r="BM1365" s="42"/>
      <c r="BN1365" s="42"/>
      <c r="BO1365" s="42"/>
    </row>
    <row r="1366">
      <c r="A1366" s="40"/>
      <c r="B1366" s="40"/>
      <c r="C1366" s="42"/>
      <c r="D1366" s="42"/>
      <c r="E1366" s="43"/>
      <c r="F1366" s="42"/>
      <c r="G1366" s="42"/>
      <c r="H1366" s="42"/>
      <c r="I1366" s="42"/>
      <c r="J1366" s="42"/>
      <c r="K1366" s="42"/>
      <c r="L1366" s="42"/>
      <c r="M1366" s="42"/>
      <c r="N1366" s="42"/>
      <c r="O1366" s="42"/>
      <c r="P1366" s="42"/>
      <c r="Q1366" s="42"/>
      <c r="R1366" s="42"/>
      <c r="S1366" s="42"/>
      <c r="T1366" s="42"/>
      <c r="U1366" s="42"/>
      <c r="V1366" s="42"/>
      <c r="W1366" s="42"/>
      <c r="X1366" s="42"/>
      <c r="Y1366" s="42"/>
      <c r="Z1366" s="42"/>
      <c r="AA1366" s="42"/>
      <c r="AB1366" s="42"/>
      <c r="AC1366" s="42"/>
      <c r="AD1366" s="42"/>
      <c r="AE1366" s="42"/>
      <c r="AF1366" s="42"/>
      <c r="AG1366" s="42"/>
      <c r="AH1366" s="42"/>
      <c r="AI1366" s="42"/>
      <c r="AJ1366" s="42"/>
      <c r="AK1366" s="42"/>
      <c r="AL1366" s="42"/>
      <c r="AM1366" s="42"/>
      <c r="AN1366" s="42"/>
      <c r="AO1366" s="42"/>
      <c r="AP1366" s="42"/>
      <c r="AQ1366" s="42"/>
      <c r="AR1366" s="42"/>
      <c r="AS1366" s="42"/>
      <c r="AT1366" s="42"/>
      <c r="AU1366" s="42"/>
      <c r="AV1366" s="42"/>
      <c r="AW1366" s="42"/>
      <c r="AX1366" s="42"/>
      <c r="AY1366" s="42"/>
      <c r="AZ1366" s="42"/>
      <c r="BA1366" s="42"/>
      <c r="BB1366" s="42"/>
      <c r="BC1366" s="42"/>
      <c r="BD1366" s="42"/>
      <c r="BE1366" s="42"/>
      <c r="BF1366" s="42"/>
      <c r="BG1366" s="42"/>
      <c r="BH1366" s="42"/>
      <c r="BI1366" s="42"/>
      <c r="BJ1366" s="42"/>
      <c r="BK1366" s="42"/>
      <c r="BL1366" s="42"/>
      <c r="BM1366" s="42"/>
      <c r="BN1366" s="42"/>
      <c r="BO1366" s="42"/>
    </row>
    <row r="1367">
      <c r="A1367" s="40"/>
      <c r="B1367" s="40"/>
      <c r="C1367" s="42"/>
      <c r="D1367" s="42"/>
      <c r="E1367" s="43"/>
      <c r="F1367" s="42"/>
      <c r="G1367" s="42"/>
      <c r="H1367" s="42"/>
      <c r="I1367" s="42"/>
      <c r="J1367" s="42"/>
      <c r="K1367" s="42"/>
      <c r="L1367" s="42"/>
      <c r="M1367" s="42"/>
      <c r="N1367" s="42"/>
      <c r="O1367" s="42"/>
      <c r="P1367" s="42"/>
      <c r="Q1367" s="42"/>
      <c r="R1367" s="42"/>
      <c r="S1367" s="42"/>
      <c r="T1367" s="42"/>
      <c r="U1367" s="42"/>
      <c r="V1367" s="42"/>
      <c r="W1367" s="42"/>
      <c r="X1367" s="42"/>
      <c r="Y1367" s="42"/>
      <c r="Z1367" s="42"/>
      <c r="AA1367" s="42"/>
      <c r="AB1367" s="42"/>
      <c r="AC1367" s="42"/>
      <c r="AD1367" s="42"/>
      <c r="AE1367" s="42"/>
      <c r="AF1367" s="42"/>
      <c r="AG1367" s="42"/>
      <c r="AH1367" s="42"/>
      <c r="AI1367" s="42"/>
      <c r="AJ1367" s="42"/>
      <c r="AK1367" s="42"/>
      <c r="AL1367" s="42"/>
      <c r="AM1367" s="42"/>
      <c r="AN1367" s="42"/>
      <c r="AO1367" s="42"/>
      <c r="AP1367" s="42"/>
      <c r="AQ1367" s="42"/>
      <c r="AR1367" s="42"/>
      <c r="AS1367" s="42"/>
      <c r="AT1367" s="42"/>
      <c r="AU1367" s="42"/>
      <c r="AV1367" s="42"/>
      <c r="AW1367" s="42"/>
      <c r="AX1367" s="42"/>
      <c r="AY1367" s="42"/>
      <c r="AZ1367" s="42"/>
      <c r="BA1367" s="42"/>
      <c r="BB1367" s="42"/>
      <c r="BC1367" s="42"/>
      <c r="BD1367" s="42"/>
      <c r="BE1367" s="42"/>
      <c r="BF1367" s="42"/>
      <c r="BG1367" s="42"/>
      <c r="BH1367" s="42"/>
      <c r="BI1367" s="42"/>
      <c r="BJ1367" s="42"/>
      <c r="BK1367" s="42"/>
      <c r="BL1367" s="42"/>
      <c r="BM1367" s="42"/>
      <c r="BN1367" s="42"/>
      <c r="BO1367" s="42"/>
    </row>
    <row r="1368">
      <c r="A1368" s="40"/>
      <c r="B1368" s="40"/>
      <c r="C1368" s="42"/>
      <c r="D1368" s="42"/>
      <c r="E1368" s="43"/>
      <c r="F1368" s="42"/>
      <c r="G1368" s="42"/>
      <c r="H1368" s="42"/>
      <c r="I1368" s="42"/>
      <c r="J1368" s="42"/>
      <c r="K1368" s="42"/>
      <c r="L1368" s="42"/>
      <c r="M1368" s="42"/>
      <c r="N1368" s="42"/>
      <c r="O1368" s="42"/>
      <c r="P1368" s="42"/>
      <c r="Q1368" s="42"/>
      <c r="R1368" s="42"/>
      <c r="S1368" s="42"/>
      <c r="T1368" s="42"/>
      <c r="U1368" s="42"/>
      <c r="V1368" s="42"/>
      <c r="W1368" s="42"/>
      <c r="X1368" s="42"/>
      <c r="Y1368" s="42"/>
      <c r="Z1368" s="42"/>
      <c r="AA1368" s="42"/>
      <c r="AB1368" s="42"/>
      <c r="AC1368" s="42"/>
      <c r="AD1368" s="42"/>
      <c r="AE1368" s="42"/>
      <c r="AF1368" s="42"/>
      <c r="AG1368" s="42"/>
      <c r="AH1368" s="42"/>
      <c r="AI1368" s="42"/>
      <c r="AJ1368" s="42"/>
      <c r="AK1368" s="42"/>
      <c r="AL1368" s="42"/>
      <c r="AM1368" s="42"/>
      <c r="AN1368" s="42"/>
      <c r="AO1368" s="42"/>
      <c r="AP1368" s="42"/>
      <c r="AQ1368" s="42"/>
      <c r="AR1368" s="42"/>
      <c r="AS1368" s="42"/>
      <c r="AT1368" s="42"/>
      <c r="AU1368" s="42"/>
      <c r="AV1368" s="42"/>
      <c r="AW1368" s="42"/>
      <c r="AX1368" s="42"/>
      <c r="AY1368" s="42"/>
      <c r="AZ1368" s="42"/>
      <c r="BA1368" s="42"/>
      <c r="BB1368" s="42"/>
      <c r="BC1368" s="42"/>
      <c r="BD1368" s="42"/>
      <c r="BE1368" s="42"/>
      <c r="BF1368" s="42"/>
      <c r="BG1368" s="42"/>
      <c r="BH1368" s="42"/>
      <c r="BI1368" s="42"/>
      <c r="BJ1368" s="42"/>
      <c r="BK1368" s="42"/>
      <c r="BL1368" s="42"/>
      <c r="BM1368" s="42"/>
      <c r="BN1368" s="42"/>
      <c r="BO1368" s="42"/>
    </row>
    <row r="1369">
      <c r="A1369" s="40"/>
      <c r="B1369" s="40"/>
      <c r="C1369" s="42"/>
      <c r="D1369" s="42"/>
      <c r="E1369" s="43"/>
      <c r="F1369" s="42"/>
      <c r="G1369" s="42"/>
      <c r="H1369" s="42"/>
      <c r="I1369" s="42"/>
      <c r="J1369" s="42"/>
      <c r="K1369" s="42"/>
      <c r="L1369" s="42"/>
      <c r="M1369" s="42"/>
      <c r="N1369" s="42"/>
      <c r="O1369" s="42"/>
      <c r="P1369" s="42"/>
      <c r="Q1369" s="42"/>
      <c r="R1369" s="42"/>
      <c r="S1369" s="42"/>
      <c r="T1369" s="42"/>
      <c r="U1369" s="42"/>
      <c r="V1369" s="42"/>
      <c r="W1369" s="42"/>
      <c r="X1369" s="42"/>
      <c r="Y1369" s="42"/>
      <c r="Z1369" s="42"/>
      <c r="AA1369" s="42"/>
      <c r="AB1369" s="42"/>
      <c r="AC1369" s="42"/>
      <c r="AD1369" s="42"/>
      <c r="AE1369" s="42"/>
      <c r="AF1369" s="42"/>
      <c r="AG1369" s="42"/>
      <c r="AH1369" s="42"/>
      <c r="AI1369" s="42"/>
      <c r="AJ1369" s="42"/>
      <c r="AK1369" s="42"/>
      <c r="AL1369" s="42"/>
      <c r="AM1369" s="42"/>
      <c r="AN1369" s="42"/>
      <c r="AO1369" s="42"/>
      <c r="AP1369" s="42"/>
      <c r="AQ1369" s="42"/>
      <c r="AR1369" s="42"/>
      <c r="AS1369" s="42"/>
      <c r="AT1369" s="42"/>
      <c r="AU1369" s="42"/>
      <c r="AV1369" s="42"/>
      <c r="AW1369" s="42"/>
      <c r="AX1369" s="42"/>
      <c r="AY1369" s="42"/>
      <c r="AZ1369" s="42"/>
      <c r="BA1369" s="42"/>
      <c r="BB1369" s="42"/>
      <c r="BC1369" s="42"/>
      <c r="BD1369" s="42"/>
      <c r="BE1369" s="42"/>
      <c r="BF1369" s="42"/>
      <c r="BG1369" s="42"/>
      <c r="BH1369" s="42"/>
      <c r="BI1369" s="42"/>
      <c r="BJ1369" s="42"/>
      <c r="BK1369" s="42"/>
      <c r="BL1369" s="42"/>
      <c r="BM1369" s="42"/>
      <c r="BN1369" s="42"/>
      <c r="BO1369" s="42"/>
    </row>
    <row r="1370">
      <c r="A1370" s="40"/>
      <c r="B1370" s="40"/>
      <c r="C1370" s="42"/>
      <c r="D1370" s="42"/>
      <c r="E1370" s="43"/>
      <c r="F1370" s="42"/>
      <c r="G1370" s="42"/>
      <c r="H1370" s="42"/>
      <c r="I1370" s="42"/>
      <c r="J1370" s="42"/>
      <c r="K1370" s="42"/>
      <c r="L1370" s="42"/>
      <c r="M1370" s="42"/>
      <c r="N1370" s="42"/>
      <c r="O1370" s="42"/>
      <c r="P1370" s="42"/>
      <c r="Q1370" s="42"/>
      <c r="R1370" s="42"/>
      <c r="S1370" s="42"/>
      <c r="T1370" s="42"/>
      <c r="U1370" s="42"/>
      <c r="V1370" s="42"/>
      <c r="W1370" s="42"/>
      <c r="X1370" s="42"/>
      <c r="Y1370" s="42"/>
      <c r="Z1370" s="42"/>
      <c r="AA1370" s="42"/>
      <c r="AB1370" s="42"/>
      <c r="AC1370" s="42"/>
      <c r="AD1370" s="42"/>
      <c r="AE1370" s="42"/>
      <c r="AF1370" s="42"/>
      <c r="AG1370" s="42"/>
      <c r="AH1370" s="42"/>
      <c r="AI1370" s="42"/>
      <c r="AJ1370" s="42"/>
      <c r="AK1370" s="42"/>
      <c r="AL1370" s="42"/>
      <c r="AM1370" s="42"/>
      <c r="AN1370" s="42"/>
      <c r="AO1370" s="42"/>
      <c r="AP1370" s="42"/>
      <c r="AQ1370" s="42"/>
      <c r="AR1370" s="42"/>
      <c r="AS1370" s="42"/>
      <c r="AT1370" s="42"/>
      <c r="AU1370" s="42"/>
      <c r="AV1370" s="42"/>
      <c r="AW1370" s="42"/>
      <c r="AX1370" s="42"/>
      <c r="AY1370" s="42"/>
      <c r="AZ1370" s="42"/>
      <c r="BA1370" s="42"/>
      <c r="BB1370" s="42"/>
      <c r="BC1370" s="42"/>
      <c r="BD1370" s="42"/>
      <c r="BE1370" s="42"/>
      <c r="BF1370" s="42"/>
      <c r="BG1370" s="42"/>
      <c r="BH1370" s="42"/>
      <c r="BI1370" s="42"/>
      <c r="BJ1370" s="42"/>
      <c r="BK1370" s="42"/>
      <c r="BL1370" s="42"/>
      <c r="BM1370" s="42"/>
      <c r="BN1370" s="42"/>
      <c r="BO1370" s="42"/>
    </row>
    <row r="1371">
      <c r="A1371" s="40"/>
      <c r="B1371" s="40"/>
      <c r="C1371" s="42"/>
      <c r="D1371" s="42"/>
      <c r="E1371" s="43"/>
      <c r="F1371" s="42"/>
      <c r="G1371" s="42"/>
      <c r="H1371" s="42"/>
      <c r="I1371" s="42"/>
      <c r="J1371" s="42"/>
      <c r="K1371" s="42"/>
      <c r="L1371" s="42"/>
      <c r="M1371" s="42"/>
      <c r="N1371" s="42"/>
      <c r="O1371" s="42"/>
      <c r="P1371" s="42"/>
      <c r="Q1371" s="42"/>
      <c r="R1371" s="42"/>
      <c r="S1371" s="42"/>
      <c r="T1371" s="42"/>
      <c r="U1371" s="42"/>
      <c r="V1371" s="42"/>
      <c r="W1371" s="42"/>
      <c r="X1371" s="42"/>
      <c r="Y1371" s="42"/>
      <c r="Z1371" s="42"/>
      <c r="AA1371" s="42"/>
      <c r="AB1371" s="42"/>
      <c r="AC1371" s="42"/>
      <c r="AD1371" s="42"/>
      <c r="AE1371" s="42"/>
      <c r="AF1371" s="42"/>
      <c r="AG1371" s="42"/>
      <c r="AH1371" s="42"/>
      <c r="AI1371" s="42"/>
      <c r="AJ1371" s="42"/>
      <c r="AK1371" s="42"/>
      <c r="AL1371" s="42"/>
      <c r="AM1371" s="42"/>
      <c r="AN1371" s="42"/>
      <c r="AO1371" s="42"/>
      <c r="AP1371" s="42"/>
      <c r="AQ1371" s="42"/>
      <c r="AR1371" s="42"/>
      <c r="AS1371" s="42"/>
      <c r="AT1371" s="42"/>
      <c r="AU1371" s="42"/>
      <c r="AV1371" s="42"/>
      <c r="AW1371" s="42"/>
      <c r="AX1371" s="42"/>
      <c r="AY1371" s="42"/>
      <c r="AZ1371" s="42"/>
      <c r="BA1371" s="42"/>
      <c r="BB1371" s="42"/>
      <c r="BC1371" s="42"/>
      <c r="BD1371" s="42"/>
      <c r="BE1371" s="42"/>
      <c r="BF1371" s="42"/>
      <c r="BG1371" s="42"/>
      <c r="BH1371" s="42"/>
      <c r="BI1371" s="42"/>
      <c r="BJ1371" s="42"/>
      <c r="BK1371" s="42"/>
      <c r="BL1371" s="42"/>
      <c r="BM1371" s="42"/>
      <c r="BN1371" s="42"/>
      <c r="BO1371" s="42"/>
    </row>
    <row r="1372">
      <c r="A1372" s="40"/>
      <c r="B1372" s="40"/>
      <c r="C1372" s="42"/>
      <c r="D1372" s="42"/>
      <c r="E1372" s="43"/>
      <c r="F1372" s="42"/>
      <c r="G1372" s="42"/>
      <c r="H1372" s="42"/>
      <c r="I1372" s="42"/>
      <c r="J1372" s="42"/>
      <c r="K1372" s="42"/>
      <c r="L1372" s="42"/>
      <c r="M1372" s="42"/>
      <c r="N1372" s="42"/>
      <c r="O1372" s="42"/>
      <c r="P1372" s="42"/>
      <c r="Q1372" s="42"/>
      <c r="R1372" s="42"/>
      <c r="S1372" s="42"/>
      <c r="T1372" s="42"/>
      <c r="U1372" s="42"/>
      <c r="V1372" s="42"/>
      <c r="W1372" s="42"/>
      <c r="X1372" s="42"/>
      <c r="Y1372" s="42"/>
      <c r="Z1372" s="42"/>
      <c r="AA1372" s="42"/>
      <c r="AB1372" s="42"/>
      <c r="AC1372" s="42"/>
      <c r="AD1372" s="42"/>
      <c r="AE1372" s="42"/>
      <c r="AF1372" s="42"/>
      <c r="AG1372" s="42"/>
      <c r="AH1372" s="42"/>
      <c r="AI1372" s="42"/>
      <c r="AJ1372" s="42"/>
      <c r="AK1372" s="42"/>
      <c r="AL1372" s="42"/>
      <c r="AM1372" s="42"/>
      <c r="AN1372" s="42"/>
      <c r="AO1372" s="42"/>
      <c r="AP1372" s="42"/>
      <c r="AQ1372" s="42"/>
      <c r="AR1372" s="42"/>
      <c r="AS1372" s="42"/>
      <c r="AT1372" s="42"/>
      <c r="AU1372" s="42"/>
      <c r="AV1372" s="42"/>
      <c r="AW1372" s="42"/>
      <c r="AX1372" s="42"/>
      <c r="AY1372" s="42"/>
      <c r="AZ1372" s="42"/>
      <c r="BA1372" s="42"/>
      <c r="BB1372" s="42"/>
      <c r="BC1372" s="42"/>
      <c r="BD1372" s="42"/>
      <c r="BE1372" s="42"/>
      <c r="BF1372" s="42"/>
      <c r="BG1372" s="42"/>
      <c r="BH1372" s="42"/>
      <c r="BI1372" s="42"/>
      <c r="BJ1372" s="42"/>
      <c r="BK1372" s="42"/>
      <c r="BL1372" s="42"/>
      <c r="BM1372" s="42"/>
      <c r="BN1372" s="42"/>
      <c r="BO1372" s="42"/>
    </row>
    <row r="1373">
      <c r="A1373" s="40"/>
      <c r="B1373" s="40"/>
      <c r="C1373" s="42"/>
      <c r="D1373" s="42"/>
      <c r="E1373" s="43"/>
      <c r="F1373" s="42"/>
      <c r="G1373" s="42"/>
      <c r="H1373" s="42"/>
      <c r="I1373" s="42"/>
      <c r="J1373" s="42"/>
      <c r="K1373" s="42"/>
      <c r="L1373" s="42"/>
      <c r="M1373" s="42"/>
      <c r="N1373" s="42"/>
      <c r="O1373" s="42"/>
      <c r="P1373" s="42"/>
      <c r="Q1373" s="42"/>
      <c r="R1373" s="42"/>
      <c r="S1373" s="42"/>
      <c r="T1373" s="42"/>
      <c r="U1373" s="42"/>
      <c r="V1373" s="42"/>
      <c r="W1373" s="42"/>
      <c r="X1373" s="42"/>
      <c r="Y1373" s="42"/>
      <c r="Z1373" s="42"/>
      <c r="AA1373" s="42"/>
      <c r="AB1373" s="42"/>
      <c r="AC1373" s="42"/>
      <c r="AD1373" s="42"/>
      <c r="AE1373" s="42"/>
      <c r="AF1373" s="42"/>
      <c r="AG1373" s="42"/>
      <c r="AH1373" s="42"/>
      <c r="AI1373" s="42"/>
      <c r="AJ1373" s="42"/>
      <c r="AK1373" s="42"/>
      <c r="AL1373" s="42"/>
      <c r="AM1373" s="42"/>
      <c r="AN1373" s="42"/>
      <c r="AO1373" s="42"/>
      <c r="AP1373" s="42"/>
      <c r="AQ1373" s="42"/>
      <c r="AR1373" s="42"/>
      <c r="AS1373" s="42"/>
      <c r="AT1373" s="42"/>
      <c r="AU1373" s="42"/>
      <c r="AV1373" s="42"/>
      <c r="AW1373" s="42"/>
      <c r="AX1373" s="42"/>
      <c r="AY1373" s="42"/>
      <c r="AZ1373" s="42"/>
      <c r="BA1373" s="42"/>
      <c r="BB1373" s="42"/>
      <c r="BC1373" s="42"/>
      <c r="BD1373" s="42"/>
      <c r="BE1373" s="42"/>
      <c r="BF1373" s="42"/>
      <c r="BG1373" s="42"/>
      <c r="BH1373" s="42"/>
      <c r="BI1373" s="42"/>
      <c r="BJ1373" s="42"/>
      <c r="BK1373" s="42"/>
      <c r="BL1373" s="42"/>
      <c r="BM1373" s="42"/>
      <c r="BN1373" s="42"/>
      <c r="BO1373" s="42"/>
    </row>
    <row r="1374">
      <c r="A1374" s="40"/>
      <c r="B1374" s="40"/>
      <c r="C1374" s="42"/>
      <c r="D1374" s="42"/>
      <c r="E1374" s="43"/>
      <c r="F1374" s="42"/>
      <c r="G1374" s="42"/>
      <c r="H1374" s="42"/>
      <c r="I1374" s="42"/>
      <c r="J1374" s="42"/>
      <c r="K1374" s="42"/>
      <c r="L1374" s="42"/>
      <c r="M1374" s="42"/>
      <c r="N1374" s="42"/>
      <c r="O1374" s="42"/>
      <c r="P1374" s="42"/>
      <c r="Q1374" s="42"/>
      <c r="R1374" s="42"/>
      <c r="S1374" s="42"/>
      <c r="T1374" s="42"/>
      <c r="U1374" s="42"/>
      <c r="V1374" s="42"/>
      <c r="W1374" s="42"/>
      <c r="X1374" s="42"/>
      <c r="Y1374" s="42"/>
      <c r="Z1374" s="42"/>
      <c r="AA1374" s="42"/>
      <c r="AB1374" s="42"/>
      <c r="AC1374" s="42"/>
      <c r="AD1374" s="42"/>
      <c r="AE1374" s="42"/>
      <c r="AF1374" s="42"/>
      <c r="AG1374" s="42"/>
      <c r="AH1374" s="42"/>
      <c r="AI1374" s="42"/>
      <c r="AJ1374" s="42"/>
      <c r="AK1374" s="42"/>
      <c r="AL1374" s="42"/>
      <c r="AM1374" s="42"/>
      <c r="AN1374" s="42"/>
      <c r="AO1374" s="42"/>
      <c r="AP1374" s="42"/>
      <c r="AQ1374" s="42"/>
      <c r="AR1374" s="42"/>
      <c r="AS1374" s="42"/>
      <c r="AT1374" s="42"/>
      <c r="AU1374" s="42"/>
      <c r="AV1374" s="42"/>
      <c r="AW1374" s="42"/>
      <c r="AX1374" s="42"/>
      <c r="AY1374" s="42"/>
      <c r="AZ1374" s="42"/>
      <c r="BA1374" s="42"/>
      <c r="BB1374" s="42"/>
      <c r="BC1374" s="42"/>
      <c r="BD1374" s="42"/>
      <c r="BE1374" s="42"/>
      <c r="BF1374" s="42"/>
      <c r="BG1374" s="42"/>
      <c r="BH1374" s="42"/>
      <c r="BI1374" s="42"/>
      <c r="BJ1374" s="42"/>
      <c r="BK1374" s="42"/>
      <c r="BL1374" s="42"/>
      <c r="BM1374" s="42"/>
      <c r="BN1374" s="42"/>
      <c r="BO1374" s="42"/>
    </row>
    <row r="1375">
      <c r="A1375" s="40"/>
      <c r="B1375" s="40"/>
      <c r="C1375" s="42"/>
      <c r="D1375" s="42"/>
      <c r="E1375" s="43"/>
      <c r="F1375" s="42"/>
      <c r="G1375" s="42"/>
      <c r="H1375" s="42"/>
      <c r="I1375" s="42"/>
      <c r="J1375" s="42"/>
      <c r="K1375" s="42"/>
      <c r="L1375" s="42"/>
      <c r="M1375" s="42"/>
      <c r="N1375" s="42"/>
      <c r="O1375" s="42"/>
      <c r="P1375" s="42"/>
      <c r="Q1375" s="42"/>
      <c r="R1375" s="42"/>
      <c r="S1375" s="42"/>
      <c r="T1375" s="42"/>
      <c r="U1375" s="42"/>
      <c r="V1375" s="42"/>
      <c r="W1375" s="42"/>
      <c r="X1375" s="42"/>
      <c r="Y1375" s="42"/>
      <c r="Z1375" s="42"/>
      <c r="AA1375" s="42"/>
      <c r="AB1375" s="42"/>
      <c r="AC1375" s="42"/>
      <c r="AD1375" s="42"/>
      <c r="AE1375" s="42"/>
      <c r="AF1375" s="42"/>
      <c r="AG1375" s="42"/>
      <c r="AH1375" s="42"/>
      <c r="AI1375" s="42"/>
      <c r="AJ1375" s="42"/>
      <c r="AK1375" s="42"/>
      <c r="AL1375" s="42"/>
      <c r="AM1375" s="42"/>
      <c r="AN1375" s="42"/>
      <c r="AO1375" s="42"/>
      <c r="AP1375" s="42"/>
      <c r="AQ1375" s="42"/>
      <c r="AR1375" s="42"/>
      <c r="AS1375" s="42"/>
      <c r="AT1375" s="42"/>
      <c r="AU1375" s="42"/>
      <c r="AV1375" s="42"/>
      <c r="AW1375" s="42"/>
      <c r="AX1375" s="42"/>
      <c r="AY1375" s="42"/>
      <c r="AZ1375" s="42"/>
      <c r="BA1375" s="42"/>
      <c r="BB1375" s="42"/>
      <c r="BC1375" s="42"/>
      <c r="BD1375" s="42"/>
      <c r="BE1375" s="42"/>
      <c r="BF1375" s="42"/>
      <c r="BG1375" s="42"/>
      <c r="BH1375" s="42"/>
      <c r="BI1375" s="42"/>
      <c r="BJ1375" s="42"/>
      <c r="BK1375" s="42"/>
      <c r="BL1375" s="42"/>
      <c r="BM1375" s="42"/>
      <c r="BN1375" s="42"/>
      <c r="BO1375" s="42"/>
    </row>
    <row r="1376">
      <c r="A1376" s="40"/>
      <c r="B1376" s="40"/>
      <c r="C1376" s="42"/>
      <c r="D1376" s="42"/>
      <c r="E1376" s="43"/>
      <c r="F1376" s="42"/>
      <c r="G1376" s="42"/>
      <c r="H1376" s="42"/>
      <c r="I1376" s="42"/>
      <c r="J1376" s="42"/>
      <c r="K1376" s="42"/>
      <c r="L1376" s="42"/>
      <c r="M1376" s="42"/>
      <c r="N1376" s="42"/>
      <c r="O1376" s="42"/>
      <c r="P1376" s="42"/>
      <c r="Q1376" s="42"/>
      <c r="R1376" s="42"/>
      <c r="S1376" s="42"/>
      <c r="T1376" s="42"/>
      <c r="U1376" s="42"/>
      <c r="V1376" s="42"/>
      <c r="W1376" s="42"/>
      <c r="X1376" s="42"/>
      <c r="Y1376" s="42"/>
      <c r="Z1376" s="42"/>
      <c r="AA1376" s="42"/>
      <c r="AB1376" s="42"/>
      <c r="AC1376" s="42"/>
      <c r="AD1376" s="42"/>
      <c r="AE1376" s="42"/>
      <c r="AF1376" s="42"/>
      <c r="AG1376" s="42"/>
      <c r="AH1376" s="42"/>
      <c r="AI1376" s="42"/>
      <c r="AJ1376" s="42"/>
      <c r="AK1376" s="42"/>
      <c r="AL1376" s="42"/>
      <c r="AM1376" s="42"/>
      <c r="AN1376" s="42"/>
      <c r="AO1376" s="42"/>
      <c r="AP1376" s="42"/>
      <c r="AQ1376" s="42"/>
      <c r="AR1376" s="42"/>
      <c r="AS1376" s="42"/>
      <c r="AT1376" s="42"/>
      <c r="AU1376" s="42"/>
      <c r="AV1376" s="42"/>
      <c r="AW1376" s="42"/>
      <c r="AX1376" s="42"/>
      <c r="AY1376" s="42"/>
      <c r="AZ1376" s="42"/>
      <c r="BA1376" s="42"/>
      <c r="BB1376" s="42"/>
      <c r="BC1376" s="42"/>
      <c r="BD1376" s="42"/>
      <c r="BE1376" s="42"/>
      <c r="BF1376" s="42"/>
      <c r="BG1376" s="42"/>
      <c r="BH1376" s="42"/>
      <c r="BI1376" s="42"/>
      <c r="BJ1376" s="42"/>
      <c r="BK1376" s="42"/>
      <c r="BL1376" s="42"/>
      <c r="BM1376" s="42"/>
      <c r="BN1376" s="42"/>
      <c r="BO1376" s="42"/>
    </row>
    <row r="1377">
      <c r="A1377" s="40"/>
      <c r="B1377" s="40"/>
      <c r="C1377" s="42"/>
      <c r="D1377" s="42"/>
      <c r="E1377" s="43"/>
      <c r="F1377" s="42"/>
      <c r="G1377" s="42"/>
      <c r="H1377" s="42"/>
      <c r="I1377" s="42"/>
      <c r="J1377" s="42"/>
      <c r="K1377" s="42"/>
      <c r="L1377" s="42"/>
      <c r="M1377" s="42"/>
      <c r="N1377" s="42"/>
      <c r="O1377" s="42"/>
      <c r="P1377" s="42"/>
      <c r="Q1377" s="42"/>
      <c r="R1377" s="42"/>
      <c r="S1377" s="42"/>
      <c r="T1377" s="42"/>
      <c r="U1377" s="42"/>
      <c r="V1377" s="42"/>
      <c r="W1377" s="42"/>
      <c r="X1377" s="42"/>
      <c r="Y1377" s="42"/>
      <c r="Z1377" s="42"/>
      <c r="AA1377" s="42"/>
      <c r="AB1377" s="42"/>
      <c r="AC1377" s="42"/>
      <c r="AD1377" s="42"/>
      <c r="AE1377" s="42"/>
      <c r="AF1377" s="42"/>
      <c r="AG1377" s="42"/>
      <c r="AH1377" s="42"/>
      <c r="AI1377" s="42"/>
      <c r="AJ1377" s="42"/>
      <c r="AK1377" s="42"/>
      <c r="AL1377" s="42"/>
      <c r="AM1377" s="42"/>
      <c r="AN1377" s="42"/>
      <c r="AO1377" s="42"/>
      <c r="AP1377" s="42"/>
      <c r="AQ1377" s="42"/>
      <c r="AR1377" s="42"/>
      <c r="AS1377" s="42"/>
      <c r="AT1377" s="42"/>
      <c r="AU1377" s="42"/>
      <c r="AV1377" s="42"/>
      <c r="AW1377" s="42"/>
      <c r="AX1377" s="42"/>
      <c r="AY1377" s="42"/>
      <c r="AZ1377" s="42"/>
      <c r="BA1377" s="42"/>
      <c r="BB1377" s="42"/>
      <c r="BC1377" s="42"/>
      <c r="BD1377" s="42"/>
      <c r="BE1377" s="42"/>
      <c r="BF1377" s="42"/>
      <c r="BG1377" s="42"/>
      <c r="BH1377" s="42"/>
      <c r="BI1377" s="42"/>
      <c r="BJ1377" s="42"/>
      <c r="BK1377" s="42"/>
      <c r="BL1377" s="42"/>
      <c r="BM1377" s="42"/>
      <c r="BN1377" s="42"/>
      <c r="BO1377" s="42"/>
    </row>
    <row r="1378">
      <c r="A1378" s="40"/>
      <c r="B1378" s="40"/>
      <c r="C1378" s="42"/>
      <c r="D1378" s="42"/>
      <c r="E1378" s="43"/>
      <c r="F1378" s="42"/>
      <c r="G1378" s="42"/>
      <c r="H1378" s="42"/>
      <c r="I1378" s="42"/>
      <c r="J1378" s="42"/>
      <c r="K1378" s="42"/>
      <c r="L1378" s="42"/>
      <c r="M1378" s="42"/>
      <c r="N1378" s="42"/>
      <c r="O1378" s="42"/>
      <c r="P1378" s="42"/>
      <c r="Q1378" s="42"/>
      <c r="R1378" s="42"/>
      <c r="S1378" s="42"/>
      <c r="T1378" s="42"/>
      <c r="U1378" s="42"/>
      <c r="V1378" s="42"/>
      <c r="W1378" s="42"/>
      <c r="X1378" s="42"/>
      <c r="Y1378" s="42"/>
      <c r="Z1378" s="42"/>
      <c r="AA1378" s="42"/>
      <c r="AB1378" s="42"/>
      <c r="AC1378" s="42"/>
      <c r="AD1378" s="42"/>
      <c r="AE1378" s="42"/>
      <c r="AF1378" s="42"/>
      <c r="AG1378" s="42"/>
      <c r="AH1378" s="42"/>
      <c r="AI1378" s="42"/>
      <c r="AJ1378" s="42"/>
      <c r="AK1378" s="42"/>
      <c r="AL1378" s="42"/>
      <c r="AM1378" s="42"/>
      <c r="AN1378" s="42"/>
      <c r="AO1378" s="42"/>
      <c r="AP1378" s="42"/>
      <c r="AQ1378" s="42"/>
      <c r="AR1378" s="42"/>
      <c r="AS1378" s="42"/>
      <c r="AT1378" s="42"/>
      <c r="AU1378" s="42"/>
      <c r="AV1378" s="42"/>
      <c r="AW1378" s="42"/>
      <c r="AX1378" s="42"/>
      <c r="AY1378" s="42"/>
      <c r="AZ1378" s="42"/>
      <c r="BA1378" s="42"/>
      <c r="BB1378" s="42"/>
      <c r="BC1378" s="42"/>
      <c r="BD1378" s="42"/>
      <c r="BE1378" s="42"/>
      <c r="BF1378" s="42"/>
      <c r="BG1378" s="42"/>
      <c r="BH1378" s="42"/>
      <c r="BI1378" s="42"/>
      <c r="BJ1378" s="42"/>
      <c r="BK1378" s="42"/>
      <c r="BL1378" s="42"/>
      <c r="BM1378" s="42"/>
      <c r="BN1378" s="42"/>
      <c r="BO1378" s="42"/>
    </row>
    <row r="1379">
      <c r="A1379" s="40"/>
      <c r="B1379" s="40"/>
      <c r="C1379" s="42"/>
      <c r="D1379" s="42"/>
      <c r="E1379" s="43"/>
      <c r="F1379" s="42"/>
      <c r="G1379" s="42"/>
      <c r="H1379" s="42"/>
      <c r="I1379" s="42"/>
      <c r="J1379" s="42"/>
      <c r="K1379" s="42"/>
      <c r="L1379" s="42"/>
      <c r="M1379" s="42"/>
      <c r="N1379" s="42"/>
      <c r="O1379" s="42"/>
      <c r="P1379" s="42"/>
      <c r="Q1379" s="42"/>
      <c r="R1379" s="42"/>
      <c r="S1379" s="42"/>
      <c r="T1379" s="42"/>
      <c r="U1379" s="42"/>
      <c r="V1379" s="42"/>
      <c r="W1379" s="42"/>
      <c r="X1379" s="42"/>
      <c r="Y1379" s="42"/>
      <c r="Z1379" s="42"/>
      <c r="AA1379" s="42"/>
      <c r="AB1379" s="42"/>
      <c r="AC1379" s="42"/>
      <c r="AD1379" s="42"/>
      <c r="AE1379" s="42"/>
      <c r="AF1379" s="42"/>
      <c r="AG1379" s="42"/>
      <c r="AH1379" s="42"/>
      <c r="AI1379" s="42"/>
      <c r="AJ1379" s="42"/>
      <c r="AK1379" s="42"/>
      <c r="AL1379" s="42"/>
      <c r="AM1379" s="42"/>
      <c r="AN1379" s="42"/>
      <c r="AO1379" s="42"/>
      <c r="AP1379" s="42"/>
      <c r="AQ1379" s="42"/>
      <c r="AR1379" s="42"/>
      <c r="AS1379" s="42"/>
      <c r="AT1379" s="42"/>
      <c r="AU1379" s="42"/>
      <c r="AV1379" s="42"/>
      <c r="AW1379" s="42"/>
      <c r="AX1379" s="42"/>
      <c r="AY1379" s="42"/>
      <c r="AZ1379" s="42"/>
      <c r="BA1379" s="42"/>
      <c r="BB1379" s="42"/>
      <c r="BC1379" s="42"/>
      <c r="BD1379" s="42"/>
      <c r="BE1379" s="42"/>
      <c r="BF1379" s="42"/>
      <c r="BG1379" s="42"/>
      <c r="BH1379" s="42"/>
      <c r="BI1379" s="42"/>
      <c r="BJ1379" s="42"/>
      <c r="BK1379" s="42"/>
      <c r="BL1379" s="42"/>
      <c r="BM1379" s="42"/>
      <c r="BN1379" s="42"/>
      <c r="BO1379" s="42"/>
    </row>
    <row r="1380">
      <c r="A1380" s="40"/>
      <c r="B1380" s="40"/>
      <c r="C1380" s="42"/>
      <c r="D1380" s="42"/>
      <c r="E1380" s="43"/>
      <c r="F1380" s="42"/>
      <c r="G1380" s="42"/>
      <c r="H1380" s="42"/>
      <c r="I1380" s="42"/>
      <c r="J1380" s="42"/>
      <c r="K1380" s="42"/>
      <c r="L1380" s="42"/>
      <c r="M1380" s="42"/>
      <c r="N1380" s="42"/>
      <c r="O1380" s="42"/>
      <c r="P1380" s="42"/>
      <c r="Q1380" s="42"/>
      <c r="R1380" s="42"/>
      <c r="S1380" s="42"/>
      <c r="T1380" s="42"/>
      <c r="U1380" s="42"/>
      <c r="V1380" s="42"/>
      <c r="W1380" s="42"/>
      <c r="X1380" s="42"/>
      <c r="Y1380" s="42"/>
      <c r="Z1380" s="42"/>
      <c r="AA1380" s="42"/>
      <c r="AB1380" s="42"/>
      <c r="AC1380" s="42"/>
      <c r="AD1380" s="42"/>
      <c r="AE1380" s="42"/>
      <c r="AF1380" s="42"/>
      <c r="AG1380" s="42"/>
      <c r="AH1380" s="42"/>
      <c r="AI1380" s="42"/>
      <c r="AJ1380" s="42"/>
      <c r="AK1380" s="42"/>
      <c r="AL1380" s="42"/>
      <c r="AM1380" s="42"/>
      <c r="AN1380" s="42"/>
      <c r="AO1380" s="42"/>
      <c r="AP1380" s="42"/>
      <c r="AQ1380" s="42"/>
      <c r="AR1380" s="42"/>
      <c r="AS1380" s="42"/>
      <c r="AT1380" s="42"/>
      <c r="AU1380" s="42"/>
      <c r="AV1380" s="42"/>
      <c r="AW1380" s="42"/>
      <c r="AX1380" s="42"/>
      <c r="AY1380" s="42"/>
      <c r="AZ1380" s="42"/>
      <c r="BA1380" s="42"/>
      <c r="BB1380" s="42"/>
      <c r="BC1380" s="42"/>
      <c r="BD1380" s="42"/>
      <c r="BE1380" s="42"/>
      <c r="BF1380" s="42"/>
      <c r="BG1380" s="42"/>
      <c r="BH1380" s="42"/>
      <c r="BI1380" s="42"/>
      <c r="BJ1380" s="42"/>
      <c r="BK1380" s="42"/>
      <c r="BL1380" s="42"/>
      <c r="BM1380" s="42"/>
      <c r="BN1380" s="42"/>
      <c r="BO1380" s="42"/>
    </row>
    <row r="1381">
      <c r="A1381" s="40"/>
      <c r="B1381" s="40"/>
      <c r="C1381" s="42"/>
      <c r="D1381" s="42"/>
      <c r="E1381" s="43"/>
      <c r="F1381" s="42"/>
      <c r="G1381" s="42"/>
      <c r="H1381" s="42"/>
      <c r="I1381" s="42"/>
      <c r="J1381" s="42"/>
      <c r="K1381" s="42"/>
      <c r="L1381" s="42"/>
      <c r="M1381" s="42"/>
      <c r="N1381" s="42"/>
      <c r="O1381" s="42"/>
      <c r="P1381" s="42"/>
      <c r="Q1381" s="42"/>
      <c r="R1381" s="42"/>
      <c r="S1381" s="42"/>
      <c r="T1381" s="42"/>
      <c r="U1381" s="42"/>
      <c r="V1381" s="42"/>
      <c r="W1381" s="42"/>
      <c r="X1381" s="42"/>
      <c r="Y1381" s="42"/>
      <c r="Z1381" s="42"/>
      <c r="AA1381" s="42"/>
      <c r="AB1381" s="42"/>
      <c r="AC1381" s="42"/>
      <c r="AD1381" s="42"/>
      <c r="AE1381" s="42"/>
      <c r="AF1381" s="42"/>
      <c r="AG1381" s="42"/>
      <c r="AH1381" s="42"/>
      <c r="AI1381" s="42"/>
      <c r="AJ1381" s="42"/>
      <c r="AK1381" s="42"/>
      <c r="AL1381" s="42"/>
      <c r="AM1381" s="42"/>
      <c r="AN1381" s="42"/>
      <c r="AO1381" s="42"/>
      <c r="AP1381" s="42"/>
      <c r="AQ1381" s="42"/>
      <c r="AR1381" s="42"/>
      <c r="AS1381" s="42"/>
      <c r="AT1381" s="42"/>
      <c r="AU1381" s="42"/>
      <c r="AV1381" s="42"/>
      <c r="AW1381" s="42"/>
      <c r="AX1381" s="42"/>
      <c r="AY1381" s="42"/>
      <c r="AZ1381" s="42"/>
      <c r="BA1381" s="42"/>
      <c r="BB1381" s="42"/>
      <c r="BC1381" s="42"/>
      <c r="BD1381" s="42"/>
      <c r="BE1381" s="42"/>
      <c r="BF1381" s="42"/>
      <c r="BG1381" s="42"/>
      <c r="BH1381" s="42"/>
      <c r="BI1381" s="42"/>
      <c r="BJ1381" s="42"/>
      <c r="BK1381" s="42"/>
      <c r="BL1381" s="42"/>
      <c r="BM1381" s="42"/>
      <c r="BN1381" s="42"/>
      <c r="BO1381" s="42"/>
    </row>
    <row r="1382">
      <c r="A1382" s="40"/>
      <c r="B1382" s="40"/>
      <c r="C1382" s="42"/>
      <c r="D1382" s="42"/>
      <c r="E1382" s="43"/>
      <c r="F1382" s="42"/>
      <c r="G1382" s="42"/>
      <c r="H1382" s="42"/>
      <c r="I1382" s="42"/>
      <c r="J1382" s="42"/>
      <c r="K1382" s="42"/>
      <c r="L1382" s="42"/>
      <c r="M1382" s="42"/>
      <c r="N1382" s="42"/>
      <c r="O1382" s="42"/>
      <c r="P1382" s="42"/>
      <c r="Q1382" s="42"/>
      <c r="R1382" s="42"/>
      <c r="S1382" s="42"/>
      <c r="T1382" s="42"/>
      <c r="U1382" s="42"/>
      <c r="V1382" s="42"/>
      <c r="W1382" s="42"/>
      <c r="X1382" s="42"/>
      <c r="Y1382" s="42"/>
      <c r="Z1382" s="42"/>
      <c r="AA1382" s="42"/>
      <c r="AB1382" s="42"/>
      <c r="AC1382" s="42"/>
      <c r="AD1382" s="42"/>
      <c r="AE1382" s="42"/>
      <c r="AF1382" s="42"/>
      <c r="AG1382" s="42"/>
      <c r="AH1382" s="42"/>
      <c r="AI1382" s="42"/>
      <c r="AJ1382" s="42"/>
      <c r="AK1382" s="42"/>
      <c r="AL1382" s="42"/>
      <c r="AM1382" s="42"/>
      <c r="AN1382" s="42"/>
      <c r="AO1382" s="42"/>
      <c r="AP1382" s="42"/>
      <c r="AQ1382" s="42"/>
      <c r="AR1382" s="42"/>
      <c r="AS1382" s="42"/>
      <c r="AT1382" s="42"/>
      <c r="AU1382" s="42"/>
      <c r="AV1382" s="42"/>
      <c r="AW1382" s="42"/>
      <c r="AX1382" s="42"/>
      <c r="AY1382" s="42"/>
      <c r="AZ1382" s="42"/>
      <c r="BA1382" s="42"/>
      <c r="BB1382" s="42"/>
      <c r="BC1382" s="42"/>
      <c r="BD1382" s="42"/>
      <c r="BE1382" s="42"/>
      <c r="BF1382" s="42"/>
      <c r="BG1382" s="42"/>
      <c r="BH1382" s="42"/>
      <c r="BI1382" s="42"/>
      <c r="BJ1382" s="42"/>
      <c r="BK1382" s="42"/>
      <c r="BL1382" s="42"/>
      <c r="BM1382" s="42"/>
      <c r="BN1382" s="42"/>
      <c r="BO1382" s="42"/>
    </row>
    <row r="1383">
      <c r="A1383" s="40"/>
      <c r="B1383" s="40"/>
      <c r="C1383" s="42"/>
      <c r="D1383" s="42"/>
      <c r="E1383" s="43"/>
      <c r="F1383" s="42"/>
      <c r="G1383" s="42"/>
      <c r="H1383" s="42"/>
      <c r="I1383" s="42"/>
      <c r="J1383" s="42"/>
      <c r="K1383" s="42"/>
      <c r="L1383" s="42"/>
      <c r="M1383" s="42"/>
      <c r="N1383" s="42"/>
      <c r="O1383" s="42"/>
      <c r="P1383" s="42"/>
      <c r="Q1383" s="42"/>
      <c r="R1383" s="42"/>
      <c r="S1383" s="42"/>
      <c r="T1383" s="42"/>
      <c r="U1383" s="42"/>
      <c r="V1383" s="42"/>
      <c r="W1383" s="42"/>
      <c r="X1383" s="42"/>
      <c r="Y1383" s="42"/>
      <c r="Z1383" s="42"/>
      <c r="AA1383" s="42"/>
      <c r="AB1383" s="42"/>
      <c r="AC1383" s="42"/>
      <c r="AD1383" s="42"/>
      <c r="AE1383" s="42"/>
      <c r="AF1383" s="42"/>
      <c r="AG1383" s="42"/>
      <c r="AH1383" s="42"/>
      <c r="AI1383" s="42"/>
      <c r="AJ1383" s="42"/>
      <c r="AK1383" s="42"/>
      <c r="AL1383" s="42"/>
      <c r="AM1383" s="42"/>
      <c r="AN1383" s="42"/>
      <c r="AO1383" s="42"/>
      <c r="AP1383" s="42"/>
      <c r="AQ1383" s="42"/>
      <c r="AR1383" s="42"/>
      <c r="AS1383" s="42"/>
      <c r="AT1383" s="42"/>
      <c r="AU1383" s="42"/>
      <c r="AV1383" s="42"/>
      <c r="AW1383" s="42"/>
      <c r="AX1383" s="42"/>
      <c r="AY1383" s="42"/>
      <c r="AZ1383" s="42"/>
      <c r="BA1383" s="42"/>
      <c r="BB1383" s="42"/>
      <c r="BC1383" s="42"/>
      <c r="BD1383" s="42"/>
      <c r="BE1383" s="42"/>
      <c r="BF1383" s="42"/>
      <c r="BG1383" s="42"/>
      <c r="BH1383" s="42"/>
      <c r="BI1383" s="42"/>
      <c r="BJ1383" s="42"/>
      <c r="BK1383" s="42"/>
      <c r="BL1383" s="42"/>
      <c r="BM1383" s="42"/>
      <c r="BN1383" s="42"/>
      <c r="BO1383" s="42"/>
    </row>
    <row r="1384">
      <c r="A1384" s="40"/>
      <c r="B1384" s="40"/>
      <c r="C1384" s="42"/>
      <c r="D1384" s="42"/>
      <c r="E1384" s="43"/>
      <c r="F1384" s="42"/>
      <c r="G1384" s="42"/>
      <c r="H1384" s="42"/>
      <c r="I1384" s="42"/>
      <c r="J1384" s="42"/>
      <c r="K1384" s="42"/>
      <c r="L1384" s="42"/>
      <c r="M1384" s="42"/>
      <c r="N1384" s="42"/>
      <c r="O1384" s="42"/>
      <c r="P1384" s="42"/>
      <c r="Q1384" s="42"/>
      <c r="R1384" s="42"/>
      <c r="S1384" s="42"/>
      <c r="T1384" s="42"/>
      <c r="U1384" s="42"/>
      <c r="V1384" s="42"/>
      <c r="W1384" s="42"/>
      <c r="X1384" s="42"/>
      <c r="Y1384" s="42"/>
      <c r="Z1384" s="42"/>
      <c r="AA1384" s="42"/>
      <c r="AB1384" s="42"/>
      <c r="AC1384" s="42"/>
      <c r="AD1384" s="42"/>
      <c r="AE1384" s="42"/>
      <c r="AF1384" s="42"/>
      <c r="AG1384" s="42"/>
      <c r="AH1384" s="42"/>
      <c r="AI1384" s="42"/>
      <c r="AJ1384" s="42"/>
      <c r="AK1384" s="42"/>
      <c r="AL1384" s="42"/>
      <c r="AM1384" s="42"/>
      <c r="AN1384" s="42"/>
      <c r="AO1384" s="42"/>
      <c r="AP1384" s="42"/>
      <c r="AQ1384" s="42"/>
      <c r="AR1384" s="42"/>
      <c r="AS1384" s="42"/>
      <c r="AT1384" s="42"/>
      <c r="AU1384" s="42"/>
      <c r="AV1384" s="42"/>
      <c r="AW1384" s="42"/>
      <c r="AX1384" s="42"/>
      <c r="AY1384" s="42"/>
      <c r="AZ1384" s="42"/>
      <c r="BA1384" s="42"/>
      <c r="BB1384" s="42"/>
      <c r="BC1384" s="42"/>
      <c r="BD1384" s="42"/>
      <c r="BE1384" s="42"/>
      <c r="BF1384" s="42"/>
      <c r="BG1384" s="42"/>
      <c r="BH1384" s="42"/>
      <c r="BI1384" s="42"/>
      <c r="BJ1384" s="42"/>
      <c r="BK1384" s="42"/>
      <c r="BL1384" s="42"/>
      <c r="BM1384" s="42"/>
      <c r="BN1384" s="42"/>
      <c r="BO1384" s="42"/>
    </row>
    <row r="1385">
      <c r="A1385" s="40"/>
      <c r="B1385" s="40"/>
      <c r="C1385" s="42"/>
      <c r="D1385" s="42"/>
      <c r="E1385" s="43"/>
      <c r="F1385" s="42"/>
      <c r="G1385" s="42"/>
      <c r="H1385" s="42"/>
      <c r="I1385" s="42"/>
      <c r="J1385" s="42"/>
      <c r="K1385" s="42"/>
      <c r="L1385" s="42"/>
      <c r="M1385" s="42"/>
      <c r="N1385" s="42"/>
      <c r="O1385" s="42"/>
      <c r="P1385" s="42"/>
      <c r="Q1385" s="42"/>
      <c r="R1385" s="42"/>
      <c r="S1385" s="42"/>
      <c r="T1385" s="42"/>
      <c r="U1385" s="42"/>
      <c r="V1385" s="42"/>
      <c r="W1385" s="42"/>
      <c r="X1385" s="42"/>
      <c r="Y1385" s="42"/>
      <c r="Z1385" s="42"/>
      <c r="AA1385" s="42"/>
      <c r="AB1385" s="42"/>
      <c r="AC1385" s="42"/>
      <c r="AD1385" s="42"/>
      <c r="AE1385" s="42"/>
      <c r="AF1385" s="42"/>
      <c r="AG1385" s="42"/>
      <c r="AH1385" s="42"/>
      <c r="AI1385" s="42"/>
      <c r="AJ1385" s="42"/>
      <c r="AK1385" s="42"/>
      <c r="AL1385" s="42"/>
      <c r="AM1385" s="42"/>
      <c r="AN1385" s="42"/>
      <c r="AO1385" s="42"/>
      <c r="AP1385" s="42"/>
      <c r="AQ1385" s="42"/>
      <c r="AR1385" s="42"/>
      <c r="AS1385" s="42"/>
      <c r="AT1385" s="42"/>
      <c r="AU1385" s="42"/>
      <c r="AV1385" s="42"/>
      <c r="AW1385" s="42"/>
      <c r="AX1385" s="42"/>
      <c r="AY1385" s="42"/>
      <c r="AZ1385" s="42"/>
      <c r="BA1385" s="42"/>
      <c r="BB1385" s="42"/>
      <c r="BC1385" s="42"/>
      <c r="BD1385" s="42"/>
      <c r="BE1385" s="42"/>
      <c r="BF1385" s="42"/>
      <c r="BG1385" s="42"/>
      <c r="BH1385" s="42"/>
      <c r="BI1385" s="42"/>
      <c r="BJ1385" s="42"/>
      <c r="BK1385" s="42"/>
      <c r="BL1385" s="42"/>
      <c r="BM1385" s="42"/>
      <c r="BN1385" s="42"/>
      <c r="BO1385" s="42"/>
    </row>
    <row r="1386">
      <c r="A1386" s="40"/>
      <c r="B1386" s="40"/>
      <c r="C1386" s="42"/>
      <c r="D1386" s="42"/>
      <c r="E1386" s="43"/>
      <c r="F1386" s="42"/>
      <c r="G1386" s="42"/>
      <c r="H1386" s="42"/>
      <c r="I1386" s="42"/>
      <c r="J1386" s="42"/>
      <c r="K1386" s="42"/>
      <c r="L1386" s="42"/>
      <c r="M1386" s="42"/>
      <c r="N1386" s="42"/>
      <c r="O1386" s="42"/>
      <c r="P1386" s="42"/>
      <c r="Q1386" s="42"/>
      <c r="R1386" s="42"/>
      <c r="S1386" s="42"/>
      <c r="T1386" s="42"/>
      <c r="U1386" s="42"/>
      <c r="V1386" s="42"/>
      <c r="W1386" s="42"/>
      <c r="X1386" s="42"/>
      <c r="Y1386" s="42"/>
      <c r="Z1386" s="42"/>
      <c r="AA1386" s="42"/>
      <c r="AB1386" s="42"/>
      <c r="AC1386" s="42"/>
      <c r="AD1386" s="42"/>
      <c r="AE1386" s="42"/>
      <c r="AF1386" s="42"/>
      <c r="AG1386" s="42"/>
      <c r="AH1386" s="42"/>
      <c r="AI1386" s="42"/>
      <c r="AJ1386" s="42"/>
      <c r="AK1386" s="42"/>
      <c r="AL1386" s="42"/>
      <c r="AM1386" s="42"/>
      <c r="AN1386" s="42"/>
      <c r="AO1386" s="42"/>
      <c r="AP1386" s="42"/>
      <c r="AQ1386" s="42"/>
      <c r="AR1386" s="42"/>
      <c r="AS1386" s="42"/>
      <c r="AT1386" s="42"/>
      <c r="AU1386" s="42"/>
      <c r="AV1386" s="42"/>
      <c r="AW1386" s="42"/>
      <c r="AX1386" s="42"/>
      <c r="AY1386" s="42"/>
      <c r="AZ1386" s="42"/>
      <c r="BA1386" s="42"/>
      <c r="BB1386" s="42"/>
      <c r="BC1386" s="42"/>
      <c r="BD1386" s="42"/>
      <c r="BE1386" s="42"/>
      <c r="BF1386" s="42"/>
      <c r="BG1386" s="42"/>
      <c r="BH1386" s="42"/>
      <c r="BI1386" s="42"/>
      <c r="BJ1386" s="42"/>
      <c r="BK1386" s="42"/>
      <c r="BL1386" s="42"/>
      <c r="BM1386" s="42"/>
      <c r="BN1386" s="42"/>
      <c r="BO1386" s="42"/>
    </row>
    <row r="1387">
      <c r="A1387" s="40"/>
      <c r="B1387" s="40"/>
      <c r="C1387" s="42"/>
      <c r="D1387" s="42"/>
      <c r="E1387" s="43"/>
      <c r="F1387" s="42"/>
      <c r="G1387" s="42"/>
      <c r="H1387" s="42"/>
      <c r="I1387" s="42"/>
      <c r="J1387" s="42"/>
      <c r="K1387" s="42"/>
      <c r="L1387" s="42"/>
      <c r="M1387" s="42"/>
      <c r="N1387" s="42"/>
      <c r="O1387" s="42"/>
      <c r="P1387" s="42"/>
      <c r="Q1387" s="42"/>
      <c r="R1387" s="42"/>
      <c r="S1387" s="42"/>
      <c r="T1387" s="42"/>
      <c r="U1387" s="42"/>
      <c r="V1387" s="42"/>
      <c r="W1387" s="42"/>
      <c r="X1387" s="42"/>
      <c r="Y1387" s="42"/>
      <c r="Z1387" s="42"/>
      <c r="AA1387" s="42"/>
      <c r="AB1387" s="42"/>
      <c r="AC1387" s="42"/>
      <c r="AD1387" s="42"/>
      <c r="AE1387" s="42"/>
      <c r="AF1387" s="42"/>
      <c r="AG1387" s="42"/>
      <c r="AH1387" s="42"/>
      <c r="AI1387" s="42"/>
      <c r="AJ1387" s="42"/>
      <c r="AK1387" s="42"/>
      <c r="AL1387" s="42"/>
      <c r="AM1387" s="42"/>
      <c r="AN1387" s="42"/>
      <c r="AO1387" s="42"/>
      <c r="AP1387" s="42"/>
      <c r="AQ1387" s="42"/>
      <c r="AR1387" s="42"/>
      <c r="AS1387" s="42"/>
      <c r="AT1387" s="42"/>
      <c r="AU1387" s="42"/>
      <c r="AV1387" s="42"/>
      <c r="AW1387" s="42"/>
      <c r="AX1387" s="42"/>
      <c r="AY1387" s="42"/>
      <c r="AZ1387" s="42"/>
      <c r="BA1387" s="42"/>
      <c r="BB1387" s="42"/>
      <c r="BC1387" s="42"/>
      <c r="BD1387" s="42"/>
      <c r="BE1387" s="42"/>
      <c r="BF1387" s="42"/>
      <c r="BG1387" s="42"/>
      <c r="BH1387" s="42"/>
      <c r="BI1387" s="42"/>
      <c r="BJ1387" s="42"/>
      <c r="BK1387" s="42"/>
      <c r="BL1387" s="42"/>
      <c r="BM1387" s="42"/>
      <c r="BN1387" s="42"/>
      <c r="BO1387" s="42"/>
    </row>
    <row r="1388">
      <c r="A1388" s="40"/>
      <c r="B1388" s="40"/>
      <c r="C1388" s="42"/>
      <c r="D1388" s="42"/>
      <c r="E1388" s="43"/>
      <c r="F1388" s="42"/>
      <c r="G1388" s="42"/>
      <c r="H1388" s="42"/>
      <c r="I1388" s="42"/>
      <c r="J1388" s="42"/>
      <c r="K1388" s="42"/>
      <c r="L1388" s="42"/>
      <c r="M1388" s="42"/>
      <c r="N1388" s="42"/>
      <c r="O1388" s="42"/>
      <c r="P1388" s="42"/>
      <c r="Q1388" s="42"/>
      <c r="R1388" s="42"/>
      <c r="S1388" s="42"/>
      <c r="T1388" s="42"/>
      <c r="U1388" s="42"/>
      <c r="V1388" s="42"/>
      <c r="W1388" s="42"/>
      <c r="X1388" s="42"/>
      <c r="Y1388" s="42"/>
      <c r="Z1388" s="42"/>
      <c r="AA1388" s="42"/>
      <c r="AB1388" s="42"/>
      <c r="AC1388" s="42"/>
      <c r="AD1388" s="42"/>
      <c r="AE1388" s="42"/>
      <c r="AF1388" s="42"/>
      <c r="AG1388" s="42"/>
      <c r="AH1388" s="42"/>
      <c r="AI1388" s="42"/>
      <c r="AJ1388" s="42"/>
      <c r="AK1388" s="42"/>
      <c r="AL1388" s="42"/>
      <c r="AM1388" s="42"/>
      <c r="AN1388" s="42"/>
      <c r="AO1388" s="42"/>
      <c r="AP1388" s="42"/>
      <c r="AQ1388" s="42"/>
      <c r="AR1388" s="42"/>
      <c r="AS1388" s="42"/>
      <c r="AT1388" s="42"/>
      <c r="AU1388" s="42"/>
      <c r="AV1388" s="42"/>
      <c r="AW1388" s="42"/>
      <c r="AX1388" s="42"/>
      <c r="AY1388" s="42"/>
      <c r="AZ1388" s="42"/>
      <c r="BA1388" s="42"/>
      <c r="BB1388" s="42"/>
      <c r="BC1388" s="42"/>
      <c r="BD1388" s="42"/>
      <c r="BE1388" s="42"/>
      <c r="BF1388" s="42"/>
      <c r="BG1388" s="42"/>
      <c r="BH1388" s="42"/>
      <c r="BI1388" s="42"/>
      <c r="BJ1388" s="42"/>
      <c r="BK1388" s="42"/>
      <c r="BL1388" s="42"/>
      <c r="BM1388" s="42"/>
      <c r="BN1388" s="42"/>
      <c r="BO1388" s="42"/>
    </row>
    <row r="1389">
      <c r="A1389" s="40"/>
      <c r="B1389" s="40"/>
      <c r="C1389" s="42"/>
      <c r="D1389" s="42"/>
      <c r="E1389" s="43"/>
      <c r="F1389" s="42"/>
      <c r="G1389" s="42"/>
      <c r="H1389" s="42"/>
      <c r="I1389" s="42"/>
      <c r="J1389" s="42"/>
      <c r="K1389" s="42"/>
      <c r="L1389" s="42"/>
      <c r="M1389" s="42"/>
      <c r="N1389" s="42"/>
      <c r="O1389" s="42"/>
      <c r="P1389" s="42"/>
      <c r="Q1389" s="42"/>
      <c r="R1389" s="42"/>
      <c r="S1389" s="42"/>
      <c r="T1389" s="42"/>
      <c r="U1389" s="42"/>
      <c r="V1389" s="42"/>
      <c r="W1389" s="42"/>
      <c r="X1389" s="42"/>
      <c r="Y1389" s="42"/>
      <c r="Z1389" s="42"/>
      <c r="AA1389" s="42"/>
      <c r="AB1389" s="42"/>
      <c r="AC1389" s="42"/>
      <c r="AD1389" s="42"/>
      <c r="AE1389" s="42"/>
      <c r="AF1389" s="42"/>
      <c r="AG1389" s="42"/>
      <c r="AH1389" s="42"/>
      <c r="AI1389" s="42"/>
      <c r="AJ1389" s="42"/>
      <c r="AK1389" s="42"/>
      <c r="AL1389" s="42"/>
      <c r="AM1389" s="42"/>
      <c r="AN1389" s="42"/>
      <c r="AO1389" s="42"/>
      <c r="AP1389" s="42"/>
      <c r="AQ1389" s="42"/>
      <c r="AR1389" s="42"/>
      <c r="AS1389" s="42"/>
      <c r="AT1389" s="42"/>
      <c r="AU1389" s="42"/>
      <c r="AV1389" s="42"/>
      <c r="AW1389" s="42"/>
      <c r="AX1389" s="42"/>
      <c r="AY1389" s="42"/>
      <c r="AZ1389" s="42"/>
      <c r="BA1389" s="42"/>
      <c r="BB1389" s="42"/>
      <c r="BC1389" s="42"/>
      <c r="BD1389" s="42"/>
      <c r="BE1389" s="42"/>
      <c r="BF1389" s="42"/>
      <c r="BG1389" s="42"/>
      <c r="BH1389" s="42"/>
      <c r="BI1389" s="42"/>
      <c r="BJ1389" s="42"/>
      <c r="BK1389" s="42"/>
      <c r="BL1389" s="42"/>
      <c r="BM1389" s="42"/>
      <c r="BN1389" s="42"/>
      <c r="BO1389" s="42"/>
    </row>
    <row r="1390">
      <c r="A1390" s="40"/>
      <c r="B1390" s="40"/>
      <c r="C1390" s="42"/>
      <c r="D1390" s="42"/>
      <c r="E1390" s="43"/>
      <c r="F1390" s="42"/>
      <c r="G1390" s="42"/>
      <c r="H1390" s="42"/>
      <c r="I1390" s="42"/>
      <c r="J1390" s="42"/>
      <c r="K1390" s="42"/>
      <c r="L1390" s="42"/>
      <c r="M1390" s="42"/>
      <c r="N1390" s="42"/>
      <c r="O1390" s="42"/>
      <c r="P1390" s="42"/>
      <c r="Q1390" s="42"/>
      <c r="R1390" s="42"/>
      <c r="S1390" s="42"/>
      <c r="T1390" s="42"/>
      <c r="U1390" s="42"/>
      <c r="V1390" s="42"/>
      <c r="W1390" s="42"/>
      <c r="X1390" s="42"/>
      <c r="Y1390" s="42"/>
      <c r="Z1390" s="42"/>
      <c r="AA1390" s="42"/>
      <c r="AB1390" s="42"/>
      <c r="AC1390" s="42"/>
      <c r="AD1390" s="42"/>
      <c r="AE1390" s="42"/>
      <c r="AF1390" s="42"/>
      <c r="AG1390" s="42"/>
      <c r="AH1390" s="42"/>
      <c r="AI1390" s="42"/>
      <c r="AJ1390" s="42"/>
      <c r="AK1390" s="42"/>
      <c r="AL1390" s="42"/>
      <c r="AM1390" s="42"/>
      <c r="AN1390" s="42"/>
      <c r="AO1390" s="42"/>
      <c r="AP1390" s="42"/>
      <c r="AQ1390" s="42"/>
      <c r="AR1390" s="42"/>
      <c r="AS1390" s="42"/>
      <c r="AT1390" s="42"/>
      <c r="AU1390" s="42"/>
      <c r="AV1390" s="42"/>
      <c r="AW1390" s="42"/>
      <c r="AX1390" s="42"/>
      <c r="AY1390" s="42"/>
      <c r="AZ1390" s="42"/>
      <c r="BA1390" s="42"/>
      <c r="BB1390" s="42"/>
      <c r="BC1390" s="42"/>
      <c r="BD1390" s="42"/>
      <c r="BE1390" s="42"/>
      <c r="BF1390" s="42"/>
      <c r="BG1390" s="42"/>
      <c r="BH1390" s="42"/>
      <c r="BI1390" s="42"/>
      <c r="BJ1390" s="42"/>
      <c r="BK1390" s="42"/>
      <c r="BL1390" s="42"/>
      <c r="BM1390" s="42"/>
      <c r="BN1390" s="42"/>
      <c r="BO1390" s="42"/>
    </row>
    <row r="1391">
      <c r="A1391" s="40"/>
      <c r="B1391" s="40"/>
      <c r="C1391" s="42"/>
      <c r="D1391" s="42"/>
      <c r="E1391" s="43"/>
      <c r="F1391" s="42"/>
      <c r="G1391" s="42"/>
      <c r="H1391" s="42"/>
      <c r="I1391" s="42"/>
      <c r="J1391" s="42"/>
      <c r="K1391" s="42"/>
      <c r="L1391" s="42"/>
      <c r="M1391" s="42"/>
      <c r="N1391" s="42"/>
      <c r="O1391" s="42"/>
      <c r="P1391" s="42"/>
      <c r="Q1391" s="42"/>
      <c r="R1391" s="42"/>
      <c r="S1391" s="42"/>
      <c r="T1391" s="42"/>
      <c r="U1391" s="42"/>
      <c r="V1391" s="42"/>
      <c r="W1391" s="42"/>
      <c r="X1391" s="42"/>
      <c r="Y1391" s="42"/>
      <c r="Z1391" s="42"/>
      <c r="AA1391" s="42"/>
      <c r="AB1391" s="42"/>
      <c r="AC1391" s="42"/>
      <c r="AD1391" s="42"/>
      <c r="AE1391" s="42"/>
      <c r="AF1391" s="42"/>
      <c r="AG1391" s="42"/>
      <c r="AH1391" s="42"/>
      <c r="AI1391" s="42"/>
      <c r="AJ1391" s="42"/>
      <c r="AK1391" s="42"/>
      <c r="AL1391" s="42"/>
      <c r="AM1391" s="42"/>
      <c r="AN1391" s="42"/>
      <c r="AO1391" s="42"/>
      <c r="AP1391" s="42"/>
      <c r="AQ1391" s="42"/>
      <c r="AR1391" s="42"/>
      <c r="AS1391" s="42"/>
      <c r="AT1391" s="42"/>
      <c r="AU1391" s="42"/>
      <c r="AV1391" s="42"/>
      <c r="AW1391" s="42"/>
      <c r="AX1391" s="42"/>
      <c r="AY1391" s="42"/>
      <c r="AZ1391" s="42"/>
      <c r="BA1391" s="42"/>
      <c r="BB1391" s="42"/>
      <c r="BC1391" s="42"/>
      <c r="BD1391" s="42"/>
      <c r="BE1391" s="42"/>
      <c r="BF1391" s="42"/>
      <c r="BG1391" s="42"/>
      <c r="BH1391" s="42"/>
      <c r="BI1391" s="42"/>
      <c r="BJ1391" s="42"/>
      <c r="BK1391" s="42"/>
      <c r="BL1391" s="42"/>
      <c r="BM1391" s="42"/>
      <c r="BN1391" s="42"/>
      <c r="BO1391" s="42"/>
    </row>
    <row r="1392">
      <c r="A1392" s="40"/>
      <c r="B1392" s="40"/>
      <c r="C1392" s="42"/>
      <c r="D1392" s="42"/>
      <c r="E1392" s="43"/>
      <c r="F1392" s="42"/>
      <c r="G1392" s="42"/>
      <c r="H1392" s="42"/>
      <c r="I1392" s="42"/>
      <c r="J1392" s="42"/>
      <c r="K1392" s="42"/>
      <c r="L1392" s="42"/>
      <c r="M1392" s="42"/>
      <c r="N1392" s="42"/>
      <c r="O1392" s="42"/>
      <c r="P1392" s="42"/>
      <c r="Q1392" s="42"/>
      <c r="R1392" s="42"/>
      <c r="S1392" s="42"/>
      <c r="T1392" s="42"/>
      <c r="U1392" s="42"/>
      <c r="V1392" s="42"/>
      <c r="W1392" s="42"/>
      <c r="X1392" s="42"/>
      <c r="Y1392" s="42"/>
      <c r="Z1392" s="42"/>
      <c r="AA1392" s="42"/>
      <c r="AB1392" s="42"/>
      <c r="AC1392" s="42"/>
      <c r="AD1392" s="42"/>
      <c r="AE1392" s="42"/>
      <c r="AF1392" s="42"/>
      <c r="AG1392" s="42"/>
      <c r="AH1392" s="42"/>
      <c r="AI1392" s="42"/>
      <c r="AJ1392" s="42"/>
      <c r="AK1392" s="42"/>
      <c r="AL1392" s="42"/>
      <c r="AM1392" s="42"/>
      <c r="AN1392" s="42"/>
      <c r="AO1392" s="42"/>
      <c r="AP1392" s="42"/>
      <c r="AQ1392" s="42"/>
      <c r="AR1392" s="42"/>
      <c r="AS1392" s="42"/>
      <c r="AT1392" s="42"/>
      <c r="AU1392" s="42"/>
      <c r="AV1392" s="42"/>
      <c r="AW1392" s="42"/>
      <c r="AX1392" s="42"/>
      <c r="AY1392" s="42"/>
      <c r="AZ1392" s="42"/>
      <c r="BA1392" s="42"/>
      <c r="BB1392" s="42"/>
      <c r="BC1392" s="42"/>
      <c r="BD1392" s="42"/>
      <c r="BE1392" s="42"/>
      <c r="BF1392" s="42"/>
      <c r="BG1392" s="42"/>
      <c r="BH1392" s="42"/>
      <c r="BI1392" s="42"/>
      <c r="BJ1392" s="42"/>
      <c r="BK1392" s="42"/>
      <c r="BL1392" s="42"/>
      <c r="BM1392" s="42"/>
      <c r="BN1392" s="42"/>
      <c r="BO1392" s="42"/>
    </row>
    <row r="1393">
      <c r="A1393" s="40"/>
      <c r="B1393" s="40"/>
      <c r="C1393" s="42"/>
      <c r="D1393" s="42"/>
      <c r="E1393" s="43"/>
      <c r="F1393" s="42"/>
      <c r="G1393" s="42"/>
      <c r="H1393" s="42"/>
      <c r="I1393" s="42"/>
      <c r="J1393" s="42"/>
      <c r="K1393" s="42"/>
      <c r="L1393" s="42"/>
      <c r="M1393" s="42"/>
      <c r="N1393" s="42"/>
      <c r="O1393" s="42"/>
      <c r="P1393" s="42"/>
      <c r="Q1393" s="42"/>
      <c r="R1393" s="42"/>
      <c r="S1393" s="42"/>
      <c r="T1393" s="42"/>
      <c r="U1393" s="42"/>
      <c r="V1393" s="42"/>
      <c r="W1393" s="42"/>
      <c r="X1393" s="42"/>
      <c r="Y1393" s="42"/>
      <c r="Z1393" s="42"/>
      <c r="AA1393" s="42"/>
      <c r="AB1393" s="42"/>
      <c r="AC1393" s="42"/>
      <c r="AD1393" s="42"/>
      <c r="AE1393" s="42"/>
      <c r="AF1393" s="42"/>
      <c r="AG1393" s="42"/>
      <c r="AH1393" s="42"/>
      <c r="AI1393" s="42"/>
      <c r="AJ1393" s="42"/>
      <c r="AK1393" s="42"/>
      <c r="AL1393" s="42"/>
      <c r="AM1393" s="42"/>
      <c r="AN1393" s="42"/>
      <c r="AO1393" s="42"/>
      <c r="AP1393" s="42"/>
      <c r="AQ1393" s="42"/>
      <c r="AR1393" s="42"/>
      <c r="AS1393" s="42"/>
      <c r="AT1393" s="42"/>
      <c r="AU1393" s="42"/>
      <c r="AV1393" s="42"/>
      <c r="AW1393" s="42"/>
      <c r="AX1393" s="42"/>
      <c r="AY1393" s="42"/>
      <c r="AZ1393" s="42"/>
      <c r="BA1393" s="42"/>
      <c r="BB1393" s="42"/>
      <c r="BC1393" s="42"/>
      <c r="BD1393" s="42"/>
      <c r="BE1393" s="42"/>
      <c r="BF1393" s="42"/>
      <c r="BG1393" s="42"/>
      <c r="BH1393" s="42"/>
      <c r="BI1393" s="42"/>
      <c r="BJ1393" s="42"/>
      <c r="BK1393" s="42"/>
      <c r="BL1393" s="42"/>
      <c r="BM1393" s="42"/>
      <c r="BN1393" s="42"/>
      <c r="BO1393" s="42"/>
    </row>
    <row r="1394">
      <c r="A1394" s="40"/>
      <c r="B1394" s="40"/>
      <c r="C1394" s="42"/>
      <c r="D1394" s="42"/>
      <c r="E1394" s="43"/>
      <c r="F1394" s="42"/>
      <c r="G1394" s="42"/>
      <c r="H1394" s="42"/>
      <c r="I1394" s="42"/>
      <c r="J1394" s="42"/>
      <c r="K1394" s="42"/>
      <c r="L1394" s="42"/>
      <c r="M1394" s="42"/>
      <c r="N1394" s="42"/>
      <c r="O1394" s="42"/>
      <c r="P1394" s="42"/>
      <c r="Q1394" s="42"/>
      <c r="R1394" s="42"/>
      <c r="S1394" s="42"/>
      <c r="T1394" s="42"/>
      <c r="U1394" s="42"/>
      <c r="V1394" s="42"/>
      <c r="W1394" s="42"/>
      <c r="X1394" s="42"/>
      <c r="Y1394" s="42"/>
      <c r="Z1394" s="42"/>
      <c r="AA1394" s="42"/>
      <c r="AB1394" s="42"/>
      <c r="AC1394" s="42"/>
      <c r="AD1394" s="42"/>
      <c r="AE1394" s="42"/>
      <c r="AF1394" s="42"/>
      <c r="AG1394" s="42"/>
      <c r="AH1394" s="42"/>
      <c r="AI1394" s="42"/>
      <c r="AJ1394" s="42"/>
      <c r="AK1394" s="42"/>
      <c r="AL1394" s="42"/>
      <c r="AM1394" s="42"/>
      <c r="AN1394" s="42"/>
      <c r="AO1394" s="42"/>
      <c r="AP1394" s="42"/>
      <c r="AQ1394" s="42"/>
      <c r="AR1394" s="42"/>
      <c r="AS1394" s="42"/>
      <c r="AT1394" s="42"/>
      <c r="AU1394" s="42"/>
      <c r="AV1394" s="42"/>
      <c r="AW1394" s="42"/>
      <c r="AX1394" s="42"/>
      <c r="AY1394" s="42"/>
      <c r="AZ1394" s="42"/>
      <c r="BA1394" s="42"/>
      <c r="BB1394" s="42"/>
      <c r="BC1394" s="42"/>
      <c r="BD1394" s="42"/>
      <c r="BE1394" s="42"/>
      <c r="BF1394" s="42"/>
      <c r="BG1394" s="42"/>
      <c r="BH1394" s="42"/>
      <c r="BI1394" s="42"/>
      <c r="BJ1394" s="42"/>
      <c r="BK1394" s="42"/>
      <c r="BL1394" s="42"/>
      <c r="BM1394" s="42"/>
      <c r="BN1394" s="42"/>
      <c r="BO1394" s="42"/>
    </row>
    <row r="1395">
      <c r="A1395" s="40"/>
      <c r="B1395" s="40"/>
      <c r="C1395" s="42"/>
      <c r="D1395" s="42"/>
      <c r="E1395" s="43"/>
      <c r="F1395" s="42"/>
      <c r="G1395" s="42"/>
      <c r="H1395" s="42"/>
      <c r="I1395" s="42"/>
      <c r="J1395" s="42"/>
      <c r="K1395" s="42"/>
      <c r="L1395" s="42"/>
      <c r="M1395" s="42"/>
      <c r="N1395" s="42"/>
      <c r="O1395" s="42"/>
      <c r="P1395" s="42"/>
      <c r="Q1395" s="42"/>
      <c r="R1395" s="42"/>
      <c r="S1395" s="42"/>
      <c r="T1395" s="42"/>
      <c r="U1395" s="42"/>
      <c r="V1395" s="42"/>
      <c r="W1395" s="42"/>
      <c r="X1395" s="42"/>
      <c r="Y1395" s="42"/>
      <c r="Z1395" s="42"/>
      <c r="AA1395" s="42"/>
      <c r="AB1395" s="42"/>
      <c r="AC1395" s="42"/>
      <c r="AD1395" s="42"/>
      <c r="AE1395" s="42"/>
      <c r="AF1395" s="42"/>
      <c r="AG1395" s="42"/>
      <c r="AH1395" s="42"/>
      <c r="AI1395" s="42"/>
      <c r="AJ1395" s="42"/>
      <c r="AK1395" s="42"/>
      <c r="AL1395" s="42"/>
      <c r="AM1395" s="42"/>
      <c r="AN1395" s="42"/>
      <c r="AO1395" s="42"/>
      <c r="AP1395" s="42"/>
      <c r="AQ1395" s="42"/>
      <c r="AR1395" s="42"/>
      <c r="AS1395" s="42"/>
      <c r="AT1395" s="42"/>
      <c r="AU1395" s="42"/>
      <c r="AV1395" s="42"/>
      <c r="AW1395" s="42"/>
      <c r="AX1395" s="42"/>
      <c r="AY1395" s="42"/>
      <c r="AZ1395" s="42"/>
      <c r="BA1395" s="42"/>
      <c r="BB1395" s="42"/>
      <c r="BC1395" s="42"/>
      <c r="BD1395" s="42"/>
      <c r="BE1395" s="42"/>
      <c r="BF1395" s="42"/>
      <c r="BG1395" s="42"/>
      <c r="BH1395" s="42"/>
      <c r="BI1395" s="42"/>
      <c r="BJ1395" s="42"/>
      <c r="BK1395" s="42"/>
      <c r="BL1395" s="42"/>
      <c r="BM1395" s="42"/>
      <c r="BN1395" s="42"/>
      <c r="BO1395" s="42"/>
    </row>
    <row r="1396">
      <c r="A1396" s="40"/>
      <c r="B1396" s="40"/>
      <c r="C1396" s="42"/>
      <c r="D1396" s="42"/>
      <c r="E1396" s="43"/>
      <c r="F1396" s="42"/>
      <c r="G1396" s="42"/>
      <c r="H1396" s="42"/>
      <c r="I1396" s="42"/>
      <c r="J1396" s="42"/>
      <c r="K1396" s="42"/>
      <c r="L1396" s="42"/>
      <c r="M1396" s="42"/>
      <c r="N1396" s="42"/>
      <c r="O1396" s="42"/>
      <c r="P1396" s="42"/>
      <c r="Q1396" s="42"/>
      <c r="R1396" s="42"/>
      <c r="S1396" s="42"/>
      <c r="T1396" s="42"/>
      <c r="U1396" s="42"/>
      <c r="V1396" s="42"/>
      <c r="W1396" s="42"/>
      <c r="X1396" s="42"/>
      <c r="Y1396" s="42"/>
      <c r="Z1396" s="42"/>
      <c r="AA1396" s="42"/>
      <c r="AB1396" s="42"/>
      <c r="AC1396" s="42"/>
      <c r="AD1396" s="42"/>
      <c r="AE1396" s="42"/>
      <c r="AF1396" s="42"/>
      <c r="AG1396" s="42"/>
      <c r="AH1396" s="42"/>
      <c r="AI1396" s="42"/>
      <c r="AJ1396" s="42"/>
      <c r="AK1396" s="42"/>
      <c r="AL1396" s="42"/>
      <c r="AM1396" s="42"/>
      <c r="AN1396" s="42"/>
      <c r="AO1396" s="42"/>
      <c r="AP1396" s="42"/>
      <c r="AQ1396" s="42"/>
      <c r="AR1396" s="42"/>
      <c r="AS1396" s="42"/>
      <c r="AT1396" s="42"/>
      <c r="AU1396" s="42"/>
      <c r="AV1396" s="42"/>
      <c r="AW1396" s="42"/>
      <c r="AX1396" s="42"/>
      <c r="AY1396" s="42"/>
      <c r="AZ1396" s="42"/>
      <c r="BA1396" s="42"/>
      <c r="BB1396" s="42"/>
      <c r="BC1396" s="42"/>
      <c r="BD1396" s="42"/>
      <c r="BE1396" s="42"/>
      <c r="BF1396" s="42"/>
      <c r="BG1396" s="42"/>
      <c r="BH1396" s="42"/>
      <c r="BI1396" s="42"/>
      <c r="BJ1396" s="42"/>
      <c r="BK1396" s="42"/>
      <c r="BL1396" s="42"/>
      <c r="BM1396" s="42"/>
      <c r="BN1396" s="42"/>
      <c r="BO1396" s="42"/>
    </row>
    <row r="1397">
      <c r="A1397" s="40"/>
      <c r="B1397" s="40"/>
      <c r="C1397" s="42"/>
      <c r="D1397" s="42"/>
      <c r="E1397" s="43"/>
      <c r="F1397" s="42"/>
      <c r="G1397" s="42"/>
      <c r="H1397" s="42"/>
      <c r="I1397" s="42"/>
      <c r="J1397" s="42"/>
      <c r="K1397" s="42"/>
      <c r="L1397" s="42"/>
      <c r="M1397" s="42"/>
      <c r="N1397" s="42"/>
      <c r="O1397" s="42"/>
      <c r="P1397" s="42"/>
      <c r="Q1397" s="42"/>
      <c r="R1397" s="42"/>
      <c r="S1397" s="42"/>
      <c r="T1397" s="42"/>
      <c r="U1397" s="42"/>
      <c r="V1397" s="42"/>
      <c r="W1397" s="42"/>
      <c r="X1397" s="42"/>
      <c r="Y1397" s="42"/>
      <c r="Z1397" s="42"/>
      <c r="AA1397" s="42"/>
      <c r="AB1397" s="42"/>
      <c r="AC1397" s="42"/>
      <c r="AD1397" s="42"/>
      <c r="AE1397" s="42"/>
      <c r="AF1397" s="42"/>
      <c r="AG1397" s="42"/>
      <c r="AH1397" s="42"/>
      <c r="AI1397" s="42"/>
      <c r="AJ1397" s="42"/>
      <c r="AK1397" s="42"/>
      <c r="AL1397" s="42"/>
      <c r="AM1397" s="42"/>
      <c r="AN1397" s="42"/>
      <c r="AO1397" s="42"/>
      <c r="AP1397" s="42"/>
      <c r="AQ1397" s="42"/>
      <c r="AR1397" s="42"/>
      <c r="AS1397" s="42"/>
      <c r="AT1397" s="42"/>
      <c r="AU1397" s="42"/>
      <c r="AV1397" s="42"/>
      <c r="AW1397" s="42"/>
      <c r="AX1397" s="42"/>
      <c r="AY1397" s="42"/>
      <c r="AZ1397" s="42"/>
      <c r="BA1397" s="42"/>
      <c r="BB1397" s="42"/>
      <c r="BC1397" s="42"/>
      <c r="BD1397" s="42"/>
      <c r="BE1397" s="42"/>
      <c r="BF1397" s="42"/>
      <c r="BG1397" s="42"/>
      <c r="BH1397" s="42"/>
      <c r="BI1397" s="42"/>
      <c r="BJ1397" s="42"/>
      <c r="BK1397" s="42"/>
      <c r="BL1397" s="42"/>
      <c r="BM1397" s="42"/>
      <c r="BN1397" s="42"/>
      <c r="BO1397" s="42"/>
    </row>
    <row r="1398">
      <c r="A1398" s="40"/>
      <c r="B1398" s="40"/>
      <c r="C1398" s="42"/>
      <c r="D1398" s="42"/>
      <c r="E1398" s="43"/>
      <c r="F1398" s="42"/>
      <c r="G1398" s="42"/>
      <c r="H1398" s="42"/>
      <c r="I1398" s="42"/>
      <c r="J1398" s="42"/>
      <c r="K1398" s="42"/>
      <c r="L1398" s="42"/>
      <c r="M1398" s="42"/>
      <c r="N1398" s="42"/>
      <c r="O1398" s="42"/>
      <c r="P1398" s="42"/>
      <c r="Q1398" s="42"/>
      <c r="R1398" s="42"/>
      <c r="S1398" s="42"/>
      <c r="T1398" s="42"/>
      <c r="U1398" s="42"/>
      <c r="V1398" s="42"/>
      <c r="W1398" s="42"/>
      <c r="X1398" s="42"/>
      <c r="Y1398" s="42"/>
      <c r="Z1398" s="42"/>
      <c r="AA1398" s="42"/>
      <c r="AB1398" s="42"/>
      <c r="AC1398" s="42"/>
      <c r="AD1398" s="42"/>
      <c r="AE1398" s="42"/>
      <c r="AF1398" s="42"/>
      <c r="AG1398" s="42"/>
      <c r="AH1398" s="42"/>
      <c r="AI1398" s="42"/>
      <c r="AJ1398" s="42"/>
      <c r="AK1398" s="42"/>
      <c r="AL1398" s="42"/>
      <c r="AM1398" s="42"/>
      <c r="AN1398" s="42"/>
      <c r="AO1398" s="42"/>
      <c r="AP1398" s="42"/>
      <c r="AQ1398" s="42"/>
      <c r="AR1398" s="42"/>
      <c r="AS1398" s="42"/>
      <c r="AT1398" s="42"/>
      <c r="AU1398" s="42"/>
      <c r="AV1398" s="42"/>
      <c r="AW1398" s="42"/>
      <c r="AX1398" s="42"/>
      <c r="AY1398" s="42"/>
      <c r="AZ1398" s="42"/>
      <c r="BA1398" s="42"/>
      <c r="BB1398" s="42"/>
      <c r="BC1398" s="42"/>
      <c r="BD1398" s="42"/>
      <c r="BE1398" s="42"/>
      <c r="BF1398" s="42"/>
      <c r="BG1398" s="42"/>
      <c r="BH1398" s="42"/>
      <c r="BI1398" s="42"/>
      <c r="BJ1398" s="42"/>
      <c r="BK1398" s="42"/>
      <c r="BL1398" s="42"/>
      <c r="BM1398" s="42"/>
      <c r="BN1398" s="42"/>
      <c r="BO1398" s="42"/>
    </row>
    <row r="1399">
      <c r="A1399" s="40"/>
      <c r="B1399" s="40"/>
      <c r="C1399" s="42"/>
      <c r="D1399" s="42"/>
      <c r="E1399" s="43"/>
      <c r="F1399" s="42"/>
      <c r="G1399" s="42"/>
      <c r="H1399" s="42"/>
      <c r="I1399" s="42"/>
      <c r="J1399" s="42"/>
      <c r="K1399" s="42"/>
      <c r="L1399" s="42"/>
      <c r="M1399" s="42"/>
      <c r="N1399" s="42"/>
      <c r="O1399" s="42"/>
      <c r="P1399" s="42"/>
      <c r="Q1399" s="42"/>
      <c r="R1399" s="42"/>
      <c r="S1399" s="42"/>
      <c r="T1399" s="42"/>
      <c r="U1399" s="42"/>
      <c r="V1399" s="42"/>
      <c r="W1399" s="42"/>
      <c r="X1399" s="42"/>
      <c r="Y1399" s="42"/>
      <c r="Z1399" s="42"/>
      <c r="AA1399" s="42"/>
      <c r="AB1399" s="42"/>
      <c r="AC1399" s="42"/>
      <c r="AD1399" s="42"/>
      <c r="AE1399" s="42"/>
      <c r="AF1399" s="42"/>
      <c r="AG1399" s="42"/>
      <c r="AH1399" s="42"/>
      <c r="AI1399" s="42"/>
      <c r="AJ1399" s="42"/>
      <c r="AK1399" s="42"/>
      <c r="AL1399" s="42"/>
      <c r="AM1399" s="42"/>
      <c r="AN1399" s="42"/>
      <c r="AO1399" s="42"/>
      <c r="AP1399" s="42"/>
      <c r="AQ1399" s="42"/>
      <c r="AR1399" s="42"/>
      <c r="AS1399" s="42"/>
      <c r="AT1399" s="42"/>
      <c r="AU1399" s="42"/>
      <c r="AV1399" s="42"/>
      <c r="AW1399" s="42"/>
      <c r="AX1399" s="42"/>
      <c r="AY1399" s="42"/>
      <c r="AZ1399" s="42"/>
      <c r="BA1399" s="42"/>
      <c r="BB1399" s="42"/>
      <c r="BC1399" s="42"/>
      <c r="BD1399" s="42"/>
      <c r="BE1399" s="42"/>
      <c r="BF1399" s="42"/>
      <c r="BG1399" s="42"/>
      <c r="BH1399" s="42"/>
      <c r="BI1399" s="42"/>
      <c r="BJ1399" s="42"/>
      <c r="BK1399" s="42"/>
      <c r="BL1399" s="42"/>
      <c r="BM1399" s="42"/>
      <c r="BN1399" s="42"/>
      <c r="BO1399" s="42"/>
    </row>
    <row r="1400">
      <c r="A1400" s="40"/>
      <c r="B1400" s="40"/>
      <c r="C1400" s="42"/>
      <c r="D1400" s="42"/>
      <c r="E1400" s="43"/>
      <c r="F1400" s="42"/>
      <c r="G1400" s="42"/>
      <c r="H1400" s="42"/>
      <c r="I1400" s="42"/>
      <c r="J1400" s="42"/>
      <c r="K1400" s="42"/>
      <c r="L1400" s="42"/>
      <c r="M1400" s="42"/>
      <c r="N1400" s="42"/>
      <c r="O1400" s="42"/>
      <c r="P1400" s="42"/>
      <c r="Q1400" s="42"/>
      <c r="R1400" s="42"/>
      <c r="S1400" s="42"/>
      <c r="T1400" s="42"/>
      <c r="U1400" s="42"/>
      <c r="V1400" s="42"/>
      <c r="W1400" s="42"/>
      <c r="X1400" s="42"/>
      <c r="Y1400" s="42"/>
      <c r="Z1400" s="42"/>
      <c r="AA1400" s="42"/>
      <c r="AB1400" s="42"/>
      <c r="AC1400" s="42"/>
      <c r="AD1400" s="42"/>
      <c r="AE1400" s="42"/>
      <c r="AF1400" s="42"/>
      <c r="AG1400" s="42"/>
      <c r="AH1400" s="42"/>
      <c r="AI1400" s="42"/>
      <c r="AJ1400" s="42"/>
      <c r="AK1400" s="42"/>
      <c r="AL1400" s="42"/>
      <c r="AM1400" s="42"/>
      <c r="AN1400" s="42"/>
      <c r="AO1400" s="42"/>
      <c r="AP1400" s="42"/>
      <c r="AQ1400" s="42"/>
      <c r="AR1400" s="42"/>
      <c r="AS1400" s="42"/>
      <c r="AT1400" s="42"/>
      <c r="AU1400" s="42"/>
      <c r="AV1400" s="42"/>
      <c r="AW1400" s="42"/>
      <c r="AX1400" s="42"/>
      <c r="AY1400" s="42"/>
      <c r="AZ1400" s="42"/>
      <c r="BA1400" s="42"/>
      <c r="BB1400" s="42"/>
      <c r="BC1400" s="42"/>
      <c r="BD1400" s="42"/>
      <c r="BE1400" s="42"/>
      <c r="BF1400" s="42"/>
      <c r="BG1400" s="42"/>
      <c r="BH1400" s="42"/>
      <c r="BI1400" s="42"/>
      <c r="BJ1400" s="42"/>
      <c r="BK1400" s="42"/>
      <c r="BL1400" s="42"/>
      <c r="BM1400" s="42"/>
      <c r="BN1400" s="42"/>
      <c r="BO1400" s="42"/>
    </row>
    <row r="1401">
      <c r="A1401" s="40"/>
      <c r="B1401" s="40"/>
      <c r="C1401" s="42"/>
      <c r="D1401" s="42"/>
      <c r="E1401" s="43"/>
      <c r="F1401" s="42"/>
      <c r="G1401" s="42"/>
      <c r="H1401" s="42"/>
      <c r="I1401" s="42"/>
      <c r="J1401" s="42"/>
      <c r="K1401" s="42"/>
      <c r="L1401" s="42"/>
      <c r="M1401" s="42"/>
      <c r="N1401" s="42"/>
      <c r="O1401" s="42"/>
      <c r="P1401" s="42"/>
      <c r="Q1401" s="42"/>
      <c r="R1401" s="42"/>
      <c r="S1401" s="42"/>
      <c r="T1401" s="42"/>
      <c r="U1401" s="42"/>
      <c r="V1401" s="42"/>
      <c r="W1401" s="42"/>
      <c r="X1401" s="42"/>
      <c r="Y1401" s="42"/>
      <c r="Z1401" s="42"/>
      <c r="AA1401" s="42"/>
      <c r="AB1401" s="42"/>
      <c r="AC1401" s="42"/>
      <c r="AD1401" s="42"/>
      <c r="AE1401" s="42"/>
      <c r="AF1401" s="42"/>
      <c r="AG1401" s="42"/>
      <c r="AH1401" s="42"/>
      <c r="AI1401" s="42"/>
      <c r="AJ1401" s="42"/>
      <c r="AK1401" s="42"/>
      <c r="AL1401" s="42"/>
      <c r="AM1401" s="42"/>
      <c r="AN1401" s="42"/>
      <c r="AO1401" s="42"/>
      <c r="AP1401" s="42"/>
      <c r="AQ1401" s="42"/>
      <c r="AR1401" s="42"/>
      <c r="AS1401" s="42"/>
      <c r="AT1401" s="42"/>
      <c r="AU1401" s="42"/>
      <c r="AV1401" s="42"/>
      <c r="AW1401" s="42"/>
      <c r="AX1401" s="42"/>
      <c r="AY1401" s="42"/>
      <c r="AZ1401" s="42"/>
      <c r="BA1401" s="42"/>
      <c r="BB1401" s="42"/>
      <c r="BC1401" s="42"/>
      <c r="BD1401" s="42"/>
      <c r="BE1401" s="42"/>
      <c r="BF1401" s="42"/>
      <c r="BG1401" s="42"/>
      <c r="BH1401" s="42"/>
      <c r="BI1401" s="42"/>
      <c r="BJ1401" s="42"/>
      <c r="BK1401" s="42"/>
      <c r="BL1401" s="42"/>
      <c r="BM1401" s="42"/>
      <c r="BN1401" s="42"/>
      <c r="BO1401" s="42"/>
    </row>
    <row r="1402">
      <c r="A1402" s="40"/>
      <c r="B1402" s="40"/>
      <c r="C1402" s="42"/>
      <c r="D1402" s="42"/>
      <c r="E1402" s="43"/>
      <c r="F1402" s="42"/>
      <c r="G1402" s="42"/>
      <c r="H1402" s="42"/>
      <c r="I1402" s="42"/>
      <c r="J1402" s="42"/>
      <c r="K1402" s="42"/>
      <c r="L1402" s="42"/>
      <c r="M1402" s="42"/>
      <c r="N1402" s="42"/>
      <c r="O1402" s="42"/>
      <c r="P1402" s="42"/>
      <c r="Q1402" s="42"/>
      <c r="R1402" s="42"/>
      <c r="S1402" s="42"/>
      <c r="T1402" s="42"/>
      <c r="U1402" s="42"/>
      <c r="V1402" s="42"/>
      <c r="W1402" s="42"/>
      <c r="X1402" s="42"/>
      <c r="Y1402" s="42"/>
      <c r="Z1402" s="42"/>
      <c r="AA1402" s="42"/>
      <c r="AB1402" s="42"/>
      <c r="AC1402" s="42"/>
      <c r="AD1402" s="42"/>
      <c r="AE1402" s="42"/>
      <c r="AF1402" s="42"/>
      <c r="AG1402" s="42"/>
      <c r="AH1402" s="42"/>
      <c r="AI1402" s="42"/>
      <c r="AJ1402" s="42"/>
      <c r="AK1402" s="42"/>
      <c r="AL1402" s="42"/>
      <c r="AM1402" s="42"/>
      <c r="AN1402" s="42"/>
      <c r="AO1402" s="42"/>
      <c r="AP1402" s="42"/>
      <c r="AQ1402" s="42"/>
      <c r="AR1402" s="42"/>
      <c r="AS1402" s="42"/>
      <c r="AT1402" s="42"/>
      <c r="AU1402" s="42"/>
      <c r="AV1402" s="42"/>
      <c r="AW1402" s="42"/>
      <c r="AX1402" s="42"/>
      <c r="AY1402" s="42"/>
      <c r="AZ1402" s="42"/>
      <c r="BA1402" s="42"/>
      <c r="BB1402" s="42"/>
      <c r="BC1402" s="42"/>
      <c r="BD1402" s="42"/>
      <c r="BE1402" s="42"/>
      <c r="BF1402" s="42"/>
      <c r="BG1402" s="42"/>
      <c r="BH1402" s="42"/>
      <c r="BI1402" s="42"/>
      <c r="BJ1402" s="42"/>
      <c r="BK1402" s="42"/>
      <c r="BL1402" s="42"/>
      <c r="BM1402" s="42"/>
      <c r="BN1402" s="42"/>
      <c r="BO1402" s="42"/>
    </row>
    <row r="1403">
      <c r="A1403" s="40"/>
      <c r="B1403" s="40"/>
      <c r="C1403" s="42"/>
      <c r="D1403" s="42"/>
      <c r="E1403" s="43"/>
      <c r="F1403" s="42"/>
      <c r="G1403" s="42"/>
      <c r="H1403" s="42"/>
      <c r="I1403" s="42"/>
      <c r="J1403" s="42"/>
      <c r="K1403" s="42"/>
      <c r="L1403" s="42"/>
      <c r="M1403" s="42"/>
      <c r="N1403" s="42"/>
      <c r="O1403" s="42"/>
      <c r="P1403" s="42"/>
      <c r="Q1403" s="42"/>
      <c r="R1403" s="42"/>
      <c r="S1403" s="42"/>
      <c r="T1403" s="42"/>
      <c r="U1403" s="42"/>
      <c r="V1403" s="42"/>
      <c r="W1403" s="42"/>
      <c r="X1403" s="42"/>
      <c r="Y1403" s="42"/>
      <c r="Z1403" s="42"/>
      <c r="AA1403" s="42"/>
      <c r="AB1403" s="42"/>
      <c r="AC1403" s="42"/>
      <c r="AD1403" s="42"/>
      <c r="AE1403" s="42"/>
      <c r="AF1403" s="42"/>
      <c r="AG1403" s="42"/>
      <c r="AH1403" s="42"/>
      <c r="AI1403" s="42"/>
      <c r="AJ1403" s="42"/>
      <c r="AK1403" s="42"/>
      <c r="AL1403" s="42"/>
      <c r="AM1403" s="42"/>
      <c r="AN1403" s="42"/>
      <c r="AO1403" s="42"/>
      <c r="AP1403" s="42"/>
      <c r="AQ1403" s="42"/>
      <c r="AR1403" s="42"/>
      <c r="AS1403" s="42"/>
      <c r="AT1403" s="42"/>
      <c r="AU1403" s="42"/>
      <c r="AV1403" s="42"/>
      <c r="AW1403" s="42"/>
      <c r="AX1403" s="42"/>
      <c r="AY1403" s="42"/>
      <c r="AZ1403" s="42"/>
      <c r="BA1403" s="42"/>
      <c r="BB1403" s="42"/>
      <c r="BC1403" s="42"/>
      <c r="BD1403" s="42"/>
      <c r="BE1403" s="42"/>
      <c r="BF1403" s="42"/>
      <c r="BG1403" s="42"/>
      <c r="BH1403" s="42"/>
      <c r="BI1403" s="42"/>
      <c r="BJ1403" s="42"/>
      <c r="BK1403" s="42"/>
      <c r="BL1403" s="42"/>
      <c r="BM1403" s="42"/>
      <c r="BN1403" s="42"/>
      <c r="BO1403" s="42"/>
    </row>
    <row r="1404">
      <c r="A1404" s="40"/>
      <c r="B1404" s="40"/>
      <c r="C1404" s="42"/>
      <c r="D1404" s="42"/>
      <c r="E1404" s="43"/>
      <c r="F1404" s="42"/>
      <c r="G1404" s="42"/>
      <c r="H1404" s="42"/>
      <c r="I1404" s="42"/>
      <c r="J1404" s="42"/>
      <c r="K1404" s="42"/>
      <c r="L1404" s="42"/>
      <c r="M1404" s="42"/>
      <c r="N1404" s="42"/>
      <c r="O1404" s="42"/>
      <c r="P1404" s="42"/>
      <c r="Q1404" s="42"/>
      <c r="R1404" s="42"/>
      <c r="S1404" s="42"/>
      <c r="T1404" s="42"/>
      <c r="U1404" s="42"/>
      <c r="V1404" s="42"/>
      <c r="W1404" s="42"/>
      <c r="X1404" s="42"/>
      <c r="Y1404" s="42"/>
      <c r="Z1404" s="42"/>
      <c r="AA1404" s="42"/>
      <c r="AB1404" s="42"/>
      <c r="AC1404" s="42"/>
      <c r="AD1404" s="42"/>
      <c r="AE1404" s="42"/>
      <c r="AF1404" s="42"/>
      <c r="AG1404" s="42"/>
      <c r="AH1404" s="42"/>
      <c r="AI1404" s="42"/>
      <c r="AJ1404" s="42"/>
      <c r="AK1404" s="42"/>
      <c r="AL1404" s="42"/>
      <c r="AM1404" s="42"/>
      <c r="AN1404" s="42"/>
      <c r="AO1404" s="42"/>
      <c r="AP1404" s="42"/>
      <c r="AQ1404" s="42"/>
      <c r="AR1404" s="42"/>
      <c r="AS1404" s="42"/>
      <c r="AT1404" s="42"/>
      <c r="AU1404" s="42"/>
      <c r="AV1404" s="42"/>
      <c r="AW1404" s="42"/>
      <c r="AX1404" s="42"/>
      <c r="AY1404" s="42"/>
      <c r="AZ1404" s="42"/>
      <c r="BA1404" s="42"/>
      <c r="BB1404" s="42"/>
      <c r="BC1404" s="42"/>
      <c r="BD1404" s="42"/>
      <c r="BE1404" s="42"/>
      <c r="BF1404" s="42"/>
      <c r="BG1404" s="42"/>
      <c r="BH1404" s="42"/>
      <c r="BI1404" s="42"/>
      <c r="BJ1404" s="42"/>
      <c r="BK1404" s="42"/>
      <c r="BL1404" s="42"/>
      <c r="BM1404" s="42"/>
      <c r="BN1404" s="42"/>
      <c r="BO1404" s="42"/>
    </row>
    <row r="1405">
      <c r="A1405" s="40"/>
      <c r="B1405" s="40"/>
      <c r="C1405" s="42"/>
      <c r="D1405" s="42"/>
      <c r="E1405" s="43"/>
      <c r="F1405" s="42"/>
      <c r="G1405" s="42"/>
      <c r="H1405" s="42"/>
      <c r="I1405" s="42"/>
      <c r="J1405" s="42"/>
      <c r="K1405" s="42"/>
      <c r="L1405" s="42"/>
      <c r="M1405" s="42"/>
      <c r="N1405" s="42"/>
      <c r="O1405" s="42"/>
      <c r="P1405" s="42"/>
      <c r="Q1405" s="42"/>
      <c r="R1405" s="42"/>
      <c r="S1405" s="42"/>
      <c r="T1405" s="42"/>
      <c r="U1405" s="42"/>
      <c r="V1405" s="42"/>
      <c r="W1405" s="42"/>
      <c r="X1405" s="42"/>
      <c r="Y1405" s="42"/>
      <c r="Z1405" s="42"/>
      <c r="AA1405" s="42"/>
      <c r="AB1405" s="42"/>
      <c r="AC1405" s="42"/>
      <c r="AD1405" s="42"/>
      <c r="AE1405" s="42"/>
      <c r="AF1405" s="42"/>
      <c r="AG1405" s="42"/>
      <c r="AH1405" s="42"/>
      <c r="AI1405" s="42"/>
      <c r="AJ1405" s="42"/>
      <c r="AK1405" s="42"/>
      <c r="AL1405" s="42"/>
      <c r="AM1405" s="42"/>
      <c r="AN1405" s="42"/>
      <c r="AO1405" s="42"/>
      <c r="AP1405" s="42"/>
      <c r="AQ1405" s="42"/>
      <c r="AR1405" s="42"/>
      <c r="AS1405" s="42"/>
      <c r="AT1405" s="42"/>
      <c r="AU1405" s="42"/>
      <c r="AV1405" s="42"/>
      <c r="AW1405" s="42"/>
      <c r="AX1405" s="42"/>
      <c r="AY1405" s="42"/>
      <c r="AZ1405" s="42"/>
      <c r="BA1405" s="42"/>
      <c r="BB1405" s="42"/>
      <c r="BC1405" s="42"/>
      <c r="BD1405" s="42"/>
      <c r="BE1405" s="42"/>
      <c r="BF1405" s="42"/>
      <c r="BG1405" s="42"/>
      <c r="BH1405" s="42"/>
      <c r="BI1405" s="42"/>
      <c r="BJ1405" s="42"/>
      <c r="BK1405" s="42"/>
      <c r="BL1405" s="42"/>
      <c r="BM1405" s="42"/>
      <c r="BN1405" s="42"/>
      <c r="BO1405" s="42"/>
    </row>
    <row r="1406">
      <c r="A1406" s="40"/>
      <c r="B1406" s="40"/>
      <c r="C1406" s="42"/>
      <c r="D1406" s="42"/>
      <c r="E1406" s="43"/>
      <c r="F1406" s="42"/>
      <c r="G1406" s="42"/>
      <c r="H1406" s="42"/>
      <c r="I1406" s="42"/>
      <c r="J1406" s="42"/>
      <c r="K1406" s="42"/>
      <c r="L1406" s="42"/>
      <c r="M1406" s="42"/>
      <c r="N1406" s="42"/>
      <c r="O1406" s="42"/>
      <c r="P1406" s="42"/>
      <c r="Q1406" s="42"/>
      <c r="R1406" s="42"/>
      <c r="S1406" s="42"/>
      <c r="T1406" s="42"/>
      <c r="U1406" s="42"/>
      <c r="V1406" s="42"/>
      <c r="W1406" s="42"/>
      <c r="X1406" s="42"/>
      <c r="Y1406" s="42"/>
      <c r="Z1406" s="42"/>
      <c r="AA1406" s="42"/>
      <c r="AB1406" s="42"/>
      <c r="AC1406" s="42"/>
      <c r="AD1406" s="42"/>
      <c r="AE1406" s="42"/>
      <c r="AF1406" s="42"/>
      <c r="AG1406" s="42"/>
      <c r="AH1406" s="42"/>
      <c r="AI1406" s="42"/>
      <c r="AJ1406" s="42"/>
      <c r="AK1406" s="42"/>
      <c r="AL1406" s="42"/>
      <c r="AM1406" s="42"/>
      <c r="AN1406" s="42"/>
      <c r="AO1406" s="42"/>
      <c r="AP1406" s="42"/>
      <c r="AQ1406" s="42"/>
      <c r="AR1406" s="42"/>
      <c r="AS1406" s="42"/>
      <c r="AT1406" s="42"/>
      <c r="AU1406" s="42"/>
      <c r="AV1406" s="42"/>
      <c r="AW1406" s="42"/>
      <c r="AX1406" s="42"/>
      <c r="AY1406" s="42"/>
      <c r="AZ1406" s="42"/>
      <c r="BA1406" s="42"/>
      <c r="BB1406" s="42"/>
      <c r="BC1406" s="42"/>
      <c r="BD1406" s="42"/>
      <c r="BE1406" s="42"/>
      <c r="BF1406" s="42"/>
      <c r="BG1406" s="42"/>
      <c r="BH1406" s="42"/>
      <c r="BI1406" s="42"/>
      <c r="BJ1406" s="42"/>
      <c r="BK1406" s="42"/>
      <c r="BL1406" s="42"/>
      <c r="BM1406" s="42"/>
      <c r="BN1406" s="42"/>
      <c r="BO1406" s="42"/>
    </row>
    <row r="1407">
      <c r="A1407" s="40"/>
      <c r="B1407" s="40"/>
      <c r="C1407" s="42"/>
      <c r="D1407" s="42"/>
      <c r="E1407" s="43"/>
      <c r="F1407" s="42"/>
      <c r="G1407" s="42"/>
      <c r="H1407" s="42"/>
      <c r="I1407" s="42"/>
      <c r="J1407" s="42"/>
      <c r="K1407" s="42"/>
      <c r="L1407" s="42"/>
      <c r="M1407" s="42"/>
      <c r="N1407" s="42"/>
      <c r="O1407" s="42"/>
      <c r="P1407" s="42"/>
      <c r="Q1407" s="42"/>
      <c r="R1407" s="42"/>
      <c r="S1407" s="42"/>
      <c r="T1407" s="42"/>
      <c r="U1407" s="42"/>
      <c r="V1407" s="42"/>
      <c r="W1407" s="42"/>
      <c r="X1407" s="42"/>
      <c r="Y1407" s="42"/>
      <c r="Z1407" s="42"/>
      <c r="AA1407" s="42"/>
      <c r="AB1407" s="42"/>
      <c r="AC1407" s="42"/>
      <c r="AD1407" s="42"/>
      <c r="AE1407" s="42"/>
      <c r="AF1407" s="42"/>
      <c r="AG1407" s="42"/>
      <c r="AH1407" s="42"/>
      <c r="AI1407" s="42"/>
      <c r="AJ1407" s="42"/>
      <c r="AK1407" s="42"/>
      <c r="AL1407" s="42"/>
      <c r="AM1407" s="42"/>
      <c r="AN1407" s="42"/>
      <c r="AO1407" s="42"/>
      <c r="AP1407" s="42"/>
      <c r="AQ1407" s="42"/>
      <c r="AR1407" s="42"/>
      <c r="AS1407" s="42"/>
      <c r="AT1407" s="42"/>
      <c r="AU1407" s="42"/>
      <c r="AV1407" s="42"/>
      <c r="AW1407" s="42"/>
      <c r="AX1407" s="42"/>
      <c r="AY1407" s="42"/>
      <c r="AZ1407" s="42"/>
      <c r="BA1407" s="42"/>
      <c r="BB1407" s="42"/>
      <c r="BC1407" s="42"/>
      <c r="BD1407" s="42"/>
      <c r="BE1407" s="42"/>
      <c r="BF1407" s="42"/>
      <c r="BG1407" s="42"/>
      <c r="BH1407" s="42"/>
      <c r="BI1407" s="42"/>
      <c r="BJ1407" s="42"/>
      <c r="BK1407" s="42"/>
      <c r="BL1407" s="42"/>
      <c r="BM1407" s="42"/>
      <c r="BN1407" s="42"/>
      <c r="BO1407" s="42"/>
    </row>
    <row r="1408">
      <c r="A1408" s="40"/>
      <c r="B1408" s="40"/>
      <c r="C1408" s="42"/>
      <c r="D1408" s="42"/>
      <c r="E1408" s="43"/>
      <c r="F1408" s="42"/>
      <c r="G1408" s="42"/>
      <c r="H1408" s="42"/>
      <c r="I1408" s="42"/>
      <c r="J1408" s="42"/>
      <c r="K1408" s="42"/>
      <c r="L1408" s="42"/>
      <c r="M1408" s="42"/>
      <c r="N1408" s="42"/>
      <c r="O1408" s="42"/>
      <c r="P1408" s="42"/>
      <c r="Q1408" s="42"/>
      <c r="R1408" s="42"/>
      <c r="S1408" s="42"/>
      <c r="T1408" s="42"/>
      <c r="U1408" s="42"/>
      <c r="V1408" s="42"/>
      <c r="W1408" s="42"/>
      <c r="X1408" s="42"/>
      <c r="Y1408" s="42"/>
      <c r="Z1408" s="42"/>
      <c r="AA1408" s="42"/>
      <c r="AB1408" s="42"/>
      <c r="AC1408" s="42"/>
      <c r="AD1408" s="42"/>
      <c r="AE1408" s="42"/>
      <c r="AF1408" s="42"/>
      <c r="AG1408" s="42"/>
      <c r="AH1408" s="42"/>
      <c r="AI1408" s="42"/>
      <c r="AJ1408" s="42"/>
      <c r="AK1408" s="42"/>
      <c r="AL1408" s="42"/>
      <c r="AM1408" s="42"/>
      <c r="AN1408" s="42"/>
      <c r="AO1408" s="42"/>
      <c r="AP1408" s="42"/>
      <c r="AQ1408" s="42"/>
      <c r="AR1408" s="42"/>
      <c r="AS1408" s="42"/>
      <c r="AT1408" s="42"/>
      <c r="AU1408" s="42"/>
      <c r="AV1408" s="42"/>
      <c r="AW1408" s="42"/>
      <c r="AX1408" s="42"/>
      <c r="AY1408" s="42"/>
      <c r="AZ1408" s="42"/>
      <c r="BA1408" s="42"/>
      <c r="BB1408" s="42"/>
      <c r="BC1408" s="42"/>
      <c r="BD1408" s="42"/>
      <c r="BE1408" s="42"/>
      <c r="BF1408" s="42"/>
      <c r="BG1408" s="42"/>
      <c r="BH1408" s="42"/>
      <c r="BI1408" s="42"/>
      <c r="BJ1408" s="42"/>
      <c r="BK1408" s="42"/>
      <c r="BL1408" s="42"/>
      <c r="BM1408" s="42"/>
      <c r="BN1408" s="42"/>
      <c r="BO1408" s="42"/>
    </row>
    <row r="1409">
      <c r="A1409" s="40"/>
      <c r="B1409" s="40"/>
      <c r="C1409" s="42"/>
      <c r="D1409" s="42"/>
      <c r="E1409" s="43"/>
      <c r="F1409" s="42"/>
      <c r="G1409" s="42"/>
      <c r="H1409" s="42"/>
      <c r="I1409" s="42"/>
      <c r="J1409" s="42"/>
      <c r="K1409" s="42"/>
      <c r="L1409" s="42"/>
      <c r="M1409" s="42"/>
      <c r="N1409" s="42"/>
      <c r="O1409" s="42"/>
      <c r="P1409" s="42"/>
      <c r="Q1409" s="42"/>
      <c r="R1409" s="42"/>
      <c r="S1409" s="42"/>
      <c r="T1409" s="42"/>
      <c r="U1409" s="42"/>
      <c r="V1409" s="42"/>
      <c r="W1409" s="42"/>
      <c r="X1409" s="42"/>
      <c r="Y1409" s="42"/>
      <c r="Z1409" s="42"/>
      <c r="AA1409" s="42"/>
      <c r="AB1409" s="42"/>
      <c r="AC1409" s="42"/>
      <c r="AD1409" s="42"/>
      <c r="AE1409" s="42"/>
      <c r="AF1409" s="42"/>
      <c r="AG1409" s="42"/>
      <c r="AH1409" s="42"/>
      <c r="AI1409" s="42"/>
      <c r="AJ1409" s="42"/>
      <c r="AK1409" s="42"/>
      <c r="AL1409" s="42"/>
      <c r="AM1409" s="42"/>
      <c r="AN1409" s="42"/>
      <c r="AO1409" s="42"/>
      <c r="AP1409" s="42"/>
      <c r="AQ1409" s="42"/>
      <c r="AR1409" s="42"/>
      <c r="AS1409" s="42"/>
      <c r="AT1409" s="42"/>
      <c r="AU1409" s="42"/>
      <c r="AV1409" s="42"/>
      <c r="AW1409" s="42"/>
      <c r="AX1409" s="42"/>
      <c r="AY1409" s="42"/>
      <c r="AZ1409" s="42"/>
      <c r="BA1409" s="42"/>
      <c r="BB1409" s="42"/>
      <c r="BC1409" s="42"/>
      <c r="BD1409" s="42"/>
      <c r="BE1409" s="42"/>
      <c r="BF1409" s="42"/>
      <c r="BG1409" s="42"/>
      <c r="BH1409" s="42"/>
      <c r="BI1409" s="42"/>
      <c r="BJ1409" s="42"/>
      <c r="BK1409" s="42"/>
      <c r="BL1409" s="42"/>
      <c r="BM1409" s="42"/>
      <c r="BN1409" s="42"/>
      <c r="BO1409" s="42"/>
    </row>
    <row r="1410">
      <c r="A1410" s="40"/>
      <c r="B1410" s="40"/>
      <c r="C1410" s="42"/>
      <c r="D1410" s="42"/>
      <c r="E1410" s="43"/>
      <c r="F1410" s="42"/>
      <c r="G1410" s="42"/>
      <c r="H1410" s="42"/>
      <c r="I1410" s="42"/>
      <c r="J1410" s="42"/>
      <c r="K1410" s="42"/>
      <c r="L1410" s="42"/>
      <c r="M1410" s="42"/>
      <c r="N1410" s="42"/>
      <c r="O1410" s="42"/>
      <c r="P1410" s="42"/>
      <c r="Q1410" s="42"/>
      <c r="R1410" s="42"/>
      <c r="S1410" s="42"/>
      <c r="T1410" s="42"/>
      <c r="U1410" s="42"/>
      <c r="V1410" s="42"/>
      <c r="W1410" s="42"/>
      <c r="X1410" s="42"/>
      <c r="Y1410" s="42"/>
      <c r="Z1410" s="42"/>
      <c r="AA1410" s="42"/>
      <c r="AB1410" s="42"/>
      <c r="AC1410" s="42"/>
      <c r="AD1410" s="42"/>
      <c r="AE1410" s="42"/>
      <c r="AF1410" s="42"/>
      <c r="AG1410" s="42"/>
      <c r="AH1410" s="42"/>
      <c r="AI1410" s="42"/>
      <c r="AJ1410" s="42"/>
      <c r="AK1410" s="42"/>
      <c r="AL1410" s="42"/>
      <c r="AM1410" s="42"/>
      <c r="AN1410" s="42"/>
      <c r="AO1410" s="42"/>
      <c r="AP1410" s="42"/>
      <c r="AQ1410" s="42"/>
      <c r="AR1410" s="42"/>
      <c r="AS1410" s="42"/>
      <c r="AT1410" s="42"/>
      <c r="AU1410" s="42"/>
      <c r="AV1410" s="42"/>
      <c r="AW1410" s="42"/>
      <c r="AX1410" s="42"/>
      <c r="AY1410" s="42"/>
      <c r="AZ1410" s="42"/>
      <c r="BA1410" s="42"/>
      <c r="BB1410" s="42"/>
      <c r="BC1410" s="42"/>
      <c r="BD1410" s="42"/>
      <c r="BE1410" s="42"/>
      <c r="BF1410" s="42"/>
      <c r="BG1410" s="42"/>
      <c r="BH1410" s="42"/>
      <c r="BI1410" s="42"/>
      <c r="BJ1410" s="42"/>
      <c r="BK1410" s="42"/>
      <c r="BL1410" s="42"/>
      <c r="BM1410" s="42"/>
      <c r="BN1410" s="42"/>
      <c r="BO1410" s="42"/>
    </row>
    <row r="1411">
      <c r="A1411" s="40"/>
      <c r="B1411" s="40"/>
      <c r="C1411" s="42"/>
      <c r="D1411" s="42"/>
      <c r="E1411" s="43"/>
      <c r="F1411" s="42"/>
      <c r="G1411" s="42"/>
      <c r="H1411" s="42"/>
      <c r="I1411" s="42"/>
      <c r="J1411" s="42"/>
      <c r="K1411" s="42"/>
      <c r="L1411" s="42"/>
      <c r="M1411" s="42"/>
      <c r="N1411" s="42"/>
      <c r="O1411" s="42"/>
      <c r="P1411" s="42"/>
      <c r="Q1411" s="42"/>
      <c r="R1411" s="42"/>
      <c r="S1411" s="42"/>
      <c r="T1411" s="42"/>
      <c r="U1411" s="42"/>
      <c r="V1411" s="42"/>
      <c r="W1411" s="42"/>
      <c r="X1411" s="42"/>
      <c r="Y1411" s="42"/>
      <c r="Z1411" s="42"/>
      <c r="AA1411" s="42"/>
      <c r="AB1411" s="42"/>
      <c r="AC1411" s="42"/>
      <c r="AD1411" s="42"/>
      <c r="AE1411" s="42"/>
      <c r="AF1411" s="42"/>
      <c r="AG1411" s="42"/>
      <c r="AH1411" s="42"/>
      <c r="AI1411" s="42"/>
      <c r="AJ1411" s="42"/>
      <c r="AK1411" s="42"/>
      <c r="AL1411" s="42"/>
      <c r="AM1411" s="42"/>
      <c r="AN1411" s="42"/>
      <c r="AO1411" s="42"/>
      <c r="AP1411" s="42"/>
      <c r="AQ1411" s="42"/>
      <c r="AR1411" s="42"/>
      <c r="AS1411" s="42"/>
      <c r="AT1411" s="42"/>
      <c r="AU1411" s="42"/>
      <c r="AV1411" s="42"/>
      <c r="AW1411" s="42"/>
      <c r="AX1411" s="42"/>
      <c r="AY1411" s="42"/>
      <c r="AZ1411" s="42"/>
      <c r="BA1411" s="42"/>
      <c r="BB1411" s="42"/>
      <c r="BC1411" s="42"/>
      <c r="BD1411" s="42"/>
      <c r="BE1411" s="42"/>
      <c r="BF1411" s="42"/>
      <c r="BG1411" s="42"/>
      <c r="BH1411" s="42"/>
      <c r="BI1411" s="42"/>
      <c r="BJ1411" s="42"/>
      <c r="BK1411" s="42"/>
      <c r="BL1411" s="42"/>
      <c r="BM1411" s="42"/>
      <c r="BN1411" s="42"/>
      <c r="BO1411" s="42"/>
    </row>
    <row r="1412">
      <c r="A1412" s="40"/>
      <c r="B1412" s="40"/>
      <c r="C1412" s="42"/>
      <c r="D1412" s="42"/>
      <c r="E1412" s="43"/>
      <c r="F1412" s="42"/>
      <c r="G1412" s="42"/>
      <c r="H1412" s="42"/>
      <c r="I1412" s="42"/>
      <c r="J1412" s="42"/>
      <c r="K1412" s="42"/>
      <c r="L1412" s="42"/>
      <c r="M1412" s="42"/>
      <c r="N1412" s="42"/>
      <c r="O1412" s="42"/>
      <c r="P1412" s="42"/>
      <c r="Q1412" s="42"/>
      <c r="R1412" s="42"/>
      <c r="S1412" s="42"/>
      <c r="T1412" s="42"/>
      <c r="U1412" s="42"/>
      <c r="V1412" s="42"/>
      <c r="W1412" s="42"/>
      <c r="X1412" s="42"/>
      <c r="Y1412" s="42"/>
      <c r="Z1412" s="42"/>
      <c r="AA1412" s="42"/>
      <c r="AB1412" s="42"/>
      <c r="AC1412" s="42"/>
      <c r="AD1412" s="42"/>
      <c r="AE1412" s="42"/>
      <c r="AF1412" s="42"/>
      <c r="AG1412" s="42"/>
      <c r="AH1412" s="42"/>
      <c r="AI1412" s="42"/>
      <c r="AJ1412" s="42"/>
      <c r="AK1412" s="42"/>
      <c r="AL1412" s="42"/>
      <c r="AM1412" s="42"/>
      <c r="AN1412" s="42"/>
      <c r="AO1412" s="42"/>
      <c r="AP1412" s="42"/>
      <c r="AQ1412" s="42"/>
      <c r="AR1412" s="42"/>
      <c r="AS1412" s="42"/>
      <c r="AT1412" s="42"/>
      <c r="AU1412" s="42"/>
      <c r="AV1412" s="42"/>
      <c r="AW1412" s="42"/>
      <c r="AX1412" s="42"/>
      <c r="AY1412" s="42"/>
      <c r="AZ1412" s="42"/>
      <c r="BA1412" s="42"/>
      <c r="BB1412" s="42"/>
      <c r="BC1412" s="42"/>
      <c r="BD1412" s="42"/>
      <c r="BE1412" s="42"/>
      <c r="BF1412" s="42"/>
      <c r="BG1412" s="42"/>
      <c r="BH1412" s="42"/>
      <c r="BI1412" s="42"/>
      <c r="BJ1412" s="42"/>
      <c r="BK1412" s="42"/>
      <c r="BL1412" s="42"/>
      <c r="BM1412" s="42"/>
      <c r="BN1412" s="42"/>
      <c r="BO1412" s="42"/>
    </row>
    <row r="1413">
      <c r="A1413" s="40"/>
      <c r="B1413" s="40"/>
      <c r="C1413" s="42"/>
      <c r="D1413" s="42"/>
      <c r="E1413" s="43"/>
      <c r="F1413" s="42"/>
      <c r="G1413" s="42"/>
      <c r="H1413" s="42"/>
      <c r="I1413" s="42"/>
      <c r="J1413" s="42"/>
      <c r="K1413" s="42"/>
      <c r="L1413" s="42"/>
      <c r="M1413" s="42"/>
      <c r="N1413" s="42"/>
      <c r="O1413" s="42"/>
      <c r="P1413" s="42"/>
      <c r="Q1413" s="42"/>
      <c r="R1413" s="42"/>
      <c r="S1413" s="42"/>
      <c r="T1413" s="42"/>
      <c r="U1413" s="42"/>
      <c r="V1413" s="42"/>
      <c r="W1413" s="42"/>
      <c r="X1413" s="42"/>
      <c r="Y1413" s="42"/>
      <c r="Z1413" s="42"/>
      <c r="AA1413" s="42"/>
      <c r="AB1413" s="42"/>
      <c r="AC1413" s="42"/>
      <c r="AD1413" s="42"/>
      <c r="AE1413" s="42"/>
      <c r="AF1413" s="42"/>
      <c r="AG1413" s="42"/>
      <c r="AH1413" s="42"/>
      <c r="AI1413" s="42"/>
      <c r="AJ1413" s="42"/>
      <c r="AK1413" s="42"/>
      <c r="AL1413" s="42"/>
      <c r="AM1413" s="42"/>
      <c r="AN1413" s="42"/>
      <c r="AO1413" s="42"/>
      <c r="AP1413" s="42"/>
      <c r="AQ1413" s="42"/>
      <c r="AR1413" s="42"/>
      <c r="AS1413" s="42"/>
      <c r="AT1413" s="42"/>
      <c r="AU1413" s="42"/>
      <c r="AV1413" s="42"/>
      <c r="AW1413" s="42"/>
      <c r="AX1413" s="42"/>
      <c r="AY1413" s="42"/>
      <c r="AZ1413" s="42"/>
      <c r="BA1413" s="42"/>
      <c r="BB1413" s="42"/>
      <c r="BC1413" s="42"/>
      <c r="BD1413" s="42"/>
      <c r="BE1413" s="42"/>
      <c r="BF1413" s="42"/>
      <c r="BG1413" s="42"/>
      <c r="BH1413" s="42"/>
      <c r="BI1413" s="42"/>
      <c r="BJ1413" s="42"/>
      <c r="BK1413" s="42"/>
      <c r="BL1413" s="42"/>
      <c r="BM1413" s="42"/>
      <c r="BN1413" s="42"/>
      <c r="BO1413" s="42"/>
    </row>
    <row r="1414">
      <c r="A1414" s="40"/>
      <c r="B1414" s="40"/>
      <c r="C1414" s="42"/>
      <c r="D1414" s="42"/>
      <c r="E1414" s="43"/>
      <c r="F1414" s="42"/>
      <c r="G1414" s="42"/>
      <c r="H1414" s="42"/>
      <c r="I1414" s="42"/>
      <c r="J1414" s="42"/>
      <c r="K1414" s="42"/>
      <c r="L1414" s="42"/>
      <c r="M1414" s="42"/>
      <c r="N1414" s="42"/>
      <c r="O1414" s="42"/>
      <c r="P1414" s="42"/>
      <c r="Q1414" s="42"/>
      <c r="R1414" s="42"/>
      <c r="S1414" s="42"/>
      <c r="T1414" s="42"/>
      <c r="U1414" s="42"/>
      <c r="V1414" s="42"/>
      <c r="W1414" s="42"/>
      <c r="X1414" s="42"/>
      <c r="Y1414" s="42"/>
      <c r="Z1414" s="42"/>
      <c r="AA1414" s="42"/>
      <c r="AB1414" s="42"/>
      <c r="AC1414" s="42"/>
      <c r="AD1414" s="42"/>
      <c r="AE1414" s="42"/>
      <c r="AF1414" s="42"/>
      <c r="AG1414" s="42"/>
      <c r="AH1414" s="42"/>
      <c r="AI1414" s="42"/>
      <c r="AJ1414" s="42"/>
      <c r="AK1414" s="42"/>
      <c r="AL1414" s="42"/>
      <c r="AM1414" s="42"/>
      <c r="AN1414" s="42"/>
      <c r="AO1414" s="42"/>
      <c r="AP1414" s="42"/>
      <c r="AQ1414" s="42"/>
      <c r="AR1414" s="42"/>
      <c r="AS1414" s="42"/>
      <c r="AT1414" s="42"/>
      <c r="AU1414" s="42"/>
      <c r="AV1414" s="42"/>
      <c r="AW1414" s="42"/>
      <c r="AX1414" s="42"/>
      <c r="AY1414" s="42"/>
      <c r="AZ1414" s="42"/>
      <c r="BA1414" s="42"/>
      <c r="BB1414" s="42"/>
      <c r="BC1414" s="42"/>
      <c r="BD1414" s="42"/>
      <c r="BE1414" s="42"/>
      <c r="BF1414" s="42"/>
      <c r="BG1414" s="42"/>
      <c r="BH1414" s="42"/>
      <c r="BI1414" s="42"/>
      <c r="BJ1414" s="42"/>
      <c r="BK1414" s="42"/>
      <c r="BL1414" s="42"/>
      <c r="BM1414" s="42"/>
      <c r="BN1414" s="42"/>
      <c r="BO1414" s="42"/>
    </row>
    <row r="1415">
      <c r="A1415" s="40"/>
      <c r="B1415" s="40"/>
      <c r="C1415" s="42"/>
      <c r="D1415" s="42"/>
      <c r="E1415" s="43"/>
      <c r="F1415" s="42"/>
      <c r="G1415" s="42"/>
      <c r="H1415" s="42"/>
      <c r="I1415" s="42"/>
      <c r="J1415" s="42"/>
      <c r="K1415" s="42"/>
      <c r="L1415" s="42"/>
      <c r="M1415" s="42"/>
      <c r="N1415" s="42"/>
      <c r="O1415" s="42"/>
      <c r="P1415" s="42"/>
      <c r="Q1415" s="42"/>
      <c r="R1415" s="42"/>
      <c r="S1415" s="42"/>
      <c r="T1415" s="42"/>
      <c r="U1415" s="42"/>
      <c r="V1415" s="42"/>
      <c r="W1415" s="42"/>
      <c r="X1415" s="42"/>
      <c r="Y1415" s="42"/>
      <c r="Z1415" s="42"/>
      <c r="AA1415" s="42"/>
      <c r="AB1415" s="42"/>
      <c r="AC1415" s="42"/>
      <c r="AD1415" s="42"/>
      <c r="AE1415" s="42"/>
      <c r="AF1415" s="42"/>
      <c r="AG1415" s="42"/>
      <c r="AH1415" s="42"/>
      <c r="AI1415" s="42"/>
      <c r="AJ1415" s="42"/>
      <c r="AK1415" s="42"/>
      <c r="AL1415" s="42"/>
      <c r="AM1415" s="42"/>
      <c r="AN1415" s="42"/>
      <c r="AO1415" s="42"/>
      <c r="AP1415" s="42"/>
      <c r="AQ1415" s="42"/>
      <c r="AR1415" s="42"/>
      <c r="AS1415" s="42"/>
      <c r="AT1415" s="42"/>
      <c r="AU1415" s="42"/>
      <c r="AV1415" s="42"/>
      <c r="AW1415" s="42"/>
      <c r="AX1415" s="42"/>
      <c r="AY1415" s="42"/>
      <c r="AZ1415" s="42"/>
      <c r="BA1415" s="42"/>
      <c r="BB1415" s="42"/>
      <c r="BC1415" s="42"/>
      <c r="BD1415" s="42"/>
      <c r="BE1415" s="42"/>
      <c r="BF1415" s="42"/>
      <c r="BG1415" s="42"/>
      <c r="BH1415" s="42"/>
      <c r="BI1415" s="42"/>
      <c r="BJ1415" s="42"/>
      <c r="BK1415" s="42"/>
      <c r="BL1415" s="42"/>
      <c r="BM1415" s="42"/>
      <c r="BN1415" s="42"/>
      <c r="BO1415" s="42"/>
    </row>
    <row r="1416">
      <c r="A1416" s="40"/>
      <c r="B1416" s="40"/>
      <c r="C1416" s="42"/>
      <c r="D1416" s="42"/>
      <c r="E1416" s="43"/>
      <c r="F1416" s="42"/>
      <c r="G1416" s="42"/>
      <c r="H1416" s="42"/>
      <c r="I1416" s="42"/>
      <c r="J1416" s="42"/>
      <c r="K1416" s="42"/>
      <c r="L1416" s="42"/>
      <c r="M1416" s="42"/>
      <c r="N1416" s="42"/>
      <c r="O1416" s="42"/>
      <c r="P1416" s="42"/>
      <c r="Q1416" s="42"/>
      <c r="R1416" s="42"/>
      <c r="S1416" s="42"/>
      <c r="T1416" s="42"/>
      <c r="U1416" s="42"/>
      <c r="V1416" s="42"/>
      <c r="W1416" s="42"/>
      <c r="X1416" s="42"/>
      <c r="Y1416" s="42"/>
      <c r="Z1416" s="42"/>
      <c r="AA1416" s="42"/>
      <c r="AB1416" s="42"/>
      <c r="AC1416" s="42"/>
      <c r="AD1416" s="42"/>
      <c r="AE1416" s="42"/>
      <c r="AF1416" s="42"/>
      <c r="AG1416" s="42"/>
      <c r="AH1416" s="42"/>
      <c r="AI1416" s="42"/>
      <c r="AJ1416" s="42"/>
      <c r="AK1416" s="42"/>
      <c r="AL1416" s="42"/>
      <c r="AM1416" s="42"/>
      <c r="AN1416" s="42"/>
      <c r="AO1416" s="42"/>
      <c r="AP1416" s="42"/>
      <c r="AQ1416" s="42"/>
      <c r="AR1416" s="42"/>
      <c r="AS1416" s="42"/>
      <c r="AT1416" s="42"/>
      <c r="AU1416" s="42"/>
      <c r="AV1416" s="42"/>
      <c r="AW1416" s="42"/>
      <c r="AX1416" s="42"/>
      <c r="AY1416" s="42"/>
      <c r="AZ1416" s="42"/>
      <c r="BA1416" s="42"/>
      <c r="BB1416" s="42"/>
      <c r="BC1416" s="42"/>
      <c r="BD1416" s="42"/>
      <c r="BE1416" s="42"/>
      <c r="BF1416" s="42"/>
      <c r="BG1416" s="42"/>
      <c r="BH1416" s="42"/>
      <c r="BI1416" s="42"/>
      <c r="BJ1416" s="42"/>
      <c r="BK1416" s="42"/>
      <c r="BL1416" s="42"/>
      <c r="BM1416" s="42"/>
      <c r="BN1416" s="42"/>
      <c r="BO1416" s="42"/>
    </row>
    <row r="1417">
      <c r="A1417" s="40"/>
      <c r="B1417" s="40"/>
      <c r="C1417" s="42"/>
      <c r="D1417" s="42"/>
      <c r="E1417" s="43"/>
      <c r="F1417" s="42"/>
      <c r="G1417" s="42"/>
      <c r="H1417" s="42"/>
      <c r="I1417" s="42"/>
      <c r="J1417" s="42"/>
      <c r="K1417" s="42"/>
      <c r="L1417" s="42"/>
      <c r="M1417" s="42"/>
      <c r="N1417" s="42"/>
      <c r="O1417" s="42"/>
      <c r="P1417" s="42"/>
      <c r="Q1417" s="42"/>
      <c r="R1417" s="42"/>
      <c r="S1417" s="42"/>
      <c r="T1417" s="42"/>
      <c r="U1417" s="42"/>
      <c r="V1417" s="42"/>
      <c r="W1417" s="42"/>
      <c r="X1417" s="42"/>
      <c r="Y1417" s="42"/>
      <c r="Z1417" s="42"/>
      <c r="AA1417" s="42"/>
      <c r="AB1417" s="42"/>
      <c r="AC1417" s="42"/>
      <c r="AD1417" s="42"/>
      <c r="AE1417" s="42"/>
      <c r="AF1417" s="42"/>
      <c r="AG1417" s="42"/>
      <c r="AH1417" s="42"/>
      <c r="AI1417" s="42"/>
      <c r="AJ1417" s="42"/>
      <c r="AK1417" s="42"/>
      <c r="AL1417" s="42"/>
      <c r="AM1417" s="42"/>
      <c r="AN1417" s="42"/>
      <c r="AO1417" s="42"/>
      <c r="AP1417" s="42"/>
      <c r="AQ1417" s="42"/>
      <c r="AR1417" s="42"/>
      <c r="AS1417" s="42"/>
      <c r="AT1417" s="42"/>
      <c r="AU1417" s="42"/>
      <c r="AV1417" s="42"/>
      <c r="AW1417" s="42"/>
      <c r="AX1417" s="42"/>
      <c r="AY1417" s="42"/>
      <c r="AZ1417" s="42"/>
      <c r="BA1417" s="42"/>
      <c r="BB1417" s="42"/>
      <c r="BC1417" s="42"/>
      <c r="BD1417" s="42"/>
      <c r="BE1417" s="42"/>
      <c r="BF1417" s="42"/>
      <c r="BG1417" s="42"/>
      <c r="BH1417" s="42"/>
      <c r="BI1417" s="42"/>
      <c r="BJ1417" s="42"/>
      <c r="BK1417" s="42"/>
      <c r="BL1417" s="42"/>
      <c r="BM1417" s="42"/>
      <c r="BN1417" s="42"/>
      <c r="BO1417" s="42"/>
    </row>
    <row r="1418">
      <c r="A1418" s="40"/>
      <c r="B1418" s="40"/>
      <c r="C1418" s="42"/>
      <c r="D1418" s="42"/>
      <c r="E1418" s="43"/>
      <c r="F1418" s="42"/>
      <c r="G1418" s="42"/>
      <c r="H1418" s="42"/>
      <c r="I1418" s="42"/>
      <c r="J1418" s="42"/>
      <c r="K1418" s="42"/>
      <c r="L1418" s="42"/>
      <c r="M1418" s="42"/>
      <c r="N1418" s="42"/>
      <c r="O1418" s="42"/>
      <c r="P1418" s="42"/>
      <c r="Q1418" s="42"/>
      <c r="R1418" s="42"/>
      <c r="S1418" s="42"/>
      <c r="T1418" s="42"/>
      <c r="U1418" s="42"/>
      <c r="V1418" s="42"/>
      <c r="W1418" s="42"/>
      <c r="X1418" s="42"/>
      <c r="Y1418" s="42"/>
      <c r="Z1418" s="42"/>
      <c r="AA1418" s="42"/>
      <c r="AB1418" s="42"/>
      <c r="AC1418" s="42"/>
      <c r="AD1418" s="42"/>
      <c r="AE1418" s="42"/>
      <c r="AF1418" s="42"/>
      <c r="AG1418" s="42"/>
      <c r="AH1418" s="42"/>
      <c r="AI1418" s="42"/>
      <c r="AJ1418" s="42"/>
      <c r="AK1418" s="42"/>
      <c r="AL1418" s="42"/>
      <c r="AM1418" s="42"/>
      <c r="AN1418" s="42"/>
      <c r="AO1418" s="42"/>
      <c r="AP1418" s="42"/>
      <c r="AQ1418" s="42"/>
      <c r="AR1418" s="42"/>
      <c r="AS1418" s="42"/>
      <c r="AT1418" s="42"/>
      <c r="AU1418" s="42"/>
      <c r="AV1418" s="42"/>
      <c r="AW1418" s="42"/>
      <c r="AX1418" s="42"/>
      <c r="AY1418" s="42"/>
      <c r="AZ1418" s="42"/>
      <c r="BA1418" s="42"/>
      <c r="BB1418" s="42"/>
      <c r="BC1418" s="42"/>
      <c r="BD1418" s="42"/>
      <c r="BE1418" s="42"/>
      <c r="BF1418" s="42"/>
      <c r="BG1418" s="42"/>
      <c r="BH1418" s="42"/>
      <c r="BI1418" s="42"/>
      <c r="BJ1418" s="42"/>
      <c r="BK1418" s="42"/>
      <c r="BL1418" s="42"/>
      <c r="BM1418" s="42"/>
      <c r="BN1418" s="42"/>
      <c r="BO1418" s="42"/>
    </row>
    <row r="1419">
      <c r="A1419" s="40"/>
      <c r="B1419" s="40"/>
      <c r="C1419" s="42"/>
      <c r="D1419" s="42"/>
      <c r="E1419" s="43"/>
      <c r="F1419" s="42"/>
      <c r="G1419" s="42"/>
      <c r="H1419" s="42"/>
      <c r="I1419" s="42"/>
      <c r="J1419" s="42"/>
      <c r="K1419" s="42"/>
      <c r="L1419" s="42"/>
      <c r="M1419" s="42"/>
      <c r="N1419" s="42"/>
      <c r="O1419" s="42"/>
      <c r="P1419" s="42"/>
      <c r="Q1419" s="42"/>
      <c r="R1419" s="42"/>
      <c r="S1419" s="42"/>
      <c r="T1419" s="42"/>
      <c r="U1419" s="42"/>
      <c r="V1419" s="42"/>
      <c r="W1419" s="42"/>
      <c r="X1419" s="42"/>
      <c r="Y1419" s="42"/>
      <c r="Z1419" s="42"/>
      <c r="AA1419" s="42"/>
      <c r="AB1419" s="42"/>
      <c r="AC1419" s="42"/>
      <c r="AD1419" s="42"/>
      <c r="AE1419" s="42"/>
      <c r="AF1419" s="42"/>
      <c r="AG1419" s="42"/>
      <c r="AH1419" s="42"/>
      <c r="AI1419" s="42"/>
      <c r="AJ1419" s="42"/>
      <c r="AK1419" s="42"/>
      <c r="AL1419" s="42"/>
      <c r="AM1419" s="42"/>
      <c r="AN1419" s="42"/>
      <c r="AO1419" s="42"/>
      <c r="AP1419" s="42"/>
      <c r="AQ1419" s="42"/>
      <c r="AR1419" s="42"/>
      <c r="AS1419" s="42"/>
      <c r="AT1419" s="42"/>
      <c r="AU1419" s="42"/>
      <c r="AV1419" s="42"/>
      <c r="AW1419" s="42"/>
      <c r="AX1419" s="42"/>
      <c r="AY1419" s="42"/>
      <c r="AZ1419" s="42"/>
      <c r="BA1419" s="42"/>
      <c r="BB1419" s="42"/>
      <c r="BC1419" s="42"/>
      <c r="BD1419" s="42"/>
      <c r="BE1419" s="42"/>
      <c r="BF1419" s="42"/>
      <c r="BG1419" s="42"/>
      <c r="BH1419" s="42"/>
      <c r="BI1419" s="42"/>
      <c r="BJ1419" s="42"/>
      <c r="BK1419" s="42"/>
      <c r="BL1419" s="42"/>
      <c r="BM1419" s="42"/>
      <c r="BN1419" s="42"/>
      <c r="BO1419" s="42"/>
    </row>
    <row r="1420">
      <c r="A1420" s="40"/>
      <c r="B1420" s="40"/>
      <c r="C1420" s="42"/>
      <c r="D1420" s="42"/>
      <c r="E1420" s="43"/>
      <c r="F1420" s="42"/>
      <c r="G1420" s="42"/>
      <c r="H1420" s="42"/>
      <c r="I1420" s="42"/>
      <c r="J1420" s="42"/>
      <c r="K1420" s="42"/>
      <c r="L1420" s="42"/>
      <c r="M1420" s="42"/>
      <c r="N1420" s="42"/>
      <c r="O1420" s="42"/>
      <c r="P1420" s="42"/>
      <c r="Q1420" s="42"/>
      <c r="R1420" s="42"/>
      <c r="S1420" s="42"/>
      <c r="T1420" s="42"/>
      <c r="U1420" s="42"/>
      <c r="V1420" s="42"/>
      <c r="W1420" s="42"/>
      <c r="X1420" s="42"/>
      <c r="Y1420" s="42"/>
      <c r="Z1420" s="42"/>
      <c r="AA1420" s="42"/>
      <c r="AB1420" s="42"/>
      <c r="AC1420" s="42"/>
      <c r="AD1420" s="42"/>
      <c r="AE1420" s="42"/>
      <c r="AF1420" s="42"/>
      <c r="AG1420" s="42"/>
      <c r="AH1420" s="42"/>
      <c r="AI1420" s="42"/>
      <c r="AJ1420" s="42"/>
      <c r="AK1420" s="42"/>
      <c r="AL1420" s="42"/>
      <c r="AM1420" s="42"/>
      <c r="AN1420" s="42"/>
      <c r="AO1420" s="42"/>
      <c r="AP1420" s="42"/>
      <c r="AQ1420" s="42"/>
      <c r="AR1420" s="42"/>
      <c r="AS1420" s="42"/>
      <c r="AT1420" s="42"/>
      <c r="AU1420" s="42"/>
      <c r="AV1420" s="42"/>
      <c r="AW1420" s="42"/>
      <c r="AX1420" s="42"/>
      <c r="AY1420" s="42"/>
      <c r="AZ1420" s="42"/>
      <c r="BA1420" s="42"/>
      <c r="BB1420" s="42"/>
      <c r="BC1420" s="42"/>
      <c r="BD1420" s="42"/>
      <c r="BE1420" s="42"/>
      <c r="BF1420" s="42"/>
      <c r="BG1420" s="42"/>
      <c r="BH1420" s="42"/>
      <c r="BI1420" s="42"/>
      <c r="BJ1420" s="42"/>
      <c r="BK1420" s="42"/>
      <c r="BL1420" s="42"/>
      <c r="BM1420" s="42"/>
      <c r="BN1420" s="42"/>
      <c r="BO1420" s="42"/>
    </row>
    <row r="1421">
      <c r="A1421" s="40"/>
      <c r="B1421" s="40"/>
      <c r="C1421" s="42"/>
      <c r="D1421" s="42"/>
      <c r="E1421" s="43"/>
      <c r="F1421" s="42"/>
      <c r="G1421" s="42"/>
      <c r="H1421" s="42"/>
      <c r="I1421" s="42"/>
      <c r="J1421" s="42"/>
      <c r="K1421" s="42"/>
      <c r="L1421" s="42"/>
      <c r="M1421" s="42"/>
      <c r="N1421" s="42"/>
      <c r="O1421" s="42"/>
      <c r="P1421" s="42"/>
      <c r="Q1421" s="42"/>
      <c r="R1421" s="42"/>
      <c r="S1421" s="42"/>
      <c r="T1421" s="42"/>
      <c r="U1421" s="42"/>
      <c r="V1421" s="42"/>
      <c r="W1421" s="42"/>
      <c r="X1421" s="42"/>
      <c r="Y1421" s="42"/>
      <c r="Z1421" s="42"/>
      <c r="AA1421" s="42"/>
      <c r="AB1421" s="42"/>
      <c r="AC1421" s="42"/>
      <c r="AD1421" s="42"/>
      <c r="AE1421" s="42"/>
      <c r="AF1421" s="42"/>
      <c r="AG1421" s="42"/>
      <c r="AH1421" s="42"/>
      <c r="AI1421" s="42"/>
      <c r="AJ1421" s="42"/>
      <c r="AK1421" s="42"/>
      <c r="AL1421" s="42"/>
      <c r="AM1421" s="42"/>
      <c r="AN1421" s="42"/>
      <c r="AO1421" s="42"/>
      <c r="AP1421" s="42"/>
      <c r="AQ1421" s="42"/>
      <c r="AR1421" s="42"/>
      <c r="AS1421" s="42"/>
      <c r="AT1421" s="42"/>
      <c r="AU1421" s="42"/>
      <c r="AV1421" s="42"/>
      <c r="AW1421" s="42"/>
      <c r="AX1421" s="42"/>
      <c r="AY1421" s="42"/>
      <c r="AZ1421" s="42"/>
      <c r="BA1421" s="42"/>
      <c r="BB1421" s="42"/>
      <c r="BC1421" s="42"/>
      <c r="BD1421" s="42"/>
      <c r="BE1421" s="42"/>
      <c r="BF1421" s="42"/>
      <c r="BG1421" s="42"/>
      <c r="BH1421" s="42"/>
      <c r="BI1421" s="42"/>
      <c r="BJ1421" s="42"/>
      <c r="BK1421" s="42"/>
      <c r="BL1421" s="42"/>
      <c r="BM1421" s="42"/>
      <c r="BN1421" s="42"/>
      <c r="BO1421" s="42"/>
    </row>
    <row r="1422">
      <c r="A1422" s="40"/>
      <c r="B1422" s="40"/>
      <c r="C1422" s="42"/>
      <c r="D1422" s="42"/>
      <c r="E1422" s="43"/>
      <c r="F1422" s="42"/>
      <c r="G1422" s="42"/>
      <c r="H1422" s="42"/>
      <c r="I1422" s="42"/>
      <c r="J1422" s="42"/>
      <c r="K1422" s="42"/>
      <c r="L1422" s="42"/>
      <c r="M1422" s="42"/>
      <c r="N1422" s="42"/>
      <c r="O1422" s="42"/>
      <c r="P1422" s="42"/>
      <c r="Q1422" s="42"/>
      <c r="R1422" s="42"/>
      <c r="S1422" s="42"/>
      <c r="T1422" s="42"/>
      <c r="U1422" s="42"/>
      <c r="V1422" s="42"/>
      <c r="W1422" s="42"/>
      <c r="X1422" s="42"/>
      <c r="Y1422" s="42"/>
      <c r="Z1422" s="42"/>
      <c r="AA1422" s="42"/>
      <c r="AB1422" s="42"/>
      <c r="AC1422" s="42"/>
      <c r="AD1422" s="42"/>
      <c r="AE1422" s="42"/>
      <c r="AF1422" s="42"/>
      <c r="AG1422" s="42"/>
      <c r="AH1422" s="42"/>
      <c r="AI1422" s="42"/>
      <c r="AJ1422" s="42"/>
      <c r="AK1422" s="42"/>
      <c r="AL1422" s="42"/>
      <c r="AM1422" s="42"/>
      <c r="AN1422" s="42"/>
      <c r="AO1422" s="42"/>
      <c r="AP1422" s="42"/>
      <c r="AQ1422" s="42"/>
      <c r="AR1422" s="42"/>
      <c r="AS1422" s="42"/>
      <c r="AT1422" s="42"/>
      <c r="AU1422" s="42"/>
      <c r="AV1422" s="42"/>
      <c r="AW1422" s="42"/>
      <c r="AX1422" s="42"/>
      <c r="AY1422" s="42"/>
      <c r="AZ1422" s="42"/>
      <c r="BA1422" s="42"/>
      <c r="BB1422" s="42"/>
      <c r="BC1422" s="42"/>
      <c r="BD1422" s="42"/>
      <c r="BE1422" s="42"/>
      <c r="BF1422" s="42"/>
      <c r="BG1422" s="42"/>
      <c r="BH1422" s="42"/>
      <c r="BI1422" s="42"/>
      <c r="BJ1422" s="42"/>
      <c r="BK1422" s="42"/>
      <c r="BL1422" s="42"/>
      <c r="BM1422" s="42"/>
      <c r="BN1422" s="42"/>
      <c r="BO1422" s="42"/>
    </row>
    <row r="1423">
      <c r="A1423" s="40"/>
      <c r="B1423" s="40"/>
      <c r="C1423" s="42"/>
      <c r="D1423" s="42"/>
      <c r="E1423" s="43"/>
      <c r="F1423" s="42"/>
      <c r="G1423" s="42"/>
      <c r="H1423" s="42"/>
      <c r="I1423" s="42"/>
      <c r="J1423" s="42"/>
      <c r="K1423" s="42"/>
      <c r="L1423" s="42"/>
      <c r="M1423" s="42"/>
      <c r="N1423" s="42"/>
      <c r="O1423" s="42"/>
      <c r="P1423" s="42"/>
      <c r="Q1423" s="42"/>
      <c r="R1423" s="42"/>
      <c r="S1423" s="42"/>
      <c r="T1423" s="42"/>
      <c r="U1423" s="42"/>
      <c r="V1423" s="42"/>
      <c r="W1423" s="42"/>
      <c r="X1423" s="42"/>
      <c r="Y1423" s="42"/>
      <c r="Z1423" s="42"/>
      <c r="AA1423" s="42"/>
      <c r="AB1423" s="42"/>
      <c r="AC1423" s="42"/>
      <c r="AD1423" s="42"/>
      <c r="AE1423" s="42"/>
      <c r="AF1423" s="42"/>
      <c r="AG1423" s="42"/>
      <c r="AH1423" s="42"/>
      <c r="AI1423" s="42"/>
      <c r="AJ1423" s="42"/>
      <c r="AK1423" s="42"/>
      <c r="AL1423" s="42"/>
      <c r="AM1423" s="42"/>
      <c r="AN1423" s="42"/>
      <c r="AO1423" s="42"/>
      <c r="AP1423" s="42"/>
      <c r="AQ1423" s="42"/>
      <c r="AR1423" s="42"/>
      <c r="AS1423" s="42"/>
      <c r="AT1423" s="42"/>
      <c r="AU1423" s="42"/>
      <c r="AV1423" s="42"/>
      <c r="AW1423" s="42"/>
      <c r="AX1423" s="42"/>
      <c r="AY1423" s="42"/>
      <c r="AZ1423" s="42"/>
      <c r="BA1423" s="42"/>
      <c r="BB1423" s="42"/>
      <c r="BC1423" s="42"/>
      <c r="BD1423" s="42"/>
      <c r="BE1423" s="42"/>
      <c r="BF1423" s="42"/>
      <c r="BG1423" s="42"/>
      <c r="BH1423" s="42"/>
      <c r="BI1423" s="42"/>
      <c r="BJ1423" s="42"/>
      <c r="BK1423" s="42"/>
      <c r="BL1423" s="42"/>
      <c r="BM1423" s="42"/>
      <c r="BN1423" s="42"/>
      <c r="BO1423" s="42"/>
    </row>
    <row r="1424">
      <c r="A1424" s="40"/>
      <c r="B1424" s="40"/>
      <c r="C1424" s="42"/>
      <c r="D1424" s="42"/>
      <c r="E1424" s="43"/>
      <c r="F1424" s="42"/>
      <c r="G1424" s="42"/>
      <c r="H1424" s="42"/>
      <c r="I1424" s="42"/>
      <c r="J1424" s="42"/>
      <c r="K1424" s="42"/>
      <c r="L1424" s="42"/>
      <c r="M1424" s="42"/>
      <c r="N1424" s="42"/>
      <c r="O1424" s="42"/>
      <c r="P1424" s="42"/>
      <c r="Q1424" s="42"/>
      <c r="R1424" s="42"/>
      <c r="S1424" s="42"/>
      <c r="T1424" s="42"/>
      <c r="U1424" s="42"/>
      <c r="V1424" s="42"/>
      <c r="W1424" s="42"/>
      <c r="X1424" s="42"/>
      <c r="Y1424" s="42"/>
      <c r="Z1424" s="42"/>
      <c r="AA1424" s="42"/>
      <c r="AB1424" s="42"/>
      <c r="AC1424" s="42"/>
      <c r="AD1424" s="42"/>
      <c r="AE1424" s="42"/>
      <c r="AF1424" s="42"/>
      <c r="AG1424" s="42"/>
      <c r="AH1424" s="42"/>
      <c r="AI1424" s="42"/>
      <c r="AJ1424" s="42"/>
      <c r="AK1424" s="42"/>
      <c r="AL1424" s="42"/>
      <c r="AM1424" s="42"/>
      <c r="AN1424" s="42"/>
      <c r="AO1424" s="42"/>
      <c r="AP1424" s="42"/>
      <c r="AQ1424" s="42"/>
      <c r="AR1424" s="42"/>
      <c r="AS1424" s="42"/>
      <c r="AT1424" s="42"/>
      <c r="AU1424" s="42"/>
      <c r="AV1424" s="42"/>
      <c r="AW1424" s="42"/>
      <c r="AX1424" s="42"/>
      <c r="AY1424" s="42"/>
      <c r="AZ1424" s="42"/>
      <c r="BA1424" s="42"/>
      <c r="BB1424" s="42"/>
      <c r="BC1424" s="42"/>
      <c r="BD1424" s="42"/>
      <c r="BE1424" s="42"/>
      <c r="BF1424" s="42"/>
      <c r="BG1424" s="42"/>
      <c r="BH1424" s="42"/>
      <c r="BI1424" s="42"/>
      <c r="BJ1424" s="42"/>
      <c r="BK1424" s="42"/>
      <c r="BL1424" s="42"/>
      <c r="BM1424" s="42"/>
      <c r="BN1424" s="42"/>
      <c r="BO1424" s="42"/>
    </row>
  </sheetData>
  <mergeCells count="3401">
    <mergeCell ref="BL17:BM17"/>
    <mergeCell ref="BN17:BO17"/>
    <mergeCell ref="AX17:AY17"/>
    <mergeCell ref="AZ17:BA17"/>
    <mergeCell ref="BB17:BC17"/>
    <mergeCell ref="BD17:BE17"/>
    <mergeCell ref="BF17:BG17"/>
    <mergeCell ref="BH17:BI17"/>
    <mergeCell ref="BJ17:BK17"/>
    <mergeCell ref="R15:S15"/>
    <mergeCell ref="T15:U15"/>
    <mergeCell ref="V15:W15"/>
    <mergeCell ref="X15:Y15"/>
    <mergeCell ref="Z15:AA15"/>
    <mergeCell ref="AB15:AC15"/>
    <mergeCell ref="AD15:AE15"/>
    <mergeCell ref="AF15:AG15"/>
    <mergeCell ref="AH15:AI15"/>
    <mergeCell ref="AJ15:AK15"/>
    <mergeCell ref="AL15:AM15"/>
    <mergeCell ref="AN15:AO15"/>
    <mergeCell ref="AP15:AQ15"/>
    <mergeCell ref="AR15:AS15"/>
    <mergeCell ref="BH15:BI15"/>
    <mergeCell ref="BJ15:BK15"/>
    <mergeCell ref="BL15:BM15"/>
    <mergeCell ref="BN15:BO15"/>
    <mergeCell ref="AT15:AU15"/>
    <mergeCell ref="AV15:AW15"/>
    <mergeCell ref="AX15:AY15"/>
    <mergeCell ref="AZ15:BA15"/>
    <mergeCell ref="BB15:BC15"/>
    <mergeCell ref="BD15:BE15"/>
    <mergeCell ref="BF15:BG15"/>
    <mergeCell ref="C15:D15"/>
    <mergeCell ref="F15:G15"/>
    <mergeCell ref="H15:I15"/>
    <mergeCell ref="J15:K15"/>
    <mergeCell ref="L15:M15"/>
    <mergeCell ref="N15:O15"/>
    <mergeCell ref="P15:Q15"/>
    <mergeCell ref="C17:D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BJ5:BK5"/>
    <mergeCell ref="BL5:BM5"/>
    <mergeCell ref="AV5:AW5"/>
    <mergeCell ref="AX5:AY5"/>
    <mergeCell ref="AZ5:BA5"/>
    <mergeCell ref="BB5:BC5"/>
    <mergeCell ref="BD5:BE5"/>
    <mergeCell ref="BF5:BG5"/>
    <mergeCell ref="BH5:BI5"/>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BH1:BI1"/>
    <mergeCell ref="BJ1:BK1"/>
    <mergeCell ref="BL1:BM1"/>
    <mergeCell ref="BN1:BO1"/>
    <mergeCell ref="BN5:BO5"/>
    <mergeCell ref="AT1:AU1"/>
    <mergeCell ref="AV1:AW1"/>
    <mergeCell ref="AX1:AY1"/>
    <mergeCell ref="AZ1:BA1"/>
    <mergeCell ref="BB1:BC1"/>
    <mergeCell ref="BD1:BE1"/>
    <mergeCell ref="BF1:BG1"/>
    <mergeCell ref="C1:D1"/>
    <mergeCell ref="F1:G1"/>
    <mergeCell ref="H1:I1"/>
    <mergeCell ref="J1:K1"/>
    <mergeCell ref="L1:M1"/>
    <mergeCell ref="N1:O1"/>
    <mergeCell ref="P1:Q1"/>
    <mergeCell ref="C2:D2"/>
    <mergeCell ref="C5:D5"/>
    <mergeCell ref="F5:G5"/>
    <mergeCell ref="H5:I5"/>
    <mergeCell ref="J5:K5"/>
    <mergeCell ref="L5:M5"/>
    <mergeCell ref="N5:O5"/>
    <mergeCell ref="P5:Q5"/>
    <mergeCell ref="R5:S5"/>
    <mergeCell ref="T5:U5"/>
    <mergeCell ref="V5:W5"/>
    <mergeCell ref="X5:Y5"/>
    <mergeCell ref="Z5:AA5"/>
    <mergeCell ref="AB5:AC5"/>
    <mergeCell ref="AR5:AS5"/>
    <mergeCell ref="AT5:AU5"/>
    <mergeCell ref="AD5:AE5"/>
    <mergeCell ref="AF5:AG5"/>
    <mergeCell ref="AH5:AI5"/>
    <mergeCell ref="AJ5:AK5"/>
    <mergeCell ref="AL5:AM5"/>
    <mergeCell ref="AN5:AO5"/>
    <mergeCell ref="AP5:AQ5"/>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BH7:BI7"/>
    <mergeCell ref="BJ7:BK7"/>
    <mergeCell ref="BL7:BM7"/>
    <mergeCell ref="BN7:BO7"/>
    <mergeCell ref="AT7:AU7"/>
    <mergeCell ref="AV7:AW7"/>
    <mergeCell ref="AX7:AY7"/>
    <mergeCell ref="AZ7:BA7"/>
    <mergeCell ref="BB7:BC7"/>
    <mergeCell ref="BD7:BE7"/>
    <mergeCell ref="BF7:BG7"/>
    <mergeCell ref="C7:D7"/>
    <mergeCell ref="F7:G7"/>
    <mergeCell ref="H7:I7"/>
    <mergeCell ref="J7:K7"/>
    <mergeCell ref="L7:M7"/>
    <mergeCell ref="N7:O7"/>
    <mergeCell ref="P7:Q7"/>
    <mergeCell ref="BL11:BM11"/>
    <mergeCell ref="BN11:BO11"/>
    <mergeCell ref="AX11:AY11"/>
    <mergeCell ref="AZ11:BA11"/>
    <mergeCell ref="BB11:BC11"/>
    <mergeCell ref="BD11:BE11"/>
    <mergeCell ref="BF11:BG11"/>
    <mergeCell ref="BH11:BI11"/>
    <mergeCell ref="BJ11:BK11"/>
    <mergeCell ref="R9:S9"/>
    <mergeCell ref="T9:U9"/>
    <mergeCell ref="V9:W9"/>
    <mergeCell ref="X9:Y9"/>
    <mergeCell ref="Z9:AA9"/>
    <mergeCell ref="AB9:AC9"/>
    <mergeCell ref="AD9:AE9"/>
    <mergeCell ref="AF9:AG9"/>
    <mergeCell ref="AH9:AI9"/>
    <mergeCell ref="AJ9:AK9"/>
    <mergeCell ref="AL9:AM9"/>
    <mergeCell ref="AN9:AO9"/>
    <mergeCell ref="AP9:AQ9"/>
    <mergeCell ref="AR9:AS9"/>
    <mergeCell ref="BH9:BI9"/>
    <mergeCell ref="BJ9:BK9"/>
    <mergeCell ref="BL9:BM9"/>
    <mergeCell ref="BN9:BO9"/>
    <mergeCell ref="AT9:AU9"/>
    <mergeCell ref="AV9:AW9"/>
    <mergeCell ref="AX9:AY9"/>
    <mergeCell ref="AZ9:BA9"/>
    <mergeCell ref="BB9:BC9"/>
    <mergeCell ref="BD9:BE9"/>
    <mergeCell ref="BF9:BG9"/>
    <mergeCell ref="C9:D9"/>
    <mergeCell ref="F9:G9"/>
    <mergeCell ref="H9:I9"/>
    <mergeCell ref="J9:K9"/>
    <mergeCell ref="L9:M9"/>
    <mergeCell ref="N9:O9"/>
    <mergeCell ref="P9:Q9"/>
    <mergeCell ref="C11:D11"/>
    <mergeCell ref="F11:G11"/>
    <mergeCell ref="H11:I11"/>
    <mergeCell ref="J11:K11"/>
    <mergeCell ref="L11:M11"/>
    <mergeCell ref="N11:O11"/>
    <mergeCell ref="P11:Q11"/>
    <mergeCell ref="R11:S11"/>
    <mergeCell ref="T11:U11"/>
    <mergeCell ref="V11:W11"/>
    <mergeCell ref="X11:Y11"/>
    <mergeCell ref="Z11:AA11"/>
    <mergeCell ref="AB11:AC11"/>
    <mergeCell ref="AD11:AE11"/>
    <mergeCell ref="AT11:AU11"/>
    <mergeCell ref="AV11:AW11"/>
    <mergeCell ref="AF11:AG11"/>
    <mergeCell ref="AH11:AI11"/>
    <mergeCell ref="AJ11:AK11"/>
    <mergeCell ref="AL11:AM11"/>
    <mergeCell ref="AN11:AO11"/>
    <mergeCell ref="AP11:AQ11"/>
    <mergeCell ref="AR11:AS11"/>
    <mergeCell ref="R13:S13"/>
    <mergeCell ref="T13:U13"/>
    <mergeCell ref="V13:W13"/>
    <mergeCell ref="X13:Y13"/>
    <mergeCell ref="Z13:AA13"/>
    <mergeCell ref="AB13:AC13"/>
    <mergeCell ref="AD13:AE13"/>
    <mergeCell ref="AF13:AG13"/>
    <mergeCell ref="AH13:AI13"/>
    <mergeCell ref="AJ13:AK13"/>
    <mergeCell ref="AL13:AM13"/>
    <mergeCell ref="AN13:AO13"/>
    <mergeCell ref="AP13:AQ13"/>
    <mergeCell ref="AR13:AS13"/>
    <mergeCell ref="BH13:BI13"/>
    <mergeCell ref="BJ13:BK13"/>
    <mergeCell ref="BL13:BM13"/>
    <mergeCell ref="BN13:BO13"/>
    <mergeCell ref="AT13:AU13"/>
    <mergeCell ref="AV13:AW13"/>
    <mergeCell ref="AX13:AY13"/>
    <mergeCell ref="AZ13:BA13"/>
    <mergeCell ref="BB13:BC13"/>
    <mergeCell ref="BD13:BE13"/>
    <mergeCell ref="BF13:BG13"/>
    <mergeCell ref="C13:D13"/>
    <mergeCell ref="F13:G13"/>
    <mergeCell ref="H13:I13"/>
    <mergeCell ref="J13:K13"/>
    <mergeCell ref="L13:M13"/>
    <mergeCell ref="N13:O13"/>
    <mergeCell ref="P13:Q13"/>
    <mergeCell ref="AT17:AU17"/>
    <mergeCell ref="AV17:AW17"/>
    <mergeCell ref="AF17:AG17"/>
    <mergeCell ref="AH17:AI17"/>
    <mergeCell ref="AJ17:AK17"/>
    <mergeCell ref="AL17:AM17"/>
    <mergeCell ref="AN17:AO17"/>
    <mergeCell ref="AP17:AQ17"/>
    <mergeCell ref="AR17:AS17"/>
    <mergeCell ref="R19:S19"/>
    <mergeCell ref="T19:U19"/>
    <mergeCell ref="V19:W19"/>
    <mergeCell ref="X19:Y19"/>
    <mergeCell ref="Z19:AA19"/>
    <mergeCell ref="AB19:AC19"/>
    <mergeCell ref="AD19:AE19"/>
    <mergeCell ref="AF19:AG19"/>
    <mergeCell ref="AH19:AI19"/>
    <mergeCell ref="AJ19:AK19"/>
    <mergeCell ref="AL19:AM19"/>
    <mergeCell ref="AN19:AO19"/>
    <mergeCell ref="AP19:AQ19"/>
    <mergeCell ref="AR19:AS19"/>
    <mergeCell ref="BH19:BI19"/>
    <mergeCell ref="BJ19:BK19"/>
    <mergeCell ref="BL19:BM19"/>
    <mergeCell ref="BN19:BO19"/>
    <mergeCell ref="AT19:AU19"/>
    <mergeCell ref="AV19:AW19"/>
    <mergeCell ref="AX19:AY19"/>
    <mergeCell ref="AZ19:BA19"/>
    <mergeCell ref="BB19:BC19"/>
    <mergeCell ref="BD19:BE19"/>
    <mergeCell ref="BF19:BG19"/>
    <mergeCell ref="C19:D19"/>
    <mergeCell ref="F19:G19"/>
    <mergeCell ref="H19:I19"/>
    <mergeCell ref="J19:K19"/>
    <mergeCell ref="L19:M19"/>
    <mergeCell ref="N19:O19"/>
    <mergeCell ref="P19:Q19"/>
    <mergeCell ref="BL39:BM39"/>
    <mergeCell ref="BN39:BO39"/>
    <mergeCell ref="AX39:AY39"/>
    <mergeCell ref="AZ39:BA39"/>
    <mergeCell ref="BB39:BC39"/>
    <mergeCell ref="BD39:BE39"/>
    <mergeCell ref="BF39:BG39"/>
    <mergeCell ref="BH39:BI39"/>
    <mergeCell ref="BJ39:BK39"/>
    <mergeCell ref="P37:Q37"/>
    <mergeCell ref="R37:S37"/>
    <mergeCell ref="T37:U37"/>
    <mergeCell ref="V37:W37"/>
    <mergeCell ref="X37:Y37"/>
    <mergeCell ref="Z37:AA37"/>
    <mergeCell ref="AB37:AC37"/>
    <mergeCell ref="AD37:AE37"/>
    <mergeCell ref="AF37:AG37"/>
    <mergeCell ref="AH37:AI37"/>
    <mergeCell ref="AJ37:AK37"/>
    <mergeCell ref="AL37:AM37"/>
    <mergeCell ref="AN37:AO37"/>
    <mergeCell ref="AP37:AQ37"/>
    <mergeCell ref="BF37:BG37"/>
    <mergeCell ref="BH37:BI37"/>
    <mergeCell ref="BJ37:BK37"/>
    <mergeCell ref="BL37:BM37"/>
    <mergeCell ref="BN37:BO37"/>
    <mergeCell ref="AR37:AS37"/>
    <mergeCell ref="AT37:AU37"/>
    <mergeCell ref="AV37:AW37"/>
    <mergeCell ref="AX37:AY37"/>
    <mergeCell ref="AZ37:BA37"/>
    <mergeCell ref="BB37:BC37"/>
    <mergeCell ref="BD37:BE37"/>
    <mergeCell ref="C34:D34"/>
    <mergeCell ref="C37:D37"/>
    <mergeCell ref="F37:G37"/>
    <mergeCell ref="H37:I37"/>
    <mergeCell ref="J37:K37"/>
    <mergeCell ref="L37:M37"/>
    <mergeCell ref="N37:O37"/>
    <mergeCell ref="C39:D39"/>
    <mergeCell ref="F39:G39"/>
    <mergeCell ref="H39:I39"/>
    <mergeCell ref="J39:K39"/>
    <mergeCell ref="L39:M39"/>
    <mergeCell ref="N39:O39"/>
    <mergeCell ref="P39:Q39"/>
    <mergeCell ref="R39:S39"/>
    <mergeCell ref="T39:U39"/>
    <mergeCell ref="V39:W39"/>
    <mergeCell ref="X39:Y39"/>
    <mergeCell ref="Z39:AA39"/>
    <mergeCell ref="AB39:AC39"/>
    <mergeCell ref="AD39:AE39"/>
    <mergeCell ref="BL23:BM23"/>
    <mergeCell ref="BN23:BO23"/>
    <mergeCell ref="AX23:AY23"/>
    <mergeCell ref="AZ23:BA23"/>
    <mergeCell ref="BB23:BC23"/>
    <mergeCell ref="BD23:BE23"/>
    <mergeCell ref="BF23:BG23"/>
    <mergeCell ref="BH23:BI23"/>
    <mergeCell ref="BJ23:BK23"/>
    <mergeCell ref="R21:S21"/>
    <mergeCell ref="T21:U21"/>
    <mergeCell ref="V21:W21"/>
    <mergeCell ref="X21:Y21"/>
    <mergeCell ref="Z21:AA21"/>
    <mergeCell ref="AB21:AC21"/>
    <mergeCell ref="AD21:AE21"/>
    <mergeCell ref="AF21:AG21"/>
    <mergeCell ref="AH21:AI21"/>
    <mergeCell ref="AJ21:AK21"/>
    <mergeCell ref="AL21:AM21"/>
    <mergeCell ref="AN21:AO21"/>
    <mergeCell ref="AP21:AQ21"/>
    <mergeCell ref="AR21:AS21"/>
    <mergeCell ref="BH21:BI21"/>
    <mergeCell ref="BJ21:BK21"/>
    <mergeCell ref="BL21:BM21"/>
    <mergeCell ref="BN21:BO21"/>
    <mergeCell ref="AT21:AU21"/>
    <mergeCell ref="AV21:AW21"/>
    <mergeCell ref="AX21:AY21"/>
    <mergeCell ref="AZ21:BA21"/>
    <mergeCell ref="BB21:BC21"/>
    <mergeCell ref="BD21:BE21"/>
    <mergeCell ref="BF21:BG21"/>
    <mergeCell ref="C21:D21"/>
    <mergeCell ref="F21:G21"/>
    <mergeCell ref="H21:I21"/>
    <mergeCell ref="J21:K21"/>
    <mergeCell ref="L21:M21"/>
    <mergeCell ref="N21:O21"/>
    <mergeCell ref="P21:Q21"/>
    <mergeCell ref="C23:D23"/>
    <mergeCell ref="F23:G23"/>
    <mergeCell ref="H23:I23"/>
    <mergeCell ref="J23:K23"/>
    <mergeCell ref="L23:M23"/>
    <mergeCell ref="N23:O23"/>
    <mergeCell ref="P23:Q23"/>
    <mergeCell ref="R23:S23"/>
    <mergeCell ref="T23:U23"/>
    <mergeCell ref="V23:W23"/>
    <mergeCell ref="X23:Y23"/>
    <mergeCell ref="Z23:AA23"/>
    <mergeCell ref="AB23:AC23"/>
    <mergeCell ref="AD23:AE23"/>
    <mergeCell ref="AT23:AU23"/>
    <mergeCell ref="AV23:AW23"/>
    <mergeCell ref="AF23:AG23"/>
    <mergeCell ref="AH23:AI23"/>
    <mergeCell ref="AJ23:AK23"/>
    <mergeCell ref="AL23:AM23"/>
    <mergeCell ref="AN23:AO23"/>
    <mergeCell ref="AP23:AQ23"/>
    <mergeCell ref="AR23:AS23"/>
    <mergeCell ref="R25:S25"/>
    <mergeCell ref="T25:U25"/>
    <mergeCell ref="V25:W25"/>
    <mergeCell ref="X25:Y25"/>
    <mergeCell ref="Z25:AA25"/>
    <mergeCell ref="AB25:AC25"/>
    <mergeCell ref="AD25:AE25"/>
    <mergeCell ref="AF25:AG25"/>
    <mergeCell ref="AH25:AI25"/>
    <mergeCell ref="AJ25:AK25"/>
    <mergeCell ref="AL25:AM25"/>
    <mergeCell ref="AN25:AO25"/>
    <mergeCell ref="AP25:AQ25"/>
    <mergeCell ref="AR25:AS25"/>
    <mergeCell ref="BH25:BI25"/>
    <mergeCell ref="BJ25:BK25"/>
    <mergeCell ref="BL25:BM25"/>
    <mergeCell ref="BN25:BO25"/>
    <mergeCell ref="AT25:AU25"/>
    <mergeCell ref="AV25:AW25"/>
    <mergeCell ref="AX25:AY25"/>
    <mergeCell ref="AZ25:BA25"/>
    <mergeCell ref="BB25:BC25"/>
    <mergeCell ref="BD25:BE25"/>
    <mergeCell ref="BF25:BG25"/>
    <mergeCell ref="C25:D25"/>
    <mergeCell ref="F25:G25"/>
    <mergeCell ref="H25:I25"/>
    <mergeCell ref="J25:K25"/>
    <mergeCell ref="L25:M25"/>
    <mergeCell ref="N25:O25"/>
    <mergeCell ref="P25:Q25"/>
    <mergeCell ref="BL29:BM29"/>
    <mergeCell ref="BN29:BO29"/>
    <mergeCell ref="AX29:AY29"/>
    <mergeCell ref="AZ29:BA29"/>
    <mergeCell ref="BB29:BC29"/>
    <mergeCell ref="BD29:BE29"/>
    <mergeCell ref="BF29:BG29"/>
    <mergeCell ref="BH29:BI29"/>
    <mergeCell ref="BJ29:BK29"/>
    <mergeCell ref="R27:S27"/>
    <mergeCell ref="T27:U27"/>
    <mergeCell ref="V27:W27"/>
    <mergeCell ref="X27:Y27"/>
    <mergeCell ref="Z27:AA27"/>
    <mergeCell ref="AB27:AC27"/>
    <mergeCell ref="AD27:AE27"/>
    <mergeCell ref="AF27:AG27"/>
    <mergeCell ref="AH27:AI27"/>
    <mergeCell ref="AJ27:AK27"/>
    <mergeCell ref="AL27:AM27"/>
    <mergeCell ref="AN27:AO27"/>
    <mergeCell ref="AP27:AQ27"/>
    <mergeCell ref="AR27:AS27"/>
    <mergeCell ref="BH27:BI27"/>
    <mergeCell ref="BJ27:BK27"/>
    <mergeCell ref="BL27:BM27"/>
    <mergeCell ref="BN27:BO27"/>
    <mergeCell ref="AT27:AU27"/>
    <mergeCell ref="AV27:AW27"/>
    <mergeCell ref="AX27:AY27"/>
    <mergeCell ref="AZ27:BA27"/>
    <mergeCell ref="BB27:BC27"/>
    <mergeCell ref="BD27:BE27"/>
    <mergeCell ref="BF27:BG27"/>
    <mergeCell ref="C27:D27"/>
    <mergeCell ref="F27:G27"/>
    <mergeCell ref="H27:I27"/>
    <mergeCell ref="J27:K27"/>
    <mergeCell ref="L27:M27"/>
    <mergeCell ref="N27:O27"/>
    <mergeCell ref="P27:Q27"/>
    <mergeCell ref="C29:D29"/>
    <mergeCell ref="F29:G29"/>
    <mergeCell ref="H29:I29"/>
    <mergeCell ref="J29:K29"/>
    <mergeCell ref="L29:M29"/>
    <mergeCell ref="N29:O29"/>
    <mergeCell ref="P29:Q29"/>
    <mergeCell ref="R29:S29"/>
    <mergeCell ref="T29:U29"/>
    <mergeCell ref="V29:W29"/>
    <mergeCell ref="X29:Y29"/>
    <mergeCell ref="Z29:AA29"/>
    <mergeCell ref="AB29:AC29"/>
    <mergeCell ref="AD29:AE29"/>
    <mergeCell ref="AT29:AU29"/>
    <mergeCell ref="AV29:AW29"/>
    <mergeCell ref="AF29:AG29"/>
    <mergeCell ref="AH29:AI29"/>
    <mergeCell ref="AJ29:AK29"/>
    <mergeCell ref="AL29:AM29"/>
    <mergeCell ref="AN29:AO29"/>
    <mergeCell ref="AP29:AQ29"/>
    <mergeCell ref="AR29:AS29"/>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BH31:BI31"/>
    <mergeCell ref="BJ31:BK31"/>
    <mergeCell ref="BL31:BM31"/>
    <mergeCell ref="BN31:BO31"/>
    <mergeCell ref="AT31:AU31"/>
    <mergeCell ref="AV31:AW31"/>
    <mergeCell ref="AX31:AY31"/>
    <mergeCell ref="AZ31:BA31"/>
    <mergeCell ref="BB31:BC31"/>
    <mergeCell ref="BD31:BE31"/>
    <mergeCell ref="BF31:BG31"/>
    <mergeCell ref="C31:D31"/>
    <mergeCell ref="F31:G31"/>
    <mergeCell ref="H31:I31"/>
    <mergeCell ref="J31:K31"/>
    <mergeCell ref="L31:M31"/>
    <mergeCell ref="N31:O31"/>
    <mergeCell ref="P31:Q31"/>
    <mergeCell ref="AT39:AU39"/>
    <mergeCell ref="AV39:AW39"/>
    <mergeCell ref="AF39:AG39"/>
    <mergeCell ref="AH39:AI39"/>
    <mergeCell ref="AJ39:AK39"/>
    <mergeCell ref="AL39:AM39"/>
    <mergeCell ref="AN39:AO39"/>
    <mergeCell ref="AP39:AQ39"/>
    <mergeCell ref="AR39:AS39"/>
    <mergeCell ref="R41:S41"/>
    <mergeCell ref="T41:U41"/>
    <mergeCell ref="V41:W41"/>
    <mergeCell ref="X41:Y41"/>
    <mergeCell ref="Z41:AA41"/>
    <mergeCell ref="AB41:AC41"/>
    <mergeCell ref="AD41:AE41"/>
    <mergeCell ref="AF41:AG41"/>
    <mergeCell ref="AH41:AI41"/>
    <mergeCell ref="AJ41:AK41"/>
    <mergeCell ref="AL41:AM41"/>
    <mergeCell ref="AN41:AO41"/>
    <mergeCell ref="AP41:AQ41"/>
    <mergeCell ref="AR41:AS41"/>
    <mergeCell ref="BH41:BI41"/>
    <mergeCell ref="BJ41:BK41"/>
    <mergeCell ref="BL41:BM41"/>
    <mergeCell ref="BN41:BO41"/>
    <mergeCell ref="AT41:AU41"/>
    <mergeCell ref="AV41:AW41"/>
    <mergeCell ref="AX41:AY41"/>
    <mergeCell ref="AZ41:BA41"/>
    <mergeCell ref="BB41:BC41"/>
    <mergeCell ref="BD41:BE41"/>
    <mergeCell ref="BF41:BG41"/>
    <mergeCell ref="C41:D41"/>
    <mergeCell ref="F41:G41"/>
    <mergeCell ref="H41:I41"/>
    <mergeCell ref="J41:K41"/>
    <mergeCell ref="L41:M41"/>
    <mergeCell ref="N41:O41"/>
    <mergeCell ref="P41:Q41"/>
    <mergeCell ref="BL57:BM57"/>
    <mergeCell ref="BN57:BO57"/>
    <mergeCell ref="AX57:AY57"/>
    <mergeCell ref="AZ57:BA57"/>
    <mergeCell ref="BB57:BC57"/>
    <mergeCell ref="BD57:BE57"/>
    <mergeCell ref="BF57:BG57"/>
    <mergeCell ref="BH57:BI57"/>
    <mergeCell ref="BJ57:BK57"/>
    <mergeCell ref="R55:S55"/>
    <mergeCell ref="T55:U55"/>
    <mergeCell ref="V55:W55"/>
    <mergeCell ref="X55:Y55"/>
    <mergeCell ref="Z55:AA55"/>
    <mergeCell ref="AB55:AC55"/>
    <mergeCell ref="AD55:AE55"/>
    <mergeCell ref="AF55:AG55"/>
    <mergeCell ref="AH55:AI55"/>
    <mergeCell ref="AJ55:AK55"/>
    <mergeCell ref="AL55:AM55"/>
    <mergeCell ref="AN55:AO55"/>
    <mergeCell ref="AP55:AQ55"/>
    <mergeCell ref="AR55:AS55"/>
    <mergeCell ref="BH55:BI55"/>
    <mergeCell ref="BJ55:BK55"/>
    <mergeCell ref="BL55:BM55"/>
    <mergeCell ref="BN55:BO55"/>
    <mergeCell ref="AT55:AU55"/>
    <mergeCell ref="AV55:AW55"/>
    <mergeCell ref="AX55:AY55"/>
    <mergeCell ref="AZ55:BA55"/>
    <mergeCell ref="BB55:BC55"/>
    <mergeCell ref="BD55:BE55"/>
    <mergeCell ref="BF55:BG55"/>
    <mergeCell ref="C55:D55"/>
    <mergeCell ref="F55:G55"/>
    <mergeCell ref="H55:I55"/>
    <mergeCell ref="J55:K55"/>
    <mergeCell ref="L55:M55"/>
    <mergeCell ref="N55:O55"/>
    <mergeCell ref="P55:Q55"/>
    <mergeCell ref="C57:D57"/>
    <mergeCell ref="F57:G57"/>
    <mergeCell ref="H57:I57"/>
    <mergeCell ref="J57:K57"/>
    <mergeCell ref="L57:M57"/>
    <mergeCell ref="N57:O57"/>
    <mergeCell ref="P57:Q57"/>
    <mergeCell ref="R57:S57"/>
    <mergeCell ref="T57:U57"/>
    <mergeCell ref="V57:W57"/>
    <mergeCell ref="X57:Y57"/>
    <mergeCell ref="Z57:AA57"/>
    <mergeCell ref="AB57:AC57"/>
    <mergeCell ref="AD57:AE57"/>
    <mergeCell ref="AR63:AS63"/>
    <mergeCell ref="AT63:AU63"/>
    <mergeCell ref="AD63:AE63"/>
    <mergeCell ref="AF63:AG63"/>
    <mergeCell ref="AH63:AI63"/>
    <mergeCell ref="AJ63:AK63"/>
    <mergeCell ref="AL63:AM63"/>
    <mergeCell ref="AN63:AO63"/>
    <mergeCell ref="AP63:AQ63"/>
    <mergeCell ref="BJ63:BK63"/>
    <mergeCell ref="BL63:BM63"/>
    <mergeCell ref="AV63:AW63"/>
    <mergeCell ref="AX63:AY63"/>
    <mergeCell ref="AZ63:BA63"/>
    <mergeCell ref="BB63:BC63"/>
    <mergeCell ref="BD63:BE63"/>
    <mergeCell ref="BF63:BG63"/>
    <mergeCell ref="BH63:BI63"/>
    <mergeCell ref="AT57:AU57"/>
    <mergeCell ref="AV57:AW57"/>
    <mergeCell ref="AF57:AG57"/>
    <mergeCell ref="AH57:AI57"/>
    <mergeCell ref="AJ57:AK57"/>
    <mergeCell ref="AL57:AM57"/>
    <mergeCell ref="AN57:AO57"/>
    <mergeCell ref="AP57:AQ57"/>
    <mergeCell ref="AR57:AS57"/>
    <mergeCell ref="R59:S59"/>
    <mergeCell ref="T59:U59"/>
    <mergeCell ref="V59:W59"/>
    <mergeCell ref="X59:Y59"/>
    <mergeCell ref="Z59:AA59"/>
    <mergeCell ref="AB59:AC59"/>
    <mergeCell ref="AD59:AE59"/>
    <mergeCell ref="AF59:AG59"/>
    <mergeCell ref="AH59:AI59"/>
    <mergeCell ref="AJ59:AK59"/>
    <mergeCell ref="AL59:AM59"/>
    <mergeCell ref="AN59:AO59"/>
    <mergeCell ref="AP59:AQ59"/>
    <mergeCell ref="AR59:AS59"/>
    <mergeCell ref="BH59:BI59"/>
    <mergeCell ref="BJ59:BK59"/>
    <mergeCell ref="BL59:BM59"/>
    <mergeCell ref="BN59:BO59"/>
    <mergeCell ref="BN63:BO63"/>
    <mergeCell ref="AT59:AU59"/>
    <mergeCell ref="AV59:AW59"/>
    <mergeCell ref="AX59:AY59"/>
    <mergeCell ref="AZ59:BA59"/>
    <mergeCell ref="BB59:BC59"/>
    <mergeCell ref="BD59:BE59"/>
    <mergeCell ref="BF59:BG59"/>
    <mergeCell ref="P63:Q63"/>
    <mergeCell ref="R63:S63"/>
    <mergeCell ref="T63:U63"/>
    <mergeCell ref="V63:W63"/>
    <mergeCell ref="X63:Y63"/>
    <mergeCell ref="Z63:AA63"/>
    <mergeCell ref="AB63:AC63"/>
    <mergeCell ref="BL45:BM45"/>
    <mergeCell ref="BN45:BO45"/>
    <mergeCell ref="AX45:AY45"/>
    <mergeCell ref="AZ45:BA45"/>
    <mergeCell ref="BB45:BC45"/>
    <mergeCell ref="BD45:BE45"/>
    <mergeCell ref="BF45:BG45"/>
    <mergeCell ref="BH45:BI45"/>
    <mergeCell ref="BJ45:BK45"/>
    <mergeCell ref="R43:S43"/>
    <mergeCell ref="T43:U43"/>
    <mergeCell ref="V43:W43"/>
    <mergeCell ref="X43:Y43"/>
    <mergeCell ref="Z43:AA43"/>
    <mergeCell ref="AB43:AC43"/>
    <mergeCell ref="AD43:AE43"/>
    <mergeCell ref="AF43:AG43"/>
    <mergeCell ref="AH43:AI43"/>
    <mergeCell ref="AJ43:AK43"/>
    <mergeCell ref="AL43:AM43"/>
    <mergeCell ref="AN43:AO43"/>
    <mergeCell ref="AP43:AQ43"/>
    <mergeCell ref="AR43:AS43"/>
    <mergeCell ref="BH43:BI43"/>
    <mergeCell ref="BJ43:BK43"/>
    <mergeCell ref="BL43:BM43"/>
    <mergeCell ref="BN43:BO43"/>
    <mergeCell ref="AT43:AU43"/>
    <mergeCell ref="AV43:AW43"/>
    <mergeCell ref="AX43:AY43"/>
    <mergeCell ref="AZ43:BA43"/>
    <mergeCell ref="BB43:BC43"/>
    <mergeCell ref="BD43:BE43"/>
    <mergeCell ref="BF43:BG43"/>
    <mergeCell ref="C43:D43"/>
    <mergeCell ref="F43:G43"/>
    <mergeCell ref="H43:I43"/>
    <mergeCell ref="J43:K43"/>
    <mergeCell ref="L43:M43"/>
    <mergeCell ref="N43:O43"/>
    <mergeCell ref="P43:Q43"/>
    <mergeCell ref="C45:D45"/>
    <mergeCell ref="F45:G45"/>
    <mergeCell ref="H45:I45"/>
    <mergeCell ref="J45:K45"/>
    <mergeCell ref="L45:M45"/>
    <mergeCell ref="N45:O45"/>
    <mergeCell ref="P45:Q45"/>
    <mergeCell ref="R45:S45"/>
    <mergeCell ref="T45:U45"/>
    <mergeCell ref="V45:W45"/>
    <mergeCell ref="X45:Y45"/>
    <mergeCell ref="Z45:AA45"/>
    <mergeCell ref="AB45:AC45"/>
    <mergeCell ref="AD45:AE45"/>
    <mergeCell ref="AT45:AU45"/>
    <mergeCell ref="AV45:AW45"/>
    <mergeCell ref="AF45:AG45"/>
    <mergeCell ref="AH45:AI45"/>
    <mergeCell ref="AJ45:AK45"/>
    <mergeCell ref="AL45:AM45"/>
    <mergeCell ref="AN45:AO45"/>
    <mergeCell ref="AP45:AQ45"/>
    <mergeCell ref="AR45:AS45"/>
    <mergeCell ref="R47:S47"/>
    <mergeCell ref="T47:U47"/>
    <mergeCell ref="V47:W47"/>
    <mergeCell ref="X47:Y47"/>
    <mergeCell ref="Z47:AA47"/>
    <mergeCell ref="AB47:AC47"/>
    <mergeCell ref="AD47:AE47"/>
    <mergeCell ref="AF47:AG47"/>
    <mergeCell ref="AH47:AI47"/>
    <mergeCell ref="AJ47:AK47"/>
    <mergeCell ref="AL47:AM47"/>
    <mergeCell ref="AN47:AO47"/>
    <mergeCell ref="AP47:AQ47"/>
    <mergeCell ref="AR47:AS47"/>
    <mergeCell ref="BH47:BI47"/>
    <mergeCell ref="BJ47:BK47"/>
    <mergeCell ref="BL47:BM47"/>
    <mergeCell ref="BN47:BO47"/>
    <mergeCell ref="AT47:AU47"/>
    <mergeCell ref="AV47:AW47"/>
    <mergeCell ref="AX47:AY47"/>
    <mergeCell ref="AZ47:BA47"/>
    <mergeCell ref="BB47:BC47"/>
    <mergeCell ref="BD47:BE47"/>
    <mergeCell ref="BF47:BG47"/>
    <mergeCell ref="C47:D47"/>
    <mergeCell ref="F47:G47"/>
    <mergeCell ref="H47:I47"/>
    <mergeCell ref="J47:K47"/>
    <mergeCell ref="L47:M47"/>
    <mergeCell ref="N47:O47"/>
    <mergeCell ref="P47:Q47"/>
    <mergeCell ref="BL51:BM51"/>
    <mergeCell ref="BN51:BO51"/>
    <mergeCell ref="AX51:AY51"/>
    <mergeCell ref="AZ51:BA51"/>
    <mergeCell ref="BB51:BC51"/>
    <mergeCell ref="BD51:BE51"/>
    <mergeCell ref="BF51:BG51"/>
    <mergeCell ref="BH51:BI51"/>
    <mergeCell ref="BJ51:BK51"/>
    <mergeCell ref="R49:S49"/>
    <mergeCell ref="T49:U49"/>
    <mergeCell ref="V49:W49"/>
    <mergeCell ref="X49:Y49"/>
    <mergeCell ref="Z49:AA49"/>
    <mergeCell ref="AB49:AC49"/>
    <mergeCell ref="AD49:AE49"/>
    <mergeCell ref="AF49:AG49"/>
    <mergeCell ref="AH49:AI49"/>
    <mergeCell ref="AJ49:AK49"/>
    <mergeCell ref="AL49:AM49"/>
    <mergeCell ref="AN49:AO49"/>
    <mergeCell ref="AP49:AQ49"/>
    <mergeCell ref="AR49:AS49"/>
    <mergeCell ref="BH49:BI49"/>
    <mergeCell ref="BJ49:BK49"/>
    <mergeCell ref="BL49:BM49"/>
    <mergeCell ref="BN49:BO49"/>
    <mergeCell ref="AT49:AU49"/>
    <mergeCell ref="AV49:AW49"/>
    <mergeCell ref="AX49:AY49"/>
    <mergeCell ref="AZ49:BA49"/>
    <mergeCell ref="BB49:BC49"/>
    <mergeCell ref="BD49:BE49"/>
    <mergeCell ref="BF49:BG49"/>
    <mergeCell ref="C49:D49"/>
    <mergeCell ref="F49:G49"/>
    <mergeCell ref="H49:I49"/>
    <mergeCell ref="J49:K49"/>
    <mergeCell ref="L49:M49"/>
    <mergeCell ref="N49:O49"/>
    <mergeCell ref="P49:Q49"/>
    <mergeCell ref="C51:D51"/>
    <mergeCell ref="F51:G51"/>
    <mergeCell ref="H51:I51"/>
    <mergeCell ref="J51:K51"/>
    <mergeCell ref="L51:M51"/>
    <mergeCell ref="N51:O51"/>
    <mergeCell ref="P51:Q51"/>
    <mergeCell ref="R51:S51"/>
    <mergeCell ref="T51:U51"/>
    <mergeCell ref="V51:W51"/>
    <mergeCell ref="X51:Y51"/>
    <mergeCell ref="Z51:AA51"/>
    <mergeCell ref="AB51:AC51"/>
    <mergeCell ref="AD51:AE51"/>
    <mergeCell ref="AT51:AU51"/>
    <mergeCell ref="AV51:AW51"/>
    <mergeCell ref="AF51:AG51"/>
    <mergeCell ref="AH51:AI51"/>
    <mergeCell ref="AJ51:AK51"/>
    <mergeCell ref="AL51:AM51"/>
    <mergeCell ref="AN51:AO51"/>
    <mergeCell ref="AP51:AQ51"/>
    <mergeCell ref="AR51:AS51"/>
    <mergeCell ref="R53:S53"/>
    <mergeCell ref="T53:U53"/>
    <mergeCell ref="V53:W53"/>
    <mergeCell ref="X53:Y53"/>
    <mergeCell ref="Z53:AA53"/>
    <mergeCell ref="AB53:AC53"/>
    <mergeCell ref="AD53:AE53"/>
    <mergeCell ref="AF53:AG53"/>
    <mergeCell ref="AH53:AI53"/>
    <mergeCell ref="AJ53:AK53"/>
    <mergeCell ref="AL53:AM53"/>
    <mergeCell ref="AN53:AO53"/>
    <mergeCell ref="AP53:AQ53"/>
    <mergeCell ref="AR53:AS53"/>
    <mergeCell ref="BH53:BI53"/>
    <mergeCell ref="BJ53:BK53"/>
    <mergeCell ref="BL53:BM53"/>
    <mergeCell ref="BN53:BO53"/>
    <mergeCell ref="AT53:AU53"/>
    <mergeCell ref="AV53:AW53"/>
    <mergeCell ref="AX53:AY53"/>
    <mergeCell ref="AZ53:BA53"/>
    <mergeCell ref="BB53:BC53"/>
    <mergeCell ref="BD53:BE53"/>
    <mergeCell ref="BF53:BG53"/>
    <mergeCell ref="C53:D53"/>
    <mergeCell ref="F53:G53"/>
    <mergeCell ref="H53:I53"/>
    <mergeCell ref="J53:K53"/>
    <mergeCell ref="L53:M53"/>
    <mergeCell ref="N53:O53"/>
    <mergeCell ref="P53:Q53"/>
    <mergeCell ref="C59:D59"/>
    <mergeCell ref="F59:G59"/>
    <mergeCell ref="H59:I59"/>
    <mergeCell ref="J59:K59"/>
    <mergeCell ref="L59:M59"/>
    <mergeCell ref="N59:O59"/>
    <mergeCell ref="P59:Q59"/>
    <mergeCell ref="C60:D60"/>
    <mergeCell ref="C63:D63"/>
    <mergeCell ref="F63:G63"/>
    <mergeCell ref="H63:I63"/>
    <mergeCell ref="J63:K63"/>
    <mergeCell ref="L63:M63"/>
    <mergeCell ref="N63:O63"/>
    <mergeCell ref="R65:S65"/>
    <mergeCell ref="T65:U65"/>
    <mergeCell ref="V65:W65"/>
    <mergeCell ref="X65:Y65"/>
    <mergeCell ref="Z65:AA65"/>
    <mergeCell ref="AB65:AC65"/>
    <mergeCell ref="AD65:AE65"/>
    <mergeCell ref="AF65:AG65"/>
    <mergeCell ref="AH65:AI65"/>
    <mergeCell ref="AJ65:AK65"/>
    <mergeCell ref="AL65:AM65"/>
    <mergeCell ref="AN65:AO65"/>
    <mergeCell ref="AP65:AQ65"/>
    <mergeCell ref="AR65:AS65"/>
    <mergeCell ref="BH65:BI65"/>
    <mergeCell ref="BJ65:BK65"/>
    <mergeCell ref="BL65:BM65"/>
    <mergeCell ref="BN65:BO65"/>
    <mergeCell ref="AT65:AU65"/>
    <mergeCell ref="AV65:AW65"/>
    <mergeCell ref="AX65:AY65"/>
    <mergeCell ref="AZ65:BA65"/>
    <mergeCell ref="BB65:BC65"/>
    <mergeCell ref="BD65:BE65"/>
    <mergeCell ref="BF65:BG65"/>
    <mergeCell ref="C65:D65"/>
    <mergeCell ref="F65:G65"/>
    <mergeCell ref="H65:I65"/>
    <mergeCell ref="J65:K65"/>
    <mergeCell ref="L65:M65"/>
    <mergeCell ref="N65:O65"/>
    <mergeCell ref="P65:Q65"/>
    <mergeCell ref="BL135:BM135"/>
    <mergeCell ref="BN135:BO135"/>
    <mergeCell ref="AX135:AY135"/>
    <mergeCell ref="AZ135:BA135"/>
    <mergeCell ref="BB135:BC135"/>
    <mergeCell ref="BD135:BE135"/>
    <mergeCell ref="BF135:BG135"/>
    <mergeCell ref="BH135:BI135"/>
    <mergeCell ref="BJ135:BK135"/>
    <mergeCell ref="R133:S133"/>
    <mergeCell ref="T133:U133"/>
    <mergeCell ref="V133:W133"/>
    <mergeCell ref="X133:Y133"/>
    <mergeCell ref="Z133:AA133"/>
    <mergeCell ref="AB133:AC133"/>
    <mergeCell ref="AD133:AE133"/>
    <mergeCell ref="AF133:AG133"/>
    <mergeCell ref="AH133:AI133"/>
    <mergeCell ref="AJ133:AK133"/>
    <mergeCell ref="AL133:AM133"/>
    <mergeCell ref="AN133:AO133"/>
    <mergeCell ref="AP133:AQ133"/>
    <mergeCell ref="AR133:AS133"/>
    <mergeCell ref="BH133:BI133"/>
    <mergeCell ref="BJ133:BK133"/>
    <mergeCell ref="BL133:BM133"/>
    <mergeCell ref="BN133:BO133"/>
    <mergeCell ref="AT133:AU133"/>
    <mergeCell ref="AV133:AW133"/>
    <mergeCell ref="AX133:AY133"/>
    <mergeCell ref="AZ133:BA133"/>
    <mergeCell ref="BB133:BC133"/>
    <mergeCell ref="BD133:BE133"/>
    <mergeCell ref="BF133:BG133"/>
    <mergeCell ref="C133:D133"/>
    <mergeCell ref="F133:G133"/>
    <mergeCell ref="H133:I133"/>
    <mergeCell ref="J133:K133"/>
    <mergeCell ref="L133:M133"/>
    <mergeCell ref="N133:O133"/>
    <mergeCell ref="P133:Q133"/>
    <mergeCell ref="C135:D135"/>
    <mergeCell ref="F135:G135"/>
    <mergeCell ref="H135:I135"/>
    <mergeCell ref="J135:K135"/>
    <mergeCell ref="L135:M135"/>
    <mergeCell ref="N135:O135"/>
    <mergeCell ref="P135:Q135"/>
    <mergeCell ref="R135:S135"/>
    <mergeCell ref="T135:U135"/>
    <mergeCell ref="V135:W135"/>
    <mergeCell ref="X135:Y135"/>
    <mergeCell ref="Z135:AA135"/>
    <mergeCell ref="AB135:AC135"/>
    <mergeCell ref="AD135:AE135"/>
    <mergeCell ref="BL123:BM123"/>
    <mergeCell ref="BN123:BO123"/>
    <mergeCell ref="AX123:AY123"/>
    <mergeCell ref="AZ123:BA123"/>
    <mergeCell ref="BB123:BC123"/>
    <mergeCell ref="BD123:BE123"/>
    <mergeCell ref="BF123:BG123"/>
    <mergeCell ref="BH123:BI123"/>
    <mergeCell ref="BJ123:BK123"/>
    <mergeCell ref="R121:S121"/>
    <mergeCell ref="T121:U121"/>
    <mergeCell ref="V121:W121"/>
    <mergeCell ref="X121:Y121"/>
    <mergeCell ref="Z121:AA121"/>
    <mergeCell ref="AB121:AC121"/>
    <mergeCell ref="AD121:AE121"/>
    <mergeCell ref="AF121:AG121"/>
    <mergeCell ref="AH121:AI121"/>
    <mergeCell ref="AJ121:AK121"/>
    <mergeCell ref="AL121:AM121"/>
    <mergeCell ref="AN121:AO121"/>
    <mergeCell ref="AP121:AQ121"/>
    <mergeCell ref="AR121:AS121"/>
    <mergeCell ref="BH121:BI121"/>
    <mergeCell ref="BJ121:BK121"/>
    <mergeCell ref="BL121:BM121"/>
    <mergeCell ref="BN121:BO121"/>
    <mergeCell ref="AT121:AU121"/>
    <mergeCell ref="AV121:AW121"/>
    <mergeCell ref="AX121:AY121"/>
    <mergeCell ref="AZ121:BA121"/>
    <mergeCell ref="BB121:BC121"/>
    <mergeCell ref="BD121:BE121"/>
    <mergeCell ref="BF121:BG121"/>
    <mergeCell ref="C121:D121"/>
    <mergeCell ref="F121:G121"/>
    <mergeCell ref="H121:I121"/>
    <mergeCell ref="J121:K121"/>
    <mergeCell ref="L121:M121"/>
    <mergeCell ref="N121:O121"/>
    <mergeCell ref="P121:Q121"/>
    <mergeCell ref="C123:D123"/>
    <mergeCell ref="F123:G123"/>
    <mergeCell ref="H123:I123"/>
    <mergeCell ref="J123:K123"/>
    <mergeCell ref="L123:M123"/>
    <mergeCell ref="N123:O123"/>
    <mergeCell ref="P123:Q123"/>
    <mergeCell ref="R123:S123"/>
    <mergeCell ref="T123:U123"/>
    <mergeCell ref="V123:W123"/>
    <mergeCell ref="X123:Y123"/>
    <mergeCell ref="Z123:AA123"/>
    <mergeCell ref="AB123:AC123"/>
    <mergeCell ref="AD123:AE123"/>
    <mergeCell ref="AT123:AU123"/>
    <mergeCell ref="AV123:AW123"/>
    <mergeCell ref="AF123:AG123"/>
    <mergeCell ref="AH123:AI123"/>
    <mergeCell ref="AJ123:AK123"/>
    <mergeCell ref="AL123:AM123"/>
    <mergeCell ref="AN123:AO123"/>
    <mergeCell ref="AP123:AQ123"/>
    <mergeCell ref="AR123:AS123"/>
    <mergeCell ref="R125:S125"/>
    <mergeCell ref="T125:U125"/>
    <mergeCell ref="V125:W125"/>
    <mergeCell ref="X125:Y125"/>
    <mergeCell ref="Z125:AA125"/>
    <mergeCell ref="AB125:AC125"/>
    <mergeCell ref="AD125:AE125"/>
    <mergeCell ref="AF125:AG125"/>
    <mergeCell ref="AH125:AI125"/>
    <mergeCell ref="AJ125:AK125"/>
    <mergeCell ref="AL125:AM125"/>
    <mergeCell ref="AN125:AO125"/>
    <mergeCell ref="AP125:AQ125"/>
    <mergeCell ref="AR125:AS125"/>
    <mergeCell ref="BH125:BI125"/>
    <mergeCell ref="BJ125:BK125"/>
    <mergeCell ref="BL125:BM125"/>
    <mergeCell ref="BN125:BO125"/>
    <mergeCell ref="AT125:AU125"/>
    <mergeCell ref="AV125:AW125"/>
    <mergeCell ref="AX125:AY125"/>
    <mergeCell ref="AZ125:BA125"/>
    <mergeCell ref="BB125:BC125"/>
    <mergeCell ref="BD125:BE125"/>
    <mergeCell ref="BF125:BG125"/>
    <mergeCell ref="C125:D125"/>
    <mergeCell ref="F125:G125"/>
    <mergeCell ref="H125:I125"/>
    <mergeCell ref="J125:K125"/>
    <mergeCell ref="L125:M125"/>
    <mergeCell ref="N125:O125"/>
    <mergeCell ref="P125:Q125"/>
    <mergeCell ref="BL129:BM129"/>
    <mergeCell ref="BN129:BO129"/>
    <mergeCell ref="AX129:AY129"/>
    <mergeCell ref="AZ129:BA129"/>
    <mergeCell ref="BB129:BC129"/>
    <mergeCell ref="BD129:BE129"/>
    <mergeCell ref="BF129:BG129"/>
    <mergeCell ref="BH129:BI129"/>
    <mergeCell ref="BJ129:BK129"/>
    <mergeCell ref="R127:S127"/>
    <mergeCell ref="T127:U127"/>
    <mergeCell ref="V127:W127"/>
    <mergeCell ref="X127:Y127"/>
    <mergeCell ref="Z127:AA127"/>
    <mergeCell ref="AB127:AC127"/>
    <mergeCell ref="AD127:AE127"/>
    <mergeCell ref="AF127:AG127"/>
    <mergeCell ref="AH127:AI127"/>
    <mergeCell ref="AJ127:AK127"/>
    <mergeCell ref="AL127:AM127"/>
    <mergeCell ref="AN127:AO127"/>
    <mergeCell ref="AP127:AQ127"/>
    <mergeCell ref="AR127:AS127"/>
    <mergeCell ref="BH127:BI127"/>
    <mergeCell ref="BJ127:BK127"/>
    <mergeCell ref="BL127:BM127"/>
    <mergeCell ref="BN127:BO127"/>
    <mergeCell ref="AT127:AU127"/>
    <mergeCell ref="AV127:AW127"/>
    <mergeCell ref="AX127:AY127"/>
    <mergeCell ref="AZ127:BA127"/>
    <mergeCell ref="BB127:BC127"/>
    <mergeCell ref="BD127:BE127"/>
    <mergeCell ref="BF127:BG127"/>
    <mergeCell ref="C127:D127"/>
    <mergeCell ref="F127:G127"/>
    <mergeCell ref="H127:I127"/>
    <mergeCell ref="J127:K127"/>
    <mergeCell ref="L127:M127"/>
    <mergeCell ref="N127:O127"/>
    <mergeCell ref="P127:Q127"/>
    <mergeCell ref="C129:D129"/>
    <mergeCell ref="F129:G129"/>
    <mergeCell ref="H129:I129"/>
    <mergeCell ref="J129:K129"/>
    <mergeCell ref="L129:M129"/>
    <mergeCell ref="N129:O129"/>
    <mergeCell ref="P129:Q129"/>
    <mergeCell ref="R129:S129"/>
    <mergeCell ref="T129:U129"/>
    <mergeCell ref="V129:W129"/>
    <mergeCell ref="X129:Y129"/>
    <mergeCell ref="Z129:AA129"/>
    <mergeCell ref="AB129:AC129"/>
    <mergeCell ref="AD129:AE129"/>
    <mergeCell ref="AT129:AU129"/>
    <mergeCell ref="AV129:AW129"/>
    <mergeCell ref="AF129:AG129"/>
    <mergeCell ref="AH129:AI129"/>
    <mergeCell ref="AJ129:AK129"/>
    <mergeCell ref="AL129:AM129"/>
    <mergeCell ref="AN129:AO129"/>
    <mergeCell ref="AP129:AQ129"/>
    <mergeCell ref="AR129:AS129"/>
    <mergeCell ref="R131:S131"/>
    <mergeCell ref="T131:U131"/>
    <mergeCell ref="V131:W131"/>
    <mergeCell ref="X131:Y131"/>
    <mergeCell ref="Z131:AA131"/>
    <mergeCell ref="AB131:AC131"/>
    <mergeCell ref="AD131:AE131"/>
    <mergeCell ref="AF131:AG131"/>
    <mergeCell ref="AH131:AI131"/>
    <mergeCell ref="AJ131:AK131"/>
    <mergeCell ref="AL131:AM131"/>
    <mergeCell ref="AN131:AO131"/>
    <mergeCell ref="AP131:AQ131"/>
    <mergeCell ref="AR131:AS131"/>
    <mergeCell ref="BH131:BI131"/>
    <mergeCell ref="BJ131:BK131"/>
    <mergeCell ref="BL131:BM131"/>
    <mergeCell ref="BN131:BO131"/>
    <mergeCell ref="AT131:AU131"/>
    <mergeCell ref="AV131:AW131"/>
    <mergeCell ref="AX131:AY131"/>
    <mergeCell ref="AZ131:BA131"/>
    <mergeCell ref="BB131:BC131"/>
    <mergeCell ref="BD131:BE131"/>
    <mergeCell ref="BF131:BG131"/>
    <mergeCell ref="C131:D131"/>
    <mergeCell ref="F131:G131"/>
    <mergeCell ref="H131:I131"/>
    <mergeCell ref="J131:K131"/>
    <mergeCell ref="L131:M131"/>
    <mergeCell ref="N131:O131"/>
    <mergeCell ref="P131:Q131"/>
    <mergeCell ref="AT135:AU135"/>
    <mergeCell ref="AV135:AW135"/>
    <mergeCell ref="AF135:AG135"/>
    <mergeCell ref="AH135:AI135"/>
    <mergeCell ref="AJ135:AK135"/>
    <mergeCell ref="AL135:AM135"/>
    <mergeCell ref="AN135:AO135"/>
    <mergeCell ref="AP135:AQ135"/>
    <mergeCell ref="AR135:AS135"/>
    <mergeCell ref="R137:S137"/>
    <mergeCell ref="T137:U137"/>
    <mergeCell ref="V137:W137"/>
    <mergeCell ref="X137:Y137"/>
    <mergeCell ref="Z137:AA137"/>
    <mergeCell ref="AB137:AC137"/>
    <mergeCell ref="AD137:AE137"/>
    <mergeCell ref="AF137:AG137"/>
    <mergeCell ref="AH137:AI137"/>
    <mergeCell ref="AJ137:AK137"/>
    <mergeCell ref="AL137:AM137"/>
    <mergeCell ref="AN137:AO137"/>
    <mergeCell ref="AP137:AQ137"/>
    <mergeCell ref="AR137:AS137"/>
    <mergeCell ref="BH137:BI137"/>
    <mergeCell ref="BJ137:BK137"/>
    <mergeCell ref="BL137:BM137"/>
    <mergeCell ref="BN137:BO137"/>
    <mergeCell ref="AT137:AU137"/>
    <mergeCell ref="AV137:AW137"/>
    <mergeCell ref="AX137:AY137"/>
    <mergeCell ref="AZ137:BA137"/>
    <mergeCell ref="BB137:BC137"/>
    <mergeCell ref="BD137:BE137"/>
    <mergeCell ref="BF137:BG137"/>
    <mergeCell ref="C137:D137"/>
    <mergeCell ref="F137:G137"/>
    <mergeCell ref="H137:I137"/>
    <mergeCell ref="J137:K137"/>
    <mergeCell ref="L137:M137"/>
    <mergeCell ref="N137:O137"/>
    <mergeCell ref="P137:Q137"/>
    <mergeCell ref="BL359:BM359"/>
    <mergeCell ref="BN359:BO359"/>
    <mergeCell ref="AX359:AY359"/>
    <mergeCell ref="AZ359:BA359"/>
    <mergeCell ref="BB359:BC359"/>
    <mergeCell ref="BD359:BE359"/>
    <mergeCell ref="BF359:BG359"/>
    <mergeCell ref="BH359:BI359"/>
    <mergeCell ref="BJ359:BK359"/>
    <mergeCell ref="R357:S357"/>
    <mergeCell ref="T357:U357"/>
    <mergeCell ref="V357:W357"/>
    <mergeCell ref="X357:Y357"/>
    <mergeCell ref="Z357:AA357"/>
    <mergeCell ref="AB357:AC357"/>
    <mergeCell ref="AD357:AE357"/>
    <mergeCell ref="AF357:AG357"/>
    <mergeCell ref="AH357:AI357"/>
    <mergeCell ref="AJ357:AK357"/>
    <mergeCell ref="AL357:AM357"/>
    <mergeCell ref="AN357:AO357"/>
    <mergeCell ref="AP357:AQ357"/>
    <mergeCell ref="AR357:AS357"/>
    <mergeCell ref="BH357:BI357"/>
    <mergeCell ref="BJ357:BK357"/>
    <mergeCell ref="BL357:BM357"/>
    <mergeCell ref="BN357:BO357"/>
    <mergeCell ref="AT357:AU357"/>
    <mergeCell ref="AV357:AW357"/>
    <mergeCell ref="AX357:AY357"/>
    <mergeCell ref="AZ357:BA357"/>
    <mergeCell ref="BB357:BC357"/>
    <mergeCell ref="BD357:BE357"/>
    <mergeCell ref="BF357:BG357"/>
    <mergeCell ref="C357:D357"/>
    <mergeCell ref="F357:G357"/>
    <mergeCell ref="H357:I357"/>
    <mergeCell ref="J357:K357"/>
    <mergeCell ref="L357:M357"/>
    <mergeCell ref="N357:O357"/>
    <mergeCell ref="P357:Q357"/>
    <mergeCell ref="C359:D359"/>
    <mergeCell ref="F359:G359"/>
    <mergeCell ref="H359:I359"/>
    <mergeCell ref="J359:K359"/>
    <mergeCell ref="L359:M359"/>
    <mergeCell ref="N359:O359"/>
    <mergeCell ref="P359:Q359"/>
    <mergeCell ref="R359:S359"/>
    <mergeCell ref="T359:U359"/>
    <mergeCell ref="V359:W359"/>
    <mergeCell ref="X359:Y359"/>
    <mergeCell ref="Z359:AA359"/>
    <mergeCell ref="AB359:AC359"/>
    <mergeCell ref="AD359:AE359"/>
    <mergeCell ref="BL141:BM141"/>
    <mergeCell ref="BN141:BO141"/>
    <mergeCell ref="AX141:AY141"/>
    <mergeCell ref="AZ141:BA141"/>
    <mergeCell ref="BB141:BC141"/>
    <mergeCell ref="BD141:BE141"/>
    <mergeCell ref="BF141:BG141"/>
    <mergeCell ref="BH141:BI141"/>
    <mergeCell ref="BJ141:BK141"/>
    <mergeCell ref="R139:S139"/>
    <mergeCell ref="T139:U139"/>
    <mergeCell ref="V139:W139"/>
    <mergeCell ref="X139:Y139"/>
    <mergeCell ref="Z139:AA139"/>
    <mergeCell ref="AB139:AC139"/>
    <mergeCell ref="AD139:AE139"/>
    <mergeCell ref="AF139:AG139"/>
    <mergeCell ref="AH139:AI139"/>
    <mergeCell ref="AJ139:AK139"/>
    <mergeCell ref="AL139:AM139"/>
    <mergeCell ref="AN139:AO139"/>
    <mergeCell ref="AP139:AQ139"/>
    <mergeCell ref="AR139:AS139"/>
    <mergeCell ref="BH139:BI139"/>
    <mergeCell ref="BJ139:BK139"/>
    <mergeCell ref="BL139:BM139"/>
    <mergeCell ref="BN139:BO139"/>
    <mergeCell ref="AT139:AU139"/>
    <mergeCell ref="AV139:AW139"/>
    <mergeCell ref="AX139:AY139"/>
    <mergeCell ref="AZ139:BA139"/>
    <mergeCell ref="BB139:BC139"/>
    <mergeCell ref="BD139:BE139"/>
    <mergeCell ref="BF139:BG139"/>
    <mergeCell ref="C139:D139"/>
    <mergeCell ref="F139:G139"/>
    <mergeCell ref="H139:I139"/>
    <mergeCell ref="J139:K139"/>
    <mergeCell ref="L139:M139"/>
    <mergeCell ref="N139:O139"/>
    <mergeCell ref="P139:Q139"/>
    <mergeCell ref="C141:D141"/>
    <mergeCell ref="F141:G141"/>
    <mergeCell ref="H141:I141"/>
    <mergeCell ref="J141:K141"/>
    <mergeCell ref="L141:M141"/>
    <mergeCell ref="N141:O141"/>
    <mergeCell ref="P141:Q141"/>
    <mergeCell ref="R141:S141"/>
    <mergeCell ref="T141:U141"/>
    <mergeCell ref="V141:W141"/>
    <mergeCell ref="X141:Y141"/>
    <mergeCell ref="Z141:AA141"/>
    <mergeCell ref="AB141:AC141"/>
    <mergeCell ref="AD141:AE141"/>
    <mergeCell ref="AT141:AU141"/>
    <mergeCell ref="AV141:AW141"/>
    <mergeCell ref="AF141:AG141"/>
    <mergeCell ref="AH141:AI141"/>
    <mergeCell ref="AJ141:AK141"/>
    <mergeCell ref="AL141:AM141"/>
    <mergeCell ref="AN141:AO141"/>
    <mergeCell ref="AP141:AQ141"/>
    <mergeCell ref="AR141:AS141"/>
    <mergeCell ref="R143:S143"/>
    <mergeCell ref="T143:U143"/>
    <mergeCell ref="V143:W143"/>
    <mergeCell ref="X143:Y143"/>
    <mergeCell ref="Z143:AA143"/>
    <mergeCell ref="AB143:AC143"/>
    <mergeCell ref="AD143:AE143"/>
    <mergeCell ref="AF143:AG143"/>
    <mergeCell ref="AH143:AI143"/>
    <mergeCell ref="AJ143:AK143"/>
    <mergeCell ref="AL143:AM143"/>
    <mergeCell ref="AN143:AO143"/>
    <mergeCell ref="AP143:AQ143"/>
    <mergeCell ref="AR143:AS143"/>
    <mergeCell ref="BH143:BI143"/>
    <mergeCell ref="BJ143:BK143"/>
    <mergeCell ref="BL143:BM143"/>
    <mergeCell ref="BN143:BO143"/>
    <mergeCell ref="AT143:AU143"/>
    <mergeCell ref="AV143:AW143"/>
    <mergeCell ref="AX143:AY143"/>
    <mergeCell ref="AZ143:BA143"/>
    <mergeCell ref="BB143:BC143"/>
    <mergeCell ref="BD143:BE143"/>
    <mergeCell ref="BF143:BG143"/>
    <mergeCell ref="C143:D143"/>
    <mergeCell ref="F143:G143"/>
    <mergeCell ref="H143:I143"/>
    <mergeCell ref="J143:K143"/>
    <mergeCell ref="L143:M143"/>
    <mergeCell ref="N143:O143"/>
    <mergeCell ref="P143:Q143"/>
    <mergeCell ref="BL353:BM353"/>
    <mergeCell ref="BN353:BO353"/>
    <mergeCell ref="AX353:AY353"/>
    <mergeCell ref="AZ353:BA353"/>
    <mergeCell ref="BB353:BC353"/>
    <mergeCell ref="BD353:BE353"/>
    <mergeCell ref="BF353:BG353"/>
    <mergeCell ref="BH353:BI353"/>
    <mergeCell ref="BJ353:BK353"/>
    <mergeCell ref="P351:Q351"/>
    <mergeCell ref="R351:S351"/>
    <mergeCell ref="T351:U351"/>
    <mergeCell ref="V351:W351"/>
    <mergeCell ref="X351:Y351"/>
    <mergeCell ref="Z351:AA351"/>
    <mergeCell ref="AB351:AC351"/>
    <mergeCell ref="AD351:AE351"/>
    <mergeCell ref="AF351:AG351"/>
    <mergeCell ref="AH351:AI351"/>
    <mergeCell ref="AJ351:AK351"/>
    <mergeCell ref="AL351:AM351"/>
    <mergeCell ref="AN351:AO351"/>
    <mergeCell ref="AP351:AQ351"/>
    <mergeCell ref="BF351:BG351"/>
    <mergeCell ref="BH351:BI351"/>
    <mergeCell ref="BJ351:BK351"/>
    <mergeCell ref="BL351:BM351"/>
    <mergeCell ref="BN351:BO351"/>
    <mergeCell ref="AR351:AS351"/>
    <mergeCell ref="AT351:AU351"/>
    <mergeCell ref="AV351:AW351"/>
    <mergeCell ref="AX351:AY351"/>
    <mergeCell ref="AZ351:BA351"/>
    <mergeCell ref="BB351:BC351"/>
    <mergeCell ref="BD351:BE351"/>
    <mergeCell ref="C348:D348"/>
    <mergeCell ref="C351:D351"/>
    <mergeCell ref="F351:G351"/>
    <mergeCell ref="H351:I351"/>
    <mergeCell ref="J351:K351"/>
    <mergeCell ref="L351:M351"/>
    <mergeCell ref="N351:O351"/>
    <mergeCell ref="C353:D353"/>
    <mergeCell ref="F353:G353"/>
    <mergeCell ref="H353:I353"/>
    <mergeCell ref="J353:K353"/>
    <mergeCell ref="L353:M353"/>
    <mergeCell ref="N353:O353"/>
    <mergeCell ref="P353:Q353"/>
    <mergeCell ref="R353:S353"/>
    <mergeCell ref="T353:U353"/>
    <mergeCell ref="V353:W353"/>
    <mergeCell ref="X353:Y353"/>
    <mergeCell ref="Z353:AA353"/>
    <mergeCell ref="AB353:AC353"/>
    <mergeCell ref="AD353:AE353"/>
    <mergeCell ref="AT353:AU353"/>
    <mergeCell ref="AV353:AW353"/>
    <mergeCell ref="AF353:AG353"/>
    <mergeCell ref="AH353:AI353"/>
    <mergeCell ref="AJ353:AK353"/>
    <mergeCell ref="AL353:AM353"/>
    <mergeCell ref="AN353:AO353"/>
    <mergeCell ref="AP353:AQ353"/>
    <mergeCell ref="AR353:AS353"/>
    <mergeCell ref="R355:S355"/>
    <mergeCell ref="T355:U355"/>
    <mergeCell ref="V355:W355"/>
    <mergeCell ref="X355:Y355"/>
    <mergeCell ref="Z355:AA355"/>
    <mergeCell ref="AB355:AC355"/>
    <mergeCell ref="AD355:AE355"/>
    <mergeCell ref="AF355:AG355"/>
    <mergeCell ref="AH355:AI355"/>
    <mergeCell ref="AJ355:AK355"/>
    <mergeCell ref="AL355:AM355"/>
    <mergeCell ref="AN355:AO355"/>
    <mergeCell ref="AP355:AQ355"/>
    <mergeCell ref="AR355:AS355"/>
    <mergeCell ref="BH355:BI355"/>
    <mergeCell ref="BJ355:BK355"/>
    <mergeCell ref="BL355:BM355"/>
    <mergeCell ref="BN355:BO355"/>
    <mergeCell ref="AT355:AU355"/>
    <mergeCell ref="AV355:AW355"/>
    <mergeCell ref="AX355:AY355"/>
    <mergeCell ref="AZ355:BA355"/>
    <mergeCell ref="BB355:BC355"/>
    <mergeCell ref="BD355:BE355"/>
    <mergeCell ref="BF355:BG355"/>
    <mergeCell ref="C355:D355"/>
    <mergeCell ref="F355:G355"/>
    <mergeCell ref="H355:I355"/>
    <mergeCell ref="J355:K355"/>
    <mergeCell ref="L355:M355"/>
    <mergeCell ref="N355:O355"/>
    <mergeCell ref="P355:Q355"/>
    <mergeCell ref="AT359:AU359"/>
    <mergeCell ref="AV359:AW359"/>
    <mergeCell ref="AF359:AG359"/>
    <mergeCell ref="AH359:AI359"/>
    <mergeCell ref="AJ359:AK359"/>
    <mergeCell ref="AL359:AM359"/>
    <mergeCell ref="AN359:AO359"/>
    <mergeCell ref="AP359:AQ359"/>
    <mergeCell ref="AR359:AS359"/>
    <mergeCell ref="R361:S361"/>
    <mergeCell ref="T361:U361"/>
    <mergeCell ref="V361:W361"/>
    <mergeCell ref="X361:Y361"/>
    <mergeCell ref="Z361:AA361"/>
    <mergeCell ref="AB361:AC361"/>
    <mergeCell ref="AD361:AE361"/>
    <mergeCell ref="AF361:AG361"/>
    <mergeCell ref="AH361:AI361"/>
    <mergeCell ref="AJ361:AK361"/>
    <mergeCell ref="AL361:AM361"/>
    <mergeCell ref="AN361:AO361"/>
    <mergeCell ref="AP361:AQ361"/>
    <mergeCell ref="AR361:AS361"/>
    <mergeCell ref="BH361:BI361"/>
    <mergeCell ref="BJ361:BK361"/>
    <mergeCell ref="BL361:BM361"/>
    <mergeCell ref="BN361:BO361"/>
    <mergeCell ref="AT361:AU361"/>
    <mergeCell ref="AV361:AW361"/>
    <mergeCell ref="AX361:AY361"/>
    <mergeCell ref="AZ361:BA361"/>
    <mergeCell ref="BB361:BC361"/>
    <mergeCell ref="BD361:BE361"/>
    <mergeCell ref="BF361:BG361"/>
    <mergeCell ref="C361:D361"/>
    <mergeCell ref="F361:G361"/>
    <mergeCell ref="H361:I361"/>
    <mergeCell ref="J361:K361"/>
    <mergeCell ref="L361:M361"/>
    <mergeCell ref="N361:O361"/>
    <mergeCell ref="P361:Q361"/>
    <mergeCell ref="BL377:BM377"/>
    <mergeCell ref="BN377:BO377"/>
    <mergeCell ref="AX377:AY377"/>
    <mergeCell ref="AZ377:BA377"/>
    <mergeCell ref="BB377:BC377"/>
    <mergeCell ref="BD377:BE377"/>
    <mergeCell ref="BF377:BG377"/>
    <mergeCell ref="BH377:BI377"/>
    <mergeCell ref="BJ377:BK377"/>
    <mergeCell ref="R375:S375"/>
    <mergeCell ref="T375:U375"/>
    <mergeCell ref="V375:W375"/>
    <mergeCell ref="X375:Y375"/>
    <mergeCell ref="Z375:AA375"/>
    <mergeCell ref="AB375:AC375"/>
    <mergeCell ref="AD375:AE375"/>
    <mergeCell ref="AF375:AG375"/>
    <mergeCell ref="AH375:AI375"/>
    <mergeCell ref="AJ375:AK375"/>
    <mergeCell ref="AL375:AM375"/>
    <mergeCell ref="AN375:AO375"/>
    <mergeCell ref="AP375:AQ375"/>
    <mergeCell ref="AR375:AS375"/>
    <mergeCell ref="BH375:BI375"/>
    <mergeCell ref="BJ375:BK375"/>
    <mergeCell ref="BL375:BM375"/>
    <mergeCell ref="BN375:BO375"/>
    <mergeCell ref="AT375:AU375"/>
    <mergeCell ref="AV375:AW375"/>
    <mergeCell ref="AX375:AY375"/>
    <mergeCell ref="AZ375:BA375"/>
    <mergeCell ref="BB375:BC375"/>
    <mergeCell ref="BD375:BE375"/>
    <mergeCell ref="BF375:BG375"/>
    <mergeCell ref="C375:D375"/>
    <mergeCell ref="F375:G375"/>
    <mergeCell ref="H375:I375"/>
    <mergeCell ref="J375:K375"/>
    <mergeCell ref="L375:M375"/>
    <mergeCell ref="N375:O375"/>
    <mergeCell ref="P375:Q375"/>
    <mergeCell ref="C377:D377"/>
    <mergeCell ref="F377:G377"/>
    <mergeCell ref="H377:I377"/>
    <mergeCell ref="J377:K377"/>
    <mergeCell ref="L377:M377"/>
    <mergeCell ref="N377:O377"/>
    <mergeCell ref="P377:Q377"/>
    <mergeCell ref="R377:S377"/>
    <mergeCell ref="T377:U377"/>
    <mergeCell ref="V377:W377"/>
    <mergeCell ref="X377:Y377"/>
    <mergeCell ref="Z377:AA377"/>
    <mergeCell ref="AB377:AC377"/>
    <mergeCell ref="AD377:AE377"/>
    <mergeCell ref="BL365:BM365"/>
    <mergeCell ref="BN365:BO365"/>
    <mergeCell ref="AX365:AY365"/>
    <mergeCell ref="AZ365:BA365"/>
    <mergeCell ref="BB365:BC365"/>
    <mergeCell ref="BD365:BE365"/>
    <mergeCell ref="BF365:BG365"/>
    <mergeCell ref="BH365:BI365"/>
    <mergeCell ref="BJ365:BK365"/>
    <mergeCell ref="R363:S363"/>
    <mergeCell ref="T363:U363"/>
    <mergeCell ref="V363:W363"/>
    <mergeCell ref="X363:Y363"/>
    <mergeCell ref="Z363:AA363"/>
    <mergeCell ref="AB363:AC363"/>
    <mergeCell ref="AD363:AE363"/>
    <mergeCell ref="AF363:AG363"/>
    <mergeCell ref="AH363:AI363"/>
    <mergeCell ref="AJ363:AK363"/>
    <mergeCell ref="AL363:AM363"/>
    <mergeCell ref="AN363:AO363"/>
    <mergeCell ref="AP363:AQ363"/>
    <mergeCell ref="AR363:AS363"/>
    <mergeCell ref="BH363:BI363"/>
    <mergeCell ref="BJ363:BK363"/>
    <mergeCell ref="BL363:BM363"/>
    <mergeCell ref="BN363:BO363"/>
    <mergeCell ref="AT363:AU363"/>
    <mergeCell ref="AV363:AW363"/>
    <mergeCell ref="AX363:AY363"/>
    <mergeCell ref="AZ363:BA363"/>
    <mergeCell ref="BB363:BC363"/>
    <mergeCell ref="BD363:BE363"/>
    <mergeCell ref="BF363:BG363"/>
    <mergeCell ref="C363:D363"/>
    <mergeCell ref="F363:G363"/>
    <mergeCell ref="H363:I363"/>
    <mergeCell ref="J363:K363"/>
    <mergeCell ref="L363:M363"/>
    <mergeCell ref="N363:O363"/>
    <mergeCell ref="P363:Q363"/>
    <mergeCell ref="C365:D365"/>
    <mergeCell ref="F365:G365"/>
    <mergeCell ref="H365:I365"/>
    <mergeCell ref="J365:K365"/>
    <mergeCell ref="L365:M365"/>
    <mergeCell ref="N365:O365"/>
    <mergeCell ref="P365:Q365"/>
    <mergeCell ref="R365:S365"/>
    <mergeCell ref="T365:U365"/>
    <mergeCell ref="V365:W365"/>
    <mergeCell ref="X365:Y365"/>
    <mergeCell ref="Z365:AA365"/>
    <mergeCell ref="AB365:AC365"/>
    <mergeCell ref="AD365:AE365"/>
    <mergeCell ref="AR371:AS371"/>
    <mergeCell ref="AT371:AU371"/>
    <mergeCell ref="AD371:AE371"/>
    <mergeCell ref="AF371:AG371"/>
    <mergeCell ref="AH371:AI371"/>
    <mergeCell ref="AJ371:AK371"/>
    <mergeCell ref="AL371:AM371"/>
    <mergeCell ref="AN371:AO371"/>
    <mergeCell ref="AP371:AQ371"/>
    <mergeCell ref="BJ371:BK371"/>
    <mergeCell ref="BL371:BM371"/>
    <mergeCell ref="AV371:AW371"/>
    <mergeCell ref="AX371:AY371"/>
    <mergeCell ref="AZ371:BA371"/>
    <mergeCell ref="BB371:BC371"/>
    <mergeCell ref="BD371:BE371"/>
    <mergeCell ref="BF371:BG371"/>
    <mergeCell ref="BH371:BI371"/>
    <mergeCell ref="AT365:AU365"/>
    <mergeCell ref="AV365:AW365"/>
    <mergeCell ref="AF365:AG365"/>
    <mergeCell ref="AH365:AI365"/>
    <mergeCell ref="AJ365:AK365"/>
    <mergeCell ref="AL365:AM365"/>
    <mergeCell ref="AN365:AO365"/>
    <mergeCell ref="AP365:AQ365"/>
    <mergeCell ref="AR365:AS365"/>
    <mergeCell ref="R367:S367"/>
    <mergeCell ref="T367:U367"/>
    <mergeCell ref="V367:W367"/>
    <mergeCell ref="X367:Y367"/>
    <mergeCell ref="Z367:AA367"/>
    <mergeCell ref="AB367:AC367"/>
    <mergeCell ref="AD367:AE367"/>
    <mergeCell ref="AF367:AG367"/>
    <mergeCell ref="AH367:AI367"/>
    <mergeCell ref="AJ367:AK367"/>
    <mergeCell ref="AL367:AM367"/>
    <mergeCell ref="AN367:AO367"/>
    <mergeCell ref="AP367:AQ367"/>
    <mergeCell ref="AR367:AS367"/>
    <mergeCell ref="BH367:BI367"/>
    <mergeCell ref="BJ367:BK367"/>
    <mergeCell ref="BL367:BM367"/>
    <mergeCell ref="BN367:BO367"/>
    <mergeCell ref="BN371:BO371"/>
    <mergeCell ref="AT367:AU367"/>
    <mergeCell ref="AV367:AW367"/>
    <mergeCell ref="AX367:AY367"/>
    <mergeCell ref="AZ367:BA367"/>
    <mergeCell ref="BB367:BC367"/>
    <mergeCell ref="BD367:BE367"/>
    <mergeCell ref="BF367:BG367"/>
    <mergeCell ref="P371:Q371"/>
    <mergeCell ref="R371:S371"/>
    <mergeCell ref="T371:U371"/>
    <mergeCell ref="V371:W371"/>
    <mergeCell ref="X371:Y371"/>
    <mergeCell ref="Z371:AA371"/>
    <mergeCell ref="AB371:AC371"/>
    <mergeCell ref="C367:D367"/>
    <mergeCell ref="F367:G367"/>
    <mergeCell ref="H367:I367"/>
    <mergeCell ref="J367:K367"/>
    <mergeCell ref="L367:M367"/>
    <mergeCell ref="N367:O367"/>
    <mergeCell ref="P367:Q367"/>
    <mergeCell ref="C368:D368"/>
    <mergeCell ref="C371:D371"/>
    <mergeCell ref="F371:G371"/>
    <mergeCell ref="H371:I371"/>
    <mergeCell ref="J371:K371"/>
    <mergeCell ref="L371:M371"/>
    <mergeCell ref="N371:O371"/>
    <mergeCell ref="R373:S373"/>
    <mergeCell ref="T373:U373"/>
    <mergeCell ref="V373:W373"/>
    <mergeCell ref="X373:Y373"/>
    <mergeCell ref="Z373:AA373"/>
    <mergeCell ref="AB373:AC373"/>
    <mergeCell ref="AD373:AE373"/>
    <mergeCell ref="AF373:AG373"/>
    <mergeCell ref="AH373:AI373"/>
    <mergeCell ref="AJ373:AK373"/>
    <mergeCell ref="AL373:AM373"/>
    <mergeCell ref="AN373:AO373"/>
    <mergeCell ref="AP373:AQ373"/>
    <mergeCell ref="AR373:AS373"/>
    <mergeCell ref="BH373:BI373"/>
    <mergeCell ref="BJ373:BK373"/>
    <mergeCell ref="BL373:BM373"/>
    <mergeCell ref="BN373:BO373"/>
    <mergeCell ref="AT373:AU373"/>
    <mergeCell ref="AV373:AW373"/>
    <mergeCell ref="AX373:AY373"/>
    <mergeCell ref="AZ373:BA373"/>
    <mergeCell ref="BB373:BC373"/>
    <mergeCell ref="BD373:BE373"/>
    <mergeCell ref="BF373:BG373"/>
    <mergeCell ref="C373:D373"/>
    <mergeCell ref="F373:G373"/>
    <mergeCell ref="H373:I373"/>
    <mergeCell ref="J373:K373"/>
    <mergeCell ref="L373:M373"/>
    <mergeCell ref="N373:O373"/>
    <mergeCell ref="P373:Q373"/>
    <mergeCell ref="AT377:AU377"/>
    <mergeCell ref="AV377:AW377"/>
    <mergeCell ref="AF377:AG377"/>
    <mergeCell ref="AH377:AI377"/>
    <mergeCell ref="AJ377:AK377"/>
    <mergeCell ref="AL377:AM377"/>
    <mergeCell ref="AN377:AO377"/>
    <mergeCell ref="AP377:AQ377"/>
    <mergeCell ref="AR377:AS377"/>
    <mergeCell ref="R379:S379"/>
    <mergeCell ref="T379:U379"/>
    <mergeCell ref="V379:W379"/>
    <mergeCell ref="X379:Y379"/>
    <mergeCell ref="Z379:AA379"/>
    <mergeCell ref="AB379:AC379"/>
    <mergeCell ref="AD379:AE379"/>
    <mergeCell ref="AF379:AG379"/>
    <mergeCell ref="AH379:AI379"/>
    <mergeCell ref="AJ379:AK379"/>
    <mergeCell ref="AL379:AM379"/>
    <mergeCell ref="AN379:AO379"/>
    <mergeCell ref="AP379:AQ379"/>
    <mergeCell ref="AR379:AS379"/>
    <mergeCell ref="BH379:BI379"/>
    <mergeCell ref="BJ379:BK379"/>
    <mergeCell ref="BL379:BM379"/>
    <mergeCell ref="BN379:BO379"/>
    <mergeCell ref="AT379:AU379"/>
    <mergeCell ref="AV379:AW379"/>
    <mergeCell ref="AX379:AY379"/>
    <mergeCell ref="AZ379:BA379"/>
    <mergeCell ref="BB379:BC379"/>
    <mergeCell ref="BD379:BE379"/>
    <mergeCell ref="BF379:BG379"/>
    <mergeCell ref="C379:D379"/>
    <mergeCell ref="F379:G379"/>
    <mergeCell ref="H379:I379"/>
    <mergeCell ref="J379:K379"/>
    <mergeCell ref="L379:M379"/>
    <mergeCell ref="N379:O379"/>
    <mergeCell ref="P379:Q379"/>
    <mergeCell ref="BL397:BM397"/>
    <mergeCell ref="BN397:BO397"/>
    <mergeCell ref="AX397:AY397"/>
    <mergeCell ref="AZ397:BA397"/>
    <mergeCell ref="BB397:BC397"/>
    <mergeCell ref="BD397:BE397"/>
    <mergeCell ref="BF397:BG397"/>
    <mergeCell ref="BH397:BI397"/>
    <mergeCell ref="BJ397:BK397"/>
    <mergeCell ref="R395:S395"/>
    <mergeCell ref="T395:U395"/>
    <mergeCell ref="V395:W395"/>
    <mergeCell ref="X395:Y395"/>
    <mergeCell ref="Z395:AA395"/>
    <mergeCell ref="AB395:AC395"/>
    <mergeCell ref="AD395:AE395"/>
    <mergeCell ref="AF395:AG395"/>
    <mergeCell ref="AH395:AI395"/>
    <mergeCell ref="AJ395:AK395"/>
    <mergeCell ref="AL395:AM395"/>
    <mergeCell ref="AN395:AO395"/>
    <mergeCell ref="AP395:AQ395"/>
    <mergeCell ref="AR395:AS395"/>
    <mergeCell ref="BH395:BI395"/>
    <mergeCell ref="BJ395:BK395"/>
    <mergeCell ref="BL395:BM395"/>
    <mergeCell ref="BN395:BO395"/>
    <mergeCell ref="AT395:AU395"/>
    <mergeCell ref="AV395:AW395"/>
    <mergeCell ref="AX395:AY395"/>
    <mergeCell ref="AZ395:BA395"/>
    <mergeCell ref="BB395:BC395"/>
    <mergeCell ref="BD395:BE395"/>
    <mergeCell ref="BF395:BG395"/>
    <mergeCell ref="C395:D395"/>
    <mergeCell ref="F395:G395"/>
    <mergeCell ref="H395:I395"/>
    <mergeCell ref="J395:K395"/>
    <mergeCell ref="L395:M395"/>
    <mergeCell ref="N395:O395"/>
    <mergeCell ref="P395:Q395"/>
    <mergeCell ref="C397:D397"/>
    <mergeCell ref="F397:G397"/>
    <mergeCell ref="H397:I397"/>
    <mergeCell ref="J397:K397"/>
    <mergeCell ref="L397:M397"/>
    <mergeCell ref="N397:O397"/>
    <mergeCell ref="P397:Q397"/>
    <mergeCell ref="R397:S397"/>
    <mergeCell ref="T397:U397"/>
    <mergeCell ref="V397:W397"/>
    <mergeCell ref="X397:Y397"/>
    <mergeCell ref="Z397:AA397"/>
    <mergeCell ref="AB397:AC397"/>
    <mergeCell ref="AD397:AE397"/>
    <mergeCell ref="BL383:BM383"/>
    <mergeCell ref="BN383:BO383"/>
    <mergeCell ref="AX383:AY383"/>
    <mergeCell ref="AZ383:BA383"/>
    <mergeCell ref="BB383:BC383"/>
    <mergeCell ref="BD383:BE383"/>
    <mergeCell ref="BF383:BG383"/>
    <mergeCell ref="BH383:BI383"/>
    <mergeCell ref="BJ383:BK383"/>
    <mergeCell ref="R381:S381"/>
    <mergeCell ref="T381:U381"/>
    <mergeCell ref="V381:W381"/>
    <mergeCell ref="X381:Y381"/>
    <mergeCell ref="Z381:AA381"/>
    <mergeCell ref="AB381:AC381"/>
    <mergeCell ref="AD381:AE381"/>
    <mergeCell ref="AF381:AG381"/>
    <mergeCell ref="AH381:AI381"/>
    <mergeCell ref="AJ381:AK381"/>
    <mergeCell ref="AL381:AM381"/>
    <mergeCell ref="AN381:AO381"/>
    <mergeCell ref="AP381:AQ381"/>
    <mergeCell ref="AR381:AS381"/>
    <mergeCell ref="BH381:BI381"/>
    <mergeCell ref="BJ381:BK381"/>
    <mergeCell ref="BL381:BM381"/>
    <mergeCell ref="BN381:BO381"/>
    <mergeCell ref="AT381:AU381"/>
    <mergeCell ref="AV381:AW381"/>
    <mergeCell ref="AX381:AY381"/>
    <mergeCell ref="AZ381:BA381"/>
    <mergeCell ref="BB381:BC381"/>
    <mergeCell ref="BD381:BE381"/>
    <mergeCell ref="BF381:BG381"/>
    <mergeCell ref="C381:D381"/>
    <mergeCell ref="F381:G381"/>
    <mergeCell ref="H381:I381"/>
    <mergeCell ref="J381:K381"/>
    <mergeCell ref="L381:M381"/>
    <mergeCell ref="N381:O381"/>
    <mergeCell ref="P381:Q381"/>
    <mergeCell ref="C383:D383"/>
    <mergeCell ref="F383:G383"/>
    <mergeCell ref="H383:I383"/>
    <mergeCell ref="J383:K383"/>
    <mergeCell ref="L383:M383"/>
    <mergeCell ref="N383:O383"/>
    <mergeCell ref="P383:Q383"/>
    <mergeCell ref="R383:S383"/>
    <mergeCell ref="T383:U383"/>
    <mergeCell ref="V383:W383"/>
    <mergeCell ref="X383:Y383"/>
    <mergeCell ref="Z383:AA383"/>
    <mergeCell ref="AB383:AC383"/>
    <mergeCell ref="AD383:AE383"/>
    <mergeCell ref="AT383:AU383"/>
    <mergeCell ref="AV383:AW383"/>
    <mergeCell ref="AF383:AG383"/>
    <mergeCell ref="AH383:AI383"/>
    <mergeCell ref="AJ383:AK383"/>
    <mergeCell ref="AL383:AM383"/>
    <mergeCell ref="AN383:AO383"/>
    <mergeCell ref="AP383:AQ383"/>
    <mergeCell ref="AR383:AS383"/>
    <mergeCell ref="R385:S385"/>
    <mergeCell ref="T385:U385"/>
    <mergeCell ref="V385:W385"/>
    <mergeCell ref="X385:Y385"/>
    <mergeCell ref="Z385:AA385"/>
    <mergeCell ref="AB385:AC385"/>
    <mergeCell ref="AD385:AE385"/>
    <mergeCell ref="AF385:AG385"/>
    <mergeCell ref="AH385:AI385"/>
    <mergeCell ref="AJ385:AK385"/>
    <mergeCell ref="AL385:AM385"/>
    <mergeCell ref="AN385:AO385"/>
    <mergeCell ref="AP385:AQ385"/>
    <mergeCell ref="AR385:AS385"/>
    <mergeCell ref="BH385:BI385"/>
    <mergeCell ref="BJ385:BK385"/>
    <mergeCell ref="BL385:BM385"/>
    <mergeCell ref="BN385:BO385"/>
    <mergeCell ref="AT385:AU385"/>
    <mergeCell ref="AV385:AW385"/>
    <mergeCell ref="AX385:AY385"/>
    <mergeCell ref="AZ385:BA385"/>
    <mergeCell ref="BB385:BC385"/>
    <mergeCell ref="BD385:BE385"/>
    <mergeCell ref="BF385:BG385"/>
    <mergeCell ref="C385:D385"/>
    <mergeCell ref="F385:G385"/>
    <mergeCell ref="H385:I385"/>
    <mergeCell ref="J385:K385"/>
    <mergeCell ref="L385:M385"/>
    <mergeCell ref="N385:O385"/>
    <mergeCell ref="P385:Q385"/>
    <mergeCell ref="BJ391:BK391"/>
    <mergeCell ref="BL391:BM391"/>
    <mergeCell ref="AV391:AW391"/>
    <mergeCell ref="AX391:AY391"/>
    <mergeCell ref="AZ391:BA391"/>
    <mergeCell ref="BB391:BC391"/>
    <mergeCell ref="BD391:BE391"/>
    <mergeCell ref="BF391:BG391"/>
    <mergeCell ref="BH391:BI391"/>
    <mergeCell ref="R387:S387"/>
    <mergeCell ref="T387:U387"/>
    <mergeCell ref="V387:W387"/>
    <mergeCell ref="X387:Y387"/>
    <mergeCell ref="Z387:AA387"/>
    <mergeCell ref="AB387:AC387"/>
    <mergeCell ref="AD387:AE387"/>
    <mergeCell ref="AF387:AG387"/>
    <mergeCell ref="AH387:AI387"/>
    <mergeCell ref="AJ387:AK387"/>
    <mergeCell ref="AL387:AM387"/>
    <mergeCell ref="AN387:AO387"/>
    <mergeCell ref="AP387:AQ387"/>
    <mergeCell ref="AR387:AS387"/>
    <mergeCell ref="BH387:BI387"/>
    <mergeCell ref="BJ387:BK387"/>
    <mergeCell ref="BL387:BM387"/>
    <mergeCell ref="BN387:BO387"/>
    <mergeCell ref="BN391:BO391"/>
    <mergeCell ref="AT387:AU387"/>
    <mergeCell ref="AV387:AW387"/>
    <mergeCell ref="AX387:AY387"/>
    <mergeCell ref="AZ387:BA387"/>
    <mergeCell ref="BB387:BC387"/>
    <mergeCell ref="BD387:BE387"/>
    <mergeCell ref="BF387:BG387"/>
    <mergeCell ref="C387:D387"/>
    <mergeCell ref="F387:G387"/>
    <mergeCell ref="H387:I387"/>
    <mergeCell ref="J387:K387"/>
    <mergeCell ref="L387:M387"/>
    <mergeCell ref="N387:O387"/>
    <mergeCell ref="P387:Q387"/>
    <mergeCell ref="C388:D388"/>
    <mergeCell ref="C391:D391"/>
    <mergeCell ref="F391:G391"/>
    <mergeCell ref="H391:I391"/>
    <mergeCell ref="J391:K391"/>
    <mergeCell ref="L391:M391"/>
    <mergeCell ref="N391:O391"/>
    <mergeCell ref="P391:Q391"/>
    <mergeCell ref="R391:S391"/>
    <mergeCell ref="T391:U391"/>
    <mergeCell ref="V391:W391"/>
    <mergeCell ref="X391:Y391"/>
    <mergeCell ref="Z391:AA391"/>
    <mergeCell ref="AB391:AC391"/>
    <mergeCell ref="AR391:AS391"/>
    <mergeCell ref="AT391:AU391"/>
    <mergeCell ref="AD391:AE391"/>
    <mergeCell ref="AF391:AG391"/>
    <mergeCell ref="AH391:AI391"/>
    <mergeCell ref="AJ391:AK391"/>
    <mergeCell ref="AL391:AM391"/>
    <mergeCell ref="AN391:AO391"/>
    <mergeCell ref="AP391:AQ391"/>
    <mergeCell ref="R393:S393"/>
    <mergeCell ref="T393:U393"/>
    <mergeCell ref="V393:W393"/>
    <mergeCell ref="X393:Y393"/>
    <mergeCell ref="Z393:AA393"/>
    <mergeCell ref="AB393:AC393"/>
    <mergeCell ref="AD393:AE393"/>
    <mergeCell ref="AF393:AG393"/>
    <mergeCell ref="AH393:AI393"/>
    <mergeCell ref="AJ393:AK393"/>
    <mergeCell ref="AL393:AM393"/>
    <mergeCell ref="AN393:AO393"/>
    <mergeCell ref="AP393:AQ393"/>
    <mergeCell ref="AR393:AS393"/>
    <mergeCell ref="BH393:BI393"/>
    <mergeCell ref="BJ393:BK393"/>
    <mergeCell ref="BL393:BM393"/>
    <mergeCell ref="BN393:BO393"/>
    <mergeCell ref="AT393:AU393"/>
    <mergeCell ref="AV393:AW393"/>
    <mergeCell ref="AX393:AY393"/>
    <mergeCell ref="AZ393:BA393"/>
    <mergeCell ref="BB393:BC393"/>
    <mergeCell ref="BD393:BE393"/>
    <mergeCell ref="BF393:BG393"/>
    <mergeCell ref="C393:D393"/>
    <mergeCell ref="F393:G393"/>
    <mergeCell ref="H393:I393"/>
    <mergeCell ref="J393:K393"/>
    <mergeCell ref="L393:M393"/>
    <mergeCell ref="N393:O393"/>
    <mergeCell ref="P393:Q393"/>
    <mergeCell ref="AT397:AU397"/>
    <mergeCell ref="AV397:AW397"/>
    <mergeCell ref="AF397:AG397"/>
    <mergeCell ref="AH397:AI397"/>
    <mergeCell ref="AJ397:AK397"/>
    <mergeCell ref="AL397:AM397"/>
    <mergeCell ref="AN397:AO397"/>
    <mergeCell ref="AP397:AQ397"/>
    <mergeCell ref="AR397:AS397"/>
    <mergeCell ref="R399:S399"/>
    <mergeCell ref="T399:U399"/>
    <mergeCell ref="V399:W399"/>
    <mergeCell ref="X399:Y399"/>
    <mergeCell ref="Z399:AA399"/>
    <mergeCell ref="AB399:AC399"/>
    <mergeCell ref="AD399:AE399"/>
    <mergeCell ref="AF399:AG399"/>
    <mergeCell ref="AH399:AI399"/>
    <mergeCell ref="AJ399:AK399"/>
    <mergeCell ref="AL399:AM399"/>
    <mergeCell ref="AN399:AO399"/>
    <mergeCell ref="AP399:AQ399"/>
    <mergeCell ref="AR399:AS399"/>
    <mergeCell ref="BH399:BI399"/>
    <mergeCell ref="BJ399:BK399"/>
    <mergeCell ref="BL399:BM399"/>
    <mergeCell ref="BN399:BO399"/>
    <mergeCell ref="AT399:AU399"/>
    <mergeCell ref="AV399:AW399"/>
    <mergeCell ref="AX399:AY399"/>
    <mergeCell ref="AZ399:BA399"/>
    <mergeCell ref="BB399:BC399"/>
    <mergeCell ref="BD399:BE399"/>
    <mergeCell ref="BF399:BG399"/>
    <mergeCell ref="C399:D399"/>
    <mergeCell ref="F399:G399"/>
    <mergeCell ref="H399:I399"/>
    <mergeCell ref="J399:K399"/>
    <mergeCell ref="L399:M399"/>
    <mergeCell ref="N399:O399"/>
    <mergeCell ref="P399:Q399"/>
    <mergeCell ref="BL418:BM418"/>
    <mergeCell ref="BN418:BO418"/>
    <mergeCell ref="AX418:AY418"/>
    <mergeCell ref="AZ418:BA418"/>
    <mergeCell ref="BB418:BC418"/>
    <mergeCell ref="BD418:BE418"/>
    <mergeCell ref="BF418:BG418"/>
    <mergeCell ref="BH418:BI418"/>
    <mergeCell ref="BJ418:BK418"/>
    <mergeCell ref="P416:Q416"/>
    <mergeCell ref="R416:S416"/>
    <mergeCell ref="T416:U416"/>
    <mergeCell ref="V416:W416"/>
    <mergeCell ref="X416:Y416"/>
    <mergeCell ref="Z416:AA416"/>
    <mergeCell ref="AB416:AC416"/>
    <mergeCell ref="AD416:AE416"/>
    <mergeCell ref="AF416:AG416"/>
    <mergeCell ref="AH416:AI416"/>
    <mergeCell ref="AJ416:AK416"/>
    <mergeCell ref="AL416:AM416"/>
    <mergeCell ref="AN416:AO416"/>
    <mergeCell ref="AP416:AQ416"/>
    <mergeCell ref="BF416:BG416"/>
    <mergeCell ref="BH416:BI416"/>
    <mergeCell ref="BJ416:BK416"/>
    <mergeCell ref="BL416:BM416"/>
    <mergeCell ref="BN416:BO416"/>
    <mergeCell ref="AR416:AS416"/>
    <mergeCell ref="AT416:AU416"/>
    <mergeCell ref="AV416:AW416"/>
    <mergeCell ref="AX416:AY416"/>
    <mergeCell ref="AZ416:BA416"/>
    <mergeCell ref="BB416:BC416"/>
    <mergeCell ref="BD416:BE416"/>
    <mergeCell ref="C413:D413"/>
    <mergeCell ref="C416:D416"/>
    <mergeCell ref="F416:G416"/>
    <mergeCell ref="H416:I416"/>
    <mergeCell ref="J416:K416"/>
    <mergeCell ref="L416:M416"/>
    <mergeCell ref="N416:O416"/>
    <mergeCell ref="C418:D418"/>
    <mergeCell ref="F418:G418"/>
    <mergeCell ref="H418:I418"/>
    <mergeCell ref="J418:K418"/>
    <mergeCell ref="L418:M418"/>
    <mergeCell ref="N418:O418"/>
    <mergeCell ref="P418:Q418"/>
    <mergeCell ref="R418:S418"/>
    <mergeCell ref="T418:U418"/>
    <mergeCell ref="V418:W418"/>
    <mergeCell ref="X418:Y418"/>
    <mergeCell ref="Z418:AA418"/>
    <mergeCell ref="AB418:AC418"/>
    <mergeCell ref="AD418:AE418"/>
    <mergeCell ref="BL403:BM403"/>
    <mergeCell ref="BN403:BO403"/>
    <mergeCell ref="AX403:AY403"/>
    <mergeCell ref="AZ403:BA403"/>
    <mergeCell ref="BB403:BC403"/>
    <mergeCell ref="BD403:BE403"/>
    <mergeCell ref="BF403:BG403"/>
    <mergeCell ref="BH403:BI403"/>
    <mergeCell ref="BJ403:BK403"/>
    <mergeCell ref="R401:S401"/>
    <mergeCell ref="T401:U401"/>
    <mergeCell ref="V401:W401"/>
    <mergeCell ref="X401:Y401"/>
    <mergeCell ref="Z401:AA401"/>
    <mergeCell ref="AB401:AC401"/>
    <mergeCell ref="AD401:AE401"/>
    <mergeCell ref="AF401:AG401"/>
    <mergeCell ref="AH401:AI401"/>
    <mergeCell ref="AJ401:AK401"/>
    <mergeCell ref="AL401:AM401"/>
    <mergeCell ref="AN401:AO401"/>
    <mergeCell ref="AP401:AQ401"/>
    <mergeCell ref="AR401:AS401"/>
    <mergeCell ref="BH401:BI401"/>
    <mergeCell ref="BJ401:BK401"/>
    <mergeCell ref="BL401:BM401"/>
    <mergeCell ref="BN401:BO401"/>
    <mergeCell ref="AT401:AU401"/>
    <mergeCell ref="AV401:AW401"/>
    <mergeCell ref="AX401:AY401"/>
    <mergeCell ref="AZ401:BA401"/>
    <mergeCell ref="BB401:BC401"/>
    <mergeCell ref="BD401:BE401"/>
    <mergeCell ref="BF401:BG401"/>
    <mergeCell ref="C401:D401"/>
    <mergeCell ref="F401:G401"/>
    <mergeCell ref="H401:I401"/>
    <mergeCell ref="J401:K401"/>
    <mergeCell ref="L401:M401"/>
    <mergeCell ref="N401:O401"/>
    <mergeCell ref="P401:Q401"/>
    <mergeCell ref="C403:D403"/>
    <mergeCell ref="F403:G403"/>
    <mergeCell ref="H403:I403"/>
    <mergeCell ref="J403:K403"/>
    <mergeCell ref="L403:M403"/>
    <mergeCell ref="N403:O403"/>
    <mergeCell ref="P403:Q403"/>
    <mergeCell ref="R403:S403"/>
    <mergeCell ref="T403:U403"/>
    <mergeCell ref="V403:W403"/>
    <mergeCell ref="X403:Y403"/>
    <mergeCell ref="Z403:AA403"/>
    <mergeCell ref="AB403:AC403"/>
    <mergeCell ref="AD403:AE403"/>
    <mergeCell ref="AT403:AU403"/>
    <mergeCell ref="AV403:AW403"/>
    <mergeCell ref="AF403:AG403"/>
    <mergeCell ref="AH403:AI403"/>
    <mergeCell ref="AJ403:AK403"/>
    <mergeCell ref="AL403:AM403"/>
    <mergeCell ref="AN403:AO403"/>
    <mergeCell ref="AP403:AQ403"/>
    <mergeCell ref="AR403:AS403"/>
    <mergeCell ref="R405:S405"/>
    <mergeCell ref="T405:U405"/>
    <mergeCell ref="V405:W405"/>
    <mergeCell ref="X405:Y405"/>
    <mergeCell ref="Z405:AA405"/>
    <mergeCell ref="AB405:AC405"/>
    <mergeCell ref="AD405:AE405"/>
    <mergeCell ref="AF405:AG405"/>
    <mergeCell ref="AH405:AI405"/>
    <mergeCell ref="AJ405:AK405"/>
    <mergeCell ref="AL405:AM405"/>
    <mergeCell ref="AN405:AO405"/>
    <mergeCell ref="AP405:AQ405"/>
    <mergeCell ref="AR405:AS405"/>
    <mergeCell ref="BH405:BI405"/>
    <mergeCell ref="BJ405:BK405"/>
    <mergeCell ref="BL405:BM405"/>
    <mergeCell ref="BN405:BO405"/>
    <mergeCell ref="AT405:AU405"/>
    <mergeCell ref="AV405:AW405"/>
    <mergeCell ref="AX405:AY405"/>
    <mergeCell ref="AZ405:BA405"/>
    <mergeCell ref="BB405:BC405"/>
    <mergeCell ref="BD405:BE405"/>
    <mergeCell ref="BF405:BG405"/>
    <mergeCell ref="C405:D405"/>
    <mergeCell ref="F405:G405"/>
    <mergeCell ref="H405:I405"/>
    <mergeCell ref="J405:K405"/>
    <mergeCell ref="L405:M405"/>
    <mergeCell ref="N405:O405"/>
    <mergeCell ref="P405:Q405"/>
    <mergeCell ref="BL409:BM409"/>
    <mergeCell ref="BN409:BO409"/>
    <mergeCell ref="AX409:AY409"/>
    <mergeCell ref="AZ409:BA409"/>
    <mergeCell ref="BB409:BC409"/>
    <mergeCell ref="BD409:BE409"/>
    <mergeCell ref="BF409:BG409"/>
    <mergeCell ref="BH409:BI409"/>
    <mergeCell ref="BJ409:BK409"/>
    <mergeCell ref="R407:S407"/>
    <mergeCell ref="T407:U407"/>
    <mergeCell ref="V407:W407"/>
    <mergeCell ref="X407:Y407"/>
    <mergeCell ref="Z407:AA407"/>
    <mergeCell ref="AB407:AC407"/>
    <mergeCell ref="AD407:AE407"/>
    <mergeCell ref="AF407:AG407"/>
    <mergeCell ref="AH407:AI407"/>
    <mergeCell ref="AJ407:AK407"/>
    <mergeCell ref="AL407:AM407"/>
    <mergeCell ref="AN407:AO407"/>
    <mergeCell ref="AP407:AQ407"/>
    <mergeCell ref="AR407:AS407"/>
    <mergeCell ref="BH407:BI407"/>
    <mergeCell ref="BJ407:BK407"/>
    <mergeCell ref="BL407:BM407"/>
    <mergeCell ref="BN407:BO407"/>
    <mergeCell ref="AT407:AU407"/>
    <mergeCell ref="AV407:AW407"/>
    <mergeCell ref="AX407:AY407"/>
    <mergeCell ref="AZ407:BA407"/>
    <mergeCell ref="BB407:BC407"/>
    <mergeCell ref="BD407:BE407"/>
    <mergeCell ref="BF407:BG407"/>
    <mergeCell ref="C407:D407"/>
    <mergeCell ref="F407:G407"/>
    <mergeCell ref="H407:I407"/>
    <mergeCell ref="J407:K407"/>
    <mergeCell ref="L407:M407"/>
    <mergeCell ref="N407:O407"/>
    <mergeCell ref="P407:Q407"/>
    <mergeCell ref="C409:D409"/>
    <mergeCell ref="F409:G409"/>
    <mergeCell ref="H409:I409"/>
    <mergeCell ref="J409:K409"/>
    <mergeCell ref="L409:M409"/>
    <mergeCell ref="N409:O409"/>
    <mergeCell ref="P409:Q409"/>
    <mergeCell ref="R409:S409"/>
    <mergeCell ref="T409:U409"/>
    <mergeCell ref="V409:W409"/>
    <mergeCell ref="X409:Y409"/>
    <mergeCell ref="Z409:AA409"/>
    <mergeCell ref="AB409:AC409"/>
    <mergeCell ref="AD409:AE409"/>
    <mergeCell ref="AT409:AU409"/>
    <mergeCell ref="AV409:AW409"/>
    <mergeCell ref="AF409:AG409"/>
    <mergeCell ref="AH409:AI409"/>
    <mergeCell ref="AJ409:AK409"/>
    <mergeCell ref="AL409:AM409"/>
    <mergeCell ref="AN409:AO409"/>
    <mergeCell ref="AP409:AQ409"/>
    <mergeCell ref="AR409:AS409"/>
    <mergeCell ref="R411:S411"/>
    <mergeCell ref="T411:U411"/>
    <mergeCell ref="V411:W411"/>
    <mergeCell ref="X411:Y411"/>
    <mergeCell ref="Z411:AA411"/>
    <mergeCell ref="AB411:AC411"/>
    <mergeCell ref="AD411:AE411"/>
    <mergeCell ref="AF411:AG411"/>
    <mergeCell ref="AH411:AI411"/>
    <mergeCell ref="AJ411:AK411"/>
    <mergeCell ref="AL411:AM411"/>
    <mergeCell ref="AN411:AO411"/>
    <mergeCell ref="AP411:AQ411"/>
    <mergeCell ref="AR411:AS411"/>
    <mergeCell ref="BH411:BI411"/>
    <mergeCell ref="BJ411:BK411"/>
    <mergeCell ref="BL411:BM411"/>
    <mergeCell ref="BN411:BO411"/>
    <mergeCell ref="AT411:AU411"/>
    <mergeCell ref="AV411:AW411"/>
    <mergeCell ref="AX411:AY411"/>
    <mergeCell ref="AZ411:BA411"/>
    <mergeCell ref="BB411:BC411"/>
    <mergeCell ref="BD411:BE411"/>
    <mergeCell ref="BF411:BG411"/>
    <mergeCell ref="C411:D411"/>
    <mergeCell ref="F411:G411"/>
    <mergeCell ref="H411:I411"/>
    <mergeCell ref="J411:K411"/>
    <mergeCell ref="L411:M411"/>
    <mergeCell ref="N411:O411"/>
    <mergeCell ref="P411:Q411"/>
    <mergeCell ref="AT418:AU418"/>
    <mergeCell ref="AV418:AW418"/>
    <mergeCell ref="AF418:AG418"/>
    <mergeCell ref="AH418:AI418"/>
    <mergeCell ref="AJ418:AK418"/>
    <mergeCell ref="AL418:AM418"/>
    <mergeCell ref="AN418:AO418"/>
    <mergeCell ref="AP418:AQ418"/>
    <mergeCell ref="AR418:AS418"/>
    <mergeCell ref="R420:S420"/>
    <mergeCell ref="T420:U420"/>
    <mergeCell ref="V420:W420"/>
    <mergeCell ref="X420:Y420"/>
    <mergeCell ref="Z420:AA420"/>
    <mergeCell ref="AB420:AC420"/>
    <mergeCell ref="AD420:AE420"/>
    <mergeCell ref="AF420:AG420"/>
    <mergeCell ref="AH420:AI420"/>
    <mergeCell ref="AJ420:AK420"/>
    <mergeCell ref="AL420:AM420"/>
    <mergeCell ref="AN420:AO420"/>
    <mergeCell ref="AP420:AQ420"/>
    <mergeCell ref="AR420:AS420"/>
    <mergeCell ref="BH420:BI420"/>
    <mergeCell ref="BJ420:BK420"/>
    <mergeCell ref="BL420:BM420"/>
    <mergeCell ref="BN420:BO420"/>
    <mergeCell ref="AT420:AU420"/>
    <mergeCell ref="AV420:AW420"/>
    <mergeCell ref="AX420:AY420"/>
    <mergeCell ref="AZ420:BA420"/>
    <mergeCell ref="BB420:BC420"/>
    <mergeCell ref="BD420:BE420"/>
    <mergeCell ref="BF420:BG420"/>
    <mergeCell ref="C420:D420"/>
    <mergeCell ref="F420:G420"/>
    <mergeCell ref="H420:I420"/>
    <mergeCell ref="J420:K420"/>
    <mergeCell ref="L420:M420"/>
    <mergeCell ref="N420:O420"/>
    <mergeCell ref="P420:Q420"/>
    <mergeCell ref="BL81:BM81"/>
    <mergeCell ref="BN81:BO81"/>
    <mergeCell ref="AX81:AY81"/>
    <mergeCell ref="AZ81:BA81"/>
    <mergeCell ref="BB81:BC81"/>
    <mergeCell ref="BD81:BE81"/>
    <mergeCell ref="BF81:BG81"/>
    <mergeCell ref="BH81:BI81"/>
    <mergeCell ref="BJ81:BK81"/>
    <mergeCell ref="R79:S79"/>
    <mergeCell ref="T79:U79"/>
    <mergeCell ref="V79:W79"/>
    <mergeCell ref="X79:Y79"/>
    <mergeCell ref="Z79:AA79"/>
    <mergeCell ref="AB79:AC79"/>
    <mergeCell ref="AD79:AE79"/>
    <mergeCell ref="AF79:AG79"/>
    <mergeCell ref="AH79:AI79"/>
    <mergeCell ref="AJ79:AK79"/>
    <mergeCell ref="AL79:AM79"/>
    <mergeCell ref="AN79:AO79"/>
    <mergeCell ref="AP79:AQ79"/>
    <mergeCell ref="AR79:AS79"/>
    <mergeCell ref="BH79:BI79"/>
    <mergeCell ref="BJ79:BK79"/>
    <mergeCell ref="BL79:BM79"/>
    <mergeCell ref="BN79:BO79"/>
    <mergeCell ref="AT79:AU79"/>
    <mergeCell ref="AV79:AW79"/>
    <mergeCell ref="AX79:AY79"/>
    <mergeCell ref="AZ79:BA79"/>
    <mergeCell ref="BB79:BC79"/>
    <mergeCell ref="BD79:BE79"/>
    <mergeCell ref="BF79:BG79"/>
    <mergeCell ref="C79:D79"/>
    <mergeCell ref="F79:G79"/>
    <mergeCell ref="H79:I79"/>
    <mergeCell ref="J79:K79"/>
    <mergeCell ref="L79:M79"/>
    <mergeCell ref="N79:O79"/>
    <mergeCell ref="P79:Q79"/>
    <mergeCell ref="C81:D81"/>
    <mergeCell ref="F81:G81"/>
    <mergeCell ref="H81:I81"/>
    <mergeCell ref="J81:K81"/>
    <mergeCell ref="L81:M81"/>
    <mergeCell ref="N81:O81"/>
    <mergeCell ref="P81:Q81"/>
    <mergeCell ref="R81:S81"/>
    <mergeCell ref="T81:U81"/>
    <mergeCell ref="V81:W81"/>
    <mergeCell ref="X81:Y81"/>
    <mergeCell ref="Z81:AA81"/>
    <mergeCell ref="AB81:AC81"/>
    <mergeCell ref="AD81:AE81"/>
    <mergeCell ref="BL69:BM69"/>
    <mergeCell ref="BN69:BO69"/>
    <mergeCell ref="AX69:AY69"/>
    <mergeCell ref="AZ69:BA69"/>
    <mergeCell ref="BB69:BC69"/>
    <mergeCell ref="BD69:BE69"/>
    <mergeCell ref="BF69:BG69"/>
    <mergeCell ref="BH69:BI69"/>
    <mergeCell ref="BJ69:BK69"/>
    <mergeCell ref="R67:S67"/>
    <mergeCell ref="T67:U67"/>
    <mergeCell ref="V67:W67"/>
    <mergeCell ref="X67:Y67"/>
    <mergeCell ref="Z67:AA67"/>
    <mergeCell ref="AB67:AC67"/>
    <mergeCell ref="AD67:AE67"/>
    <mergeCell ref="AF67:AG67"/>
    <mergeCell ref="AH67:AI67"/>
    <mergeCell ref="AJ67:AK67"/>
    <mergeCell ref="AL67:AM67"/>
    <mergeCell ref="AN67:AO67"/>
    <mergeCell ref="AP67:AQ67"/>
    <mergeCell ref="AR67:AS67"/>
    <mergeCell ref="BH67:BI67"/>
    <mergeCell ref="BJ67:BK67"/>
    <mergeCell ref="BL67:BM67"/>
    <mergeCell ref="BN67:BO67"/>
    <mergeCell ref="AT67:AU67"/>
    <mergeCell ref="AV67:AW67"/>
    <mergeCell ref="AX67:AY67"/>
    <mergeCell ref="AZ67:BA67"/>
    <mergeCell ref="BB67:BC67"/>
    <mergeCell ref="BD67:BE67"/>
    <mergeCell ref="BF67:BG67"/>
    <mergeCell ref="C67:D67"/>
    <mergeCell ref="F67:G67"/>
    <mergeCell ref="H67:I67"/>
    <mergeCell ref="J67:K67"/>
    <mergeCell ref="L67:M67"/>
    <mergeCell ref="N67:O67"/>
    <mergeCell ref="P67:Q67"/>
    <mergeCell ref="C69:D69"/>
    <mergeCell ref="F69:G69"/>
    <mergeCell ref="H69:I69"/>
    <mergeCell ref="J69:K69"/>
    <mergeCell ref="L69:M69"/>
    <mergeCell ref="N69:O69"/>
    <mergeCell ref="P69:Q69"/>
    <mergeCell ref="R69:S69"/>
    <mergeCell ref="T69:U69"/>
    <mergeCell ref="V69:W69"/>
    <mergeCell ref="X69:Y69"/>
    <mergeCell ref="Z69:AA69"/>
    <mergeCell ref="AB69:AC69"/>
    <mergeCell ref="AD69:AE69"/>
    <mergeCell ref="AT69:AU69"/>
    <mergeCell ref="AV69:AW69"/>
    <mergeCell ref="AF69:AG69"/>
    <mergeCell ref="AH69:AI69"/>
    <mergeCell ref="AJ69:AK69"/>
    <mergeCell ref="AL69:AM69"/>
    <mergeCell ref="AN69:AO69"/>
    <mergeCell ref="AP69:AQ69"/>
    <mergeCell ref="AR69:AS69"/>
    <mergeCell ref="R71:S71"/>
    <mergeCell ref="T71:U71"/>
    <mergeCell ref="V71:W71"/>
    <mergeCell ref="X71:Y71"/>
    <mergeCell ref="Z71:AA71"/>
    <mergeCell ref="AB71:AC71"/>
    <mergeCell ref="AD71:AE71"/>
    <mergeCell ref="AF71:AG71"/>
    <mergeCell ref="AH71:AI71"/>
    <mergeCell ref="AJ71:AK71"/>
    <mergeCell ref="AL71:AM71"/>
    <mergeCell ref="AN71:AO71"/>
    <mergeCell ref="AP71:AQ71"/>
    <mergeCell ref="AR71:AS71"/>
    <mergeCell ref="BH71:BI71"/>
    <mergeCell ref="BJ71:BK71"/>
    <mergeCell ref="BL71:BM71"/>
    <mergeCell ref="BN71:BO71"/>
    <mergeCell ref="AT71:AU71"/>
    <mergeCell ref="AV71:AW71"/>
    <mergeCell ref="AX71:AY71"/>
    <mergeCell ref="AZ71:BA71"/>
    <mergeCell ref="BB71:BC71"/>
    <mergeCell ref="BD71:BE71"/>
    <mergeCell ref="BF71:BG71"/>
    <mergeCell ref="C71:D71"/>
    <mergeCell ref="F71:G71"/>
    <mergeCell ref="H71:I71"/>
    <mergeCell ref="J71:K71"/>
    <mergeCell ref="L71:M71"/>
    <mergeCell ref="N71:O71"/>
    <mergeCell ref="P71:Q71"/>
    <mergeCell ref="BL75:BM75"/>
    <mergeCell ref="BN75:BO75"/>
    <mergeCell ref="AX75:AY75"/>
    <mergeCell ref="AZ75:BA75"/>
    <mergeCell ref="BB75:BC75"/>
    <mergeCell ref="BD75:BE75"/>
    <mergeCell ref="BF75:BG75"/>
    <mergeCell ref="BH75:BI75"/>
    <mergeCell ref="BJ75:BK75"/>
    <mergeCell ref="R73:S73"/>
    <mergeCell ref="T73:U73"/>
    <mergeCell ref="V73:W73"/>
    <mergeCell ref="X73:Y73"/>
    <mergeCell ref="Z73:AA73"/>
    <mergeCell ref="AB73:AC73"/>
    <mergeCell ref="AD73:AE73"/>
    <mergeCell ref="AF73:AG73"/>
    <mergeCell ref="AH73:AI73"/>
    <mergeCell ref="AJ73:AK73"/>
    <mergeCell ref="AL73:AM73"/>
    <mergeCell ref="AN73:AO73"/>
    <mergeCell ref="AP73:AQ73"/>
    <mergeCell ref="AR73:AS73"/>
    <mergeCell ref="BH73:BI73"/>
    <mergeCell ref="BJ73:BK73"/>
    <mergeCell ref="BL73:BM73"/>
    <mergeCell ref="BN73:BO73"/>
    <mergeCell ref="AT73:AU73"/>
    <mergeCell ref="AV73:AW73"/>
    <mergeCell ref="AX73:AY73"/>
    <mergeCell ref="AZ73:BA73"/>
    <mergeCell ref="BB73:BC73"/>
    <mergeCell ref="BD73:BE73"/>
    <mergeCell ref="BF73:BG73"/>
    <mergeCell ref="C73:D73"/>
    <mergeCell ref="F73:G73"/>
    <mergeCell ref="H73:I73"/>
    <mergeCell ref="J73:K73"/>
    <mergeCell ref="L73:M73"/>
    <mergeCell ref="N73:O73"/>
    <mergeCell ref="P73:Q73"/>
    <mergeCell ref="C75:D75"/>
    <mergeCell ref="F75:G75"/>
    <mergeCell ref="H75:I75"/>
    <mergeCell ref="J75:K75"/>
    <mergeCell ref="L75:M75"/>
    <mergeCell ref="N75:O75"/>
    <mergeCell ref="P75:Q75"/>
    <mergeCell ref="R75:S75"/>
    <mergeCell ref="T75:U75"/>
    <mergeCell ref="V75:W75"/>
    <mergeCell ref="X75:Y75"/>
    <mergeCell ref="Z75:AA75"/>
    <mergeCell ref="AB75:AC75"/>
    <mergeCell ref="AD75:AE75"/>
    <mergeCell ref="AT75:AU75"/>
    <mergeCell ref="AV75:AW75"/>
    <mergeCell ref="AF75:AG75"/>
    <mergeCell ref="AH75:AI75"/>
    <mergeCell ref="AJ75:AK75"/>
    <mergeCell ref="AL75:AM75"/>
    <mergeCell ref="AN75:AO75"/>
    <mergeCell ref="AP75:AQ75"/>
    <mergeCell ref="AR75:AS75"/>
    <mergeCell ref="R77:S77"/>
    <mergeCell ref="T77:U77"/>
    <mergeCell ref="V77:W77"/>
    <mergeCell ref="X77:Y77"/>
    <mergeCell ref="Z77:AA77"/>
    <mergeCell ref="AB77:AC77"/>
    <mergeCell ref="AD77:AE77"/>
    <mergeCell ref="AF77:AG77"/>
    <mergeCell ref="AH77:AI77"/>
    <mergeCell ref="AJ77:AK77"/>
    <mergeCell ref="AL77:AM77"/>
    <mergeCell ref="AN77:AO77"/>
    <mergeCell ref="AP77:AQ77"/>
    <mergeCell ref="AR77:AS77"/>
    <mergeCell ref="BH77:BI77"/>
    <mergeCell ref="BJ77:BK77"/>
    <mergeCell ref="BL77:BM77"/>
    <mergeCell ref="BN77:BO77"/>
    <mergeCell ref="AT77:AU77"/>
    <mergeCell ref="AV77:AW77"/>
    <mergeCell ref="AX77:AY77"/>
    <mergeCell ref="AZ77:BA77"/>
    <mergeCell ref="BB77:BC77"/>
    <mergeCell ref="BD77:BE77"/>
    <mergeCell ref="BF77:BG77"/>
    <mergeCell ref="C77:D77"/>
    <mergeCell ref="F77:G77"/>
    <mergeCell ref="H77:I77"/>
    <mergeCell ref="J77:K77"/>
    <mergeCell ref="L77:M77"/>
    <mergeCell ref="N77:O77"/>
    <mergeCell ref="P77:Q77"/>
    <mergeCell ref="AT81:AU81"/>
    <mergeCell ref="AV81:AW81"/>
    <mergeCell ref="AF81:AG81"/>
    <mergeCell ref="AH81:AI81"/>
    <mergeCell ref="AJ81:AK81"/>
    <mergeCell ref="AL81:AM81"/>
    <mergeCell ref="AN81:AO81"/>
    <mergeCell ref="AP81:AQ81"/>
    <mergeCell ref="AR81:AS81"/>
    <mergeCell ref="R83:S83"/>
    <mergeCell ref="T83:U83"/>
    <mergeCell ref="V83:W83"/>
    <mergeCell ref="X83:Y83"/>
    <mergeCell ref="Z83:AA83"/>
    <mergeCell ref="AB83:AC83"/>
    <mergeCell ref="AD83:AE83"/>
    <mergeCell ref="AF83:AG83"/>
    <mergeCell ref="AH83:AI83"/>
    <mergeCell ref="AJ83:AK83"/>
    <mergeCell ref="AL83:AM83"/>
    <mergeCell ref="AN83:AO83"/>
    <mergeCell ref="AP83:AQ83"/>
    <mergeCell ref="AR83:AS83"/>
    <mergeCell ref="BH83:BI83"/>
    <mergeCell ref="BJ83:BK83"/>
    <mergeCell ref="BL83:BM83"/>
    <mergeCell ref="BN83:BO83"/>
    <mergeCell ref="AT83:AU83"/>
    <mergeCell ref="AV83:AW83"/>
    <mergeCell ref="AX83:AY83"/>
    <mergeCell ref="AZ83:BA83"/>
    <mergeCell ref="BB83:BC83"/>
    <mergeCell ref="BD83:BE83"/>
    <mergeCell ref="BF83:BG83"/>
    <mergeCell ref="C83:D83"/>
    <mergeCell ref="F83:G83"/>
    <mergeCell ref="H83:I83"/>
    <mergeCell ref="J83:K83"/>
    <mergeCell ref="L83:M83"/>
    <mergeCell ref="N83:O83"/>
    <mergeCell ref="P83:Q83"/>
    <mergeCell ref="BL97:BM97"/>
    <mergeCell ref="BN97:BO97"/>
    <mergeCell ref="AX97:AY97"/>
    <mergeCell ref="AZ97:BA97"/>
    <mergeCell ref="BB97:BC97"/>
    <mergeCell ref="BD97:BE97"/>
    <mergeCell ref="BF97:BG97"/>
    <mergeCell ref="BH97:BI97"/>
    <mergeCell ref="BJ97:BK97"/>
    <mergeCell ref="R95:S95"/>
    <mergeCell ref="T95:U95"/>
    <mergeCell ref="V95:W95"/>
    <mergeCell ref="X95:Y95"/>
    <mergeCell ref="Z95:AA95"/>
    <mergeCell ref="AB95:AC95"/>
    <mergeCell ref="AD95:AE95"/>
    <mergeCell ref="AF95:AG95"/>
    <mergeCell ref="AH95:AI95"/>
    <mergeCell ref="AJ95:AK95"/>
    <mergeCell ref="AL95:AM95"/>
    <mergeCell ref="AN95:AO95"/>
    <mergeCell ref="AP95:AQ95"/>
    <mergeCell ref="AR95:AS95"/>
    <mergeCell ref="BH95:BI95"/>
    <mergeCell ref="BJ95:BK95"/>
    <mergeCell ref="BL95:BM95"/>
    <mergeCell ref="BN95:BO95"/>
    <mergeCell ref="AT95:AU95"/>
    <mergeCell ref="AV95:AW95"/>
    <mergeCell ref="AX95:AY95"/>
    <mergeCell ref="AZ95:BA95"/>
    <mergeCell ref="BB95:BC95"/>
    <mergeCell ref="BD95:BE95"/>
    <mergeCell ref="BF95:BG95"/>
    <mergeCell ref="C95:D95"/>
    <mergeCell ref="F95:G95"/>
    <mergeCell ref="H95:I95"/>
    <mergeCell ref="J95:K95"/>
    <mergeCell ref="L95:M95"/>
    <mergeCell ref="N95:O95"/>
    <mergeCell ref="P95:Q95"/>
    <mergeCell ref="C97:D97"/>
    <mergeCell ref="F97:G97"/>
    <mergeCell ref="H97:I97"/>
    <mergeCell ref="J97:K97"/>
    <mergeCell ref="L97:M97"/>
    <mergeCell ref="N97:O97"/>
    <mergeCell ref="P97:Q97"/>
    <mergeCell ref="R97:S97"/>
    <mergeCell ref="T97:U97"/>
    <mergeCell ref="V97:W97"/>
    <mergeCell ref="X97:Y97"/>
    <mergeCell ref="Z97:AA97"/>
    <mergeCell ref="AB97:AC97"/>
    <mergeCell ref="AD97:AE97"/>
    <mergeCell ref="AT87:AU87"/>
    <mergeCell ref="AV87:AW87"/>
    <mergeCell ref="AF87:AG87"/>
    <mergeCell ref="AH87:AI87"/>
    <mergeCell ref="AJ87:AK87"/>
    <mergeCell ref="AL87:AM87"/>
    <mergeCell ref="AN87:AO87"/>
    <mergeCell ref="AP87:AQ87"/>
    <mergeCell ref="AR87:AS87"/>
    <mergeCell ref="BL87:BM87"/>
    <mergeCell ref="BN87:BO87"/>
    <mergeCell ref="AX87:AY87"/>
    <mergeCell ref="AZ87:BA87"/>
    <mergeCell ref="BB87:BC87"/>
    <mergeCell ref="BD87:BE87"/>
    <mergeCell ref="BF87:BG87"/>
    <mergeCell ref="BH87:BI87"/>
    <mergeCell ref="BJ87:BK87"/>
    <mergeCell ref="AR91:AS91"/>
    <mergeCell ref="AT91:AU91"/>
    <mergeCell ref="AD91:AE91"/>
    <mergeCell ref="AF91:AG91"/>
    <mergeCell ref="AH91:AI91"/>
    <mergeCell ref="AJ91:AK91"/>
    <mergeCell ref="AL91:AM91"/>
    <mergeCell ref="AN91:AO91"/>
    <mergeCell ref="AP91:AQ91"/>
    <mergeCell ref="BJ91:BK91"/>
    <mergeCell ref="BL91:BM91"/>
    <mergeCell ref="AV91:AW91"/>
    <mergeCell ref="AX91:AY91"/>
    <mergeCell ref="AZ91:BA91"/>
    <mergeCell ref="BB91:BC91"/>
    <mergeCell ref="BD91:BE91"/>
    <mergeCell ref="BF91:BG91"/>
    <mergeCell ref="BH91:BI91"/>
    <mergeCell ref="R85:S85"/>
    <mergeCell ref="T85:U85"/>
    <mergeCell ref="V85:W85"/>
    <mergeCell ref="X85:Y85"/>
    <mergeCell ref="Z85:AA85"/>
    <mergeCell ref="AB85:AC85"/>
    <mergeCell ref="AD85:AE85"/>
    <mergeCell ref="AF85:AG85"/>
    <mergeCell ref="AH85:AI85"/>
    <mergeCell ref="AJ85:AK85"/>
    <mergeCell ref="AL85:AM85"/>
    <mergeCell ref="AN85:AO85"/>
    <mergeCell ref="AP85:AQ85"/>
    <mergeCell ref="AR85:AS85"/>
    <mergeCell ref="BH85:BI85"/>
    <mergeCell ref="BJ85:BK85"/>
    <mergeCell ref="BL85:BM85"/>
    <mergeCell ref="BN85:BO85"/>
    <mergeCell ref="AT85:AU85"/>
    <mergeCell ref="AV85:AW85"/>
    <mergeCell ref="AX85:AY85"/>
    <mergeCell ref="AZ85:BA85"/>
    <mergeCell ref="BB85:BC85"/>
    <mergeCell ref="BD85:BE85"/>
    <mergeCell ref="BF85:BG85"/>
    <mergeCell ref="C85:D85"/>
    <mergeCell ref="F85:G85"/>
    <mergeCell ref="H85:I85"/>
    <mergeCell ref="J85:K85"/>
    <mergeCell ref="L85:M85"/>
    <mergeCell ref="N85:O85"/>
    <mergeCell ref="P85:Q85"/>
    <mergeCell ref="R87:S87"/>
    <mergeCell ref="T87:U87"/>
    <mergeCell ref="V87:W87"/>
    <mergeCell ref="X87:Y87"/>
    <mergeCell ref="Z87:AA87"/>
    <mergeCell ref="AB87:AC87"/>
    <mergeCell ref="AD87:AE87"/>
    <mergeCell ref="P91:Q91"/>
    <mergeCell ref="R91:S91"/>
    <mergeCell ref="T91:U91"/>
    <mergeCell ref="V91:W91"/>
    <mergeCell ref="X91:Y91"/>
    <mergeCell ref="Z91:AA91"/>
    <mergeCell ref="AB91:AC91"/>
    <mergeCell ref="BN91:BO91"/>
    <mergeCell ref="C87:D87"/>
    <mergeCell ref="F87:G87"/>
    <mergeCell ref="H87:I87"/>
    <mergeCell ref="J87:K87"/>
    <mergeCell ref="L87:M87"/>
    <mergeCell ref="N87:O87"/>
    <mergeCell ref="P87:Q87"/>
    <mergeCell ref="C88:D88"/>
    <mergeCell ref="C91:D91"/>
    <mergeCell ref="F91:G91"/>
    <mergeCell ref="H91:I91"/>
    <mergeCell ref="J91:K91"/>
    <mergeCell ref="L91:M91"/>
    <mergeCell ref="N91:O91"/>
    <mergeCell ref="R93:S93"/>
    <mergeCell ref="T93:U93"/>
    <mergeCell ref="V93:W93"/>
    <mergeCell ref="X93:Y93"/>
    <mergeCell ref="Z93:AA93"/>
    <mergeCell ref="AB93:AC93"/>
    <mergeCell ref="AD93:AE93"/>
    <mergeCell ref="AF93:AG93"/>
    <mergeCell ref="AH93:AI93"/>
    <mergeCell ref="AJ93:AK93"/>
    <mergeCell ref="AL93:AM93"/>
    <mergeCell ref="AN93:AO93"/>
    <mergeCell ref="AP93:AQ93"/>
    <mergeCell ref="AR93:AS93"/>
    <mergeCell ref="BH93:BI93"/>
    <mergeCell ref="BJ93:BK93"/>
    <mergeCell ref="BL93:BM93"/>
    <mergeCell ref="BN93:BO93"/>
    <mergeCell ref="AT93:AU93"/>
    <mergeCell ref="AV93:AW93"/>
    <mergeCell ref="AX93:AY93"/>
    <mergeCell ref="AZ93:BA93"/>
    <mergeCell ref="BB93:BC93"/>
    <mergeCell ref="BD93:BE93"/>
    <mergeCell ref="BF93:BG93"/>
    <mergeCell ref="C93:D93"/>
    <mergeCell ref="F93:G93"/>
    <mergeCell ref="H93:I93"/>
    <mergeCell ref="J93:K93"/>
    <mergeCell ref="L93:M93"/>
    <mergeCell ref="N93:O93"/>
    <mergeCell ref="P93:Q93"/>
    <mergeCell ref="AT97:AU97"/>
    <mergeCell ref="AV97:AW97"/>
    <mergeCell ref="AF97:AG97"/>
    <mergeCell ref="AH97:AI97"/>
    <mergeCell ref="AJ97:AK97"/>
    <mergeCell ref="AL97:AM97"/>
    <mergeCell ref="AN97:AO97"/>
    <mergeCell ref="AP97:AQ97"/>
    <mergeCell ref="AR97:AS97"/>
    <mergeCell ref="R99:S99"/>
    <mergeCell ref="T99:U99"/>
    <mergeCell ref="V99:W99"/>
    <mergeCell ref="X99:Y99"/>
    <mergeCell ref="Z99:AA99"/>
    <mergeCell ref="AB99:AC99"/>
    <mergeCell ref="AD99:AE99"/>
    <mergeCell ref="AF99:AG99"/>
    <mergeCell ref="AH99:AI99"/>
    <mergeCell ref="AJ99:AK99"/>
    <mergeCell ref="AL99:AM99"/>
    <mergeCell ref="AN99:AO99"/>
    <mergeCell ref="AP99:AQ99"/>
    <mergeCell ref="AR99:AS99"/>
    <mergeCell ref="BH99:BI99"/>
    <mergeCell ref="BJ99:BK99"/>
    <mergeCell ref="BL99:BM99"/>
    <mergeCell ref="BN99:BO99"/>
    <mergeCell ref="AT99:AU99"/>
    <mergeCell ref="AV99:AW99"/>
    <mergeCell ref="AX99:AY99"/>
    <mergeCell ref="AZ99:BA99"/>
    <mergeCell ref="BB99:BC99"/>
    <mergeCell ref="BD99:BE99"/>
    <mergeCell ref="BF99:BG99"/>
    <mergeCell ref="C99:D99"/>
    <mergeCell ref="F99:G99"/>
    <mergeCell ref="H99:I99"/>
    <mergeCell ref="J99:K99"/>
    <mergeCell ref="L99:M99"/>
    <mergeCell ref="N99:O99"/>
    <mergeCell ref="P99:Q99"/>
    <mergeCell ref="BL115:BM115"/>
    <mergeCell ref="BN115:BO115"/>
    <mergeCell ref="AX115:AY115"/>
    <mergeCell ref="AZ115:BA115"/>
    <mergeCell ref="BB115:BC115"/>
    <mergeCell ref="BD115:BE115"/>
    <mergeCell ref="BF115:BG115"/>
    <mergeCell ref="BH115:BI115"/>
    <mergeCell ref="BJ115:BK115"/>
    <mergeCell ref="R113:S113"/>
    <mergeCell ref="T113:U113"/>
    <mergeCell ref="V113:W113"/>
    <mergeCell ref="X113:Y113"/>
    <mergeCell ref="Z113:AA113"/>
    <mergeCell ref="AB113:AC113"/>
    <mergeCell ref="AD113:AE113"/>
    <mergeCell ref="AF113:AG113"/>
    <mergeCell ref="AH113:AI113"/>
    <mergeCell ref="AJ113:AK113"/>
    <mergeCell ref="AL113:AM113"/>
    <mergeCell ref="AN113:AO113"/>
    <mergeCell ref="AP113:AQ113"/>
    <mergeCell ref="AR113:AS113"/>
    <mergeCell ref="BH113:BI113"/>
    <mergeCell ref="BJ113:BK113"/>
    <mergeCell ref="BL113:BM113"/>
    <mergeCell ref="BN113:BO113"/>
    <mergeCell ref="AT113:AU113"/>
    <mergeCell ref="AV113:AW113"/>
    <mergeCell ref="AX113:AY113"/>
    <mergeCell ref="AZ113:BA113"/>
    <mergeCell ref="BB113:BC113"/>
    <mergeCell ref="BD113:BE113"/>
    <mergeCell ref="BF113:BG113"/>
    <mergeCell ref="C113:D113"/>
    <mergeCell ref="F113:G113"/>
    <mergeCell ref="H113:I113"/>
    <mergeCell ref="J113:K113"/>
    <mergeCell ref="L113:M113"/>
    <mergeCell ref="N113:O113"/>
    <mergeCell ref="P113:Q113"/>
    <mergeCell ref="C115:D115"/>
    <mergeCell ref="F115:G115"/>
    <mergeCell ref="H115:I115"/>
    <mergeCell ref="J115:K115"/>
    <mergeCell ref="L115:M115"/>
    <mergeCell ref="N115:O115"/>
    <mergeCell ref="P115:Q115"/>
    <mergeCell ref="R115:S115"/>
    <mergeCell ref="T115:U115"/>
    <mergeCell ref="V115:W115"/>
    <mergeCell ref="X115:Y115"/>
    <mergeCell ref="Z115:AA115"/>
    <mergeCell ref="AB115:AC115"/>
    <mergeCell ref="AD115:AE115"/>
    <mergeCell ref="BL103:BM103"/>
    <mergeCell ref="BN103:BO103"/>
    <mergeCell ref="AX103:AY103"/>
    <mergeCell ref="AZ103:BA103"/>
    <mergeCell ref="BB103:BC103"/>
    <mergeCell ref="BD103:BE103"/>
    <mergeCell ref="BF103:BG103"/>
    <mergeCell ref="BH103:BI103"/>
    <mergeCell ref="BJ103:BK103"/>
    <mergeCell ref="R101:S101"/>
    <mergeCell ref="T101:U101"/>
    <mergeCell ref="V101:W101"/>
    <mergeCell ref="X101:Y101"/>
    <mergeCell ref="Z101:AA101"/>
    <mergeCell ref="AB101:AC101"/>
    <mergeCell ref="AD101:AE101"/>
    <mergeCell ref="AF101:AG101"/>
    <mergeCell ref="AH101:AI101"/>
    <mergeCell ref="AJ101:AK101"/>
    <mergeCell ref="AL101:AM101"/>
    <mergeCell ref="AN101:AO101"/>
    <mergeCell ref="AP101:AQ101"/>
    <mergeCell ref="AR101:AS101"/>
    <mergeCell ref="BH101:BI101"/>
    <mergeCell ref="BJ101:BK101"/>
    <mergeCell ref="BL101:BM101"/>
    <mergeCell ref="BN101:BO101"/>
    <mergeCell ref="AT101:AU101"/>
    <mergeCell ref="AV101:AW101"/>
    <mergeCell ref="AX101:AY101"/>
    <mergeCell ref="AZ101:BA101"/>
    <mergeCell ref="BB101:BC101"/>
    <mergeCell ref="BD101:BE101"/>
    <mergeCell ref="BF101:BG101"/>
    <mergeCell ref="C101:D101"/>
    <mergeCell ref="F101:G101"/>
    <mergeCell ref="H101:I101"/>
    <mergeCell ref="J101:K101"/>
    <mergeCell ref="L101:M101"/>
    <mergeCell ref="N101:O101"/>
    <mergeCell ref="P101:Q101"/>
    <mergeCell ref="C103:D103"/>
    <mergeCell ref="F103:G103"/>
    <mergeCell ref="H103:I103"/>
    <mergeCell ref="J103:K103"/>
    <mergeCell ref="L103:M103"/>
    <mergeCell ref="N103:O103"/>
    <mergeCell ref="P103:Q103"/>
    <mergeCell ref="R103:S103"/>
    <mergeCell ref="T103:U103"/>
    <mergeCell ref="V103:W103"/>
    <mergeCell ref="X103:Y103"/>
    <mergeCell ref="Z103:AA103"/>
    <mergeCell ref="AB103:AC103"/>
    <mergeCell ref="AD103:AE103"/>
    <mergeCell ref="AT103:AU103"/>
    <mergeCell ref="AV103:AW103"/>
    <mergeCell ref="AF103:AG103"/>
    <mergeCell ref="AH103:AI103"/>
    <mergeCell ref="AJ103:AK103"/>
    <mergeCell ref="AL103:AM103"/>
    <mergeCell ref="AN103:AO103"/>
    <mergeCell ref="AP103:AQ103"/>
    <mergeCell ref="AR103:AS103"/>
    <mergeCell ref="R105:S105"/>
    <mergeCell ref="T105:U105"/>
    <mergeCell ref="V105:W105"/>
    <mergeCell ref="X105:Y105"/>
    <mergeCell ref="Z105:AA105"/>
    <mergeCell ref="AB105:AC105"/>
    <mergeCell ref="AD105:AE105"/>
    <mergeCell ref="AF105:AG105"/>
    <mergeCell ref="AH105:AI105"/>
    <mergeCell ref="AJ105:AK105"/>
    <mergeCell ref="AL105:AM105"/>
    <mergeCell ref="AN105:AO105"/>
    <mergeCell ref="AP105:AQ105"/>
    <mergeCell ref="AR105:AS105"/>
    <mergeCell ref="BH105:BI105"/>
    <mergeCell ref="BJ105:BK105"/>
    <mergeCell ref="BL105:BM105"/>
    <mergeCell ref="BN105:BO105"/>
    <mergeCell ref="AT105:AU105"/>
    <mergeCell ref="AV105:AW105"/>
    <mergeCell ref="AX105:AY105"/>
    <mergeCell ref="AZ105:BA105"/>
    <mergeCell ref="BB105:BC105"/>
    <mergeCell ref="BD105:BE105"/>
    <mergeCell ref="BF105:BG105"/>
    <mergeCell ref="C105:D105"/>
    <mergeCell ref="F105:G105"/>
    <mergeCell ref="H105:I105"/>
    <mergeCell ref="J105:K105"/>
    <mergeCell ref="L105:M105"/>
    <mergeCell ref="N105:O105"/>
    <mergeCell ref="P105:Q105"/>
    <mergeCell ref="BL109:BM109"/>
    <mergeCell ref="BN109:BO109"/>
    <mergeCell ref="AX109:AY109"/>
    <mergeCell ref="AZ109:BA109"/>
    <mergeCell ref="BB109:BC109"/>
    <mergeCell ref="BD109:BE109"/>
    <mergeCell ref="BF109:BG109"/>
    <mergeCell ref="BH109:BI109"/>
    <mergeCell ref="BJ109:BK109"/>
    <mergeCell ref="R107:S107"/>
    <mergeCell ref="T107:U107"/>
    <mergeCell ref="V107:W107"/>
    <mergeCell ref="X107:Y107"/>
    <mergeCell ref="Z107:AA107"/>
    <mergeCell ref="AB107:AC107"/>
    <mergeCell ref="AD107:AE107"/>
    <mergeCell ref="AF107:AG107"/>
    <mergeCell ref="AH107:AI107"/>
    <mergeCell ref="AJ107:AK107"/>
    <mergeCell ref="AL107:AM107"/>
    <mergeCell ref="AN107:AO107"/>
    <mergeCell ref="AP107:AQ107"/>
    <mergeCell ref="AR107:AS107"/>
    <mergeCell ref="BH107:BI107"/>
    <mergeCell ref="BJ107:BK107"/>
    <mergeCell ref="BL107:BM107"/>
    <mergeCell ref="BN107:BO107"/>
    <mergeCell ref="AT107:AU107"/>
    <mergeCell ref="AV107:AW107"/>
    <mergeCell ref="AX107:AY107"/>
    <mergeCell ref="AZ107:BA107"/>
    <mergeCell ref="BB107:BC107"/>
    <mergeCell ref="BD107:BE107"/>
    <mergeCell ref="BF107:BG107"/>
    <mergeCell ref="C107:D107"/>
    <mergeCell ref="F107:G107"/>
    <mergeCell ref="H107:I107"/>
    <mergeCell ref="J107:K107"/>
    <mergeCell ref="L107:M107"/>
    <mergeCell ref="N107:O107"/>
    <mergeCell ref="P107:Q107"/>
    <mergeCell ref="C109:D109"/>
    <mergeCell ref="F109:G109"/>
    <mergeCell ref="H109:I109"/>
    <mergeCell ref="J109:K109"/>
    <mergeCell ref="L109:M109"/>
    <mergeCell ref="N109:O109"/>
    <mergeCell ref="P109:Q109"/>
    <mergeCell ref="R109:S109"/>
    <mergeCell ref="T109:U109"/>
    <mergeCell ref="V109:W109"/>
    <mergeCell ref="X109:Y109"/>
    <mergeCell ref="Z109:AA109"/>
    <mergeCell ref="AB109:AC109"/>
    <mergeCell ref="AD109:AE109"/>
    <mergeCell ref="AT109:AU109"/>
    <mergeCell ref="AV109:AW109"/>
    <mergeCell ref="AF109:AG109"/>
    <mergeCell ref="AH109:AI109"/>
    <mergeCell ref="AJ109:AK109"/>
    <mergeCell ref="AL109:AM109"/>
    <mergeCell ref="AN109:AO109"/>
    <mergeCell ref="AP109:AQ109"/>
    <mergeCell ref="AR109:AS109"/>
    <mergeCell ref="R111:S111"/>
    <mergeCell ref="T111:U111"/>
    <mergeCell ref="V111:W111"/>
    <mergeCell ref="X111:Y111"/>
    <mergeCell ref="Z111:AA111"/>
    <mergeCell ref="AB111:AC111"/>
    <mergeCell ref="AD111:AE111"/>
    <mergeCell ref="AF111:AG111"/>
    <mergeCell ref="AH111:AI111"/>
    <mergeCell ref="AJ111:AK111"/>
    <mergeCell ref="AL111:AM111"/>
    <mergeCell ref="AN111:AO111"/>
    <mergeCell ref="AP111:AQ111"/>
    <mergeCell ref="AR111:AS111"/>
    <mergeCell ref="BH111:BI111"/>
    <mergeCell ref="BJ111:BK111"/>
    <mergeCell ref="BL111:BM111"/>
    <mergeCell ref="BN111:BO111"/>
    <mergeCell ref="AT111:AU111"/>
    <mergeCell ref="AV111:AW111"/>
    <mergeCell ref="AX111:AY111"/>
    <mergeCell ref="AZ111:BA111"/>
    <mergeCell ref="BB111:BC111"/>
    <mergeCell ref="BD111:BE111"/>
    <mergeCell ref="BF111:BG111"/>
    <mergeCell ref="C111:D111"/>
    <mergeCell ref="F111:G111"/>
    <mergeCell ref="H111:I111"/>
    <mergeCell ref="J111:K111"/>
    <mergeCell ref="L111:M111"/>
    <mergeCell ref="N111:O111"/>
    <mergeCell ref="P111:Q111"/>
    <mergeCell ref="AT115:AU115"/>
    <mergeCell ref="AV115:AW115"/>
    <mergeCell ref="AF115:AG115"/>
    <mergeCell ref="AH115:AI115"/>
    <mergeCell ref="AJ115:AK115"/>
    <mergeCell ref="AL115:AM115"/>
    <mergeCell ref="AN115:AO115"/>
    <mergeCell ref="AP115:AQ115"/>
    <mergeCell ref="AR115:AS115"/>
    <mergeCell ref="P119:Q119"/>
    <mergeCell ref="R119:S119"/>
    <mergeCell ref="T119:U119"/>
    <mergeCell ref="V119:W119"/>
    <mergeCell ref="X119:Y119"/>
    <mergeCell ref="Z119:AA119"/>
    <mergeCell ref="AB119:AC119"/>
    <mergeCell ref="AD119:AE119"/>
    <mergeCell ref="AF119:AG119"/>
    <mergeCell ref="AH119:AI119"/>
    <mergeCell ref="AJ119:AK119"/>
    <mergeCell ref="AL119:AM119"/>
    <mergeCell ref="AN119:AO119"/>
    <mergeCell ref="AP119:AQ119"/>
    <mergeCell ref="BF119:BG119"/>
    <mergeCell ref="BH119:BI119"/>
    <mergeCell ref="BJ119:BK119"/>
    <mergeCell ref="BL119:BM119"/>
    <mergeCell ref="BN119:BO119"/>
    <mergeCell ref="AR119:AS119"/>
    <mergeCell ref="AT119:AU119"/>
    <mergeCell ref="AV119:AW119"/>
    <mergeCell ref="AX119:AY119"/>
    <mergeCell ref="AZ119:BA119"/>
    <mergeCell ref="BB119:BC119"/>
    <mergeCell ref="BD119:BE119"/>
    <mergeCell ref="C116:D116"/>
    <mergeCell ref="C119:D119"/>
    <mergeCell ref="F119:G119"/>
    <mergeCell ref="H119:I119"/>
    <mergeCell ref="J119:K119"/>
    <mergeCell ref="L119:M119"/>
    <mergeCell ref="N119:O119"/>
    <mergeCell ref="BL436:BM436"/>
    <mergeCell ref="BN436:BO436"/>
    <mergeCell ref="AX436:AY436"/>
    <mergeCell ref="AZ436:BA436"/>
    <mergeCell ref="BB436:BC436"/>
    <mergeCell ref="BD436:BE436"/>
    <mergeCell ref="BF436:BG436"/>
    <mergeCell ref="BH436:BI436"/>
    <mergeCell ref="BJ436:BK436"/>
    <mergeCell ref="R434:S434"/>
    <mergeCell ref="T434:U434"/>
    <mergeCell ref="V434:W434"/>
    <mergeCell ref="X434:Y434"/>
    <mergeCell ref="Z434:AA434"/>
    <mergeCell ref="AB434:AC434"/>
    <mergeCell ref="AD434:AE434"/>
    <mergeCell ref="AF434:AG434"/>
    <mergeCell ref="AH434:AI434"/>
    <mergeCell ref="AJ434:AK434"/>
    <mergeCell ref="AL434:AM434"/>
    <mergeCell ref="AN434:AO434"/>
    <mergeCell ref="AP434:AQ434"/>
    <mergeCell ref="AR434:AS434"/>
    <mergeCell ref="BH434:BI434"/>
    <mergeCell ref="BJ434:BK434"/>
    <mergeCell ref="BL434:BM434"/>
    <mergeCell ref="BN434:BO434"/>
    <mergeCell ref="AT434:AU434"/>
    <mergeCell ref="AV434:AW434"/>
    <mergeCell ref="AX434:AY434"/>
    <mergeCell ref="AZ434:BA434"/>
    <mergeCell ref="BB434:BC434"/>
    <mergeCell ref="BD434:BE434"/>
    <mergeCell ref="BF434:BG434"/>
    <mergeCell ref="C434:D434"/>
    <mergeCell ref="F434:G434"/>
    <mergeCell ref="H434:I434"/>
    <mergeCell ref="J434:K434"/>
    <mergeCell ref="L434:M434"/>
    <mergeCell ref="N434:O434"/>
    <mergeCell ref="P434:Q434"/>
    <mergeCell ref="C436:D436"/>
    <mergeCell ref="F436:G436"/>
    <mergeCell ref="H436:I436"/>
    <mergeCell ref="J436:K436"/>
    <mergeCell ref="L436:M436"/>
    <mergeCell ref="N436:O436"/>
    <mergeCell ref="P436:Q436"/>
    <mergeCell ref="R436:S436"/>
    <mergeCell ref="T436:U436"/>
    <mergeCell ref="V436:W436"/>
    <mergeCell ref="X436:Y436"/>
    <mergeCell ref="Z436:AA436"/>
    <mergeCell ref="AB436:AC436"/>
    <mergeCell ref="AD436:AE436"/>
    <mergeCell ref="BL424:BM424"/>
    <mergeCell ref="BN424:BO424"/>
    <mergeCell ref="AX424:AY424"/>
    <mergeCell ref="AZ424:BA424"/>
    <mergeCell ref="BB424:BC424"/>
    <mergeCell ref="BD424:BE424"/>
    <mergeCell ref="BF424:BG424"/>
    <mergeCell ref="BH424:BI424"/>
    <mergeCell ref="BJ424:BK424"/>
    <mergeCell ref="R422:S422"/>
    <mergeCell ref="T422:U422"/>
    <mergeCell ref="V422:W422"/>
    <mergeCell ref="X422:Y422"/>
    <mergeCell ref="Z422:AA422"/>
    <mergeCell ref="AB422:AC422"/>
    <mergeCell ref="AD422:AE422"/>
    <mergeCell ref="AF422:AG422"/>
    <mergeCell ref="AH422:AI422"/>
    <mergeCell ref="AJ422:AK422"/>
    <mergeCell ref="AL422:AM422"/>
    <mergeCell ref="AN422:AO422"/>
    <mergeCell ref="AP422:AQ422"/>
    <mergeCell ref="AR422:AS422"/>
    <mergeCell ref="BH422:BI422"/>
    <mergeCell ref="BJ422:BK422"/>
    <mergeCell ref="BL422:BM422"/>
    <mergeCell ref="BN422:BO422"/>
    <mergeCell ref="AT422:AU422"/>
    <mergeCell ref="AV422:AW422"/>
    <mergeCell ref="AX422:AY422"/>
    <mergeCell ref="AZ422:BA422"/>
    <mergeCell ref="BB422:BC422"/>
    <mergeCell ref="BD422:BE422"/>
    <mergeCell ref="BF422:BG422"/>
    <mergeCell ref="C422:D422"/>
    <mergeCell ref="F422:G422"/>
    <mergeCell ref="H422:I422"/>
    <mergeCell ref="J422:K422"/>
    <mergeCell ref="L422:M422"/>
    <mergeCell ref="N422:O422"/>
    <mergeCell ref="P422:Q422"/>
    <mergeCell ref="C424:D424"/>
    <mergeCell ref="F424:G424"/>
    <mergeCell ref="H424:I424"/>
    <mergeCell ref="J424:K424"/>
    <mergeCell ref="L424:M424"/>
    <mergeCell ref="N424:O424"/>
    <mergeCell ref="P424:Q424"/>
    <mergeCell ref="R424:S424"/>
    <mergeCell ref="T424:U424"/>
    <mergeCell ref="V424:W424"/>
    <mergeCell ref="X424:Y424"/>
    <mergeCell ref="Z424:AA424"/>
    <mergeCell ref="AB424:AC424"/>
    <mergeCell ref="AD424:AE424"/>
    <mergeCell ref="AT424:AU424"/>
    <mergeCell ref="AV424:AW424"/>
    <mergeCell ref="AF424:AG424"/>
    <mergeCell ref="AH424:AI424"/>
    <mergeCell ref="AJ424:AK424"/>
    <mergeCell ref="AL424:AM424"/>
    <mergeCell ref="AN424:AO424"/>
    <mergeCell ref="AP424:AQ424"/>
    <mergeCell ref="AR424:AS424"/>
    <mergeCell ref="R426:S426"/>
    <mergeCell ref="T426:U426"/>
    <mergeCell ref="V426:W426"/>
    <mergeCell ref="X426:Y426"/>
    <mergeCell ref="Z426:AA426"/>
    <mergeCell ref="AB426:AC426"/>
    <mergeCell ref="AD426:AE426"/>
    <mergeCell ref="AF426:AG426"/>
    <mergeCell ref="AH426:AI426"/>
    <mergeCell ref="AJ426:AK426"/>
    <mergeCell ref="AL426:AM426"/>
    <mergeCell ref="AN426:AO426"/>
    <mergeCell ref="AP426:AQ426"/>
    <mergeCell ref="AR426:AS426"/>
    <mergeCell ref="BH426:BI426"/>
    <mergeCell ref="BJ426:BK426"/>
    <mergeCell ref="BL426:BM426"/>
    <mergeCell ref="BN426:BO426"/>
    <mergeCell ref="AT426:AU426"/>
    <mergeCell ref="AV426:AW426"/>
    <mergeCell ref="AX426:AY426"/>
    <mergeCell ref="AZ426:BA426"/>
    <mergeCell ref="BB426:BC426"/>
    <mergeCell ref="BD426:BE426"/>
    <mergeCell ref="BF426:BG426"/>
    <mergeCell ref="C426:D426"/>
    <mergeCell ref="F426:G426"/>
    <mergeCell ref="H426:I426"/>
    <mergeCell ref="J426:K426"/>
    <mergeCell ref="L426:M426"/>
    <mergeCell ref="N426:O426"/>
    <mergeCell ref="P426:Q426"/>
    <mergeCell ref="BL430:BM430"/>
    <mergeCell ref="BN430:BO430"/>
    <mergeCell ref="AX430:AY430"/>
    <mergeCell ref="AZ430:BA430"/>
    <mergeCell ref="BB430:BC430"/>
    <mergeCell ref="BD430:BE430"/>
    <mergeCell ref="BF430:BG430"/>
    <mergeCell ref="BH430:BI430"/>
    <mergeCell ref="BJ430:BK430"/>
    <mergeCell ref="R428:S428"/>
    <mergeCell ref="T428:U428"/>
    <mergeCell ref="V428:W428"/>
    <mergeCell ref="X428:Y428"/>
    <mergeCell ref="Z428:AA428"/>
    <mergeCell ref="AB428:AC428"/>
    <mergeCell ref="AD428:AE428"/>
    <mergeCell ref="AF428:AG428"/>
    <mergeCell ref="AH428:AI428"/>
    <mergeCell ref="AJ428:AK428"/>
    <mergeCell ref="AL428:AM428"/>
    <mergeCell ref="AN428:AO428"/>
    <mergeCell ref="AP428:AQ428"/>
    <mergeCell ref="AR428:AS428"/>
    <mergeCell ref="BH428:BI428"/>
    <mergeCell ref="BJ428:BK428"/>
    <mergeCell ref="BL428:BM428"/>
    <mergeCell ref="BN428:BO428"/>
    <mergeCell ref="AT428:AU428"/>
    <mergeCell ref="AV428:AW428"/>
    <mergeCell ref="AX428:AY428"/>
    <mergeCell ref="AZ428:BA428"/>
    <mergeCell ref="BB428:BC428"/>
    <mergeCell ref="BD428:BE428"/>
    <mergeCell ref="BF428:BG428"/>
    <mergeCell ref="C428:D428"/>
    <mergeCell ref="F428:G428"/>
    <mergeCell ref="H428:I428"/>
    <mergeCell ref="J428:K428"/>
    <mergeCell ref="L428:M428"/>
    <mergeCell ref="N428:O428"/>
    <mergeCell ref="P428:Q428"/>
    <mergeCell ref="C430:D430"/>
    <mergeCell ref="F430:G430"/>
    <mergeCell ref="H430:I430"/>
    <mergeCell ref="J430:K430"/>
    <mergeCell ref="L430:M430"/>
    <mergeCell ref="N430:O430"/>
    <mergeCell ref="P430:Q430"/>
    <mergeCell ref="R430:S430"/>
    <mergeCell ref="T430:U430"/>
    <mergeCell ref="V430:W430"/>
    <mergeCell ref="X430:Y430"/>
    <mergeCell ref="Z430:AA430"/>
    <mergeCell ref="AB430:AC430"/>
    <mergeCell ref="AD430:AE430"/>
    <mergeCell ref="AT430:AU430"/>
    <mergeCell ref="AV430:AW430"/>
    <mergeCell ref="AF430:AG430"/>
    <mergeCell ref="AH430:AI430"/>
    <mergeCell ref="AJ430:AK430"/>
    <mergeCell ref="AL430:AM430"/>
    <mergeCell ref="AN430:AO430"/>
    <mergeCell ref="AP430:AQ430"/>
    <mergeCell ref="AR430:AS430"/>
    <mergeCell ref="R432:S432"/>
    <mergeCell ref="T432:U432"/>
    <mergeCell ref="V432:W432"/>
    <mergeCell ref="X432:Y432"/>
    <mergeCell ref="Z432:AA432"/>
    <mergeCell ref="AB432:AC432"/>
    <mergeCell ref="AD432:AE432"/>
    <mergeCell ref="AF432:AG432"/>
    <mergeCell ref="AH432:AI432"/>
    <mergeCell ref="AJ432:AK432"/>
    <mergeCell ref="AL432:AM432"/>
    <mergeCell ref="AN432:AO432"/>
    <mergeCell ref="AP432:AQ432"/>
    <mergeCell ref="AR432:AS432"/>
    <mergeCell ref="BH432:BI432"/>
    <mergeCell ref="BJ432:BK432"/>
    <mergeCell ref="BL432:BM432"/>
    <mergeCell ref="BN432:BO432"/>
    <mergeCell ref="AT432:AU432"/>
    <mergeCell ref="AV432:AW432"/>
    <mergeCell ref="AX432:AY432"/>
    <mergeCell ref="AZ432:BA432"/>
    <mergeCell ref="BB432:BC432"/>
    <mergeCell ref="BD432:BE432"/>
    <mergeCell ref="BF432:BG432"/>
    <mergeCell ref="C432:D432"/>
    <mergeCell ref="F432:G432"/>
    <mergeCell ref="H432:I432"/>
    <mergeCell ref="J432:K432"/>
    <mergeCell ref="L432:M432"/>
    <mergeCell ref="N432:O432"/>
    <mergeCell ref="P432:Q432"/>
    <mergeCell ref="AT436:AU436"/>
    <mergeCell ref="AV436:AW436"/>
    <mergeCell ref="AF436:AG436"/>
    <mergeCell ref="AH436:AI436"/>
    <mergeCell ref="AJ436:AK436"/>
    <mergeCell ref="AL436:AM436"/>
    <mergeCell ref="AN436:AO436"/>
    <mergeCell ref="AP436:AQ436"/>
    <mergeCell ref="AR436:AS436"/>
  </mergeCells>
  <conditionalFormatting sqref="A3:BO3 A35:BO35 A61:BO61 A89:BO89 A117:BO117 A349:BO349 A369:BO369 A389:BO389 A414:BO414">
    <cfRule type="notContainsBlanks" dxfId="0" priority="1">
      <formula>LEN(TRIM(A3))&gt;0</formula>
    </cfRule>
  </conditionalFormatting>
  <conditionalFormatting sqref="F5:BO5 F7:BO7 F9:BO9 F11:BO11 F13:BO13 F15:BO15 F17:BO17 F19:BO19 F21:BO21 F23:BO23 F25:BO25 F27:BO27 F29:BO29 F31:BO31 F37:BO37 F39:BO39 F41:BO41 F43:BO43 F45:BO45 F47:BO47 F49:BO49 F51:BO51 F53:BO53 F55:BO55 F57:BO57 F59:BO59 F63:BO63 F65:BO65 F67:BO67 F69:BO69 F71:BO71 F73:BO73 F75:BO75 F77:BO77 F79:BO79 F81:BO81 F83:BO83 F85:BO85 F87:BO87 F91:BO91 F93:BO93 F95:BO95 F97:BO97 F99:BO99 F101:BO101 F103:BO103 F105:BO105 F107:BO107 F109:BO109 F111:BO111 F113:BO113 F115:BO115 F119:BO119 F121:BO121 F123:BO123 F125:BO125 F127:BO127 F129:BO129 F131:BO131 F133:BO133 F135:BO135 F137:BO137 F139:BO139 F141:BO141 F143:BO143 F351:BO351 F353:BO353 F355:BO355 F357:BO357 F359:BO359 F361:BO361 F363:BO363 F365:BO365 F367:BO367 F371:BO371 F373:BO373 F375:BO375 F377:BO377 F379:BO379 F381:BO381 F383:BO383 F385:BO385 F387:BO387 F391:BO391 F393:BO393 F395:BO395 F397:BO397 F399:BO399 F401:BO401 F403:BO403 F405:BO405 F407:BO407 F409:BO409 F411:BO411 F416:BO416 F418:BO418 F420:BO420 F422:BO422 F424:BO424 F426:BO426 F428:BO428 F430:BO430 F432:BO432 F434:BO434 F436:BO436">
    <cfRule type="notContainsBlanks" dxfId="1" priority="2">
      <formula>LEN(TRIM(F5))&gt;0</formula>
    </cfRule>
  </conditionalFormatting>
  <conditionalFormatting sqref="E4:E1424">
    <cfRule type="cellIs" dxfId="0" priority="3" operator="greaterThan">
      <formula>0</formula>
    </cfRule>
  </conditionalFormatting>
  <conditionalFormatting sqref="E4:E1424">
    <cfRule type="cellIs" dxfId="2" priority="4" operator="lessThan">
      <formula>1</formula>
    </cfRule>
  </conditionalFormatting>
  <dataValidations>
    <dataValidation type="list" allowBlank="1" showErrorMessage="1" sqref="C4 C6 C8 C10 C12 C14 C16 C18 C20 C22 C24 C26 C28 C30 C36 C38 C40 C42 C44 C46 C48 C50 C52 C54 C56 C58 C62 C64 C66 C68 C70 C72 C74 C76 C78 C80 C82 C84 C86 C90 C92 C94 C96 C98 C100 C102 C104 C106 C108 C110 C112 C114 C118 C120 C122 C124 C126 C128 C130 C132 C134 C136 C138 C140 C142 C350 C352 C354 C356 C358 C360 C362 C364 C366 C370 C372 C374 C376 C378 C380 C382 C384 C386 C390 C392 C394 C396 C398 C400 C402 C404 C406 C408 C410 C415 C417 C419 C421 C423 C425 C427 C429 C431 C433 C435">
      <formula1>'Employees List'!$B$2:$B$50</formula1>
    </dataValidation>
    <dataValidation type="list" allowBlank="1" showDropDown="1" showErrorMessage="1" sqref="B4 B6 B8 B10 B12 B14 B16 B18 B20 B22 B24 B26 B28 B30 B36 B38 B40 B42 B44 B46 B48 B50 B52 B54 B56 B58 B62 B64 B66 B68 B70 B72 B74 B76 B78 B80 B82 B84 B86 B90 B92 B94 B96 B98 B100 B102 B104 B106 B108 B110 B112 B114 B118 B120 B122 B124 B126 B128 B130 B132 B134 B136 B138 B140 B142 B350 B352 B354 B356 B358 B360 B362 B364 B366 B370 B372 B374 B376 B378 B380 B382 B384 B386 B390 B392 B394 B396 B398 B400 B402 B404 B406 B408 B410 B415 B417 B419 B421 B423 B425 B427 B429 B431 B433 B435">
      <formula1>'Employees List'!$A$2:$A$991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8.88"/>
    <col customWidth="1" hidden="1" min="3" max="3" width="11.0"/>
    <col customWidth="1" hidden="1" min="4" max="14" width="8.13"/>
    <col customWidth="1" min="15" max="19" width="8.13"/>
    <col customWidth="1" min="20" max="20" width="9.5"/>
    <col customWidth="1" min="21" max="21" width="8.13"/>
    <col customWidth="1" min="22" max="22" width="9.63"/>
    <col customWidth="1" min="23" max="23" width="9.5"/>
    <col customWidth="1" min="24" max="26" width="8.13"/>
    <col customWidth="1" min="28" max="28" width="11.38"/>
  </cols>
  <sheetData>
    <row r="1">
      <c r="A1" s="44" t="s">
        <v>171</v>
      </c>
      <c r="B1" s="44" t="s">
        <v>4</v>
      </c>
      <c r="C1" s="44"/>
      <c r="D1" s="44"/>
      <c r="E1" s="44"/>
      <c r="F1" s="44"/>
      <c r="G1" s="44"/>
      <c r="H1" s="44"/>
      <c r="I1" s="44"/>
      <c r="J1" s="44"/>
      <c r="K1" s="44"/>
      <c r="L1" s="44"/>
      <c r="M1" s="44"/>
      <c r="N1" s="44"/>
      <c r="O1" s="44" t="s">
        <v>12</v>
      </c>
      <c r="P1" s="44" t="s">
        <v>16</v>
      </c>
      <c r="Q1" s="44" t="s">
        <v>21</v>
      </c>
      <c r="R1" s="44" t="s">
        <v>25</v>
      </c>
      <c r="S1" s="44" t="s">
        <v>29</v>
      </c>
      <c r="T1" s="44" t="s">
        <v>33</v>
      </c>
      <c r="U1" s="44" t="s">
        <v>37</v>
      </c>
      <c r="V1" s="44" t="s">
        <v>41</v>
      </c>
      <c r="W1" s="44" t="s">
        <v>45</v>
      </c>
      <c r="X1" s="44" t="s">
        <v>49</v>
      </c>
      <c r="Y1" s="44" t="s">
        <v>52</v>
      </c>
      <c r="Z1" s="44" t="s">
        <v>55</v>
      </c>
      <c r="AA1" s="44" t="s">
        <v>172</v>
      </c>
      <c r="AB1" s="45"/>
      <c r="AC1" s="46"/>
      <c r="AD1" s="46"/>
      <c r="AE1" s="46"/>
      <c r="AF1" s="46"/>
      <c r="AG1" s="46"/>
      <c r="AH1" s="46"/>
      <c r="AI1" s="46"/>
      <c r="AJ1" s="46"/>
      <c r="AK1" s="46"/>
      <c r="AL1" s="46"/>
      <c r="AM1" s="46"/>
    </row>
    <row r="2">
      <c r="A2" s="9" t="s">
        <v>13</v>
      </c>
      <c r="B2" s="46" t="str">
        <f>IFERROR(VLOOKUP(A2,'Employees List'!$B$2:E981,4,0),"")</f>
        <v>BHUVANESHWARAN.V</v>
      </c>
      <c r="C2" s="10" t="str">
        <f t="shared" ref="C2:C16" si="1">$O$1&amp;B2</f>
        <v>AprilBHUVANESHWARAN.V</v>
      </c>
      <c r="D2" s="10" t="str">
        <f t="shared" ref="D2:D16" si="2">$P$1&amp;B2</f>
        <v>MayBHUVANESHWARAN.V</v>
      </c>
      <c r="E2" s="10" t="str">
        <f t="shared" ref="E2:E16" si="3">$Q$1&amp;B2</f>
        <v>JuneBHUVANESHWARAN.V</v>
      </c>
      <c r="F2" s="10" t="str">
        <f t="shared" ref="F2:F16" si="4">$R$1&amp;B2</f>
        <v>JulyBHUVANESHWARAN.V</v>
      </c>
      <c r="G2" s="47" t="str">
        <f t="shared" ref="G2:G16" si="5">$S$1&amp;B2</f>
        <v>AugustBHUVANESHWARAN.V</v>
      </c>
      <c r="H2" s="10" t="str">
        <f t="shared" ref="H2:H16" si="6">$T$1&amp;B2</f>
        <v>SeptemberBHUVANESHWARAN.V</v>
      </c>
      <c r="I2" s="10" t="str">
        <f t="shared" ref="I2:I16" si="7">$U$1&amp;B2</f>
        <v>OctoberBHUVANESHWARAN.V</v>
      </c>
      <c r="J2" s="10" t="str">
        <f t="shared" ref="J2:J16" si="8">$V$1&amp;B2</f>
        <v>NovemberBHUVANESHWARAN.V</v>
      </c>
      <c r="K2" s="10" t="str">
        <f t="shared" ref="K2:K16" si="9">$W$1&amp;B2</f>
        <v>DecemberBHUVANESHWARAN.V</v>
      </c>
      <c r="L2" s="10" t="str">
        <f t="shared" ref="L2:L16" si="10">$X$1&amp;B2</f>
        <v>JanuaryBHUVANESHWARAN.V</v>
      </c>
      <c r="M2" s="10" t="str">
        <f t="shared" ref="M2:M16" si="11">$Y$1&amp;B2</f>
        <v>FebruaryBHUVANESHWARAN.V</v>
      </c>
      <c r="N2" s="10" t="str">
        <f t="shared" ref="N2:N16" si="12">$Z$1&amp;B2</f>
        <v>MarchBHUVANESHWARAN.V</v>
      </c>
      <c r="O2" s="10">
        <f>IFERROR(VLOOKUP(C2,'Daily Attendance 25-26'!$A$1:BP981,5,0),"")</f>
        <v>30</v>
      </c>
      <c r="P2" s="10">
        <f>IFERROR(VLOOKUP(D2,'Daily Attendance 25-26'!$A$1:BP981,5,0),"")</f>
        <v>31</v>
      </c>
      <c r="Q2" s="10">
        <f>IFERROR(VLOOKUP(E2,'Daily Attendance 25-26'!$A$1:BP981,5,0),"")</f>
        <v>30</v>
      </c>
      <c r="R2" s="10">
        <f>IFERROR(VLOOKUP(F2,'Daily Attendance 25-26'!$A$1:BP981,5,0),"")</f>
        <v>31</v>
      </c>
      <c r="S2" s="10">
        <f>IFERROR(VLOOKUP(G2,'Daily Attendance 25-26'!$A$1:BP981,5,0),"")</f>
        <v>31</v>
      </c>
      <c r="T2" s="10" t="str">
        <f>IFERROR(VLOOKUP(H2,'Daily Attendance 25-26'!$A$1:BP981,5,0),"")</f>
        <v/>
      </c>
      <c r="U2" s="10" t="str">
        <f>IFERROR(VLOOKUP(I2,'Daily Attendance 25-26'!$A$1:BP981,5,0),"")</f>
        <v/>
      </c>
      <c r="V2" s="10">
        <f>IFERROR(VLOOKUP(J2,'Daily Attendance 25-26'!$A$1:BP981,5,0),"")</f>
        <v>30</v>
      </c>
      <c r="W2" s="10">
        <f>IFERROR(VLOOKUP(K2,'Daily Attendance 25-26'!$A$1:BP981,5,0),"")</f>
        <v>31</v>
      </c>
      <c r="X2" s="10">
        <f>IFERROR(VLOOKUP(L2,'Daily Attendance 25-26'!$A$1:BP981,5,0),"")</f>
        <v>31</v>
      </c>
      <c r="Y2" s="10">
        <f>IFERROR(VLOOKUP(M2,'Daily Attendance 25-26'!$A$1:BP981,5,0),"")</f>
        <v>28</v>
      </c>
      <c r="Z2" s="10" t="str">
        <f>IFERROR(VLOOKUP(N2,'Daily Attendance 25-26'!$A$1:BP981,5,0),"")</f>
        <v/>
      </c>
      <c r="AA2" s="46">
        <f t="shared" ref="AA2:AA16" si="13">SUM(D2:Z2)</f>
        <v>273</v>
      </c>
      <c r="AB2" s="46"/>
      <c r="AC2" s="46"/>
      <c r="AD2" s="46"/>
      <c r="AE2" s="46"/>
      <c r="AF2" s="46"/>
      <c r="AG2" s="46"/>
      <c r="AH2" s="46"/>
      <c r="AI2" s="46"/>
      <c r="AJ2" s="46"/>
      <c r="AK2" s="46"/>
      <c r="AL2" s="46"/>
      <c r="AM2" s="46"/>
    </row>
    <row r="3">
      <c r="A3" s="9" t="s">
        <v>71</v>
      </c>
      <c r="B3" s="46" t="str">
        <f>IFERROR(VLOOKUP(A3,'Employees List'!$B$2:E981,4,0),"")</f>
        <v>THIRIPURA SUNDARI.R</v>
      </c>
      <c r="C3" s="10" t="str">
        <f t="shared" si="1"/>
        <v>AprilTHIRIPURA SUNDARI.R</v>
      </c>
      <c r="D3" s="10" t="str">
        <f t="shared" si="2"/>
        <v>MayTHIRIPURA SUNDARI.R</v>
      </c>
      <c r="E3" s="10" t="str">
        <f t="shared" si="3"/>
        <v>JuneTHIRIPURA SUNDARI.R</v>
      </c>
      <c r="F3" s="10" t="str">
        <f t="shared" si="4"/>
        <v>JulyTHIRIPURA SUNDARI.R</v>
      </c>
      <c r="G3" s="47" t="str">
        <f t="shared" si="5"/>
        <v>AugustTHIRIPURA SUNDARI.R</v>
      </c>
      <c r="H3" s="10" t="str">
        <f t="shared" si="6"/>
        <v>SeptemberTHIRIPURA SUNDARI.R</v>
      </c>
      <c r="I3" s="10" t="str">
        <f t="shared" si="7"/>
        <v>OctoberTHIRIPURA SUNDARI.R</v>
      </c>
      <c r="J3" s="10" t="str">
        <f t="shared" si="8"/>
        <v>NovemberTHIRIPURA SUNDARI.R</v>
      </c>
      <c r="K3" s="10" t="str">
        <f t="shared" si="9"/>
        <v>DecemberTHIRIPURA SUNDARI.R</v>
      </c>
      <c r="L3" s="10" t="str">
        <f t="shared" si="10"/>
        <v>JanuaryTHIRIPURA SUNDARI.R</v>
      </c>
      <c r="M3" s="10" t="str">
        <f t="shared" si="11"/>
        <v>FebruaryTHIRIPURA SUNDARI.R</v>
      </c>
      <c r="N3" s="10" t="str">
        <f t="shared" si="12"/>
        <v>MarchTHIRIPURA SUNDARI.R</v>
      </c>
      <c r="O3" s="10">
        <f>IFERROR(VLOOKUP(C3,'Daily Attendance 25-26'!$A$1:BP981,5,0),"")</f>
        <v>30</v>
      </c>
      <c r="P3" s="10">
        <f>IFERROR(VLOOKUP(D3,'Daily Attendance 25-26'!$A$1:BP981,5,0),"")</f>
        <v>31</v>
      </c>
      <c r="Q3" s="10">
        <f>IFERROR(VLOOKUP(E3,'Daily Attendance 25-26'!$A$1:BP981,5,0),"")</f>
        <v>30</v>
      </c>
      <c r="R3" s="10">
        <f>IFERROR(VLOOKUP(F3,'Daily Attendance 25-26'!$A$1:BP981,5,0),"")</f>
        <v>25</v>
      </c>
      <c r="S3" s="10">
        <f>IFERROR(VLOOKUP(G3,'Daily Attendance 25-26'!$A$1:BP981,5,0),"")</f>
        <v>29</v>
      </c>
      <c r="T3" s="10" t="str">
        <f>IFERROR(VLOOKUP(H3,'Daily Attendance 25-26'!$A$1:BP981,5,0),"")</f>
        <v/>
      </c>
      <c r="U3" s="10" t="str">
        <f>IFERROR(VLOOKUP(I3,'Daily Attendance 25-26'!$A$1:BP981,5,0),"")</f>
        <v/>
      </c>
      <c r="V3" s="10">
        <f>IFERROR(VLOOKUP(J3,'Daily Attendance 25-26'!$A$1:BP981,5,0),"")</f>
        <v>30</v>
      </c>
      <c r="W3" s="10">
        <f>IFERROR(VLOOKUP(K3,'Daily Attendance 25-26'!$A$1:BP981,5,0),"")</f>
        <v>31</v>
      </c>
      <c r="X3" s="10">
        <f>IFERROR(VLOOKUP(L3,'Daily Attendance 25-26'!$A$1:BP981,5,0),"")</f>
        <v>31</v>
      </c>
      <c r="Y3" s="10">
        <f>IFERROR(VLOOKUP(M3,'Daily Attendance 25-26'!$A$1:BP981,5,0),"")</f>
        <v>28</v>
      </c>
      <c r="Z3" s="10" t="str">
        <f>IFERROR(VLOOKUP(N3,'Daily Attendance 25-26'!$A$1:BP981,5,0),"")</f>
        <v/>
      </c>
      <c r="AA3" s="46">
        <f t="shared" si="13"/>
        <v>265</v>
      </c>
      <c r="AB3" s="46"/>
      <c r="AC3" s="46"/>
      <c r="AD3" s="46"/>
      <c r="AE3" s="46"/>
      <c r="AF3" s="46"/>
      <c r="AG3" s="46"/>
      <c r="AH3" s="46"/>
      <c r="AI3" s="46"/>
      <c r="AJ3" s="46"/>
      <c r="AK3" s="46"/>
      <c r="AL3" s="46"/>
      <c r="AM3" s="46"/>
    </row>
    <row r="4">
      <c r="A4" s="9" t="s">
        <v>22</v>
      </c>
      <c r="B4" s="46" t="str">
        <f>IFERROR(VLOOKUP(A4,'Employees List'!$B$2:E981,4,0),"")</f>
        <v>GANESH</v>
      </c>
      <c r="C4" s="10" t="str">
        <f t="shared" si="1"/>
        <v>AprilGANESH</v>
      </c>
      <c r="D4" s="10" t="str">
        <f t="shared" si="2"/>
        <v>MayGANESH</v>
      </c>
      <c r="E4" s="10" t="str">
        <f t="shared" si="3"/>
        <v>JuneGANESH</v>
      </c>
      <c r="F4" s="10" t="str">
        <f t="shared" si="4"/>
        <v>JulyGANESH</v>
      </c>
      <c r="G4" s="47" t="str">
        <f t="shared" si="5"/>
        <v>AugustGANESH</v>
      </c>
      <c r="H4" s="10" t="str">
        <f t="shared" si="6"/>
        <v>SeptemberGANESH</v>
      </c>
      <c r="I4" s="10" t="str">
        <f t="shared" si="7"/>
        <v>OctoberGANESH</v>
      </c>
      <c r="J4" s="10" t="str">
        <f t="shared" si="8"/>
        <v>NovemberGANESH</v>
      </c>
      <c r="K4" s="10" t="str">
        <f t="shared" si="9"/>
        <v>DecemberGANESH</v>
      </c>
      <c r="L4" s="10" t="str">
        <f t="shared" si="10"/>
        <v>JanuaryGANESH</v>
      </c>
      <c r="M4" s="10" t="str">
        <f t="shared" si="11"/>
        <v>FebruaryGANESH</v>
      </c>
      <c r="N4" s="10" t="str">
        <f t="shared" si="12"/>
        <v>MarchGANESH</v>
      </c>
      <c r="O4" s="10">
        <f>IFERROR(VLOOKUP(C4,'Daily Attendance 25-26'!$A$1:BP981,5,0),"")</f>
        <v>22</v>
      </c>
      <c r="P4" s="10">
        <f>IFERROR(VLOOKUP(D4,'Daily Attendance 25-26'!$A$1:BP981,5,0),"")</f>
        <v>24.5</v>
      </c>
      <c r="Q4" s="10">
        <f>IFERROR(VLOOKUP(E4,'Daily Attendance 25-26'!$A$1:BP981,5,0),"")</f>
        <v>25</v>
      </c>
      <c r="R4" s="10">
        <f>IFERROR(VLOOKUP(F4,'Daily Attendance 25-26'!$A$1:BP981,5,0),"")</f>
        <v>22</v>
      </c>
      <c r="S4" s="10">
        <f>IFERROR(VLOOKUP(G4,'Daily Attendance 25-26'!$A$1:BP981,5,0),"")</f>
        <v>29</v>
      </c>
      <c r="T4" s="10" t="str">
        <f>IFERROR(VLOOKUP(H4,'Daily Attendance 25-26'!$A$1:BP981,5,0),"")</f>
        <v/>
      </c>
      <c r="U4" s="10" t="str">
        <f>IFERROR(VLOOKUP(I4,'Daily Attendance 25-26'!$A$1:BP981,5,0),"")</f>
        <v/>
      </c>
      <c r="V4" s="10">
        <f>IFERROR(VLOOKUP(J4,'Daily Attendance 25-26'!$A$1:BP981,5,0),"")</f>
        <v>24</v>
      </c>
      <c r="W4" s="10">
        <f>IFERROR(VLOOKUP(K4,'Daily Attendance 25-26'!$A$1:BP981,5,0),"")</f>
        <v>26</v>
      </c>
      <c r="X4" s="10">
        <f>IFERROR(VLOOKUP(L4,'Daily Attendance 25-26'!$A$1:BP981,5,0),"")</f>
        <v>25</v>
      </c>
      <c r="Y4" s="10">
        <f>IFERROR(VLOOKUP(M4,'Daily Attendance 25-26'!$A$1:BP981,5,0),"")</f>
        <v>25</v>
      </c>
      <c r="Z4" s="10" t="str">
        <f>IFERROR(VLOOKUP(N4,'Daily Attendance 25-26'!$A$1:BP981,5,0),"")</f>
        <v/>
      </c>
      <c r="AA4" s="46">
        <f t="shared" si="13"/>
        <v>222.5</v>
      </c>
      <c r="AB4" s="46"/>
      <c r="AC4" s="46"/>
      <c r="AD4" s="46"/>
      <c r="AE4" s="46"/>
      <c r="AF4" s="46"/>
      <c r="AG4" s="46"/>
      <c r="AH4" s="46"/>
      <c r="AI4" s="46"/>
      <c r="AJ4" s="46"/>
      <c r="AK4" s="46"/>
      <c r="AL4" s="46"/>
      <c r="AM4" s="46"/>
    </row>
    <row r="5">
      <c r="A5" s="9" t="s">
        <v>77</v>
      </c>
      <c r="B5" s="46" t="str">
        <f>IFERROR(VLOOKUP(A5,'Employees List'!$B$2:E981,4,0),"")</f>
        <v>ILAMATHIVANAN.S</v>
      </c>
      <c r="C5" s="10" t="str">
        <f t="shared" si="1"/>
        <v>AprilILAMATHIVANAN.S</v>
      </c>
      <c r="D5" s="10" t="str">
        <f t="shared" si="2"/>
        <v>MayILAMATHIVANAN.S</v>
      </c>
      <c r="E5" s="10" t="str">
        <f t="shared" si="3"/>
        <v>JuneILAMATHIVANAN.S</v>
      </c>
      <c r="F5" s="10" t="str">
        <f t="shared" si="4"/>
        <v>JulyILAMATHIVANAN.S</v>
      </c>
      <c r="G5" s="47" t="str">
        <f t="shared" si="5"/>
        <v>AugustILAMATHIVANAN.S</v>
      </c>
      <c r="H5" s="10" t="str">
        <f t="shared" si="6"/>
        <v>SeptemberILAMATHIVANAN.S</v>
      </c>
      <c r="I5" s="10" t="str">
        <f t="shared" si="7"/>
        <v>OctoberILAMATHIVANAN.S</v>
      </c>
      <c r="J5" s="10" t="str">
        <f t="shared" si="8"/>
        <v>NovemberILAMATHIVANAN.S</v>
      </c>
      <c r="K5" s="10" t="str">
        <f t="shared" si="9"/>
        <v>DecemberILAMATHIVANAN.S</v>
      </c>
      <c r="L5" s="10" t="str">
        <f t="shared" si="10"/>
        <v>JanuaryILAMATHIVANAN.S</v>
      </c>
      <c r="M5" s="10" t="str">
        <f t="shared" si="11"/>
        <v>FebruaryILAMATHIVANAN.S</v>
      </c>
      <c r="N5" s="10" t="str">
        <f t="shared" si="12"/>
        <v>MarchILAMATHIVANAN.S</v>
      </c>
      <c r="O5" s="10">
        <f>IFERROR(VLOOKUP(C5,'Daily Attendance 25-26'!$A$1:BP981,5,0),"")</f>
        <v>23</v>
      </c>
      <c r="P5" s="10">
        <f>IFERROR(VLOOKUP(D5,'Daily Attendance 25-26'!$A$1:BP981,5,0),"")</f>
        <v>28.5</v>
      </c>
      <c r="Q5" s="10">
        <f>IFERROR(VLOOKUP(E5,'Daily Attendance 25-26'!$A$1:BP981,5,0),"")</f>
        <v>22</v>
      </c>
      <c r="R5" s="10">
        <f>IFERROR(VLOOKUP(F5,'Daily Attendance 25-26'!$A$1:BP981,5,0),"")</f>
        <v>5</v>
      </c>
      <c r="S5" s="10">
        <f>IFERROR(VLOOKUP(G5,'Daily Attendance 25-26'!$A$1:BP981,5,0),"")</f>
        <v>0</v>
      </c>
      <c r="T5" s="10" t="str">
        <f>IFERROR(VLOOKUP(H5,'Daily Attendance 25-26'!$A$1:BP981,5,0),"")</f>
        <v/>
      </c>
      <c r="U5" s="10" t="str">
        <f>IFERROR(VLOOKUP(I5,'Daily Attendance 25-26'!$A$1:BP981,5,0),"")</f>
        <v/>
      </c>
      <c r="V5" s="10">
        <f>IFERROR(VLOOKUP(J5,'Daily Attendance 25-26'!$A$1:BP981,5,0),"")</f>
        <v>0</v>
      </c>
      <c r="W5" s="10" t="str">
        <f>IFERROR(VLOOKUP(K5,'Daily Attendance 25-26'!$A$1:BP981,5,0),"")</f>
        <v/>
      </c>
      <c r="X5" s="10" t="str">
        <f>IFERROR(VLOOKUP(L5,'Daily Attendance 25-26'!$A$1:BP981,5,0),"")</f>
        <v/>
      </c>
      <c r="Y5" s="10" t="str">
        <f>IFERROR(VLOOKUP(M5,'Daily Attendance 25-26'!$A$1:BP981,5,0),"")</f>
        <v/>
      </c>
      <c r="Z5" s="10" t="str">
        <f>IFERROR(VLOOKUP(N5,'Daily Attendance 25-26'!$A$1:BP981,5,0),"")</f>
        <v/>
      </c>
      <c r="AA5" s="46">
        <f t="shared" si="13"/>
        <v>78.5</v>
      </c>
      <c r="AB5" s="46"/>
      <c r="AC5" s="46"/>
      <c r="AD5" s="46"/>
      <c r="AE5" s="46"/>
      <c r="AF5" s="46"/>
      <c r="AG5" s="46"/>
      <c r="AH5" s="46"/>
      <c r="AI5" s="46"/>
      <c r="AJ5" s="46"/>
      <c r="AK5" s="46"/>
      <c r="AL5" s="46"/>
      <c r="AM5" s="46"/>
    </row>
    <row r="6">
      <c r="A6" s="9" t="s">
        <v>42</v>
      </c>
      <c r="B6" s="46" t="str">
        <f>IFERROR(VLOOKUP(A6,'Employees List'!$B$2:E981,4,0),"")</f>
        <v>AMMU.S</v>
      </c>
      <c r="C6" s="10" t="str">
        <f t="shared" si="1"/>
        <v>AprilAMMU.S</v>
      </c>
      <c r="D6" s="10" t="str">
        <f t="shared" si="2"/>
        <v>MayAMMU.S</v>
      </c>
      <c r="E6" s="10" t="str">
        <f t="shared" si="3"/>
        <v>JuneAMMU.S</v>
      </c>
      <c r="F6" s="10" t="str">
        <f t="shared" si="4"/>
        <v>JulyAMMU.S</v>
      </c>
      <c r="G6" s="47" t="str">
        <f t="shared" si="5"/>
        <v>AugustAMMU.S</v>
      </c>
      <c r="H6" s="10" t="str">
        <f t="shared" si="6"/>
        <v>SeptemberAMMU.S</v>
      </c>
      <c r="I6" s="10" t="str">
        <f t="shared" si="7"/>
        <v>OctoberAMMU.S</v>
      </c>
      <c r="J6" s="10" t="str">
        <f t="shared" si="8"/>
        <v>NovemberAMMU.S</v>
      </c>
      <c r="K6" s="10" t="str">
        <f t="shared" si="9"/>
        <v>DecemberAMMU.S</v>
      </c>
      <c r="L6" s="10" t="str">
        <f t="shared" si="10"/>
        <v>JanuaryAMMU.S</v>
      </c>
      <c r="M6" s="10" t="str">
        <f t="shared" si="11"/>
        <v>FebruaryAMMU.S</v>
      </c>
      <c r="N6" s="10" t="str">
        <f t="shared" si="12"/>
        <v>MarchAMMU.S</v>
      </c>
      <c r="O6" s="10">
        <f>IFERROR(VLOOKUP(C6,'Daily Attendance 25-26'!$A$1:BP981,5,0),"")</f>
        <v>30</v>
      </c>
      <c r="P6" s="10">
        <f>IFERROR(VLOOKUP(D6,'Daily Attendance 25-26'!$A$1:BP981,5,0),"")</f>
        <v>27</v>
      </c>
      <c r="Q6" s="10">
        <f>IFERROR(VLOOKUP(E6,'Daily Attendance 25-26'!$A$1:BP981,5,0),"")</f>
        <v>28</v>
      </c>
      <c r="R6" s="10">
        <f>IFERROR(VLOOKUP(F6,'Daily Attendance 25-26'!$A$1:BP981,5,0),"")</f>
        <v>23</v>
      </c>
      <c r="S6" s="10">
        <f>IFERROR(VLOOKUP(G6,'Daily Attendance 25-26'!$A$1:BP981,5,0),"")</f>
        <v>31</v>
      </c>
      <c r="T6" s="10" t="str">
        <f>IFERROR(VLOOKUP(H6,'Daily Attendance 25-26'!$A$1:BP981,5,0),"")</f>
        <v/>
      </c>
      <c r="U6" s="10" t="str">
        <f>IFERROR(VLOOKUP(I6,'Daily Attendance 25-26'!$A$1:BP981,5,0),"")</f>
        <v/>
      </c>
      <c r="V6" s="10">
        <f>IFERROR(VLOOKUP(J6,'Daily Attendance 25-26'!$A$1:BP981,5,0),"")</f>
        <v>28</v>
      </c>
      <c r="W6" s="10">
        <f>IFERROR(VLOOKUP(K6,'Daily Attendance 25-26'!$A$1:BP981,5,0),"")</f>
        <v>29</v>
      </c>
      <c r="X6" s="10">
        <f>IFERROR(VLOOKUP(L6,'Daily Attendance 25-26'!$A$1:BP981,5,0),"")</f>
        <v>28</v>
      </c>
      <c r="Y6" s="10">
        <f>IFERROR(VLOOKUP(M6,'Daily Attendance 25-26'!$A$1:BP981,5,0),"")</f>
        <v>28</v>
      </c>
      <c r="Z6" s="10" t="str">
        <f>IFERROR(VLOOKUP(N6,'Daily Attendance 25-26'!$A$1:BP981,5,0),"")</f>
        <v/>
      </c>
      <c r="AA6" s="46">
        <f t="shared" si="13"/>
        <v>252</v>
      </c>
      <c r="AB6" s="46"/>
      <c r="AC6" s="46"/>
      <c r="AD6" s="46"/>
      <c r="AE6" s="46"/>
      <c r="AF6" s="46"/>
      <c r="AG6" s="46"/>
      <c r="AH6" s="46"/>
      <c r="AI6" s="46"/>
      <c r="AJ6" s="46"/>
      <c r="AK6" s="46"/>
      <c r="AL6" s="46"/>
      <c r="AM6" s="46"/>
    </row>
    <row r="7">
      <c r="A7" s="9" t="s">
        <v>46</v>
      </c>
      <c r="B7" s="46" t="str">
        <f>IFERROR(VLOOKUP(A7,'Employees List'!$B$2:E981,4,0),"")</f>
        <v>REVATHI.S</v>
      </c>
      <c r="C7" s="10" t="str">
        <f t="shared" si="1"/>
        <v>AprilREVATHI.S</v>
      </c>
      <c r="D7" s="10" t="str">
        <f t="shared" si="2"/>
        <v>MayREVATHI.S</v>
      </c>
      <c r="E7" s="10" t="str">
        <f t="shared" si="3"/>
        <v>JuneREVATHI.S</v>
      </c>
      <c r="F7" s="10" t="str">
        <f t="shared" si="4"/>
        <v>JulyREVATHI.S</v>
      </c>
      <c r="G7" s="47" t="str">
        <f t="shared" si="5"/>
        <v>AugustREVATHI.S</v>
      </c>
      <c r="H7" s="10" t="str">
        <f t="shared" si="6"/>
        <v>SeptemberREVATHI.S</v>
      </c>
      <c r="I7" s="10" t="str">
        <f t="shared" si="7"/>
        <v>OctoberREVATHI.S</v>
      </c>
      <c r="J7" s="10" t="str">
        <f t="shared" si="8"/>
        <v>NovemberREVATHI.S</v>
      </c>
      <c r="K7" s="10" t="str">
        <f t="shared" si="9"/>
        <v>DecemberREVATHI.S</v>
      </c>
      <c r="L7" s="10" t="str">
        <f t="shared" si="10"/>
        <v>JanuaryREVATHI.S</v>
      </c>
      <c r="M7" s="10" t="str">
        <f t="shared" si="11"/>
        <v>FebruaryREVATHI.S</v>
      </c>
      <c r="N7" s="10" t="str">
        <f t="shared" si="12"/>
        <v>MarchREVATHI.S</v>
      </c>
      <c r="O7" s="10">
        <f>IFERROR(VLOOKUP(C7,'Daily Attendance 25-26'!$A$1:BP981,5,0),"")</f>
        <v>29</v>
      </c>
      <c r="P7" s="10">
        <f>IFERROR(VLOOKUP(D7,'Daily Attendance 25-26'!$A$1:BP981,5,0),"")</f>
        <v>30</v>
      </c>
      <c r="Q7" s="10">
        <f>IFERROR(VLOOKUP(E7,'Daily Attendance 25-26'!$A$1:BP981,5,0),"")</f>
        <v>29</v>
      </c>
      <c r="R7" s="10">
        <f>IFERROR(VLOOKUP(F7,'Daily Attendance 25-26'!$A$1:BP981,5,0),"")</f>
        <v>30</v>
      </c>
      <c r="S7" s="10">
        <f>IFERROR(VLOOKUP(G7,'Daily Attendance 25-26'!$A$1:BP981,5,0),"")</f>
        <v>29</v>
      </c>
      <c r="T7" s="10" t="str">
        <f>IFERROR(VLOOKUP(H7,'Daily Attendance 25-26'!$A$1:BP981,5,0),"")</f>
        <v/>
      </c>
      <c r="U7" s="10" t="str">
        <f>IFERROR(VLOOKUP(I7,'Daily Attendance 25-26'!$A$1:BP981,5,0),"")</f>
        <v/>
      </c>
      <c r="V7" s="10">
        <f>IFERROR(VLOOKUP(J7,'Daily Attendance 25-26'!$A$1:BP981,5,0),"")</f>
        <v>27</v>
      </c>
      <c r="W7" s="10">
        <f>IFERROR(VLOOKUP(K7,'Daily Attendance 25-26'!$A$1:BP981,5,0),"")</f>
        <v>30</v>
      </c>
      <c r="X7" s="10">
        <f>IFERROR(VLOOKUP(L7,'Daily Attendance 25-26'!$A$1:BP981,5,0),"")</f>
        <v>26</v>
      </c>
      <c r="Y7" s="10">
        <f>IFERROR(VLOOKUP(M7,'Daily Attendance 25-26'!$A$1:BP981,5,0),"")</f>
        <v>25</v>
      </c>
      <c r="Z7" s="10" t="str">
        <f>IFERROR(VLOOKUP(N7,'Daily Attendance 25-26'!$A$1:BP981,5,0),"")</f>
        <v/>
      </c>
      <c r="AA7" s="46">
        <f t="shared" si="13"/>
        <v>255</v>
      </c>
      <c r="AB7" s="46"/>
      <c r="AC7" s="46"/>
      <c r="AD7" s="46"/>
      <c r="AE7" s="46"/>
      <c r="AF7" s="46"/>
      <c r="AG7" s="46"/>
      <c r="AH7" s="46"/>
      <c r="AI7" s="46"/>
      <c r="AJ7" s="46"/>
      <c r="AK7" s="46"/>
      <c r="AL7" s="46"/>
      <c r="AM7" s="46"/>
    </row>
    <row r="8">
      <c r="A8" s="9" t="s">
        <v>74</v>
      </c>
      <c r="B8" s="46" t="str">
        <f>IFERROR(VLOOKUP(A8,'Employees List'!$B$2:E981,4,0),"")</f>
        <v>LEELAVATHI.M</v>
      </c>
      <c r="C8" s="10" t="str">
        <f t="shared" si="1"/>
        <v>AprilLEELAVATHI.M</v>
      </c>
      <c r="D8" s="10" t="str">
        <f t="shared" si="2"/>
        <v>MayLEELAVATHI.M</v>
      </c>
      <c r="E8" s="10" t="str">
        <f t="shared" si="3"/>
        <v>JuneLEELAVATHI.M</v>
      </c>
      <c r="F8" s="10" t="str">
        <f t="shared" si="4"/>
        <v>JulyLEELAVATHI.M</v>
      </c>
      <c r="G8" s="47" t="str">
        <f t="shared" si="5"/>
        <v>AugustLEELAVATHI.M</v>
      </c>
      <c r="H8" s="10" t="str">
        <f t="shared" si="6"/>
        <v>SeptemberLEELAVATHI.M</v>
      </c>
      <c r="I8" s="10" t="str">
        <f t="shared" si="7"/>
        <v>OctoberLEELAVATHI.M</v>
      </c>
      <c r="J8" s="10" t="str">
        <f t="shared" si="8"/>
        <v>NovemberLEELAVATHI.M</v>
      </c>
      <c r="K8" s="10" t="str">
        <f t="shared" si="9"/>
        <v>DecemberLEELAVATHI.M</v>
      </c>
      <c r="L8" s="10" t="str">
        <f t="shared" si="10"/>
        <v>JanuaryLEELAVATHI.M</v>
      </c>
      <c r="M8" s="10" t="str">
        <f t="shared" si="11"/>
        <v>FebruaryLEELAVATHI.M</v>
      </c>
      <c r="N8" s="10" t="str">
        <f t="shared" si="12"/>
        <v>MarchLEELAVATHI.M</v>
      </c>
      <c r="O8" s="10">
        <f>IFERROR(VLOOKUP(C8,'Daily Attendance 25-26'!$A$1:BP981,5,0),"")</f>
        <v>30</v>
      </c>
      <c r="P8" s="10">
        <f>IFERROR(VLOOKUP(D8,'Daily Attendance 25-26'!$A$1:BP981,5,0),"")</f>
        <v>29</v>
      </c>
      <c r="Q8" s="10">
        <f>IFERROR(VLOOKUP(E8,'Daily Attendance 25-26'!$A$1:BP981,5,0),"")</f>
        <v>29</v>
      </c>
      <c r="R8" s="10">
        <f>IFERROR(VLOOKUP(F8,'Daily Attendance 25-26'!$A$1:BP981,5,0),"")</f>
        <v>30</v>
      </c>
      <c r="S8" s="10">
        <f>IFERROR(VLOOKUP(G8,'Daily Attendance 25-26'!$A$1:BP981,5,0),"")</f>
        <v>30</v>
      </c>
      <c r="T8" s="10" t="str">
        <f>IFERROR(VLOOKUP(H8,'Daily Attendance 25-26'!$A$1:BP981,5,0),"")</f>
        <v/>
      </c>
      <c r="U8" s="10" t="str">
        <f>IFERROR(VLOOKUP(I8,'Daily Attendance 25-26'!$A$1:BP981,5,0),"")</f>
        <v/>
      </c>
      <c r="V8" s="10">
        <f>IFERROR(VLOOKUP(J8,'Daily Attendance 25-26'!$A$1:BP981,5,0),"")</f>
        <v>30</v>
      </c>
      <c r="W8" s="10">
        <f>IFERROR(VLOOKUP(K8,'Daily Attendance 25-26'!$A$1:BP981,5,0),"")</f>
        <v>31</v>
      </c>
      <c r="X8" s="10">
        <f>IFERROR(VLOOKUP(L8,'Daily Attendance 25-26'!$A$1:BP981,5,0),"")</f>
        <v>31</v>
      </c>
      <c r="Y8" s="10">
        <f>IFERROR(VLOOKUP(M8,'Daily Attendance 25-26'!$A$1:BP981,5,0),"")</f>
        <v>28</v>
      </c>
      <c r="Z8" s="10" t="str">
        <f>IFERROR(VLOOKUP(N8,'Daily Attendance 25-26'!$A$1:BP981,5,0),"")</f>
        <v/>
      </c>
      <c r="AA8" s="46">
        <f t="shared" si="13"/>
        <v>268</v>
      </c>
      <c r="AB8" s="46"/>
      <c r="AC8" s="46"/>
      <c r="AD8" s="46"/>
      <c r="AE8" s="46"/>
      <c r="AF8" s="46"/>
      <c r="AG8" s="46"/>
      <c r="AH8" s="46"/>
      <c r="AI8" s="46"/>
      <c r="AJ8" s="46"/>
      <c r="AK8" s="46"/>
      <c r="AL8" s="46"/>
      <c r="AM8" s="46"/>
    </row>
    <row r="9" hidden="1">
      <c r="A9" s="9" t="s">
        <v>96</v>
      </c>
      <c r="B9" s="46" t="str">
        <f>IFERROR(VLOOKUP(A9,'Employees List'!$B$2:E981,4,0),"")</f>
        <v>PARSHU BAGH</v>
      </c>
      <c r="C9" s="10" t="str">
        <f t="shared" si="1"/>
        <v>AprilPARSHU BAGH</v>
      </c>
      <c r="D9" s="10" t="str">
        <f t="shared" si="2"/>
        <v>MayPARSHU BAGH</v>
      </c>
      <c r="E9" s="10" t="str">
        <f t="shared" si="3"/>
        <v>JunePARSHU BAGH</v>
      </c>
      <c r="F9" s="10" t="str">
        <f t="shared" si="4"/>
        <v>JulyPARSHU BAGH</v>
      </c>
      <c r="G9" s="47" t="str">
        <f t="shared" si="5"/>
        <v>AugustPARSHU BAGH</v>
      </c>
      <c r="H9" s="10" t="str">
        <f t="shared" si="6"/>
        <v>SeptemberPARSHU BAGH</v>
      </c>
      <c r="I9" s="10" t="str">
        <f t="shared" si="7"/>
        <v>OctoberPARSHU BAGH</v>
      </c>
      <c r="J9" s="10" t="str">
        <f t="shared" si="8"/>
        <v>NovemberPARSHU BAGH</v>
      </c>
      <c r="K9" s="10" t="str">
        <f t="shared" si="9"/>
        <v>DecemberPARSHU BAGH</v>
      </c>
      <c r="L9" s="10" t="str">
        <f t="shared" si="10"/>
        <v>JanuaryPARSHU BAGH</v>
      </c>
      <c r="M9" s="10" t="str">
        <f t="shared" si="11"/>
        <v>FebruaryPARSHU BAGH</v>
      </c>
      <c r="N9" s="10" t="str">
        <f t="shared" si="12"/>
        <v>MarchPARSHU BAGH</v>
      </c>
      <c r="O9" s="10">
        <f>IFERROR(VLOOKUP(C9,'Daily Attendance 25-26'!$A$1:BP981,5,0),"")</f>
        <v>9</v>
      </c>
      <c r="P9" s="10" t="str">
        <f>IFERROR(VLOOKUP(D9,'Daily Attendance 25-26'!$A$1:BP981,5,0),"")</f>
        <v/>
      </c>
      <c r="Q9" s="10" t="str">
        <f>IFERROR(VLOOKUP(E9,'Daily Attendance 25-26'!$A$1:BP981,5,0),"")</f>
        <v/>
      </c>
      <c r="R9" s="10">
        <f>IFERROR(VLOOKUP(F9,'Daily Attendance 25-26'!$A$1:BP981,5,0),"")</f>
        <v>24</v>
      </c>
      <c r="S9" s="10">
        <f>IFERROR(VLOOKUP(G9,'Daily Attendance 25-26'!$A$1:BP981,5,0),"")</f>
        <v>4.5</v>
      </c>
      <c r="T9" s="10" t="str">
        <f>IFERROR(VLOOKUP(H9,'Daily Attendance 25-26'!$A$1:BP981,5,0),"")</f>
        <v/>
      </c>
      <c r="U9" s="10" t="str">
        <f>IFERROR(VLOOKUP(I9,'Daily Attendance 25-26'!$A$1:BP981,5,0),"")</f>
        <v/>
      </c>
      <c r="V9" s="10" t="str">
        <f>IFERROR(VLOOKUP(J9,'Daily Attendance 25-26'!$A$1:BP981,5,0),"")</f>
        <v/>
      </c>
      <c r="W9" s="10" t="str">
        <f>IFERROR(VLOOKUP(K9,'Daily Attendance 25-26'!$A$1:BP981,5,0),"")</f>
        <v/>
      </c>
      <c r="X9" s="10">
        <f>IFERROR(VLOOKUP(L9,'Daily Attendance 25-26'!$A$1:BP981,5,0),"")</f>
        <v>26</v>
      </c>
      <c r="Y9" s="10">
        <f>IFERROR(VLOOKUP(M9,'Daily Attendance 25-26'!$A$1:BP981,5,0),"")</f>
        <v>24</v>
      </c>
      <c r="Z9" s="10" t="str">
        <f>IFERROR(VLOOKUP(N9,'Daily Attendance 25-26'!$A$1:BP981,5,0),"")</f>
        <v/>
      </c>
      <c r="AA9" s="46">
        <f t="shared" si="13"/>
        <v>87.5</v>
      </c>
      <c r="AB9" s="46"/>
      <c r="AC9" s="46"/>
      <c r="AD9" s="46"/>
      <c r="AE9" s="46"/>
      <c r="AF9" s="46"/>
      <c r="AG9" s="46"/>
      <c r="AH9" s="46"/>
      <c r="AI9" s="46"/>
      <c r="AJ9" s="46"/>
      <c r="AK9" s="46"/>
      <c r="AL9" s="46"/>
      <c r="AM9" s="46"/>
    </row>
    <row r="10" hidden="1">
      <c r="A10" s="9" t="s">
        <v>58</v>
      </c>
      <c r="B10" s="46" t="str">
        <f>IFERROR(VLOOKUP(A10,'Employees List'!$B$2:E981,4,0),"")</f>
        <v>PINU </v>
      </c>
      <c r="C10" s="10" t="str">
        <f t="shared" si="1"/>
        <v>AprilPINU </v>
      </c>
      <c r="D10" s="10" t="str">
        <f t="shared" si="2"/>
        <v>MayPINU </v>
      </c>
      <c r="E10" s="10" t="str">
        <f t="shared" si="3"/>
        <v>JunePINU </v>
      </c>
      <c r="F10" s="10" t="str">
        <f t="shared" si="4"/>
        <v>JulyPINU </v>
      </c>
      <c r="G10" s="47" t="str">
        <f t="shared" si="5"/>
        <v>AugustPINU </v>
      </c>
      <c r="H10" s="10" t="str">
        <f t="shared" si="6"/>
        <v>SeptemberPINU </v>
      </c>
      <c r="I10" s="10" t="str">
        <f t="shared" si="7"/>
        <v>OctoberPINU </v>
      </c>
      <c r="J10" s="10" t="str">
        <f t="shared" si="8"/>
        <v>NovemberPINU </v>
      </c>
      <c r="K10" s="10" t="str">
        <f t="shared" si="9"/>
        <v>DecemberPINU </v>
      </c>
      <c r="L10" s="10" t="str">
        <f t="shared" si="10"/>
        <v>JanuaryPINU </v>
      </c>
      <c r="M10" s="10" t="str">
        <f t="shared" si="11"/>
        <v>FebruaryPINU </v>
      </c>
      <c r="N10" s="10" t="str">
        <f t="shared" si="12"/>
        <v>MarchPINU </v>
      </c>
      <c r="O10" s="10">
        <f>IFERROR(VLOOKUP(C10,'Daily Attendance 25-26'!$A$1:BP981,5,0),"")</f>
        <v>9</v>
      </c>
      <c r="P10" s="10" t="str">
        <f>IFERROR(VLOOKUP(D10,'Daily Attendance 25-26'!$A$1:BP981,5,0),"")</f>
        <v/>
      </c>
      <c r="Q10" s="10" t="str">
        <f>IFERROR(VLOOKUP(E10,'Daily Attendance 25-26'!$A$1:BP981,5,0),"")</f>
        <v/>
      </c>
      <c r="R10" s="10" t="str">
        <f>IFERROR(VLOOKUP(F10,'Daily Attendance 25-26'!$A$1:BP981,5,0),"")</f>
        <v/>
      </c>
      <c r="S10" s="10" t="str">
        <f>IFERROR(VLOOKUP(G10,'Daily Attendance 25-26'!$A$1:BP981,5,0),"")</f>
        <v/>
      </c>
      <c r="T10" s="10" t="str">
        <f>IFERROR(VLOOKUP(H10,'Daily Attendance 25-26'!$A$1:BP981,5,0),"")</f>
        <v/>
      </c>
      <c r="U10" s="10" t="str">
        <f>IFERROR(VLOOKUP(I10,'Daily Attendance 25-26'!$A$1:BP981,5,0),"")</f>
        <v/>
      </c>
      <c r="V10" s="10" t="str">
        <f>IFERROR(VLOOKUP(J10,'Daily Attendance 25-26'!$A$1:BP981,5,0),"")</f>
        <v/>
      </c>
      <c r="W10" s="10" t="str">
        <f>IFERROR(VLOOKUP(K10,'Daily Attendance 25-26'!$A$1:BP981,5,0),"")</f>
        <v/>
      </c>
      <c r="X10" s="10" t="str">
        <f>IFERROR(VLOOKUP(L10,'Daily Attendance 25-26'!$A$1:BP981,5,0),"")</f>
        <v/>
      </c>
      <c r="Y10" s="10" t="str">
        <f>IFERROR(VLOOKUP(M10,'Daily Attendance 25-26'!$A$1:BP981,5,0),"")</f>
        <v/>
      </c>
      <c r="Z10" s="10" t="str">
        <f>IFERROR(VLOOKUP(N10,'Daily Attendance 25-26'!$A$1:BP981,5,0),"")</f>
        <v/>
      </c>
      <c r="AA10" s="46">
        <f t="shared" si="13"/>
        <v>9</v>
      </c>
      <c r="AB10" s="46"/>
      <c r="AC10" s="46"/>
      <c r="AD10" s="46"/>
      <c r="AE10" s="46"/>
      <c r="AF10" s="46"/>
      <c r="AG10" s="46"/>
      <c r="AH10" s="46"/>
      <c r="AI10" s="46"/>
      <c r="AJ10" s="46"/>
      <c r="AK10" s="46"/>
      <c r="AL10" s="46"/>
      <c r="AM10" s="46"/>
    </row>
    <row r="11">
      <c r="A11" s="9" t="s">
        <v>34</v>
      </c>
      <c r="B11" s="46" t="str">
        <f>IFERROR(VLOOKUP(A11,'Employees List'!$B$2:E981,4,0),"")</f>
        <v>SANJAY BAGARTTI.K</v>
      </c>
      <c r="C11" s="10" t="str">
        <f t="shared" si="1"/>
        <v>AprilSANJAY BAGARTTI.K</v>
      </c>
      <c r="D11" s="10" t="str">
        <f t="shared" si="2"/>
        <v>MaySANJAY BAGARTTI.K</v>
      </c>
      <c r="E11" s="10" t="str">
        <f t="shared" si="3"/>
        <v>JuneSANJAY BAGARTTI.K</v>
      </c>
      <c r="F11" s="10" t="str">
        <f t="shared" si="4"/>
        <v>JulySANJAY BAGARTTI.K</v>
      </c>
      <c r="G11" s="47" t="str">
        <f t="shared" si="5"/>
        <v>AugustSANJAY BAGARTTI.K</v>
      </c>
      <c r="H11" s="10" t="str">
        <f t="shared" si="6"/>
        <v>SeptemberSANJAY BAGARTTI.K</v>
      </c>
      <c r="I11" s="10" t="str">
        <f t="shared" si="7"/>
        <v>OctoberSANJAY BAGARTTI.K</v>
      </c>
      <c r="J11" s="10" t="str">
        <f t="shared" si="8"/>
        <v>NovemberSANJAY BAGARTTI.K</v>
      </c>
      <c r="K11" s="10" t="str">
        <f t="shared" si="9"/>
        <v>DecemberSANJAY BAGARTTI.K</v>
      </c>
      <c r="L11" s="10" t="str">
        <f t="shared" si="10"/>
        <v>JanuarySANJAY BAGARTTI.K</v>
      </c>
      <c r="M11" s="10" t="str">
        <f t="shared" si="11"/>
        <v>FebruarySANJAY BAGARTTI.K</v>
      </c>
      <c r="N11" s="10" t="str">
        <f t="shared" si="12"/>
        <v>MarchSANJAY BAGARTTI.K</v>
      </c>
      <c r="O11" s="10">
        <f>IFERROR(VLOOKUP(C11,'Daily Attendance 25-26'!$A$1:BP981,5,0),"")</f>
        <v>30</v>
      </c>
      <c r="P11" s="10">
        <f>IFERROR(VLOOKUP(D11,'Daily Attendance 25-26'!$A$1:BP981,5,0),"")</f>
        <v>31</v>
      </c>
      <c r="Q11" s="10">
        <f>IFERROR(VLOOKUP(E11,'Daily Attendance 25-26'!$A$1:BP981,5,0),"")</f>
        <v>29</v>
      </c>
      <c r="R11" s="10">
        <f>IFERROR(VLOOKUP(F11,'Daily Attendance 25-26'!$A$1:BP981,5,0),"")</f>
        <v>31</v>
      </c>
      <c r="S11" s="10">
        <f>IFERROR(VLOOKUP(G11,'Daily Attendance 25-26'!$A$1:BP981,5,0),"")</f>
        <v>30</v>
      </c>
      <c r="T11" s="10" t="str">
        <f>IFERROR(VLOOKUP(H11,'Daily Attendance 25-26'!$A$1:BP981,5,0),"")</f>
        <v/>
      </c>
      <c r="U11" s="10" t="str">
        <f>IFERROR(VLOOKUP(I11,'Daily Attendance 25-26'!$A$1:BP981,5,0),"")</f>
        <v/>
      </c>
      <c r="V11" s="10">
        <f>IFERROR(VLOOKUP(J11,'Daily Attendance 25-26'!$A$1:BP981,5,0),"")</f>
        <v>30</v>
      </c>
      <c r="W11" s="10">
        <f>IFERROR(VLOOKUP(K11,'Daily Attendance 25-26'!$A$1:BP981,5,0),"")</f>
        <v>19</v>
      </c>
      <c r="X11" s="10">
        <f>IFERROR(VLOOKUP(L11,'Daily Attendance 25-26'!$A$1:BP981,5,0),"")</f>
        <v>26</v>
      </c>
      <c r="Y11" s="10">
        <f>IFERROR(VLOOKUP(M11,'Daily Attendance 25-26'!$A$1:BP981,5,0),"")</f>
        <v>28</v>
      </c>
      <c r="Z11" s="10" t="str">
        <f>IFERROR(VLOOKUP(N11,'Daily Attendance 25-26'!$A$1:BP981,5,0),"")</f>
        <v/>
      </c>
      <c r="AA11" s="46">
        <f t="shared" si="13"/>
        <v>254</v>
      </c>
      <c r="AB11" s="46"/>
      <c r="AC11" s="46"/>
      <c r="AD11" s="46"/>
      <c r="AE11" s="46"/>
      <c r="AF11" s="46"/>
      <c r="AG11" s="46"/>
      <c r="AH11" s="46"/>
      <c r="AI11" s="46"/>
      <c r="AJ11" s="46"/>
      <c r="AK11" s="46"/>
      <c r="AL11" s="46"/>
      <c r="AM11" s="46"/>
    </row>
    <row r="12">
      <c r="A12" s="9" t="s">
        <v>26</v>
      </c>
      <c r="B12" s="46" t="str">
        <f>IFERROR(VLOOKUP(A12,'Employees List'!$B$2:E981,4,0),"")</f>
        <v>ADHIKARI BALIA.A</v>
      </c>
      <c r="C12" s="10" t="str">
        <f t="shared" si="1"/>
        <v>AprilADHIKARI BALIA.A</v>
      </c>
      <c r="D12" s="10" t="str">
        <f t="shared" si="2"/>
        <v>MayADHIKARI BALIA.A</v>
      </c>
      <c r="E12" s="10" t="str">
        <f t="shared" si="3"/>
        <v>JuneADHIKARI BALIA.A</v>
      </c>
      <c r="F12" s="10" t="str">
        <f t="shared" si="4"/>
        <v>JulyADHIKARI BALIA.A</v>
      </c>
      <c r="G12" s="47" t="str">
        <f t="shared" si="5"/>
        <v>AugustADHIKARI BALIA.A</v>
      </c>
      <c r="H12" s="10" t="str">
        <f t="shared" si="6"/>
        <v>SeptemberADHIKARI BALIA.A</v>
      </c>
      <c r="I12" s="10" t="str">
        <f t="shared" si="7"/>
        <v>OctoberADHIKARI BALIA.A</v>
      </c>
      <c r="J12" s="10" t="str">
        <f t="shared" si="8"/>
        <v>NovemberADHIKARI BALIA.A</v>
      </c>
      <c r="K12" s="10" t="str">
        <f t="shared" si="9"/>
        <v>DecemberADHIKARI BALIA.A</v>
      </c>
      <c r="L12" s="10" t="str">
        <f t="shared" si="10"/>
        <v>JanuaryADHIKARI BALIA.A</v>
      </c>
      <c r="M12" s="10" t="str">
        <f t="shared" si="11"/>
        <v>FebruaryADHIKARI BALIA.A</v>
      </c>
      <c r="N12" s="10" t="str">
        <f t="shared" si="12"/>
        <v>MarchADHIKARI BALIA.A</v>
      </c>
      <c r="O12" s="10">
        <f>IFERROR(VLOOKUP(C12,'Daily Attendance 25-26'!$A$1:BP981,5,0),"")</f>
        <v>10</v>
      </c>
      <c r="P12" s="10">
        <f>IFERROR(VLOOKUP(D12,'Daily Attendance 25-26'!$A$1:BP981,5,0),"")</f>
        <v>31</v>
      </c>
      <c r="Q12" s="10">
        <f>IFERROR(VLOOKUP(E12,'Daily Attendance 25-26'!$A$1:BP981,5,0),"")</f>
        <v>29</v>
      </c>
      <c r="R12" s="10">
        <f>IFERROR(VLOOKUP(F12,'Daily Attendance 25-26'!$A$1:BP981,5,0),"")</f>
        <v>30</v>
      </c>
      <c r="S12" s="10">
        <f>IFERROR(VLOOKUP(G12,'Daily Attendance 25-26'!$A$1:BP981,5,0),"")</f>
        <v>30</v>
      </c>
      <c r="T12" s="10" t="str">
        <f>IFERROR(VLOOKUP(H12,'Daily Attendance 25-26'!$A$1:BP981,5,0),"")</f>
        <v/>
      </c>
      <c r="U12" s="10" t="str">
        <f>IFERROR(VLOOKUP(I12,'Daily Attendance 25-26'!$A$1:BP981,5,0),"")</f>
        <v/>
      </c>
      <c r="V12" s="10" t="str">
        <f>IFERROR(VLOOKUP(J12,'Daily Attendance 25-26'!$A$1:BP981,5,0),"")</f>
        <v/>
      </c>
      <c r="W12" s="10" t="str">
        <f>IFERROR(VLOOKUP(K12,'Daily Attendance 25-26'!$A$1:BP981,5,0),"")</f>
        <v/>
      </c>
      <c r="X12" s="10">
        <f>IFERROR(VLOOKUP(L12,'Daily Attendance 25-26'!$A$1:BP981,5,0),"")</f>
        <v>26</v>
      </c>
      <c r="Y12" s="10">
        <f>IFERROR(VLOOKUP(M12,'Daily Attendance 25-26'!$A$1:BP981,5,0),"")</f>
        <v>28</v>
      </c>
      <c r="Z12" s="10" t="str">
        <f>IFERROR(VLOOKUP(N12,'Daily Attendance 25-26'!$A$1:BP981,5,0),"")</f>
        <v/>
      </c>
      <c r="AA12" s="46">
        <f t="shared" si="13"/>
        <v>184</v>
      </c>
      <c r="AB12" s="46"/>
      <c r="AC12" s="46"/>
      <c r="AD12" s="46"/>
      <c r="AE12" s="46"/>
      <c r="AF12" s="46"/>
      <c r="AG12" s="46"/>
      <c r="AH12" s="46"/>
      <c r="AI12" s="46"/>
      <c r="AJ12" s="46"/>
      <c r="AK12" s="46"/>
      <c r="AL12" s="46"/>
      <c r="AM12" s="46"/>
    </row>
    <row r="13">
      <c r="A13" s="9" t="s">
        <v>30</v>
      </c>
      <c r="B13" s="46" t="str">
        <f>IFERROR(VLOOKUP(A13,'Employees List'!$B$2:E981,4,0),"")</f>
        <v>RUPESH KISAN</v>
      </c>
      <c r="C13" s="10" t="str">
        <f t="shared" si="1"/>
        <v>AprilRUPESH KISAN</v>
      </c>
      <c r="D13" s="10" t="str">
        <f t="shared" si="2"/>
        <v>MayRUPESH KISAN</v>
      </c>
      <c r="E13" s="10" t="str">
        <f t="shared" si="3"/>
        <v>JuneRUPESH KISAN</v>
      </c>
      <c r="F13" s="10" t="str">
        <f t="shared" si="4"/>
        <v>JulyRUPESH KISAN</v>
      </c>
      <c r="G13" s="47" t="str">
        <f t="shared" si="5"/>
        <v>AugustRUPESH KISAN</v>
      </c>
      <c r="H13" s="10" t="str">
        <f t="shared" si="6"/>
        <v>SeptemberRUPESH KISAN</v>
      </c>
      <c r="I13" s="10" t="str">
        <f t="shared" si="7"/>
        <v>OctoberRUPESH KISAN</v>
      </c>
      <c r="J13" s="10" t="str">
        <f t="shared" si="8"/>
        <v>NovemberRUPESH KISAN</v>
      </c>
      <c r="K13" s="10" t="str">
        <f t="shared" si="9"/>
        <v>DecemberRUPESH KISAN</v>
      </c>
      <c r="L13" s="10" t="str">
        <f t="shared" si="10"/>
        <v>JanuaryRUPESH KISAN</v>
      </c>
      <c r="M13" s="10" t="str">
        <f t="shared" si="11"/>
        <v>FebruaryRUPESH KISAN</v>
      </c>
      <c r="N13" s="10" t="str">
        <f t="shared" si="12"/>
        <v>MarchRUPESH KISAN</v>
      </c>
      <c r="O13" s="10">
        <f>IFERROR(VLOOKUP(C13,'Daily Attendance 25-26'!$A$1:BP981,5,0),"")</f>
        <v>10</v>
      </c>
      <c r="P13" s="10">
        <f>IFERROR(VLOOKUP(D13,'Daily Attendance 25-26'!$A$1:BP981,5,0),"")</f>
        <v>31</v>
      </c>
      <c r="Q13" s="10">
        <f>IFERROR(VLOOKUP(E13,'Daily Attendance 25-26'!$A$1:BP981,5,0),"")</f>
        <v>29</v>
      </c>
      <c r="R13" s="10">
        <f>IFERROR(VLOOKUP(F13,'Daily Attendance 25-26'!$A$1:BP981,5,0),"")</f>
        <v>31</v>
      </c>
      <c r="S13" s="10">
        <f>IFERROR(VLOOKUP(G13,'Daily Attendance 25-26'!$A$1:BP981,5,0),"")</f>
        <v>30</v>
      </c>
      <c r="T13" s="10" t="str">
        <f>IFERROR(VLOOKUP(H13,'Daily Attendance 25-26'!$A$1:BP981,5,0),"")</f>
        <v/>
      </c>
      <c r="U13" s="10" t="str">
        <f>IFERROR(VLOOKUP(I13,'Daily Attendance 25-26'!$A$1:BP981,5,0),"")</f>
        <v/>
      </c>
      <c r="V13" s="10" t="str">
        <f>IFERROR(VLOOKUP(J13,'Daily Attendance 25-26'!$A$1:BP981,5,0),"")</f>
        <v/>
      </c>
      <c r="W13" s="10" t="str">
        <f>IFERROR(VLOOKUP(K13,'Daily Attendance 25-26'!$A$1:BP981,5,0),"")</f>
        <v/>
      </c>
      <c r="X13" s="10" t="str">
        <f>IFERROR(VLOOKUP(L13,'Daily Attendance 25-26'!$A$1:BP981,5,0),"")</f>
        <v/>
      </c>
      <c r="Y13" s="10" t="str">
        <f>IFERROR(VLOOKUP(M13,'Daily Attendance 25-26'!$A$1:BP981,5,0),"")</f>
        <v/>
      </c>
      <c r="Z13" s="10" t="str">
        <f>IFERROR(VLOOKUP(N13,'Daily Attendance 25-26'!$A$1:BP981,5,0),"")</f>
        <v/>
      </c>
      <c r="AA13" s="46">
        <f t="shared" si="13"/>
        <v>131</v>
      </c>
      <c r="AB13" s="46"/>
      <c r="AC13" s="46"/>
      <c r="AD13" s="46"/>
      <c r="AE13" s="46"/>
      <c r="AF13" s="46"/>
      <c r="AG13" s="46"/>
      <c r="AH13" s="46"/>
      <c r="AI13" s="46"/>
      <c r="AJ13" s="46"/>
      <c r="AK13" s="46"/>
      <c r="AL13" s="46"/>
      <c r="AM13" s="46"/>
    </row>
    <row r="14">
      <c r="A14" s="9" t="s">
        <v>87</v>
      </c>
      <c r="B14" s="46" t="str">
        <f>IFERROR(VLOOKUP(A14,'Employees List'!$B$2:E981,4,0),"")</f>
        <v>LIPAN</v>
      </c>
      <c r="C14" s="10" t="str">
        <f t="shared" si="1"/>
        <v>AprilLIPAN</v>
      </c>
      <c r="D14" s="10" t="str">
        <f t="shared" si="2"/>
        <v>MayLIPAN</v>
      </c>
      <c r="E14" s="10" t="str">
        <f t="shared" si="3"/>
        <v>JuneLIPAN</v>
      </c>
      <c r="F14" s="10" t="str">
        <f t="shared" si="4"/>
        <v>JulyLIPAN</v>
      </c>
      <c r="G14" s="47" t="str">
        <f t="shared" si="5"/>
        <v>AugustLIPAN</v>
      </c>
      <c r="H14" s="10" t="str">
        <f t="shared" si="6"/>
        <v>SeptemberLIPAN</v>
      </c>
      <c r="I14" s="10" t="str">
        <f t="shared" si="7"/>
        <v>OctoberLIPAN</v>
      </c>
      <c r="J14" s="10" t="str">
        <f t="shared" si="8"/>
        <v>NovemberLIPAN</v>
      </c>
      <c r="K14" s="10" t="str">
        <f t="shared" si="9"/>
        <v>DecemberLIPAN</v>
      </c>
      <c r="L14" s="10" t="str">
        <f t="shared" si="10"/>
        <v>JanuaryLIPAN</v>
      </c>
      <c r="M14" s="10" t="str">
        <f t="shared" si="11"/>
        <v>FebruaryLIPAN</v>
      </c>
      <c r="N14" s="10" t="str">
        <f t="shared" si="12"/>
        <v>MarchLIPAN</v>
      </c>
      <c r="O14" s="10">
        <f>IFERROR(VLOOKUP(C14,'Daily Attendance 25-26'!$A$1:BP981,5,0),"")</f>
        <v>10</v>
      </c>
      <c r="P14" s="10">
        <f>IFERROR(VLOOKUP(D14,'Daily Attendance 25-26'!$A$1:BP981,5,0),"")</f>
        <v>30</v>
      </c>
      <c r="Q14" s="10">
        <f>IFERROR(VLOOKUP(E14,'Daily Attendance 25-26'!$A$1:BP981,5,0),"")</f>
        <v>30</v>
      </c>
      <c r="R14" s="10">
        <f>IFERROR(VLOOKUP(F14,'Daily Attendance 25-26'!$A$1:BP981,5,0),"")</f>
        <v>31</v>
      </c>
      <c r="S14" s="10">
        <f>IFERROR(VLOOKUP(G14,'Daily Attendance 25-26'!$A$1:BP981,5,0),"")</f>
        <v>31</v>
      </c>
      <c r="T14" s="10" t="str">
        <f>IFERROR(VLOOKUP(H14,'Daily Attendance 25-26'!$A$1:BP981,5,0),"")</f>
        <v/>
      </c>
      <c r="U14" s="10" t="str">
        <f>IFERROR(VLOOKUP(I14,'Daily Attendance 25-26'!$A$1:BP981,5,0),"")</f>
        <v/>
      </c>
      <c r="V14" s="10" t="str">
        <f>IFERROR(VLOOKUP(J14,'Daily Attendance 25-26'!$A$1:BP981,5,0),"")</f>
        <v/>
      </c>
      <c r="W14" s="10" t="str">
        <f>IFERROR(VLOOKUP(K14,'Daily Attendance 25-26'!$A$1:BP981,5,0),"")</f>
        <v/>
      </c>
      <c r="X14" s="10" t="str">
        <f>IFERROR(VLOOKUP(L14,'Daily Attendance 25-26'!$A$1:BP981,5,0),"")</f>
        <v/>
      </c>
      <c r="Y14" s="10" t="str">
        <f>IFERROR(VLOOKUP(M14,'Daily Attendance 25-26'!$A$1:BP981,5,0),"")</f>
        <v/>
      </c>
      <c r="Z14" s="10" t="str">
        <f>IFERROR(VLOOKUP(N14,'Daily Attendance 25-26'!$A$1:BP981,5,0),"")</f>
        <v/>
      </c>
      <c r="AA14" s="46">
        <f t="shared" si="13"/>
        <v>132</v>
      </c>
      <c r="AB14" s="46"/>
      <c r="AC14" s="46"/>
      <c r="AD14" s="46"/>
      <c r="AE14" s="46"/>
      <c r="AF14" s="46"/>
      <c r="AG14" s="46"/>
      <c r="AH14" s="46"/>
      <c r="AI14" s="46"/>
      <c r="AJ14" s="46"/>
      <c r="AK14" s="46"/>
      <c r="AL14" s="46"/>
      <c r="AM14" s="46"/>
    </row>
    <row r="15">
      <c r="A15" s="9" t="s">
        <v>92</v>
      </c>
      <c r="B15" s="46" t="str">
        <f>IFERROR(VLOOKUP(A15,'Employees List'!$B$2:E981,4,0),"")</f>
        <v>NILAMANI KISAN.B</v>
      </c>
      <c r="C15" s="10" t="str">
        <f t="shared" si="1"/>
        <v>AprilNILAMANI KISAN.B</v>
      </c>
      <c r="D15" s="10" t="str">
        <f t="shared" si="2"/>
        <v>MayNILAMANI KISAN.B</v>
      </c>
      <c r="E15" s="10" t="str">
        <f t="shared" si="3"/>
        <v>JuneNILAMANI KISAN.B</v>
      </c>
      <c r="F15" s="10" t="str">
        <f t="shared" si="4"/>
        <v>JulyNILAMANI KISAN.B</v>
      </c>
      <c r="G15" s="47" t="str">
        <f t="shared" si="5"/>
        <v>AugustNILAMANI KISAN.B</v>
      </c>
      <c r="H15" s="10" t="str">
        <f t="shared" si="6"/>
        <v>SeptemberNILAMANI KISAN.B</v>
      </c>
      <c r="I15" s="10" t="str">
        <f t="shared" si="7"/>
        <v>OctoberNILAMANI KISAN.B</v>
      </c>
      <c r="J15" s="10" t="str">
        <f t="shared" si="8"/>
        <v>NovemberNILAMANI KISAN.B</v>
      </c>
      <c r="K15" s="10" t="str">
        <f t="shared" si="9"/>
        <v>DecemberNILAMANI KISAN.B</v>
      </c>
      <c r="L15" s="10" t="str">
        <f t="shared" si="10"/>
        <v>JanuaryNILAMANI KISAN.B</v>
      </c>
      <c r="M15" s="10" t="str">
        <f t="shared" si="11"/>
        <v>FebruaryNILAMANI KISAN.B</v>
      </c>
      <c r="N15" s="10" t="str">
        <f t="shared" si="12"/>
        <v>MarchNILAMANI KISAN.B</v>
      </c>
      <c r="O15" s="10">
        <f>IFERROR(VLOOKUP(C15,'Daily Attendance 25-26'!$A$1:BP981,5,0),"")</f>
        <v>27</v>
      </c>
      <c r="P15" s="10">
        <f>IFERROR(VLOOKUP(D15,'Daily Attendance 25-26'!$A$1:BP981,5,0),"")</f>
        <v>29</v>
      </c>
      <c r="Q15" s="10">
        <f>IFERROR(VLOOKUP(E15,'Daily Attendance 25-26'!$A$1:BP981,5,0),"")</f>
        <v>15</v>
      </c>
      <c r="R15" s="10" t="str">
        <f>IFERROR(VLOOKUP(F15,'Daily Attendance 25-26'!$A$1:BP981,5,0),"")</f>
        <v/>
      </c>
      <c r="S15" s="10" t="str">
        <f>IFERROR(VLOOKUP(G15,'Daily Attendance 25-26'!$A$1:BP981,5,0),"")</f>
        <v/>
      </c>
      <c r="T15" s="10" t="str">
        <f>IFERROR(VLOOKUP(H15,'Daily Attendance 25-26'!$A$1:BP981,5,0),"")</f>
        <v/>
      </c>
      <c r="U15" s="10" t="str">
        <f>IFERROR(VLOOKUP(I15,'Daily Attendance 25-26'!$A$1:BP981,5,0),"")</f>
        <v/>
      </c>
      <c r="V15" s="10" t="str">
        <f>IFERROR(VLOOKUP(J15,'Daily Attendance 25-26'!$A$1:BP981,5,0),"")</f>
        <v/>
      </c>
      <c r="W15" s="10">
        <f>IFERROR(VLOOKUP(K15,'Daily Attendance 25-26'!$A$1:BP981,5,0),"")</f>
        <v>27</v>
      </c>
      <c r="X15" s="10">
        <f>IFERROR(VLOOKUP(L15,'Daily Attendance 25-26'!$A$1:BP981,5,0),"")</f>
        <v>10</v>
      </c>
      <c r="Y15" s="10">
        <f>IFERROR(VLOOKUP(M15,'Daily Attendance 25-26'!$A$1:BP981,5,0),"")</f>
        <v>0</v>
      </c>
      <c r="Z15" s="10" t="str">
        <f>IFERROR(VLOOKUP(N15,'Daily Attendance 25-26'!$A$1:BP981,5,0),"")</f>
        <v/>
      </c>
      <c r="AA15" s="46">
        <f t="shared" si="13"/>
        <v>108</v>
      </c>
      <c r="AB15" s="46"/>
      <c r="AC15" s="46"/>
      <c r="AD15" s="46"/>
      <c r="AE15" s="46"/>
      <c r="AF15" s="46"/>
      <c r="AG15" s="46"/>
      <c r="AH15" s="46"/>
      <c r="AI15" s="46"/>
      <c r="AJ15" s="46"/>
      <c r="AK15" s="46"/>
      <c r="AL15" s="46"/>
      <c r="AM15" s="46"/>
    </row>
    <row r="16">
      <c r="A16" s="9" t="s">
        <v>96</v>
      </c>
      <c r="B16" s="46" t="str">
        <f>IFERROR(VLOOKUP(A16,'Employees List'!$B$2:E981,4,0),"")</f>
        <v>PARSHU BAGH</v>
      </c>
      <c r="C16" s="10" t="str">
        <f t="shared" si="1"/>
        <v>AprilPARSHU BAGH</v>
      </c>
      <c r="D16" s="10" t="str">
        <f t="shared" si="2"/>
        <v>MayPARSHU BAGH</v>
      </c>
      <c r="E16" s="10" t="str">
        <f t="shared" si="3"/>
        <v>JunePARSHU BAGH</v>
      </c>
      <c r="F16" s="10" t="str">
        <f t="shared" si="4"/>
        <v>JulyPARSHU BAGH</v>
      </c>
      <c r="G16" s="47" t="str">
        <f t="shared" si="5"/>
        <v>AugustPARSHU BAGH</v>
      </c>
      <c r="H16" s="10" t="str">
        <f t="shared" si="6"/>
        <v>SeptemberPARSHU BAGH</v>
      </c>
      <c r="I16" s="10" t="str">
        <f t="shared" si="7"/>
        <v>OctoberPARSHU BAGH</v>
      </c>
      <c r="J16" s="10" t="str">
        <f t="shared" si="8"/>
        <v>NovemberPARSHU BAGH</v>
      </c>
      <c r="K16" s="10" t="str">
        <f t="shared" si="9"/>
        <v>DecemberPARSHU BAGH</v>
      </c>
      <c r="L16" s="10" t="str">
        <f t="shared" si="10"/>
        <v>JanuaryPARSHU BAGH</v>
      </c>
      <c r="M16" s="10" t="str">
        <f t="shared" si="11"/>
        <v>FebruaryPARSHU BAGH</v>
      </c>
      <c r="N16" s="10" t="str">
        <f t="shared" si="12"/>
        <v>MarchPARSHU BAGH</v>
      </c>
      <c r="O16" s="10">
        <f>IFERROR(VLOOKUP(C16,'Daily Attendance 25-26'!$A$1:BP981,5,0),"")</f>
        <v>9</v>
      </c>
      <c r="P16" s="10" t="str">
        <f>IFERROR(VLOOKUP(D16,'Daily Attendance 25-26'!$A$1:BP981,5,0),"")</f>
        <v/>
      </c>
      <c r="Q16" s="10" t="str">
        <f>IFERROR(VLOOKUP(E16,'Daily Attendance 25-26'!$A$1:BP981,5,0),"")</f>
        <v/>
      </c>
      <c r="R16" s="10">
        <f>IFERROR(VLOOKUP(F16,'Daily Attendance 25-26'!$A$1:BP981,5,0),"")</f>
        <v>24</v>
      </c>
      <c r="S16" s="10">
        <f>IFERROR(VLOOKUP(G16,'Daily Attendance 25-26'!$A$1:BP981,5,0),"")</f>
        <v>4.5</v>
      </c>
      <c r="T16" s="10" t="str">
        <f>IFERROR(VLOOKUP(H16,'Daily Attendance 25-26'!$A$1:BP981,5,0),"")</f>
        <v/>
      </c>
      <c r="U16" s="10" t="str">
        <f>IFERROR(VLOOKUP(I16,'Daily Attendance 25-26'!$A$1:BP981,5,0),"")</f>
        <v/>
      </c>
      <c r="V16" s="10" t="str">
        <f>IFERROR(VLOOKUP(J16,'Daily Attendance 25-26'!$A$1:BP981,5,0),"")</f>
        <v/>
      </c>
      <c r="W16" s="10" t="str">
        <f>IFERROR(VLOOKUP(K16,'Daily Attendance 25-26'!$A$1:BP981,5,0),"")</f>
        <v/>
      </c>
      <c r="X16" s="10">
        <f>IFERROR(VLOOKUP(L16,'Daily Attendance 25-26'!$A$1:BP981,5,0),"")</f>
        <v>26</v>
      </c>
      <c r="Y16" s="10">
        <f>IFERROR(VLOOKUP(M16,'Daily Attendance 25-26'!$A$1:BP981,5,0),"")</f>
        <v>24</v>
      </c>
      <c r="Z16" s="10" t="str">
        <f>IFERROR(VLOOKUP(N16,'Daily Attendance 25-26'!$A$1:BP981,5,0),"")</f>
        <v/>
      </c>
      <c r="AA16" s="46">
        <f t="shared" si="13"/>
        <v>87.5</v>
      </c>
      <c r="AB16" s="46"/>
      <c r="AC16" s="46"/>
      <c r="AD16" s="46"/>
      <c r="AE16" s="46"/>
      <c r="AF16" s="46"/>
      <c r="AG16" s="46"/>
      <c r="AH16" s="46"/>
      <c r="AI16" s="46"/>
      <c r="AJ16" s="46"/>
      <c r="AK16" s="46"/>
      <c r="AL16" s="46"/>
      <c r="AM16" s="46"/>
    </row>
    <row r="17">
      <c r="A17" s="46"/>
      <c r="B17" s="46"/>
      <c r="C17" s="46"/>
      <c r="D17" s="46"/>
      <c r="E17" s="46"/>
      <c r="F17" s="46"/>
      <c r="G17" s="46"/>
      <c r="H17" s="46"/>
      <c r="I17" s="46"/>
      <c r="J17" s="46"/>
      <c r="K17" s="46"/>
      <c r="L17" s="46"/>
      <c r="M17" s="46"/>
      <c r="N17" s="46"/>
      <c r="O17" s="10" t="str">
        <f>IFERROR(VLOOKUP(C17,'Daily Attendance 25-26'!$A$1:BP981,5,0),"")</f>
        <v/>
      </c>
      <c r="P17" s="46"/>
      <c r="Q17" s="46"/>
      <c r="R17" s="46"/>
      <c r="S17" s="46"/>
      <c r="T17" s="46"/>
      <c r="U17" s="46"/>
      <c r="V17" s="46"/>
      <c r="W17" s="46"/>
      <c r="X17" s="46"/>
      <c r="Y17" s="46"/>
      <c r="Z17" s="46"/>
      <c r="AA17" s="46"/>
      <c r="AB17" s="46"/>
      <c r="AC17" s="46"/>
      <c r="AD17" s="46"/>
      <c r="AE17" s="46"/>
      <c r="AF17" s="46"/>
      <c r="AG17" s="46"/>
      <c r="AH17" s="46"/>
      <c r="AI17" s="46"/>
      <c r="AJ17" s="46"/>
      <c r="AK17" s="46"/>
      <c r="AL17" s="46"/>
      <c r="AM17" s="46"/>
    </row>
    <row r="18">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row>
    <row r="19">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row>
    <row r="20">
      <c r="A20" s="46"/>
      <c r="B20" s="46"/>
      <c r="C20" s="46"/>
      <c r="D20" s="46"/>
      <c r="E20" s="46"/>
      <c r="F20" s="46"/>
      <c r="G20" s="46"/>
      <c r="H20" s="46"/>
      <c r="I20" s="46"/>
      <c r="J20" s="46"/>
      <c r="K20" s="46"/>
      <c r="L20" s="46"/>
      <c r="M20" s="46"/>
      <c r="N20" s="46"/>
      <c r="O20" s="46"/>
      <c r="P20" s="46"/>
      <c r="Q20" s="46"/>
      <c r="R20" s="46"/>
      <c r="S20" s="46"/>
      <c r="T20" s="46"/>
      <c r="U20" s="46"/>
      <c r="V20" s="46"/>
      <c r="W20" s="46"/>
      <c r="X20" s="48"/>
      <c r="Y20" s="46"/>
      <c r="Z20" s="46"/>
      <c r="AA20" s="46"/>
      <c r="AB20" s="46"/>
      <c r="AC20" s="46"/>
      <c r="AD20" s="46"/>
      <c r="AE20" s="46"/>
      <c r="AF20" s="46"/>
      <c r="AG20" s="46"/>
      <c r="AH20" s="46"/>
      <c r="AI20" s="46"/>
      <c r="AJ20" s="46"/>
      <c r="AK20" s="46"/>
      <c r="AL20" s="46"/>
      <c r="AM20" s="46"/>
    </row>
    <row r="2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6"/>
      <c r="AD21" s="46"/>
      <c r="AE21" s="46"/>
      <c r="AF21" s="46"/>
      <c r="AG21" s="46"/>
      <c r="AH21" s="46"/>
      <c r="AI21" s="46"/>
      <c r="AJ21" s="46"/>
      <c r="AK21" s="46"/>
      <c r="AL21" s="46"/>
      <c r="AM21" s="46"/>
    </row>
    <row r="22">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row>
    <row r="23">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row>
    <row r="24">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row>
    <row r="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46"/>
    </row>
    <row r="26">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row>
    <row r="27">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row>
    <row r="28">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row>
    <row r="29">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row>
    <row r="30">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row>
    <row r="3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row>
    <row r="32">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row>
    <row r="33">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row>
    <row r="34">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row>
    <row r="3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row>
    <row r="36">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row>
    <row r="37">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row>
    <row r="38">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row>
    <row r="39">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row>
    <row r="40">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row>
    <row r="4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6"/>
      <c r="AH41" s="46"/>
      <c r="AI41" s="46"/>
      <c r="AJ41" s="46"/>
      <c r="AK41" s="46"/>
      <c r="AL41" s="46"/>
      <c r="AM41" s="46"/>
    </row>
    <row r="42">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row>
    <row r="43">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row>
    <row r="44">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row>
    <row r="4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row>
    <row r="46">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row>
    <row r="47">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row>
    <row r="48">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row>
    <row r="49">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row>
    <row r="50">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row>
    <row r="5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row>
    <row r="52">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row>
    <row r="53">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row>
    <row r="54">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row>
    <row r="5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row>
    <row r="56">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46"/>
      <c r="AL56" s="46"/>
      <c r="AM56" s="46"/>
    </row>
    <row r="57">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row>
    <row r="58">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row>
    <row r="59">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row>
    <row r="60">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row>
    <row r="6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row>
    <row r="62">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row>
    <row r="63">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row>
    <row r="64">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row>
    <row r="6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row>
    <row r="66">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row>
    <row r="67">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row>
    <row r="68">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row>
    <row r="69">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row>
    <row r="70">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row>
    <row r="7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row>
    <row r="72">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row>
    <row r="73">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row>
    <row r="74">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row>
    <row r="7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row>
    <row r="76">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row>
    <row r="77">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row>
    <row r="78">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row>
    <row r="79">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row>
    <row r="80">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row>
    <row r="8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row>
    <row r="82">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row>
    <row r="83">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row>
    <row r="84">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row>
    <row r="8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row>
    <row r="86">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row>
    <row r="87">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46"/>
      <c r="AL140" s="46"/>
      <c r="AM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46"/>
      <c r="AL144" s="46"/>
      <c r="AM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46"/>
      <c r="AL145" s="46"/>
      <c r="AM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46"/>
      <c r="AL150" s="46"/>
      <c r="AM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46"/>
      <c r="AL151" s="46"/>
      <c r="AM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46"/>
      <c r="AL152" s="46"/>
      <c r="AM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46"/>
      <c r="AL153" s="46"/>
      <c r="AM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46"/>
      <c r="AL159" s="46"/>
      <c r="AM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46"/>
      <c r="AL160" s="46"/>
      <c r="AM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46"/>
      <c r="AL161" s="46"/>
      <c r="AM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46"/>
      <c r="AL193" s="46"/>
      <c r="AM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46"/>
      <c r="AL240" s="46"/>
      <c r="AM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46"/>
      <c r="AL241" s="46"/>
      <c r="AM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46"/>
      <c r="AL242" s="46"/>
      <c r="AM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46"/>
      <c r="AL244" s="46"/>
      <c r="AM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46"/>
      <c r="AL245" s="46"/>
      <c r="AM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46"/>
      <c r="AL246" s="46"/>
      <c r="AM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46"/>
      <c r="AL247" s="46"/>
      <c r="AM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46"/>
      <c r="AL248" s="46"/>
      <c r="AM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46"/>
      <c r="AL249" s="46"/>
      <c r="AM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46"/>
      <c r="AL251" s="46"/>
      <c r="AM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46"/>
      <c r="AL252" s="46"/>
      <c r="AM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46"/>
      <c r="AL253" s="46"/>
      <c r="AM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46"/>
      <c r="AL254" s="46"/>
      <c r="AM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M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46"/>
      <c r="AL258" s="46"/>
      <c r="AM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46"/>
      <c r="AL259" s="46"/>
      <c r="AM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46"/>
      <c r="AL260" s="46"/>
      <c r="AM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46"/>
      <c r="AL261" s="46"/>
      <c r="AM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46"/>
      <c r="AL262" s="46"/>
      <c r="AM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46"/>
      <c r="AL263" s="46"/>
      <c r="AM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46"/>
      <c r="AL264" s="46"/>
      <c r="AM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46"/>
      <c r="AL265" s="46"/>
      <c r="AM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46"/>
      <c r="AL266" s="46"/>
      <c r="AM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46"/>
      <c r="AL267" s="46"/>
      <c r="AM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46"/>
      <c r="AL268" s="46"/>
      <c r="AM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46"/>
      <c r="AL269" s="46"/>
      <c r="AM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46"/>
      <c r="AL270" s="46"/>
      <c r="AM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46"/>
      <c r="AL271" s="46"/>
      <c r="AM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46"/>
      <c r="AL272" s="46"/>
      <c r="AM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46"/>
      <c r="AL273" s="46"/>
      <c r="AM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46"/>
      <c r="AL274" s="46"/>
      <c r="AM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46"/>
      <c r="AL275" s="46"/>
      <c r="AM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46"/>
      <c r="AL277" s="46"/>
      <c r="AM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46"/>
      <c r="AL279" s="46"/>
      <c r="AM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46"/>
      <c r="AL280" s="46"/>
      <c r="AM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46"/>
      <c r="AL281" s="46"/>
      <c r="AM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46"/>
      <c r="AL282" s="46"/>
      <c r="AM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46"/>
      <c r="AL283" s="46"/>
      <c r="AM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46"/>
      <c r="AL284" s="46"/>
      <c r="AM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46"/>
      <c r="AL285" s="46"/>
      <c r="AM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46"/>
      <c r="AL286" s="46"/>
      <c r="AM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46"/>
      <c r="AL287" s="46"/>
      <c r="AM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46"/>
      <c r="AL288" s="46"/>
      <c r="AM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46"/>
      <c r="AL289" s="46"/>
      <c r="AM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46"/>
      <c r="AL290" s="46"/>
      <c r="AM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46"/>
      <c r="AL291" s="46"/>
      <c r="AM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46"/>
      <c r="AL292" s="46"/>
      <c r="AM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46"/>
      <c r="AL293" s="46"/>
      <c r="AM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46"/>
      <c r="AL294" s="46"/>
      <c r="AM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46"/>
      <c r="AL295" s="46"/>
      <c r="AM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46"/>
      <c r="AL296" s="46"/>
      <c r="AM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46"/>
      <c r="AL297" s="46"/>
      <c r="AM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46"/>
      <c r="AL298" s="46"/>
      <c r="AM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46"/>
      <c r="AL299" s="46"/>
      <c r="AM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46"/>
      <c r="AL301" s="46"/>
      <c r="AM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46"/>
      <c r="AL302" s="46"/>
      <c r="AM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46"/>
      <c r="AL303" s="46"/>
      <c r="AM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46"/>
      <c r="AL304" s="46"/>
      <c r="AM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46"/>
      <c r="AL305" s="46"/>
      <c r="AM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46"/>
      <c r="AL306" s="46"/>
      <c r="AM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46"/>
      <c r="AL307" s="46"/>
      <c r="AM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46"/>
      <c r="AL308" s="46"/>
      <c r="AM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46"/>
      <c r="AL309" s="46"/>
      <c r="AM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46"/>
      <c r="AL310" s="46"/>
      <c r="AM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46"/>
      <c r="AL311" s="46"/>
      <c r="AM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46"/>
      <c r="AL312" s="46"/>
      <c r="AM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46"/>
      <c r="AL313" s="46"/>
      <c r="AM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46"/>
      <c r="AL314" s="46"/>
      <c r="AM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46"/>
      <c r="AL315" s="46"/>
      <c r="AM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46"/>
      <c r="AL316" s="46"/>
      <c r="AM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46"/>
      <c r="AL317" s="46"/>
      <c r="AM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46"/>
      <c r="AL318" s="46"/>
      <c r="AM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46"/>
      <c r="AL319" s="46"/>
      <c r="AM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46"/>
      <c r="AL320" s="46"/>
      <c r="AM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46"/>
      <c r="AL321" s="46"/>
      <c r="AM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46"/>
      <c r="AL323" s="46"/>
      <c r="AM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46"/>
      <c r="AL324" s="46"/>
      <c r="AM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46"/>
      <c r="AL325" s="46"/>
      <c r="AM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46"/>
      <c r="AL326" s="46"/>
      <c r="AM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46"/>
      <c r="AL327" s="46"/>
      <c r="AM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46"/>
      <c r="AL328" s="46"/>
      <c r="AM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46"/>
      <c r="AL329" s="46"/>
      <c r="AM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46"/>
      <c r="AL330" s="46"/>
      <c r="AM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46"/>
      <c r="AL331" s="46"/>
      <c r="AM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46"/>
      <c r="AL332" s="46"/>
      <c r="AM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46"/>
      <c r="AL333" s="46"/>
      <c r="AM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46"/>
      <c r="AL334" s="46"/>
      <c r="AM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46"/>
      <c r="AL335" s="46"/>
      <c r="AM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46"/>
      <c r="AL336" s="46"/>
      <c r="AM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46"/>
      <c r="AL337" s="46"/>
      <c r="AM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46"/>
      <c r="AL338" s="46"/>
      <c r="AM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46"/>
      <c r="AL339" s="46"/>
      <c r="AM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46"/>
      <c r="AL340" s="46"/>
      <c r="AM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46"/>
      <c r="AL341" s="46"/>
      <c r="AM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46"/>
      <c r="AL342" s="46"/>
      <c r="AM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46"/>
      <c r="AL343" s="46"/>
      <c r="AM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46"/>
      <c r="AL345" s="46"/>
      <c r="AM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46"/>
      <c r="AL346" s="46"/>
      <c r="AM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46"/>
      <c r="AL347" s="46"/>
      <c r="AM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46"/>
      <c r="AL348" s="46"/>
      <c r="AM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46"/>
      <c r="AL349" s="46"/>
      <c r="AM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46"/>
      <c r="AL350" s="46"/>
      <c r="AM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46"/>
      <c r="AL351" s="46"/>
      <c r="AM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46"/>
      <c r="AL352" s="46"/>
      <c r="AM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46"/>
      <c r="AL353" s="46"/>
      <c r="AM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46"/>
      <c r="AL354" s="46"/>
      <c r="AM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46"/>
      <c r="AL355" s="46"/>
      <c r="AM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46"/>
      <c r="AL356" s="46"/>
      <c r="AM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46"/>
      <c r="AL357" s="46"/>
      <c r="AM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46"/>
      <c r="AL358" s="46"/>
      <c r="AM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46"/>
      <c r="AL359" s="46"/>
      <c r="AM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46"/>
      <c r="AL360" s="46"/>
      <c r="AM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46"/>
      <c r="AL361" s="46"/>
      <c r="AM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46"/>
      <c r="AL362" s="46"/>
      <c r="AM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46"/>
      <c r="AL363" s="46"/>
      <c r="AM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46"/>
      <c r="AL364" s="46"/>
      <c r="AM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46"/>
      <c r="AL365" s="46"/>
      <c r="AM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46"/>
      <c r="AL367" s="46"/>
      <c r="AM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46"/>
      <c r="AL368" s="46"/>
      <c r="AM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46"/>
      <c r="AL369" s="46"/>
      <c r="AM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46"/>
      <c r="AL370" s="46"/>
      <c r="AM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46"/>
      <c r="AL371" s="46"/>
      <c r="AM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46"/>
      <c r="AL372" s="46"/>
      <c r="AM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46"/>
      <c r="AL373" s="46"/>
      <c r="AM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46"/>
      <c r="AL374" s="46"/>
      <c r="AM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46"/>
      <c r="AL375" s="46"/>
      <c r="AM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46"/>
      <c r="AL376" s="46"/>
      <c r="AM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46"/>
      <c r="AL377" s="46"/>
      <c r="AM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46"/>
      <c r="AL378" s="46"/>
      <c r="AM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46"/>
      <c r="AL379" s="46"/>
      <c r="AM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46"/>
      <c r="AL380" s="46"/>
      <c r="AM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46"/>
      <c r="AL381" s="46"/>
      <c r="AM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46"/>
      <c r="AL382" s="46"/>
      <c r="AM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46"/>
      <c r="AL383" s="46"/>
      <c r="AM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46"/>
      <c r="AL384" s="46"/>
      <c r="AM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46"/>
      <c r="AL385" s="46"/>
      <c r="AM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46"/>
      <c r="AL386" s="46"/>
      <c r="AM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46"/>
      <c r="AL387" s="46"/>
      <c r="AM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46"/>
      <c r="AL389" s="46"/>
      <c r="AM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46"/>
      <c r="AL390" s="46"/>
      <c r="AM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46"/>
      <c r="AL391" s="46"/>
      <c r="AM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46"/>
      <c r="AL392" s="46"/>
      <c r="AM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46"/>
      <c r="AL393" s="46"/>
      <c r="AM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46"/>
      <c r="AL394" s="46"/>
      <c r="AM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46"/>
      <c r="AL395" s="46"/>
      <c r="AM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46"/>
      <c r="AL396" s="46"/>
      <c r="AM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46"/>
      <c r="AL397" s="46"/>
      <c r="AM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46"/>
      <c r="AL398" s="46"/>
      <c r="AM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46"/>
      <c r="AL399" s="46"/>
      <c r="AM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46"/>
      <c r="AL400" s="46"/>
      <c r="AM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46"/>
      <c r="AL401" s="46"/>
      <c r="AM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46"/>
      <c r="AL402" s="46"/>
      <c r="AM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46"/>
      <c r="AL403" s="46"/>
      <c r="AM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46"/>
      <c r="AL404" s="46"/>
      <c r="AM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46"/>
      <c r="AL405" s="46"/>
      <c r="AM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46"/>
      <c r="AL406" s="46"/>
      <c r="AM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46"/>
      <c r="AL407" s="46"/>
      <c r="AM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46"/>
      <c r="AL408" s="46"/>
      <c r="AM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46"/>
      <c r="AL409" s="46"/>
      <c r="AM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46"/>
      <c r="AL411" s="46"/>
      <c r="AM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46"/>
      <c r="AL412" s="46"/>
      <c r="AM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6"/>
      <c r="AL414" s="46"/>
      <c r="AM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46"/>
      <c r="AL415" s="46"/>
      <c r="AM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46"/>
      <c r="AL416" s="46"/>
      <c r="AM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46"/>
      <c r="AL417" s="46"/>
      <c r="AM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46"/>
      <c r="AL418" s="46"/>
      <c r="AM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46"/>
      <c r="AL419" s="46"/>
      <c r="AM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46"/>
      <c r="AL420" s="46"/>
      <c r="AM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46"/>
      <c r="AL421" s="46"/>
      <c r="AM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46"/>
      <c r="AL422" s="46"/>
      <c r="AM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46"/>
      <c r="AL423" s="46"/>
      <c r="AM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46"/>
      <c r="AL424" s="46"/>
      <c r="AM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46"/>
      <c r="AL425" s="46"/>
      <c r="AM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46"/>
      <c r="AL426" s="46"/>
      <c r="AM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46"/>
      <c r="AL427" s="46"/>
      <c r="AM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46"/>
      <c r="AL428" s="46"/>
      <c r="AM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46"/>
      <c r="AL429" s="46"/>
      <c r="AM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46"/>
      <c r="AL430" s="46"/>
      <c r="AM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46"/>
      <c r="AL431" s="46"/>
      <c r="AM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46"/>
      <c r="AL433" s="46"/>
      <c r="AM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46"/>
      <c r="AL434" s="46"/>
      <c r="AM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46"/>
      <c r="AL435" s="46"/>
      <c r="AM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46"/>
      <c r="AL436" s="46"/>
      <c r="AM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46"/>
      <c r="AL437" s="46"/>
      <c r="AM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46"/>
      <c r="AL438" s="46"/>
      <c r="AM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46"/>
      <c r="AL439" s="46"/>
      <c r="AM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46"/>
      <c r="AL440" s="46"/>
      <c r="AM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46"/>
      <c r="AL441" s="46"/>
      <c r="AM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46"/>
      <c r="AL442" s="46"/>
      <c r="AM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46"/>
      <c r="AL443" s="46"/>
      <c r="AM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46"/>
      <c r="AL444" s="46"/>
      <c r="AM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46"/>
      <c r="AL445" s="46"/>
      <c r="AM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46"/>
      <c r="AL446" s="46"/>
      <c r="AM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c r="AA447" s="46"/>
      <c r="AB447" s="46"/>
      <c r="AC447" s="46"/>
      <c r="AD447" s="46"/>
      <c r="AE447" s="46"/>
      <c r="AF447" s="46"/>
      <c r="AG447" s="46"/>
      <c r="AH447" s="46"/>
      <c r="AI447" s="46"/>
      <c r="AJ447" s="46"/>
      <c r="AK447" s="46"/>
      <c r="AL447" s="46"/>
      <c r="AM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c r="AA448" s="46"/>
      <c r="AB448" s="46"/>
      <c r="AC448" s="46"/>
      <c r="AD448" s="46"/>
      <c r="AE448" s="46"/>
      <c r="AF448" s="46"/>
      <c r="AG448" s="46"/>
      <c r="AH448" s="46"/>
      <c r="AI448" s="46"/>
      <c r="AJ448" s="46"/>
      <c r="AK448" s="46"/>
      <c r="AL448" s="46"/>
      <c r="AM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c r="AA449" s="46"/>
      <c r="AB449" s="46"/>
      <c r="AC449" s="46"/>
      <c r="AD449" s="46"/>
      <c r="AE449" s="46"/>
      <c r="AF449" s="46"/>
      <c r="AG449" s="46"/>
      <c r="AH449" s="46"/>
      <c r="AI449" s="46"/>
      <c r="AJ449" s="46"/>
      <c r="AK449" s="46"/>
      <c r="AL449" s="46"/>
      <c r="AM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c r="AA450" s="46"/>
      <c r="AB450" s="46"/>
      <c r="AC450" s="46"/>
      <c r="AD450" s="46"/>
      <c r="AE450" s="46"/>
      <c r="AF450" s="46"/>
      <c r="AG450" s="46"/>
      <c r="AH450" s="46"/>
      <c r="AI450" s="46"/>
      <c r="AJ450" s="46"/>
      <c r="AK450" s="46"/>
      <c r="AL450" s="46"/>
      <c r="AM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c r="AA451" s="46"/>
      <c r="AB451" s="46"/>
      <c r="AC451" s="46"/>
      <c r="AD451" s="46"/>
      <c r="AE451" s="46"/>
      <c r="AF451" s="46"/>
      <c r="AG451" s="46"/>
      <c r="AH451" s="46"/>
      <c r="AI451" s="46"/>
      <c r="AJ451" s="46"/>
      <c r="AK451" s="46"/>
      <c r="AL451" s="46"/>
      <c r="AM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c r="AA452" s="46"/>
      <c r="AB452" s="46"/>
      <c r="AC452" s="46"/>
      <c r="AD452" s="46"/>
      <c r="AE452" s="46"/>
      <c r="AF452" s="46"/>
      <c r="AG452" s="46"/>
      <c r="AH452" s="46"/>
      <c r="AI452" s="46"/>
      <c r="AJ452" s="46"/>
      <c r="AK452" s="46"/>
      <c r="AL452" s="46"/>
      <c r="AM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c r="AA453" s="46"/>
      <c r="AB453" s="46"/>
      <c r="AC453" s="46"/>
      <c r="AD453" s="46"/>
      <c r="AE453" s="46"/>
      <c r="AF453" s="46"/>
      <c r="AG453" s="46"/>
      <c r="AH453" s="46"/>
      <c r="AI453" s="46"/>
      <c r="AJ453" s="46"/>
      <c r="AK453" s="46"/>
      <c r="AL453" s="46"/>
      <c r="AM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c r="AA455" s="46"/>
      <c r="AB455" s="46"/>
      <c r="AC455" s="46"/>
      <c r="AD455" s="46"/>
      <c r="AE455" s="46"/>
      <c r="AF455" s="46"/>
      <c r="AG455" s="46"/>
      <c r="AH455" s="46"/>
      <c r="AI455" s="46"/>
      <c r="AJ455" s="46"/>
      <c r="AK455" s="46"/>
      <c r="AL455" s="46"/>
      <c r="AM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c r="AA456" s="46"/>
      <c r="AB456" s="46"/>
      <c r="AC456" s="46"/>
      <c r="AD456" s="46"/>
      <c r="AE456" s="46"/>
      <c r="AF456" s="46"/>
      <c r="AG456" s="46"/>
      <c r="AH456" s="46"/>
      <c r="AI456" s="46"/>
      <c r="AJ456" s="46"/>
      <c r="AK456" s="46"/>
      <c r="AL456" s="46"/>
      <c r="AM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c r="AA457" s="46"/>
      <c r="AB457" s="46"/>
      <c r="AC457" s="46"/>
      <c r="AD457" s="46"/>
      <c r="AE457" s="46"/>
      <c r="AF457" s="46"/>
      <c r="AG457" s="46"/>
      <c r="AH457" s="46"/>
      <c r="AI457" s="46"/>
      <c r="AJ457" s="46"/>
      <c r="AK457" s="46"/>
      <c r="AL457" s="46"/>
      <c r="AM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c r="AA458" s="46"/>
      <c r="AB458" s="46"/>
      <c r="AC458" s="46"/>
      <c r="AD458" s="46"/>
      <c r="AE458" s="46"/>
      <c r="AF458" s="46"/>
      <c r="AG458" s="46"/>
      <c r="AH458" s="46"/>
      <c r="AI458" s="46"/>
      <c r="AJ458" s="46"/>
      <c r="AK458" s="46"/>
      <c r="AL458" s="46"/>
      <c r="AM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c r="AA459" s="46"/>
      <c r="AB459" s="46"/>
      <c r="AC459" s="46"/>
      <c r="AD459" s="46"/>
      <c r="AE459" s="46"/>
      <c r="AF459" s="46"/>
      <c r="AG459" s="46"/>
      <c r="AH459" s="46"/>
      <c r="AI459" s="46"/>
      <c r="AJ459" s="46"/>
      <c r="AK459" s="46"/>
      <c r="AL459" s="46"/>
      <c r="AM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c r="AA460" s="46"/>
      <c r="AB460" s="46"/>
      <c r="AC460" s="46"/>
      <c r="AD460" s="46"/>
      <c r="AE460" s="46"/>
      <c r="AF460" s="46"/>
      <c r="AG460" s="46"/>
      <c r="AH460" s="46"/>
      <c r="AI460" s="46"/>
      <c r="AJ460" s="46"/>
      <c r="AK460" s="46"/>
      <c r="AL460" s="46"/>
      <c r="AM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c r="AA461" s="46"/>
      <c r="AB461" s="46"/>
      <c r="AC461" s="46"/>
      <c r="AD461" s="46"/>
      <c r="AE461" s="46"/>
      <c r="AF461" s="46"/>
      <c r="AG461" s="46"/>
      <c r="AH461" s="46"/>
      <c r="AI461" s="46"/>
      <c r="AJ461" s="46"/>
      <c r="AK461" s="46"/>
      <c r="AL461" s="46"/>
      <c r="AM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c r="AA462" s="46"/>
      <c r="AB462" s="46"/>
      <c r="AC462" s="46"/>
      <c r="AD462" s="46"/>
      <c r="AE462" s="46"/>
      <c r="AF462" s="46"/>
      <c r="AG462" s="46"/>
      <c r="AH462" s="46"/>
      <c r="AI462" s="46"/>
      <c r="AJ462" s="46"/>
      <c r="AK462" s="46"/>
      <c r="AL462" s="46"/>
      <c r="AM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c r="AA463" s="46"/>
      <c r="AB463" s="46"/>
      <c r="AC463" s="46"/>
      <c r="AD463" s="46"/>
      <c r="AE463" s="46"/>
      <c r="AF463" s="46"/>
      <c r="AG463" s="46"/>
      <c r="AH463" s="46"/>
      <c r="AI463" s="46"/>
      <c r="AJ463" s="46"/>
      <c r="AK463" s="46"/>
      <c r="AL463" s="46"/>
      <c r="AM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c r="AA464" s="46"/>
      <c r="AB464" s="46"/>
      <c r="AC464" s="46"/>
      <c r="AD464" s="46"/>
      <c r="AE464" s="46"/>
      <c r="AF464" s="46"/>
      <c r="AG464" s="46"/>
      <c r="AH464" s="46"/>
      <c r="AI464" s="46"/>
      <c r="AJ464" s="46"/>
      <c r="AK464" s="46"/>
      <c r="AL464" s="46"/>
      <c r="AM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c r="AA465" s="46"/>
      <c r="AB465" s="46"/>
      <c r="AC465" s="46"/>
      <c r="AD465" s="46"/>
      <c r="AE465" s="46"/>
      <c r="AF465" s="46"/>
      <c r="AG465" s="46"/>
      <c r="AH465" s="46"/>
      <c r="AI465" s="46"/>
      <c r="AJ465" s="46"/>
      <c r="AK465" s="46"/>
      <c r="AL465" s="46"/>
      <c r="AM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c r="AA466" s="46"/>
      <c r="AB466" s="46"/>
      <c r="AC466" s="46"/>
      <c r="AD466" s="46"/>
      <c r="AE466" s="46"/>
      <c r="AF466" s="46"/>
      <c r="AG466" s="46"/>
      <c r="AH466" s="46"/>
      <c r="AI466" s="46"/>
      <c r="AJ466" s="46"/>
      <c r="AK466" s="46"/>
      <c r="AL466" s="46"/>
      <c r="AM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c r="AA467" s="46"/>
      <c r="AB467" s="46"/>
      <c r="AC467" s="46"/>
      <c r="AD467" s="46"/>
      <c r="AE467" s="46"/>
      <c r="AF467" s="46"/>
      <c r="AG467" s="46"/>
      <c r="AH467" s="46"/>
      <c r="AI467" s="46"/>
      <c r="AJ467" s="46"/>
      <c r="AK467" s="46"/>
      <c r="AL467" s="46"/>
      <c r="AM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c r="AA468" s="46"/>
      <c r="AB468" s="46"/>
      <c r="AC468" s="46"/>
      <c r="AD468" s="46"/>
      <c r="AE468" s="46"/>
      <c r="AF468" s="46"/>
      <c r="AG468" s="46"/>
      <c r="AH468" s="46"/>
      <c r="AI468" s="46"/>
      <c r="AJ468" s="46"/>
      <c r="AK468" s="46"/>
      <c r="AL468" s="46"/>
      <c r="AM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c r="AA469" s="46"/>
      <c r="AB469" s="46"/>
      <c r="AC469" s="46"/>
      <c r="AD469" s="46"/>
      <c r="AE469" s="46"/>
      <c r="AF469" s="46"/>
      <c r="AG469" s="46"/>
      <c r="AH469" s="46"/>
      <c r="AI469" s="46"/>
      <c r="AJ469" s="46"/>
      <c r="AK469" s="46"/>
      <c r="AL469" s="46"/>
      <c r="AM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c r="AA470" s="46"/>
      <c r="AB470" s="46"/>
      <c r="AC470" s="46"/>
      <c r="AD470" s="46"/>
      <c r="AE470" s="46"/>
      <c r="AF470" s="46"/>
      <c r="AG470" s="46"/>
      <c r="AH470" s="46"/>
      <c r="AI470" s="46"/>
      <c r="AJ470" s="46"/>
      <c r="AK470" s="46"/>
      <c r="AL470" s="46"/>
      <c r="AM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c r="AA471" s="46"/>
      <c r="AB471" s="46"/>
      <c r="AC471" s="46"/>
      <c r="AD471" s="46"/>
      <c r="AE471" s="46"/>
      <c r="AF471" s="46"/>
      <c r="AG471" s="46"/>
      <c r="AH471" s="46"/>
      <c r="AI471" s="46"/>
      <c r="AJ471" s="46"/>
      <c r="AK471" s="46"/>
      <c r="AL471" s="46"/>
      <c r="AM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c r="AA472" s="46"/>
      <c r="AB472" s="46"/>
      <c r="AC472" s="46"/>
      <c r="AD472" s="46"/>
      <c r="AE472" s="46"/>
      <c r="AF472" s="46"/>
      <c r="AG472" s="46"/>
      <c r="AH472" s="46"/>
      <c r="AI472" s="46"/>
      <c r="AJ472" s="46"/>
      <c r="AK472" s="46"/>
      <c r="AL472" s="46"/>
      <c r="AM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c r="AA473" s="46"/>
      <c r="AB473" s="46"/>
      <c r="AC473" s="46"/>
      <c r="AD473" s="46"/>
      <c r="AE473" s="46"/>
      <c r="AF473" s="46"/>
      <c r="AG473" s="46"/>
      <c r="AH473" s="46"/>
      <c r="AI473" s="46"/>
      <c r="AJ473" s="46"/>
      <c r="AK473" s="46"/>
      <c r="AL473" s="46"/>
      <c r="AM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c r="AA474" s="46"/>
      <c r="AB474" s="46"/>
      <c r="AC474" s="46"/>
      <c r="AD474" s="46"/>
      <c r="AE474" s="46"/>
      <c r="AF474" s="46"/>
      <c r="AG474" s="46"/>
      <c r="AH474" s="46"/>
      <c r="AI474" s="46"/>
      <c r="AJ474" s="46"/>
      <c r="AK474" s="46"/>
      <c r="AL474" s="46"/>
      <c r="AM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c r="AA475" s="46"/>
      <c r="AB475" s="46"/>
      <c r="AC475" s="46"/>
      <c r="AD475" s="46"/>
      <c r="AE475" s="46"/>
      <c r="AF475" s="46"/>
      <c r="AG475" s="46"/>
      <c r="AH475" s="46"/>
      <c r="AI475" s="46"/>
      <c r="AJ475" s="46"/>
      <c r="AK475" s="46"/>
      <c r="AL475" s="46"/>
      <c r="AM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c r="AA477" s="46"/>
      <c r="AB477" s="46"/>
      <c r="AC477" s="46"/>
      <c r="AD477" s="46"/>
      <c r="AE477" s="46"/>
      <c r="AF477" s="46"/>
      <c r="AG477" s="46"/>
      <c r="AH477" s="46"/>
      <c r="AI477" s="46"/>
      <c r="AJ477" s="46"/>
      <c r="AK477" s="46"/>
      <c r="AL477" s="46"/>
      <c r="AM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c r="AA478" s="46"/>
      <c r="AB478" s="46"/>
      <c r="AC478" s="46"/>
      <c r="AD478" s="46"/>
      <c r="AE478" s="46"/>
      <c r="AF478" s="46"/>
      <c r="AG478" s="46"/>
      <c r="AH478" s="46"/>
      <c r="AI478" s="46"/>
      <c r="AJ478" s="46"/>
      <c r="AK478" s="46"/>
      <c r="AL478" s="46"/>
      <c r="AM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c r="AA479" s="46"/>
      <c r="AB479" s="46"/>
      <c r="AC479" s="46"/>
      <c r="AD479" s="46"/>
      <c r="AE479" s="46"/>
      <c r="AF479" s="46"/>
      <c r="AG479" s="46"/>
      <c r="AH479" s="46"/>
      <c r="AI479" s="46"/>
      <c r="AJ479" s="46"/>
      <c r="AK479" s="46"/>
      <c r="AL479" s="46"/>
      <c r="AM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c r="AA480" s="46"/>
      <c r="AB480" s="46"/>
      <c r="AC480" s="46"/>
      <c r="AD480" s="46"/>
      <c r="AE480" s="46"/>
      <c r="AF480" s="46"/>
      <c r="AG480" s="46"/>
      <c r="AH480" s="46"/>
      <c r="AI480" s="46"/>
      <c r="AJ480" s="46"/>
      <c r="AK480" s="46"/>
      <c r="AL480" s="46"/>
      <c r="AM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c r="AA481" s="46"/>
      <c r="AB481" s="46"/>
      <c r="AC481" s="46"/>
      <c r="AD481" s="46"/>
      <c r="AE481" s="46"/>
      <c r="AF481" s="46"/>
      <c r="AG481" s="46"/>
      <c r="AH481" s="46"/>
      <c r="AI481" s="46"/>
      <c r="AJ481" s="46"/>
      <c r="AK481" s="46"/>
      <c r="AL481" s="46"/>
      <c r="AM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c r="AA482" s="46"/>
      <c r="AB482" s="46"/>
      <c r="AC482" s="46"/>
      <c r="AD482" s="46"/>
      <c r="AE482" s="46"/>
      <c r="AF482" s="46"/>
      <c r="AG482" s="46"/>
      <c r="AH482" s="46"/>
      <c r="AI482" s="46"/>
      <c r="AJ482" s="46"/>
      <c r="AK482" s="46"/>
      <c r="AL482" s="46"/>
      <c r="AM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c r="AA483" s="46"/>
      <c r="AB483" s="46"/>
      <c r="AC483" s="46"/>
      <c r="AD483" s="46"/>
      <c r="AE483" s="46"/>
      <c r="AF483" s="46"/>
      <c r="AG483" s="46"/>
      <c r="AH483" s="46"/>
      <c r="AI483" s="46"/>
      <c r="AJ483" s="46"/>
      <c r="AK483" s="46"/>
      <c r="AL483" s="46"/>
      <c r="AM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c r="AA484" s="46"/>
      <c r="AB484" s="46"/>
      <c r="AC484" s="46"/>
      <c r="AD484" s="46"/>
      <c r="AE484" s="46"/>
      <c r="AF484" s="46"/>
      <c r="AG484" s="46"/>
      <c r="AH484" s="46"/>
      <c r="AI484" s="46"/>
      <c r="AJ484" s="46"/>
      <c r="AK484" s="46"/>
      <c r="AL484" s="46"/>
      <c r="AM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c r="AA485" s="46"/>
      <c r="AB485" s="46"/>
      <c r="AC485" s="46"/>
      <c r="AD485" s="46"/>
      <c r="AE485" s="46"/>
      <c r="AF485" s="46"/>
      <c r="AG485" s="46"/>
      <c r="AH485" s="46"/>
      <c r="AI485" s="46"/>
      <c r="AJ485" s="46"/>
      <c r="AK485" s="46"/>
      <c r="AL485" s="46"/>
      <c r="AM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c r="AA486" s="46"/>
      <c r="AB486" s="46"/>
      <c r="AC486" s="46"/>
      <c r="AD486" s="46"/>
      <c r="AE486" s="46"/>
      <c r="AF486" s="46"/>
      <c r="AG486" s="46"/>
      <c r="AH486" s="46"/>
      <c r="AI486" s="46"/>
      <c r="AJ486" s="46"/>
      <c r="AK486" s="46"/>
      <c r="AL486" s="46"/>
      <c r="AM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c r="AA487" s="46"/>
      <c r="AB487" s="46"/>
      <c r="AC487" s="46"/>
      <c r="AD487" s="46"/>
      <c r="AE487" s="46"/>
      <c r="AF487" s="46"/>
      <c r="AG487" s="46"/>
      <c r="AH487" s="46"/>
      <c r="AI487" s="46"/>
      <c r="AJ487" s="46"/>
      <c r="AK487" s="46"/>
      <c r="AL487" s="46"/>
      <c r="AM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c r="AA488" s="46"/>
      <c r="AB488" s="46"/>
      <c r="AC488" s="46"/>
      <c r="AD488" s="46"/>
      <c r="AE488" s="46"/>
      <c r="AF488" s="46"/>
      <c r="AG488" s="46"/>
      <c r="AH488" s="46"/>
      <c r="AI488" s="46"/>
      <c r="AJ488" s="46"/>
      <c r="AK488" s="46"/>
      <c r="AL488" s="46"/>
      <c r="AM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c r="AA489" s="46"/>
      <c r="AB489" s="46"/>
      <c r="AC489" s="46"/>
      <c r="AD489" s="46"/>
      <c r="AE489" s="46"/>
      <c r="AF489" s="46"/>
      <c r="AG489" s="46"/>
      <c r="AH489" s="46"/>
      <c r="AI489" s="46"/>
      <c r="AJ489" s="46"/>
      <c r="AK489" s="46"/>
      <c r="AL489" s="46"/>
      <c r="AM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c r="AA490" s="46"/>
      <c r="AB490" s="46"/>
      <c r="AC490" s="46"/>
      <c r="AD490" s="46"/>
      <c r="AE490" s="46"/>
      <c r="AF490" s="46"/>
      <c r="AG490" s="46"/>
      <c r="AH490" s="46"/>
      <c r="AI490" s="46"/>
      <c r="AJ490" s="46"/>
      <c r="AK490" s="46"/>
      <c r="AL490" s="46"/>
      <c r="AM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c r="AA491" s="46"/>
      <c r="AB491" s="46"/>
      <c r="AC491" s="46"/>
      <c r="AD491" s="46"/>
      <c r="AE491" s="46"/>
      <c r="AF491" s="46"/>
      <c r="AG491" s="46"/>
      <c r="AH491" s="46"/>
      <c r="AI491" s="46"/>
      <c r="AJ491" s="46"/>
      <c r="AK491" s="46"/>
      <c r="AL491" s="46"/>
      <c r="AM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c r="AA492" s="46"/>
      <c r="AB492" s="46"/>
      <c r="AC492" s="46"/>
      <c r="AD492" s="46"/>
      <c r="AE492" s="46"/>
      <c r="AF492" s="46"/>
      <c r="AG492" s="46"/>
      <c r="AH492" s="46"/>
      <c r="AI492" s="46"/>
      <c r="AJ492" s="46"/>
      <c r="AK492" s="46"/>
      <c r="AL492" s="46"/>
      <c r="AM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c r="AA493" s="46"/>
      <c r="AB493" s="46"/>
      <c r="AC493" s="46"/>
      <c r="AD493" s="46"/>
      <c r="AE493" s="46"/>
      <c r="AF493" s="46"/>
      <c r="AG493" s="46"/>
      <c r="AH493" s="46"/>
      <c r="AI493" s="46"/>
      <c r="AJ493" s="46"/>
      <c r="AK493" s="46"/>
      <c r="AL493" s="46"/>
      <c r="AM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c r="AA494" s="46"/>
      <c r="AB494" s="46"/>
      <c r="AC494" s="46"/>
      <c r="AD494" s="46"/>
      <c r="AE494" s="46"/>
      <c r="AF494" s="46"/>
      <c r="AG494" s="46"/>
      <c r="AH494" s="46"/>
      <c r="AI494" s="46"/>
      <c r="AJ494" s="46"/>
      <c r="AK494" s="46"/>
      <c r="AL494" s="46"/>
      <c r="AM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c r="AA495" s="46"/>
      <c r="AB495" s="46"/>
      <c r="AC495" s="46"/>
      <c r="AD495" s="46"/>
      <c r="AE495" s="46"/>
      <c r="AF495" s="46"/>
      <c r="AG495" s="46"/>
      <c r="AH495" s="46"/>
      <c r="AI495" s="46"/>
      <c r="AJ495" s="46"/>
      <c r="AK495" s="46"/>
      <c r="AL495" s="46"/>
      <c r="AM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c r="AA496" s="46"/>
      <c r="AB496" s="46"/>
      <c r="AC496" s="46"/>
      <c r="AD496" s="46"/>
      <c r="AE496" s="46"/>
      <c r="AF496" s="46"/>
      <c r="AG496" s="46"/>
      <c r="AH496" s="46"/>
      <c r="AI496" s="46"/>
      <c r="AJ496" s="46"/>
      <c r="AK496" s="46"/>
      <c r="AL496" s="46"/>
      <c r="AM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c r="AA497" s="46"/>
      <c r="AB497" s="46"/>
      <c r="AC497" s="46"/>
      <c r="AD497" s="46"/>
      <c r="AE497" s="46"/>
      <c r="AF497" s="46"/>
      <c r="AG497" s="46"/>
      <c r="AH497" s="46"/>
      <c r="AI497" s="46"/>
      <c r="AJ497" s="46"/>
      <c r="AK497" s="46"/>
      <c r="AL497" s="46"/>
      <c r="AM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c r="AA499" s="46"/>
      <c r="AB499" s="46"/>
      <c r="AC499" s="46"/>
      <c r="AD499" s="46"/>
      <c r="AE499" s="46"/>
      <c r="AF499" s="46"/>
      <c r="AG499" s="46"/>
      <c r="AH499" s="46"/>
      <c r="AI499" s="46"/>
      <c r="AJ499" s="46"/>
      <c r="AK499" s="46"/>
      <c r="AL499" s="46"/>
      <c r="AM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c r="AA500" s="46"/>
      <c r="AB500" s="46"/>
      <c r="AC500" s="46"/>
      <c r="AD500" s="46"/>
      <c r="AE500" s="46"/>
      <c r="AF500" s="46"/>
      <c r="AG500" s="46"/>
      <c r="AH500" s="46"/>
      <c r="AI500" s="46"/>
      <c r="AJ500" s="46"/>
      <c r="AK500" s="46"/>
      <c r="AL500" s="46"/>
      <c r="AM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c r="AA503" s="46"/>
      <c r="AB503" s="46"/>
      <c r="AC503" s="46"/>
      <c r="AD503" s="46"/>
      <c r="AE503" s="46"/>
      <c r="AF503" s="46"/>
      <c r="AG503" s="46"/>
      <c r="AH503" s="46"/>
      <c r="AI503" s="46"/>
      <c r="AJ503" s="46"/>
      <c r="AK503" s="46"/>
      <c r="AL503" s="46"/>
      <c r="AM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c r="AA504" s="46"/>
      <c r="AB504" s="46"/>
      <c r="AC504" s="46"/>
      <c r="AD504" s="46"/>
      <c r="AE504" s="46"/>
      <c r="AF504" s="46"/>
      <c r="AG504" s="46"/>
      <c r="AH504" s="46"/>
      <c r="AI504" s="46"/>
      <c r="AJ504" s="46"/>
      <c r="AK504" s="46"/>
      <c r="AL504" s="46"/>
      <c r="AM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c r="AA505" s="46"/>
      <c r="AB505" s="46"/>
      <c r="AC505" s="46"/>
      <c r="AD505" s="46"/>
      <c r="AE505" s="46"/>
      <c r="AF505" s="46"/>
      <c r="AG505" s="46"/>
      <c r="AH505" s="46"/>
      <c r="AI505" s="46"/>
      <c r="AJ505" s="46"/>
      <c r="AK505" s="46"/>
      <c r="AL505" s="46"/>
      <c r="AM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c r="AA506" s="46"/>
      <c r="AB506" s="46"/>
      <c r="AC506" s="46"/>
      <c r="AD506" s="46"/>
      <c r="AE506" s="46"/>
      <c r="AF506" s="46"/>
      <c r="AG506" s="46"/>
      <c r="AH506" s="46"/>
      <c r="AI506" s="46"/>
      <c r="AJ506" s="46"/>
      <c r="AK506" s="46"/>
      <c r="AL506" s="46"/>
      <c r="AM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c r="AA507" s="46"/>
      <c r="AB507" s="46"/>
      <c r="AC507" s="46"/>
      <c r="AD507" s="46"/>
      <c r="AE507" s="46"/>
      <c r="AF507" s="46"/>
      <c r="AG507" s="46"/>
      <c r="AH507" s="46"/>
      <c r="AI507" s="46"/>
      <c r="AJ507" s="46"/>
      <c r="AK507" s="46"/>
      <c r="AL507" s="46"/>
      <c r="AM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c r="AA508" s="46"/>
      <c r="AB508" s="46"/>
      <c r="AC508" s="46"/>
      <c r="AD508" s="46"/>
      <c r="AE508" s="46"/>
      <c r="AF508" s="46"/>
      <c r="AG508" s="46"/>
      <c r="AH508" s="46"/>
      <c r="AI508" s="46"/>
      <c r="AJ508" s="46"/>
      <c r="AK508" s="46"/>
      <c r="AL508" s="46"/>
      <c r="AM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c r="AA509" s="46"/>
      <c r="AB509" s="46"/>
      <c r="AC509" s="46"/>
      <c r="AD509" s="46"/>
      <c r="AE509" s="46"/>
      <c r="AF509" s="46"/>
      <c r="AG509" s="46"/>
      <c r="AH509" s="46"/>
      <c r="AI509" s="46"/>
      <c r="AJ509" s="46"/>
      <c r="AK509" s="46"/>
      <c r="AL509" s="46"/>
      <c r="AM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c r="AA510" s="46"/>
      <c r="AB510" s="46"/>
      <c r="AC510" s="46"/>
      <c r="AD510" s="46"/>
      <c r="AE510" s="46"/>
      <c r="AF510" s="46"/>
      <c r="AG510" s="46"/>
      <c r="AH510" s="46"/>
      <c r="AI510" s="46"/>
      <c r="AJ510" s="46"/>
      <c r="AK510" s="46"/>
      <c r="AL510" s="46"/>
      <c r="AM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c r="AA511" s="46"/>
      <c r="AB511" s="46"/>
      <c r="AC511" s="46"/>
      <c r="AD511" s="46"/>
      <c r="AE511" s="46"/>
      <c r="AF511" s="46"/>
      <c r="AG511" s="46"/>
      <c r="AH511" s="46"/>
      <c r="AI511" s="46"/>
      <c r="AJ511" s="46"/>
      <c r="AK511" s="46"/>
      <c r="AL511" s="46"/>
      <c r="AM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c r="AA512" s="46"/>
      <c r="AB512" s="46"/>
      <c r="AC512" s="46"/>
      <c r="AD512" s="46"/>
      <c r="AE512" s="46"/>
      <c r="AF512" s="46"/>
      <c r="AG512" s="46"/>
      <c r="AH512" s="46"/>
      <c r="AI512" s="46"/>
      <c r="AJ512" s="46"/>
      <c r="AK512" s="46"/>
      <c r="AL512" s="46"/>
      <c r="AM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c r="AA513" s="46"/>
      <c r="AB513" s="46"/>
      <c r="AC513" s="46"/>
      <c r="AD513" s="46"/>
      <c r="AE513" s="46"/>
      <c r="AF513" s="46"/>
      <c r="AG513" s="46"/>
      <c r="AH513" s="46"/>
      <c r="AI513" s="46"/>
      <c r="AJ513" s="46"/>
      <c r="AK513" s="46"/>
      <c r="AL513" s="46"/>
      <c r="AM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c r="AA514" s="46"/>
      <c r="AB514" s="46"/>
      <c r="AC514" s="46"/>
      <c r="AD514" s="46"/>
      <c r="AE514" s="46"/>
      <c r="AF514" s="46"/>
      <c r="AG514" s="46"/>
      <c r="AH514" s="46"/>
      <c r="AI514" s="46"/>
      <c r="AJ514" s="46"/>
      <c r="AK514" s="46"/>
      <c r="AL514" s="46"/>
      <c r="AM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c r="AA515" s="46"/>
      <c r="AB515" s="46"/>
      <c r="AC515" s="46"/>
      <c r="AD515" s="46"/>
      <c r="AE515" s="46"/>
      <c r="AF515" s="46"/>
      <c r="AG515" s="46"/>
      <c r="AH515" s="46"/>
      <c r="AI515" s="46"/>
      <c r="AJ515" s="46"/>
      <c r="AK515" s="46"/>
      <c r="AL515" s="46"/>
      <c r="AM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c r="AA516" s="46"/>
      <c r="AB516" s="46"/>
      <c r="AC516" s="46"/>
      <c r="AD516" s="46"/>
      <c r="AE516" s="46"/>
      <c r="AF516" s="46"/>
      <c r="AG516" s="46"/>
      <c r="AH516" s="46"/>
      <c r="AI516" s="46"/>
      <c r="AJ516" s="46"/>
      <c r="AK516" s="46"/>
      <c r="AL516" s="46"/>
      <c r="AM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c r="AA517" s="46"/>
      <c r="AB517" s="46"/>
      <c r="AC517" s="46"/>
      <c r="AD517" s="46"/>
      <c r="AE517" s="46"/>
      <c r="AF517" s="46"/>
      <c r="AG517" s="46"/>
      <c r="AH517" s="46"/>
      <c r="AI517" s="46"/>
      <c r="AJ517" s="46"/>
      <c r="AK517" s="46"/>
      <c r="AL517" s="46"/>
      <c r="AM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c r="AA518" s="46"/>
      <c r="AB518" s="46"/>
      <c r="AC518" s="46"/>
      <c r="AD518" s="46"/>
      <c r="AE518" s="46"/>
      <c r="AF518" s="46"/>
      <c r="AG518" s="46"/>
      <c r="AH518" s="46"/>
      <c r="AI518" s="46"/>
      <c r="AJ518" s="46"/>
      <c r="AK518" s="46"/>
      <c r="AL518" s="46"/>
      <c r="AM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c r="AA519" s="46"/>
      <c r="AB519" s="46"/>
      <c r="AC519" s="46"/>
      <c r="AD519" s="46"/>
      <c r="AE519" s="46"/>
      <c r="AF519" s="46"/>
      <c r="AG519" s="46"/>
      <c r="AH519" s="46"/>
      <c r="AI519" s="46"/>
      <c r="AJ519" s="46"/>
      <c r="AK519" s="46"/>
      <c r="AL519" s="46"/>
      <c r="AM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c r="AA521" s="46"/>
      <c r="AB521" s="46"/>
      <c r="AC521" s="46"/>
      <c r="AD521" s="46"/>
      <c r="AE521" s="46"/>
      <c r="AF521" s="46"/>
      <c r="AG521" s="46"/>
      <c r="AH521" s="46"/>
      <c r="AI521" s="46"/>
      <c r="AJ521" s="46"/>
      <c r="AK521" s="46"/>
      <c r="AL521" s="46"/>
      <c r="AM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c r="AA522" s="46"/>
      <c r="AB522" s="46"/>
      <c r="AC522" s="46"/>
      <c r="AD522" s="46"/>
      <c r="AE522" s="46"/>
      <c r="AF522" s="46"/>
      <c r="AG522" s="46"/>
      <c r="AH522" s="46"/>
      <c r="AI522" s="46"/>
      <c r="AJ522" s="46"/>
      <c r="AK522" s="46"/>
      <c r="AL522" s="46"/>
      <c r="AM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c r="AA523" s="46"/>
      <c r="AB523" s="46"/>
      <c r="AC523" s="46"/>
      <c r="AD523" s="46"/>
      <c r="AE523" s="46"/>
      <c r="AF523" s="46"/>
      <c r="AG523" s="46"/>
      <c r="AH523" s="46"/>
      <c r="AI523" s="46"/>
      <c r="AJ523" s="46"/>
      <c r="AK523" s="46"/>
      <c r="AL523" s="46"/>
      <c r="AM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c r="AA524" s="46"/>
      <c r="AB524" s="46"/>
      <c r="AC524" s="46"/>
      <c r="AD524" s="46"/>
      <c r="AE524" s="46"/>
      <c r="AF524" s="46"/>
      <c r="AG524" s="46"/>
      <c r="AH524" s="46"/>
      <c r="AI524" s="46"/>
      <c r="AJ524" s="46"/>
      <c r="AK524" s="46"/>
      <c r="AL524" s="46"/>
      <c r="AM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c r="AA525" s="46"/>
      <c r="AB525" s="46"/>
      <c r="AC525" s="46"/>
      <c r="AD525" s="46"/>
      <c r="AE525" s="46"/>
      <c r="AF525" s="46"/>
      <c r="AG525" s="46"/>
      <c r="AH525" s="46"/>
      <c r="AI525" s="46"/>
      <c r="AJ525" s="46"/>
      <c r="AK525" s="46"/>
      <c r="AL525" s="46"/>
      <c r="AM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c r="AA526" s="46"/>
      <c r="AB526" s="46"/>
      <c r="AC526" s="46"/>
      <c r="AD526" s="46"/>
      <c r="AE526" s="46"/>
      <c r="AF526" s="46"/>
      <c r="AG526" s="46"/>
      <c r="AH526" s="46"/>
      <c r="AI526" s="46"/>
      <c r="AJ526" s="46"/>
      <c r="AK526" s="46"/>
      <c r="AL526" s="46"/>
      <c r="AM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c r="AA527" s="46"/>
      <c r="AB527" s="46"/>
      <c r="AC527" s="46"/>
      <c r="AD527" s="46"/>
      <c r="AE527" s="46"/>
      <c r="AF527" s="46"/>
      <c r="AG527" s="46"/>
      <c r="AH527" s="46"/>
      <c r="AI527" s="46"/>
      <c r="AJ527" s="46"/>
      <c r="AK527" s="46"/>
      <c r="AL527" s="46"/>
      <c r="AM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c r="AA528" s="46"/>
      <c r="AB528" s="46"/>
      <c r="AC528" s="46"/>
      <c r="AD528" s="46"/>
      <c r="AE528" s="46"/>
      <c r="AF528" s="46"/>
      <c r="AG528" s="46"/>
      <c r="AH528" s="46"/>
      <c r="AI528" s="46"/>
      <c r="AJ528" s="46"/>
      <c r="AK528" s="46"/>
      <c r="AL528" s="46"/>
      <c r="AM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c r="AA529" s="46"/>
      <c r="AB529" s="46"/>
      <c r="AC529" s="46"/>
      <c r="AD529" s="46"/>
      <c r="AE529" s="46"/>
      <c r="AF529" s="46"/>
      <c r="AG529" s="46"/>
      <c r="AH529" s="46"/>
      <c r="AI529" s="46"/>
      <c r="AJ529" s="46"/>
      <c r="AK529" s="46"/>
      <c r="AL529" s="46"/>
      <c r="AM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c r="AA530" s="46"/>
      <c r="AB530" s="46"/>
      <c r="AC530" s="46"/>
      <c r="AD530" s="46"/>
      <c r="AE530" s="46"/>
      <c r="AF530" s="46"/>
      <c r="AG530" s="46"/>
      <c r="AH530" s="46"/>
      <c r="AI530" s="46"/>
      <c r="AJ530" s="46"/>
      <c r="AK530" s="46"/>
      <c r="AL530" s="46"/>
      <c r="AM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c r="AA531" s="46"/>
      <c r="AB531" s="46"/>
      <c r="AC531" s="46"/>
      <c r="AD531" s="46"/>
      <c r="AE531" s="46"/>
      <c r="AF531" s="46"/>
      <c r="AG531" s="46"/>
      <c r="AH531" s="46"/>
      <c r="AI531" s="46"/>
      <c r="AJ531" s="46"/>
      <c r="AK531" s="46"/>
      <c r="AL531" s="46"/>
      <c r="AM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c r="AA532" s="46"/>
      <c r="AB532" s="46"/>
      <c r="AC532" s="46"/>
      <c r="AD532" s="46"/>
      <c r="AE532" s="46"/>
      <c r="AF532" s="46"/>
      <c r="AG532" s="46"/>
      <c r="AH532" s="46"/>
      <c r="AI532" s="46"/>
      <c r="AJ532" s="46"/>
      <c r="AK532" s="46"/>
      <c r="AL532" s="46"/>
      <c r="AM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c r="AA533" s="46"/>
      <c r="AB533" s="46"/>
      <c r="AC533" s="46"/>
      <c r="AD533" s="46"/>
      <c r="AE533" s="46"/>
      <c r="AF533" s="46"/>
      <c r="AG533" s="46"/>
      <c r="AH533" s="46"/>
      <c r="AI533" s="46"/>
      <c r="AJ533" s="46"/>
      <c r="AK533" s="46"/>
      <c r="AL533" s="46"/>
      <c r="AM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c r="AA534" s="46"/>
      <c r="AB534" s="46"/>
      <c r="AC534" s="46"/>
      <c r="AD534" s="46"/>
      <c r="AE534" s="46"/>
      <c r="AF534" s="46"/>
      <c r="AG534" s="46"/>
      <c r="AH534" s="46"/>
      <c r="AI534" s="46"/>
      <c r="AJ534" s="46"/>
      <c r="AK534" s="46"/>
      <c r="AL534" s="46"/>
      <c r="AM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c r="AA535" s="46"/>
      <c r="AB535" s="46"/>
      <c r="AC535" s="46"/>
      <c r="AD535" s="46"/>
      <c r="AE535" s="46"/>
      <c r="AF535" s="46"/>
      <c r="AG535" s="46"/>
      <c r="AH535" s="46"/>
      <c r="AI535" s="46"/>
      <c r="AJ535" s="46"/>
      <c r="AK535" s="46"/>
      <c r="AL535" s="46"/>
      <c r="AM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c r="AA536" s="46"/>
      <c r="AB536" s="46"/>
      <c r="AC536" s="46"/>
      <c r="AD536" s="46"/>
      <c r="AE536" s="46"/>
      <c r="AF536" s="46"/>
      <c r="AG536" s="46"/>
      <c r="AH536" s="46"/>
      <c r="AI536" s="46"/>
      <c r="AJ536" s="46"/>
      <c r="AK536" s="46"/>
      <c r="AL536" s="46"/>
      <c r="AM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c r="AA537" s="46"/>
      <c r="AB537" s="46"/>
      <c r="AC537" s="46"/>
      <c r="AD537" s="46"/>
      <c r="AE537" s="46"/>
      <c r="AF537" s="46"/>
      <c r="AG537" s="46"/>
      <c r="AH537" s="46"/>
      <c r="AI537" s="46"/>
      <c r="AJ537" s="46"/>
      <c r="AK537" s="46"/>
      <c r="AL537" s="46"/>
      <c r="AM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c r="AA538" s="46"/>
      <c r="AB538" s="46"/>
      <c r="AC538" s="46"/>
      <c r="AD538" s="46"/>
      <c r="AE538" s="46"/>
      <c r="AF538" s="46"/>
      <c r="AG538" s="46"/>
      <c r="AH538" s="46"/>
      <c r="AI538" s="46"/>
      <c r="AJ538" s="46"/>
      <c r="AK538" s="46"/>
      <c r="AL538" s="46"/>
      <c r="AM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c r="AA539" s="46"/>
      <c r="AB539" s="46"/>
      <c r="AC539" s="46"/>
      <c r="AD539" s="46"/>
      <c r="AE539" s="46"/>
      <c r="AF539" s="46"/>
      <c r="AG539" s="46"/>
      <c r="AH539" s="46"/>
      <c r="AI539" s="46"/>
      <c r="AJ539" s="46"/>
      <c r="AK539" s="46"/>
      <c r="AL539" s="46"/>
      <c r="AM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c r="AA540" s="46"/>
      <c r="AB540" s="46"/>
      <c r="AC540" s="46"/>
      <c r="AD540" s="46"/>
      <c r="AE540" s="46"/>
      <c r="AF540" s="46"/>
      <c r="AG540" s="46"/>
      <c r="AH540" s="46"/>
      <c r="AI540" s="46"/>
      <c r="AJ540" s="46"/>
      <c r="AK540" s="46"/>
      <c r="AL540" s="46"/>
      <c r="AM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c r="AA541" s="46"/>
      <c r="AB541" s="46"/>
      <c r="AC541" s="46"/>
      <c r="AD541" s="46"/>
      <c r="AE541" s="46"/>
      <c r="AF541" s="46"/>
      <c r="AG541" s="46"/>
      <c r="AH541" s="46"/>
      <c r="AI541" s="46"/>
      <c r="AJ541" s="46"/>
      <c r="AK541" s="46"/>
      <c r="AL541" s="46"/>
      <c r="AM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c r="AA542" s="46"/>
      <c r="AB542" s="46"/>
      <c r="AC542" s="46"/>
      <c r="AD542" s="46"/>
      <c r="AE542" s="46"/>
      <c r="AF542" s="46"/>
      <c r="AG542" s="46"/>
      <c r="AH542" s="46"/>
      <c r="AI542" s="46"/>
      <c r="AJ542" s="46"/>
      <c r="AK542" s="46"/>
      <c r="AL542" s="46"/>
      <c r="AM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c r="AA543" s="46"/>
      <c r="AB543" s="46"/>
      <c r="AC543" s="46"/>
      <c r="AD543" s="46"/>
      <c r="AE543" s="46"/>
      <c r="AF543" s="46"/>
      <c r="AG543" s="46"/>
      <c r="AH543" s="46"/>
      <c r="AI543" s="46"/>
      <c r="AJ543" s="46"/>
      <c r="AK543" s="46"/>
      <c r="AL543" s="46"/>
      <c r="AM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c r="AA544" s="46"/>
      <c r="AB544" s="46"/>
      <c r="AC544" s="46"/>
      <c r="AD544" s="46"/>
      <c r="AE544" s="46"/>
      <c r="AF544" s="46"/>
      <c r="AG544" s="46"/>
      <c r="AH544" s="46"/>
      <c r="AI544" s="46"/>
      <c r="AJ544" s="46"/>
      <c r="AK544" s="46"/>
      <c r="AL544" s="46"/>
      <c r="AM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c r="AA545" s="46"/>
      <c r="AB545" s="46"/>
      <c r="AC545" s="46"/>
      <c r="AD545" s="46"/>
      <c r="AE545" s="46"/>
      <c r="AF545" s="46"/>
      <c r="AG545" s="46"/>
      <c r="AH545" s="46"/>
      <c r="AI545" s="46"/>
      <c r="AJ545" s="46"/>
      <c r="AK545" s="46"/>
      <c r="AL545" s="46"/>
      <c r="AM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c r="AA546" s="46"/>
      <c r="AB546" s="46"/>
      <c r="AC546" s="46"/>
      <c r="AD546" s="46"/>
      <c r="AE546" s="46"/>
      <c r="AF546" s="46"/>
      <c r="AG546" s="46"/>
      <c r="AH546" s="46"/>
      <c r="AI546" s="46"/>
      <c r="AJ546" s="46"/>
      <c r="AK546" s="46"/>
      <c r="AL546" s="46"/>
      <c r="AM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c r="AA547" s="46"/>
      <c r="AB547" s="46"/>
      <c r="AC547" s="46"/>
      <c r="AD547" s="46"/>
      <c r="AE547" s="46"/>
      <c r="AF547" s="46"/>
      <c r="AG547" s="46"/>
      <c r="AH547" s="46"/>
      <c r="AI547" s="46"/>
      <c r="AJ547" s="46"/>
      <c r="AK547" s="46"/>
      <c r="AL547" s="46"/>
      <c r="AM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c r="AA548" s="46"/>
      <c r="AB548" s="46"/>
      <c r="AC548" s="46"/>
      <c r="AD548" s="46"/>
      <c r="AE548" s="46"/>
      <c r="AF548" s="46"/>
      <c r="AG548" s="46"/>
      <c r="AH548" s="46"/>
      <c r="AI548" s="46"/>
      <c r="AJ548" s="46"/>
      <c r="AK548" s="46"/>
      <c r="AL548" s="46"/>
      <c r="AM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c r="AA549" s="46"/>
      <c r="AB549" s="46"/>
      <c r="AC549" s="46"/>
      <c r="AD549" s="46"/>
      <c r="AE549" s="46"/>
      <c r="AF549" s="46"/>
      <c r="AG549" s="46"/>
      <c r="AH549" s="46"/>
      <c r="AI549" s="46"/>
      <c r="AJ549" s="46"/>
      <c r="AK549" s="46"/>
      <c r="AL549" s="46"/>
      <c r="AM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c r="AA550" s="46"/>
      <c r="AB550" s="46"/>
      <c r="AC550" s="46"/>
      <c r="AD550" s="46"/>
      <c r="AE550" s="46"/>
      <c r="AF550" s="46"/>
      <c r="AG550" s="46"/>
      <c r="AH550" s="46"/>
      <c r="AI550" s="46"/>
      <c r="AJ550" s="46"/>
      <c r="AK550" s="46"/>
      <c r="AL550" s="46"/>
      <c r="AM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c r="AA551" s="46"/>
      <c r="AB551" s="46"/>
      <c r="AC551" s="46"/>
      <c r="AD551" s="46"/>
      <c r="AE551" s="46"/>
      <c r="AF551" s="46"/>
      <c r="AG551" s="46"/>
      <c r="AH551" s="46"/>
      <c r="AI551" s="46"/>
      <c r="AJ551" s="46"/>
      <c r="AK551" s="46"/>
      <c r="AL551" s="46"/>
      <c r="AM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c r="AA552" s="46"/>
      <c r="AB552" s="46"/>
      <c r="AC552" s="46"/>
      <c r="AD552" s="46"/>
      <c r="AE552" s="46"/>
      <c r="AF552" s="46"/>
      <c r="AG552" s="46"/>
      <c r="AH552" s="46"/>
      <c r="AI552" s="46"/>
      <c r="AJ552" s="46"/>
      <c r="AK552" s="46"/>
      <c r="AL552" s="46"/>
      <c r="AM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c r="AA553" s="46"/>
      <c r="AB553" s="46"/>
      <c r="AC553" s="46"/>
      <c r="AD553" s="46"/>
      <c r="AE553" s="46"/>
      <c r="AF553" s="46"/>
      <c r="AG553" s="46"/>
      <c r="AH553" s="46"/>
      <c r="AI553" s="46"/>
      <c r="AJ553" s="46"/>
      <c r="AK553" s="46"/>
      <c r="AL553" s="46"/>
      <c r="AM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c r="AA554" s="46"/>
      <c r="AB554" s="46"/>
      <c r="AC554" s="46"/>
      <c r="AD554" s="46"/>
      <c r="AE554" s="46"/>
      <c r="AF554" s="46"/>
      <c r="AG554" s="46"/>
      <c r="AH554" s="46"/>
      <c r="AI554" s="46"/>
      <c r="AJ554" s="46"/>
      <c r="AK554" s="46"/>
      <c r="AL554" s="46"/>
      <c r="AM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c r="AA555" s="46"/>
      <c r="AB555" s="46"/>
      <c r="AC555" s="46"/>
      <c r="AD555" s="46"/>
      <c r="AE555" s="46"/>
      <c r="AF555" s="46"/>
      <c r="AG555" s="46"/>
      <c r="AH555" s="46"/>
      <c r="AI555" s="46"/>
      <c r="AJ555" s="46"/>
      <c r="AK555" s="46"/>
      <c r="AL555" s="46"/>
      <c r="AM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c r="AA556" s="46"/>
      <c r="AB556" s="46"/>
      <c r="AC556" s="46"/>
      <c r="AD556" s="46"/>
      <c r="AE556" s="46"/>
      <c r="AF556" s="46"/>
      <c r="AG556" s="46"/>
      <c r="AH556" s="46"/>
      <c r="AI556" s="46"/>
      <c r="AJ556" s="46"/>
      <c r="AK556" s="46"/>
      <c r="AL556" s="46"/>
      <c r="AM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c r="AA557" s="46"/>
      <c r="AB557" s="46"/>
      <c r="AC557" s="46"/>
      <c r="AD557" s="46"/>
      <c r="AE557" s="46"/>
      <c r="AF557" s="46"/>
      <c r="AG557" s="46"/>
      <c r="AH557" s="46"/>
      <c r="AI557" s="46"/>
      <c r="AJ557" s="46"/>
      <c r="AK557" s="46"/>
      <c r="AL557" s="46"/>
      <c r="AM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c r="AA558" s="46"/>
      <c r="AB558" s="46"/>
      <c r="AC558" s="46"/>
      <c r="AD558" s="46"/>
      <c r="AE558" s="46"/>
      <c r="AF558" s="46"/>
      <c r="AG558" s="46"/>
      <c r="AH558" s="46"/>
      <c r="AI558" s="46"/>
      <c r="AJ558" s="46"/>
      <c r="AK558" s="46"/>
      <c r="AL558" s="46"/>
      <c r="AM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c r="AA559" s="46"/>
      <c r="AB559" s="46"/>
      <c r="AC559" s="46"/>
      <c r="AD559" s="46"/>
      <c r="AE559" s="46"/>
      <c r="AF559" s="46"/>
      <c r="AG559" s="46"/>
      <c r="AH559" s="46"/>
      <c r="AI559" s="46"/>
      <c r="AJ559" s="46"/>
      <c r="AK559" s="46"/>
      <c r="AL559" s="46"/>
      <c r="AM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c r="AA560" s="46"/>
      <c r="AB560" s="46"/>
      <c r="AC560" s="46"/>
      <c r="AD560" s="46"/>
      <c r="AE560" s="46"/>
      <c r="AF560" s="46"/>
      <c r="AG560" s="46"/>
      <c r="AH560" s="46"/>
      <c r="AI560" s="46"/>
      <c r="AJ560" s="46"/>
      <c r="AK560" s="46"/>
      <c r="AL560" s="46"/>
      <c r="AM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c r="AA561" s="46"/>
      <c r="AB561" s="46"/>
      <c r="AC561" s="46"/>
      <c r="AD561" s="46"/>
      <c r="AE561" s="46"/>
      <c r="AF561" s="46"/>
      <c r="AG561" s="46"/>
      <c r="AH561" s="46"/>
      <c r="AI561" s="46"/>
      <c r="AJ561" s="46"/>
      <c r="AK561" s="46"/>
      <c r="AL561" s="46"/>
      <c r="AM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c r="AA562" s="46"/>
      <c r="AB562" s="46"/>
      <c r="AC562" s="46"/>
      <c r="AD562" s="46"/>
      <c r="AE562" s="46"/>
      <c r="AF562" s="46"/>
      <c r="AG562" s="46"/>
      <c r="AH562" s="46"/>
      <c r="AI562" s="46"/>
      <c r="AJ562" s="46"/>
      <c r="AK562" s="46"/>
      <c r="AL562" s="46"/>
      <c r="AM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c r="AA563" s="46"/>
      <c r="AB563" s="46"/>
      <c r="AC563" s="46"/>
      <c r="AD563" s="46"/>
      <c r="AE563" s="46"/>
      <c r="AF563" s="46"/>
      <c r="AG563" s="46"/>
      <c r="AH563" s="46"/>
      <c r="AI563" s="46"/>
      <c r="AJ563" s="46"/>
      <c r="AK563" s="46"/>
      <c r="AL563" s="46"/>
      <c r="AM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c r="AA564" s="46"/>
      <c r="AB564" s="46"/>
      <c r="AC564" s="46"/>
      <c r="AD564" s="46"/>
      <c r="AE564" s="46"/>
      <c r="AF564" s="46"/>
      <c r="AG564" s="46"/>
      <c r="AH564" s="46"/>
      <c r="AI564" s="46"/>
      <c r="AJ564" s="46"/>
      <c r="AK564" s="46"/>
      <c r="AL564" s="46"/>
      <c r="AM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c r="AA565" s="46"/>
      <c r="AB565" s="46"/>
      <c r="AC565" s="46"/>
      <c r="AD565" s="46"/>
      <c r="AE565" s="46"/>
      <c r="AF565" s="46"/>
      <c r="AG565" s="46"/>
      <c r="AH565" s="46"/>
      <c r="AI565" s="46"/>
      <c r="AJ565" s="46"/>
      <c r="AK565" s="46"/>
      <c r="AL565" s="46"/>
      <c r="AM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c r="AA566" s="46"/>
      <c r="AB566" s="46"/>
      <c r="AC566" s="46"/>
      <c r="AD566" s="46"/>
      <c r="AE566" s="46"/>
      <c r="AF566" s="46"/>
      <c r="AG566" s="46"/>
      <c r="AH566" s="46"/>
      <c r="AI566" s="46"/>
      <c r="AJ566" s="46"/>
      <c r="AK566" s="46"/>
      <c r="AL566" s="46"/>
      <c r="AM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c r="AA567" s="46"/>
      <c r="AB567" s="46"/>
      <c r="AC567" s="46"/>
      <c r="AD567" s="46"/>
      <c r="AE567" s="46"/>
      <c r="AF567" s="46"/>
      <c r="AG567" s="46"/>
      <c r="AH567" s="46"/>
      <c r="AI567" s="46"/>
      <c r="AJ567" s="46"/>
      <c r="AK567" s="46"/>
      <c r="AL567" s="46"/>
      <c r="AM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c r="AA568" s="46"/>
      <c r="AB568" s="46"/>
      <c r="AC568" s="46"/>
      <c r="AD568" s="46"/>
      <c r="AE568" s="46"/>
      <c r="AF568" s="46"/>
      <c r="AG568" s="46"/>
      <c r="AH568" s="46"/>
      <c r="AI568" s="46"/>
      <c r="AJ568" s="46"/>
      <c r="AK568" s="46"/>
      <c r="AL568" s="46"/>
      <c r="AM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c r="AA569" s="46"/>
      <c r="AB569" s="46"/>
      <c r="AC569" s="46"/>
      <c r="AD569" s="46"/>
      <c r="AE569" s="46"/>
      <c r="AF569" s="46"/>
      <c r="AG569" s="46"/>
      <c r="AH569" s="46"/>
      <c r="AI569" s="46"/>
      <c r="AJ569" s="46"/>
      <c r="AK569" s="46"/>
      <c r="AL569" s="46"/>
      <c r="AM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c r="AA570" s="46"/>
      <c r="AB570" s="46"/>
      <c r="AC570" s="46"/>
      <c r="AD570" s="46"/>
      <c r="AE570" s="46"/>
      <c r="AF570" s="46"/>
      <c r="AG570" s="46"/>
      <c r="AH570" s="46"/>
      <c r="AI570" s="46"/>
      <c r="AJ570" s="46"/>
      <c r="AK570" s="46"/>
      <c r="AL570" s="46"/>
      <c r="AM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c r="AA571" s="46"/>
      <c r="AB571" s="46"/>
      <c r="AC571" s="46"/>
      <c r="AD571" s="46"/>
      <c r="AE571" s="46"/>
      <c r="AF571" s="46"/>
      <c r="AG571" s="46"/>
      <c r="AH571" s="46"/>
      <c r="AI571" s="46"/>
      <c r="AJ571" s="46"/>
      <c r="AK571" s="46"/>
      <c r="AL571" s="46"/>
      <c r="AM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c r="AA572" s="46"/>
      <c r="AB572" s="46"/>
      <c r="AC572" s="46"/>
      <c r="AD572" s="46"/>
      <c r="AE572" s="46"/>
      <c r="AF572" s="46"/>
      <c r="AG572" s="46"/>
      <c r="AH572" s="46"/>
      <c r="AI572" s="46"/>
      <c r="AJ572" s="46"/>
      <c r="AK572" s="46"/>
      <c r="AL572" s="46"/>
      <c r="AM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c r="AA573" s="46"/>
      <c r="AB573" s="46"/>
      <c r="AC573" s="46"/>
      <c r="AD573" s="46"/>
      <c r="AE573" s="46"/>
      <c r="AF573" s="46"/>
      <c r="AG573" s="46"/>
      <c r="AH573" s="46"/>
      <c r="AI573" s="46"/>
      <c r="AJ573" s="46"/>
      <c r="AK573" s="46"/>
      <c r="AL573" s="46"/>
      <c r="AM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c r="AA574" s="46"/>
      <c r="AB574" s="46"/>
      <c r="AC574" s="46"/>
      <c r="AD574" s="46"/>
      <c r="AE574" s="46"/>
      <c r="AF574" s="46"/>
      <c r="AG574" s="46"/>
      <c r="AH574" s="46"/>
      <c r="AI574" s="46"/>
      <c r="AJ574" s="46"/>
      <c r="AK574" s="46"/>
      <c r="AL574" s="46"/>
      <c r="AM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c r="AA575" s="46"/>
      <c r="AB575" s="46"/>
      <c r="AC575" s="46"/>
      <c r="AD575" s="46"/>
      <c r="AE575" s="46"/>
      <c r="AF575" s="46"/>
      <c r="AG575" s="46"/>
      <c r="AH575" s="46"/>
      <c r="AI575" s="46"/>
      <c r="AJ575" s="46"/>
      <c r="AK575" s="46"/>
      <c r="AL575" s="46"/>
      <c r="AM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c r="AA576" s="46"/>
      <c r="AB576" s="46"/>
      <c r="AC576" s="46"/>
      <c r="AD576" s="46"/>
      <c r="AE576" s="46"/>
      <c r="AF576" s="46"/>
      <c r="AG576" s="46"/>
      <c r="AH576" s="46"/>
      <c r="AI576" s="46"/>
      <c r="AJ576" s="46"/>
      <c r="AK576" s="46"/>
      <c r="AL576" s="46"/>
      <c r="AM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c r="AA577" s="46"/>
      <c r="AB577" s="46"/>
      <c r="AC577" s="46"/>
      <c r="AD577" s="46"/>
      <c r="AE577" s="46"/>
      <c r="AF577" s="46"/>
      <c r="AG577" s="46"/>
      <c r="AH577" s="46"/>
      <c r="AI577" s="46"/>
      <c r="AJ577" s="46"/>
      <c r="AK577" s="46"/>
      <c r="AL577" s="46"/>
      <c r="AM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c r="AA578" s="46"/>
      <c r="AB578" s="46"/>
      <c r="AC578" s="46"/>
      <c r="AD578" s="46"/>
      <c r="AE578" s="46"/>
      <c r="AF578" s="46"/>
      <c r="AG578" s="46"/>
      <c r="AH578" s="46"/>
      <c r="AI578" s="46"/>
      <c r="AJ578" s="46"/>
      <c r="AK578" s="46"/>
      <c r="AL578" s="46"/>
      <c r="AM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c r="AA579" s="46"/>
      <c r="AB579" s="46"/>
      <c r="AC579" s="46"/>
      <c r="AD579" s="46"/>
      <c r="AE579" s="46"/>
      <c r="AF579" s="46"/>
      <c r="AG579" s="46"/>
      <c r="AH579" s="46"/>
      <c r="AI579" s="46"/>
      <c r="AJ579" s="46"/>
      <c r="AK579" s="46"/>
      <c r="AL579" s="46"/>
      <c r="AM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c r="AA580" s="46"/>
      <c r="AB580" s="46"/>
      <c r="AC580" s="46"/>
      <c r="AD580" s="46"/>
      <c r="AE580" s="46"/>
      <c r="AF580" s="46"/>
      <c r="AG580" s="46"/>
      <c r="AH580" s="46"/>
      <c r="AI580" s="46"/>
      <c r="AJ580" s="46"/>
      <c r="AK580" s="46"/>
      <c r="AL580" s="46"/>
      <c r="AM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c r="AA581" s="46"/>
      <c r="AB581" s="46"/>
      <c r="AC581" s="46"/>
      <c r="AD581" s="46"/>
      <c r="AE581" s="46"/>
      <c r="AF581" s="46"/>
      <c r="AG581" s="46"/>
      <c r="AH581" s="46"/>
      <c r="AI581" s="46"/>
      <c r="AJ581" s="46"/>
      <c r="AK581" s="46"/>
      <c r="AL581" s="46"/>
      <c r="AM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c r="AA582" s="46"/>
      <c r="AB582" s="46"/>
      <c r="AC582" s="46"/>
      <c r="AD582" s="46"/>
      <c r="AE582" s="46"/>
      <c r="AF582" s="46"/>
      <c r="AG582" s="46"/>
      <c r="AH582" s="46"/>
      <c r="AI582" s="46"/>
      <c r="AJ582" s="46"/>
      <c r="AK582" s="46"/>
      <c r="AL582" s="46"/>
      <c r="AM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c r="AA583" s="46"/>
      <c r="AB583" s="46"/>
      <c r="AC583" s="46"/>
      <c r="AD583" s="46"/>
      <c r="AE583" s="46"/>
      <c r="AF583" s="46"/>
      <c r="AG583" s="46"/>
      <c r="AH583" s="46"/>
      <c r="AI583" s="46"/>
      <c r="AJ583" s="46"/>
      <c r="AK583" s="46"/>
      <c r="AL583" s="46"/>
      <c r="AM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c r="AA584" s="46"/>
      <c r="AB584" s="46"/>
      <c r="AC584" s="46"/>
      <c r="AD584" s="46"/>
      <c r="AE584" s="46"/>
      <c r="AF584" s="46"/>
      <c r="AG584" s="46"/>
      <c r="AH584" s="46"/>
      <c r="AI584" s="46"/>
      <c r="AJ584" s="46"/>
      <c r="AK584" s="46"/>
      <c r="AL584" s="46"/>
      <c r="AM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c r="AA585" s="46"/>
      <c r="AB585" s="46"/>
      <c r="AC585" s="46"/>
      <c r="AD585" s="46"/>
      <c r="AE585" s="46"/>
      <c r="AF585" s="46"/>
      <c r="AG585" s="46"/>
      <c r="AH585" s="46"/>
      <c r="AI585" s="46"/>
      <c r="AJ585" s="46"/>
      <c r="AK585" s="46"/>
      <c r="AL585" s="46"/>
      <c r="AM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c r="AA586" s="46"/>
      <c r="AB586" s="46"/>
      <c r="AC586" s="46"/>
      <c r="AD586" s="46"/>
      <c r="AE586" s="46"/>
      <c r="AF586" s="46"/>
      <c r="AG586" s="46"/>
      <c r="AH586" s="46"/>
      <c r="AI586" s="46"/>
      <c r="AJ586" s="46"/>
      <c r="AK586" s="46"/>
      <c r="AL586" s="46"/>
      <c r="AM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c r="AA587" s="46"/>
      <c r="AB587" s="46"/>
      <c r="AC587" s="46"/>
      <c r="AD587" s="46"/>
      <c r="AE587" s="46"/>
      <c r="AF587" s="46"/>
      <c r="AG587" s="46"/>
      <c r="AH587" s="46"/>
      <c r="AI587" s="46"/>
      <c r="AJ587" s="46"/>
      <c r="AK587" s="46"/>
      <c r="AL587" s="46"/>
      <c r="AM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c r="AA588" s="46"/>
      <c r="AB588" s="46"/>
      <c r="AC588" s="46"/>
      <c r="AD588" s="46"/>
      <c r="AE588" s="46"/>
      <c r="AF588" s="46"/>
      <c r="AG588" s="46"/>
      <c r="AH588" s="46"/>
      <c r="AI588" s="46"/>
      <c r="AJ588" s="46"/>
      <c r="AK588" s="46"/>
      <c r="AL588" s="46"/>
      <c r="AM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c r="AA589" s="46"/>
      <c r="AB589" s="46"/>
      <c r="AC589" s="46"/>
      <c r="AD589" s="46"/>
      <c r="AE589" s="46"/>
      <c r="AF589" s="46"/>
      <c r="AG589" s="46"/>
      <c r="AH589" s="46"/>
      <c r="AI589" s="46"/>
      <c r="AJ589" s="46"/>
      <c r="AK589" s="46"/>
      <c r="AL589" s="46"/>
      <c r="AM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c r="AA590" s="46"/>
      <c r="AB590" s="46"/>
      <c r="AC590" s="46"/>
      <c r="AD590" s="46"/>
      <c r="AE590" s="46"/>
      <c r="AF590" s="46"/>
      <c r="AG590" s="46"/>
      <c r="AH590" s="46"/>
      <c r="AI590" s="46"/>
      <c r="AJ590" s="46"/>
      <c r="AK590" s="46"/>
      <c r="AL590" s="46"/>
      <c r="AM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c r="AA591" s="46"/>
      <c r="AB591" s="46"/>
      <c r="AC591" s="46"/>
      <c r="AD591" s="46"/>
      <c r="AE591" s="46"/>
      <c r="AF591" s="46"/>
      <c r="AG591" s="46"/>
      <c r="AH591" s="46"/>
      <c r="AI591" s="46"/>
      <c r="AJ591" s="46"/>
      <c r="AK591" s="46"/>
      <c r="AL591" s="46"/>
      <c r="AM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c r="AA592" s="46"/>
      <c r="AB592" s="46"/>
      <c r="AC592" s="46"/>
      <c r="AD592" s="46"/>
      <c r="AE592" s="46"/>
      <c r="AF592" s="46"/>
      <c r="AG592" s="46"/>
      <c r="AH592" s="46"/>
      <c r="AI592" s="46"/>
      <c r="AJ592" s="46"/>
      <c r="AK592" s="46"/>
      <c r="AL592" s="46"/>
      <c r="AM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c r="AA593" s="46"/>
      <c r="AB593" s="46"/>
      <c r="AC593" s="46"/>
      <c r="AD593" s="46"/>
      <c r="AE593" s="46"/>
      <c r="AF593" s="46"/>
      <c r="AG593" s="46"/>
      <c r="AH593" s="46"/>
      <c r="AI593" s="46"/>
      <c r="AJ593" s="46"/>
      <c r="AK593" s="46"/>
      <c r="AL593" s="46"/>
      <c r="AM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c r="AA594" s="46"/>
      <c r="AB594" s="46"/>
      <c r="AC594" s="46"/>
      <c r="AD594" s="46"/>
      <c r="AE594" s="46"/>
      <c r="AF594" s="46"/>
      <c r="AG594" s="46"/>
      <c r="AH594" s="46"/>
      <c r="AI594" s="46"/>
      <c r="AJ594" s="46"/>
      <c r="AK594" s="46"/>
      <c r="AL594" s="46"/>
      <c r="AM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c r="AA595" s="46"/>
      <c r="AB595" s="46"/>
      <c r="AC595" s="46"/>
      <c r="AD595" s="46"/>
      <c r="AE595" s="46"/>
      <c r="AF595" s="46"/>
      <c r="AG595" s="46"/>
      <c r="AH595" s="46"/>
      <c r="AI595" s="46"/>
      <c r="AJ595" s="46"/>
      <c r="AK595" s="46"/>
      <c r="AL595" s="46"/>
      <c r="AM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c r="AA596" s="46"/>
      <c r="AB596" s="46"/>
      <c r="AC596" s="46"/>
      <c r="AD596" s="46"/>
      <c r="AE596" s="46"/>
      <c r="AF596" s="46"/>
      <c r="AG596" s="46"/>
      <c r="AH596" s="46"/>
      <c r="AI596" s="46"/>
      <c r="AJ596" s="46"/>
      <c r="AK596" s="46"/>
      <c r="AL596" s="46"/>
      <c r="AM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c r="AA597" s="46"/>
      <c r="AB597" s="46"/>
      <c r="AC597" s="46"/>
      <c r="AD597" s="46"/>
      <c r="AE597" s="46"/>
      <c r="AF597" s="46"/>
      <c r="AG597" s="46"/>
      <c r="AH597" s="46"/>
      <c r="AI597" s="46"/>
      <c r="AJ597" s="46"/>
      <c r="AK597" s="46"/>
      <c r="AL597" s="46"/>
      <c r="AM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c r="AA598" s="46"/>
      <c r="AB598" s="46"/>
      <c r="AC598" s="46"/>
      <c r="AD598" s="46"/>
      <c r="AE598" s="46"/>
      <c r="AF598" s="46"/>
      <c r="AG598" s="46"/>
      <c r="AH598" s="46"/>
      <c r="AI598" s="46"/>
      <c r="AJ598" s="46"/>
      <c r="AK598" s="46"/>
      <c r="AL598" s="46"/>
      <c r="AM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c r="AA599" s="46"/>
      <c r="AB599" s="46"/>
      <c r="AC599" s="46"/>
      <c r="AD599" s="46"/>
      <c r="AE599" s="46"/>
      <c r="AF599" s="46"/>
      <c r="AG599" s="46"/>
      <c r="AH599" s="46"/>
      <c r="AI599" s="46"/>
      <c r="AJ599" s="46"/>
      <c r="AK599" s="46"/>
      <c r="AL599" s="46"/>
      <c r="AM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c r="AA600" s="46"/>
      <c r="AB600" s="46"/>
      <c r="AC600" s="46"/>
      <c r="AD600" s="46"/>
      <c r="AE600" s="46"/>
      <c r="AF600" s="46"/>
      <c r="AG600" s="46"/>
      <c r="AH600" s="46"/>
      <c r="AI600" s="46"/>
      <c r="AJ600" s="46"/>
      <c r="AK600" s="46"/>
      <c r="AL600" s="46"/>
      <c r="AM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c r="AA601" s="46"/>
      <c r="AB601" s="46"/>
      <c r="AC601" s="46"/>
      <c r="AD601" s="46"/>
      <c r="AE601" s="46"/>
      <c r="AF601" s="46"/>
      <c r="AG601" s="46"/>
      <c r="AH601" s="46"/>
      <c r="AI601" s="46"/>
      <c r="AJ601" s="46"/>
      <c r="AK601" s="46"/>
      <c r="AL601" s="46"/>
      <c r="AM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c r="AA602" s="46"/>
      <c r="AB602" s="46"/>
      <c r="AC602" s="46"/>
      <c r="AD602" s="46"/>
      <c r="AE602" s="46"/>
      <c r="AF602" s="46"/>
      <c r="AG602" s="46"/>
      <c r="AH602" s="46"/>
      <c r="AI602" s="46"/>
      <c r="AJ602" s="46"/>
      <c r="AK602" s="46"/>
      <c r="AL602" s="46"/>
      <c r="AM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c r="AA603" s="46"/>
      <c r="AB603" s="46"/>
      <c r="AC603" s="46"/>
      <c r="AD603" s="46"/>
      <c r="AE603" s="46"/>
      <c r="AF603" s="46"/>
      <c r="AG603" s="46"/>
      <c r="AH603" s="46"/>
      <c r="AI603" s="46"/>
      <c r="AJ603" s="46"/>
      <c r="AK603" s="46"/>
      <c r="AL603" s="46"/>
      <c r="AM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c r="AA604" s="46"/>
      <c r="AB604" s="46"/>
      <c r="AC604" s="46"/>
      <c r="AD604" s="46"/>
      <c r="AE604" s="46"/>
      <c r="AF604" s="46"/>
      <c r="AG604" s="46"/>
      <c r="AH604" s="46"/>
      <c r="AI604" s="46"/>
      <c r="AJ604" s="46"/>
      <c r="AK604" s="46"/>
      <c r="AL604" s="46"/>
      <c r="AM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c r="AA605" s="46"/>
      <c r="AB605" s="46"/>
      <c r="AC605" s="46"/>
      <c r="AD605" s="46"/>
      <c r="AE605" s="46"/>
      <c r="AF605" s="46"/>
      <c r="AG605" s="46"/>
      <c r="AH605" s="46"/>
      <c r="AI605" s="46"/>
      <c r="AJ605" s="46"/>
      <c r="AK605" s="46"/>
      <c r="AL605" s="46"/>
      <c r="AM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c r="AA606" s="46"/>
      <c r="AB606" s="46"/>
      <c r="AC606" s="46"/>
      <c r="AD606" s="46"/>
      <c r="AE606" s="46"/>
      <c r="AF606" s="46"/>
      <c r="AG606" s="46"/>
      <c r="AH606" s="46"/>
      <c r="AI606" s="46"/>
      <c r="AJ606" s="46"/>
      <c r="AK606" s="46"/>
      <c r="AL606" s="46"/>
      <c r="AM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c r="AA607" s="46"/>
      <c r="AB607" s="46"/>
      <c r="AC607" s="46"/>
      <c r="AD607" s="46"/>
      <c r="AE607" s="46"/>
      <c r="AF607" s="46"/>
      <c r="AG607" s="46"/>
      <c r="AH607" s="46"/>
      <c r="AI607" s="46"/>
      <c r="AJ607" s="46"/>
      <c r="AK607" s="46"/>
      <c r="AL607" s="46"/>
      <c r="AM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c r="AA608" s="46"/>
      <c r="AB608" s="46"/>
      <c r="AC608" s="46"/>
      <c r="AD608" s="46"/>
      <c r="AE608" s="46"/>
      <c r="AF608" s="46"/>
      <c r="AG608" s="46"/>
      <c r="AH608" s="46"/>
      <c r="AI608" s="46"/>
      <c r="AJ608" s="46"/>
      <c r="AK608" s="46"/>
      <c r="AL608" s="46"/>
      <c r="AM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c r="AA609" s="46"/>
      <c r="AB609" s="46"/>
      <c r="AC609" s="46"/>
      <c r="AD609" s="46"/>
      <c r="AE609" s="46"/>
      <c r="AF609" s="46"/>
      <c r="AG609" s="46"/>
      <c r="AH609" s="46"/>
      <c r="AI609" s="46"/>
      <c r="AJ609" s="46"/>
      <c r="AK609" s="46"/>
      <c r="AL609" s="46"/>
      <c r="AM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c r="AA610" s="46"/>
      <c r="AB610" s="46"/>
      <c r="AC610" s="46"/>
      <c r="AD610" s="46"/>
      <c r="AE610" s="46"/>
      <c r="AF610" s="46"/>
      <c r="AG610" s="46"/>
      <c r="AH610" s="46"/>
      <c r="AI610" s="46"/>
      <c r="AJ610" s="46"/>
      <c r="AK610" s="46"/>
      <c r="AL610" s="46"/>
      <c r="AM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c r="AA611" s="46"/>
      <c r="AB611" s="46"/>
      <c r="AC611" s="46"/>
      <c r="AD611" s="46"/>
      <c r="AE611" s="46"/>
      <c r="AF611" s="46"/>
      <c r="AG611" s="46"/>
      <c r="AH611" s="46"/>
      <c r="AI611" s="46"/>
      <c r="AJ611" s="46"/>
      <c r="AK611" s="46"/>
      <c r="AL611" s="46"/>
      <c r="AM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c r="AA612" s="46"/>
      <c r="AB612" s="46"/>
      <c r="AC612" s="46"/>
      <c r="AD612" s="46"/>
      <c r="AE612" s="46"/>
      <c r="AF612" s="46"/>
      <c r="AG612" s="46"/>
      <c r="AH612" s="46"/>
      <c r="AI612" s="46"/>
      <c r="AJ612" s="46"/>
      <c r="AK612" s="46"/>
      <c r="AL612" s="46"/>
      <c r="AM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c r="AA613" s="46"/>
      <c r="AB613" s="46"/>
      <c r="AC613" s="46"/>
      <c r="AD613" s="46"/>
      <c r="AE613" s="46"/>
      <c r="AF613" s="46"/>
      <c r="AG613" s="46"/>
      <c r="AH613" s="46"/>
      <c r="AI613" s="46"/>
      <c r="AJ613" s="46"/>
      <c r="AK613" s="46"/>
      <c r="AL613" s="46"/>
      <c r="AM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c r="AA614" s="46"/>
      <c r="AB614" s="46"/>
      <c r="AC614" s="46"/>
      <c r="AD614" s="46"/>
      <c r="AE614" s="46"/>
      <c r="AF614" s="46"/>
      <c r="AG614" s="46"/>
      <c r="AH614" s="46"/>
      <c r="AI614" s="46"/>
      <c r="AJ614" s="46"/>
      <c r="AK614" s="46"/>
      <c r="AL614" s="46"/>
      <c r="AM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c r="AA615" s="46"/>
      <c r="AB615" s="46"/>
      <c r="AC615" s="46"/>
      <c r="AD615" s="46"/>
      <c r="AE615" s="46"/>
      <c r="AF615" s="46"/>
      <c r="AG615" s="46"/>
      <c r="AH615" s="46"/>
      <c r="AI615" s="46"/>
      <c r="AJ615" s="46"/>
      <c r="AK615" s="46"/>
      <c r="AL615" s="46"/>
      <c r="AM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c r="AA616" s="46"/>
      <c r="AB616" s="46"/>
      <c r="AC616" s="46"/>
      <c r="AD616" s="46"/>
      <c r="AE616" s="46"/>
      <c r="AF616" s="46"/>
      <c r="AG616" s="46"/>
      <c r="AH616" s="46"/>
      <c r="AI616" s="46"/>
      <c r="AJ616" s="46"/>
      <c r="AK616" s="46"/>
      <c r="AL616" s="46"/>
      <c r="AM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c r="AA617" s="46"/>
      <c r="AB617" s="46"/>
      <c r="AC617" s="46"/>
      <c r="AD617" s="46"/>
      <c r="AE617" s="46"/>
      <c r="AF617" s="46"/>
      <c r="AG617" s="46"/>
      <c r="AH617" s="46"/>
      <c r="AI617" s="46"/>
      <c r="AJ617" s="46"/>
      <c r="AK617" s="46"/>
      <c r="AL617" s="46"/>
      <c r="AM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c r="AA618" s="46"/>
      <c r="AB618" s="46"/>
      <c r="AC618" s="46"/>
      <c r="AD618" s="46"/>
      <c r="AE618" s="46"/>
      <c r="AF618" s="46"/>
      <c r="AG618" s="46"/>
      <c r="AH618" s="46"/>
      <c r="AI618" s="46"/>
      <c r="AJ618" s="46"/>
      <c r="AK618" s="46"/>
      <c r="AL618" s="46"/>
      <c r="AM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c r="AA619" s="46"/>
      <c r="AB619" s="46"/>
      <c r="AC619" s="46"/>
      <c r="AD619" s="46"/>
      <c r="AE619" s="46"/>
      <c r="AF619" s="46"/>
      <c r="AG619" s="46"/>
      <c r="AH619" s="46"/>
      <c r="AI619" s="46"/>
      <c r="AJ619" s="46"/>
      <c r="AK619" s="46"/>
      <c r="AL619" s="46"/>
      <c r="AM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c r="AA620" s="46"/>
      <c r="AB620" s="46"/>
      <c r="AC620" s="46"/>
      <c r="AD620" s="46"/>
      <c r="AE620" s="46"/>
      <c r="AF620" s="46"/>
      <c r="AG620" s="46"/>
      <c r="AH620" s="46"/>
      <c r="AI620" s="46"/>
      <c r="AJ620" s="46"/>
      <c r="AK620" s="46"/>
      <c r="AL620" s="46"/>
      <c r="AM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c r="AA621" s="46"/>
      <c r="AB621" s="46"/>
      <c r="AC621" s="46"/>
      <c r="AD621" s="46"/>
      <c r="AE621" s="46"/>
      <c r="AF621" s="46"/>
      <c r="AG621" s="46"/>
      <c r="AH621" s="46"/>
      <c r="AI621" s="46"/>
      <c r="AJ621" s="46"/>
      <c r="AK621" s="46"/>
      <c r="AL621" s="46"/>
      <c r="AM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c r="AA622" s="46"/>
      <c r="AB622" s="46"/>
      <c r="AC622" s="46"/>
      <c r="AD622" s="46"/>
      <c r="AE622" s="46"/>
      <c r="AF622" s="46"/>
      <c r="AG622" s="46"/>
      <c r="AH622" s="46"/>
      <c r="AI622" s="46"/>
      <c r="AJ622" s="46"/>
      <c r="AK622" s="46"/>
      <c r="AL622" s="46"/>
      <c r="AM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c r="AA623" s="46"/>
      <c r="AB623" s="46"/>
      <c r="AC623" s="46"/>
      <c r="AD623" s="46"/>
      <c r="AE623" s="46"/>
      <c r="AF623" s="46"/>
      <c r="AG623" s="46"/>
      <c r="AH623" s="46"/>
      <c r="AI623" s="46"/>
      <c r="AJ623" s="46"/>
      <c r="AK623" s="46"/>
      <c r="AL623" s="46"/>
      <c r="AM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c r="AA624" s="46"/>
      <c r="AB624" s="46"/>
      <c r="AC624" s="46"/>
      <c r="AD624" s="46"/>
      <c r="AE624" s="46"/>
      <c r="AF624" s="46"/>
      <c r="AG624" s="46"/>
      <c r="AH624" s="46"/>
      <c r="AI624" s="46"/>
      <c r="AJ624" s="46"/>
      <c r="AK624" s="46"/>
      <c r="AL624" s="46"/>
      <c r="AM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c r="AA625" s="46"/>
      <c r="AB625" s="46"/>
      <c r="AC625" s="46"/>
      <c r="AD625" s="46"/>
      <c r="AE625" s="46"/>
      <c r="AF625" s="46"/>
      <c r="AG625" s="46"/>
      <c r="AH625" s="46"/>
      <c r="AI625" s="46"/>
      <c r="AJ625" s="46"/>
      <c r="AK625" s="46"/>
      <c r="AL625" s="46"/>
      <c r="AM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c r="AA626" s="46"/>
      <c r="AB626" s="46"/>
      <c r="AC626" s="46"/>
      <c r="AD626" s="46"/>
      <c r="AE626" s="46"/>
      <c r="AF626" s="46"/>
      <c r="AG626" s="46"/>
      <c r="AH626" s="46"/>
      <c r="AI626" s="46"/>
      <c r="AJ626" s="46"/>
      <c r="AK626" s="46"/>
      <c r="AL626" s="46"/>
      <c r="AM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c r="AA627" s="46"/>
      <c r="AB627" s="46"/>
      <c r="AC627" s="46"/>
      <c r="AD627" s="46"/>
      <c r="AE627" s="46"/>
      <c r="AF627" s="46"/>
      <c r="AG627" s="46"/>
      <c r="AH627" s="46"/>
      <c r="AI627" s="46"/>
      <c r="AJ627" s="46"/>
      <c r="AK627" s="46"/>
      <c r="AL627" s="46"/>
      <c r="AM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c r="AA628" s="46"/>
      <c r="AB628" s="46"/>
      <c r="AC628" s="46"/>
      <c r="AD628" s="46"/>
      <c r="AE628" s="46"/>
      <c r="AF628" s="46"/>
      <c r="AG628" s="46"/>
      <c r="AH628" s="46"/>
      <c r="AI628" s="46"/>
      <c r="AJ628" s="46"/>
      <c r="AK628" s="46"/>
      <c r="AL628" s="46"/>
      <c r="AM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c r="AA629" s="46"/>
      <c r="AB629" s="46"/>
      <c r="AC629" s="46"/>
      <c r="AD629" s="46"/>
      <c r="AE629" s="46"/>
      <c r="AF629" s="46"/>
      <c r="AG629" s="46"/>
      <c r="AH629" s="46"/>
      <c r="AI629" s="46"/>
      <c r="AJ629" s="46"/>
      <c r="AK629" s="46"/>
      <c r="AL629" s="46"/>
      <c r="AM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c r="AA630" s="46"/>
      <c r="AB630" s="46"/>
      <c r="AC630" s="46"/>
      <c r="AD630" s="46"/>
      <c r="AE630" s="46"/>
      <c r="AF630" s="46"/>
      <c r="AG630" s="46"/>
      <c r="AH630" s="46"/>
      <c r="AI630" s="46"/>
      <c r="AJ630" s="46"/>
      <c r="AK630" s="46"/>
      <c r="AL630" s="46"/>
      <c r="AM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c r="AA631" s="46"/>
      <c r="AB631" s="46"/>
      <c r="AC631" s="46"/>
      <c r="AD631" s="46"/>
      <c r="AE631" s="46"/>
      <c r="AF631" s="46"/>
      <c r="AG631" s="46"/>
      <c r="AH631" s="46"/>
      <c r="AI631" s="46"/>
      <c r="AJ631" s="46"/>
      <c r="AK631" s="46"/>
      <c r="AL631" s="46"/>
      <c r="AM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c r="AA632" s="46"/>
      <c r="AB632" s="46"/>
      <c r="AC632" s="46"/>
      <c r="AD632" s="46"/>
      <c r="AE632" s="46"/>
      <c r="AF632" s="46"/>
      <c r="AG632" s="46"/>
      <c r="AH632" s="46"/>
      <c r="AI632" s="46"/>
      <c r="AJ632" s="46"/>
      <c r="AK632" s="46"/>
      <c r="AL632" s="46"/>
      <c r="AM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c r="AA633" s="46"/>
      <c r="AB633" s="46"/>
      <c r="AC633" s="46"/>
      <c r="AD633" s="46"/>
      <c r="AE633" s="46"/>
      <c r="AF633" s="46"/>
      <c r="AG633" s="46"/>
      <c r="AH633" s="46"/>
      <c r="AI633" s="46"/>
      <c r="AJ633" s="46"/>
      <c r="AK633" s="46"/>
      <c r="AL633" s="46"/>
      <c r="AM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c r="AA634" s="46"/>
      <c r="AB634" s="46"/>
      <c r="AC634" s="46"/>
      <c r="AD634" s="46"/>
      <c r="AE634" s="46"/>
      <c r="AF634" s="46"/>
      <c r="AG634" s="46"/>
      <c r="AH634" s="46"/>
      <c r="AI634" s="46"/>
      <c r="AJ634" s="46"/>
      <c r="AK634" s="46"/>
      <c r="AL634" s="46"/>
      <c r="AM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c r="AA635" s="46"/>
      <c r="AB635" s="46"/>
      <c r="AC635" s="46"/>
      <c r="AD635" s="46"/>
      <c r="AE635" s="46"/>
      <c r="AF635" s="46"/>
      <c r="AG635" s="46"/>
      <c r="AH635" s="46"/>
      <c r="AI635" s="46"/>
      <c r="AJ635" s="46"/>
      <c r="AK635" s="46"/>
      <c r="AL635" s="46"/>
      <c r="AM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c r="AA636" s="46"/>
      <c r="AB636" s="46"/>
      <c r="AC636" s="46"/>
      <c r="AD636" s="46"/>
      <c r="AE636" s="46"/>
      <c r="AF636" s="46"/>
      <c r="AG636" s="46"/>
      <c r="AH636" s="46"/>
      <c r="AI636" s="46"/>
      <c r="AJ636" s="46"/>
      <c r="AK636" s="46"/>
      <c r="AL636" s="46"/>
      <c r="AM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c r="AA637" s="46"/>
      <c r="AB637" s="46"/>
      <c r="AC637" s="46"/>
      <c r="AD637" s="46"/>
      <c r="AE637" s="46"/>
      <c r="AF637" s="46"/>
      <c r="AG637" s="46"/>
      <c r="AH637" s="46"/>
      <c r="AI637" s="46"/>
      <c r="AJ637" s="46"/>
      <c r="AK637" s="46"/>
      <c r="AL637" s="46"/>
      <c r="AM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c r="AA638" s="46"/>
      <c r="AB638" s="46"/>
      <c r="AC638" s="46"/>
      <c r="AD638" s="46"/>
      <c r="AE638" s="46"/>
      <c r="AF638" s="46"/>
      <c r="AG638" s="46"/>
      <c r="AH638" s="46"/>
      <c r="AI638" s="46"/>
      <c r="AJ638" s="46"/>
      <c r="AK638" s="46"/>
      <c r="AL638" s="46"/>
      <c r="AM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c r="AA639" s="46"/>
      <c r="AB639" s="46"/>
      <c r="AC639" s="46"/>
      <c r="AD639" s="46"/>
      <c r="AE639" s="46"/>
      <c r="AF639" s="46"/>
      <c r="AG639" s="46"/>
      <c r="AH639" s="46"/>
      <c r="AI639" s="46"/>
      <c r="AJ639" s="46"/>
      <c r="AK639" s="46"/>
      <c r="AL639" s="46"/>
      <c r="AM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c r="AA640" s="46"/>
      <c r="AB640" s="46"/>
      <c r="AC640" s="46"/>
      <c r="AD640" s="46"/>
      <c r="AE640" s="46"/>
      <c r="AF640" s="46"/>
      <c r="AG640" s="46"/>
      <c r="AH640" s="46"/>
      <c r="AI640" s="46"/>
      <c r="AJ640" s="46"/>
      <c r="AK640" s="46"/>
      <c r="AL640" s="46"/>
      <c r="AM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c r="AA641" s="46"/>
      <c r="AB641" s="46"/>
      <c r="AC641" s="46"/>
      <c r="AD641" s="46"/>
      <c r="AE641" s="46"/>
      <c r="AF641" s="46"/>
      <c r="AG641" s="46"/>
      <c r="AH641" s="46"/>
      <c r="AI641" s="46"/>
      <c r="AJ641" s="46"/>
      <c r="AK641" s="46"/>
      <c r="AL641" s="46"/>
      <c r="AM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c r="AA642" s="46"/>
      <c r="AB642" s="46"/>
      <c r="AC642" s="46"/>
      <c r="AD642" s="46"/>
      <c r="AE642" s="46"/>
      <c r="AF642" s="46"/>
      <c r="AG642" s="46"/>
      <c r="AH642" s="46"/>
      <c r="AI642" s="46"/>
      <c r="AJ642" s="46"/>
      <c r="AK642" s="46"/>
      <c r="AL642" s="46"/>
      <c r="AM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c r="AA643" s="46"/>
      <c r="AB643" s="46"/>
      <c r="AC643" s="46"/>
      <c r="AD643" s="46"/>
      <c r="AE643" s="46"/>
      <c r="AF643" s="46"/>
      <c r="AG643" s="46"/>
      <c r="AH643" s="46"/>
      <c r="AI643" s="46"/>
      <c r="AJ643" s="46"/>
      <c r="AK643" s="46"/>
      <c r="AL643" s="46"/>
      <c r="AM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c r="AA644" s="46"/>
      <c r="AB644" s="46"/>
      <c r="AC644" s="46"/>
      <c r="AD644" s="46"/>
      <c r="AE644" s="46"/>
      <c r="AF644" s="46"/>
      <c r="AG644" s="46"/>
      <c r="AH644" s="46"/>
      <c r="AI644" s="46"/>
      <c r="AJ644" s="46"/>
      <c r="AK644" s="46"/>
      <c r="AL644" s="46"/>
      <c r="AM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c r="AA645" s="46"/>
      <c r="AB645" s="46"/>
      <c r="AC645" s="46"/>
      <c r="AD645" s="46"/>
      <c r="AE645" s="46"/>
      <c r="AF645" s="46"/>
      <c r="AG645" s="46"/>
      <c r="AH645" s="46"/>
      <c r="AI645" s="46"/>
      <c r="AJ645" s="46"/>
      <c r="AK645" s="46"/>
      <c r="AL645" s="46"/>
      <c r="AM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c r="AA646" s="46"/>
      <c r="AB646" s="46"/>
      <c r="AC646" s="46"/>
      <c r="AD646" s="46"/>
      <c r="AE646" s="46"/>
      <c r="AF646" s="46"/>
      <c r="AG646" s="46"/>
      <c r="AH646" s="46"/>
      <c r="AI646" s="46"/>
      <c r="AJ646" s="46"/>
      <c r="AK646" s="46"/>
      <c r="AL646" s="46"/>
      <c r="AM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c r="AA647" s="46"/>
      <c r="AB647" s="46"/>
      <c r="AC647" s="46"/>
      <c r="AD647" s="46"/>
      <c r="AE647" s="46"/>
      <c r="AF647" s="46"/>
      <c r="AG647" s="46"/>
      <c r="AH647" s="46"/>
      <c r="AI647" s="46"/>
      <c r="AJ647" s="46"/>
      <c r="AK647" s="46"/>
      <c r="AL647" s="46"/>
      <c r="AM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c r="AA648" s="46"/>
      <c r="AB648" s="46"/>
      <c r="AC648" s="46"/>
      <c r="AD648" s="46"/>
      <c r="AE648" s="46"/>
      <c r="AF648" s="46"/>
      <c r="AG648" s="46"/>
      <c r="AH648" s="46"/>
      <c r="AI648" s="46"/>
      <c r="AJ648" s="46"/>
      <c r="AK648" s="46"/>
      <c r="AL648" s="46"/>
      <c r="AM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c r="AA649" s="46"/>
      <c r="AB649" s="46"/>
      <c r="AC649" s="46"/>
      <c r="AD649" s="46"/>
      <c r="AE649" s="46"/>
      <c r="AF649" s="46"/>
      <c r="AG649" s="46"/>
      <c r="AH649" s="46"/>
      <c r="AI649" s="46"/>
      <c r="AJ649" s="46"/>
      <c r="AK649" s="46"/>
      <c r="AL649" s="46"/>
      <c r="AM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c r="AA650" s="46"/>
      <c r="AB650" s="46"/>
      <c r="AC650" s="46"/>
      <c r="AD650" s="46"/>
      <c r="AE650" s="46"/>
      <c r="AF650" s="46"/>
      <c r="AG650" s="46"/>
      <c r="AH650" s="46"/>
      <c r="AI650" s="46"/>
      <c r="AJ650" s="46"/>
      <c r="AK650" s="46"/>
      <c r="AL650" s="46"/>
      <c r="AM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c r="AA651" s="46"/>
      <c r="AB651" s="46"/>
      <c r="AC651" s="46"/>
      <c r="AD651" s="46"/>
      <c r="AE651" s="46"/>
      <c r="AF651" s="46"/>
      <c r="AG651" s="46"/>
      <c r="AH651" s="46"/>
      <c r="AI651" s="46"/>
      <c r="AJ651" s="46"/>
      <c r="AK651" s="46"/>
      <c r="AL651" s="46"/>
      <c r="AM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c r="AA652" s="46"/>
      <c r="AB652" s="46"/>
      <c r="AC652" s="46"/>
      <c r="AD652" s="46"/>
      <c r="AE652" s="46"/>
      <c r="AF652" s="46"/>
      <c r="AG652" s="46"/>
      <c r="AH652" s="46"/>
      <c r="AI652" s="46"/>
      <c r="AJ652" s="46"/>
      <c r="AK652" s="46"/>
      <c r="AL652" s="46"/>
      <c r="AM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c r="AA653" s="46"/>
      <c r="AB653" s="46"/>
      <c r="AC653" s="46"/>
      <c r="AD653" s="46"/>
      <c r="AE653" s="46"/>
      <c r="AF653" s="46"/>
      <c r="AG653" s="46"/>
      <c r="AH653" s="46"/>
      <c r="AI653" s="46"/>
      <c r="AJ653" s="46"/>
      <c r="AK653" s="46"/>
      <c r="AL653" s="46"/>
      <c r="AM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c r="AA654" s="46"/>
      <c r="AB654" s="46"/>
      <c r="AC654" s="46"/>
      <c r="AD654" s="46"/>
      <c r="AE654" s="46"/>
      <c r="AF654" s="46"/>
      <c r="AG654" s="46"/>
      <c r="AH654" s="46"/>
      <c r="AI654" s="46"/>
      <c r="AJ654" s="46"/>
      <c r="AK654" s="46"/>
      <c r="AL654" s="46"/>
      <c r="AM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c r="AA655" s="46"/>
      <c r="AB655" s="46"/>
      <c r="AC655" s="46"/>
      <c r="AD655" s="46"/>
      <c r="AE655" s="46"/>
      <c r="AF655" s="46"/>
      <c r="AG655" s="46"/>
      <c r="AH655" s="46"/>
      <c r="AI655" s="46"/>
      <c r="AJ655" s="46"/>
      <c r="AK655" s="46"/>
      <c r="AL655" s="46"/>
      <c r="AM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c r="AA656" s="46"/>
      <c r="AB656" s="46"/>
      <c r="AC656" s="46"/>
      <c r="AD656" s="46"/>
      <c r="AE656" s="46"/>
      <c r="AF656" s="46"/>
      <c r="AG656" s="46"/>
      <c r="AH656" s="46"/>
      <c r="AI656" s="46"/>
      <c r="AJ656" s="46"/>
      <c r="AK656" s="46"/>
      <c r="AL656" s="46"/>
      <c r="AM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c r="AA657" s="46"/>
      <c r="AB657" s="46"/>
      <c r="AC657" s="46"/>
      <c r="AD657" s="46"/>
      <c r="AE657" s="46"/>
      <c r="AF657" s="46"/>
      <c r="AG657" s="46"/>
      <c r="AH657" s="46"/>
      <c r="AI657" s="46"/>
      <c r="AJ657" s="46"/>
      <c r="AK657" s="46"/>
      <c r="AL657" s="46"/>
      <c r="AM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c r="AA658" s="46"/>
      <c r="AB658" s="46"/>
      <c r="AC658" s="46"/>
      <c r="AD658" s="46"/>
      <c r="AE658" s="46"/>
      <c r="AF658" s="46"/>
      <c r="AG658" s="46"/>
      <c r="AH658" s="46"/>
      <c r="AI658" s="46"/>
      <c r="AJ658" s="46"/>
      <c r="AK658" s="46"/>
      <c r="AL658" s="46"/>
      <c r="AM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c r="AA659" s="46"/>
      <c r="AB659" s="46"/>
      <c r="AC659" s="46"/>
      <c r="AD659" s="46"/>
      <c r="AE659" s="46"/>
      <c r="AF659" s="46"/>
      <c r="AG659" s="46"/>
      <c r="AH659" s="46"/>
      <c r="AI659" s="46"/>
      <c r="AJ659" s="46"/>
      <c r="AK659" s="46"/>
      <c r="AL659" s="46"/>
      <c r="AM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c r="AA660" s="46"/>
      <c r="AB660" s="46"/>
      <c r="AC660" s="46"/>
      <c r="AD660" s="46"/>
      <c r="AE660" s="46"/>
      <c r="AF660" s="46"/>
      <c r="AG660" s="46"/>
      <c r="AH660" s="46"/>
      <c r="AI660" s="46"/>
      <c r="AJ660" s="46"/>
      <c r="AK660" s="46"/>
      <c r="AL660" s="46"/>
      <c r="AM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c r="AA661" s="46"/>
      <c r="AB661" s="46"/>
      <c r="AC661" s="46"/>
      <c r="AD661" s="46"/>
      <c r="AE661" s="46"/>
      <c r="AF661" s="46"/>
      <c r="AG661" s="46"/>
      <c r="AH661" s="46"/>
      <c r="AI661" s="46"/>
      <c r="AJ661" s="46"/>
      <c r="AK661" s="46"/>
      <c r="AL661" s="46"/>
      <c r="AM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c r="AA662" s="46"/>
      <c r="AB662" s="46"/>
      <c r="AC662" s="46"/>
      <c r="AD662" s="46"/>
      <c r="AE662" s="46"/>
      <c r="AF662" s="46"/>
      <c r="AG662" s="46"/>
      <c r="AH662" s="46"/>
      <c r="AI662" s="46"/>
      <c r="AJ662" s="46"/>
      <c r="AK662" s="46"/>
      <c r="AL662" s="46"/>
      <c r="AM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c r="AA663" s="46"/>
      <c r="AB663" s="46"/>
      <c r="AC663" s="46"/>
      <c r="AD663" s="46"/>
      <c r="AE663" s="46"/>
      <c r="AF663" s="46"/>
      <c r="AG663" s="46"/>
      <c r="AH663" s="46"/>
      <c r="AI663" s="46"/>
      <c r="AJ663" s="46"/>
      <c r="AK663" s="46"/>
      <c r="AL663" s="46"/>
      <c r="AM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c r="AA664" s="46"/>
      <c r="AB664" s="46"/>
      <c r="AC664" s="46"/>
      <c r="AD664" s="46"/>
      <c r="AE664" s="46"/>
      <c r="AF664" s="46"/>
      <c r="AG664" s="46"/>
      <c r="AH664" s="46"/>
      <c r="AI664" s="46"/>
      <c r="AJ664" s="46"/>
      <c r="AK664" s="46"/>
      <c r="AL664" s="46"/>
      <c r="AM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c r="AA665" s="46"/>
      <c r="AB665" s="46"/>
      <c r="AC665" s="46"/>
      <c r="AD665" s="46"/>
      <c r="AE665" s="46"/>
      <c r="AF665" s="46"/>
      <c r="AG665" s="46"/>
      <c r="AH665" s="46"/>
      <c r="AI665" s="46"/>
      <c r="AJ665" s="46"/>
      <c r="AK665" s="46"/>
      <c r="AL665" s="46"/>
      <c r="AM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c r="AA666" s="46"/>
      <c r="AB666" s="46"/>
      <c r="AC666" s="46"/>
      <c r="AD666" s="46"/>
      <c r="AE666" s="46"/>
      <c r="AF666" s="46"/>
      <c r="AG666" s="46"/>
      <c r="AH666" s="46"/>
      <c r="AI666" s="46"/>
      <c r="AJ666" s="46"/>
      <c r="AK666" s="46"/>
      <c r="AL666" s="46"/>
      <c r="AM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c r="AA667" s="46"/>
      <c r="AB667" s="46"/>
      <c r="AC667" s="46"/>
      <c r="AD667" s="46"/>
      <c r="AE667" s="46"/>
      <c r="AF667" s="46"/>
      <c r="AG667" s="46"/>
      <c r="AH667" s="46"/>
      <c r="AI667" s="46"/>
      <c r="AJ667" s="46"/>
      <c r="AK667" s="46"/>
      <c r="AL667" s="46"/>
      <c r="AM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c r="AA668" s="46"/>
      <c r="AB668" s="46"/>
      <c r="AC668" s="46"/>
      <c r="AD668" s="46"/>
      <c r="AE668" s="46"/>
      <c r="AF668" s="46"/>
      <c r="AG668" s="46"/>
      <c r="AH668" s="46"/>
      <c r="AI668" s="46"/>
      <c r="AJ668" s="46"/>
      <c r="AK668" s="46"/>
      <c r="AL668" s="46"/>
      <c r="AM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c r="AA669" s="46"/>
      <c r="AB669" s="46"/>
      <c r="AC669" s="46"/>
      <c r="AD669" s="46"/>
      <c r="AE669" s="46"/>
      <c r="AF669" s="46"/>
      <c r="AG669" s="46"/>
      <c r="AH669" s="46"/>
      <c r="AI669" s="46"/>
      <c r="AJ669" s="46"/>
      <c r="AK669" s="46"/>
      <c r="AL669" s="46"/>
      <c r="AM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c r="AA670" s="46"/>
      <c r="AB670" s="46"/>
      <c r="AC670" s="46"/>
      <c r="AD670" s="46"/>
      <c r="AE670" s="46"/>
      <c r="AF670" s="46"/>
      <c r="AG670" s="46"/>
      <c r="AH670" s="46"/>
      <c r="AI670" s="46"/>
      <c r="AJ670" s="46"/>
      <c r="AK670" s="46"/>
      <c r="AL670" s="46"/>
      <c r="AM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c r="AA671" s="46"/>
      <c r="AB671" s="46"/>
      <c r="AC671" s="46"/>
      <c r="AD671" s="46"/>
      <c r="AE671" s="46"/>
      <c r="AF671" s="46"/>
      <c r="AG671" s="46"/>
      <c r="AH671" s="46"/>
      <c r="AI671" s="46"/>
      <c r="AJ671" s="46"/>
      <c r="AK671" s="46"/>
      <c r="AL671" s="46"/>
      <c r="AM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c r="AA672" s="46"/>
      <c r="AB672" s="46"/>
      <c r="AC672" s="46"/>
      <c r="AD672" s="46"/>
      <c r="AE672" s="46"/>
      <c r="AF672" s="46"/>
      <c r="AG672" s="46"/>
      <c r="AH672" s="46"/>
      <c r="AI672" s="46"/>
      <c r="AJ672" s="46"/>
      <c r="AK672" s="46"/>
      <c r="AL672" s="46"/>
      <c r="AM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c r="AA673" s="46"/>
      <c r="AB673" s="46"/>
      <c r="AC673" s="46"/>
      <c r="AD673" s="46"/>
      <c r="AE673" s="46"/>
      <c r="AF673" s="46"/>
      <c r="AG673" s="46"/>
      <c r="AH673" s="46"/>
      <c r="AI673" s="46"/>
      <c r="AJ673" s="46"/>
      <c r="AK673" s="46"/>
      <c r="AL673" s="46"/>
      <c r="AM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c r="AA674" s="46"/>
      <c r="AB674" s="46"/>
      <c r="AC674" s="46"/>
      <c r="AD674" s="46"/>
      <c r="AE674" s="46"/>
      <c r="AF674" s="46"/>
      <c r="AG674" s="46"/>
      <c r="AH674" s="46"/>
      <c r="AI674" s="46"/>
      <c r="AJ674" s="46"/>
      <c r="AK674" s="46"/>
      <c r="AL674" s="46"/>
      <c r="AM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c r="AA675" s="46"/>
      <c r="AB675" s="46"/>
      <c r="AC675" s="46"/>
      <c r="AD675" s="46"/>
      <c r="AE675" s="46"/>
      <c r="AF675" s="46"/>
      <c r="AG675" s="46"/>
      <c r="AH675" s="46"/>
      <c r="AI675" s="46"/>
      <c r="AJ675" s="46"/>
      <c r="AK675" s="46"/>
      <c r="AL675" s="46"/>
      <c r="AM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c r="AA676" s="46"/>
      <c r="AB676" s="46"/>
      <c r="AC676" s="46"/>
      <c r="AD676" s="46"/>
      <c r="AE676" s="46"/>
      <c r="AF676" s="46"/>
      <c r="AG676" s="46"/>
      <c r="AH676" s="46"/>
      <c r="AI676" s="46"/>
      <c r="AJ676" s="46"/>
      <c r="AK676" s="46"/>
      <c r="AL676" s="46"/>
      <c r="AM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c r="AA677" s="46"/>
      <c r="AB677" s="46"/>
      <c r="AC677" s="46"/>
      <c r="AD677" s="46"/>
      <c r="AE677" s="46"/>
      <c r="AF677" s="46"/>
      <c r="AG677" s="46"/>
      <c r="AH677" s="46"/>
      <c r="AI677" s="46"/>
      <c r="AJ677" s="46"/>
      <c r="AK677" s="46"/>
      <c r="AL677" s="46"/>
      <c r="AM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c r="AA678" s="46"/>
      <c r="AB678" s="46"/>
      <c r="AC678" s="46"/>
      <c r="AD678" s="46"/>
      <c r="AE678" s="46"/>
      <c r="AF678" s="46"/>
      <c r="AG678" s="46"/>
      <c r="AH678" s="46"/>
      <c r="AI678" s="46"/>
      <c r="AJ678" s="46"/>
      <c r="AK678" s="46"/>
      <c r="AL678" s="46"/>
      <c r="AM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c r="AA679" s="46"/>
      <c r="AB679" s="46"/>
      <c r="AC679" s="46"/>
      <c r="AD679" s="46"/>
      <c r="AE679" s="46"/>
      <c r="AF679" s="46"/>
      <c r="AG679" s="46"/>
      <c r="AH679" s="46"/>
      <c r="AI679" s="46"/>
      <c r="AJ679" s="46"/>
      <c r="AK679" s="46"/>
      <c r="AL679" s="46"/>
      <c r="AM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c r="AA680" s="46"/>
      <c r="AB680" s="46"/>
      <c r="AC680" s="46"/>
      <c r="AD680" s="46"/>
      <c r="AE680" s="46"/>
      <c r="AF680" s="46"/>
      <c r="AG680" s="46"/>
      <c r="AH680" s="46"/>
      <c r="AI680" s="46"/>
      <c r="AJ680" s="46"/>
      <c r="AK680" s="46"/>
      <c r="AL680" s="46"/>
      <c r="AM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c r="AA681" s="46"/>
      <c r="AB681" s="46"/>
      <c r="AC681" s="46"/>
      <c r="AD681" s="46"/>
      <c r="AE681" s="46"/>
      <c r="AF681" s="46"/>
      <c r="AG681" s="46"/>
      <c r="AH681" s="46"/>
      <c r="AI681" s="46"/>
      <c r="AJ681" s="46"/>
      <c r="AK681" s="46"/>
      <c r="AL681" s="46"/>
      <c r="AM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c r="AA682" s="46"/>
      <c r="AB682" s="46"/>
      <c r="AC682" s="46"/>
      <c r="AD682" s="46"/>
      <c r="AE682" s="46"/>
      <c r="AF682" s="46"/>
      <c r="AG682" s="46"/>
      <c r="AH682" s="46"/>
      <c r="AI682" s="46"/>
      <c r="AJ682" s="46"/>
      <c r="AK682" s="46"/>
      <c r="AL682" s="46"/>
      <c r="AM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c r="AA683" s="46"/>
      <c r="AB683" s="46"/>
      <c r="AC683" s="46"/>
      <c r="AD683" s="46"/>
      <c r="AE683" s="46"/>
      <c r="AF683" s="46"/>
      <c r="AG683" s="46"/>
      <c r="AH683" s="46"/>
      <c r="AI683" s="46"/>
      <c r="AJ683" s="46"/>
      <c r="AK683" s="46"/>
      <c r="AL683" s="46"/>
      <c r="AM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c r="AA684" s="46"/>
      <c r="AB684" s="46"/>
      <c r="AC684" s="46"/>
      <c r="AD684" s="46"/>
      <c r="AE684" s="46"/>
      <c r="AF684" s="46"/>
      <c r="AG684" s="46"/>
      <c r="AH684" s="46"/>
      <c r="AI684" s="46"/>
      <c r="AJ684" s="46"/>
      <c r="AK684" s="46"/>
      <c r="AL684" s="46"/>
      <c r="AM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c r="AA685" s="46"/>
      <c r="AB685" s="46"/>
      <c r="AC685" s="46"/>
      <c r="AD685" s="46"/>
      <c r="AE685" s="46"/>
      <c r="AF685" s="46"/>
      <c r="AG685" s="46"/>
      <c r="AH685" s="46"/>
      <c r="AI685" s="46"/>
      <c r="AJ685" s="46"/>
      <c r="AK685" s="46"/>
      <c r="AL685" s="46"/>
      <c r="AM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c r="AA686" s="46"/>
      <c r="AB686" s="46"/>
      <c r="AC686" s="46"/>
      <c r="AD686" s="46"/>
      <c r="AE686" s="46"/>
      <c r="AF686" s="46"/>
      <c r="AG686" s="46"/>
      <c r="AH686" s="46"/>
      <c r="AI686" s="46"/>
      <c r="AJ686" s="46"/>
      <c r="AK686" s="46"/>
      <c r="AL686" s="46"/>
      <c r="AM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c r="AA687" s="46"/>
      <c r="AB687" s="46"/>
      <c r="AC687" s="46"/>
      <c r="AD687" s="46"/>
      <c r="AE687" s="46"/>
      <c r="AF687" s="46"/>
      <c r="AG687" s="46"/>
      <c r="AH687" s="46"/>
      <c r="AI687" s="46"/>
      <c r="AJ687" s="46"/>
      <c r="AK687" s="46"/>
      <c r="AL687" s="46"/>
      <c r="AM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c r="AA688" s="46"/>
      <c r="AB688" s="46"/>
      <c r="AC688" s="46"/>
      <c r="AD688" s="46"/>
      <c r="AE688" s="46"/>
      <c r="AF688" s="46"/>
      <c r="AG688" s="46"/>
      <c r="AH688" s="46"/>
      <c r="AI688" s="46"/>
      <c r="AJ688" s="46"/>
      <c r="AK688" s="46"/>
      <c r="AL688" s="46"/>
      <c r="AM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c r="AA689" s="46"/>
      <c r="AB689" s="46"/>
      <c r="AC689" s="46"/>
      <c r="AD689" s="46"/>
      <c r="AE689" s="46"/>
      <c r="AF689" s="46"/>
      <c r="AG689" s="46"/>
      <c r="AH689" s="46"/>
      <c r="AI689" s="46"/>
      <c r="AJ689" s="46"/>
      <c r="AK689" s="46"/>
      <c r="AL689" s="46"/>
      <c r="AM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c r="AA690" s="46"/>
      <c r="AB690" s="46"/>
      <c r="AC690" s="46"/>
      <c r="AD690" s="46"/>
      <c r="AE690" s="46"/>
      <c r="AF690" s="46"/>
      <c r="AG690" s="46"/>
      <c r="AH690" s="46"/>
      <c r="AI690" s="46"/>
      <c r="AJ690" s="46"/>
      <c r="AK690" s="46"/>
      <c r="AL690" s="46"/>
      <c r="AM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c r="AA691" s="46"/>
      <c r="AB691" s="46"/>
      <c r="AC691" s="46"/>
      <c r="AD691" s="46"/>
      <c r="AE691" s="46"/>
      <c r="AF691" s="46"/>
      <c r="AG691" s="46"/>
      <c r="AH691" s="46"/>
      <c r="AI691" s="46"/>
      <c r="AJ691" s="46"/>
      <c r="AK691" s="46"/>
      <c r="AL691" s="46"/>
      <c r="AM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c r="AA692" s="46"/>
      <c r="AB692" s="46"/>
      <c r="AC692" s="46"/>
      <c r="AD692" s="46"/>
      <c r="AE692" s="46"/>
      <c r="AF692" s="46"/>
      <c r="AG692" s="46"/>
      <c r="AH692" s="46"/>
      <c r="AI692" s="46"/>
      <c r="AJ692" s="46"/>
      <c r="AK692" s="46"/>
      <c r="AL692" s="46"/>
      <c r="AM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c r="AA693" s="46"/>
      <c r="AB693" s="46"/>
      <c r="AC693" s="46"/>
      <c r="AD693" s="46"/>
      <c r="AE693" s="46"/>
      <c r="AF693" s="46"/>
      <c r="AG693" s="46"/>
      <c r="AH693" s="46"/>
      <c r="AI693" s="46"/>
      <c r="AJ693" s="46"/>
      <c r="AK693" s="46"/>
      <c r="AL693" s="46"/>
      <c r="AM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c r="AA694" s="46"/>
      <c r="AB694" s="46"/>
      <c r="AC694" s="46"/>
      <c r="AD694" s="46"/>
      <c r="AE694" s="46"/>
      <c r="AF694" s="46"/>
      <c r="AG694" s="46"/>
      <c r="AH694" s="46"/>
      <c r="AI694" s="46"/>
      <c r="AJ694" s="46"/>
      <c r="AK694" s="46"/>
      <c r="AL694" s="46"/>
      <c r="AM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c r="AA695" s="46"/>
      <c r="AB695" s="46"/>
      <c r="AC695" s="46"/>
      <c r="AD695" s="46"/>
      <c r="AE695" s="46"/>
      <c r="AF695" s="46"/>
      <c r="AG695" s="46"/>
      <c r="AH695" s="46"/>
      <c r="AI695" s="46"/>
      <c r="AJ695" s="46"/>
      <c r="AK695" s="46"/>
      <c r="AL695" s="46"/>
      <c r="AM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c r="AA696" s="46"/>
      <c r="AB696" s="46"/>
      <c r="AC696" s="46"/>
      <c r="AD696" s="46"/>
      <c r="AE696" s="46"/>
      <c r="AF696" s="46"/>
      <c r="AG696" s="46"/>
      <c r="AH696" s="46"/>
      <c r="AI696" s="46"/>
      <c r="AJ696" s="46"/>
      <c r="AK696" s="46"/>
      <c r="AL696" s="46"/>
      <c r="AM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c r="AA697" s="46"/>
      <c r="AB697" s="46"/>
      <c r="AC697" s="46"/>
      <c r="AD697" s="46"/>
      <c r="AE697" s="46"/>
      <c r="AF697" s="46"/>
      <c r="AG697" s="46"/>
      <c r="AH697" s="46"/>
      <c r="AI697" s="46"/>
      <c r="AJ697" s="46"/>
      <c r="AK697" s="46"/>
      <c r="AL697" s="46"/>
      <c r="AM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c r="AA698" s="46"/>
      <c r="AB698" s="46"/>
      <c r="AC698" s="46"/>
      <c r="AD698" s="46"/>
      <c r="AE698" s="46"/>
      <c r="AF698" s="46"/>
      <c r="AG698" s="46"/>
      <c r="AH698" s="46"/>
      <c r="AI698" s="46"/>
      <c r="AJ698" s="46"/>
      <c r="AK698" s="46"/>
      <c r="AL698" s="46"/>
      <c r="AM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c r="AA699" s="46"/>
      <c r="AB699" s="46"/>
      <c r="AC699" s="46"/>
      <c r="AD699" s="46"/>
      <c r="AE699" s="46"/>
      <c r="AF699" s="46"/>
      <c r="AG699" s="46"/>
      <c r="AH699" s="46"/>
      <c r="AI699" s="46"/>
      <c r="AJ699" s="46"/>
      <c r="AK699" s="46"/>
      <c r="AL699" s="46"/>
      <c r="AM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c r="AA700" s="46"/>
      <c r="AB700" s="46"/>
      <c r="AC700" s="46"/>
      <c r="AD700" s="46"/>
      <c r="AE700" s="46"/>
      <c r="AF700" s="46"/>
      <c r="AG700" s="46"/>
      <c r="AH700" s="46"/>
      <c r="AI700" s="46"/>
      <c r="AJ700" s="46"/>
      <c r="AK700" s="46"/>
      <c r="AL700" s="46"/>
      <c r="AM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c r="AA701" s="46"/>
      <c r="AB701" s="46"/>
      <c r="AC701" s="46"/>
      <c r="AD701" s="46"/>
      <c r="AE701" s="46"/>
      <c r="AF701" s="46"/>
      <c r="AG701" s="46"/>
      <c r="AH701" s="46"/>
      <c r="AI701" s="46"/>
      <c r="AJ701" s="46"/>
      <c r="AK701" s="46"/>
      <c r="AL701" s="46"/>
      <c r="AM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c r="AA702" s="46"/>
      <c r="AB702" s="46"/>
      <c r="AC702" s="46"/>
      <c r="AD702" s="46"/>
      <c r="AE702" s="46"/>
      <c r="AF702" s="46"/>
      <c r="AG702" s="46"/>
      <c r="AH702" s="46"/>
      <c r="AI702" s="46"/>
      <c r="AJ702" s="46"/>
      <c r="AK702" s="46"/>
      <c r="AL702" s="46"/>
      <c r="AM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c r="AA703" s="46"/>
      <c r="AB703" s="46"/>
      <c r="AC703" s="46"/>
      <c r="AD703" s="46"/>
      <c r="AE703" s="46"/>
      <c r="AF703" s="46"/>
      <c r="AG703" s="46"/>
      <c r="AH703" s="46"/>
      <c r="AI703" s="46"/>
      <c r="AJ703" s="46"/>
      <c r="AK703" s="46"/>
      <c r="AL703" s="46"/>
      <c r="AM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c r="AA704" s="46"/>
      <c r="AB704" s="46"/>
      <c r="AC704" s="46"/>
      <c r="AD704" s="46"/>
      <c r="AE704" s="46"/>
      <c r="AF704" s="46"/>
      <c r="AG704" s="46"/>
      <c r="AH704" s="46"/>
      <c r="AI704" s="46"/>
      <c r="AJ704" s="46"/>
      <c r="AK704" s="46"/>
      <c r="AL704" s="46"/>
      <c r="AM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c r="AA705" s="46"/>
      <c r="AB705" s="46"/>
      <c r="AC705" s="46"/>
      <c r="AD705" s="46"/>
      <c r="AE705" s="46"/>
      <c r="AF705" s="46"/>
      <c r="AG705" s="46"/>
      <c r="AH705" s="46"/>
      <c r="AI705" s="46"/>
      <c r="AJ705" s="46"/>
      <c r="AK705" s="46"/>
      <c r="AL705" s="46"/>
      <c r="AM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c r="AA706" s="46"/>
      <c r="AB706" s="46"/>
      <c r="AC706" s="46"/>
      <c r="AD706" s="46"/>
      <c r="AE706" s="46"/>
      <c r="AF706" s="46"/>
      <c r="AG706" s="46"/>
      <c r="AH706" s="46"/>
      <c r="AI706" s="46"/>
      <c r="AJ706" s="46"/>
      <c r="AK706" s="46"/>
      <c r="AL706" s="46"/>
      <c r="AM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c r="AA707" s="46"/>
      <c r="AB707" s="46"/>
      <c r="AC707" s="46"/>
      <c r="AD707" s="46"/>
      <c r="AE707" s="46"/>
      <c r="AF707" s="46"/>
      <c r="AG707" s="46"/>
      <c r="AH707" s="46"/>
      <c r="AI707" s="46"/>
      <c r="AJ707" s="46"/>
      <c r="AK707" s="46"/>
      <c r="AL707" s="46"/>
      <c r="AM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c r="AA708" s="46"/>
      <c r="AB708" s="46"/>
      <c r="AC708" s="46"/>
      <c r="AD708" s="46"/>
      <c r="AE708" s="46"/>
      <c r="AF708" s="46"/>
      <c r="AG708" s="46"/>
      <c r="AH708" s="46"/>
      <c r="AI708" s="46"/>
      <c r="AJ708" s="46"/>
      <c r="AK708" s="46"/>
      <c r="AL708" s="46"/>
      <c r="AM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c r="AA709" s="46"/>
      <c r="AB709" s="46"/>
      <c r="AC709" s="46"/>
      <c r="AD709" s="46"/>
      <c r="AE709" s="46"/>
      <c r="AF709" s="46"/>
      <c r="AG709" s="46"/>
      <c r="AH709" s="46"/>
      <c r="AI709" s="46"/>
      <c r="AJ709" s="46"/>
      <c r="AK709" s="46"/>
      <c r="AL709" s="46"/>
      <c r="AM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c r="AA710" s="46"/>
      <c r="AB710" s="46"/>
      <c r="AC710" s="46"/>
      <c r="AD710" s="46"/>
      <c r="AE710" s="46"/>
      <c r="AF710" s="46"/>
      <c r="AG710" s="46"/>
      <c r="AH710" s="46"/>
      <c r="AI710" s="46"/>
      <c r="AJ710" s="46"/>
      <c r="AK710" s="46"/>
      <c r="AL710" s="46"/>
      <c r="AM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c r="AA711" s="46"/>
      <c r="AB711" s="46"/>
      <c r="AC711" s="46"/>
      <c r="AD711" s="46"/>
      <c r="AE711" s="46"/>
      <c r="AF711" s="46"/>
      <c r="AG711" s="46"/>
      <c r="AH711" s="46"/>
      <c r="AI711" s="46"/>
      <c r="AJ711" s="46"/>
      <c r="AK711" s="46"/>
      <c r="AL711" s="46"/>
      <c r="AM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c r="AA712" s="46"/>
      <c r="AB712" s="46"/>
      <c r="AC712" s="46"/>
      <c r="AD712" s="46"/>
      <c r="AE712" s="46"/>
      <c r="AF712" s="46"/>
      <c r="AG712" s="46"/>
      <c r="AH712" s="46"/>
      <c r="AI712" s="46"/>
      <c r="AJ712" s="46"/>
      <c r="AK712" s="46"/>
      <c r="AL712" s="46"/>
      <c r="AM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c r="AA713" s="46"/>
      <c r="AB713" s="46"/>
      <c r="AC713" s="46"/>
      <c r="AD713" s="46"/>
      <c r="AE713" s="46"/>
      <c r="AF713" s="46"/>
      <c r="AG713" s="46"/>
      <c r="AH713" s="46"/>
      <c r="AI713" s="46"/>
      <c r="AJ713" s="46"/>
      <c r="AK713" s="46"/>
      <c r="AL713" s="46"/>
      <c r="AM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c r="AA714" s="46"/>
      <c r="AB714" s="46"/>
      <c r="AC714" s="46"/>
      <c r="AD714" s="46"/>
      <c r="AE714" s="46"/>
      <c r="AF714" s="46"/>
      <c r="AG714" s="46"/>
      <c r="AH714" s="46"/>
      <c r="AI714" s="46"/>
      <c r="AJ714" s="46"/>
      <c r="AK714" s="46"/>
      <c r="AL714" s="46"/>
      <c r="AM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c r="AA715" s="46"/>
      <c r="AB715" s="46"/>
      <c r="AC715" s="46"/>
      <c r="AD715" s="46"/>
      <c r="AE715" s="46"/>
      <c r="AF715" s="46"/>
      <c r="AG715" s="46"/>
      <c r="AH715" s="46"/>
      <c r="AI715" s="46"/>
      <c r="AJ715" s="46"/>
      <c r="AK715" s="46"/>
      <c r="AL715" s="46"/>
      <c r="AM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c r="AA716" s="46"/>
      <c r="AB716" s="46"/>
      <c r="AC716" s="46"/>
      <c r="AD716" s="46"/>
      <c r="AE716" s="46"/>
      <c r="AF716" s="46"/>
      <c r="AG716" s="46"/>
      <c r="AH716" s="46"/>
      <c r="AI716" s="46"/>
      <c r="AJ716" s="46"/>
      <c r="AK716" s="46"/>
      <c r="AL716" s="46"/>
      <c r="AM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c r="AA717" s="46"/>
      <c r="AB717" s="46"/>
      <c r="AC717" s="46"/>
      <c r="AD717" s="46"/>
      <c r="AE717" s="46"/>
      <c r="AF717" s="46"/>
      <c r="AG717" s="46"/>
      <c r="AH717" s="46"/>
      <c r="AI717" s="46"/>
      <c r="AJ717" s="46"/>
      <c r="AK717" s="46"/>
      <c r="AL717" s="46"/>
      <c r="AM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c r="AA718" s="46"/>
      <c r="AB718" s="46"/>
      <c r="AC718" s="46"/>
      <c r="AD718" s="46"/>
      <c r="AE718" s="46"/>
      <c r="AF718" s="46"/>
      <c r="AG718" s="46"/>
      <c r="AH718" s="46"/>
      <c r="AI718" s="46"/>
      <c r="AJ718" s="46"/>
      <c r="AK718" s="46"/>
      <c r="AL718" s="46"/>
      <c r="AM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c r="AA719" s="46"/>
      <c r="AB719" s="46"/>
      <c r="AC719" s="46"/>
      <c r="AD719" s="46"/>
      <c r="AE719" s="46"/>
      <c r="AF719" s="46"/>
      <c r="AG719" s="46"/>
      <c r="AH719" s="46"/>
      <c r="AI719" s="46"/>
      <c r="AJ719" s="46"/>
      <c r="AK719" s="46"/>
      <c r="AL719" s="46"/>
      <c r="AM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c r="AA720" s="46"/>
      <c r="AB720" s="46"/>
      <c r="AC720" s="46"/>
      <c r="AD720" s="46"/>
      <c r="AE720" s="46"/>
      <c r="AF720" s="46"/>
      <c r="AG720" s="46"/>
      <c r="AH720" s="46"/>
      <c r="AI720" s="46"/>
      <c r="AJ720" s="46"/>
      <c r="AK720" s="46"/>
      <c r="AL720" s="46"/>
      <c r="AM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c r="AA721" s="46"/>
      <c r="AB721" s="46"/>
      <c r="AC721" s="46"/>
      <c r="AD721" s="46"/>
      <c r="AE721" s="46"/>
      <c r="AF721" s="46"/>
      <c r="AG721" s="46"/>
      <c r="AH721" s="46"/>
      <c r="AI721" s="46"/>
      <c r="AJ721" s="46"/>
      <c r="AK721" s="46"/>
      <c r="AL721" s="46"/>
      <c r="AM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c r="AA722" s="46"/>
      <c r="AB722" s="46"/>
      <c r="AC722" s="46"/>
      <c r="AD722" s="46"/>
      <c r="AE722" s="46"/>
      <c r="AF722" s="46"/>
      <c r="AG722" s="46"/>
      <c r="AH722" s="46"/>
      <c r="AI722" s="46"/>
      <c r="AJ722" s="46"/>
      <c r="AK722" s="46"/>
      <c r="AL722" s="46"/>
      <c r="AM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c r="AA723" s="46"/>
      <c r="AB723" s="46"/>
      <c r="AC723" s="46"/>
      <c r="AD723" s="46"/>
      <c r="AE723" s="46"/>
      <c r="AF723" s="46"/>
      <c r="AG723" s="46"/>
      <c r="AH723" s="46"/>
      <c r="AI723" s="46"/>
      <c r="AJ723" s="46"/>
      <c r="AK723" s="46"/>
      <c r="AL723" s="46"/>
      <c r="AM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c r="AA724" s="46"/>
      <c r="AB724" s="46"/>
      <c r="AC724" s="46"/>
      <c r="AD724" s="46"/>
      <c r="AE724" s="46"/>
      <c r="AF724" s="46"/>
      <c r="AG724" s="46"/>
      <c r="AH724" s="46"/>
      <c r="AI724" s="46"/>
      <c r="AJ724" s="46"/>
      <c r="AK724" s="46"/>
      <c r="AL724" s="46"/>
      <c r="AM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c r="AA725" s="46"/>
      <c r="AB725" s="46"/>
      <c r="AC725" s="46"/>
      <c r="AD725" s="46"/>
      <c r="AE725" s="46"/>
      <c r="AF725" s="46"/>
      <c r="AG725" s="46"/>
      <c r="AH725" s="46"/>
      <c r="AI725" s="46"/>
      <c r="AJ725" s="46"/>
      <c r="AK725" s="46"/>
      <c r="AL725" s="46"/>
      <c r="AM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c r="AA726" s="46"/>
      <c r="AB726" s="46"/>
      <c r="AC726" s="46"/>
      <c r="AD726" s="46"/>
      <c r="AE726" s="46"/>
      <c r="AF726" s="46"/>
      <c r="AG726" s="46"/>
      <c r="AH726" s="46"/>
      <c r="AI726" s="46"/>
      <c r="AJ726" s="46"/>
      <c r="AK726" s="46"/>
      <c r="AL726" s="46"/>
      <c r="AM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c r="AA727" s="46"/>
      <c r="AB727" s="46"/>
      <c r="AC727" s="46"/>
      <c r="AD727" s="46"/>
      <c r="AE727" s="46"/>
      <c r="AF727" s="46"/>
      <c r="AG727" s="46"/>
      <c r="AH727" s="46"/>
      <c r="AI727" s="46"/>
      <c r="AJ727" s="46"/>
      <c r="AK727" s="46"/>
      <c r="AL727" s="46"/>
      <c r="AM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c r="AA728" s="46"/>
      <c r="AB728" s="46"/>
      <c r="AC728" s="46"/>
      <c r="AD728" s="46"/>
      <c r="AE728" s="46"/>
      <c r="AF728" s="46"/>
      <c r="AG728" s="46"/>
      <c r="AH728" s="46"/>
      <c r="AI728" s="46"/>
      <c r="AJ728" s="46"/>
      <c r="AK728" s="46"/>
      <c r="AL728" s="46"/>
      <c r="AM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c r="AA729" s="46"/>
      <c r="AB729" s="46"/>
      <c r="AC729" s="46"/>
      <c r="AD729" s="46"/>
      <c r="AE729" s="46"/>
      <c r="AF729" s="46"/>
      <c r="AG729" s="46"/>
      <c r="AH729" s="46"/>
      <c r="AI729" s="46"/>
      <c r="AJ729" s="46"/>
      <c r="AK729" s="46"/>
      <c r="AL729" s="46"/>
      <c r="AM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c r="AA730" s="46"/>
      <c r="AB730" s="46"/>
      <c r="AC730" s="46"/>
      <c r="AD730" s="46"/>
      <c r="AE730" s="46"/>
      <c r="AF730" s="46"/>
      <c r="AG730" s="46"/>
      <c r="AH730" s="46"/>
      <c r="AI730" s="46"/>
      <c r="AJ730" s="46"/>
      <c r="AK730" s="46"/>
      <c r="AL730" s="46"/>
      <c r="AM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c r="AA731" s="46"/>
      <c r="AB731" s="46"/>
      <c r="AC731" s="46"/>
      <c r="AD731" s="46"/>
      <c r="AE731" s="46"/>
      <c r="AF731" s="46"/>
      <c r="AG731" s="46"/>
      <c r="AH731" s="46"/>
      <c r="AI731" s="46"/>
      <c r="AJ731" s="46"/>
      <c r="AK731" s="46"/>
      <c r="AL731" s="46"/>
      <c r="AM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c r="AA732" s="46"/>
      <c r="AB732" s="46"/>
      <c r="AC732" s="46"/>
      <c r="AD732" s="46"/>
      <c r="AE732" s="46"/>
      <c r="AF732" s="46"/>
      <c r="AG732" s="46"/>
      <c r="AH732" s="46"/>
      <c r="AI732" s="46"/>
      <c r="AJ732" s="46"/>
      <c r="AK732" s="46"/>
      <c r="AL732" s="46"/>
      <c r="AM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c r="AA733" s="46"/>
      <c r="AB733" s="46"/>
      <c r="AC733" s="46"/>
      <c r="AD733" s="46"/>
      <c r="AE733" s="46"/>
      <c r="AF733" s="46"/>
      <c r="AG733" s="46"/>
      <c r="AH733" s="46"/>
      <c r="AI733" s="46"/>
      <c r="AJ733" s="46"/>
      <c r="AK733" s="46"/>
      <c r="AL733" s="46"/>
      <c r="AM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c r="AA734" s="46"/>
      <c r="AB734" s="46"/>
      <c r="AC734" s="46"/>
      <c r="AD734" s="46"/>
      <c r="AE734" s="46"/>
      <c r="AF734" s="46"/>
      <c r="AG734" s="46"/>
      <c r="AH734" s="46"/>
      <c r="AI734" s="46"/>
      <c r="AJ734" s="46"/>
      <c r="AK734" s="46"/>
      <c r="AL734" s="46"/>
      <c r="AM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c r="AA735" s="46"/>
      <c r="AB735" s="46"/>
      <c r="AC735" s="46"/>
      <c r="AD735" s="46"/>
      <c r="AE735" s="46"/>
      <c r="AF735" s="46"/>
      <c r="AG735" s="46"/>
      <c r="AH735" s="46"/>
      <c r="AI735" s="46"/>
      <c r="AJ735" s="46"/>
      <c r="AK735" s="46"/>
      <c r="AL735" s="46"/>
      <c r="AM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c r="AA736" s="46"/>
      <c r="AB736" s="46"/>
      <c r="AC736" s="46"/>
      <c r="AD736" s="46"/>
      <c r="AE736" s="46"/>
      <c r="AF736" s="46"/>
      <c r="AG736" s="46"/>
      <c r="AH736" s="46"/>
      <c r="AI736" s="46"/>
      <c r="AJ736" s="46"/>
      <c r="AK736" s="46"/>
      <c r="AL736" s="46"/>
      <c r="AM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c r="AA737" s="46"/>
      <c r="AB737" s="46"/>
      <c r="AC737" s="46"/>
      <c r="AD737" s="46"/>
      <c r="AE737" s="46"/>
      <c r="AF737" s="46"/>
      <c r="AG737" s="46"/>
      <c r="AH737" s="46"/>
      <c r="AI737" s="46"/>
      <c r="AJ737" s="46"/>
      <c r="AK737" s="46"/>
      <c r="AL737" s="46"/>
      <c r="AM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c r="AA738" s="46"/>
      <c r="AB738" s="46"/>
      <c r="AC738" s="46"/>
      <c r="AD738" s="46"/>
      <c r="AE738" s="46"/>
      <c r="AF738" s="46"/>
      <c r="AG738" s="46"/>
      <c r="AH738" s="46"/>
      <c r="AI738" s="46"/>
      <c r="AJ738" s="46"/>
      <c r="AK738" s="46"/>
      <c r="AL738" s="46"/>
      <c r="AM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c r="AA739" s="46"/>
      <c r="AB739" s="46"/>
      <c r="AC739" s="46"/>
      <c r="AD739" s="46"/>
      <c r="AE739" s="46"/>
      <c r="AF739" s="46"/>
      <c r="AG739" s="46"/>
      <c r="AH739" s="46"/>
      <c r="AI739" s="46"/>
      <c r="AJ739" s="46"/>
      <c r="AK739" s="46"/>
      <c r="AL739" s="46"/>
      <c r="AM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c r="AA740" s="46"/>
      <c r="AB740" s="46"/>
      <c r="AC740" s="46"/>
      <c r="AD740" s="46"/>
      <c r="AE740" s="46"/>
      <c r="AF740" s="46"/>
      <c r="AG740" s="46"/>
      <c r="AH740" s="46"/>
      <c r="AI740" s="46"/>
      <c r="AJ740" s="46"/>
      <c r="AK740" s="46"/>
      <c r="AL740" s="46"/>
      <c r="AM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c r="AA741" s="46"/>
      <c r="AB741" s="46"/>
      <c r="AC741" s="46"/>
      <c r="AD741" s="46"/>
      <c r="AE741" s="46"/>
      <c r="AF741" s="46"/>
      <c r="AG741" s="46"/>
      <c r="AH741" s="46"/>
      <c r="AI741" s="46"/>
      <c r="AJ741" s="46"/>
      <c r="AK741" s="46"/>
      <c r="AL741" s="46"/>
      <c r="AM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c r="AA742" s="46"/>
      <c r="AB742" s="46"/>
      <c r="AC742" s="46"/>
      <c r="AD742" s="46"/>
      <c r="AE742" s="46"/>
      <c r="AF742" s="46"/>
      <c r="AG742" s="46"/>
      <c r="AH742" s="46"/>
      <c r="AI742" s="46"/>
      <c r="AJ742" s="46"/>
      <c r="AK742" s="46"/>
      <c r="AL742" s="46"/>
      <c r="AM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c r="AA743" s="46"/>
      <c r="AB743" s="46"/>
      <c r="AC743" s="46"/>
      <c r="AD743" s="46"/>
      <c r="AE743" s="46"/>
      <c r="AF743" s="46"/>
      <c r="AG743" s="46"/>
      <c r="AH743" s="46"/>
      <c r="AI743" s="46"/>
      <c r="AJ743" s="46"/>
      <c r="AK743" s="46"/>
      <c r="AL743" s="46"/>
      <c r="AM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c r="AA744" s="46"/>
      <c r="AB744" s="46"/>
      <c r="AC744" s="46"/>
      <c r="AD744" s="46"/>
      <c r="AE744" s="46"/>
      <c r="AF744" s="46"/>
      <c r="AG744" s="46"/>
      <c r="AH744" s="46"/>
      <c r="AI744" s="46"/>
      <c r="AJ744" s="46"/>
      <c r="AK744" s="46"/>
      <c r="AL744" s="46"/>
      <c r="AM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c r="AA745" s="46"/>
      <c r="AB745" s="46"/>
      <c r="AC745" s="46"/>
      <c r="AD745" s="46"/>
      <c r="AE745" s="46"/>
      <c r="AF745" s="46"/>
      <c r="AG745" s="46"/>
      <c r="AH745" s="46"/>
      <c r="AI745" s="46"/>
      <c r="AJ745" s="46"/>
      <c r="AK745" s="46"/>
      <c r="AL745" s="46"/>
      <c r="AM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c r="AA746" s="46"/>
      <c r="AB746" s="46"/>
      <c r="AC746" s="46"/>
      <c r="AD746" s="46"/>
      <c r="AE746" s="46"/>
      <c r="AF746" s="46"/>
      <c r="AG746" s="46"/>
      <c r="AH746" s="46"/>
      <c r="AI746" s="46"/>
      <c r="AJ746" s="46"/>
      <c r="AK746" s="46"/>
      <c r="AL746" s="46"/>
      <c r="AM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c r="AA747" s="46"/>
      <c r="AB747" s="46"/>
      <c r="AC747" s="46"/>
      <c r="AD747" s="46"/>
      <c r="AE747" s="46"/>
      <c r="AF747" s="46"/>
      <c r="AG747" s="46"/>
      <c r="AH747" s="46"/>
      <c r="AI747" s="46"/>
      <c r="AJ747" s="46"/>
      <c r="AK747" s="46"/>
      <c r="AL747" s="46"/>
      <c r="AM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c r="AA748" s="46"/>
      <c r="AB748" s="46"/>
      <c r="AC748" s="46"/>
      <c r="AD748" s="46"/>
      <c r="AE748" s="46"/>
      <c r="AF748" s="46"/>
      <c r="AG748" s="46"/>
      <c r="AH748" s="46"/>
      <c r="AI748" s="46"/>
      <c r="AJ748" s="46"/>
      <c r="AK748" s="46"/>
      <c r="AL748" s="46"/>
      <c r="AM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c r="AA749" s="46"/>
      <c r="AB749" s="46"/>
      <c r="AC749" s="46"/>
      <c r="AD749" s="46"/>
      <c r="AE749" s="46"/>
      <c r="AF749" s="46"/>
      <c r="AG749" s="46"/>
      <c r="AH749" s="46"/>
      <c r="AI749" s="46"/>
      <c r="AJ749" s="46"/>
      <c r="AK749" s="46"/>
      <c r="AL749" s="46"/>
      <c r="AM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c r="AA750" s="46"/>
      <c r="AB750" s="46"/>
      <c r="AC750" s="46"/>
      <c r="AD750" s="46"/>
      <c r="AE750" s="46"/>
      <c r="AF750" s="46"/>
      <c r="AG750" s="46"/>
      <c r="AH750" s="46"/>
      <c r="AI750" s="46"/>
      <c r="AJ750" s="46"/>
      <c r="AK750" s="46"/>
      <c r="AL750" s="46"/>
      <c r="AM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c r="AA751" s="46"/>
      <c r="AB751" s="46"/>
      <c r="AC751" s="46"/>
      <c r="AD751" s="46"/>
      <c r="AE751" s="46"/>
      <c r="AF751" s="46"/>
      <c r="AG751" s="46"/>
      <c r="AH751" s="46"/>
      <c r="AI751" s="46"/>
      <c r="AJ751" s="46"/>
      <c r="AK751" s="46"/>
      <c r="AL751" s="46"/>
      <c r="AM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c r="AA752" s="46"/>
      <c r="AB752" s="46"/>
      <c r="AC752" s="46"/>
      <c r="AD752" s="46"/>
      <c r="AE752" s="46"/>
      <c r="AF752" s="46"/>
      <c r="AG752" s="46"/>
      <c r="AH752" s="46"/>
      <c r="AI752" s="46"/>
      <c r="AJ752" s="46"/>
      <c r="AK752" s="46"/>
      <c r="AL752" s="46"/>
      <c r="AM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c r="AA753" s="46"/>
      <c r="AB753" s="46"/>
      <c r="AC753" s="46"/>
      <c r="AD753" s="46"/>
      <c r="AE753" s="46"/>
      <c r="AF753" s="46"/>
      <c r="AG753" s="46"/>
      <c r="AH753" s="46"/>
      <c r="AI753" s="46"/>
      <c r="AJ753" s="46"/>
      <c r="AK753" s="46"/>
      <c r="AL753" s="46"/>
      <c r="AM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c r="AA754" s="46"/>
      <c r="AB754" s="46"/>
      <c r="AC754" s="46"/>
      <c r="AD754" s="46"/>
      <c r="AE754" s="46"/>
      <c r="AF754" s="46"/>
      <c r="AG754" s="46"/>
      <c r="AH754" s="46"/>
      <c r="AI754" s="46"/>
      <c r="AJ754" s="46"/>
      <c r="AK754" s="46"/>
      <c r="AL754" s="46"/>
      <c r="AM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c r="AA755" s="46"/>
      <c r="AB755" s="46"/>
      <c r="AC755" s="46"/>
      <c r="AD755" s="46"/>
      <c r="AE755" s="46"/>
      <c r="AF755" s="46"/>
      <c r="AG755" s="46"/>
      <c r="AH755" s="46"/>
      <c r="AI755" s="46"/>
      <c r="AJ755" s="46"/>
      <c r="AK755" s="46"/>
      <c r="AL755" s="46"/>
      <c r="AM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c r="AA756" s="46"/>
      <c r="AB756" s="46"/>
      <c r="AC756" s="46"/>
      <c r="AD756" s="46"/>
      <c r="AE756" s="46"/>
      <c r="AF756" s="46"/>
      <c r="AG756" s="46"/>
      <c r="AH756" s="46"/>
      <c r="AI756" s="46"/>
      <c r="AJ756" s="46"/>
      <c r="AK756" s="46"/>
      <c r="AL756" s="46"/>
      <c r="AM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c r="AA757" s="46"/>
      <c r="AB757" s="46"/>
      <c r="AC757" s="46"/>
      <c r="AD757" s="46"/>
      <c r="AE757" s="46"/>
      <c r="AF757" s="46"/>
      <c r="AG757" s="46"/>
      <c r="AH757" s="46"/>
      <c r="AI757" s="46"/>
      <c r="AJ757" s="46"/>
      <c r="AK757" s="46"/>
      <c r="AL757" s="46"/>
      <c r="AM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c r="AA758" s="46"/>
      <c r="AB758" s="46"/>
      <c r="AC758" s="46"/>
      <c r="AD758" s="46"/>
      <c r="AE758" s="46"/>
      <c r="AF758" s="46"/>
      <c r="AG758" s="46"/>
      <c r="AH758" s="46"/>
      <c r="AI758" s="46"/>
      <c r="AJ758" s="46"/>
      <c r="AK758" s="46"/>
      <c r="AL758" s="46"/>
      <c r="AM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c r="AA759" s="46"/>
      <c r="AB759" s="46"/>
      <c r="AC759" s="46"/>
      <c r="AD759" s="46"/>
      <c r="AE759" s="46"/>
      <c r="AF759" s="46"/>
      <c r="AG759" s="46"/>
      <c r="AH759" s="46"/>
      <c r="AI759" s="46"/>
      <c r="AJ759" s="46"/>
      <c r="AK759" s="46"/>
      <c r="AL759" s="46"/>
      <c r="AM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c r="AA760" s="46"/>
      <c r="AB760" s="46"/>
      <c r="AC760" s="46"/>
      <c r="AD760" s="46"/>
      <c r="AE760" s="46"/>
      <c r="AF760" s="46"/>
      <c r="AG760" s="46"/>
      <c r="AH760" s="46"/>
      <c r="AI760" s="46"/>
      <c r="AJ760" s="46"/>
      <c r="AK760" s="46"/>
      <c r="AL760" s="46"/>
      <c r="AM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c r="AA761" s="46"/>
      <c r="AB761" s="46"/>
      <c r="AC761" s="46"/>
      <c r="AD761" s="46"/>
      <c r="AE761" s="46"/>
      <c r="AF761" s="46"/>
      <c r="AG761" s="46"/>
      <c r="AH761" s="46"/>
      <c r="AI761" s="46"/>
      <c r="AJ761" s="46"/>
      <c r="AK761" s="46"/>
      <c r="AL761" s="46"/>
      <c r="AM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c r="AA762" s="46"/>
      <c r="AB762" s="46"/>
      <c r="AC762" s="46"/>
      <c r="AD762" s="46"/>
      <c r="AE762" s="46"/>
      <c r="AF762" s="46"/>
      <c r="AG762" s="46"/>
      <c r="AH762" s="46"/>
      <c r="AI762" s="46"/>
      <c r="AJ762" s="46"/>
      <c r="AK762" s="46"/>
      <c r="AL762" s="46"/>
      <c r="AM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c r="AA763" s="46"/>
      <c r="AB763" s="46"/>
      <c r="AC763" s="46"/>
      <c r="AD763" s="46"/>
      <c r="AE763" s="46"/>
      <c r="AF763" s="46"/>
      <c r="AG763" s="46"/>
      <c r="AH763" s="46"/>
      <c r="AI763" s="46"/>
      <c r="AJ763" s="46"/>
      <c r="AK763" s="46"/>
      <c r="AL763" s="46"/>
      <c r="AM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c r="AA764" s="46"/>
      <c r="AB764" s="46"/>
      <c r="AC764" s="46"/>
      <c r="AD764" s="46"/>
      <c r="AE764" s="46"/>
      <c r="AF764" s="46"/>
      <c r="AG764" s="46"/>
      <c r="AH764" s="46"/>
      <c r="AI764" s="46"/>
      <c r="AJ764" s="46"/>
      <c r="AK764" s="46"/>
      <c r="AL764" s="46"/>
      <c r="AM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c r="AA765" s="46"/>
      <c r="AB765" s="46"/>
      <c r="AC765" s="46"/>
      <c r="AD765" s="46"/>
      <c r="AE765" s="46"/>
      <c r="AF765" s="46"/>
      <c r="AG765" s="46"/>
      <c r="AH765" s="46"/>
      <c r="AI765" s="46"/>
      <c r="AJ765" s="46"/>
      <c r="AK765" s="46"/>
      <c r="AL765" s="46"/>
      <c r="AM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c r="AA766" s="46"/>
      <c r="AB766" s="46"/>
      <c r="AC766" s="46"/>
      <c r="AD766" s="46"/>
      <c r="AE766" s="46"/>
      <c r="AF766" s="46"/>
      <c r="AG766" s="46"/>
      <c r="AH766" s="46"/>
      <c r="AI766" s="46"/>
      <c r="AJ766" s="46"/>
      <c r="AK766" s="46"/>
      <c r="AL766" s="46"/>
      <c r="AM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c r="AA767" s="46"/>
      <c r="AB767" s="46"/>
      <c r="AC767" s="46"/>
      <c r="AD767" s="46"/>
      <c r="AE767" s="46"/>
      <c r="AF767" s="46"/>
      <c r="AG767" s="46"/>
      <c r="AH767" s="46"/>
      <c r="AI767" s="46"/>
      <c r="AJ767" s="46"/>
      <c r="AK767" s="46"/>
      <c r="AL767" s="46"/>
      <c r="AM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c r="AA768" s="46"/>
      <c r="AB768" s="46"/>
      <c r="AC768" s="46"/>
      <c r="AD768" s="46"/>
      <c r="AE768" s="46"/>
      <c r="AF768" s="46"/>
      <c r="AG768" s="46"/>
      <c r="AH768" s="46"/>
      <c r="AI768" s="46"/>
      <c r="AJ768" s="46"/>
      <c r="AK768" s="46"/>
      <c r="AL768" s="46"/>
      <c r="AM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c r="AA769" s="46"/>
      <c r="AB769" s="46"/>
      <c r="AC769" s="46"/>
      <c r="AD769" s="46"/>
      <c r="AE769" s="46"/>
      <c r="AF769" s="46"/>
      <c r="AG769" s="46"/>
      <c r="AH769" s="46"/>
      <c r="AI769" s="46"/>
      <c r="AJ769" s="46"/>
      <c r="AK769" s="46"/>
      <c r="AL769" s="46"/>
      <c r="AM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c r="AA770" s="46"/>
      <c r="AB770" s="46"/>
      <c r="AC770" s="46"/>
      <c r="AD770" s="46"/>
      <c r="AE770" s="46"/>
      <c r="AF770" s="46"/>
      <c r="AG770" s="46"/>
      <c r="AH770" s="46"/>
      <c r="AI770" s="46"/>
      <c r="AJ770" s="46"/>
      <c r="AK770" s="46"/>
      <c r="AL770" s="46"/>
      <c r="AM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c r="AA771" s="46"/>
      <c r="AB771" s="46"/>
      <c r="AC771" s="46"/>
      <c r="AD771" s="46"/>
      <c r="AE771" s="46"/>
      <c r="AF771" s="46"/>
      <c r="AG771" s="46"/>
      <c r="AH771" s="46"/>
      <c r="AI771" s="46"/>
      <c r="AJ771" s="46"/>
      <c r="AK771" s="46"/>
      <c r="AL771" s="46"/>
      <c r="AM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c r="AA772" s="46"/>
      <c r="AB772" s="46"/>
      <c r="AC772" s="46"/>
      <c r="AD772" s="46"/>
      <c r="AE772" s="46"/>
      <c r="AF772" s="46"/>
      <c r="AG772" s="46"/>
      <c r="AH772" s="46"/>
      <c r="AI772" s="46"/>
      <c r="AJ772" s="46"/>
      <c r="AK772" s="46"/>
      <c r="AL772" s="46"/>
      <c r="AM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c r="AA773" s="46"/>
      <c r="AB773" s="46"/>
      <c r="AC773" s="46"/>
      <c r="AD773" s="46"/>
      <c r="AE773" s="46"/>
      <c r="AF773" s="46"/>
      <c r="AG773" s="46"/>
      <c r="AH773" s="46"/>
      <c r="AI773" s="46"/>
      <c r="AJ773" s="46"/>
      <c r="AK773" s="46"/>
      <c r="AL773" s="46"/>
      <c r="AM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c r="AA774" s="46"/>
      <c r="AB774" s="46"/>
      <c r="AC774" s="46"/>
      <c r="AD774" s="46"/>
      <c r="AE774" s="46"/>
      <c r="AF774" s="46"/>
      <c r="AG774" s="46"/>
      <c r="AH774" s="46"/>
      <c r="AI774" s="46"/>
      <c r="AJ774" s="46"/>
      <c r="AK774" s="46"/>
      <c r="AL774" s="46"/>
      <c r="AM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c r="AA775" s="46"/>
      <c r="AB775" s="46"/>
      <c r="AC775" s="46"/>
      <c r="AD775" s="46"/>
      <c r="AE775" s="46"/>
      <c r="AF775" s="46"/>
      <c r="AG775" s="46"/>
      <c r="AH775" s="46"/>
      <c r="AI775" s="46"/>
      <c r="AJ775" s="46"/>
      <c r="AK775" s="46"/>
      <c r="AL775" s="46"/>
      <c r="AM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c r="AA776" s="46"/>
      <c r="AB776" s="46"/>
      <c r="AC776" s="46"/>
      <c r="AD776" s="46"/>
      <c r="AE776" s="46"/>
      <c r="AF776" s="46"/>
      <c r="AG776" s="46"/>
      <c r="AH776" s="46"/>
      <c r="AI776" s="46"/>
      <c r="AJ776" s="46"/>
      <c r="AK776" s="46"/>
      <c r="AL776" s="46"/>
      <c r="AM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c r="AA777" s="46"/>
      <c r="AB777" s="46"/>
      <c r="AC777" s="46"/>
      <c r="AD777" s="46"/>
      <c r="AE777" s="46"/>
      <c r="AF777" s="46"/>
      <c r="AG777" s="46"/>
      <c r="AH777" s="46"/>
      <c r="AI777" s="46"/>
      <c r="AJ777" s="46"/>
      <c r="AK777" s="46"/>
      <c r="AL777" s="46"/>
      <c r="AM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c r="AA778" s="46"/>
      <c r="AB778" s="46"/>
      <c r="AC778" s="46"/>
      <c r="AD778" s="46"/>
      <c r="AE778" s="46"/>
      <c r="AF778" s="46"/>
      <c r="AG778" s="46"/>
      <c r="AH778" s="46"/>
      <c r="AI778" s="46"/>
      <c r="AJ778" s="46"/>
      <c r="AK778" s="46"/>
      <c r="AL778" s="46"/>
      <c r="AM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c r="AA779" s="46"/>
      <c r="AB779" s="46"/>
      <c r="AC779" s="46"/>
      <c r="AD779" s="46"/>
      <c r="AE779" s="46"/>
      <c r="AF779" s="46"/>
      <c r="AG779" s="46"/>
      <c r="AH779" s="46"/>
      <c r="AI779" s="46"/>
      <c r="AJ779" s="46"/>
      <c r="AK779" s="46"/>
      <c r="AL779" s="46"/>
      <c r="AM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c r="AA780" s="46"/>
      <c r="AB780" s="46"/>
      <c r="AC780" s="46"/>
      <c r="AD780" s="46"/>
      <c r="AE780" s="46"/>
      <c r="AF780" s="46"/>
      <c r="AG780" s="46"/>
      <c r="AH780" s="46"/>
      <c r="AI780" s="46"/>
      <c r="AJ780" s="46"/>
      <c r="AK780" s="46"/>
      <c r="AL780" s="46"/>
      <c r="AM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c r="AA781" s="46"/>
      <c r="AB781" s="46"/>
      <c r="AC781" s="46"/>
      <c r="AD781" s="46"/>
      <c r="AE781" s="46"/>
      <c r="AF781" s="46"/>
      <c r="AG781" s="46"/>
      <c r="AH781" s="46"/>
      <c r="AI781" s="46"/>
      <c r="AJ781" s="46"/>
      <c r="AK781" s="46"/>
      <c r="AL781" s="46"/>
      <c r="AM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c r="AA782" s="46"/>
      <c r="AB782" s="46"/>
      <c r="AC782" s="46"/>
      <c r="AD782" s="46"/>
      <c r="AE782" s="46"/>
      <c r="AF782" s="46"/>
      <c r="AG782" s="46"/>
      <c r="AH782" s="46"/>
      <c r="AI782" s="46"/>
      <c r="AJ782" s="46"/>
      <c r="AK782" s="46"/>
      <c r="AL782" s="46"/>
      <c r="AM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c r="AA783" s="46"/>
      <c r="AB783" s="46"/>
      <c r="AC783" s="46"/>
      <c r="AD783" s="46"/>
      <c r="AE783" s="46"/>
      <c r="AF783" s="46"/>
      <c r="AG783" s="46"/>
      <c r="AH783" s="46"/>
      <c r="AI783" s="46"/>
      <c r="AJ783" s="46"/>
      <c r="AK783" s="46"/>
      <c r="AL783" s="46"/>
      <c r="AM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c r="AA784" s="46"/>
      <c r="AB784" s="46"/>
      <c r="AC784" s="46"/>
      <c r="AD784" s="46"/>
      <c r="AE784" s="46"/>
      <c r="AF784" s="46"/>
      <c r="AG784" s="46"/>
      <c r="AH784" s="46"/>
      <c r="AI784" s="46"/>
      <c r="AJ784" s="46"/>
      <c r="AK784" s="46"/>
      <c r="AL784" s="46"/>
      <c r="AM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c r="AA785" s="46"/>
      <c r="AB785" s="46"/>
      <c r="AC785" s="46"/>
      <c r="AD785" s="46"/>
      <c r="AE785" s="46"/>
      <c r="AF785" s="46"/>
      <c r="AG785" s="46"/>
      <c r="AH785" s="46"/>
      <c r="AI785" s="46"/>
      <c r="AJ785" s="46"/>
      <c r="AK785" s="46"/>
      <c r="AL785" s="46"/>
      <c r="AM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c r="AA786" s="46"/>
      <c r="AB786" s="46"/>
      <c r="AC786" s="46"/>
      <c r="AD786" s="46"/>
      <c r="AE786" s="46"/>
      <c r="AF786" s="46"/>
      <c r="AG786" s="46"/>
      <c r="AH786" s="46"/>
      <c r="AI786" s="46"/>
      <c r="AJ786" s="46"/>
      <c r="AK786" s="46"/>
      <c r="AL786" s="46"/>
      <c r="AM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c r="AA787" s="46"/>
      <c r="AB787" s="46"/>
      <c r="AC787" s="46"/>
      <c r="AD787" s="46"/>
      <c r="AE787" s="46"/>
      <c r="AF787" s="46"/>
      <c r="AG787" s="46"/>
      <c r="AH787" s="46"/>
      <c r="AI787" s="46"/>
      <c r="AJ787" s="46"/>
      <c r="AK787" s="46"/>
      <c r="AL787" s="46"/>
      <c r="AM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c r="AA788" s="46"/>
      <c r="AB788" s="46"/>
      <c r="AC788" s="46"/>
      <c r="AD788" s="46"/>
      <c r="AE788" s="46"/>
      <c r="AF788" s="46"/>
      <c r="AG788" s="46"/>
      <c r="AH788" s="46"/>
      <c r="AI788" s="46"/>
      <c r="AJ788" s="46"/>
      <c r="AK788" s="46"/>
      <c r="AL788" s="46"/>
      <c r="AM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c r="AA789" s="46"/>
      <c r="AB789" s="46"/>
      <c r="AC789" s="46"/>
      <c r="AD789" s="46"/>
      <c r="AE789" s="46"/>
      <c r="AF789" s="46"/>
      <c r="AG789" s="46"/>
      <c r="AH789" s="46"/>
      <c r="AI789" s="46"/>
      <c r="AJ789" s="46"/>
      <c r="AK789" s="46"/>
      <c r="AL789" s="46"/>
      <c r="AM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c r="AA790" s="46"/>
      <c r="AB790" s="46"/>
      <c r="AC790" s="46"/>
      <c r="AD790" s="46"/>
      <c r="AE790" s="46"/>
      <c r="AF790" s="46"/>
      <c r="AG790" s="46"/>
      <c r="AH790" s="46"/>
      <c r="AI790" s="46"/>
      <c r="AJ790" s="46"/>
      <c r="AK790" s="46"/>
      <c r="AL790" s="46"/>
      <c r="AM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c r="AA791" s="46"/>
      <c r="AB791" s="46"/>
      <c r="AC791" s="46"/>
      <c r="AD791" s="46"/>
      <c r="AE791" s="46"/>
      <c r="AF791" s="46"/>
      <c r="AG791" s="46"/>
      <c r="AH791" s="46"/>
      <c r="AI791" s="46"/>
      <c r="AJ791" s="46"/>
      <c r="AK791" s="46"/>
      <c r="AL791" s="46"/>
      <c r="AM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c r="AA792" s="46"/>
      <c r="AB792" s="46"/>
      <c r="AC792" s="46"/>
      <c r="AD792" s="46"/>
      <c r="AE792" s="46"/>
      <c r="AF792" s="46"/>
      <c r="AG792" s="46"/>
      <c r="AH792" s="46"/>
      <c r="AI792" s="46"/>
      <c r="AJ792" s="46"/>
      <c r="AK792" s="46"/>
      <c r="AL792" s="46"/>
      <c r="AM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c r="AA793" s="46"/>
      <c r="AB793" s="46"/>
      <c r="AC793" s="46"/>
      <c r="AD793" s="46"/>
      <c r="AE793" s="46"/>
      <c r="AF793" s="46"/>
      <c r="AG793" s="46"/>
      <c r="AH793" s="46"/>
      <c r="AI793" s="46"/>
      <c r="AJ793" s="46"/>
      <c r="AK793" s="46"/>
      <c r="AL793" s="46"/>
      <c r="AM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c r="AA794" s="46"/>
      <c r="AB794" s="46"/>
      <c r="AC794" s="46"/>
      <c r="AD794" s="46"/>
      <c r="AE794" s="46"/>
      <c r="AF794" s="46"/>
      <c r="AG794" s="46"/>
      <c r="AH794" s="46"/>
      <c r="AI794" s="46"/>
      <c r="AJ794" s="46"/>
      <c r="AK794" s="46"/>
      <c r="AL794" s="46"/>
      <c r="AM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c r="AA795" s="46"/>
      <c r="AB795" s="46"/>
      <c r="AC795" s="46"/>
      <c r="AD795" s="46"/>
      <c r="AE795" s="46"/>
      <c r="AF795" s="46"/>
      <c r="AG795" s="46"/>
      <c r="AH795" s="46"/>
      <c r="AI795" s="46"/>
      <c r="AJ795" s="46"/>
      <c r="AK795" s="46"/>
      <c r="AL795" s="46"/>
      <c r="AM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c r="AA796" s="46"/>
      <c r="AB796" s="46"/>
      <c r="AC796" s="46"/>
      <c r="AD796" s="46"/>
      <c r="AE796" s="46"/>
      <c r="AF796" s="46"/>
      <c r="AG796" s="46"/>
      <c r="AH796" s="46"/>
      <c r="AI796" s="46"/>
      <c r="AJ796" s="46"/>
      <c r="AK796" s="46"/>
      <c r="AL796" s="46"/>
      <c r="AM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c r="AA797" s="46"/>
      <c r="AB797" s="46"/>
      <c r="AC797" s="46"/>
      <c r="AD797" s="46"/>
      <c r="AE797" s="46"/>
      <c r="AF797" s="46"/>
      <c r="AG797" s="46"/>
      <c r="AH797" s="46"/>
      <c r="AI797" s="46"/>
      <c r="AJ797" s="46"/>
      <c r="AK797" s="46"/>
      <c r="AL797" s="46"/>
      <c r="AM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c r="AA798" s="46"/>
      <c r="AB798" s="46"/>
      <c r="AC798" s="46"/>
      <c r="AD798" s="46"/>
      <c r="AE798" s="46"/>
      <c r="AF798" s="46"/>
      <c r="AG798" s="46"/>
      <c r="AH798" s="46"/>
      <c r="AI798" s="46"/>
      <c r="AJ798" s="46"/>
      <c r="AK798" s="46"/>
      <c r="AL798" s="46"/>
      <c r="AM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c r="AA799" s="46"/>
      <c r="AB799" s="46"/>
      <c r="AC799" s="46"/>
      <c r="AD799" s="46"/>
      <c r="AE799" s="46"/>
      <c r="AF799" s="46"/>
      <c r="AG799" s="46"/>
      <c r="AH799" s="46"/>
      <c r="AI799" s="46"/>
      <c r="AJ799" s="46"/>
      <c r="AK799" s="46"/>
      <c r="AL799" s="46"/>
      <c r="AM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c r="AA800" s="46"/>
      <c r="AB800" s="46"/>
      <c r="AC800" s="46"/>
      <c r="AD800" s="46"/>
      <c r="AE800" s="46"/>
      <c r="AF800" s="46"/>
      <c r="AG800" s="46"/>
      <c r="AH800" s="46"/>
      <c r="AI800" s="46"/>
      <c r="AJ800" s="46"/>
      <c r="AK800" s="46"/>
      <c r="AL800" s="46"/>
      <c r="AM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c r="AA801" s="46"/>
      <c r="AB801" s="46"/>
      <c r="AC801" s="46"/>
      <c r="AD801" s="46"/>
      <c r="AE801" s="46"/>
      <c r="AF801" s="46"/>
      <c r="AG801" s="46"/>
      <c r="AH801" s="46"/>
      <c r="AI801" s="46"/>
      <c r="AJ801" s="46"/>
      <c r="AK801" s="46"/>
      <c r="AL801" s="46"/>
      <c r="AM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c r="AA802" s="46"/>
      <c r="AB802" s="46"/>
      <c r="AC802" s="46"/>
      <c r="AD802" s="46"/>
      <c r="AE802" s="46"/>
      <c r="AF802" s="46"/>
      <c r="AG802" s="46"/>
      <c r="AH802" s="46"/>
      <c r="AI802" s="46"/>
      <c r="AJ802" s="46"/>
      <c r="AK802" s="46"/>
      <c r="AL802" s="46"/>
      <c r="AM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c r="AA803" s="46"/>
      <c r="AB803" s="46"/>
      <c r="AC803" s="46"/>
      <c r="AD803" s="46"/>
      <c r="AE803" s="46"/>
      <c r="AF803" s="46"/>
      <c r="AG803" s="46"/>
      <c r="AH803" s="46"/>
      <c r="AI803" s="46"/>
      <c r="AJ803" s="46"/>
      <c r="AK803" s="46"/>
      <c r="AL803" s="46"/>
      <c r="AM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c r="AA804" s="46"/>
      <c r="AB804" s="46"/>
      <c r="AC804" s="46"/>
      <c r="AD804" s="46"/>
      <c r="AE804" s="46"/>
      <c r="AF804" s="46"/>
      <c r="AG804" s="46"/>
      <c r="AH804" s="46"/>
      <c r="AI804" s="46"/>
      <c r="AJ804" s="46"/>
      <c r="AK804" s="46"/>
      <c r="AL804" s="46"/>
      <c r="AM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c r="AA805" s="46"/>
      <c r="AB805" s="46"/>
      <c r="AC805" s="46"/>
      <c r="AD805" s="46"/>
      <c r="AE805" s="46"/>
      <c r="AF805" s="46"/>
      <c r="AG805" s="46"/>
      <c r="AH805" s="46"/>
      <c r="AI805" s="46"/>
      <c r="AJ805" s="46"/>
      <c r="AK805" s="46"/>
      <c r="AL805" s="46"/>
      <c r="AM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c r="AA806" s="46"/>
      <c r="AB806" s="46"/>
      <c r="AC806" s="46"/>
      <c r="AD806" s="46"/>
      <c r="AE806" s="46"/>
      <c r="AF806" s="46"/>
      <c r="AG806" s="46"/>
      <c r="AH806" s="46"/>
      <c r="AI806" s="46"/>
      <c r="AJ806" s="46"/>
      <c r="AK806" s="46"/>
      <c r="AL806" s="46"/>
      <c r="AM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c r="AA807" s="46"/>
      <c r="AB807" s="46"/>
      <c r="AC807" s="46"/>
      <c r="AD807" s="46"/>
      <c r="AE807" s="46"/>
      <c r="AF807" s="46"/>
      <c r="AG807" s="46"/>
      <c r="AH807" s="46"/>
      <c r="AI807" s="46"/>
      <c r="AJ807" s="46"/>
      <c r="AK807" s="46"/>
      <c r="AL807" s="46"/>
      <c r="AM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c r="AA808" s="46"/>
      <c r="AB808" s="46"/>
      <c r="AC808" s="46"/>
      <c r="AD808" s="46"/>
      <c r="AE808" s="46"/>
      <c r="AF808" s="46"/>
      <c r="AG808" s="46"/>
      <c r="AH808" s="46"/>
      <c r="AI808" s="46"/>
      <c r="AJ808" s="46"/>
      <c r="AK808" s="46"/>
      <c r="AL808" s="46"/>
      <c r="AM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c r="AA809" s="46"/>
      <c r="AB809" s="46"/>
      <c r="AC809" s="46"/>
      <c r="AD809" s="46"/>
      <c r="AE809" s="46"/>
      <c r="AF809" s="46"/>
      <c r="AG809" s="46"/>
      <c r="AH809" s="46"/>
      <c r="AI809" s="46"/>
      <c r="AJ809" s="46"/>
      <c r="AK809" s="46"/>
      <c r="AL809" s="46"/>
      <c r="AM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c r="AA810" s="46"/>
      <c r="AB810" s="46"/>
      <c r="AC810" s="46"/>
      <c r="AD810" s="46"/>
      <c r="AE810" s="46"/>
      <c r="AF810" s="46"/>
      <c r="AG810" s="46"/>
      <c r="AH810" s="46"/>
      <c r="AI810" s="46"/>
      <c r="AJ810" s="46"/>
      <c r="AK810" s="46"/>
      <c r="AL810" s="46"/>
      <c r="AM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c r="AA811" s="46"/>
      <c r="AB811" s="46"/>
      <c r="AC811" s="46"/>
      <c r="AD811" s="46"/>
      <c r="AE811" s="46"/>
      <c r="AF811" s="46"/>
      <c r="AG811" s="46"/>
      <c r="AH811" s="46"/>
      <c r="AI811" s="46"/>
      <c r="AJ811" s="46"/>
      <c r="AK811" s="46"/>
      <c r="AL811" s="46"/>
      <c r="AM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c r="AA812" s="46"/>
      <c r="AB812" s="46"/>
      <c r="AC812" s="46"/>
      <c r="AD812" s="46"/>
      <c r="AE812" s="46"/>
      <c r="AF812" s="46"/>
      <c r="AG812" s="46"/>
      <c r="AH812" s="46"/>
      <c r="AI812" s="46"/>
      <c r="AJ812" s="46"/>
      <c r="AK812" s="46"/>
      <c r="AL812" s="46"/>
      <c r="AM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c r="AA813" s="46"/>
      <c r="AB813" s="46"/>
      <c r="AC813" s="46"/>
      <c r="AD813" s="46"/>
      <c r="AE813" s="46"/>
      <c r="AF813" s="46"/>
      <c r="AG813" s="46"/>
      <c r="AH813" s="46"/>
      <c r="AI813" s="46"/>
      <c r="AJ813" s="46"/>
      <c r="AK813" s="46"/>
      <c r="AL813" s="46"/>
      <c r="AM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c r="AA814" s="46"/>
      <c r="AB814" s="46"/>
      <c r="AC814" s="46"/>
      <c r="AD814" s="46"/>
      <c r="AE814" s="46"/>
      <c r="AF814" s="46"/>
      <c r="AG814" s="46"/>
      <c r="AH814" s="46"/>
      <c r="AI814" s="46"/>
      <c r="AJ814" s="46"/>
      <c r="AK814" s="46"/>
      <c r="AL814" s="46"/>
      <c r="AM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c r="AA815" s="46"/>
      <c r="AB815" s="46"/>
      <c r="AC815" s="46"/>
      <c r="AD815" s="46"/>
      <c r="AE815" s="46"/>
      <c r="AF815" s="46"/>
      <c r="AG815" s="46"/>
      <c r="AH815" s="46"/>
      <c r="AI815" s="46"/>
      <c r="AJ815" s="46"/>
      <c r="AK815" s="46"/>
      <c r="AL815" s="46"/>
      <c r="AM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c r="AA816" s="46"/>
      <c r="AB816" s="46"/>
      <c r="AC816" s="46"/>
      <c r="AD816" s="46"/>
      <c r="AE816" s="46"/>
      <c r="AF816" s="46"/>
      <c r="AG816" s="46"/>
      <c r="AH816" s="46"/>
      <c r="AI816" s="46"/>
      <c r="AJ816" s="46"/>
      <c r="AK816" s="46"/>
      <c r="AL816" s="46"/>
      <c r="AM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c r="AA817" s="46"/>
      <c r="AB817" s="46"/>
      <c r="AC817" s="46"/>
      <c r="AD817" s="46"/>
      <c r="AE817" s="46"/>
      <c r="AF817" s="46"/>
      <c r="AG817" s="46"/>
      <c r="AH817" s="46"/>
      <c r="AI817" s="46"/>
      <c r="AJ817" s="46"/>
      <c r="AK817" s="46"/>
      <c r="AL817" s="46"/>
      <c r="AM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c r="AA818" s="46"/>
      <c r="AB818" s="46"/>
      <c r="AC818" s="46"/>
      <c r="AD818" s="46"/>
      <c r="AE818" s="46"/>
      <c r="AF818" s="46"/>
      <c r="AG818" s="46"/>
      <c r="AH818" s="46"/>
      <c r="AI818" s="46"/>
      <c r="AJ818" s="46"/>
      <c r="AK818" s="46"/>
      <c r="AL818" s="46"/>
      <c r="AM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c r="AA819" s="46"/>
      <c r="AB819" s="46"/>
      <c r="AC819" s="46"/>
      <c r="AD819" s="46"/>
      <c r="AE819" s="46"/>
      <c r="AF819" s="46"/>
      <c r="AG819" s="46"/>
      <c r="AH819" s="46"/>
      <c r="AI819" s="46"/>
      <c r="AJ819" s="46"/>
      <c r="AK819" s="46"/>
      <c r="AL819" s="46"/>
      <c r="AM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c r="AA820" s="46"/>
      <c r="AB820" s="46"/>
      <c r="AC820" s="46"/>
      <c r="AD820" s="46"/>
      <c r="AE820" s="46"/>
      <c r="AF820" s="46"/>
      <c r="AG820" s="46"/>
      <c r="AH820" s="46"/>
      <c r="AI820" s="46"/>
      <c r="AJ820" s="46"/>
      <c r="AK820" s="46"/>
      <c r="AL820" s="46"/>
      <c r="AM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c r="AA821" s="46"/>
      <c r="AB821" s="46"/>
      <c r="AC821" s="46"/>
      <c r="AD821" s="46"/>
      <c r="AE821" s="46"/>
      <c r="AF821" s="46"/>
      <c r="AG821" s="46"/>
      <c r="AH821" s="46"/>
      <c r="AI821" s="46"/>
      <c r="AJ821" s="46"/>
      <c r="AK821" s="46"/>
      <c r="AL821" s="46"/>
      <c r="AM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c r="AA822" s="46"/>
      <c r="AB822" s="46"/>
      <c r="AC822" s="46"/>
      <c r="AD822" s="46"/>
      <c r="AE822" s="46"/>
      <c r="AF822" s="46"/>
      <c r="AG822" s="46"/>
      <c r="AH822" s="46"/>
      <c r="AI822" s="46"/>
      <c r="AJ822" s="46"/>
      <c r="AK822" s="46"/>
      <c r="AL822" s="46"/>
      <c r="AM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c r="AA823" s="46"/>
      <c r="AB823" s="46"/>
      <c r="AC823" s="46"/>
      <c r="AD823" s="46"/>
      <c r="AE823" s="46"/>
      <c r="AF823" s="46"/>
      <c r="AG823" s="46"/>
      <c r="AH823" s="46"/>
      <c r="AI823" s="46"/>
      <c r="AJ823" s="46"/>
      <c r="AK823" s="46"/>
      <c r="AL823" s="46"/>
      <c r="AM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c r="AA824" s="46"/>
      <c r="AB824" s="46"/>
      <c r="AC824" s="46"/>
      <c r="AD824" s="46"/>
      <c r="AE824" s="46"/>
      <c r="AF824" s="46"/>
      <c r="AG824" s="46"/>
      <c r="AH824" s="46"/>
      <c r="AI824" s="46"/>
      <c r="AJ824" s="46"/>
      <c r="AK824" s="46"/>
      <c r="AL824" s="46"/>
      <c r="AM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c r="AA825" s="46"/>
      <c r="AB825" s="46"/>
      <c r="AC825" s="46"/>
      <c r="AD825" s="46"/>
      <c r="AE825" s="46"/>
      <c r="AF825" s="46"/>
      <c r="AG825" s="46"/>
      <c r="AH825" s="46"/>
      <c r="AI825" s="46"/>
      <c r="AJ825" s="46"/>
      <c r="AK825" s="46"/>
      <c r="AL825" s="46"/>
      <c r="AM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c r="AA826" s="46"/>
      <c r="AB826" s="46"/>
      <c r="AC826" s="46"/>
      <c r="AD826" s="46"/>
      <c r="AE826" s="46"/>
      <c r="AF826" s="46"/>
      <c r="AG826" s="46"/>
      <c r="AH826" s="46"/>
      <c r="AI826" s="46"/>
      <c r="AJ826" s="46"/>
      <c r="AK826" s="46"/>
      <c r="AL826" s="46"/>
      <c r="AM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c r="AA827" s="46"/>
      <c r="AB827" s="46"/>
      <c r="AC827" s="46"/>
      <c r="AD827" s="46"/>
      <c r="AE827" s="46"/>
      <c r="AF827" s="46"/>
      <c r="AG827" s="46"/>
      <c r="AH827" s="46"/>
      <c r="AI827" s="46"/>
      <c r="AJ827" s="46"/>
      <c r="AK827" s="46"/>
      <c r="AL827" s="46"/>
      <c r="AM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c r="AA828" s="46"/>
      <c r="AB828" s="46"/>
      <c r="AC828" s="46"/>
      <c r="AD828" s="46"/>
      <c r="AE828" s="46"/>
      <c r="AF828" s="46"/>
      <c r="AG828" s="46"/>
      <c r="AH828" s="46"/>
      <c r="AI828" s="46"/>
      <c r="AJ828" s="46"/>
      <c r="AK828" s="46"/>
      <c r="AL828" s="46"/>
      <c r="AM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c r="AA829" s="46"/>
      <c r="AB829" s="46"/>
      <c r="AC829" s="46"/>
      <c r="AD829" s="46"/>
      <c r="AE829" s="46"/>
      <c r="AF829" s="46"/>
      <c r="AG829" s="46"/>
      <c r="AH829" s="46"/>
      <c r="AI829" s="46"/>
      <c r="AJ829" s="46"/>
      <c r="AK829" s="46"/>
      <c r="AL829" s="46"/>
      <c r="AM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c r="AA830" s="46"/>
      <c r="AB830" s="46"/>
      <c r="AC830" s="46"/>
      <c r="AD830" s="46"/>
      <c r="AE830" s="46"/>
      <c r="AF830" s="46"/>
      <c r="AG830" s="46"/>
      <c r="AH830" s="46"/>
      <c r="AI830" s="46"/>
      <c r="AJ830" s="46"/>
      <c r="AK830" s="46"/>
      <c r="AL830" s="46"/>
      <c r="AM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c r="AA831" s="46"/>
      <c r="AB831" s="46"/>
      <c r="AC831" s="46"/>
      <c r="AD831" s="46"/>
      <c r="AE831" s="46"/>
      <c r="AF831" s="46"/>
      <c r="AG831" s="46"/>
      <c r="AH831" s="46"/>
      <c r="AI831" s="46"/>
      <c r="AJ831" s="46"/>
      <c r="AK831" s="46"/>
      <c r="AL831" s="46"/>
      <c r="AM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c r="AA832" s="46"/>
      <c r="AB832" s="46"/>
      <c r="AC832" s="46"/>
      <c r="AD832" s="46"/>
      <c r="AE832" s="46"/>
      <c r="AF832" s="46"/>
      <c r="AG832" s="46"/>
      <c r="AH832" s="46"/>
      <c r="AI832" s="46"/>
      <c r="AJ832" s="46"/>
      <c r="AK832" s="46"/>
      <c r="AL832" s="46"/>
      <c r="AM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c r="AA833" s="46"/>
      <c r="AB833" s="46"/>
      <c r="AC833" s="46"/>
      <c r="AD833" s="46"/>
      <c r="AE833" s="46"/>
      <c r="AF833" s="46"/>
      <c r="AG833" s="46"/>
      <c r="AH833" s="46"/>
      <c r="AI833" s="46"/>
      <c r="AJ833" s="46"/>
      <c r="AK833" s="46"/>
      <c r="AL833" s="46"/>
      <c r="AM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c r="AA834" s="46"/>
      <c r="AB834" s="46"/>
      <c r="AC834" s="46"/>
      <c r="AD834" s="46"/>
      <c r="AE834" s="46"/>
      <c r="AF834" s="46"/>
      <c r="AG834" s="46"/>
      <c r="AH834" s="46"/>
      <c r="AI834" s="46"/>
      <c r="AJ834" s="46"/>
      <c r="AK834" s="46"/>
      <c r="AL834" s="46"/>
      <c r="AM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c r="AA835" s="46"/>
      <c r="AB835" s="46"/>
      <c r="AC835" s="46"/>
      <c r="AD835" s="46"/>
      <c r="AE835" s="46"/>
      <c r="AF835" s="46"/>
      <c r="AG835" s="46"/>
      <c r="AH835" s="46"/>
      <c r="AI835" s="46"/>
      <c r="AJ835" s="46"/>
      <c r="AK835" s="46"/>
      <c r="AL835" s="46"/>
      <c r="AM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c r="AA836" s="46"/>
      <c r="AB836" s="46"/>
      <c r="AC836" s="46"/>
      <c r="AD836" s="46"/>
      <c r="AE836" s="46"/>
      <c r="AF836" s="46"/>
      <c r="AG836" s="46"/>
      <c r="AH836" s="46"/>
      <c r="AI836" s="46"/>
      <c r="AJ836" s="46"/>
      <c r="AK836" s="46"/>
      <c r="AL836" s="46"/>
      <c r="AM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c r="AA837" s="46"/>
      <c r="AB837" s="46"/>
      <c r="AC837" s="46"/>
      <c r="AD837" s="46"/>
      <c r="AE837" s="46"/>
      <c r="AF837" s="46"/>
      <c r="AG837" s="46"/>
      <c r="AH837" s="46"/>
      <c r="AI837" s="46"/>
      <c r="AJ837" s="46"/>
      <c r="AK837" s="46"/>
      <c r="AL837" s="46"/>
      <c r="AM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c r="AA838" s="46"/>
      <c r="AB838" s="46"/>
      <c r="AC838" s="46"/>
      <c r="AD838" s="46"/>
      <c r="AE838" s="46"/>
      <c r="AF838" s="46"/>
      <c r="AG838" s="46"/>
      <c r="AH838" s="46"/>
      <c r="AI838" s="46"/>
      <c r="AJ838" s="46"/>
      <c r="AK838" s="46"/>
      <c r="AL838" s="46"/>
      <c r="AM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c r="AA839" s="46"/>
      <c r="AB839" s="46"/>
      <c r="AC839" s="46"/>
      <c r="AD839" s="46"/>
      <c r="AE839" s="46"/>
      <c r="AF839" s="46"/>
      <c r="AG839" s="46"/>
      <c r="AH839" s="46"/>
      <c r="AI839" s="46"/>
      <c r="AJ839" s="46"/>
      <c r="AK839" s="46"/>
      <c r="AL839" s="46"/>
      <c r="AM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c r="AA840" s="46"/>
      <c r="AB840" s="46"/>
      <c r="AC840" s="46"/>
      <c r="AD840" s="46"/>
      <c r="AE840" s="46"/>
      <c r="AF840" s="46"/>
      <c r="AG840" s="46"/>
      <c r="AH840" s="46"/>
      <c r="AI840" s="46"/>
      <c r="AJ840" s="46"/>
      <c r="AK840" s="46"/>
      <c r="AL840" s="46"/>
      <c r="AM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c r="AA841" s="46"/>
      <c r="AB841" s="46"/>
      <c r="AC841" s="46"/>
      <c r="AD841" s="46"/>
      <c r="AE841" s="46"/>
      <c r="AF841" s="46"/>
      <c r="AG841" s="46"/>
      <c r="AH841" s="46"/>
      <c r="AI841" s="46"/>
      <c r="AJ841" s="46"/>
      <c r="AK841" s="46"/>
      <c r="AL841" s="46"/>
      <c r="AM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c r="AA842" s="46"/>
      <c r="AB842" s="46"/>
      <c r="AC842" s="46"/>
      <c r="AD842" s="46"/>
      <c r="AE842" s="46"/>
      <c r="AF842" s="46"/>
      <c r="AG842" s="46"/>
      <c r="AH842" s="46"/>
      <c r="AI842" s="46"/>
      <c r="AJ842" s="46"/>
      <c r="AK842" s="46"/>
      <c r="AL842" s="46"/>
      <c r="AM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c r="AA843" s="46"/>
      <c r="AB843" s="46"/>
      <c r="AC843" s="46"/>
      <c r="AD843" s="46"/>
      <c r="AE843" s="46"/>
      <c r="AF843" s="46"/>
      <c r="AG843" s="46"/>
      <c r="AH843" s="46"/>
      <c r="AI843" s="46"/>
      <c r="AJ843" s="46"/>
      <c r="AK843" s="46"/>
      <c r="AL843" s="46"/>
      <c r="AM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c r="AA844" s="46"/>
      <c r="AB844" s="46"/>
      <c r="AC844" s="46"/>
      <c r="AD844" s="46"/>
      <c r="AE844" s="46"/>
      <c r="AF844" s="46"/>
      <c r="AG844" s="46"/>
      <c r="AH844" s="46"/>
      <c r="AI844" s="46"/>
      <c r="AJ844" s="46"/>
      <c r="AK844" s="46"/>
      <c r="AL844" s="46"/>
      <c r="AM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c r="AA845" s="46"/>
      <c r="AB845" s="46"/>
      <c r="AC845" s="46"/>
      <c r="AD845" s="46"/>
      <c r="AE845" s="46"/>
      <c r="AF845" s="46"/>
      <c r="AG845" s="46"/>
      <c r="AH845" s="46"/>
      <c r="AI845" s="46"/>
      <c r="AJ845" s="46"/>
      <c r="AK845" s="46"/>
      <c r="AL845" s="46"/>
      <c r="AM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c r="AA846" s="46"/>
      <c r="AB846" s="46"/>
      <c r="AC846" s="46"/>
      <c r="AD846" s="46"/>
      <c r="AE846" s="46"/>
      <c r="AF846" s="46"/>
      <c r="AG846" s="46"/>
      <c r="AH846" s="46"/>
      <c r="AI846" s="46"/>
      <c r="AJ846" s="46"/>
      <c r="AK846" s="46"/>
      <c r="AL846" s="46"/>
      <c r="AM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c r="AA847" s="46"/>
      <c r="AB847" s="46"/>
      <c r="AC847" s="46"/>
      <c r="AD847" s="46"/>
      <c r="AE847" s="46"/>
      <c r="AF847" s="46"/>
      <c r="AG847" s="46"/>
      <c r="AH847" s="46"/>
      <c r="AI847" s="46"/>
      <c r="AJ847" s="46"/>
      <c r="AK847" s="46"/>
      <c r="AL847" s="46"/>
      <c r="AM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c r="AA848" s="46"/>
      <c r="AB848" s="46"/>
      <c r="AC848" s="46"/>
      <c r="AD848" s="46"/>
      <c r="AE848" s="46"/>
      <c r="AF848" s="46"/>
      <c r="AG848" s="46"/>
      <c r="AH848" s="46"/>
      <c r="AI848" s="46"/>
      <c r="AJ848" s="46"/>
      <c r="AK848" s="46"/>
      <c r="AL848" s="46"/>
      <c r="AM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c r="AA849" s="46"/>
      <c r="AB849" s="46"/>
      <c r="AC849" s="46"/>
      <c r="AD849" s="46"/>
      <c r="AE849" s="46"/>
      <c r="AF849" s="46"/>
      <c r="AG849" s="46"/>
      <c r="AH849" s="46"/>
      <c r="AI849" s="46"/>
      <c r="AJ849" s="46"/>
      <c r="AK849" s="46"/>
      <c r="AL849" s="46"/>
      <c r="AM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c r="AA850" s="46"/>
      <c r="AB850" s="46"/>
      <c r="AC850" s="46"/>
      <c r="AD850" s="46"/>
      <c r="AE850" s="46"/>
      <c r="AF850" s="46"/>
      <c r="AG850" s="46"/>
      <c r="AH850" s="46"/>
      <c r="AI850" s="46"/>
      <c r="AJ850" s="46"/>
      <c r="AK850" s="46"/>
      <c r="AL850" s="46"/>
      <c r="AM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c r="AA851" s="46"/>
      <c r="AB851" s="46"/>
      <c r="AC851" s="46"/>
      <c r="AD851" s="46"/>
      <c r="AE851" s="46"/>
      <c r="AF851" s="46"/>
      <c r="AG851" s="46"/>
      <c r="AH851" s="46"/>
      <c r="AI851" s="46"/>
      <c r="AJ851" s="46"/>
      <c r="AK851" s="46"/>
      <c r="AL851" s="46"/>
      <c r="AM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c r="AA852" s="46"/>
      <c r="AB852" s="46"/>
      <c r="AC852" s="46"/>
      <c r="AD852" s="46"/>
      <c r="AE852" s="46"/>
      <c r="AF852" s="46"/>
      <c r="AG852" s="46"/>
      <c r="AH852" s="46"/>
      <c r="AI852" s="46"/>
      <c r="AJ852" s="46"/>
      <c r="AK852" s="46"/>
      <c r="AL852" s="46"/>
      <c r="AM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c r="AA853" s="46"/>
      <c r="AB853" s="46"/>
      <c r="AC853" s="46"/>
      <c r="AD853" s="46"/>
      <c r="AE853" s="46"/>
      <c r="AF853" s="46"/>
      <c r="AG853" s="46"/>
      <c r="AH853" s="46"/>
      <c r="AI853" s="46"/>
      <c r="AJ853" s="46"/>
      <c r="AK853" s="46"/>
      <c r="AL853" s="46"/>
      <c r="AM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c r="AA854" s="46"/>
      <c r="AB854" s="46"/>
      <c r="AC854" s="46"/>
      <c r="AD854" s="46"/>
      <c r="AE854" s="46"/>
      <c r="AF854" s="46"/>
      <c r="AG854" s="46"/>
      <c r="AH854" s="46"/>
      <c r="AI854" s="46"/>
      <c r="AJ854" s="46"/>
      <c r="AK854" s="46"/>
      <c r="AL854" s="46"/>
      <c r="AM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c r="AA855" s="46"/>
      <c r="AB855" s="46"/>
      <c r="AC855" s="46"/>
      <c r="AD855" s="46"/>
      <c r="AE855" s="46"/>
      <c r="AF855" s="46"/>
      <c r="AG855" s="46"/>
      <c r="AH855" s="46"/>
      <c r="AI855" s="46"/>
      <c r="AJ855" s="46"/>
      <c r="AK855" s="46"/>
      <c r="AL855" s="46"/>
      <c r="AM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c r="AA856" s="46"/>
      <c r="AB856" s="46"/>
      <c r="AC856" s="46"/>
      <c r="AD856" s="46"/>
      <c r="AE856" s="46"/>
      <c r="AF856" s="46"/>
      <c r="AG856" s="46"/>
      <c r="AH856" s="46"/>
      <c r="AI856" s="46"/>
      <c r="AJ856" s="46"/>
      <c r="AK856" s="46"/>
      <c r="AL856" s="46"/>
      <c r="AM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c r="AA857" s="46"/>
      <c r="AB857" s="46"/>
      <c r="AC857" s="46"/>
      <c r="AD857" s="46"/>
      <c r="AE857" s="46"/>
      <c r="AF857" s="46"/>
      <c r="AG857" s="46"/>
      <c r="AH857" s="46"/>
      <c r="AI857" s="46"/>
      <c r="AJ857" s="46"/>
      <c r="AK857" s="46"/>
      <c r="AL857" s="46"/>
      <c r="AM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c r="AA858" s="46"/>
      <c r="AB858" s="46"/>
      <c r="AC858" s="46"/>
      <c r="AD858" s="46"/>
      <c r="AE858" s="46"/>
      <c r="AF858" s="46"/>
      <c r="AG858" s="46"/>
      <c r="AH858" s="46"/>
      <c r="AI858" s="46"/>
      <c r="AJ858" s="46"/>
      <c r="AK858" s="46"/>
      <c r="AL858" s="46"/>
      <c r="AM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c r="AA859" s="46"/>
      <c r="AB859" s="46"/>
      <c r="AC859" s="46"/>
      <c r="AD859" s="46"/>
      <c r="AE859" s="46"/>
      <c r="AF859" s="46"/>
      <c r="AG859" s="46"/>
      <c r="AH859" s="46"/>
      <c r="AI859" s="46"/>
      <c r="AJ859" s="46"/>
      <c r="AK859" s="46"/>
      <c r="AL859" s="46"/>
      <c r="AM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c r="AA860" s="46"/>
      <c r="AB860" s="46"/>
      <c r="AC860" s="46"/>
      <c r="AD860" s="46"/>
      <c r="AE860" s="46"/>
      <c r="AF860" s="46"/>
      <c r="AG860" s="46"/>
      <c r="AH860" s="46"/>
      <c r="AI860" s="46"/>
      <c r="AJ860" s="46"/>
      <c r="AK860" s="46"/>
      <c r="AL860" s="46"/>
      <c r="AM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c r="AA861" s="46"/>
      <c r="AB861" s="46"/>
      <c r="AC861" s="46"/>
      <c r="AD861" s="46"/>
      <c r="AE861" s="46"/>
      <c r="AF861" s="46"/>
      <c r="AG861" s="46"/>
      <c r="AH861" s="46"/>
      <c r="AI861" s="46"/>
      <c r="AJ861" s="46"/>
      <c r="AK861" s="46"/>
      <c r="AL861" s="46"/>
      <c r="AM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c r="AA862" s="46"/>
      <c r="AB862" s="46"/>
      <c r="AC862" s="46"/>
      <c r="AD862" s="46"/>
      <c r="AE862" s="46"/>
      <c r="AF862" s="46"/>
      <c r="AG862" s="46"/>
      <c r="AH862" s="46"/>
      <c r="AI862" s="46"/>
      <c r="AJ862" s="46"/>
      <c r="AK862" s="46"/>
      <c r="AL862" s="46"/>
      <c r="AM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c r="AA863" s="46"/>
      <c r="AB863" s="46"/>
      <c r="AC863" s="46"/>
      <c r="AD863" s="46"/>
      <c r="AE863" s="46"/>
      <c r="AF863" s="46"/>
      <c r="AG863" s="46"/>
      <c r="AH863" s="46"/>
      <c r="AI863" s="46"/>
      <c r="AJ863" s="46"/>
      <c r="AK863" s="46"/>
      <c r="AL863" s="46"/>
      <c r="AM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c r="AA864" s="46"/>
      <c r="AB864" s="46"/>
      <c r="AC864" s="46"/>
      <c r="AD864" s="46"/>
      <c r="AE864" s="46"/>
      <c r="AF864" s="46"/>
      <c r="AG864" s="46"/>
      <c r="AH864" s="46"/>
      <c r="AI864" s="46"/>
      <c r="AJ864" s="46"/>
      <c r="AK864" s="46"/>
      <c r="AL864" s="46"/>
      <c r="AM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c r="AA865" s="46"/>
      <c r="AB865" s="46"/>
      <c r="AC865" s="46"/>
      <c r="AD865" s="46"/>
      <c r="AE865" s="46"/>
      <c r="AF865" s="46"/>
      <c r="AG865" s="46"/>
      <c r="AH865" s="46"/>
      <c r="AI865" s="46"/>
      <c r="AJ865" s="46"/>
      <c r="AK865" s="46"/>
      <c r="AL865" s="46"/>
      <c r="AM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c r="AA866" s="46"/>
      <c r="AB866" s="46"/>
      <c r="AC866" s="46"/>
      <c r="AD866" s="46"/>
      <c r="AE866" s="46"/>
      <c r="AF866" s="46"/>
      <c r="AG866" s="46"/>
      <c r="AH866" s="46"/>
      <c r="AI866" s="46"/>
      <c r="AJ866" s="46"/>
      <c r="AK866" s="46"/>
      <c r="AL866" s="46"/>
      <c r="AM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c r="AA867" s="46"/>
      <c r="AB867" s="46"/>
      <c r="AC867" s="46"/>
      <c r="AD867" s="46"/>
      <c r="AE867" s="46"/>
      <c r="AF867" s="46"/>
      <c r="AG867" s="46"/>
      <c r="AH867" s="46"/>
      <c r="AI867" s="46"/>
      <c r="AJ867" s="46"/>
      <c r="AK867" s="46"/>
      <c r="AL867" s="46"/>
      <c r="AM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c r="AA868" s="46"/>
      <c r="AB868" s="46"/>
      <c r="AC868" s="46"/>
      <c r="AD868" s="46"/>
      <c r="AE868" s="46"/>
      <c r="AF868" s="46"/>
      <c r="AG868" s="46"/>
      <c r="AH868" s="46"/>
      <c r="AI868" s="46"/>
      <c r="AJ868" s="46"/>
      <c r="AK868" s="46"/>
      <c r="AL868" s="46"/>
      <c r="AM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c r="AA869" s="46"/>
      <c r="AB869" s="46"/>
      <c r="AC869" s="46"/>
      <c r="AD869" s="46"/>
      <c r="AE869" s="46"/>
      <c r="AF869" s="46"/>
      <c r="AG869" s="46"/>
      <c r="AH869" s="46"/>
      <c r="AI869" s="46"/>
      <c r="AJ869" s="46"/>
      <c r="AK869" s="46"/>
      <c r="AL869" s="46"/>
      <c r="AM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c r="AA870" s="46"/>
      <c r="AB870" s="46"/>
      <c r="AC870" s="46"/>
      <c r="AD870" s="46"/>
      <c r="AE870" s="46"/>
      <c r="AF870" s="46"/>
      <c r="AG870" s="46"/>
      <c r="AH870" s="46"/>
      <c r="AI870" s="46"/>
      <c r="AJ870" s="46"/>
      <c r="AK870" s="46"/>
      <c r="AL870" s="46"/>
      <c r="AM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c r="AA871" s="46"/>
      <c r="AB871" s="46"/>
      <c r="AC871" s="46"/>
      <c r="AD871" s="46"/>
      <c r="AE871" s="46"/>
      <c r="AF871" s="46"/>
      <c r="AG871" s="46"/>
      <c r="AH871" s="46"/>
      <c r="AI871" s="46"/>
      <c r="AJ871" s="46"/>
      <c r="AK871" s="46"/>
      <c r="AL871" s="46"/>
      <c r="AM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c r="AA872" s="46"/>
      <c r="AB872" s="46"/>
      <c r="AC872" s="46"/>
      <c r="AD872" s="46"/>
      <c r="AE872" s="46"/>
      <c r="AF872" s="46"/>
      <c r="AG872" s="46"/>
      <c r="AH872" s="46"/>
      <c r="AI872" s="46"/>
      <c r="AJ872" s="46"/>
      <c r="AK872" s="46"/>
      <c r="AL872" s="46"/>
      <c r="AM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c r="AA873" s="46"/>
      <c r="AB873" s="46"/>
      <c r="AC873" s="46"/>
      <c r="AD873" s="46"/>
      <c r="AE873" s="46"/>
      <c r="AF873" s="46"/>
      <c r="AG873" s="46"/>
      <c r="AH873" s="46"/>
      <c r="AI873" s="46"/>
      <c r="AJ873" s="46"/>
      <c r="AK873" s="46"/>
      <c r="AL873" s="46"/>
      <c r="AM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c r="AA874" s="46"/>
      <c r="AB874" s="46"/>
      <c r="AC874" s="46"/>
      <c r="AD874" s="46"/>
      <c r="AE874" s="46"/>
      <c r="AF874" s="46"/>
      <c r="AG874" s="46"/>
      <c r="AH874" s="46"/>
      <c r="AI874" s="46"/>
      <c r="AJ874" s="46"/>
      <c r="AK874" s="46"/>
      <c r="AL874" s="46"/>
      <c r="AM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c r="AA875" s="46"/>
      <c r="AB875" s="46"/>
      <c r="AC875" s="46"/>
      <c r="AD875" s="46"/>
      <c r="AE875" s="46"/>
      <c r="AF875" s="46"/>
      <c r="AG875" s="46"/>
      <c r="AH875" s="46"/>
      <c r="AI875" s="46"/>
      <c r="AJ875" s="46"/>
      <c r="AK875" s="46"/>
      <c r="AL875" s="46"/>
      <c r="AM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c r="AA876" s="46"/>
      <c r="AB876" s="46"/>
      <c r="AC876" s="46"/>
      <c r="AD876" s="46"/>
      <c r="AE876" s="46"/>
      <c r="AF876" s="46"/>
      <c r="AG876" s="46"/>
      <c r="AH876" s="46"/>
      <c r="AI876" s="46"/>
      <c r="AJ876" s="46"/>
      <c r="AK876" s="46"/>
      <c r="AL876" s="46"/>
      <c r="AM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c r="AA877" s="46"/>
      <c r="AB877" s="46"/>
      <c r="AC877" s="46"/>
      <c r="AD877" s="46"/>
      <c r="AE877" s="46"/>
      <c r="AF877" s="46"/>
      <c r="AG877" s="46"/>
      <c r="AH877" s="46"/>
      <c r="AI877" s="46"/>
      <c r="AJ877" s="46"/>
      <c r="AK877" s="46"/>
      <c r="AL877" s="46"/>
      <c r="AM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c r="AA878" s="46"/>
      <c r="AB878" s="46"/>
      <c r="AC878" s="46"/>
      <c r="AD878" s="46"/>
      <c r="AE878" s="46"/>
      <c r="AF878" s="46"/>
      <c r="AG878" s="46"/>
      <c r="AH878" s="46"/>
      <c r="AI878" s="46"/>
      <c r="AJ878" s="46"/>
      <c r="AK878" s="46"/>
      <c r="AL878" s="46"/>
      <c r="AM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c r="AA879" s="46"/>
      <c r="AB879" s="46"/>
      <c r="AC879" s="46"/>
      <c r="AD879" s="46"/>
      <c r="AE879" s="46"/>
      <c r="AF879" s="46"/>
      <c r="AG879" s="46"/>
      <c r="AH879" s="46"/>
      <c r="AI879" s="46"/>
      <c r="AJ879" s="46"/>
      <c r="AK879" s="46"/>
      <c r="AL879" s="46"/>
      <c r="AM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c r="AA880" s="46"/>
      <c r="AB880" s="46"/>
      <c r="AC880" s="46"/>
      <c r="AD880" s="46"/>
      <c r="AE880" s="46"/>
      <c r="AF880" s="46"/>
      <c r="AG880" s="46"/>
      <c r="AH880" s="46"/>
      <c r="AI880" s="46"/>
      <c r="AJ880" s="46"/>
      <c r="AK880" s="46"/>
      <c r="AL880" s="46"/>
      <c r="AM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c r="AA881" s="46"/>
      <c r="AB881" s="46"/>
      <c r="AC881" s="46"/>
      <c r="AD881" s="46"/>
      <c r="AE881" s="46"/>
      <c r="AF881" s="46"/>
      <c r="AG881" s="46"/>
      <c r="AH881" s="46"/>
      <c r="AI881" s="46"/>
      <c r="AJ881" s="46"/>
      <c r="AK881" s="46"/>
      <c r="AL881" s="46"/>
      <c r="AM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c r="AA882" s="46"/>
      <c r="AB882" s="46"/>
      <c r="AC882" s="46"/>
      <c r="AD882" s="46"/>
      <c r="AE882" s="46"/>
      <c r="AF882" s="46"/>
      <c r="AG882" s="46"/>
      <c r="AH882" s="46"/>
      <c r="AI882" s="46"/>
      <c r="AJ882" s="46"/>
      <c r="AK882" s="46"/>
      <c r="AL882" s="46"/>
      <c r="AM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c r="AA883" s="46"/>
      <c r="AB883" s="46"/>
      <c r="AC883" s="46"/>
      <c r="AD883" s="46"/>
      <c r="AE883" s="46"/>
      <c r="AF883" s="46"/>
      <c r="AG883" s="46"/>
      <c r="AH883" s="46"/>
      <c r="AI883" s="46"/>
      <c r="AJ883" s="46"/>
      <c r="AK883" s="46"/>
      <c r="AL883" s="46"/>
      <c r="AM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c r="AA884" s="46"/>
      <c r="AB884" s="46"/>
      <c r="AC884" s="46"/>
      <c r="AD884" s="46"/>
      <c r="AE884" s="46"/>
      <c r="AF884" s="46"/>
      <c r="AG884" s="46"/>
      <c r="AH884" s="46"/>
      <c r="AI884" s="46"/>
      <c r="AJ884" s="46"/>
      <c r="AK884" s="46"/>
      <c r="AL884" s="46"/>
      <c r="AM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c r="AA885" s="46"/>
      <c r="AB885" s="46"/>
      <c r="AC885" s="46"/>
      <c r="AD885" s="46"/>
      <c r="AE885" s="46"/>
      <c r="AF885" s="46"/>
      <c r="AG885" s="46"/>
      <c r="AH885" s="46"/>
      <c r="AI885" s="46"/>
      <c r="AJ885" s="46"/>
      <c r="AK885" s="46"/>
      <c r="AL885" s="46"/>
      <c r="AM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c r="AA886" s="46"/>
      <c r="AB886" s="46"/>
      <c r="AC886" s="46"/>
      <c r="AD886" s="46"/>
      <c r="AE886" s="46"/>
      <c r="AF886" s="46"/>
      <c r="AG886" s="46"/>
      <c r="AH886" s="46"/>
      <c r="AI886" s="46"/>
      <c r="AJ886" s="46"/>
      <c r="AK886" s="46"/>
      <c r="AL886" s="46"/>
      <c r="AM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c r="AA887" s="46"/>
      <c r="AB887" s="46"/>
      <c r="AC887" s="46"/>
      <c r="AD887" s="46"/>
      <c r="AE887" s="46"/>
      <c r="AF887" s="46"/>
      <c r="AG887" s="46"/>
      <c r="AH887" s="46"/>
      <c r="AI887" s="46"/>
      <c r="AJ887" s="46"/>
      <c r="AK887" s="46"/>
      <c r="AL887" s="46"/>
      <c r="AM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c r="AA888" s="46"/>
      <c r="AB888" s="46"/>
      <c r="AC888" s="46"/>
      <c r="AD888" s="46"/>
      <c r="AE888" s="46"/>
      <c r="AF888" s="46"/>
      <c r="AG888" s="46"/>
      <c r="AH888" s="46"/>
      <c r="AI888" s="46"/>
      <c r="AJ888" s="46"/>
      <c r="AK888" s="46"/>
      <c r="AL888" s="46"/>
      <c r="AM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c r="AA889" s="46"/>
      <c r="AB889" s="46"/>
      <c r="AC889" s="46"/>
      <c r="AD889" s="46"/>
      <c r="AE889" s="46"/>
      <c r="AF889" s="46"/>
      <c r="AG889" s="46"/>
      <c r="AH889" s="46"/>
      <c r="AI889" s="46"/>
      <c r="AJ889" s="46"/>
      <c r="AK889" s="46"/>
      <c r="AL889" s="46"/>
      <c r="AM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c r="AA890" s="46"/>
      <c r="AB890" s="46"/>
      <c r="AC890" s="46"/>
      <c r="AD890" s="46"/>
      <c r="AE890" s="46"/>
      <c r="AF890" s="46"/>
      <c r="AG890" s="46"/>
      <c r="AH890" s="46"/>
      <c r="AI890" s="46"/>
      <c r="AJ890" s="46"/>
      <c r="AK890" s="46"/>
      <c r="AL890" s="46"/>
      <c r="AM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c r="AA891" s="46"/>
      <c r="AB891" s="46"/>
      <c r="AC891" s="46"/>
      <c r="AD891" s="46"/>
      <c r="AE891" s="46"/>
      <c r="AF891" s="46"/>
      <c r="AG891" s="46"/>
      <c r="AH891" s="46"/>
      <c r="AI891" s="46"/>
      <c r="AJ891" s="46"/>
      <c r="AK891" s="46"/>
      <c r="AL891" s="46"/>
      <c r="AM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c r="AA892" s="46"/>
      <c r="AB892" s="46"/>
      <c r="AC892" s="46"/>
      <c r="AD892" s="46"/>
      <c r="AE892" s="46"/>
      <c r="AF892" s="46"/>
      <c r="AG892" s="46"/>
      <c r="AH892" s="46"/>
      <c r="AI892" s="46"/>
      <c r="AJ892" s="46"/>
      <c r="AK892" s="46"/>
      <c r="AL892" s="46"/>
      <c r="AM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c r="AA893" s="46"/>
      <c r="AB893" s="46"/>
      <c r="AC893" s="46"/>
      <c r="AD893" s="46"/>
      <c r="AE893" s="46"/>
      <c r="AF893" s="46"/>
      <c r="AG893" s="46"/>
      <c r="AH893" s="46"/>
      <c r="AI893" s="46"/>
      <c r="AJ893" s="46"/>
      <c r="AK893" s="46"/>
      <c r="AL893" s="46"/>
      <c r="AM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c r="AA894" s="46"/>
      <c r="AB894" s="46"/>
      <c r="AC894" s="46"/>
      <c r="AD894" s="46"/>
      <c r="AE894" s="46"/>
      <c r="AF894" s="46"/>
      <c r="AG894" s="46"/>
      <c r="AH894" s="46"/>
      <c r="AI894" s="46"/>
      <c r="AJ894" s="46"/>
      <c r="AK894" s="46"/>
      <c r="AL894" s="46"/>
      <c r="AM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c r="AA895" s="46"/>
      <c r="AB895" s="46"/>
      <c r="AC895" s="46"/>
      <c r="AD895" s="46"/>
      <c r="AE895" s="46"/>
      <c r="AF895" s="46"/>
      <c r="AG895" s="46"/>
      <c r="AH895" s="46"/>
      <c r="AI895" s="46"/>
      <c r="AJ895" s="46"/>
      <c r="AK895" s="46"/>
      <c r="AL895" s="46"/>
      <c r="AM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c r="AA896" s="46"/>
      <c r="AB896" s="46"/>
      <c r="AC896" s="46"/>
      <c r="AD896" s="46"/>
      <c r="AE896" s="46"/>
      <c r="AF896" s="46"/>
      <c r="AG896" s="46"/>
      <c r="AH896" s="46"/>
      <c r="AI896" s="46"/>
      <c r="AJ896" s="46"/>
      <c r="AK896" s="46"/>
      <c r="AL896" s="46"/>
      <c r="AM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c r="AA897" s="46"/>
      <c r="AB897" s="46"/>
      <c r="AC897" s="46"/>
      <c r="AD897" s="46"/>
      <c r="AE897" s="46"/>
      <c r="AF897" s="46"/>
      <c r="AG897" s="46"/>
      <c r="AH897" s="46"/>
      <c r="AI897" s="46"/>
      <c r="AJ897" s="46"/>
      <c r="AK897" s="46"/>
      <c r="AL897" s="46"/>
      <c r="AM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c r="AA898" s="46"/>
      <c r="AB898" s="46"/>
      <c r="AC898" s="46"/>
      <c r="AD898" s="46"/>
      <c r="AE898" s="46"/>
      <c r="AF898" s="46"/>
      <c r="AG898" s="46"/>
      <c r="AH898" s="46"/>
      <c r="AI898" s="46"/>
      <c r="AJ898" s="46"/>
      <c r="AK898" s="46"/>
      <c r="AL898" s="46"/>
      <c r="AM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c r="AA899" s="46"/>
      <c r="AB899" s="46"/>
      <c r="AC899" s="46"/>
      <c r="AD899" s="46"/>
      <c r="AE899" s="46"/>
      <c r="AF899" s="46"/>
      <c r="AG899" s="46"/>
      <c r="AH899" s="46"/>
      <c r="AI899" s="46"/>
      <c r="AJ899" s="46"/>
      <c r="AK899" s="46"/>
      <c r="AL899" s="46"/>
      <c r="AM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c r="AA900" s="46"/>
      <c r="AB900" s="46"/>
      <c r="AC900" s="46"/>
      <c r="AD900" s="46"/>
      <c r="AE900" s="46"/>
      <c r="AF900" s="46"/>
      <c r="AG900" s="46"/>
      <c r="AH900" s="46"/>
      <c r="AI900" s="46"/>
      <c r="AJ900" s="46"/>
      <c r="AK900" s="46"/>
      <c r="AL900" s="46"/>
      <c r="AM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c r="AA901" s="46"/>
      <c r="AB901" s="46"/>
      <c r="AC901" s="46"/>
      <c r="AD901" s="46"/>
      <c r="AE901" s="46"/>
      <c r="AF901" s="46"/>
      <c r="AG901" s="46"/>
      <c r="AH901" s="46"/>
      <c r="AI901" s="46"/>
      <c r="AJ901" s="46"/>
      <c r="AK901" s="46"/>
      <c r="AL901" s="46"/>
      <c r="AM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c r="AA902" s="46"/>
      <c r="AB902" s="46"/>
      <c r="AC902" s="46"/>
      <c r="AD902" s="46"/>
      <c r="AE902" s="46"/>
      <c r="AF902" s="46"/>
      <c r="AG902" s="46"/>
      <c r="AH902" s="46"/>
      <c r="AI902" s="46"/>
      <c r="AJ902" s="46"/>
      <c r="AK902" s="46"/>
      <c r="AL902" s="46"/>
      <c r="AM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c r="AA903" s="46"/>
      <c r="AB903" s="46"/>
      <c r="AC903" s="46"/>
      <c r="AD903" s="46"/>
      <c r="AE903" s="46"/>
      <c r="AF903" s="46"/>
      <c r="AG903" s="46"/>
      <c r="AH903" s="46"/>
      <c r="AI903" s="46"/>
      <c r="AJ903" s="46"/>
      <c r="AK903" s="46"/>
      <c r="AL903" s="46"/>
      <c r="AM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c r="AA904" s="46"/>
      <c r="AB904" s="46"/>
      <c r="AC904" s="46"/>
      <c r="AD904" s="46"/>
      <c r="AE904" s="46"/>
      <c r="AF904" s="46"/>
      <c r="AG904" s="46"/>
      <c r="AH904" s="46"/>
      <c r="AI904" s="46"/>
      <c r="AJ904" s="46"/>
      <c r="AK904" s="46"/>
      <c r="AL904" s="46"/>
      <c r="AM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c r="AA905" s="46"/>
      <c r="AB905" s="46"/>
      <c r="AC905" s="46"/>
      <c r="AD905" s="46"/>
      <c r="AE905" s="46"/>
      <c r="AF905" s="46"/>
      <c r="AG905" s="46"/>
      <c r="AH905" s="46"/>
      <c r="AI905" s="46"/>
      <c r="AJ905" s="46"/>
      <c r="AK905" s="46"/>
      <c r="AL905" s="46"/>
      <c r="AM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c r="AA906" s="46"/>
      <c r="AB906" s="46"/>
      <c r="AC906" s="46"/>
      <c r="AD906" s="46"/>
      <c r="AE906" s="46"/>
      <c r="AF906" s="46"/>
      <c r="AG906" s="46"/>
      <c r="AH906" s="46"/>
      <c r="AI906" s="46"/>
      <c r="AJ906" s="46"/>
      <c r="AK906" s="46"/>
      <c r="AL906" s="46"/>
      <c r="AM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c r="AA907" s="46"/>
      <c r="AB907" s="46"/>
      <c r="AC907" s="46"/>
      <c r="AD907" s="46"/>
      <c r="AE907" s="46"/>
      <c r="AF907" s="46"/>
      <c r="AG907" s="46"/>
      <c r="AH907" s="46"/>
      <c r="AI907" s="46"/>
      <c r="AJ907" s="46"/>
      <c r="AK907" s="46"/>
      <c r="AL907" s="46"/>
      <c r="AM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c r="AA908" s="46"/>
      <c r="AB908" s="46"/>
      <c r="AC908" s="46"/>
      <c r="AD908" s="46"/>
      <c r="AE908" s="46"/>
      <c r="AF908" s="46"/>
      <c r="AG908" s="46"/>
      <c r="AH908" s="46"/>
      <c r="AI908" s="46"/>
      <c r="AJ908" s="46"/>
      <c r="AK908" s="46"/>
      <c r="AL908" s="46"/>
      <c r="AM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c r="AA909" s="46"/>
      <c r="AB909" s="46"/>
      <c r="AC909" s="46"/>
      <c r="AD909" s="46"/>
      <c r="AE909" s="46"/>
      <c r="AF909" s="46"/>
      <c r="AG909" s="46"/>
      <c r="AH909" s="46"/>
      <c r="AI909" s="46"/>
      <c r="AJ909" s="46"/>
      <c r="AK909" s="46"/>
      <c r="AL909" s="46"/>
      <c r="AM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c r="AA910" s="46"/>
      <c r="AB910" s="46"/>
      <c r="AC910" s="46"/>
      <c r="AD910" s="46"/>
      <c r="AE910" s="46"/>
      <c r="AF910" s="46"/>
      <c r="AG910" s="46"/>
      <c r="AH910" s="46"/>
      <c r="AI910" s="46"/>
      <c r="AJ910" s="46"/>
      <c r="AK910" s="46"/>
      <c r="AL910" s="46"/>
      <c r="AM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c r="AA911" s="46"/>
      <c r="AB911" s="46"/>
      <c r="AC911" s="46"/>
      <c r="AD911" s="46"/>
      <c r="AE911" s="46"/>
      <c r="AF911" s="46"/>
      <c r="AG911" s="46"/>
      <c r="AH911" s="46"/>
      <c r="AI911" s="46"/>
      <c r="AJ911" s="46"/>
      <c r="AK911" s="46"/>
      <c r="AL911" s="46"/>
      <c r="AM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c r="AA912" s="46"/>
      <c r="AB912" s="46"/>
      <c r="AC912" s="46"/>
      <c r="AD912" s="46"/>
      <c r="AE912" s="46"/>
      <c r="AF912" s="46"/>
      <c r="AG912" s="46"/>
      <c r="AH912" s="46"/>
      <c r="AI912" s="46"/>
      <c r="AJ912" s="46"/>
      <c r="AK912" s="46"/>
      <c r="AL912" s="46"/>
      <c r="AM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c r="AA913" s="46"/>
      <c r="AB913" s="46"/>
      <c r="AC913" s="46"/>
      <c r="AD913" s="46"/>
      <c r="AE913" s="46"/>
      <c r="AF913" s="46"/>
      <c r="AG913" s="46"/>
      <c r="AH913" s="46"/>
      <c r="AI913" s="46"/>
      <c r="AJ913" s="46"/>
      <c r="AK913" s="46"/>
      <c r="AL913" s="46"/>
      <c r="AM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c r="AA914" s="46"/>
      <c r="AB914" s="46"/>
      <c r="AC914" s="46"/>
      <c r="AD914" s="46"/>
      <c r="AE914" s="46"/>
      <c r="AF914" s="46"/>
      <c r="AG914" s="46"/>
      <c r="AH914" s="46"/>
      <c r="AI914" s="46"/>
      <c r="AJ914" s="46"/>
      <c r="AK914" s="46"/>
      <c r="AL914" s="46"/>
      <c r="AM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c r="AA915" s="46"/>
      <c r="AB915" s="46"/>
      <c r="AC915" s="46"/>
      <c r="AD915" s="46"/>
      <c r="AE915" s="46"/>
      <c r="AF915" s="46"/>
      <c r="AG915" s="46"/>
      <c r="AH915" s="46"/>
      <c r="AI915" s="46"/>
      <c r="AJ915" s="46"/>
      <c r="AK915" s="46"/>
      <c r="AL915" s="46"/>
      <c r="AM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c r="AA916" s="46"/>
      <c r="AB916" s="46"/>
      <c r="AC916" s="46"/>
      <c r="AD916" s="46"/>
      <c r="AE916" s="46"/>
      <c r="AF916" s="46"/>
      <c r="AG916" s="46"/>
      <c r="AH916" s="46"/>
      <c r="AI916" s="46"/>
      <c r="AJ916" s="46"/>
      <c r="AK916" s="46"/>
      <c r="AL916" s="46"/>
      <c r="AM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c r="AA917" s="46"/>
      <c r="AB917" s="46"/>
      <c r="AC917" s="46"/>
      <c r="AD917" s="46"/>
      <c r="AE917" s="46"/>
      <c r="AF917" s="46"/>
      <c r="AG917" s="46"/>
      <c r="AH917" s="46"/>
      <c r="AI917" s="46"/>
      <c r="AJ917" s="46"/>
      <c r="AK917" s="46"/>
      <c r="AL917" s="46"/>
      <c r="AM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c r="AA918" s="46"/>
      <c r="AB918" s="46"/>
      <c r="AC918" s="46"/>
      <c r="AD918" s="46"/>
      <c r="AE918" s="46"/>
      <c r="AF918" s="46"/>
      <c r="AG918" s="46"/>
      <c r="AH918" s="46"/>
      <c r="AI918" s="46"/>
      <c r="AJ918" s="46"/>
      <c r="AK918" s="46"/>
      <c r="AL918" s="46"/>
      <c r="AM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c r="AA919" s="46"/>
      <c r="AB919" s="46"/>
      <c r="AC919" s="46"/>
      <c r="AD919" s="46"/>
      <c r="AE919" s="46"/>
      <c r="AF919" s="46"/>
      <c r="AG919" s="46"/>
      <c r="AH919" s="46"/>
      <c r="AI919" s="46"/>
      <c r="AJ919" s="46"/>
      <c r="AK919" s="46"/>
      <c r="AL919" s="46"/>
      <c r="AM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c r="AA920" s="46"/>
      <c r="AB920" s="46"/>
      <c r="AC920" s="46"/>
      <c r="AD920" s="46"/>
      <c r="AE920" s="46"/>
      <c r="AF920" s="46"/>
      <c r="AG920" s="46"/>
      <c r="AH920" s="46"/>
      <c r="AI920" s="46"/>
      <c r="AJ920" s="46"/>
      <c r="AK920" s="46"/>
      <c r="AL920" s="46"/>
      <c r="AM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c r="AA921" s="46"/>
      <c r="AB921" s="46"/>
      <c r="AC921" s="46"/>
      <c r="AD921" s="46"/>
      <c r="AE921" s="46"/>
      <c r="AF921" s="46"/>
      <c r="AG921" s="46"/>
      <c r="AH921" s="46"/>
      <c r="AI921" s="46"/>
      <c r="AJ921" s="46"/>
      <c r="AK921" s="46"/>
      <c r="AL921" s="46"/>
      <c r="AM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c r="AA922" s="46"/>
      <c r="AB922" s="46"/>
      <c r="AC922" s="46"/>
      <c r="AD922" s="46"/>
      <c r="AE922" s="46"/>
      <c r="AF922" s="46"/>
      <c r="AG922" s="46"/>
      <c r="AH922" s="46"/>
      <c r="AI922" s="46"/>
      <c r="AJ922" s="46"/>
      <c r="AK922" s="46"/>
      <c r="AL922" s="46"/>
      <c r="AM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c r="AA923" s="46"/>
      <c r="AB923" s="46"/>
      <c r="AC923" s="46"/>
      <c r="AD923" s="46"/>
      <c r="AE923" s="46"/>
      <c r="AF923" s="46"/>
      <c r="AG923" s="46"/>
      <c r="AH923" s="46"/>
      <c r="AI923" s="46"/>
      <c r="AJ923" s="46"/>
      <c r="AK923" s="46"/>
      <c r="AL923" s="46"/>
      <c r="AM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c r="AM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c r="AA925" s="46"/>
      <c r="AB925" s="46"/>
      <c r="AC925" s="46"/>
      <c r="AD925" s="46"/>
      <c r="AE925" s="46"/>
      <c r="AF925" s="46"/>
      <c r="AG925" s="46"/>
      <c r="AH925" s="46"/>
      <c r="AI925" s="46"/>
      <c r="AJ925" s="46"/>
      <c r="AK925" s="46"/>
      <c r="AL925" s="46"/>
      <c r="AM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c r="AA926" s="46"/>
      <c r="AB926" s="46"/>
      <c r="AC926" s="46"/>
      <c r="AD926" s="46"/>
      <c r="AE926" s="46"/>
      <c r="AF926" s="46"/>
      <c r="AG926" s="46"/>
      <c r="AH926" s="46"/>
      <c r="AI926" s="46"/>
      <c r="AJ926" s="46"/>
      <c r="AK926" s="46"/>
      <c r="AL926" s="46"/>
      <c r="AM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c r="AA927" s="46"/>
      <c r="AB927" s="46"/>
      <c r="AC927" s="46"/>
      <c r="AD927" s="46"/>
      <c r="AE927" s="46"/>
      <c r="AF927" s="46"/>
      <c r="AG927" s="46"/>
      <c r="AH927" s="46"/>
      <c r="AI927" s="46"/>
      <c r="AJ927" s="46"/>
      <c r="AK927" s="46"/>
      <c r="AL927" s="46"/>
      <c r="AM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c r="AA928" s="46"/>
      <c r="AB928" s="46"/>
      <c r="AC928" s="46"/>
      <c r="AD928" s="46"/>
      <c r="AE928" s="46"/>
      <c r="AF928" s="46"/>
      <c r="AG928" s="46"/>
      <c r="AH928" s="46"/>
      <c r="AI928" s="46"/>
      <c r="AJ928" s="46"/>
      <c r="AK928" s="46"/>
      <c r="AL928" s="46"/>
      <c r="AM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c r="AA929" s="46"/>
      <c r="AB929" s="46"/>
      <c r="AC929" s="46"/>
      <c r="AD929" s="46"/>
      <c r="AE929" s="46"/>
      <c r="AF929" s="46"/>
      <c r="AG929" s="46"/>
      <c r="AH929" s="46"/>
      <c r="AI929" s="46"/>
      <c r="AJ929" s="46"/>
      <c r="AK929" s="46"/>
      <c r="AL929" s="46"/>
      <c r="AM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c r="AA930" s="46"/>
      <c r="AB930" s="46"/>
      <c r="AC930" s="46"/>
      <c r="AD930" s="46"/>
      <c r="AE930" s="46"/>
      <c r="AF930" s="46"/>
      <c r="AG930" s="46"/>
      <c r="AH930" s="46"/>
      <c r="AI930" s="46"/>
      <c r="AJ930" s="46"/>
      <c r="AK930" s="46"/>
      <c r="AL930" s="46"/>
      <c r="AM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c r="AA931" s="46"/>
      <c r="AB931" s="46"/>
      <c r="AC931" s="46"/>
      <c r="AD931" s="46"/>
      <c r="AE931" s="46"/>
      <c r="AF931" s="46"/>
      <c r="AG931" s="46"/>
      <c r="AH931" s="46"/>
      <c r="AI931" s="46"/>
      <c r="AJ931" s="46"/>
      <c r="AK931" s="46"/>
      <c r="AL931" s="46"/>
      <c r="AM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c r="AA932" s="46"/>
      <c r="AB932" s="46"/>
      <c r="AC932" s="46"/>
      <c r="AD932" s="46"/>
      <c r="AE932" s="46"/>
      <c r="AF932" s="46"/>
      <c r="AG932" s="46"/>
      <c r="AH932" s="46"/>
      <c r="AI932" s="46"/>
      <c r="AJ932" s="46"/>
      <c r="AK932" s="46"/>
      <c r="AL932" s="46"/>
      <c r="AM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c r="AA933" s="46"/>
      <c r="AB933" s="46"/>
      <c r="AC933" s="46"/>
      <c r="AD933" s="46"/>
      <c r="AE933" s="46"/>
      <c r="AF933" s="46"/>
      <c r="AG933" s="46"/>
      <c r="AH933" s="46"/>
      <c r="AI933" s="46"/>
      <c r="AJ933" s="46"/>
      <c r="AK933" s="46"/>
      <c r="AL933" s="46"/>
      <c r="AM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c r="AA934" s="46"/>
      <c r="AB934" s="46"/>
      <c r="AC934" s="46"/>
      <c r="AD934" s="46"/>
      <c r="AE934" s="46"/>
      <c r="AF934" s="46"/>
      <c r="AG934" s="46"/>
      <c r="AH934" s="46"/>
      <c r="AI934" s="46"/>
      <c r="AJ934" s="46"/>
      <c r="AK934" s="46"/>
      <c r="AL934" s="46"/>
      <c r="AM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c r="AA935" s="46"/>
      <c r="AB935" s="46"/>
      <c r="AC935" s="46"/>
      <c r="AD935" s="46"/>
      <c r="AE935" s="46"/>
      <c r="AF935" s="46"/>
      <c r="AG935" s="46"/>
      <c r="AH935" s="46"/>
      <c r="AI935" s="46"/>
      <c r="AJ935" s="46"/>
      <c r="AK935" s="46"/>
      <c r="AL935" s="46"/>
      <c r="AM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c r="AA936" s="46"/>
      <c r="AB936" s="46"/>
      <c r="AC936" s="46"/>
      <c r="AD936" s="46"/>
      <c r="AE936" s="46"/>
      <c r="AF936" s="46"/>
      <c r="AG936" s="46"/>
      <c r="AH936" s="46"/>
      <c r="AI936" s="46"/>
      <c r="AJ936" s="46"/>
      <c r="AK936" s="46"/>
      <c r="AL936" s="46"/>
      <c r="AM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c r="AA937" s="46"/>
      <c r="AB937" s="46"/>
      <c r="AC937" s="46"/>
      <c r="AD937" s="46"/>
      <c r="AE937" s="46"/>
      <c r="AF937" s="46"/>
      <c r="AG937" s="46"/>
      <c r="AH937" s="46"/>
      <c r="AI937" s="46"/>
      <c r="AJ937" s="46"/>
      <c r="AK937" s="46"/>
      <c r="AL937" s="46"/>
      <c r="AM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c r="AA938" s="46"/>
      <c r="AB938" s="46"/>
      <c r="AC938" s="46"/>
      <c r="AD938" s="46"/>
      <c r="AE938" s="46"/>
      <c r="AF938" s="46"/>
      <c r="AG938" s="46"/>
      <c r="AH938" s="46"/>
      <c r="AI938" s="46"/>
      <c r="AJ938" s="46"/>
      <c r="AK938" s="46"/>
      <c r="AL938" s="46"/>
      <c r="AM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c r="AA939" s="46"/>
      <c r="AB939" s="46"/>
      <c r="AC939" s="46"/>
      <c r="AD939" s="46"/>
      <c r="AE939" s="46"/>
      <c r="AF939" s="46"/>
      <c r="AG939" s="46"/>
      <c r="AH939" s="46"/>
      <c r="AI939" s="46"/>
      <c r="AJ939" s="46"/>
      <c r="AK939" s="46"/>
      <c r="AL939" s="46"/>
      <c r="AM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c r="AA940" s="46"/>
      <c r="AB940" s="46"/>
      <c r="AC940" s="46"/>
      <c r="AD940" s="46"/>
      <c r="AE940" s="46"/>
      <c r="AF940" s="46"/>
      <c r="AG940" s="46"/>
      <c r="AH940" s="46"/>
      <c r="AI940" s="46"/>
      <c r="AJ940" s="46"/>
      <c r="AK940" s="46"/>
      <c r="AL940" s="46"/>
      <c r="AM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c r="AA941" s="46"/>
      <c r="AB941" s="46"/>
      <c r="AC941" s="46"/>
      <c r="AD941" s="46"/>
      <c r="AE941" s="46"/>
      <c r="AF941" s="46"/>
      <c r="AG941" s="46"/>
      <c r="AH941" s="46"/>
      <c r="AI941" s="46"/>
      <c r="AJ941" s="46"/>
      <c r="AK941" s="46"/>
      <c r="AL941" s="46"/>
      <c r="AM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c r="AA942" s="46"/>
      <c r="AB942" s="46"/>
      <c r="AC942" s="46"/>
      <c r="AD942" s="46"/>
      <c r="AE942" s="46"/>
      <c r="AF942" s="46"/>
      <c r="AG942" s="46"/>
      <c r="AH942" s="46"/>
      <c r="AI942" s="46"/>
      <c r="AJ942" s="46"/>
      <c r="AK942" s="46"/>
      <c r="AL942" s="46"/>
      <c r="AM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c r="AA943" s="46"/>
      <c r="AB943" s="46"/>
      <c r="AC943" s="46"/>
      <c r="AD943" s="46"/>
      <c r="AE943" s="46"/>
      <c r="AF943" s="46"/>
      <c r="AG943" s="46"/>
      <c r="AH943" s="46"/>
      <c r="AI943" s="46"/>
      <c r="AJ943" s="46"/>
      <c r="AK943" s="46"/>
      <c r="AL943" s="46"/>
      <c r="AM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c r="AA944" s="46"/>
      <c r="AB944" s="46"/>
      <c r="AC944" s="46"/>
      <c r="AD944" s="46"/>
      <c r="AE944" s="46"/>
      <c r="AF944" s="46"/>
      <c r="AG944" s="46"/>
      <c r="AH944" s="46"/>
      <c r="AI944" s="46"/>
      <c r="AJ944" s="46"/>
      <c r="AK944" s="46"/>
      <c r="AL944" s="46"/>
      <c r="AM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c r="AA945" s="46"/>
      <c r="AB945" s="46"/>
      <c r="AC945" s="46"/>
      <c r="AD945" s="46"/>
      <c r="AE945" s="46"/>
      <c r="AF945" s="46"/>
      <c r="AG945" s="46"/>
      <c r="AH945" s="46"/>
      <c r="AI945" s="46"/>
      <c r="AJ945" s="46"/>
      <c r="AK945" s="46"/>
      <c r="AL945" s="46"/>
      <c r="AM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c r="AA946" s="46"/>
      <c r="AB946" s="46"/>
      <c r="AC946" s="46"/>
      <c r="AD946" s="46"/>
      <c r="AE946" s="46"/>
      <c r="AF946" s="46"/>
      <c r="AG946" s="46"/>
      <c r="AH946" s="46"/>
      <c r="AI946" s="46"/>
      <c r="AJ946" s="46"/>
      <c r="AK946" s="46"/>
      <c r="AL946" s="46"/>
      <c r="AM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c r="AA947" s="46"/>
      <c r="AB947" s="46"/>
      <c r="AC947" s="46"/>
      <c r="AD947" s="46"/>
      <c r="AE947" s="46"/>
      <c r="AF947" s="46"/>
      <c r="AG947" s="46"/>
      <c r="AH947" s="46"/>
      <c r="AI947" s="46"/>
      <c r="AJ947" s="46"/>
      <c r="AK947" s="46"/>
      <c r="AL947" s="46"/>
      <c r="AM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c r="AA948" s="46"/>
      <c r="AB948" s="46"/>
      <c r="AC948" s="46"/>
      <c r="AD948" s="46"/>
      <c r="AE948" s="46"/>
      <c r="AF948" s="46"/>
      <c r="AG948" s="46"/>
      <c r="AH948" s="46"/>
      <c r="AI948" s="46"/>
      <c r="AJ948" s="46"/>
      <c r="AK948" s="46"/>
      <c r="AL948" s="46"/>
      <c r="AM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c r="AA949" s="46"/>
      <c r="AB949" s="46"/>
      <c r="AC949" s="46"/>
      <c r="AD949" s="46"/>
      <c r="AE949" s="46"/>
      <c r="AF949" s="46"/>
      <c r="AG949" s="46"/>
      <c r="AH949" s="46"/>
      <c r="AI949" s="46"/>
      <c r="AJ949" s="46"/>
      <c r="AK949" s="46"/>
      <c r="AL949" s="46"/>
      <c r="AM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c r="AA950" s="46"/>
      <c r="AB950" s="46"/>
      <c r="AC950" s="46"/>
      <c r="AD950" s="46"/>
      <c r="AE950" s="46"/>
      <c r="AF950" s="46"/>
      <c r="AG950" s="46"/>
      <c r="AH950" s="46"/>
      <c r="AI950" s="46"/>
      <c r="AJ950" s="46"/>
      <c r="AK950" s="46"/>
      <c r="AL950" s="46"/>
      <c r="AM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c r="AA951" s="46"/>
      <c r="AB951" s="46"/>
      <c r="AC951" s="46"/>
      <c r="AD951" s="46"/>
      <c r="AE951" s="46"/>
      <c r="AF951" s="46"/>
      <c r="AG951" s="46"/>
      <c r="AH951" s="46"/>
      <c r="AI951" s="46"/>
      <c r="AJ951" s="46"/>
      <c r="AK951" s="46"/>
      <c r="AL951" s="46"/>
      <c r="AM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c r="AA952" s="46"/>
      <c r="AB952" s="46"/>
      <c r="AC952" s="46"/>
      <c r="AD952" s="46"/>
      <c r="AE952" s="46"/>
      <c r="AF952" s="46"/>
      <c r="AG952" s="46"/>
      <c r="AH952" s="46"/>
      <c r="AI952" s="46"/>
      <c r="AJ952" s="46"/>
      <c r="AK952" s="46"/>
      <c r="AL952" s="46"/>
      <c r="AM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c r="AA953" s="46"/>
      <c r="AB953" s="46"/>
      <c r="AC953" s="46"/>
      <c r="AD953" s="46"/>
      <c r="AE953" s="46"/>
      <c r="AF953" s="46"/>
      <c r="AG953" s="46"/>
      <c r="AH953" s="46"/>
      <c r="AI953" s="46"/>
      <c r="AJ953" s="46"/>
      <c r="AK953" s="46"/>
      <c r="AL953" s="46"/>
      <c r="AM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c r="AA954" s="46"/>
      <c r="AB954" s="46"/>
      <c r="AC954" s="46"/>
      <c r="AD954" s="46"/>
      <c r="AE954" s="46"/>
      <c r="AF954" s="46"/>
      <c r="AG954" s="46"/>
      <c r="AH954" s="46"/>
      <c r="AI954" s="46"/>
      <c r="AJ954" s="46"/>
      <c r="AK954" s="46"/>
      <c r="AL954" s="46"/>
      <c r="AM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c r="AA955" s="46"/>
      <c r="AB955" s="46"/>
      <c r="AC955" s="46"/>
      <c r="AD955" s="46"/>
      <c r="AE955" s="46"/>
      <c r="AF955" s="46"/>
      <c r="AG955" s="46"/>
      <c r="AH955" s="46"/>
      <c r="AI955" s="46"/>
      <c r="AJ955" s="46"/>
      <c r="AK955" s="46"/>
      <c r="AL955" s="46"/>
      <c r="AM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c r="AA956" s="46"/>
      <c r="AB956" s="46"/>
      <c r="AC956" s="46"/>
      <c r="AD956" s="46"/>
      <c r="AE956" s="46"/>
      <c r="AF956" s="46"/>
      <c r="AG956" s="46"/>
      <c r="AH956" s="46"/>
      <c r="AI956" s="46"/>
      <c r="AJ956" s="46"/>
      <c r="AK956" s="46"/>
      <c r="AL956" s="46"/>
      <c r="AM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c r="AA957" s="46"/>
      <c r="AB957" s="46"/>
      <c r="AC957" s="46"/>
      <c r="AD957" s="46"/>
      <c r="AE957" s="46"/>
      <c r="AF957" s="46"/>
      <c r="AG957" s="46"/>
      <c r="AH957" s="46"/>
      <c r="AI957" s="46"/>
      <c r="AJ957" s="46"/>
      <c r="AK957" s="46"/>
      <c r="AL957" s="46"/>
      <c r="AM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c r="AA958" s="46"/>
      <c r="AB958" s="46"/>
      <c r="AC958" s="46"/>
      <c r="AD958" s="46"/>
      <c r="AE958" s="46"/>
      <c r="AF958" s="46"/>
      <c r="AG958" s="46"/>
      <c r="AH958" s="46"/>
      <c r="AI958" s="46"/>
      <c r="AJ958" s="46"/>
      <c r="AK958" s="46"/>
      <c r="AL958" s="46"/>
      <c r="AM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c r="AA959" s="46"/>
      <c r="AB959" s="46"/>
      <c r="AC959" s="46"/>
      <c r="AD959" s="46"/>
      <c r="AE959" s="46"/>
      <c r="AF959" s="46"/>
      <c r="AG959" s="46"/>
      <c r="AH959" s="46"/>
      <c r="AI959" s="46"/>
      <c r="AJ959" s="46"/>
      <c r="AK959" s="46"/>
      <c r="AL959" s="46"/>
      <c r="AM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c r="AA960" s="46"/>
      <c r="AB960" s="46"/>
      <c r="AC960" s="46"/>
      <c r="AD960" s="46"/>
      <c r="AE960" s="46"/>
      <c r="AF960" s="46"/>
      <c r="AG960" s="46"/>
      <c r="AH960" s="46"/>
      <c r="AI960" s="46"/>
      <c r="AJ960" s="46"/>
      <c r="AK960" s="46"/>
      <c r="AL960" s="46"/>
      <c r="AM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c r="AA961" s="46"/>
      <c r="AB961" s="46"/>
      <c r="AC961" s="46"/>
      <c r="AD961" s="46"/>
      <c r="AE961" s="46"/>
      <c r="AF961" s="46"/>
      <c r="AG961" s="46"/>
      <c r="AH961" s="46"/>
      <c r="AI961" s="46"/>
      <c r="AJ961" s="46"/>
      <c r="AK961" s="46"/>
      <c r="AL961" s="46"/>
      <c r="AM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c r="AA962" s="46"/>
      <c r="AB962" s="46"/>
      <c r="AC962" s="46"/>
      <c r="AD962" s="46"/>
      <c r="AE962" s="46"/>
      <c r="AF962" s="46"/>
      <c r="AG962" s="46"/>
      <c r="AH962" s="46"/>
      <c r="AI962" s="46"/>
      <c r="AJ962" s="46"/>
      <c r="AK962" s="46"/>
      <c r="AL962" s="46"/>
      <c r="AM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c r="AA963" s="46"/>
      <c r="AB963" s="46"/>
      <c r="AC963" s="46"/>
      <c r="AD963" s="46"/>
      <c r="AE963" s="46"/>
      <c r="AF963" s="46"/>
      <c r="AG963" s="46"/>
      <c r="AH963" s="46"/>
      <c r="AI963" s="46"/>
      <c r="AJ963" s="46"/>
      <c r="AK963" s="46"/>
      <c r="AL963" s="46"/>
      <c r="AM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c r="AA964" s="46"/>
      <c r="AB964" s="46"/>
      <c r="AC964" s="46"/>
      <c r="AD964" s="46"/>
      <c r="AE964" s="46"/>
      <c r="AF964" s="46"/>
      <c r="AG964" s="46"/>
      <c r="AH964" s="46"/>
      <c r="AI964" s="46"/>
      <c r="AJ964" s="46"/>
      <c r="AK964" s="46"/>
      <c r="AL964" s="46"/>
      <c r="AM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c r="AA965" s="46"/>
      <c r="AB965" s="46"/>
      <c r="AC965" s="46"/>
      <c r="AD965" s="46"/>
      <c r="AE965" s="46"/>
      <c r="AF965" s="46"/>
      <c r="AG965" s="46"/>
      <c r="AH965" s="46"/>
      <c r="AI965" s="46"/>
      <c r="AJ965" s="46"/>
      <c r="AK965" s="46"/>
      <c r="AL965" s="46"/>
      <c r="AM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c r="AA966" s="46"/>
      <c r="AB966" s="46"/>
      <c r="AC966" s="46"/>
      <c r="AD966" s="46"/>
      <c r="AE966" s="46"/>
      <c r="AF966" s="46"/>
      <c r="AG966" s="46"/>
      <c r="AH966" s="46"/>
      <c r="AI966" s="46"/>
      <c r="AJ966" s="46"/>
      <c r="AK966" s="46"/>
      <c r="AL966" s="46"/>
      <c r="AM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c r="AA967" s="46"/>
      <c r="AB967" s="46"/>
      <c r="AC967" s="46"/>
      <c r="AD967" s="46"/>
      <c r="AE967" s="46"/>
      <c r="AF967" s="46"/>
      <c r="AG967" s="46"/>
      <c r="AH967" s="46"/>
      <c r="AI967" s="46"/>
      <c r="AJ967" s="46"/>
      <c r="AK967" s="46"/>
      <c r="AL967" s="46"/>
      <c r="AM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c r="AA968" s="46"/>
      <c r="AB968" s="46"/>
      <c r="AC968" s="46"/>
      <c r="AD968" s="46"/>
      <c r="AE968" s="46"/>
      <c r="AF968" s="46"/>
      <c r="AG968" s="46"/>
      <c r="AH968" s="46"/>
      <c r="AI968" s="46"/>
      <c r="AJ968" s="46"/>
      <c r="AK968" s="46"/>
      <c r="AL968" s="46"/>
      <c r="AM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c r="AA969" s="46"/>
      <c r="AB969" s="46"/>
      <c r="AC969" s="46"/>
      <c r="AD969" s="46"/>
      <c r="AE969" s="46"/>
      <c r="AF969" s="46"/>
      <c r="AG969" s="46"/>
      <c r="AH969" s="46"/>
      <c r="AI969" s="46"/>
      <c r="AJ969" s="46"/>
      <c r="AK969" s="46"/>
      <c r="AL969" s="46"/>
      <c r="AM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c r="AA970" s="46"/>
      <c r="AB970" s="46"/>
      <c r="AC970" s="46"/>
      <c r="AD970" s="46"/>
      <c r="AE970" s="46"/>
      <c r="AF970" s="46"/>
      <c r="AG970" s="46"/>
      <c r="AH970" s="46"/>
      <c r="AI970" s="46"/>
      <c r="AJ970" s="46"/>
      <c r="AK970" s="46"/>
      <c r="AL970" s="46"/>
      <c r="AM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c r="AA971" s="46"/>
      <c r="AB971" s="46"/>
      <c r="AC971" s="46"/>
      <c r="AD971" s="46"/>
      <c r="AE971" s="46"/>
      <c r="AF971" s="46"/>
      <c r="AG971" s="46"/>
      <c r="AH971" s="46"/>
      <c r="AI971" s="46"/>
      <c r="AJ971" s="46"/>
      <c r="AK971" s="46"/>
      <c r="AL971" s="46"/>
      <c r="AM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c r="AA972" s="46"/>
      <c r="AB972" s="46"/>
      <c r="AC972" s="46"/>
      <c r="AD972" s="46"/>
      <c r="AE972" s="46"/>
      <c r="AF972" s="46"/>
      <c r="AG972" s="46"/>
      <c r="AH972" s="46"/>
      <c r="AI972" s="46"/>
      <c r="AJ972" s="46"/>
      <c r="AK972" s="46"/>
      <c r="AL972" s="46"/>
      <c r="AM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c r="AA973" s="46"/>
      <c r="AB973" s="46"/>
      <c r="AC973" s="46"/>
      <c r="AD973" s="46"/>
      <c r="AE973" s="46"/>
      <c r="AF973" s="46"/>
      <c r="AG973" s="46"/>
      <c r="AH973" s="46"/>
      <c r="AI973" s="46"/>
      <c r="AJ973" s="46"/>
      <c r="AK973" s="46"/>
      <c r="AL973" s="46"/>
      <c r="AM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c r="AA974" s="46"/>
      <c r="AB974" s="46"/>
      <c r="AC974" s="46"/>
      <c r="AD974" s="46"/>
      <c r="AE974" s="46"/>
      <c r="AF974" s="46"/>
      <c r="AG974" s="46"/>
      <c r="AH974" s="46"/>
      <c r="AI974" s="46"/>
      <c r="AJ974" s="46"/>
      <c r="AK974" s="46"/>
      <c r="AL974" s="46"/>
      <c r="AM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c r="AA975" s="46"/>
      <c r="AB975" s="46"/>
      <c r="AC975" s="46"/>
      <c r="AD975" s="46"/>
      <c r="AE975" s="46"/>
      <c r="AF975" s="46"/>
      <c r="AG975" s="46"/>
      <c r="AH975" s="46"/>
      <c r="AI975" s="46"/>
      <c r="AJ975" s="46"/>
      <c r="AK975" s="46"/>
      <c r="AL975" s="46"/>
      <c r="AM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c r="AA976" s="46"/>
      <c r="AB976" s="46"/>
      <c r="AC976" s="46"/>
      <c r="AD976" s="46"/>
      <c r="AE976" s="46"/>
      <c r="AF976" s="46"/>
      <c r="AG976" s="46"/>
      <c r="AH976" s="46"/>
      <c r="AI976" s="46"/>
      <c r="AJ976" s="46"/>
      <c r="AK976" s="46"/>
      <c r="AL976" s="46"/>
      <c r="AM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c r="AA977" s="46"/>
      <c r="AB977" s="46"/>
      <c r="AC977" s="46"/>
      <c r="AD977" s="46"/>
      <c r="AE977" s="46"/>
      <c r="AF977" s="46"/>
      <c r="AG977" s="46"/>
      <c r="AH977" s="46"/>
      <c r="AI977" s="46"/>
      <c r="AJ977" s="46"/>
      <c r="AK977" s="46"/>
      <c r="AL977" s="46"/>
      <c r="AM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c r="AA978" s="46"/>
      <c r="AB978" s="46"/>
      <c r="AC978" s="46"/>
      <c r="AD978" s="46"/>
      <c r="AE978" s="46"/>
      <c r="AF978" s="46"/>
      <c r="AG978" s="46"/>
      <c r="AH978" s="46"/>
      <c r="AI978" s="46"/>
      <c r="AJ978" s="46"/>
      <c r="AK978" s="46"/>
      <c r="AL978" s="46"/>
      <c r="AM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c r="AA979" s="46"/>
      <c r="AB979" s="46"/>
      <c r="AC979" s="46"/>
      <c r="AD979" s="46"/>
      <c r="AE979" s="46"/>
      <c r="AF979" s="46"/>
      <c r="AG979" s="46"/>
      <c r="AH979" s="46"/>
      <c r="AI979" s="46"/>
      <c r="AJ979" s="46"/>
      <c r="AK979" s="46"/>
      <c r="AL979" s="46"/>
      <c r="AM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c r="AA980" s="46"/>
      <c r="AB980" s="46"/>
      <c r="AC980" s="46"/>
      <c r="AD980" s="46"/>
      <c r="AE980" s="46"/>
      <c r="AF980" s="46"/>
      <c r="AG980" s="46"/>
      <c r="AH980" s="46"/>
      <c r="AI980" s="46"/>
      <c r="AJ980" s="46"/>
      <c r="AK980" s="46"/>
      <c r="AL980" s="46"/>
      <c r="AM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c r="AA981" s="46"/>
      <c r="AB981" s="46"/>
      <c r="AC981" s="46"/>
      <c r="AD981" s="46"/>
      <c r="AE981" s="46"/>
      <c r="AF981" s="46"/>
      <c r="AG981" s="46"/>
      <c r="AH981" s="46"/>
      <c r="AI981" s="46"/>
      <c r="AJ981" s="46"/>
      <c r="AK981" s="46"/>
      <c r="AL981" s="46"/>
      <c r="AM981" s="46"/>
    </row>
  </sheetData>
  <conditionalFormatting sqref="A2:A16 C2:N16 O2:O17 P2:Z16">
    <cfRule type="expression" dxfId="3" priority="1">
      <formula>"#DIV/"</formula>
    </cfRule>
  </conditionalFormatting>
  <conditionalFormatting sqref="AA2:AA981">
    <cfRule type="cellIs" dxfId="4" priority="2" operator="lessThan">
      <formula>182.5</formula>
    </cfRule>
  </conditionalFormatting>
  <conditionalFormatting sqref="D2:N13 O2:O17 P2:Z16">
    <cfRule type="cellIs" dxfId="4" priority="3" operator="lessThanOrEqual">
      <formula>24</formula>
    </cfRule>
  </conditionalFormatting>
  <conditionalFormatting sqref="D2:N13 O2:O17 P2:Z16">
    <cfRule type="cellIs" dxfId="0" priority="4" operator="greaterThanOrEqual">
      <formula>30</formula>
    </cfRule>
  </conditionalFormatting>
  <dataValidations>
    <dataValidation type="list" allowBlank="1" showErrorMessage="1" sqref="A2:A16">
      <formula1>'Employees List'!$B$2:$B$991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75"/>
    <col customWidth="1" min="5" max="7" width="14.13"/>
    <col customWidth="1" min="8" max="8" width="22.88"/>
    <col customWidth="1" min="9" max="9" width="14.63"/>
  </cols>
  <sheetData>
    <row r="1">
      <c r="A1" s="49" t="s">
        <v>173</v>
      </c>
      <c r="B1" s="49" t="s">
        <v>4</v>
      </c>
      <c r="C1" s="49" t="s">
        <v>174</v>
      </c>
      <c r="D1" s="49" t="s">
        <v>175</v>
      </c>
      <c r="E1" s="49" t="s">
        <v>176</v>
      </c>
      <c r="F1" s="49" t="s">
        <v>177</v>
      </c>
      <c r="G1" s="49" t="s">
        <v>178</v>
      </c>
      <c r="H1" s="49" t="s">
        <v>179</v>
      </c>
      <c r="I1" s="49" t="s">
        <v>11</v>
      </c>
      <c r="J1" s="50"/>
      <c r="K1" s="50"/>
      <c r="L1" s="50"/>
      <c r="M1" s="50"/>
      <c r="N1" s="50"/>
      <c r="O1" s="50"/>
      <c r="P1" s="50"/>
      <c r="Q1" s="50"/>
      <c r="R1" s="50"/>
      <c r="S1" s="50"/>
      <c r="T1" s="50"/>
      <c r="U1" s="50"/>
      <c r="V1" s="50"/>
      <c r="W1" s="50"/>
      <c r="X1" s="50"/>
      <c r="Y1" s="50"/>
      <c r="Z1" s="50"/>
      <c r="AA1" s="50"/>
      <c r="AB1" s="50"/>
    </row>
    <row r="2">
      <c r="A2" s="5">
        <v>45889.0</v>
      </c>
      <c r="B2" s="10" t="str">
        <f>IFERROR(VLOOKUP(C2,'Employees List'!$B$1:$G$999,4,0),"")</f>
        <v>GANESH</v>
      </c>
      <c r="C2" s="9" t="s">
        <v>22</v>
      </c>
      <c r="D2" s="9" t="s">
        <v>29</v>
      </c>
      <c r="E2" s="51"/>
      <c r="F2" s="51">
        <v>40500.0</v>
      </c>
      <c r="G2" s="51"/>
      <c r="H2" s="52" t="s">
        <v>180</v>
      </c>
      <c r="I2" s="53" t="s">
        <v>181</v>
      </c>
      <c r="J2" s="54"/>
      <c r="K2" s="54"/>
      <c r="L2" s="54"/>
      <c r="M2" s="54"/>
      <c r="N2" s="54"/>
      <c r="O2" s="54"/>
      <c r="P2" s="54"/>
      <c r="Q2" s="54"/>
      <c r="R2" s="54"/>
      <c r="S2" s="54"/>
      <c r="T2" s="54"/>
      <c r="U2" s="54"/>
      <c r="V2" s="54"/>
      <c r="W2" s="54"/>
      <c r="X2" s="54"/>
      <c r="Y2" s="54"/>
      <c r="Z2" s="54"/>
      <c r="AA2" s="54"/>
      <c r="AB2" s="54"/>
    </row>
    <row r="3">
      <c r="A3" s="5">
        <v>45889.0</v>
      </c>
      <c r="B3" s="10" t="str">
        <f>IFERROR(VLOOKUP(C3,'Employees List'!$B$1:$G$999,4,0),"")</f>
        <v>REVATHI.S</v>
      </c>
      <c r="C3" s="9" t="s">
        <v>46</v>
      </c>
      <c r="D3" s="9" t="s">
        <v>29</v>
      </c>
      <c r="E3" s="51"/>
      <c r="F3" s="51">
        <v>2000.0</v>
      </c>
      <c r="G3" s="51">
        <v>1000.0</v>
      </c>
      <c r="H3" s="52" t="s">
        <v>180</v>
      </c>
      <c r="I3" s="53" t="s">
        <v>181</v>
      </c>
      <c r="J3" s="54"/>
      <c r="K3" s="54"/>
      <c r="L3" s="54"/>
      <c r="M3" s="54"/>
      <c r="N3" s="54"/>
      <c r="O3" s="54"/>
      <c r="P3" s="54"/>
      <c r="Q3" s="54"/>
      <c r="R3" s="54"/>
      <c r="S3" s="54"/>
      <c r="T3" s="54"/>
      <c r="U3" s="54"/>
      <c r="V3" s="54"/>
      <c r="W3" s="54"/>
      <c r="X3" s="54"/>
      <c r="Y3" s="54"/>
      <c r="Z3" s="54"/>
      <c r="AA3" s="54"/>
      <c r="AB3" s="54"/>
    </row>
    <row r="4">
      <c r="A4" s="5">
        <v>45889.0</v>
      </c>
      <c r="B4" s="10" t="str">
        <f>IFERROR(VLOOKUP(C4,'Employees List'!$B$1:$G$999,4,0),"")</f>
        <v>REVATHI.S</v>
      </c>
      <c r="C4" s="9" t="s">
        <v>46</v>
      </c>
      <c r="D4" s="9" t="s">
        <v>29</v>
      </c>
      <c r="E4" s="51">
        <v>2000.0</v>
      </c>
      <c r="F4" s="51">
        <v>2000.0</v>
      </c>
      <c r="G4" s="51">
        <v>2000.0</v>
      </c>
      <c r="H4" s="52" t="s">
        <v>182</v>
      </c>
      <c r="I4" s="53" t="s">
        <v>181</v>
      </c>
      <c r="J4" s="54"/>
      <c r="K4" s="54"/>
      <c r="L4" s="54"/>
      <c r="M4" s="54"/>
      <c r="N4" s="54"/>
      <c r="O4" s="54"/>
      <c r="P4" s="54"/>
      <c r="Q4" s="54"/>
      <c r="R4" s="54"/>
      <c r="S4" s="54"/>
      <c r="T4" s="54"/>
      <c r="U4" s="54"/>
      <c r="V4" s="54"/>
      <c r="W4" s="54"/>
      <c r="X4" s="54"/>
      <c r="Y4" s="54"/>
      <c r="Z4" s="54"/>
      <c r="AA4" s="54"/>
      <c r="AB4" s="54"/>
    </row>
    <row r="5">
      <c r="A5" s="5">
        <v>45894.0</v>
      </c>
      <c r="B5" s="10" t="str">
        <f>IFERROR(VLOOKUP(C5,'Employees List'!$B$1:$G$999,4,0),"")</f>
        <v>LIPAN</v>
      </c>
      <c r="C5" s="9" t="s">
        <v>87</v>
      </c>
      <c r="D5" s="9" t="s">
        <v>29</v>
      </c>
      <c r="E5" s="51">
        <v>5000.0</v>
      </c>
      <c r="F5" s="51">
        <v>5000.0</v>
      </c>
      <c r="G5" s="51">
        <v>5000.0</v>
      </c>
      <c r="H5" s="52" t="s">
        <v>183</v>
      </c>
      <c r="I5" s="53" t="s">
        <v>181</v>
      </c>
      <c r="J5" s="54"/>
      <c r="K5" s="54"/>
      <c r="L5" s="54"/>
      <c r="M5" s="54"/>
      <c r="N5" s="54"/>
      <c r="O5" s="54"/>
      <c r="P5" s="54"/>
      <c r="Q5" s="54"/>
      <c r="R5" s="54"/>
      <c r="S5" s="54"/>
      <c r="T5" s="54"/>
      <c r="U5" s="54"/>
      <c r="V5" s="54"/>
      <c r="W5" s="54"/>
      <c r="X5" s="54"/>
      <c r="Y5" s="54"/>
      <c r="Z5" s="54"/>
      <c r="AA5" s="54"/>
      <c r="AB5" s="54"/>
    </row>
    <row r="6">
      <c r="A6" s="5">
        <v>45897.0</v>
      </c>
      <c r="B6" s="10" t="str">
        <f>IFERROR(VLOOKUP(C6,'Employees List'!$B$1:$G$999,4,0),"")</f>
        <v>ADHIKARI BALIA.A</v>
      </c>
      <c r="C6" s="9" t="s">
        <v>26</v>
      </c>
      <c r="D6" s="9" t="s">
        <v>29</v>
      </c>
      <c r="E6" s="51">
        <v>2000.0</v>
      </c>
      <c r="F6" s="51">
        <v>2000.0</v>
      </c>
      <c r="G6" s="51"/>
      <c r="H6" s="52" t="s">
        <v>184</v>
      </c>
      <c r="I6" s="53" t="s">
        <v>181</v>
      </c>
      <c r="J6" s="54"/>
      <c r="K6" s="54"/>
      <c r="L6" s="54"/>
      <c r="M6" s="54"/>
      <c r="N6" s="54"/>
      <c r="O6" s="54"/>
      <c r="P6" s="54"/>
      <c r="Q6" s="54"/>
      <c r="R6" s="54"/>
      <c r="S6" s="54"/>
      <c r="T6" s="54"/>
      <c r="U6" s="54"/>
      <c r="V6" s="54"/>
      <c r="W6" s="54"/>
      <c r="X6" s="54"/>
      <c r="Y6" s="54"/>
      <c r="Z6" s="54"/>
      <c r="AA6" s="54"/>
      <c r="AB6" s="54"/>
    </row>
    <row r="7">
      <c r="A7" s="5">
        <v>45901.0</v>
      </c>
      <c r="B7" s="10" t="str">
        <f>IFERROR(VLOOKUP(C7,'Employees List'!$B$1:$G$999,4,0),"")</f>
        <v>ADHIKARI BALIA.A</v>
      </c>
      <c r="C7" s="9" t="s">
        <v>26</v>
      </c>
      <c r="D7" s="9" t="s">
        <v>33</v>
      </c>
      <c r="E7" s="51">
        <v>5000.0</v>
      </c>
      <c r="F7" s="51">
        <v>5000.0</v>
      </c>
      <c r="G7" s="51">
        <v>7000.0</v>
      </c>
      <c r="H7" s="52" t="s">
        <v>185</v>
      </c>
      <c r="I7" s="53" t="s">
        <v>181</v>
      </c>
      <c r="J7" s="54"/>
      <c r="K7" s="54"/>
      <c r="L7" s="54"/>
      <c r="M7" s="54"/>
      <c r="N7" s="54"/>
      <c r="O7" s="54"/>
      <c r="P7" s="54"/>
      <c r="Q7" s="54"/>
      <c r="R7" s="54"/>
      <c r="S7" s="54"/>
      <c r="T7" s="54"/>
      <c r="U7" s="54"/>
      <c r="V7" s="54"/>
      <c r="W7" s="54"/>
      <c r="X7" s="54"/>
      <c r="Y7" s="54"/>
      <c r="Z7" s="54"/>
      <c r="AA7" s="54"/>
      <c r="AB7" s="54"/>
    </row>
    <row r="8">
      <c r="A8" s="5">
        <v>45903.0</v>
      </c>
      <c r="B8" s="10" t="str">
        <f>IFERROR(VLOOKUP(C8,'Employees List'!$B$1:$G$999,4,0),"")</f>
        <v>RUPESH KISAN</v>
      </c>
      <c r="C8" s="9" t="s">
        <v>30</v>
      </c>
      <c r="D8" s="9" t="s">
        <v>33</v>
      </c>
      <c r="E8" s="51">
        <v>10000.0</v>
      </c>
      <c r="F8" s="51">
        <v>7000.0</v>
      </c>
      <c r="G8" s="51">
        <v>7000.0</v>
      </c>
      <c r="H8" s="52" t="s">
        <v>186</v>
      </c>
      <c r="I8" s="53" t="s">
        <v>181</v>
      </c>
      <c r="J8" s="54"/>
      <c r="K8" s="54"/>
      <c r="L8" s="54"/>
      <c r="M8" s="54"/>
      <c r="N8" s="54"/>
      <c r="O8" s="54"/>
      <c r="P8" s="54"/>
      <c r="Q8" s="54"/>
      <c r="R8" s="54"/>
      <c r="S8" s="54"/>
      <c r="T8" s="54"/>
      <c r="U8" s="54"/>
      <c r="V8" s="54"/>
      <c r="W8" s="54"/>
      <c r="X8" s="54"/>
      <c r="Y8" s="54"/>
      <c r="Z8" s="54"/>
      <c r="AA8" s="54"/>
      <c r="AB8" s="54"/>
    </row>
    <row r="9">
      <c r="A9" s="5">
        <v>45904.0</v>
      </c>
      <c r="B9" s="10" t="str">
        <f>IFERROR(VLOOKUP(C9,'Employees List'!$B$1:$G$999,4,0),"")</f>
        <v>GANESH</v>
      </c>
      <c r="C9" s="9" t="s">
        <v>22</v>
      </c>
      <c r="D9" s="9" t="s">
        <v>33</v>
      </c>
      <c r="E9" s="51">
        <v>500.0</v>
      </c>
      <c r="F9" s="51">
        <v>500.0</v>
      </c>
      <c r="G9" s="51">
        <v>5000.0</v>
      </c>
      <c r="H9" s="52" t="s">
        <v>187</v>
      </c>
      <c r="I9" s="53" t="s">
        <v>181</v>
      </c>
      <c r="J9" s="54"/>
      <c r="K9" s="54"/>
      <c r="L9" s="54"/>
      <c r="M9" s="54"/>
      <c r="N9" s="54"/>
      <c r="O9" s="54"/>
      <c r="P9" s="54"/>
      <c r="Q9" s="54"/>
      <c r="R9" s="54"/>
      <c r="S9" s="54"/>
      <c r="T9" s="54"/>
      <c r="U9" s="54"/>
      <c r="V9" s="54"/>
      <c r="W9" s="54"/>
      <c r="X9" s="54"/>
      <c r="Y9" s="54"/>
      <c r="Z9" s="54"/>
      <c r="AA9" s="54"/>
      <c r="AB9" s="54"/>
    </row>
    <row r="10">
      <c r="A10" s="5">
        <v>45917.0</v>
      </c>
      <c r="B10" s="10" t="str">
        <f>IFERROR(VLOOKUP(C10,'Employees List'!$B$1:$G$999,4,0),"")</f>
        <v>REVATHI.S</v>
      </c>
      <c r="C10" s="9" t="s">
        <v>46</v>
      </c>
      <c r="D10" s="9" t="s">
        <v>33</v>
      </c>
      <c r="E10" s="51">
        <v>3000.0</v>
      </c>
      <c r="F10" s="51">
        <v>3000.0</v>
      </c>
      <c r="G10" s="51">
        <v>3000.0</v>
      </c>
      <c r="H10" s="52" t="s">
        <v>186</v>
      </c>
      <c r="I10" s="53" t="s">
        <v>181</v>
      </c>
      <c r="J10" s="54"/>
      <c r="K10" s="54"/>
      <c r="L10" s="54"/>
      <c r="M10" s="54"/>
      <c r="N10" s="54"/>
      <c r="O10" s="54"/>
      <c r="P10" s="54"/>
      <c r="Q10" s="54"/>
      <c r="R10" s="54"/>
      <c r="S10" s="54"/>
      <c r="T10" s="54"/>
      <c r="U10" s="54"/>
      <c r="V10" s="54"/>
      <c r="W10" s="54"/>
      <c r="X10" s="54"/>
      <c r="Y10" s="54"/>
      <c r="Z10" s="54"/>
      <c r="AA10" s="54"/>
      <c r="AB10" s="54"/>
    </row>
    <row r="11">
      <c r="A11" s="5">
        <v>45922.0</v>
      </c>
      <c r="B11" s="10" t="str">
        <f>IFERROR(VLOOKUP(C11,'Employees List'!$B$1:$G$999,4,0),"")</f>
        <v>SANJAY BAGARTTI.K</v>
      </c>
      <c r="C11" s="9" t="s">
        <v>34</v>
      </c>
      <c r="D11" s="9" t="s">
        <v>33</v>
      </c>
      <c r="E11" s="51">
        <v>5000.0</v>
      </c>
      <c r="F11" s="51">
        <v>5000.0</v>
      </c>
      <c r="G11" s="51">
        <v>5000.0</v>
      </c>
      <c r="H11" s="52" t="s">
        <v>188</v>
      </c>
      <c r="I11" s="53" t="s">
        <v>181</v>
      </c>
      <c r="J11" s="54"/>
      <c r="K11" s="54"/>
      <c r="L11" s="54"/>
      <c r="M11" s="53"/>
      <c r="N11" s="55"/>
      <c r="O11" s="54"/>
      <c r="P11" s="54"/>
      <c r="Q11" s="54"/>
      <c r="R11" s="54"/>
      <c r="S11" s="54"/>
      <c r="T11" s="54"/>
      <c r="U11" s="54"/>
      <c r="V11" s="54"/>
      <c r="W11" s="54"/>
      <c r="X11" s="54"/>
      <c r="Y11" s="54"/>
      <c r="Z11" s="54"/>
      <c r="AA11" s="54"/>
      <c r="AB11" s="54"/>
    </row>
    <row r="12">
      <c r="A12" s="5">
        <v>45929.0</v>
      </c>
      <c r="B12" s="10" t="str">
        <f>IFERROR(VLOOKUP(C12,'Employees List'!$B$1:$G$999,4,0),"")</f>
        <v>RUPESH KISAN</v>
      </c>
      <c r="C12" s="9" t="s">
        <v>30</v>
      </c>
      <c r="D12" s="9" t="s">
        <v>33</v>
      </c>
      <c r="E12" s="51">
        <v>1000.0</v>
      </c>
      <c r="F12" s="51"/>
      <c r="G12" s="51"/>
      <c r="H12" s="52" t="s">
        <v>189</v>
      </c>
      <c r="I12" s="53" t="s">
        <v>190</v>
      </c>
      <c r="J12" s="54"/>
      <c r="K12" s="54"/>
      <c r="L12" s="54"/>
      <c r="N12" s="54"/>
      <c r="O12" s="54"/>
      <c r="P12" s="54"/>
      <c r="Q12" s="54"/>
      <c r="R12" s="54"/>
      <c r="S12" s="54"/>
      <c r="T12" s="54"/>
      <c r="U12" s="54"/>
      <c r="V12" s="54"/>
      <c r="W12" s="54"/>
      <c r="X12" s="54"/>
      <c r="Y12" s="54"/>
      <c r="Z12" s="54"/>
      <c r="AA12" s="54"/>
      <c r="AB12" s="54"/>
    </row>
    <row r="13">
      <c r="A13" s="5">
        <v>45929.0</v>
      </c>
      <c r="B13" s="10" t="str">
        <f>IFERROR(VLOOKUP(C13,'Employees List'!$B$1:$G$999,4,0),"")</f>
        <v>GANESH</v>
      </c>
      <c r="C13" s="9" t="s">
        <v>22</v>
      </c>
      <c r="D13" s="9" t="s">
        <v>33</v>
      </c>
      <c r="E13" s="51">
        <v>500.0</v>
      </c>
      <c r="F13" s="51"/>
      <c r="G13" s="51">
        <v>2000.0</v>
      </c>
      <c r="H13" s="52" t="s">
        <v>189</v>
      </c>
      <c r="I13" s="53" t="s">
        <v>190</v>
      </c>
      <c r="J13" s="54"/>
      <c r="K13" s="54"/>
      <c r="L13" s="54"/>
      <c r="M13" s="55"/>
      <c r="N13" s="54"/>
      <c r="O13" s="54"/>
      <c r="P13" s="54"/>
      <c r="Q13" s="54"/>
      <c r="R13" s="54"/>
      <c r="S13" s="54"/>
      <c r="T13" s="54"/>
      <c r="U13" s="54"/>
      <c r="V13" s="54"/>
      <c r="W13" s="54"/>
      <c r="X13" s="54"/>
      <c r="Y13" s="54"/>
      <c r="Z13" s="54"/>
      <c r="AA13" s="54"/>
      <c r="AB13" s="54"/>
    </row>
    <row r="14">
      <c r="A14" s="5">
        <v>45940.0</v>
      </c>
      <c r="B14" s="10" t="str">
        <f>IFERROR(VLOOKUP(C14,'Employees List'!$B$1:$G$999,4,0),"")</f>
        <v>REVATHI.S</v>
      </c>
      <c r="C14" s="9" t="s">
        <v>46</v>
      </c>
      <c r="D14" s="9"/>
      <c r="E14" s="51"/>
      <c r="F14" s="51"/>
      <c r="G14" s="51"/>
      <c r="H14" s="52"/>
      <c r="I14" s="53"/>
      <c r="J14" s="54"/>
      <c r="K14" s="54"/>
      <c r="L14" s="54"/>
      <c r="M14" s="54"/>
      <c r="N14" s="54"/>
      <c r="O14" s="54"/>
      <c r="P14" s="54"/>
      <c r="Q14" s="54"/>
      <c r="R14" s="54"/>
      <c r="S14" s="54"/>
      <c r="T14" s="54"/>
      <c r="U14" s="54"/>
      <c r="V14" s="54"/>
      <c r="W14" s="54"/>
      <c r="X14" s="54"/>
      <c r="Y14" s="54"/>
      <c r="Z14" s="54"/>
      <c r="AA14" s="54"/>
      <c r="AB14" s="54"/>
    </row>
    <row r="15">
      <c r="A15" s="5">
        <v>45953.0</v>
      </c>
      <c r="B15" s="10" t="str">
        <f>IFERROR(VLOOKUP(C15,'Employees List'!$B$1:$G$999,4,0),"")</f>
        <v>LIPAN</v>
      </c>
      <c r="C15" s="9" t="s">
        <v>87</v>
      </c>
      <c r="D15" s="9" t="s">
        <v>37</v>
      </c>
      <c r="E15" s="51">
        <v>5000.0</v>
      </c>
      <c r="F15" s="51">
        <v>5000.0</v>
      </c>
      <c r="G15" s="56"/>
      <c r="H15" s="52" t="s">
        <v>189</v>
      </c>
      <c r="I15" s="53" t="s">
        <v>181</v>
      </c>
      <c r="J15" s="54"/>
      <c r="K15" s="54"/>
      <c r="L15" s="54"/>
      <c r="M15" s="54"/>
      <c r="N15" s="54"/>
      <c r="O15" s="54"/>
      <c r="P15" s="54"/>
      <c r="Q15" s="54"/>
      <c r="R15" s="54"/>
      <c r="S15" s="54"/>
      <c r="T15" s="54"/>
      <c r="U15" s="54"/>
      <c r="V15" s="54"/>
      <c r="W15" s="54"/>
      <c r="X15" s="54"/>
      <c r="Y15" s="54"/>
      <c r="Z15" s="54"/>
      <c r="AA15" s="54"/>
      <c r="AB15" s="54"/>
    </row>
    <row r="16">
      <c r="A16" s="5">
        <v>45965.0</v>
      </c>
      <c r="B16" s="10" t="str">
        <f>IFERROR(VLOOKUP(C16,'Employees List'!$B$1:$G$999,4,0),"")</f>
        <v>REVATHI.S</v>
      </c>
      <c r="C16" s="9" t="s">
        <v>46</v>
      </c>
      <c r="D16" s="9" t="s">
        <v>37</v>
      </c>
      <c r="E16" s="51">
        <v>500.0</v>
      </c>
      <c r="F16" s="51">
        <v>500.0</v>
      </c>
      <c r="G16" s="51">
        <v>500.0</v>
      </c>
      <c r="H16" s="52" t="s">
        <v>191</v>
      </c>
      <c r="I16" s="53" t="s">
        <v>181</v>
      </c>
      <c r="J16" s="54"/>
      <c r="K16" s="54"/>
      <c r="L16" s="54"/>
      <c r="M16" s="54"/>
      <c r="N16" s="54"/>
      <c r="O16" s="54"/>
      <c r="P16" s="54"/>
      <c r="Q16" s="54"/>
      <c r="R16" s="54"/>
      <c r="S16" s="54"/>
      <c r="T16" s="54"/>
      <c r="U16" s="54"/>
      <c r="V16" s="54"/>
      <c r="W16" s="54"/>
      <c r="X16" s="54"/>
      <c r="Y16" s="54"/>
      <c r="Z16" s="54"/>
      <c r="AA16" s="54"/>
      <c r="AB16" s="54"/>
    </row>
    <row r="17">
      <c r="A17" s="5">
        <v>45980.0</v>
      </c>
      <c r="B17" s="10" t="str">
        <f>IFERROR(VLOOKUP(C17,'Employees List'!$B$1:$G$999,4,0),"")</f>
        <v>REVATHI.S</v>
      </c>
      <c r="C17" s="9" t="s">
        <v>46</v>
      </c>
      <c r="D17" s="9" t="s">
        <v>41</v>
      </c>
      <c r="E17" s="51">
        <v>3000.0</v>
      </c>
      <c r="F17" s="51">
        <v>3000.0</v>
      </c>
      <c r="G17" s="51">
        <v>1500.0</v>
      </c>
      <c r="H17" s="52" t="s">
        <v>192</v>
      </c>
      <c r="I17" s="53" t="s">
        <v>181</v>
      </c>
      <c r="J17" s="54"/>
      <c r="K17" s="54"/>
      <c r="L17" s="54"/>
      <c r="M17" s="54"/>
      <c r="N17" s="54"/>
      <c r="O17" s="54"/>
      <c r="P17" s="54"/>
      <c r="Q17" s="54"/>
      <c r="R17" s="54"/>
      <c r="S17" s="54"/>
      <c r="T17" s="54"/>
      <c r="U17" s="54"/>
      <c r="V17" s="54"/>
      <c r="W17" s="54"/>
      <c r="X17" s="54"/>
      <c r="Y17" s="54"/>
      <c r="Z17" s="54"/>
      <c r="AA17" s="54"/>
      <c r="AB17" s="54"/>
    </row>
    <row r="18">
      <c r="A18" s="5">
        <v>45990.0</v>
      </c>
      <c r="B18" s="10" t="str">
        <f>IFERROR(VLOOKUP(C18,'Employees List'!$B$1:$G$999,4,0),"")</f>
        <v>GANESH</v>
      </c>
      <c r="C18" s="9" t="s">
        <v>22</v>
      </c>
      <c r="D18" s="9" t="s">
        <v>41</v>
      </c>
      <c r="E18" s="51">
        <v>800.0</v>
      </c>
      <c r="F18" s="51">
        <v>800.0</v>
      </c>
      <c r="G18" s="51">
        <v>1800.0</v>
      </c>
      <c r="H18" s="52" t="s">
        <v>189</v>
      </c>
      <c r="I18" s="53" t="s">
        <v>181</v>
      </c>
      <c r="J18" s="54"/>
      <c r="K18" s="54"/>
      <c r="L18" s="54"/>
      <c r="M18" s="54"/>
      <c r="N18" s="54"/>
      <c r="O18" s="54"/>
      <c r="P18" s="54"/>
      <c r="Q18" s="54"/>
      <c r="R18" s="54"/>
      <c r="S18" s="54"/>
      <c r="T18" s="54"/>
      <c r="U18" s="54"/>
      <c r="V18" s="54"/>
      <c r="W18" s="54"/>
      <c r="X18" s="54"/>
      <c r="Y18" s="54"/>
      <c r="Z18" s="54"/>
      <c r="AA18" s="54"/>
      <c r="AB18" s="54"/>
    </row>
    <row r="19">
      <c r="A19" s="5">
        <v>45995.0</v>
      </c>
      <c r="B19" s="10" t="str">
        <f>IFERROR(VLOOKUP(C19,'Employees List'!$B$1:$G$999,4,0),"")</f>
        <v>NILAMANI KISAN.B</v>
      </c>
      <c r="C19" s="9" t="s">
        <v>92</v>
      </c>
      <c r="D19" s="9" t="s">
        <v>45</v>
      </c>
      <c r="E19" s="51">
        <v>3000.0</v>
      </c>
      <c r="F19" s="51">
        <v>3000.0</v>
      </c>
      <c r="G19" s="51"/>
      <c r="H19" s="52" t="s">
        <v>193</v>
      </c>
      <c r="I19" s="53" t="s">
        <v>181</v>
      </c>
      <c r="J19" s="54"/>
      <c r="K19" s="54"/>
      <c r="L19" s="54"/>
      <c r="M19" s="54"/>
      <c r="N19" s="54"/>
      <c r="O19" s="54"/>
      <c r="P19" s="54"/>
      <c r="Q19" s="54"/>
      <c r="R19" s="54"/>
      <c r="S19" s="54"/>
      <c r="T19" s="54"/>
      <c r="U19" s="54"/>
      <c r="V19" s="54"/>
      <c r="W19" s="54"/>
      <c r="X19" s="54"/>
      <c r="Y19" s="54"/>
      <c r="Z19" s="54"/>
      <c r="AA19" s="54"/>
      <c r="AB19" s="54"/>
    </row>
    <row r="20">
      <c r="A20" s="5">
        <v>46012.0</v>
      </c>
      <c r="B20" s="10" t="str">
        <f>IFERROR(VLOOKUP(C20,'Employees List'!$B$1:$G$999,4,0),"")</f>
        <v>SANJAY BAGARTTI.K</v>
      </c>
      <c r="C20" s="9" t="s">
        <v>34</v>
      </c>
      <c r="D20" s="9" t="s">
        <v>45</v>
      </c>
      <c r="E20" s="51">
        <v>5000.0</v>
      </c>
      <c r="F20" s="51">
        <v>5000.0</v>
      </c>
      <c r="G20" s="56"/>
      <c r="H20" s="52"/>
      <c r="I20" s="53" t="s">
        <v>181</v>
      </c>
      <c r="J20" s="54"/>
      <c r="K20" s="54"/>
      <c r="L20" s="54"/>
      <c r="M20" s="54"/>
      <c r="N20" s="54"/>
      <c r="O20" s="54"/>
      <c r="P20" s="54"/>
      <c r="Q20" s="54"/>
      <c r="R20" s="54"/>
      <c r="S20" s="54"/>
      <c r="T20" s="54"/>
      <c r="U20" s="54"/>
      <c r="V20" s="54"/>
      <c r="W20" s="54"/>
      <c r="X20" s="54"/>
      <c r="Y20" s="54"/>
      <c r="Z20" s="54"/>
      <c r="AA20" s="54"/>
      <c r="AB20" s="54"/>
    </row>
    <row r="21">
      <c r="A21" s="5">
        <v>46014.0</v>
      </c>
      <c r="B21" s="10" t="str">
        <f>IFERROR(VLOOKUP(C21,'Employees List'!$B$1:$G$999,4,0),"")</f>
        <v>REVATHI.S</v>
      </c>
      <c r="C21" s="9" t="s">
        <v>46</v>
      </c>
      <c r="D21" s="9" t="s">
        <v>45</v>
      </c>
      <c r="E21" s="51">
        <v>500.0</v>
      </c>
      <c r="F21" s="51">
        <v>500.0</v>
      </c>
      <c r="G21" s="56"/>
      <c r="H21" s="52"/>
      <c r="I21" s="53" t="s">
        <v>181</v>
      </c>
      <c r="J21" s="54"/>
      <c r="K21" s="54"/>
      <c r="L21" s="54"/>
      <c r="M21" s="54"/>
      <c r="N21" s="54"/>
      <c r="O21" s="54"/>
      <c r="P21" s="54"/>
      <c r="Q21" s="54"/>
      <c r="R21" s="54"/>
      <c r="S21" s="54"/>
      <c r="T21" s="54"/>
      <c r="U21" s="54"/>
      <c r="V21" s="54"/>
      <c r="W21" s="54"/>
      <c r="X21" s="54"/>
      <c r="Y21" s="54"/>
      <c r="Z21" s="54"/>
      <c r="AA21" s="54"/>
      <c r="AB21" s="54"/>
    </row>
    <row r="22">
      <c r="A22" s="5">
        <v>46053.0</v>
      </c>
      <c r="B22" s="10" t="str">
        <f>IFERROR(VLOOKUP(C22,'Employees List'!$B$1:$G$999,4,0),"")</f>
        <v>GANESH</v>
      </c>
      <c r="C22" s="9" t="s">
        <v>22</v>
      </c>
      <c r="D22" s="9" t="s">
        <v>45</v>
      </c>
      <c r="E22" s="51">
        <v>500.0</v>
      </c>
      <c r="F22" s="51">
        <v>500.0</v>
      </c>
      <c r="G22" s="51">
        <v>2500.0</v>
      </c>
      <c r="H22" s="52" t="s">
        <v>189</v>
      </c>
      <c r="I22" s="53" t="s">
        <v>194</v>
      </c>
      <c r="J22" s="54"/>
      <c r="K22" s="54"/>
      <c r="L22" s="54"/>
      <c r="M22" s="54"/>
      <c r="N22" s="54"/>
      <c r="O22" s="54"/>
      <c r="P22" s="54"/>
      <c r="Q22" s="54"/>
      <c r="R22" s="54"/>
      <c r="S22" s="54"/>
      <c r="T22" s="54"/>
      <c r="U22" s="54"/>
      <c r="V22" s="54"/>
      <c r="W22" s="54"/>
      <c r="X22" s="54"/>
      <c r="Y22" s="54"/>
      <c r="Z22" s="54"/>
      <c r="AA22" s="54"/>
      <c r="AB22" s="54"/>
    </row>
    <row r="23">
      <c r="A23" s="5"/>
      <c r="B23" s="10" t="str">
        <f>IFERROR(VLOOKUP(C23,'Employees List'!$B$1:$G$999,4,0),"")</f>
        <v>NILAMANI KISAN.B</v>
      </c>
      <c r="C23" s="9" t="s">
        <v>92</v>
      </c>
      <c r="D23" s="9" t="s">
        <v>45</v>
      </c>
      <c r="E23" s="51">
        <v>2000.0</v>
      </c>
      <c r="F23" s="51">
        <v>2000.0</v>
      </c>
      <c r="G23" s="56"/>
      <c r="H23" s="52" t="s">
        <v>195</v>
      </c>
      <c r="I23" s="53" t="s">
        <v>194</v>
      </c>
      <c r="J23" s="54"/>
      <c r="K23" s="54"/>
      <c r="L23" s="54"/>
      <c r="M23" s="54"/>
      <c r="N23" s="54"/>
      <c r="O23" s="54"/>
      <c r="P23" s="54"/>
      <c r="Q23" s="54"/>
      <c r="R23" s="54"/>
      <c r="S23" s="54"/>
      <c r="T23" s="54"/>
      <c r="U23" s="54"/>
      <c r="V23" s="54"/>
      <c r="W23" s="54"/>
      <c r="X23" s="54"/>
      <c r="Y23" s="54"/>
      <c r="Z23" s="54"/>
      <c r="AA23" s="54"/>
      <c r="AB23" s="54"/>
    </row>
    <row r="24">
      <c r="A24" s="5"/>
      <c r="B24" s="10" t="str">
        <f>IFERROR(VLOOKUP(C24,'Employees List'!$B$1:$G$999,4,0),"")</f>
        <v>ADHIKARI BALIA.A</v>
      </c>
      <c r="C24" s="9" t="s">
        <v>26</v>
      </c>
      <c r="D24" s="9" t="s">
        <v>49</v>
      </c>
      <c r="E24" s="51">
        <v>2000.0</v>
      </c>
      <c r="F24" s="51">
        <v>2000.0</v>
      </c>
      <c r="G24" s="51">
        <v>2000.0</v>
      </c>
      <c r="H24" s="50"/>
      <c r="I24" s="53" t="s">
        <v>181</v>
      </c>
      <c r="J24" s="54"/>
      <c r="K24" s="54"/>
      <c r="L24" s="54"/>
      <c r="M24" s="54"/>
      <c r="N24" s="54"/>
      <c r="O24" s="54"/>
      <c r="P24" s="54"/>
      <c r="Q24" s="54"/>
      <c r="R24" s="54"/>
      <c r="S24" s="54"/>
      <c r="T24" s="54"/>
      <c r="U24" s="54"/>
      <c r="V24" s="54"/>
      <c r="W24" s="54"/>
      <c r="X24" s="54"/>
      <c r="Y24" s="54"/>
      <c r="Z24" s="54"/>
      <c r="AA24" s="54"/>
      <c r="AB24" s="54"/>
    </row>
    <row r="25">
      <c r="A25" s="57"/>
      <c r="B25" s="10" t="str">
        <f>IFERROR(VLOOKUP(C25,'Employees List'!$B$1:$G$999,4,0),"")</f>
        <v>ADHIKARI BALIA.A</v>
      </c>
      <c r="C25" s="9" t="s">
        <v>26</v>
      </c>
      <c r="D25" s="9" t="s">
        <v>49</v>
      </c>
      <c r="E25" s="51">
        <v>4000.0</v>
      </c>
      <c r="F25" s="51">
        <v>4000.0</v>
      </c>
      <c r="G25" s="51">
        <v>4000.0</v>
      </c>
      <c r="H25" s="50"/>
      <c r="I25" s="53"/>
      <c r="J25" s="54"/>
      <c r="K25" s="54"/>
      <c r="L25" s="54"/>
      <c r="M25" s="54"/>
      <c r="N25" s="54"/>
      <c r="O25" s="54"/>
      <c r="P25" s="54"/>
      <c r="Q25" s="54"/>
      <c r="R25" s="54"/>
      <c r="S25" s="54"/>
      <c r="T25" s="54"/>
      <c r="U25" s="54"/>
      <c r="V25" s="54"/>
      <c r="W25" s="54"/>
      <c r="X25" s="54"/>
      <c r="Y25" s="54"/>
      <c r="Z25" s="54"/>
      <c r="AA25" s="54"/>
      <c r="AB25" s="54"/>
    </row>
    <row r="26">
      <c r="A26" s="57"/>
      <c r="B26" s="10" t="str">
        <f>IFERROR(VLOOKUP(C26,'Employees List'!$B$1:$G$999,4,0),"")</f>
        <v>PARSHU BAGH</v>
      </c>
      <c r="C26" s="9" t="s">
        <v>96</v>
      </c>
      <c r="D26" s="9" t="s">
        <v>49</v>
      </c>
      <c r="E26" s="51">
        <v>2000.0</v>
      </c>
      <c r="F26" s="51">
        <v>2000.0</v>
      </c>
      <c r="G26" s="51">
        <v>2000.0</v>
      </c>
      <c r="H26" s="50"/>
      <c r="I26" s="53" t="s">
        <v>181</v>
      </c>
      <c r="J26" s="54"/>
      <c r="K26" s="54"/>
      <c r="L26" s="54"/>
      <c r="M26" s="54"/>
      <c r="N26" s="54"/>
      <c r="O26" s="54"/>
      <c r="P26" s="54"/>
      <c r="Q26" s="54"/>
      <c r="R26" s="54"/>
      <c r="S26" s="54"/>
      <c r="T26" s="54"/>
      <c r="U26" s="54"/>
      <c r="V26" s="54"/>
      <c r="W26" s="54"/>
      <c r="X26" s="54"/>
      <c r="Y26" s="54"/>
      <c r="Z26" s="54"/>
      <c r="AA26" s="54"/>
      <c r="AB26" s="54"/>
    </row>
    <row r="27">
      <c r="A27" s="5">
        <v>46032.0</v>
      </c>
      <c r="B27" s="10" t="str">
        <f>IFERROR(VLOOKUP(C27,'Employees List'!$B$1:$G$999,4,0),"")</f>
        <v>REVATHI.S</v>
      </c>
      <c r="C27" s="9" t="s">
        <v>46</v>
      </c>
      <c r="D27" s="9" t="s">
        <v>49</v>
      </c>
      <c r="E27" s="56"/>
      <c r="F27" s="56"/>
      <c r="G27" s="51">
        <v>1000.0</v>
      </c>
      <c r="H27" s="50"/>
      <c r="I27" s="53" t="s">
        <v>196</v>
      </c>
      <c r="J27" s="54"/>
      <c r="K27" s="54"/>
      <c r="L27" s="54"/>
      <c r="M27" s="54"/>
      <c r="N27" s="54"/>
      <c r="O27" s="54"/>
      <c r="P27" s="54"/>
      <c r="Q27" s="54"/>
      <c r="R27" s="54"/>
      <c r="S27" s="54"/>
      <c r="T27" s="54"/>
      <c r="U27" s="54"/>
      <c r="V27" s="54"/>
      <c r="W27" s="54"/>
      <c r="X27" s="54"/>
      <c r="Y27" s="54"/>
      <c r="Z27" s="54"/>
      <c r="AA27" s="54"/>
      <c r="AB27" s="54"/>
    </row>
    <row r="28">
      <c r="A28" s="5">
        <v>46056.0</v>
      </c>
      <c r="B28" s="10" t="str">
        <f>IFERROR(VLOOKUP(C28,'Employees List'!$B$1:$G$999,4,0),"")</f>
        <v>GANESH</v>
      </c>
      <c r="C28" s="9" t="s">
        <v>22</v>
      </c>
      <c r="D28" s="9" t="s">
        <v>52</v>
      </c>
      <c r="E28" s="51">
        <v>200.0</v>
      </c>
      <c r="F28" s="51">
        <v>200.0</v>
      </c>
      <c r="G28" s="51">
        <v>10000.0</v>
      </c>
      <c r="H28" s="50"/>
      <c r="I28" s="54"/>
      <c r="J28" s="54"/>
      <c r="K28" s="54"/>
      <c r="L28" s="54"/>
      <c r="M28" s="54"/>
      <c r="N28" s="54"/>
      <c r="O28" s="54"/>
      <c r="P28" s="54"/>
      <c r="Q28" s="54"/>
      <c r="R28" s="54"/>
      <c r="S28" s="54"/>
      <c r="T28" s="54"/>
      <c r="U28" s="54"/>
      <c r="V28" s="54"/>
      <c r="W28" s="54"/>
      <c r="X28" s="54"/>
      <c r="Y28" s="54"/>
      <c r="Z28" s="54"/>
      <c r="AA28" s="54"/>
      <c r="AB28" s="54"/>
    </row>
    <row r="29">
      <c r="A29" s="5">
        <v>46074.0</v>
      </c>
      <c r="B29" s="10" t="str">
        <f>IFERROR(VLOOKUP(C29,'Employees List'!$B$1:$G$999,4,0),"")</f>
        <v>PARSHU BAGH</v>
      </c>
      <c r="C29" s="9" t="s">
        <v>96</v>
      </c>
      <c r="D29" s="9" t="s">
        <v>52</v>
      </c>
      <c r="E29" s="51">
        <v>4000.0</v>
      </c>
      <c r="F29" s="51">
        <v>4000.0</v>
      </c>
      <c r="G29" s="56"/>
      <c r="H29" s="52" t="s">
        <v>197</v>
      </c>
      <c r="I29" s="53" t="s">
        <v>181</v>
      </c>
      <c r="J29" s="54"/>
      <c r="K29" s="54"/>
      <c r="L29" s="54"/>
      <c r="M29" s="54"/>
      <c r="N29" s="54"/>
      <c r="O29" s="54"/>
      <c r="P29" s="54"/>
      <c r="Q29" s="54"/>
      <c r="R29" s="54"/>
      <c r="S29" s="54"/>
      <c r="T29" s="54"/>
      <c r="U29" s="54"/>
      <c r="V29" s="54"/>
      <c r="W29" s="54"/>
      <c r="X29" s="54"/>
      <c r="Y29" s="54"/>
      <c r="Z29" s="54"/>
      <c r="AA29" s="54"/>
      <c r="AB29" s="54"/>
    </row>
    <row r="30">
      <c r="A30" s="5">
        <v>46083.0</v>
      </c>
      <c r="B30" s="10" t="str">
        <f>IFERROR(VLOOKUP(C30,'Employees List'!$B$1:$G$999,4,0),"")</f>
        <v>REVATHI.S</v>
      </c>
      <c r="C30" s="9" t="s">
        <v>46</v>
      </c>
      <c r="D30" s="9" t="s">
        <v>55</v>
      </c>
      <c r="E30" s="51">
        <v>300.0</v>
      </c>
      <c r="F30" s="51">
        <v>300.0</v>
      </c>
      <c r="G30" s="56"/>
      <c r="H30" s="50"/>
      <c r="I30" s="53" t="s">
        <v>181</v>
      </c>
      <c r="J30" s="54"/>
      <c r="K30" s="54"/>
      <c r="L30" s="54"/>
      <c r="M30" s="54"/>
      <c r="N30" s="54"/>
      <c r="O30" s="54"/>
      <c r="P30" s="54"/>
      <c r="Q30" s="54"/>
      <c r="R30" s="54"/>
      <c r="S30" s="54"/>
      <c r="T30" s="54"/>
      <c r="U30" s="54"/>
      <c r="V30" s="54"/>
      <c r="W30" s="54"/>
      <c r="X30" s="54"/>
      <c r="Y30" s="54"/>
      <c r="Z30" s="54"/>
      <c r="AA30" s="54"/>
      <c r="AB30" s="54"/>
    </row>
    <row r="31">
      <c r="A31" s="5">
        <v>46084.0</v>
      </c>
      <c r="B31" s="10" t="str">
        <f>IFERROR(VLOOKUP(C31,'Employees List'!$B$1:$G$999,4,0),"")</f>
        <v>ADHIKARI BALIA.A</v>
      </c>
      <c r="C31" s="9" t="s">
        <v>26</v>
      </c>
      <c r="D31" s="9" t="s">
        <v>55</v>
      </c>
      <c r="E31" s="51">
        <v>2000.0</v>
      </c>
      <c r="F31" s="56"/>
      <c r="G31" s="56"/>
      <c r="H31" s="52" t="s">
        <v>198</v>
      </c>
      <c r="I31" s="53" t="s">
        <v>181</v>
      </c>
      <c r="J31" s="54"/>
      <c r="K31" s="54"/>
      <c r="L31" s="54"/>
      <c r="M31" s="54"/>
      <c r="N31" s="54"/>
      <c r="O31" s="54"/>
      <c r="P31" s="54"/>
      <c r="Q31" s="54"/>
      <c r="R31" s="54"/>
      <c r="S31" s="54"/>
      <c r="T31" s="54"/>
      <c r="U31" s="54"/>
      <c r="V31" s="54"/>
      <c r="W31" s="54"/>
      <c r="X31" s="54"/>
      <c r="Y31" s="54"/>
      <c r="Z31" s="54"/>
      <c r="AA31" s="54"/>
      <c r="AB31" s="54"/>
    </row>
    <row r="32">
      <c r="A32" s="57"/>
      <c r="B32" s="10" t="str">
        <f>IFERROR(VLOOKUP(C32,'Employees List'!$B$1:$G$999,4,0),"")</f>
        <v/>
      </c>
      <c r="C32" s="9"/>
      <c r="D32" s="9"/>
      <c r="E32" s="56"/>
      <c r="F32" s="56"/>
      <c r="G32" s="56"/>
      <c r="H32" s="50"/>
      <c r="I32" s="54"/>
      <c r="J32" s="54"/>
      <c r="K32" s="54"/>
      <c r="L32" s="54"/>
      <c r="M32" s="54"/>
      <c r="N32" s="54"/>
      <c r="O32" s="54"/>
      <c r="P32" s="54"/>
      <c r="Q32" s="54"/>
      <c r="R32" s="54"/>
      <c r="S32" s="54"/>
      <c r="T32" s="54"/>
      <c r="U32" s="54"/>
      <c r="V32" s="54"/>
      <c r="W32" s="54"/>
      <c r="X32" s="54"/>
      <c r="Y32" s="54"/>
      <c r="Z32" s="54"/>
      <c r="AA32" s="54"/>
      <c r="AB32" s="54"/>
    </row>
    <row r="33">
      <c r="A33" s="57"/>
      <c r="B33" s="10" t="str">
        <f>IFERROR(VLOOKUP(C33,'Employees List'!$B$1:$G$999,4,0),"")</f>
        <v/>
      </c>
      <c r="C33" s="9"/>
      <c r="D33" s="9"/>
      <c r="E33" s="56"/>
      <c r="F33" s="56"/>
      <c r="G33" s="56"/>
      <c r="H33" s="50"/>
      <c r="I33" s="54"/>
      <c r="J33" s="54"/>
      <c r="K33" s="54"/>
      <c r="L33" s="54"/>
      <c r="M33" s="54"/>
      <c r="N33" s="54"/>
      <c r="O33" s="54"/>
      <c r="P33" s="54"/>
      <c r="Q33" s="54"/>
      <c r="R33" s="54"/>
      <c r="S33" s="54"/>
      <c r="T33" s="54"/>
      <c r="U33" s="54"/>
      <c r="V33" s="54"/>
      <c r="W33" s="54"/>
      <c r="X33" s="54"/>
      <c r="Y33" s="54"/>
      <c r="Z33" s="54"/>
      <c r="AA33" s="54"/>
      <c r="AB33" s="54"/>
    </row>
    <row r="34">
      <c r="A34" s="57"/>
      <c r="B34" s="10" t="str">
        <f>IFERROR(VLOOKUP(C34,'Employees List'!$B$1:$G$999,4,0),"")</f>
        <v/>
      </c>
      <c r="C34" s="9"/>
      <c r="D34" s="9"/>
      <c r="E34" s="56"/>
      <c r="F34" s="56"/>
      <c r="G34" s="56"/>
      <c r="H34" s="50"/>
      <c r="I34" s="54"/>
      <c r="J34" s="54"/>
      <c r="K34" s="54"/>
      <c r="L34" s="54"/>
      <c r="M34" s="54"/>
      <c r="N34" s="54"/>
      <c r="O34" s="54"/>
      <c r="P34" s="54"/>
      <c r="Q34" s="54"/>
      <c r="R34" s="54"/>
      <c r="S34" s="54"/>
      <c r="T34" s="54"/>
      <c r="U34" s="54"/>
      <c r="V34" s="54"/>
      <c r="W34" s="54"/>
      <c r="X34" s="54"/>
      <c r="Y34" s="54"/>
      <c r="Z34" s="54"/>
      <c r="AA34" s="54"/>
      <c r="AB34" s="54"/>
    </row>
    <row r="35">
      <c r="A35" s="57"/>
      <c r="B35" s="10" t="str">
        <f>IFERROR(VLOOKUP(C35,'Employees List'!$B$1:$G$999,4,0),"")</f>
        <v/>
      </c>
      <c r="C35" s="9"/>
      <c r="D35" s="9"/>
      <c r="E35" s="56"/>
      <c r="F35" s="56"/>
      <c r="G35" s="56"/>
      <c r="H35" s="50"/>
      <c r="I35" s="54"/>
      <c r="J35" s="54"/>
      <c r="K35" s="54"/>
      <c r="L35" s="54"/>
      <c r="M35" s="54"/>
      <c r="N35" s="54"/>
      <c r="O35" s="54"/>
      <c r="P35" s="54"/>
      <c r="Q35" s="54"/>
      <c r="R35" s="54"/>
      <c r="S35" s="54"/>
      <c r="T35" s="54"/>
      <c r="U35" s="54"/>
      <c r="V35" s="54"/>
      <c r="W35" s="54"/>
      <c r="X35" s="54"/>
      <c r="Y35" s="54"/>
      <c r="Z35" s="54"/>
      <c r="AA35" s="54"/>
      <c r="AB35" s="54"/>
    </row>
    <row r="36">
      <c r="A36" s="57"/>
      <c r="B36" s="10" t="str">
        <f>IFERROR(VLOOKUP(C36,'Employees List'!$B$1:$G$999,4,0),"")</f>
        <v/>
      </c>
      <c r="C36" s="9"/>
      <c r="D36" s="9"/>
      <c r="E36" s="56"/>
      <c r="F36" s="56"/>
      <c r="G36" s="56"/>
      <c r="H36" s="50"/>
      <c r="I36" s="54"/>
      <c r="J36" s="54"/>
      <c r="K36" s="54"/>
      <c r="L36" s="54"/>
      <c r="M36" s="54"/>
      <c r="N36" s="54"/>
      <c r="O36" s="54"/>
      <c r="P36" s="54"/>
      <c r="Q36" s="54"/>
      <c r="R36" s="54"/>
      <c r="S36" s="54"/>
      <c r="T36" s="54"/>
      <c r="U36" s="54"/>
      <c r="V36" s="54"/>
      <c r="W36" s="54"/>
      <c r="X36" s="54"/>
      <c r="Y36" s="54"/>
      <c r="Z36" s="54"/>
      <c r="AA36" s="54"/>
      <c r="AB36" s="54"/>
    </row>
    <row r="37">
      <c r="A37" s="57"/>
      <c r="B37" s="10" t="str">
        <f>IFERROR(VLOOKUP(C37,'Employees List'!$B$1:$G$999,4,0),"")</f>
        <v/>
      </c>
      <c r="C37" s="9"/>
      <c r="D37" s="9"/>
      <c r="E37" s="56"/>
      <c r="F37" s="56"/>
      <c r="G37" s="56"/>
      <c r="H37" s="50"/>
      <c r="I37" s="54"/>
      <c r="J37" s="54"/>
      <c r="K37" s="54"/>
      <c r="L37" s="54"/>
      <c r="M37" s="54"/>
      <c r="N37" s="54"/>
      <c r="O37" s="54"/>
      <c r="P37" s="54"/>
      <c r="Q37" s="54"/>
      <c r="R37" s="54"/>
      <c r="S37" s="54"/>
      <c r="T37" s="54"/>
      <c r="U37" s="54"/>
      <c r="V37" s="54"/>
      <c r="W37" s="54"/>
      <c r="X37" s="54"/>
      <c r="Y37" s="54"/>
      <c r="Z37" s="54"/>
      <c r="AA37" s="54"/>
      <c r="AB37" s="54"/>
    </row>
    <row r="38">
      <c r="A38" s="57"/>
      <c r="B38" s="10" t="str">
        <f>IFERROR(VLOOKUP(C38,'Employees List'!$B$1:$G$999,4,0),"")</f>
        <v/>
      </c>
      <c r="C38" s="9"/>
      <c r="D38" s="9"/>
      <c r="E38" s="56"/>
      <c r="F38" s="56"/>
      <c r="G38" s="56"/>
      <c r="H38" s="50"/>
      <c r="I38" s="54"/>
      <c r="J38" s="54"/>
      <c r="K38" s="54"/>
      <c r="L38" s="54"/>
      <c r="M38" s="54"/>
      <c r="N38" s="54"/>
      <c r="O38" s="54"/>
      <c r="P38" s="54"/>
      <c r="Q38" s="54"/>
      <c r="R38" s="54"/>
      <c r="S38" s="54"/>
      <c r="T38" s="54"/>
      <c r="U38" s="54"/>
      <c r="V38" s="54"/>
      <c r="W38" s="54"/>
      <c r="X38" s="54"/>
      <c r="Y38" s="54"/>
      <c r="Z38" s="54"/>
      <c r="AA38" s="54"/>
      <c r="AB38" s="54"/>
    </row>
    <row r="39">
      <c r="A39" s="57"/>
      <c r="B39" s="10" t="str">
        <f>IFERROR(VLOOKUP(C39,'Employees List'!$B$1:$G$999,4,0),"")</f>
        <v/>
      </c>
      <c r="C39" s="9"/>
      <c r="D39" s="9"/>
      <c r="E39" s="56"/>
      <c r="F39" s="56"/>
      <c r="G39" s="56"/>
      <c r="H39" s="50"/>
      <c r="I39" s="54"/>
      <c r="J39" s="54"/>
      <c r="K39" s="54"/>
      <c r="L39" s="54"/>
      <c r="M39" s="54"/>
      <c r="N39" s="54"/>
      <c r="O39" s="54"/>
      <c r="P39" s="54"/>
      <c r="Q39" s="54"/>
      <c r="R39" s="54"/>
      <c r="S39" s="54"/>
      <c r="T39" s="54"/>
      <c r="U39" s="54"/>
      <c r="V39" s="54"/>
      <c r="W39" s="54"/>
      <c r="X39" s="54"/>
      <c r="Y39" s="54"/>
      <c r="Z39" s="54"/>
      <c r="AA39" s="54"/>
      <c r="AB39" s="54"/>
    </row>
    <row r="40">
      <c r="A40" s="57"/>
      <c r="B40" s="10" t="str">
        <f>IFERROR(VLOOKUP(C40,'Employees List'!$B$1:$G$999,4,0),"")</f>
        <v/>
      </c>
      <c r="C40" s="9"/>
      <c r="D40" s="9"/>
      <c r="E40" s="56"/>
      <c r="F40" s="56"/>
      <c r="G40" s="56"/>
      <c r="H40" s="50"/>
      <c r="I40" s="54"/>
      <c r="J40" s="54"/>
      <c r="K40" s="54"/>
      <c r="L40" s="54"/>
      <c r="M40" s="54"/>
      <c r="N40" s="54"/>
      <c r="O40" s="54"/>
      <c r="P40" s="54"/>
      <c r="Q40" s="54"/>
      <c r="R40" s="54"/>
      <c r="S40" s="54"/>
      <c r="T40" s="54"/>
      <c r="U40" s="54"/>
      <c r="V40" s="54"/>
      <c r="W40" s="54"/>
      <c r="X40" s="54"/>
      <c r="Y40" s="54"/>
      <c r="Z40" s="54"/>
      <c r="AA40" s="54"/>
      <c r="AB40" s="54"/>
    </row>
    <row r="41">
      <c r="A41" s="57"/>
      <c r="B41" s="10" t="str">
        <f>IFERROR(VLOOKUP(C41,'Employees List'!$B$1:$G$999,4,0),"")</f>
        <v/>
      </c>
      <c r="C41" s="9"/>
      <c r="D41" s="9"/>
      <c r="E41" s="56"/>
      <c r="F41" s="56"/>
      <c r="G41" s="56"/>
      <c r="H41" s="50"/>
      <c r="I41" s="54"/>
      <c r="J41" s="54"/>
      <c r="K41" s="54"/>
      <c r="L41" s="54"/>
      <c r="M41" s="54"/>
      <c r="N41" s="54"/>
      <c r="O41" s="54"/>
      <c r="P41" s="54"/>
      <c r="Q41" s="54"/>
      <c r="R41" s="54"/>
      <c r="S41" s="54"/>
      <c r="T41" s="54"/>
      <c r="U41" s="54"/>
      <c r="V41" s="54"/>
      <c r="W41" s="54"/>
      <c r="X41" s="54"/>
      <c r="Y41" s="54"/>
      <c r="Z41" s="54"/>
      <c r="AA41" s="54"/>
      <c r="AB41" s="54"/>
    </row>
    <row r="42">
      <c r="A42" s="57"/>
      <c r="B42" s="10" t="str">
        <f>IFERROR(VLOOKUP(C42,'Employees List'!$B$1:$G$999,4,0),"")</f>
        <v/>
      </c>
      <c r="C42" s="9"/>
      <c r="D42" s="9"/>
      <c r="E42" s="56"/>
      <c r="F42" s="56"/>
      <c r="G42" s="56"/>
      <c r="H42" s="50"/>
      <c r="I42" s="54"/>
      <c r="J42" s="54"/>
      <c r="K42" s="54"/>
      <c r="L42" s="54"/>
      <c r="M42" s="54"/>
      <c r="N42" s="54"/>
      <c r="O42" s="54"/>
      <c r="P42" s="54"/>
      <c r="Q42" s="54"/>
      <c r="R42" s="54"/>
      <c r="S42" s="54"/>
      <c r="T42" s="54"/>
      <c r="U42" s="54"/>
      <c r="V42" s="54"/>
      <c r="W42" s="54"/>
      <c r="X42" s="54"/>
      <c r="Y42" s="54"/>
      <c r="Z42" s="54"/>
      <c r="AA42" s="54"/>
      <c r="AB42" s="54"/>
    </row>
    <row r="43">
      <c r="A43" s="57"/>
      <c r="B43" s="10" t="str">
        <f>IFERROR(VLOOKUP(C43,'Employees List'!$B$1:$G$999,4,0),"")</f>
        <v/>
      </c>
      <c r="C43" s="9"/>
      <c r="D43" s="9"/>
      <c r="E43" s="56"/>
      <c r="F43" s="56"/>
      <c r="G43" s="56"/>
      <c r="H43" s="50"/>
      <c r="I43" s="54"/>
      <c r="J43" s="54"/>
      <c r="K43" s="54"/>
      <c r="L43" s="54"/>
      <c r="M43" s="54"/>
      <c r="N43" s="54"/>
      <c r="O43" s="54"/>
      <c r="P43" s="54"/>
      <c r="Q43" s="54"/>
      <c r="R43" s="54"/>
      <c r="S43" s="54"/>
      <c r="T43" s="54"/>
      <c r="U43" s="54"/>
      <c r="V43" s="54"/>
      <c r="W43" s="54"/>
      <c r="X43" s="54"/>
      <c r="Y43" s="54"/>
      <c r="Z43" s="54"/>
      <c r="AA43" s="54"/>
      <c r="AB43" s="54"/>
    </row>
    <row r="44">
      <c r="A44" s="57"/>
      <c r="B44" s="10" t="str">
        <f>IFERROR(VLOOKUP(C44,'Employees List'!$B$1:$G$999,4,0),"")</f>
        <v/>
      </c>
      <c r="C44" s="9"/>
      <c r="D44" s="9"/>
      <c r="E44" s="56"/>
      <c r="F44" s="56"/>
      <c r="G44" s="56"/>
      <c r="H44" s="50"/>
      <c r="I44" s="54"/>
      <c r="J44" s="54"/>
      <c r="K44" s="54"/>
      <c r="L44" s="54"/>
      <c r="M44" s="54"/>
      <c r="N44" s="54"/>
      <c r="O44" s="54"/>
      <c r="P44" s="54"/>
      <c r="Q44" s="54"/>
      <c r="R44" s="54"/>
      <c r="S44" s="54"/>
      <c r="T44" s="54"/>
      <c r="U44" s="54"/>
      <c r="V44" s="54"/>
      <c r="W44" s="54"/>
      <c r="X44" s="54"/>
      <c r="Y44" s="54"/>
      <c r="Z44" s="54"/>
      <c r="AA44" s="54"/>
      <c r="AB44" s="54"/>
    </row>
    <row r="45">
      <c r="A45" s="57"/>
      <c r="B45" s="10" t="str">
        <f>IFERROR(VLOOKUP(C45,'Employees List'!$B$1:$G$999,4,0),"")</f>
        <v/>
      </c>
      <c r="C45" s="9"/>
      <c r="D45" s="9"/>
      <c r="E45" s="56"/>
      <c r="F45" s="56"/>
      <c r="G45" s="56"/>
      <c r="H45" s="50"/>
      <c r="I45" s="54"/>
      <c r="J45" s="54"/>
      <c r="K45" s="54"/>
      <c r="L45" s="54"/>
      <c r="M45" s="54"/>
      <c r="N45" s="54"/>
      <c r="O45" s="54"/>
      <c r="P45" s="54"/>
      <c r="Q45" s="54"/>
      <c r="R45" s="54"/>
      <c r="S45" s="54"/>
      <c r="T45" s="54"/>
      <c r="U45" s="54"/>
      <c r="V45" s="54"/>
      <c r="W45" s="54"/>
      <c r="X45" s="54"/>
      <c r="Y45" s="54"/>
      <c r="Z45" s="54"/>
      <c r="AA45" s="54"/>
      <c r="AB45" s="54"/>
    </row>
    <row r="46">
      <c r="A46" s="57"/>
      <c r="B46" s="10" t="str">
        <f>IFERROR(VLOOKUP(C46,'Employees List'!$B$1:$G$999,4,0),"")</f>
        <v/>
      </c>
      <c r="C46" s="9"/>
      <c r="D46" s="9"/>
      <c r="E46" s="56"/>
      <c r="F46" s="56"/>
      <c r="G46" s="56"/>
      <c r="H46" s="50"/>
      <c r="I46" s="54"/>
      <c r="J46" s="54"/>
      <c r="K46" s="54"/>
      <c r="L46" s="54"/>
      <c r="M46" s="54"/>
      <c r="N46" s="54"/>
      <c r="O46" s="54"/>
      <c r="P46" s="54"/>
      <c r="Q46" s="54"/>
      <c r="R46" s="54"/>
      <c r="S46" s="54"/>
      <c r="T46" s="54"/>
      <c r="U46" s="54"/>
      <c r="V46" s="54"/>
      <c r="W46" s="54"/>
      <c r="X46" s="54"/>
      <c r="Y46" s="54"/>
      <c r="Z46" s="54"/>
      <c r="AA46" s="54"/>
      <c r="AB46" s="54"/>
    </row>
    <row r="47">
      <c r="A47" s="57"/>
      <c r="B47" s="10" t="str">
        <f>IFERROR(VLOOKUP(C47,'Employees List'!$B$1:$G$999,4,0),"")</f>
        <v/>
      </c>
      <c r="C47" s="9"/>
      <c r="D47" s="9"/>
      <c r="E47" s="56"/>
      <c r="F47" s="56"/>
      <c r="G47" s="56"/>
      <c r="H47" s="50"/>
      <c r="I47" s="54"/>
      <c r="J47" s="54"/>
      <c r="K47" s="54"/>
      <c r="L47" s="54"/>
      <c r="M47" s="54"/>
      <c r="N47" s="54"/>
      <c r="O47" s="54"/>
      <c r="P47" s="54"/>
      <c r="Q47" s="54"/>
      <c r="R47" s="54"/>
      <c r="S47" s="54"/>
      <c r="T47" s="54"/>
      <c r="U47" s="54"/>
      <c r="V47" s="54"/>
      <c r="W47" s="54"/>
      <c r="X47" s="54"/>
      <c r="Y47" s="54"/>
      <c r="Z47" s="54"/>
      <c r="AA47" s="54"/>
      <c r="AB47" s="54"/>
    </row>
    <row r="48">
      <c r="A48" s="57"/>
      <c r="B48" s="10" t="str">
        <f>IFERROR(VLOOKUP(C48,'Employees List'!$B$1:$G$999,4,0),"")</f>
        <v/>
      </c>
      <c r="C48" s="9"/>
      <c r="D48" s="9"/>
      <c r="E48" s="56"/>
      <c r="F48" s="56"/>
      <c r="G48" s="56"/>
      <c r="H48" s="50"/>
      <c r="I48" s="54"/>
      <c r="J48" s="54"/>
      <c r="K48" s="54"/>
      <c r="L48" s="54"/>
      <c r="M48" s="54"/>
      <c r="N48" s="54"/>
      <c r="O48" s="54"/>
      <c r="P48" s="54"/>
      <c r="Q48" s="54"/>
      <c r="R48" s="54"/>
      <c r="S48" s="54"/>
      <c r="T48" s="54"/>
      <c r="U48" s="54"/>
      <c r="V48" s="54"/>
      <c r="W48" s="54"/>
      <c r="X48" s="54"/>
      <c r="Y48" s="54"/>
      <c r="Z48" s="54"/>
      <c r="AA48" s="54"/>
      <c r="AB48" s="54"/>
    </row>
    <row r="49">
      <c r="A49" s="57"/>
      <c r="B49" s="10" t="str">
        <f>IFERROR(VLOOKUP(C49,'Employees List'!$B$1:$G$999,4,0),"")</f>
        <v/>
      </c>
      <c r="C49" s="9"/>
      <c r="D49" s="9"/>
      <c r="E49" s="56"/>
      <c r="F49" s="56"/>
      <c r="G49" s="56"/>
      <c r="H49" s="50"/>
      <c r="I49" s="54"/>
      <c r="J49" s="54"/>
      <c r="K49" s="54"/>
      <c r="L49" s="54"/>
      <c r="M49" s="54"/>
      <c r="N49" s="54"/>
      <c r="O49" s="54"/>
      <c r="P49" s="54"/>
      <c r="Q49" s="54"/>
      <c r="R49" s="54"/>
      <c r="S49" s="54"/>
      <c r="T49" s="54"/>
      <c r="U49" s="54"/>
      <c r="V49" s="54"/>
      <c r="W49" s="54"/>
      <c r="X49" s="54"/>
      <c r="Y49" s="54"/>
      <c r="Z49" s="54"/>
      <c r="AA49" s="54"/>
      <c r="AB49" s="54"/>
    </row>
    <row r="50">
      <c r="A50" s="57"/>
      <c r="B50" s="10" t="str">
        <f>IFERROR(VLOOKUP(C50,'Employees List'!$B$1:$G$999,4,0),"")</f>
        <v/>
      </c>
      <c r="C50" s="9"/>
      <c r="D50" s="9"/>
      <c r="E50" s="56"/>
      <c r="F50" s="56"/>
      <c r="G50" s="56"/>
      <c r="H50" s="50"/>
      <c r="I50" s="54"/>
      <c r="J50" s="54"/>
      <c r="K50" s="54"/>
      <c r="L50" s="54"/>
      <c r="M50" s="54"/>
      <c r="N50" s="54"/>
      <c r="O50" s="54"/>
      <c r="P50" s="54"/>
      <c r="Q50" s="54"/>
      <c r="R50" s="54"/>
      <c r="S50" s="54"/>
      <c r="T50" s="54"/>
      <c r="U50" s="54"/>
      <c r="V50" s="54"/>
      <c r="W50" s="54"/>
      <c r="X50" s="54"/>
      <c r="Y50" s="54"/>
      <c r="Z50" s="54"/>
      <c r="AA50" s="54"/>
      <c r="AB50" s="54"/>
    </row>
    <row r="51">
      <c r="A51" s="57"/>
      <c r="B51" s="10" t="str">
        <f>IFERROR(VLOOKUP(C51,'Employees List'!$B$1:$G$999,4,0),"")</f>
        <v/>
      </c>
      <c r="C51" s="9"/>
      <c r="D51" s="9"/>
      <c r="E51" s="56"/>
      <c r="F51" s="56"/>
      <c r="G51" s="56"/>
      <c r="H51" s="50"/>
      <c r="I51" s="54"/>
      <c r="J51" s="54"/>
      <c r="K51" s="54"/>
      <c r="L51" s="54"/>
      <c r="M51" s="54"/>
      <c r="N51" s="54"/>
      <c r="O51" s="54"/>
      <c r="P51" s="54"/>
      <c r="Q51" s="54"/>
      <c r="R51" s="54"/>
      <c r="S51" s="54"/>
      <c r="T51" s="54"/>
      <c r="U51" s="54"/>
      <c r="V51" s="54"/>
      <c r="W51" s="54"/>
      <c r="X51" s="54"/>
      <c r="Y51" s="54"/>
      <c r="Z51" s="54"/>
      <c r="AA51" s="54"/>
      <c r="AB51" s="54"/>
    </row>
    <row r="52">
      <c r="A52" s="57"/>
      <c r="B52" s="10" t="str">
        <f>IFERROR(VLOOKUP(C52,'Employees List'!$B$1:$G$999,4,0),"")</f>
        <v/>
      </c>
      <c r="C52" s="9"/>
      <c r="D52" s="9"/>
      <c r="E52" s="56"/>
      <c r="F52" s="56"/>
      <c r="G52" s="56"/>
      <c r="H52" s="50"/>
      <c r="I52" s="54"/>
      <c r="J52" s="54"/>
      <c r="K52" s="54"/>
      <c r="L52" s="54"/>
      <c r="M52" s="54"/>
      <c r="N52" s="54"/>
      <c r="O52" s="54"/>
      <c r="P52" s="54"/>
      <c r="Q52" s="54"/>
      <c r="R52" s="54"/>
      <c r="S52" s="54"/>
      <c r="T52" s="54"/>
      <c r="U52" s="54"/>
      <c r="V52" s="54"/>
      <c r="W52" s="54"/>
      <c r="X52" s="54"/>
      <c r="Y52" s="54"/>
      <c r="Z52" s="54"/>
      <c r="AA52" s="54"/>
      <c r="AB52" s="54"/>
    </row>
    <row r="53">
      <c r="A53" s="57"/>
      <c r="B53" s="10" t="str">
        <f>IFERROR(VLOOKUP(C53,'Employees List'!$B$1:$G$999,4,0),"")</f>
        <v/>
      </c>
      <c r="C53" s="9"/>
      <c r="D53" s="9"/>
      <c r="E53" s="56"/>
      <c r="F53" s="56"/>
      <c r="G53" s="56"/>
      <c r="H53" s="50"/>
      <c r="I53" s="54"/>
      <c r="J53" s="54"/>
      <c r="K53" s="54"/>
      <c r="L53" s="54"/>
      <c r="M53" s="54"/>
      <c r="N53" s="54"/>
      <c r="O53" s="54"/>
      <c r="P53" s="54"/>
      <c r="Q53" s="54"/>
      <c r="R53" s="54"/>
      <c r="S53" s="54"/>
      <c r="T53" s="54"/>
      <c r="U53" s="54"/>
      <c r="V53" s="54"/>
      <c r="W53" s="54"/>
      <c r="X53" s="54"/>
      <c r="Y53" s="54"/>
      <c r="Z53" s="54"/>
      <c r="AA53" s="54"/>
      <c r="AB53" s="54"/>
    </row>
    <row r="54">
      <c r="A54" s="57"/>
      <c r="B54" s="10" t="str">
        <f>IFERROR(VLOOKUP(C54,'Employees List'!$B$1:$G$999,4,0),"")</f>
        <v/>
      </c>
      <c r="C54" s="9"/>
      <c r="D54" s="9"/>
      <c r="E54" s="56"/>
      <c r="F54" s="56"/>
      <c r="G54" s="56"/>
      <c r="H54" s="50"/>
      <c r="I54" s="54"/>
      <c r="J54" s="54"/>
      <c r="K54" s="54"/>
      <c r="L54" s="54"/>
      <c r="M54" s="54"/>
      <c r="N54" s="54"/>
      <c r="O54" s="54"/>
      <c r="P54" s="54"/>
      <c r="Q54" s="54"/>
      <c r="R54" s="54"/>
      <c r="S54" s="54"/>
      <c r="T54" s="54"/>
      <c r="U54" s="54"/>
      <c r="V54" s="54"/>
      <c r="W54" s="54"/>
      <c r="X54" s="54"/>
      <c r="Y54" s="54"/>
      <c r="Z54" s="54"/>
      <c r="AA54" s="54"/>
      <c r="AB54" s="54"/>
    </row>
    <row r="55">
      <c r="A55" s="57"/>
      <c r="B55" s="10" t="str">
        <f>IFERROR(VLOOKUP(C55,'Employees List'!$B$1:$G$999,4,0),"")</f>
        <v/>
      </c>
      <c r="C55" s="9"/>
      <c r="D55" s="9"/>
      <c r="E55" s="56"/>
      <c r="F55" s="56"/>
      <c r="G55" s="56"/>
      <c r="H55" s="50"/>
      <c r="I55" s="54"/>
      <c r="J55" s="54"/>
      <c r="K55" s="54"/>
      <c r="L55" s="54"/>
      <c r="M55" s="54"/>
      <c r="N55" s="54"/>
      <c r="O55" s="54"/>
      <c r="P55" s="54"/>
      <c r="Q55" s="54"/>
      <c r="R55" s="54"/>
      <c r="S55" s="54"/>
      <c r="T55" s="54"/>
      <c r="U55" s="54"/>
      <c r="V55" s="54"/>
      <c r="W55" s="54"/>
      <c r="X55" s="54"/>
      <c r="Y55" s="54"/>
      <c r="Z55" s="54"/>
      <c r="AA55" s="54"/>
      <c r="AB55" s="54"/>
    </row>
    <row r="56">
      <c r="A56" s="57"/>
      <c r="B56" s="10" t="str">
        <f>IFERROR(VLOOKUP(C56,'Employees List'!$B$1:$G$999,4,0),"")</f>
        <v/>
      </c>
      <c r="C56" s="9"/>
      <c r="D56" s="9"/>
      <c r="E56" s="56"/>
      <c r="F56" s="56"/>
      <c r="G56" s="56"/>
      <c r="H56" s="50"/>
      <c r="I56" s="54"/>
      <c r="J56" s="54"/>
      <c r="K56" s="54"/>
      <c r="L56" s="54"/>
      <c r="M56" s="54"/>
      <c r="N56" s="54"/>
      <c r="O56" s="54"/>
      <c r="P56" s="54"/>
      <c r="Q56" s="54"/>
      <c r="R56" s="54"/>
      <c r="S56" s="54"/>
      <c r="T56" s="54"/>
      <c r="U56" s="54"/>
      <c r="V56" s="54"/>
      <c r="W56" s="54"/>
      <c r="X56" s="54"/>
      <c r="Y56" s="54"/>
      <c r="Z56" s="54"/>
      <c r="AA56" s="54"/>
      <c r="AB56" s="54"/>
    </row>
    <row r="57">
      <c r="A57" s="57"/>
      <c r="B57" s="10" t="str">
        <f>IFERROR(VLOOKUP(C57,'Employees List'!$B$1:$G$999,4,0),"")</f>
        <v/>
      </c>
      <c r="C57" s="9"/>
      <c r="D57" s="9"/>
      <c r="E57" s="56"/>
      <c r="F57" s="56"/>
      <c r="G57" s="56"/>
      <c r="H57" s="50"/>
      <c r="I57" s="54"/>
      <c r="J57" s="54"/>
      <c r="K57" s="54"/>
      <c r="L57" s="54"/>
      <c r="M57" s="54"/>
      <c r="N57" s="54"/>
      <c r="O57" s="54"/>
      <c r="P57" s="54"/>
      <c r="Q57" s="54"/>
      <c r="R57" s="54"/>
      <c r="S57" s="54"/>
      <c r="T57" s="54"/>
      <c r="U57" s="54"/>
      <c r="V57" s="54"/>
      <c r="W57" s="54"/>
      <c r="X57" s="54"/>
      <c r="Y57" s="54"/>
      <c r="Z57" s="54"/>
      <c r="AA57" s="54"/>
      <c r="AB57" s="54"/>
    </row>
    <row r="58">
      <c r="A58" s="57"/>
      <c r="B58" s="10" t="str">
        <f>IFERROR(VLOOKUP(C58,'Employees List'!$B$1:$G$999,4,0),"")</f>
        <v/>
      </c>
      <c r="C58" s="9"/>
      <c r="D58" s="9"/>
      <c r="E58" s="56"/>
      <c r="F58" s="56"/>
      <c r="G58" s="56"/>
      <c r="H58" s="50"/>
      <c r="I58" s="54"/>
      <c r="J58" s="54"/>
      <c r="K58" s="54"/>
      <c r="L58" s="54"/>
      <c r="M58" s="54"/>
      <c r="N58" s="54"/>
      <c r="O58" s="54"/>
      <c r="P58" s="54"/>
      <c r="Q58" s="54"/>
      <c r="R58" s="54"/>
      <c r="S58" s="54"/>
      <c r="T58" s="54"/>
      <c r="U58" s="54"/>
      <c r="V58" s="54"/>
      <c r="W58" s="54"/>
      <c r="X58" s="54"/>
      <c r="Y58" s="54"/>
      <c r="Z58" s="54"/>
      <c r="AA58" s="54"/>
      <c r="AB58" s="54"/>
    </row>
    <row r="59">
      <c r="A59" s="57"/>
      <c r="B59" s="10" t="str">
        <f>IFERROR(VLOOKUP(C59,'Employees List'!$B$1:$G$999,4,0),"")</f>
        <v/>
      </c>
      <c r="C59" s="9"/>
      <c r="D59" s="9"/>
      <c r="E59" s="56"/>
      <c r="F59" s="56"/>
      <c r="G59" s="56"/>
      <c r="H59" s="50"/>
      <c r="I59" s="54"/>
      <c r="J59" s="54"/>
      <c r="K59" s="54"/>
      <c r="L59" s="54"/>
      <c r="M59" s="54"/>
      <c r="N59" s="54"/>
      <c r="O59" s="54"/>
      <c r="P59" s="54"/>
      <c r="Q59" s="54"/>
      <c r="R59" s="54"/>
      <c r="S59" s="54"/>
      <c r="T59" s="54"/>
      <c r="U59" s="54"/>
      <c r="V59" s="54"/>
      <c r="W59" s="54"/>
      <c r="X59" s="54"/>
      <c r="Y59" s="54"/>
      <c r="Z59" s="54"/>
      <c r="AA59" s="54"/>
      <c r="AB59" s="54"/>
    </row>
    <row r="60">
      <c r="A60" s="57"/>
      <c r="B60" s="10" t="str">
        <f>IFERROR(VLOOKUP(C60,'Employees List'!$B$1:$G$999,4,0),"")</f>
        <v/>
      </c>
      <c r="C60" s="9"/>
      <c r="D60" s="9"/>
      <c r="E60" s="56"/>
      <c r="F60" s="56"/>
      <c r="G60" s="56"/>
      <c r="H60" s="50"/>
      <c r="I60" s="54"/>
      <c r="J60" s="54"/>
      <c r="K60" s="54"/>
      <c r="L60" s="54"/>
      <c r="M60" s="54"/>
      <c r="N60" s="54"/>
      <c r="O60" s="54"/>
      <c r="P60" s="54"/>
      <c r="Q60" s="54"/>
      <c r="R60" s="54"/>
      <c r="S60" s="54"/>
      <c r="T60" s="54"/>
      <c r="U60" s="54"/>
      <c r="V60" s="54"/>
      <c r="W60" s="54"/>
      <c r="X60" s="54"/>
      <c r="Y60" s="54"/>
      <c r="Z60" s="54"/>
      <c r="AA60" s="54"/>
      <c r="AB60" s="54"/>
    </row>
    <row r="61">
      <c r="A61" s="57"/>
      <c r="B61" s="10" t="str">
        <f>IFERROR(VLOOKUP(C61,'Employees List'!$B$1:$G$999,4,0),"")</f>
        <v/>
      </c>
      <c r="C61" s="9"/>
      <c r="D61" s="9"/>
      <c r="E61" s="56"/>
      <c r="F61" s="56"/>
      <c r="G61" s="56"/>
      <c r="H61" s="50"/>
      <c r="I61" s="54"/>
      <c r="J61" s="54"/>
      <c r="K61" s="54"/>
      <c r="L61" s="54"/>
      <c r="M61" s="54"/>
      <c r="N61" s="54"/>
      <c r="O61" s="54"/>
      <c r="P61" s="54"/>
      <c r="Q61" s="54"/>
      <c r="R61" s="54"/>
      <c r="S61" s="54"/>
      <c r="T61" s="54"/>
      <c r="U61" s="54"/>
      <c r="V61" s="54"/>
      <c r="W61" s="54"/>
      <c r="X61" s="54"/>
      <c r="Y61" s="54"/>
      <c r="Z61" s="54"/>
      <c r="AA61" s="54"/>
      <c r="AB61" s="54"/>
    </row>
    <row r="62">
      <c r="A62" s="57"/>
      <c r="B62" s="10" t="str">
        <f>IFERROR(VLOOKUP(C62,'Employees List'!$B$1:$G$999,4,0),"")</f>
        <v/>
      </c>
      <c r="C62" s="9"/>
      <c r="D62" s="9"/>
      <c r="E62" s="56"/>
      <c r="F62" s="56"/>
      <c r="G62" s="56"/>
      <c r="H62" s="50"/>
      <c r="I62" s="54"/>
      <c r="J62" s="54"/>
      <c r="K62" s="54"/>
      <c r="L62" s="54"/>
      <c r="M62" s="54"/>
      <c r="N62" s="54"/>
      <c r="O62" s="54"/>
      <c r="P62" s="54"/>
      <c r="Q62" s="54"/>
      <c r="R62" s="54"/>
      <c r="S62" s="54"/>
      <c r="T62" s="54"/>
      <c r="U62" s="54"/>
      <c r="V62" s="54"/>
      <c r="W62" s="54"/>
      <c r="X62" s="54"/>
      <c r="Y62" s="54"/>
      <c r="Z62" s="54"/>
      <c r="AA62" s="54"/>
      <c r="AB62" s="54"/>
    </row>
    <row r="63">
      <c r="A63" s="57"/>
      <c r="B63" s="10" t="str">
        <f>IFERROR(VLOOKUP(C63,'Employees List'!$B$1:$G$999,4,0),"")</f>
        <v/>
      </c>
      <c r="C63" s="9"/>
      <c r="D63" s="9"/>
      <c r="E63" s="56"/>
      <c r="F63" s="56"/>
      <c r="G63" s="56"/>
      <c r="H63" s="50"/>
      <c r="I63" s="54"/>
      <c r="J63" s="54"/>
      <c r="K63" s="54"/>
      <c r="L63" s="54"/>
      <c r="M63" s="54"/>
      <c r="N63" s="54"/>
      <c r="O63" s="54"/>
      <c r="P63" s="54"/>
      <c r="Q63" s="54"/>
      <c r="R63" s="54"/>
      <c r="S63" s="54"/>
      <c r="T63" s="54"/>
      <c r="U63" s="54"/>
      <c r="V63" s="54"/>
      <c r="W63" s="54"/>
      <c r="X63" s="54"/>
      <c r="Y63" s="54"/>
      <c r="Z63" s="54"/>
      <c r="AA63" s="54"/>
      <c r="AB63" s="54"/>
    </row>
    <row r="64">
      <c r="A64" s="57"/>
      <c r="B64" s="10" t="str">
        <f>IFERROR(VLOOKUP(C64,'Employees List'!$B$1:$G$999,4,0),"")</f>
        <v/>
      </c>
      <c r="C64" s="9"/>
      <c r="D64" s="9"/>
      <c r="E64" s="56"/>
      <c r="F64" s="56"/>
      <c r="G64" s="56"/>
      <c r="H64" s="50"/>
      <c r="I64" s="54"/>
      <c r="J64" s="54"/>
      <c r="K64" s="54"/>
      <c r="L64" s="54"/>
      <c r="M64" s="54"/>
      <c r="N64" s="54"/>
      <c r="O64" s="54"/>
      <c r="P64" s="54"/>
      <c r="Q64" s="54"/>
      <c r="R64" s="54"/>
      <c r="S64" s="54"/>
      <c r="T64" s="54"/>
      <c r="U64" s="54"/>
      <c r="V64" s="54"/>
      <c r="W64" s="54"/>
      <c r="X64" s="54"/>
      <c r="Y64" s="54"/>
      <c r="Z64" s="54"/>
      <c r="AA64" s="54"/>
      <c r="AB64" s="54"/>
    </row>
    <row r="65">
      <c r="A65" s="57"/>
      <c r="B65" s="10" t="str">
        <f>IFERROR(VLOOKUP(C65,'Employees List'!$B$1:$G$999,4,0),"")</f>
        <v/>
      </c>
      <c r="C65" s="9"/>
      <c r="D65" s="9"/>
      <c r="E65" s="56"/>
      <c r="F65" s="56"/>
      <c r="G65" s="56"/>
      <c r="H65" s="50"/>
      <c r="I65" s="54"/>
      <c r="J65" s="54"/>
      <c r="K65" s="54"/>
      <c r="L65" s="54"/>
      <c r="M65" s="54"/>
      <c r="N65" s="54"/>
      <c r="O65" s="54"/>
      <c r="P65" s="54"/>
      <c r="Q65" s="54"/>
      <c r="R65" s="54"/>
      <c r="S65" s="54"/>
      <c r="T65" s="54"/>
      <c r="U65" s="54"/>
      <c r="V65" s="54"/>
      <c r="W65" s="54"/>
      <c r="X65" s="54"/>
      <c r="Y65" s="54"/>
      <c r="Z65" s="54"/>
      <c r="AA65" s="54"/>
      <c r="AB65" s="54"/>
    </row>
    <row r="66">
      <c r="A66" s="57"/>
      <c r="B66" s="10" t="str">
        <f>IFERROR(VLOOKUP(C66,'Employees List'!$B$1:$G$999,4,0),"")</f>
        <v/>
      </c>
      <c r="C66" s="9"/>
      <c r="D66" s="9"/>
      <c r="E66" s="56"/>
      <c r="F66" s="56"/>
      <c r="G66" s="56"/>
      <c r="H66" s="50"/>
      <c r="I66" s="54"/>
      <c r="J66" s="54"/>
      <c r="K66" s="54"/>
      <c r="L66" s="54"/>
      <c r="M66" s="54"/>
      <c r="N66" s="54"/>
      <c r="O66" s="54"/>
      <c r="P66" s="54"/>
      <c r="Q66" s="54"/>
      <c r="R66" s="54"/>
      <c r="S66" s="54"/>
      <c r="T66" s="54"/>
      <c r="U66" s="54"/>
      <c r="V66" s="54"/>
      <c r="W66" s="54"/>
      <c r="X66" s="54"/>
      <c r="Y66" s="54"/>
      <c r="Z66" s="54"/>
      <c r="AA66" s="54"/>
      <c r="AB66" s="54"/>
    </row>
    <row r="67">
      <c r="A67" s="57"/>
      <c r="B67" s="10" t="str">
        <f>IFERROR(VLOOKUP(C67,'Employees List'!$B$1:$G$999,4,0),"")</f>
        <v/>
      </c>
      <c r="C67" s="9"/>
      <c r="D67" s="9"/>
      <c r="E67" s="56"/>
      <c r="F67" s="56"/>
      <c r="G67" s="56"/>
      <c r="H67" s="50"/>
      <c r="I67" s="54"/>
      <c r="J67" s="54"/>
      <c r="K67" s="54"/>
      <c r="L67" s="54"/>
      <c r="M67" s="54"/>
      <c r="N67" s="54"/>
      <c r="O67" s="54"/>
      <c r="P67" s="54"/>
      <c r="Q67" s="54"/>
      <c r="R67" s="54"/>
      <c r="S67" s="54"/>
      <c r="T67" s="54"/>
      <c r="U67" s="54"/>
      <c r="V67" s="54"/>
      <c r="W67" s="54"/>
      <c r="X67" s="54"/>
      <c r="Y67" s="54"/>
      <c r="Z67" s="54"/>
      <c r="AA67" s="54"/>
      <c r="AB67" s="54"/>
    </row>
    <row r="68">
      <c r="A68" s="57"/>
      <c r="B68" s="10" t="str">
        <f>IFERROR(VLOOKUP(C68,'Employees List'!$B$1:$G$999,4,0),"")</f>
        <v/>
      </c>
      <c r="C68" s="9"/>
      <c r="D68" s="9"/>
      <c r="E68" s="56"/>
      <c r="F68" s="56"/>
      <c r="G68" s="56"/>
      <c r="H68" s="50"/>
      <c r="I68" s="54"/>
      <c r="J68" s="54"/>
      <c r="K68" s="54"/>
      <c r="L68" s="54"/>
      <c r="M68" s="54"/>
      <c r="N68" s="54"/>
      <c r="O68" s="54"/>
      <c r="P68" s="54"/>
      <c r="Q68" s="54"/>
      <c r="R68" s="54"/>
      <c r="S68" s="54"/>
      <c r="T68" s="54"/>
      <c r="U68" s="54"/>
      <c r="V68" s="54"/>
      <c r="W68" s="54"/>
      <c r="X68" s="54"/>
      <c r="Y68" s="54"/>
      <c r="Z68" s="54"/>
      <c r="AA68" s="54"/>
      <c r="AB68" s="54"/>
    </row>
    <row r="69">
      <c r="A69" s="57"/>
      <c r="B69" s="10" t="str">
        <f>IFERROR(VLOOKUP(C69,'Employees List'!$B$1:$G$999,4,0),"")</f>
        <v/>
      </c>
      <c r="C69" s="9"/>
      <c r="D69" s="9"/>
      <c r="E69" s="56"/>
      <c r="F69" s="56"/>
      <c r="G69" s="56"/>
      <c r="H69" s="50"/>
      <c r="I69" s="54"/>
      <c r="J69" s="54"/>
      <c r="K69" s="54"/>
      <c r="L69" s="54"/>
      <c r="M69" s="54"/>
      <c r="N69" s="54"/>
      <c r="O69" s="54"/>
      <c r="P69" s="54"/>
      <c r="Q69" s="54"/>
      <c r="R69" s="54"/>
      <c r="S69" s="54"/>
      <c r="T69" s="54"/>
      <c r="U69" s="54"/>
      <c r="V69" s="54"/>
      <c r="W69" s="54"/>
      <c r="X69" s="54"/>
      <c r="Y69" s="54"/>
      <c r="Z69" s="54"/>
      <c r="AA69" s="54"/>
      <c r="AB69" s="54"/>
    </row>
    <row r="70">
      <c r="A70" s="57"/>
      <c r="B70" s="10" t="str">
        <f>IFERROR(VLOOKUP(C70,'Employees List'!$B$1:$G$999,4,0),"")</f>
        <v/>
      </c>
      <c r="C70" s="9"/>
      <c r="D70" s="9"/>
      <c r="E70" s="56"/>
      <c r="F70" s="56"/>
      <c r="G70" s="56"/>
      <c r="H70" s="50"/>
      <c r="I70" s="54"/>
      <c r="J70" s="54"/>
      <c r="K70" s="54"/>
      <c r="L70" s="54"/>
      <c r="M70" s="54"/>
      <c r="N70" s="54"/>
      <c r="O70" s="54"/>
      <c r="P70" s="54"/>
      <c r="Q70" s="54"/>
      <c r="R70" s="54"/>
      <c r="S70" s="54"/>
      <c r="T70" s="54"/>
      <c r="U70" s="54"/>
      <c r="V70" s="54"/>
      <c r="W70" s="54"/>
      <c r="X70" s="54"/>
      <c r="Y70" s="54"/>
      <c r="Z70" s="54"/>
      <c r="AA70" s="54"/>
      <c r="AB70" s="54"/>
    </row>
    <row r="71">
      <c r="A71" s="57"/>
      <c r="B71" s="10" t="str">
        <f>IFERROR(VLOOKUP(C71,'Employees List'!$B$1:$G$999,4,0),"")</f>
        <v/>
      </c>
      <c r="C71" s="9"/>
      <c r="D71" s="9"/>
      <c r="E71" s="56"/>
      <c r="F71" s="56"/>
      <c r="G71" s="56"/>
      <c r="H71" s="50"/>
      <c r="I71" s="54"/>
      <c r="J71" s="54"/>
      <c r="K71" s="54"/>
      <c r="L71" s="54"/>
      <c r="M71" s="54"/>
      <c r="N71" s="54"/>
      <c r="O71" s="54"/>
      <c r="P71" s="54"/>
      <c r="Q71" s="54"/>
      <c r="R71" s="54"/>
      <c r="S71" s="54"/>
      <c r="T71" s="54"/>
      <c r="U71" s="54"/>
      <c r="V71" s="54"/>
      <c r="W71" s="54"/>
      <c r="X71" s="54"/>
      <c r="Y71" s="54"/>
      <c r="Z71" s="54"/>
      <c r="AA71" s="54"/>
      <c r="AB71" s="54"/>
    </row>
    <row r="72">
      <c r="A72" s="57"/>
      <c r="B72" s="10" t="str">
        <f>IFERROR(VLOOKUP(C72,'Employees List'!$B$1:$G$999,4,0),"")</f>
        <v/>
      </c>
      <c r="C72" s="9"/>
      <c r="D72" s="9"/>
      <c r="E72" s="56"/>
      <c r="F72" s="56"/>
      <c r="G72" s="56"/>
      <c r="H72" s="50"/>
      <c r="I72" s="54"/>
      <c r="J72" s="54"/>
      <c r="K72" s="54"/>
      <c r="L72" s="54"/>
      <c r="M72" s="54"/>
      <c r="N72" s="54"/>
      <c r="O72" s="54"/>
      <c r="P72" s="54"/>
      <c r="Q72" s="54"/>
      <c r="R72" s="54"/>
      <c r="S72" s="54"/>
      <c r="T72" s="54"/>
      <c r="U72" s="54"/>
      <c r="V72" s="54"/>
      <c r="W72" s="54"/>
      <c r="X72" s="54"/>
      <c r="Y72" s="54"/>
      <c r="Z72" s="54"/>
      <c r="AA72" s="54"/>
      <c r="AB72" s="54"/>
    </row>
    <row r="73">
      <c r="A73" s="57"/>
      <c r="B73" s="10" t="str">
        <f>IFERROR(VLOOKUP(C73,'Employees List'!$B$1:$G$999,4,0),"")</f>
        <v/>
      </c>
      <c r="C73" s="9"/>
      <c r="D73" s="9"/>
      <c r="E73" s="56"/>
      <c r="F73" s="56"/>
      <c r="G73" s="56"/>
      <c r="H73" s="50"/>
      <c r="I73" s="54"/>
      <c r="J73" s="54"/>
      <c r="K73" s="54"/>
      <c r="L73" s="54"/>
      <c r="M73" s="54"/>
      <c r="N73" s="54"/>
      <c r="O73" s="54"/>
      <c r="P73" s="54"/>
      <c r="Q73" s="54"/>
      <c r="R73" s="54"/>
      <c r="S73" s="54"/>
      <c r="T73" s="54"/>
      <c r="U73" s="54"/>
      <c r="V73" s="54"/>
      <c r="W73" s="54"/>
      <c r="X73" s="54"/>
      <c r="Y73" s="54"/>
      <c r="Z73" s="54"/>
      <c r="AA73" s="54"/>
      <c r="AB73" s="54"/>
    </row>
    <row r="74">
      <c r="A74" s="57"/>
      <c r="B74" s="10" t="str">
        <f>IFERROR(VLOOKUP(C74,'Employees List'!$B$1:$G$999,4,0),"")</f>
        <v/>
      </c>
      <c r="C74" s="9"/>
      <c r="D74" s="9"/>
      <c r="E74" s="56"/>
      <c r="F74" s="56"/>
      <c r="G74" s="56"/>
      <c r="H74" s="50"/>
      <c r="I74" s="54"/>
      <c r="J74" s="54"/>
      <c r="K74" s="54"/>
      <c r="L74" s="54"/>
      <c r="M74" s="54"/>
      <c r="N74" s="54"/>
      <c r="O74" s="54"/>
      <c r="P74" s="54"/>
      <c r="Q74" s="54"/>
      <c r="R74" s="54"/>
      <c r="S74" s="54"/>
      <c r="T74" s="54"/>
      <c r="U74" s="54"/>
      <c r="V74" s="54"/>
      <c r="W74" s="54"/>
      <c r="X74" s="54"/>
      <c r="Y74" s="54"/>
      <c r="Z74" s="54"/>
      <c r="AA74" s="54"/>
      <c r="AB74" s="54"/>
    </row>
    <row r="75">
      <c r="A75" s="57"/>
      <c r="B75" s="10" t="str">
        <f>IFERROR(VLOOKUP(C75,'Employees List'!$B$1:$G$999,4,0),"")</f>
        <v/>
      </c>
      <c r="C75" s="9"/>
      <c r="D75" s="9"/>
      <c r="E75" s="56"/>
      <c r="F75" s="56"/>
      <c r="G75" s="56"/>
      <c r="H75" s="50"/>
      <c r="I75" s="54"/>
      <c r="J75" s="54"/>
      <c r="K75" s="54"/>
      <c r="L75" s="54"/>
      <c r="M75" s="54"/>
      <c r="N75" s="54"/>
      <c r="O75" s="54"/>
      <c r="P75" s="54"/>
      <c r="Q75" s="54"/>
      <c r="R75" s="54"/>
      <c r="S75" s="54"/>
      <c r="T75" s="54"/>
      <c r="U75" s="54"/>
      <c r="V75" s="54"/>
      <c r="W75" s="54"/>
      <c r="X75" s="54"/>
      <c r="Y75" s="54"/>
      <c r="Z75" s="54"/>
      <c r="AA75" s="54"/>
      <c r="AB75" s="54"/>
    </row>
    <row r="76">
      <c r="A76" s="57"/>
      <c r="B76" s="10" t="str">
        <f>IFERROR(VLOOKUP(C76,'Employees List'!$B$1:$G$999,4,0),"")</f>
        <v/>
      </c>
      <c r="C76" s="9"/>
      <c r="D76" s="9"/>
      <c r="E76" s="56"/>
      <c r="F76" s="56"/>
      <c r="G76" s="56"/>
      <c r="H76" s="50"/>
      <c r="I76" s="54"/>
      <c r="J76" s="54"/>
      <c r="K76" s="54"/>
      <c r="L76" s="54"/>
      <c r="M76" s="54"/>
      <c r="N76" s="54"/>
      <c r="O76" s="54"/>
      <c r="P76" s="54"/>
      <c r="Q76" s="54"/>
      <c r="R76" s="54"/>
      <c r="S76" s="54"/>
      <c r="T76" s="54"/>
      <c r="U76" s="54"/>
      <c r="V76" s="54"/>
      <c r="W76" s="54"/>
      <c r="X76" s="54"/>
      <c r="Y76" s="54"/>
      <c r="Z76" s="54"/>
      <c r="AA76" s="54"/>
      <c r="AB76" s="54"/>
    </row>
    <row r="77">
      <c r="A77" s="57"/>
      <c r="B77" s="10" t="str">
        <f>IFERROR(VLOOKUP(C77,'Employees List'!$B$1:$G$999,4,0),"")</f>
        <v/>
      </c>
      <c r="C77" s="9"/>
      <c r="D77" s="9"/>
      <c r="E77" s="56"/>
      <c r="F77" s="56"/>
      <c r="G77" s="56"/>
      <c r="H77" s="50"/>
      <c r="I77" s="54"/>
      <c r="J77" s="54"/>
      <c r="K77" s="54"/>
      <c r="L77" s="54"/>
      <c r="M77" s="54"/>
      <c r="N77" s="54"/>
      <c r="O77" s="54"/>
      <c r="P77" s="54"/>
      <c r="Q77" s="54"/>
      <c r="R77" s="54"/>
      <c r="S77" s="54"/>
      <c r="T77" s="54"/>
      <c r="U77" s="54"/>
      <c r="V77" s="54"/>
      <c r="W77" s="54"/>
      <c r="X77" s="54"/>
      <c r="Y77" s="54"/>
      <c r="Z77" s="54"/>
      <c r="AA77" s="54"/>
      <c r="AB77" s="54"/>
    </row>
    <row r="78">
      <c r="A78" s="57"/>
      <c r="B78" s="10" t="str">
        <f>IFERROR(VLOOKUP(C78,'Employees List'!$B$1:$G$999,4,0),"")</f>
        <v/>
      </c>
      <c r="C78" s="9"/>
      <c r="D78" s="9"/>
      <c r="E78" s="56"/>
      <c r="F78" s="56"/>
      <c r="G78" s="56"/>
      <c r="H78" s="50"/>
      <c r="I78" s="54"/>
      <c r="J78" s="54"/>
      <c r="K78" s="54"/>
      <c r="L78" s="54"/>
      <c r="M78" s="54"/>
      <c r="N78" s="54"/>
      <c r="O78" s="54"/>
      <c r="P78" s="54"/>
      <c r="Q78" s="54"/>
      <c r="R78" s="54"/>
      <c r="S78" s="54"/>
      <c r="T78" s="54"/>
      <c r="U78" s="54"/>
      <c r="V78" s="54"/>
      <c r="W78" s="54"/>
      <c r="X78" s="54"/>
      <c r="Y78" s="54"/>
      <c r="Z78" s="54"/>
      <c r="AA78" s="54"/>
      <c r="AB78" s="54"/>
    </row>
    <row r="79">
      <c r="A79" s="57"/>
      <c r="B79" s="10" t="str">
        <f>IFERROR(VLOOKUP(C79,'Employees List'!$B$1:$G$999,4,0),"")</f>
        <v/>
      </c>
      <c r="C79" s="9"/>
      <c r="D79" s="9"/>
      <c r="E79" s="56"/>
      <c r="F79" s="56"/>
      <c r="G79" s="56"/>
      <c r="H79" s="50"/>
      <c r="I79" s="54"/>
      <c r="J79" s="54"/>
      <c r="K79" s="54"/>
      <c r="L79" s="54"/>
      <c r="M79" s="54"/>
      <c r="N79" s="54"/>
      <c r="O79" s="54"/>
      <c r="P79" s="54"/>
      <c r="Q79" s="54"/>
      <c r="R79" s="54"/>
      <c r="S79" s="54"/>
      <c r="T79" s="54"/>
      <c r="U79" s="54"/>
      <c r="V79" s="54"/>
      <c r="W79" s="54"/>
      <c r="X79" s="54"/>
      <c r="Y79" s="54"/>
      <c r="Z79" s="54"/>
      <c r="AA79" s="54"/>
      <c r="AB79" s="54"/>
    </row>
    <row r="80">
      <c r="A80" s="57"/>
      <c r="B80" s="10" t="str">
        <f>IFERROR(VLOOKUP(C80,'Employees List'!$B$1:$G$999,4,0),"")</f>
        <v/>
      </c>
      <c r="C80" s="9"/>
      <c r="D80" s="9"/>
      <c r="E80" s="56"/>
      <c r="F80" s="56"/>
      <c r="G80" s="56"/>
      <c r="H80" s="50"/>
      <c r="I80" s="54"/>
      <c r="J80" s="54"/>
      <c r="K80" s="54"/>
      <c r="L80" s="54"/>
      <c r="M80" s="54"/>
      <c r="N80" s="54"/>
      <c r="O80" s="54"/>
      <c r="P80" s="54"/>
      <c r="Q80" s="54"/>
      <c r="R80" s="54"/>
      <c r="S80" s="54"/>
      <c r="T80" s="54"/>
      <c r="U80" s="54"/>
      <c r="V80" s="54"/>
      <c r="W80" s="54"/>
      <c r="X80" s="54"/>
      <c r="Y80" s="54"/>
      <c r="Z80" s="54"/>
      <c r="AA80" s="54"/>
      <c r="AB80" s="54"/>
    </row>
    <row r="81">
      <c r="A81" s="57"/>
      <c r="B81" s="10" t="str">
        <f>IFERROR(VLOOKUP(C81,'Employees List'!$B$1:$G$999,4,0),"")</f>
        <v/>
      </c>
      <c r="C81" s="9"/>
      <c r="D81" s="9"/>
      <c r="E81" s="56"/>
      <c r="F81" s="56"/>
      <c r="G81" s="56"/>
      <c r="H81" s="50"/>
      <c r="I81" s="54"/>
      <c r="J81" s="54"/>
      <c r="K81" s="54"/>
      <c r="L81" s="54"/>
      <c r="M81" s="54"/>
      <c r="N81" s="54"/>
      <c r="O81" s="54"/>
      <c r="P81" s="54"/>
      <c r="Q81" s="54"/>
      <c r="R81" s="54"/>
      <c r="S81" s="54"/>
      <c r="T81" s="54"/>
      <c r="U81" s="54"/>
      <c r="V81" s="54"/>
      <c r="W81" s="54"/>
      <c r="X81" s="54"/>
      <c r="Y81" s="54"/>
      <c r="Z81" s="54"/>
      <c r="AA81" s="54"/>
      <c r="AB81" s="54"/>
    </row>
    <row r="82">
      <c r="A82" s="57"/>
      <c r="B82" s="10" t="str">
        <f>IFERROR(VLOOKUP(C82,'Employees List'!$B$1:$G$999,4,0),"")</f>
        <v/>
      </c>
      <c r="C82" s="9"/>
      <c r="D82" s="9"/>
      <c r="E82" s="56"/>
      <c r="F82" s="56"/>
      <c r="G82" s="56"/>
      <c r="H82" s="50"/>
      <c r="I82" s="54"/>
      <c r="J82" s="54"/>
      <c r="K82" s="54"/>
      <c r="L82" s="54"/>
      <c r="M82" s="54"/>
      <c r="N82" s="54"/>
      <c r="O82" s="54"/>
      <c r="P82" s="54"/>
      <c r="Q82" s="54"/>
      <c r="R82" s="54"/>
      <c r="S82" s="54"/>
      <c r="T82" s="54"/>
      <c r="U82" s="54"/>
      <c r="V82" s="54"/>
      <c r="W82" s="54"/>
      <c r="X82" s="54"/>
      <c r="Y82" s="54"/>
      <c r="Z82" s="54"/>
      <c r="AA82" s="54"/>
      <c r="AB82" s="54"/>
    </row>
    <row r="83">
      <c r="A83" s="57"/>
      <c r="B83" s="10" t="str">
        <f>IFERROR(VLOOKUP(C83,'Employees List'!$B$1:$G$999,4,0),"")</f>
        <v/>
      </c>
      <c r="C83" s="9"/>
      <c r="D83" s="9"/>
      <c r="E83" s="56"/>
      <c r="F83" s="56"/>
      <c r="G83" s="56"/>
      <c r="H83" s="50"/>
      <c r="I83" s="54"/>
      <c r="J83" s="54"/>
      <c r="K83" s="54"/>
      <c r="L83" s="54"/>
      <c r="M83" s="54"/>
      <c r="N83" s="54"/>
      <c r="O83" s="54"/>
      <c r="P83" s="54"/>
      <c r="Q83" s="54"/>
      <c r="R83" s="54"/>
      <c r="S83" s="54"/>
      <c r="T83" s="54"/>
      <c r="U83" s="54"/>
      <c r="V83" s="54"/>
      <c r="W83" s="54"/>
      <c r="X83" s="54"/>
      <c r="Y83" s="54"/>
      <c r="Z83" s="54"/>
      <c r="AA83" s="54"/>
      <c r="AB83" s="54"/>
    </row>
    <row r="84">
      <c r="A84" s="57"/>
      <c r="B84" s="10" t="str">
        <f>IFERROR(VLOOKUP(C84,'Employees List'!$B$1:$G$999,4,0),"")</f>
        <v/>
      </c>
      <c r="C84" s="9"/>
      <c r="D84" s="9"/>
      <c r="E84" s="56"/>
      <c r="F84" s="56"/>
      <c r="G84" s="56"/>
      <c r="H84" s="50"/>
      <c r="I84" s="54"/>
      <c r="J84" s="54"/>
      <c r="K84" s="54"/>
      <c r="L84" s="54"/>
      <c r="M84" s="54"/>
      <c r="N84" s="54"/>
      <c r="O84" s="54"/>
      <c r="P84" s="54"/>
      <c r="Q84" s="54"/>
      <c r="R84" s="54"/>
      <c r="S84" s="54"/>
      <c r="T84" s="54"/>
      <c r="U84" s="54"/>
      <c r="V84" s="54"/>
      <c r="W84" s="54"/>
      <c r="X84" s="54"/>
      <c r="Y84" s="54"/>
      <c r="Z84" s="54"/>
      <c r="AA84" s="54"/>
      <c r="AB84" s="54"/>
    </row>
    <row r="85">
      <c r="A85" s="57"/>
      <c r="B85" s="10" t="str">
        <f>IFERROR(VLOOKUP(C85,'Employees List'!$B$1:$G$999,4,0),"")</f>
        <v/>
      </c>
      <c r="C85" s="9"/>
      <c r="D85" s="9"/>
      <c r="E85" s="56"/>
      <c r="F85" s="56"/>
      <c r="G85" s="56"/>
      <c r="H85" s="50"/>
      <c r="I85" s="54"/>
      <c r="J85" s="54"/>
      <c r="K85" s="54"/>
      <c r="L85" s="54"/>
      <c r="M85" s="54"/>
      <c r="N85" s="54"/>
      <c r="O85" s="54"/>
      <c r="P85" s="54"/>
      <c r="Q85" s="54"/>
      <c r="R85" s="54"/>
      <c r="S85" s="54"/>
      <c r="T85" s="54"/>
      <c r="U85" s="54"/>
      <c r="V85" s="54"/>
      <c r="W85" s="54"/>
      <c r="X85" s="54"/>
      <c r="Y85" s="54"/>
      <c r="Z85" s="54"/>
      <c r="AA85" s="54"/>
      <c r="AB85" s="54"/>
    </row>
    <row r="86">
      <c r="A86" s="57"/>
      <c r="B86" s="10" t="str">
        <f>IFERROR(VLOOKUP(C86,'Employees List'!$B$1:$G$999,4,0),"")</f>
        <v/>
      </c>
      <c r="C86" s="9"/>
      <c r="D86" s="9"/>
      <c r="E86" s="56"/>
      <c r="F86" s="56"/>
      <c r="G86" s="56"/>
      <c r="H86" s="50"/>
      <c r="I86" s="54"/>
      <c r="J86" s="54"/>
      <c r="K86" s="54"/>
      <c r="L86" s="54"/>
      <c r="M86" s="54"/>
      <c r="N86" s="54"/>
      <c r="O86" s="54"/>
      <c r="P86" s="54"/>
      <c r="Q86" s="54"/>
      <c r="R86" s="54"/>
      <c r="S86" s="54"/>
      <c r="T86" s="54"/>
      <c r="U86" s="54"/>
      <c r="V86" s="54"/>
      <c r="W86" s="54"/>
      <c r="X86" s="54"/>
      <c r="Y86" s="54"/>
      <c r="Z86" s="54"/>
      <c r="AA86" s="54"/>
      <c r="AB86" s="54"/>
    </row>
    <row r="87">
      <c r="A87" s="57"/>
      <c r="B87" s="10" t="str">
        <f>IFERROR(VLOOKUP(C87,'Employees List'!$B$1:$G$999,4,0),"")</f>
        <v/>
      </c>
      <c r="C87" s="9"/>
      <c r="D87" s="9"/>
      <c r="E87" s="56"/>
      <c r="F87" s="56"/>
      <c r="G87" s="56"/>
      <c r="H87" s="50"/>
      <c r="I87" s="54"/>
      <c r="J87" s="54"/>
      <c r="K87" s="54"/>
      <c r="L87" s="54"/>
      <c r="M87" s="54"/>
      <c r="N87" s="54"/>
      <c r="O87" s="54"/>
      <c r="P87" s="54"/>
      <c r="Q87" s="54"/>
      <c r="R87" s="54"/>
      <c r="S87" s="54"/>
      <c r="T87" s="54"/>
      <c r="U87" s="54"/>
      <c r="V87" s="54"/>
      <c r="W87" s="54"/>
      <c r="X87" s="54"/>
      <c r="Y87" s="54"/>
      <c r="Z87" s="54"/>
      <c r="AA87" s="54"/>
      <c r="AB87" s="54"/>
    </row>
    <row r="88">
      <c r="A88" s="57"/>
      <c r="B88" s="10" t="str">
        <f>IFERROR(VLOOKUP(C88,'Employees List'!$B$1:$G$999,4,0),"")</f>
        <v/>
      </c>
      <c r="C88" s="9"/>
      <c r="D88" s="9"/>
      <c r="E88" s="56"/>
      <c r="F88" s="56"/>
      <c r="G88" s="56"/>
      <c r="H88" s="50"/>
      <c r="I88" s="54"/>
      <c r="J88" s="54"/>
      <c r="K88" s="54"/>
      <c r="L88" s="54"/>
      <c r="M88" s="54"/>
      <c r="N88" s="54"/>
      <c r="O88" s="54"/>
      <c r="P88" s="54"/>
      <c r="Q88" s="54"/>
      <c r="R88" s="54"/>
      <c r="S88" s="54"/>
      <c r="T88" s="54"/>
      <c r="U88" s="54"/>
      <c r="V88" s="54"/>
      <c r="W88" s="54"/>
      <c r="X88" s="54"/>
      <c r="Y88" s="54"/>
      <c r="Z88" s="54"/>
      <c r="AA88" s="54"/>
      <c r="AB88" s="54"/>
    </row>
    <row r="89">
      <c r="A89" s="57"/>
      <c r="B89" s="10" t="str">
        <f>IFERROR(VLOOKUP(C89,'Employees List'!$B$1:$G$999,4,0),"")</f>
        <v/>
      </c>
      <c r="C89" s="9"/>
      <c r="D89" s="9"/>
      <c r="E89" s="56"/>
      <c r="F89" s="56"/>
      <c r="G89" s="56"/>
      <c r="H89" s="50"/>
      <c r="I89" s="54"/>
      <c r="J89" s="54"/>
      <c r="K89" s="54"/>
      <c r="L89" s="54"/>
      <c r="M89" s="54"/>
      <c r="N89" s="54"/>
      <c r="O89" s="54"/>
      <c r="P89" s="54"/>
      <c r="Q89" s="54"/>
      <c r="R89" s="54"/>
      <c r="S89" s="54"/>
      <c r="T89" s="54"/>
      <c r="U89" s="54"/>
      <c r="V89" s="54"/>
      <c r="W89" s="54"/>
      <c r="X89" s="54"/>
      <c r="Y89" s="54"/>
      <c r="Z89" s="54"/>
      <c r="AA89" s="54"/>
      <c r="AB89" s="54"/>
    </row>
    <row r="90">
      <c r="A90" s="57"/>
      <c r="B90" s="10" t="str">
        <f>IFERROR(VLOOKUP(C90,'Employees List'!$B$1:$G$999,4,0),"")</f>
        <v/>
      </c>
      <c r="C90" s="9"/>
      <c r="D90" s="9"/>
      <c r="E90" s="56"/>
      <c r="F90" s="56"/>
      <c r="G90" s="56"/>
      <c r="H90" s="50"/>
      <c r="I90" s="54"/>
      <c r="J90" s="54"/>
      <c r="K90" s="54"/>
      <c r="L90" s="54"/>
      <c r="M90" s="54"/>
      <c r="N90" s="54"/>
      <c r="O90" s="54"/>
      <c r="P90" s="54"/>
      <c r="Q90" s="54"/>
      <c r="R90" s="54"/>
      <c r="S90" s="54"/>
      <c r="T90" s="54"/>
      <c r="U90" s="54"/>
      <c r="V90" s="54"/>
      <c r="W90" s="54"/>
      <c r="X90" s="54"/>
      <c r="Y90" s="54"/>
      <c r="Z90" s="54"/>
      <c r="AA90" s="54"/>
      <c r="AB90" s="54"/>
    </row>
    <row r="91">
      <c r="A91" s="57"/>
      <c r="B91" s="10" t="str">
        <f>IFERROR(VLOOKUP(C91,'Employees List'!$B$1:$G$999,4,0),"")</f>
        <v/>
      </c>
      <c r="C91" s="9"/>
      <c r="D91" s="9"/>
      <c r="E91" s="56"/>
      <c r="F91" s="56"/>
      <c r="G91" s="56"/>
      <c r="H91" s="50"/>
      <c r="I91" s="54"/>
      <c r="J91" s="54"/>
      <c r="K91" s="54"/>
      <c r="L91" s="54"/>
      <c r="M91" s="54"/>
      <c r="N91" s="54"/>
      <c r="O91" s="54"/>
      <c r="P91" s="54"/>
      <c r="Q91" s="54"/>
      <c r="R91" s="54"/>
      <c r="S91" s="54"/>
      <c r="T91" s="54"/>
      <c r="U91" s="54"/>
      <c r="V91" s="54"/>
      <c r="W91" s="54"/>
      <c r="X91" s="54"/>
      <c r="Y91" s="54"/>
      <c r="Z91" s="54"/>
      <c r="AA91" s="54"/>
      <c r="AB91" s="54"/>
    </row>
    <row r="92">
      <c r="A92" s="57"/>
      <c r="B92" s="10" t="str">
        <f>IFERROR(VLOOKUP(C92,'Employees List'!$B$1:$G$999,4,0),"")</f>
        <v/>
      </c>
      <c r="C92" s="9"/>
      <c r="D92" s="9"/>
      <c r="E92" s="56"/>
      <c r="F92" s="56"/>
      <c r="G92" s="56"/>
      <c r="H92" s="50"/>
      <c r="I92" s="54"/>
      <c r="J92" s="54"/>
      <c r="K92" s="54"/>
      <c r="L92" s="54"/>
      <c r="M92" s="54"/>
      <c r="N92" s="54"/>
      <c r="O92" s="54"/>
      <c r="P92" s="54"/>
      <c r="Q92" s="54"/>
      <c r="R92" s="54"/>
      <c r="S92" s="54"/>
      <c r="T92" s="54"/>
      <c r="U92" s="54"/>
      <c r="V92" s="54"/>
      <c r="W92" s="54"/>
      <c r="X92" s="54"/>
      <c r="Y92" s="54"/>
      <c r="Z92" s="54"/>
      <c r="AA92" s="54"/>
      <c r="AB92" s="54"/>
    </row>
    <row r="93">
      <c r="A93" s="57"/>
      <c r="B93" s="10" t="str">
        <f>IFERROR(VLOOKUP(C93,'Employees List'!$B$1:$G$999,4,0),"")</f>
        <v/>
      </c>
      <c r="C93" s="9"/>
      <c r="D93" s="9"/>
      <c r="E93" s="56"/>
      <c r="F93" s="56"/>
      <c r="G93" s="56"/>
      <c r="H93" s="50"/>
      <c r="I93" s="54"/>
      <c r="J93" s="54"/>
      <c r="K93" s="54"/>
      <c r="L93" s="54"/>
      <c r="M93" s="54"/>
      <c r="N93" s="54"/>
      <c r="O93" s="54"/>
      <c r="P93" s="54"/>
      <c r="Q93" s="54"/>
      <c r="R93" s="54"/>
      <c r="S93" s="54"/>
      <c r="T93" s="54"/>
      <c r="U93" s="54"/>
      <c r="V93" s="54"/>
      <c r="W93" s="54"/>
      <c r="X93" s="54"/>
      <c r="Y93" s="54"/>
      <c r="Z93" s="54"/>
      <c r="AA93" s="54"/>
      <c r="AB93" s="54"/>
    </row>
    <row r="94">
      <c r="A94" s="57"/>
      <c r="B94" s="10" t="str">
        <f>IFERROR(VLOOKUP(C94,'Employees List'!$B$1:$G$999,4,0),"")</f>
        <v/>
      </c>
      <c r="C94" s="9"/>
      <c r="D94" s="9"/>
      <c r="E94" s="56"/>
      <c r="F94" s="56"/>
      <c r="G94" s="56"/>
      <c r="H94" s="50"/>
      <c r="I94" s="54"/>
      <c r="J94" s="54"/>
      <c r="K94" s="54"/>
      <c r="L94" s="54"/>
      <c r="M94" s="54"/>
      <c r="N94" s="54"/>
      <c r="O94" s="54"/>
      <c r="P94" s="54"/>
      <c r="Q94" s="54"/>
      <c r="R94" s="54"/>
      <c r="S94" s="54"/>
      <c r="T94" s="54"/>
      <c r="U94" s="54"/>
      <c r="V94" s="54"/>
      <c r="W94" s="54"/>
      <c r="X94" s="54"/>
      <c r="Y94" s="54"/>
      <c r="Z94" s="54"/>
      <c r="AA94" s="54"/>
      <c r="AB94" s="54"/>
    </row>
    <row r="95">
      <c r="A95" s="57"/>
      <c r="B95" s="10" t="str">
        <f>IFERROR(VLOOKUP(C95,'Employees List'!$B$1:$G$999,4,0),"")</f>
        <v/>
      </c>
      <c r="C95" s="9"/>
      <c r="D95" s="9"/>
      <c r="E95" s="56"/>
      <c r="F95" s="56"/>
      <c r="G95" s="56"/>
      <c r="H95" s="50"/>
      <c r="I95" s="54"/>
      <c r="J95" s="54"/>
      <c r="K95" s="54"/>
      <c r="L95" s="54"/>
      <c r="M95" s="54"/>
      <c r="N95" s="54"/>
      <c r="O95" s="54"/>
      <c r="P95" s="54"/>
      <c r="Q95" s="54"/>
      <c r="R95" s="54"/>
      <c r="S95" s="54"/>
      <c r="T95" s="54"/>
      <c r="U95" s="54"/>
      <c r="V95" s="54"/>
      <c r="W95" s="54"/>
      <c r="X95" s="54"/>
      <c r="Y95" s="54"/>
      <c r="Z95" s="54"/>
      <c r="AA95" s="54"/>
      <c r="AB95" s="54"/>
    </row>
    <row r="96">
      <c r="A96" s="57"/>
      <c r="B96" s="10" t="str">
        <f>IFERROR(VLOOKUP(C96,'Employees List'!$B$1:$G$999,4,0),"")</f>
        <v/>
      </c>
      <c r="C96" s="9"/>
      <c r="D96" s="9"/>
      <c r="E96" s="56"/>
      <c r="F96" s="56"/>
      <c r="G96" s="56"/>
      <c r="H96" s="50"/>
      <c r="I96" s="54"/>
      <c r="J96" s="54"/>
      <c r="K96" s="54"/>
      <c r="L96" s="54"/>
      <c r="M96" s="54"/>
      <c r="N96" s="54"/>
      <c r="O96" s="54"/>
      <c r="P96" s="54"/>
      <c r="Q96" s="54"/>
      <c r="R96" s="54"/>
      <c r="S96" s="54"/>
      <c r="T96" s="54"/>
      <c r="U96" s="54"/>
      <c r="V96" s="54"/>
      <c r="W96" s="54"/>
      <c r="X96" s="54"/>
      <c r="Y96" s="54"/>
      <c r="Z96" s="54"/>
      <c r="AA96" s="54"/>
      <c r="AB96" s="54"/>
    </row>
    <row r="97">
      <c r="A97" s="57"/>
      <c r="B97" s="10" t="str">
        <f>IFERROR(VLOOKUP(C97,'Employees List'!$B$1:$G$999,4,0),"")</f>
        <v/>
      </c>
      <c r="C97" s="9"/>
      <c r="D97" s="9"/>
      <c r="E97" s="56"/>
      <c r="F97" s="56"/>
      <c r="G97" s="56"/>
      <c r="H97" s="50"/>
      <c r="I97" s="54"/>
      <c r="J97" s="54"/>
      <c r="K97" s="54"/>
      <c r="L97" s="54"/>
      <c r="M97" s="54"/>
      <c r="N97" s="54"/>
      <c r="O97" s="54"/>
      <c r="P97" s="54"/>
      <c r="Q97" s="54"/>
      <c r="R97" s="54"/>
      <c r="S97" s="54"/>
      <c r="T97" s="54"/>
      <c r="U97" s="54"/>
      <c r="V97" s="54"/>
      <c r="W97" s="54"/>
      <c r="X97" s="54"/>
      <c r="Y97" s="54"/>
      <c r="Z97" s="54"/>
      <c r="AA97" s="54"/>
      <c r="AB97" s="54"/>
    </row>
    <row r="98">
      <c r="A98" s="57"/>
      <c r="B98" s="10" t="str">
        <f>IFERROR(VLOOKUP(C98,'Employees List'!$B$1:$G$999,4,0),"")</f>
        <v/>
      </c>
      <c r="C98" s="9"/>
      <c r="D98" s="9"/>
      <c r="E98" s="56"/>
      <c r="F98" s="56"/>
      <c r="G98" s="56"/>
      <c r="H98" s="50"/>
      <c r="I98" s="54"/>
      <c r="J98" s="54"/>
      <c r="K98" s="54"/>
      <c r="L98" s="54"/>
      <c r="M98" s="54"/>
      <c r="N98" s="54"/>
      <c r="O98" s="54"/>
      <c r="P98" s="54"/>
      <c r="Q98" s="54"/>
      <c r="R98" s="54"/>
      <c r="S98" s="54"/>
      <c r="T98" s="54"/>
      <c r="U98" s="54"/>
      <c r="V98" s="54"/>
      <c r="W98" s="54"/>
      <c r="X98" s="54"/>
      <c r="Y98" s="54"/>
      <c r="Z98" s="54"/>
      <c r="AA98" s="54"/>
      <c r="AB98" s="54"/>
    </row>
    <row r="99">
      <c r="A99" s="57"/>
      <c r="B99" s="10" t="str">
        <f>IFERROR(VLOOKUP(C99,'Employees List'!$B$1:$G$999,4,0),"")</f>
        <v/>
      </c>
      <c r="C99" s="9"/>
      <c r="D99" s="9"/>
      <c r="E99" s="56"/>
      <c r="F99" s="56"/>
      <c r="G99" s="56"/>
      <c r="H99" s="50"/>
      <c r="I99" s="54"/>
      <c r="J99" s="54"/>
      <c r="K99" s="54"/>
      <c r="L99" s="54"/>
      <c r="M99" s="54"/>
      <c r="N99" s="54"/>
      <c r="O99" s="54"/>
      <c r="P99" s="54"/>
      <c r="Q99" s="54"/>
      <c r="R99" s="54"/>
      <c r="S99" s="54"/>
      <c r="T99" s="54"/>
      <c r="U99" s="54"/>
      <c r="V99" s="54"/>
      <c r="W99" s="54"/>
      <c r="X99" s="54"/>
      <c r="Y99" s="54"/>
      <c r="Z99" s="54"/>
      <c r="AA99" s="54"/>
      <c r="AB99" s="54"/>
    </row>
    <row r="100">
      <c r="A100" s="57"/>
      <c r="B100" s="10" t="str">
        <f>IFERROR(VLOOKUP(C100,'Employees List'!$B$1:$G$999,4,0),"")</f>
        <v/>
      </c>
      <c r="C100" s="9"/>
      <c r="D100" s="9"/>
      <c r="E100" s="56"/>
      <c r="F100" s="56"/>
      <c r="G100" s="56"/>
      <c r="H100" s="50"/>
      <c r="I100" s="54"/>
      <c r="J100" s="54"/>
      <c r="K100" s="54"/>
      <c r="L100" s="54"/>
      <c r="M100" s="54"/>
      <c r="N100" s="54"/>
      <c r="O100" s="54"/>
      <c r="P100" s="54"/>
      <c r="Q100" s="54"/>
      <c r="R100" s="54"/>
      <c r="S100" s="54"/>
      <c r="T100" s="54"/>
      <c r="U100" s="54"/>
      <c r="V100" s="54"/>
      <c r="W100" s="54"/>
      <c r="X100" s="54"/>
      <c r="Y100" s="54"/>
      <c r="Z100" s="54"/>
      <c r="AA100" s="54"/>
      <c r="AB100" s="54"/>
    </row>
    <row r="101">
      <c r="A101" s="57"/>
      <c r="B101" s="10" t="str">
        <f>IFERROR(VLOOKUP(C101,'Employees List'!$B$1:$G$999,4,0),"")</f>
        <v/>
      </c>
      <c r="C101" s="9"/>
      <c r="D101" s="9"/>
      <c r="E101" s="56"/>
      <c r="F101" s="56"/>
      <c r="G101" s="56"/>
      <c r="H101" s="50"/>
      <c r="I101" s="54"/>
      <c r="J101" s="54"/>
      <c r="K101" s="54"/>
      <c r="L101" s="54"/>
      <c r="M101" s="54"/>
      <c r="N101" s="54"/>
      <c r="O101" s="54"/>
      <c r="P101" s="54"/>
      <c r="Q101" s="54"/>
      <c r="R101" s="54"/>
      <c r="S101" s="54"/>
      <c r="T101" s="54"/>
      <c r="U101" s="54"/>
      <c r="V101" s="54"/>
      <c r="W101" s="54"/>
      <c r="X101" s="54"/>
      <c r="Y101" s="54"/>
      <c r="Z101" s="54"/>
      <c r="AA101" s="54"/>
      <c r="AB101" s="54"/>
    </row>
    <row r="102">
      <c r="A102" s="57"/>
      <c r="B102" s="10" t="str">
        <f>IFERROR(VLOOKUP(C102,'Employees List'!$B$1:$G$999,4,0),"")</f>
        <v/>
      </c>
      <c r="C102" s="9"/>
      <c r="D102" s="9"/>
      <c r="E102" s="56"/>
      <c r="F102" s="56"/>
      <c r="G102" s="56"/>
      <c r="H102" s="50"/>
      <c r="I102" s="54"/>
      <c r="J102" s="54"/>
      <c r="K102" s="54"/>
      <c r="L102" s="54"/>
      <c r="M102" s="54"/>
      <c r="N102" s="54"/>
      <c r="O102" s="54"/>
      <c r="P102" s="54"/>
      <c r="Q102" s="54"/>
      <c r="R102" s="54"/>
      <c r="S102" s="54"/>
      <c r="T102" s="54"/>
      <c r="U102" s="54"/>
      <c r="V102" s="54"/>
      <c r="W102" s="54"/>
      <c r="X102" s="54"/>
      <c r="Y102" s="54"/>
      <c r="Z102" s="54"/>
      <c r="AA102" s="54"/>
      <c r="AB102" s="54"/>
    </row>
    <row r="103">
      <c r="A103" s="57"/>
      <c r="B103" s="10" t="str">
        <f>IFERROR(VLOOKUP(C103,'Employees List'!$B$1:$G$999,4,0),"")</f>
        <v/>
      </c>
      <c r="C103" s="9"/>
      <c r="D103" s="9"/>
      <c r="E103" s="56"/>
      <c r="F103" s="56"/>
      <c r="G103" s="56"/>
      <c r="H103" s="50"/>
      <c r="I103" s="54"/>
      <c r="J103" s="54"/>
      <c r="K103" s="54"/>
      <c r="L103" s="54"/>
      <c r="M103" s="54"/>
      <c r="N103" s="54"/>
      <c r="O103" s="54"/>
      <c r="P103" s="54"/>
      <c r="Q103" s="54"/>
      <c r="R103" s="54"/>
      <c r="S103" s="54"/>
      <c r="T103" s="54"/>
      <c r="U103" s="54"/>
      <c r="V103" s="54"/>
      <c r="W103" s="54"/>
      <c r="X103" s="54"/>
      <c r="Y103" s="54"/>
      <c r="Z103" s="54"/>
      <c r="AA103" s="54"/>
      <c r="AB103" s="54"/>
    </row>
    <row r="104">
      <c r="A104" s="57"/>
      <c r="B104" s="10" t="str">
        <f>IFERROR(VLOOKUP(C104,'Employees List'!$B$1:$G$999,4,0),"")</f>
        <v/>
      </c>
      <c r="C104" s="9"/>
      <c r="D104" s="9"/>
      <c r="E104" s="56"/>
      <c r="F104" s="56"/>
      <c r="G104" s="56"/>
      <c r="H104" s="50"/>
      <c r="I104" s="54"/>
      <c r="J104" s="54"/>
      <c r="K104" s="54"/>
      <c r="L104" s="54"/>
      <c r="M104" s="54"/>
      <c r="N104" s="54"/>
      <c r="O104" s="54"/>
      <c r="P104" s="54"/>
      <c r="Q104" s="54"/>
      <c r="R104" s="54"/>
      <c r="S104" s="54"/>
      <c r="T104" s="54"/>
      <c r="U104" s="54"/>
      <c r="V104" s="54"/>
      <c r="W104" s="54"/>
      <c r="X104" s="54"/>
      <c r="Y104" s="54"/>
      <c r="Z104" s="54"/>
      <c r="AA104" s="54"/>
      <c r="AB104" s="54"/>
    </row>
    <row r="105">
      <c r="A105" s="57"/>
      <c r="B105" s="10" t="str">
        <f>IFERROR(VLOOKUP(C105,'Employees List'!$B$1:$G$999,4,0),"")</f>
        <v/>
      </c>
      <c r="C105" s="9"/>
      <c r="D105" s="9"/>
      <c r="E105" s="56"/>
      <c r="F105" s="56"/>
      <c r="G105" s="56"/>
      <c r="H105" s="50"/>
      <c r="I105" s="54"/>
      <c r="J105" s="54"/>
      <c r="K105" s="54"/>
      <c r="L105" s="54"/>
      <c r="M105" s="54"/>
      <c r="N105" s="54"/>
      <c r="O105" s="54"/>
      <c r="P105" s="54"/>
      <c r="Q105" s="54"/>
      <c r="R105" s="54"/>
      <c r="S105" s="54"/>
      <c r="T105" s="54"/>
      <c r="U105" s="54"/>
      <c r="V105" s="54"/>
      <c r="W105" s="54"/>
      <c r="X105" s="54"/>
      <c r="Y105" s="54"/>
      <c r="Z105" s="54"/>
      <c r="AA105" s="54"/>
      <c r="AB105" s="54"/>
    </row>
    <row r="106">
      <c r="A106" s="57"/>
      <c r="B106" s="10" t="str">
        <f>IFERROR(VLOOKUP(C106,'Employees List'!$B$1:$G$999,4,0),"")</f>
        <v/>
      </c>
      <c r="C106" s="9"/>
      <c r="D106" s="9"/>
      <c r="E106" s="56"/>
      <c r="F106" s="56"/>
      <c r="G106" s="56"/>
      <c r="H106" s="50"/>
      <c r="I106" s="54"/>
      <c r="J106" s="54"/>
      <c r="K106" s="54"/>
      <c r="L106" s="54"/>
      <c r="M106" s="54"/>
      <c r="N106" s="54"/>
      <c r="O106" s="54"/>
      <c r="P106" s="54"/>
      <c r="Q106" s="54"/>
      <c r="R106" s="54"/>
      <c r="S106" s="54"/>
      <c r="T106" s="54"/>
      <c r="U106" s="54"/>
      <c r="V106" s="54"/>
      <c r="W106" s="54"/>
      <c r="X106" s="54"/>
      <c r="Y106" s="54"/>
      <c r="Z106" s="54"/>
      <c r="AA106" s="54"/>
      <c r="AB106" s="54"/>
    </row>
    <row r="107">
      <c r="A107" s="57"/>
      <c r="B107" s="10" t="str">
        <f>IFERROR(VLOOKUP(C107,'Employees List'!$B$1:$G$999,4,0),"")</f>
        <v/>
      </c>
      <c r="C107" s="9"/>
      <c r="D107" s="9"/>
      <c r="E107" s="56"/>
      <c r="F107" s="56"/>
      <c r="G107" s="56"/>
      <c r="H107" s="50"/>
      <c r="I107" s="54"/>
      <c r="J107" s="54"/>
      <c r="K107" s="54"/>
      <c r="L107" s="54"/>
      <c r="M107" s="54"/>
      <c r="N107" s="54"/>
      <c r="O107" s="54"/>
      <c r="P107" s="54"/>
      <c r="Q107" s="54"/>
      <c r="R107" s="54"/>
      <c r="S107" s="54"/>
      <c r="T107" s="54"/>
      <c r="U107" s="54"/>
      <c r="V107" s="54"/>
      <c r="W107" s="54"/>
      <c r="X107" s="54"/>
      <c r="Y107" s="54"/>
      <c r="Z107" s="54"/>
      <c r="AA107" s="54"/>
      <c r="AB107" s="54"/>
    </row>
    <row r="108">
      <c r="A108" s="57"/>
      <c r="B108" s="10" t="str">
        <f>IFERROR(VLOOKUP(C108,'Employees List'!$B$1:$G$999,4,0),"")</f>
        <v/>
      </c>
      <c r="C108" s="9"/>
      <c r="D108" s="9"/>
      <c r="E108" s="56"/>
      <c r="F108" s="56"/>
      <c r="G108" s="56"/>
      <c r="H108" s="50"/>
      <c r="I108" s="54"/>
      <c r="J108" s="54"/>
      <c r="K108" s="54"/>
      <c r="L108" s="54"/>
      <c r="M108" s="54"/>
      <c r="N108" s="54"/>
      <c r="O108" s="54"/>
      <c r="P108" s="54"/>
      <c r="Q108" s="54"/>
      <c r="R108" s="54"/>
      <c r="S108" s="54"/>
      <c r="T108" s="54"/>
      <c r="U108" s="54"/>
      <c r="V108" s="54"/>
      <c r="W108" s="54"/>
      <c r="X108" s="54"/>
      <c r="Y108" s="54"/>
      <c r="Z108" s="54"/>
      <c r="AA108" s="54"/>
      <c r="AB108" s="54"/>
    </row>
    <row r="109">
      <c r="A109" s="57"/>
      <c r="B109" s="10" t="str">
        <f>IFERROR(VLOOKUP(C109,'Employees List'!$B$1:$G$999,4,0),"")</f>
        <v/>
      </c>
      <c r="C109" s="9"/>
      <c r="D109" s="9"/>
      <c r="E109" s="56"/>
      <c r="F109" s="56"/>
      <c r="G109" s="56"/>
      <c r="H109" s="50"/>
      <c r="I109" s="54"/>
      <c r="J109" s="54"/>
      <c r="K109" s="54"/>
      <c r="L109" s="54"/>
      <c r="M109" s="54"/>
      <c r="N109" s="54"/>
      <c r="O109" s="54"/>
      <c r="P109" s="54"/>
      <c r="Q109" s="54"/>
      <c r="R109" s="54"/>
      <c r="S109" s="54"/>
      <c r="T109" s="54"/>
      <c r="U109" s="54"/>
      <c r="V109" s="54"/>
      <c r="W109" s="54"/>
      <c r="X109" s="54"/>
      <c r="Y109" s="54"/>
      <c r="Z109" s="54"/>
      <c r="AA109" s="54"/>
      <c r="AB109" s="54"/>
    </row>
    <row r="110">
      <c r="A110" s="57"/>
      <c r="B110" s="10" t="str">
        <f>IFERROR(VLOOKUP(C110,'Employees List'!$B$1:$G$999,4,0),"")</f>
        <v/>
      </c>
      <c r="C110" s="9"/>
      <c r="D110" s="9"/>
      <c r="E110" s="56"/>
      <c r="F110" s="56"/>
      <c r="G110" s="56"/>
      <c r="H110" s="50"/>
      <c r="I110" s="54"/>
      <c r="J110" s="54"/>
      <c r="K110" s="54"/>
      <c r="L110" s="54"/>
      <c r="M110" s="54"/>
      <c r="N110" s="54"/>
      <c r="O110" s="54"/>
      <c r="P110" s="54"/>
      <c r="Q110" s="54"/>
      <c r="R110" s="54"/>
      <c r="S110" s="54"/>
      <c r="T110" s="54"/>
      <c r="U110" s="54"/>
      <c r="V110" s="54"/>
      <c r="W110" s="54"/>
      <c r="X110" s="54"/>
      <c r="Y110" s="54"/>
      <c r="Z110" s="54"/>
      <c r="AA110" s="54"/>
      <c r="AB110" s="54"/>
    </row>
    <row r="111">
      <c r="A111" s="57"/>
      <c r="B111" s="10" t="str">
        <f>IFERROR(VLOOKUP(C111,'Employees List'!$B$1:$G$999,4,0),"")</f>
        <v/>
      </c>
      <c r="C111" s="9"/>
      <c r="D111" s="9"/>
      <c r="E111" s="56"/>
      <c r="F111" s="56"/>
      <c r="G111" s="56"/>
      <c r="H111" s="50"/>
      <c r="I111" s="54"/>
      <c r="J111" s="54"/>
      <c r="K111" s="54"/>
      <c r="L111" s="54"/>
      <c r="M111" s="54"/>
      <c r="N111" s="54"/>
      <c r="O111" s="54"/>
      <c r="P111" s="54"/>
      <c r="Q111" s="54"/>
      <c r="R111" s="54"/>
      <c r="S111" s="54"/>
      <c r="T111" s="54"/>
      <c r="U111" s="54"/>
      <c r="V111" s="54"/>
      <c r="W111" s="54"/>
      <c r="X111" s="54"/>
      <c r="Y111" s="54"/>
      <c r="Z111" s="54"/>
      <c r="AA111" s="54"/>
      <c r="AB111" s="54"/>
    </row>
    <row r="112">
      <c r="A112" s="57"/>
      <c r="B112" s="10" t="str">
        <f>IFERROR(VLOOKUP(C112,'Employees List'!$B$1:$G$999,4,0),"")</f>
        <v/>
      </c>
      <c r="C112" s="9"/>
      <c r="D112" s="9"/>
      <c r="E112" s="56"/>
      <c r="F112" s="56"/>
      <c r="G112" s="56"/>
      <c r="H112" s="50"/>
      <c r="I112" s="54"/>
      <c r="J112" s="54"/>
      <c r="K112" s="54"/>
      <c r="L112" s="54"/>
      <c r="M112" s="54"/>
      <c r="N112" s="54"/>
      <c r="O112" s="54"/>
      <c r="P112" s="54"/>
      <c r="Q112" s="54"/>
      <c r="R112" s="54"/>
      <c r="S112" s="54"/>
      <c r="T112" s="54"/>
      <c r="U112" s="54"/>
      <c r="V112" s="54"/>
      <c r="W112" s="54"/>
      <c r="X112" s="54"/>
      <c r="Y112" s="54"/>
      <c r="Z112" s="54"/>
      <c r="AA112" s="54"/>
      <c r="AB112" s="54"/>
    </row>
    <row r="113">
      <c r="A113" s="57"/>
      <c r="B113" s="10" t="str">
        <f>IFERROR(VLOOKUP(C113,'Employees List'!$B$1:$G$999,4,0),"")</f>
        <v/>
      </c>
      <c r="C113" s="9"/>
      <c r="D113" s="9"/>
      <c r="E113" s="56"/>
      <c r="F113" s="56"/>
      <c r="G113" s="56"/>
      <c r="H113" s="50"/>
      <c r="I113" s="54"/>
      <c r="J113" s="54"/>
      <c r="K113" s="54"/>
      <c r="L113" s="54"/>
      <c r="M113" s="54"/>
      <c r="N113" s="54"/>
      <c r="O113" s="54"/>
      <c r="P113" s="54"/>
      <c r="Q113" s="54"/>
      <c r="R113" s="54"/>
      <c r="S113" s="54"/>
      <c r="T113" s="54"/>
      <c r="U113" s="54"/>
      <c r="V113" s="54"/>
      <c r="W113" s="54"/>
      <c r="X113" s="54"/>
      <c r="Y113" s="54"/>
      <c r="Z113" s="54"/>
      <c r="AA113" s="54"/>
      <c r="AB113" s="54"/>
    </row>
    <row r="114">
      <c r="A114" s="57"/>
      <c r="B114" s="10" t="str">
        <f>IFERROR(VLOOKUP(C114,'Employees List'!$B$1:$G$999,4,0),"")</f>
        <v/>
      </c>
      <c r="C114" s="9"/>
      <c r="D114" s="9"/>
      <c r="E114" s="56"/>
      <c r="F114" s="56"/>
      <c r="G114" s="56"/>
      <c r="H114" s="50"/>
      <c r="I114" s="54"/>
      <c r="J114" s="54"/>
      <c r="K114" s="54"/>
      <c r="L114" s="54"/>
      <c r="M114" s="54"/>
      <c r="N114" s="54"/>
      <c r="O114" s="54"/>
      <c r="P114" s="54"/>
      <c r="Q114" s="54"/>
      <c r="R114" s="54"/>
      <c r="S114" s="54"/>
      <c r="T114" s="54"/>
      <c r="U114" s="54"/>
      <c r="V114" s="54"/>
      <c r="W114" s="54"/>
      <c r="X114" s="54"/>
      <c r="Y114" s="54"/>
      <c r="Z114" s="54"/>
      <c r="AA114" s="54"/>
      <c r="AB114" s="54"/>
    </row>
    <row r="115">
      <c r="A115" s="57"/>
      <c r="B115" s="10" t="str">
        <f>IFERROR(VLOOKUP(C115,'Employees List'!$B$1:$G$999,4,0),"")</f>
        <v/>
      </c>
      <c r="C115" s="9"/>
      <c r="D115" s="9"/>
      <c r="E115" s="56"/>
      <c r="F115" s="56"/>
      <c r="G115" s="56"/>
      <c r="H115" s="50"/>
      <c r="I115" s="54"/>
      <c r="J115" s="54"/>
      <c r="K115" s="54"/>
      <c r="L115" s="54"/>
      <c r="M115" s="54"/>
      <c r="N115" s="54"/>
      <c r="O115" s="54"/>
      <c r="P115" s="54"/>
      <c r="Q115" s="54"/>
      <c r="R115" s="54"/>
      <c r="S115" s="54"/>
      <c r="T115" s="54"/>
      <c r="U115" s="54"/>
      <c r="V115" s="54"/>
      <c r="W115" s="54"/>
      <c r="X115" s="54"/>
      <c r="Y115" s="54"/>
      <c r="Z115" s="54"/>
      <c r="AA115" s="54"/>
      <c r="AB115" s="54"/>
    </row>
    <row r="116">
      <c r="A116" s="57"/>
      <c r="B116" s="10" t="str">
        <f>IFERROR(VLOOKUP(C116,'Employees List'!$B$1:$G$999,4,0),"")</f>
        <v/>
      </c>
      <c r="C116" s="9"/>
      <c r="D116" s="9"/>
      <c r="E116" s="56"/>
      <c r="F116" s="56"/>
      <c r="G116" s="56"/>
      <c r="H116" s="50"/>
      <c r="I116" s="54"/>
      <c r="J116" s="54"/>
      <c r="K116" s="54"/>
      <c r="L116" s="54"/>
      <c r="M116" s="54"/>
      <c r="N116" s="54"/>
      <c r="O116" s="54"/>
      <c r="P116" s="54"/>
      <c r="Q116" s="54"/>
      <c r="R116" s="54"/>
      <c r="S116" s="54"/>
      <c r="T116" s="54"/>
      <c r="U116" s="54"/>
      <c r="V116" s="54"/>
      <c r="W116" s="54"/>
      <c r="X116" s="54"/>
      <c r="Y116" s="54"/>
      <c r="Z116" s="54"/>
      <c r="AA116" s="54"/>
      <c r="AB116" s="54"/>
    </row>
    <row r="117">
      <c r="A117" s="57"/>
      <c r="B117" s="10" t="str">
        <f>IFERROR(VLOOKUP(C117,'Employees List'!$B$1:$G$999,4,0),"")</f>
        <v/>
      </c>
      <c r="C117" s="9"/>
      <c r="D117" s="9"/>
      <c r="E117" s="56"/>
      <c r="F117" s="56"/>
      <c r="G117" s="56"/>
      <c r="H117" s="50"/>
      <c r="I117" s="54"/>
      <c r="J117" s="54"/>
      <c r="K117" s="54"/>
      <c r="L117" s="54"/>
      <c r="M117" s="54"/>
      <c r="N117" s="54"/>
      <c r="O117" s="54"/>
      <c r="P117" s="54"/>
      <c r="Q117" s="54"/>
      <c r="R117" s="54"/>
      <c r="S117" s="54"/>
      <c r="T117" s="54"/>
      <c r="U117" s="54"/>
      <c r="V117" s="54"/>
      <c r="W117" s="54"/>
      <c r="X117" s="54"/>
      <c r="Y117" s="54"/>
      <c r="Z117" s="54"/>
      <c r="AA117" s="54"/>
      <c r="AB117" s="54"/>
    </row>
    <row r="118">
      <c r="A118" s="57"/>
      <c r="B118" s="10" t="str">
        <f>IFERROR(VLOOKUP(C118,'Employees List'!$B$1:$G$999,4,0),"")</f>
        <v/>
      </c>
      <c r="C118" s="9"/>
      <c r="D118" s="9"/>
      <c r="E118" s="56"/>
      <c r="F118" s="56"/>
      <c r="G118" s="56"/>
      <c r="H118" s="50"/>
      <c r="I118" s="54"/>
      <c r="J118" s="54"/>
      <c r="K118" s="54"/>
      <c r="L118" s="54"/>
      <c r="M118" s="54"/>
      <c r="N118" s="54"/>
      <c r="O118" s="54"/>
      <c r="P118" s="54"/>
      <c r="Q118" s="54"/>
      <c r="R118" s="54"/>
      <c r="S118" s="54"/>
      <c r="T118" s="54"/>
      <c r="U118" s="54"/>
      <c r="V118" s="54"/>
      <c r="W118" s="54"/>
      <c r="X118" s="54"/>
      <c r="Y118" s="54"/>
      <c r="Z118" s="54"/>
      <c r="AA118" s="54"/>
      <c r="AB118" s="54"/>
    </row>
    <row r="119">
      <c r="A119" s="57"/>
      <c r="B119" s="10" t="str">
        <f>IFERROR(VLOOKUP(C119,'Employees List'!$B$1:$G$999,4,0),"")</f>
        <v/>
      </c>
      <c r="C119" s="9"/>
      <c r="D119" s="9"/>
      <c r="E119" s="56"/>
      <c r="F119" s="56"/>
      <c r="G119" s="56"/>
      <c r="H119" s="50"/>
      <c r="I119" s="54"/>
      <c r="J119" s="54"/>
      <c r="K119" s="54"/>
      <c r="L119" s="54"/>
      <c r="M119" s="54"/>
      <c r="N119" s="54"/>
      <c r="O119" s="54"/>
      <c r="P119" s="54"/>
      <c r="Q119" s="54"/>
      <c r="R119" s="54"/>
      <c r="S119" s="54"/>
      <c r="T119" s="54"/>
      <c r="U119" s="54"/>
      <c r="V119" s="54"/>
      <c r="W119" s="54"/>
      <c r="X119" s="54"/>
      <c r="Y119" s="54"/>
      <c r="Z119" s="54"/>
      <c r="AA119" s="54"/>
      <c r="AB119" s="54"/>
    </row>
    <row r="120">
      <c r="A120" s="57"/>
      <c r="B120" s="10" t="str">
        <f>IFERROR(VLOOKUP(C120,'Employees List'!$B$1:$G$999,4,0),"")</f>
        <v/>
      </c>
      <c r="C120" s="9"/>
      <c r="D120" s="9"/>
      <c r="E120" s="56"/>
      <c r="F120" s="56"/>
      <c r="G120" s="56"/>
      <c r="H120" s="50"/>
      <c r="I120" s="54"/>
      <c r="J120" s="54"/>
      <c r="K120" s="54"/>
      <c r="L120" s="54"/>
      <c r="M120" s="54"/>
      <c r="N120" s="54"/>
      <c r="O120" s="54"/>
      <c r="P120" s="54"/>
      <c r="Q120" s="54"/>
      <c r="R120" s="54"/>
      <c r="S120" s="54"/>
      <c r="T120" s="54"/>
      <c r="U120" s="54"/>
      <c r="V120" s="54"/>
      <c r="W120" s="54"/>
      <c r="X120" s="54"/>
      <c r="Y120" s="54"/>
      <c r="Z120" s="54"/>
      <c r="AA120" s="54"/>
      <c r="AB120" s="54"/>
    </row>
    <row r="121">
      <c r="A121" s="57"/>
      <c r="B121" s="10" t="str">
        <f>IFERROR(VLOOKUP(C121,'Employees List'!$B$1:$G$999,4,0),"")</f>
        <v/>
      </c>
      <c r="C121" s="9"/>
      <c r="D121" s="9"/>
      <c r="E121" s="56"/>
      <c r="F121" s="56"/>
      <c r="G121" s="56"/>
      <c r="H121" s="50"/>
      <c r="I121" s="54"/>
      <c r="J121" s="54"/>
      <c r="K121" s="54"/>
      <c r="L121" s="54"/>
      <c r="M121" s="54"/>
      <c r="N121" s="54"/>
      <c r="O121" s="54"/>
      <c r="P121" s="54"/>
      <c r="Q121" s="54"/>
      <c r="R121" s="54"/>
      <c r="S121" s="54"/>
      <c r="T121" s="54"/>
      <c r="U121" s="54"/>
      <c r="V121" s="54"/>
      <c r="W121" s="54"/>
      <c r="X121" s="54"/>
      <c r="Y121" s="54"/>
      <c r="Z121" s="54"/>
      <c r="AA121" s="54"/>
      <c r="AB121" s="54"/>
    </row>
    <row r="122">
      <c r="A122" s="57"/>
      <c r="B122" s="10" t="str">
        <f>IFERROR(VLOOKUP(C122,'Employees List'!$B$1:$G$999,4,0),"")</f>
        <v/>
      </c>
      <c r="C122" s="9"/>
      <c r="D122" s="9"/>
      <c r="E122" s="56"/>
      <c r="F122" s="56"/>
      <c r="G122" s="56"/>
      <c r="H122" s="50"/>
      <c r="I122" s="54"/>
      <c r="J122" s="54"/>
      <c r="K122" s="54"/>
      <c r="L122" s="54"/>
      <c r="M122" s="54"/>
      <c r="N122" s="54"/>
      <c r="O122" s="54"/>
      <c r="P122" s="54"/>
      <c r="Q122" s="54"/>
      <c r="R122" s="54"/>
      <c r="S122" s="54"/>
      <c r="T122" s="54"/>
      <c r="U122" s="54"/>
      <c r="V122" s="54"/>
      <c r="W122" s="54"/>
      <c r="X122" s="54"/>
      <c r="Y122" s="54"/>
      <c r="Z122" s="54"/>
      <c r="AA122" s="54"/>
      <c r="AB122" s="54"/>
    </row>
    <row r="123">
      <c r="A123" s="57"/>
      <c r="B123" s="10" t="str">
        <f>IFERROR(VLOOKUP(C123,'Employees List'!$B$1:$G$999,4,0),"")</f>
        <v/>
      </c>
      <c r="C123" s="9"/>
      <c r="D123" s="9"/>
      <c r="E123" s="56"/>
      <c r="F123" s="56"/>
      <c r="G123" s="56"/>
      <c r="H123" s="50"/>
      <c r="I123" s="54"/>
      <c r="J123" s="54"/>
      <c r="K123" s="54"/>
      <c r="L123" s="54"/>
      <c r="M123" s="54"/>
      <c r="N123" s="54"/>
      <c r="O123" s="54"/>
      <c r="P123" s="54"/>
      <c r="Q123" s="54"/>
      <c r="R123" s="54"/>
      <c r="S123" s="54"/>
      <c r="T123" s="54"/>
      <c r="U123" s="54"/>
      <c r="V123" s="54"/>
      <c r="W123" s="54"/>
      <c r="X123" s="54"/>
      <c r="Y123" s="54"/>
      <c r="Z123" s="54"/>
      <c r="AA123" s="54"/>
      <c r="AB123" s="54"/>
    </row>
    <row r="124">
      <c r="A124" s="57"/>
      <c r="B124" s="10" t="str">
        <f>IFERROR(VLOOKUP(C124,'Employees List'!$B$1:$G$999,4,0),"")</f>
        <v/>
      </c>
      <c r="C124" s="9"/>
      <c r="D124" s="9"/>
      <c r="E124" s="56"/>
      <c r="F124" s="56"/>
      <c r="G124" s="56"/>
      <c r="H124" s="50"/>
      <c r="I124" s="54"/>
      <c r="J124" s="54"/>
      <c r="K124" s="54"/>
      <c r="L124" s="54"/>
      <c r="M124" s="54"/>
      <c r="N124" s="54"/>
      <c r="O124" s="54"/>
      <c r="P124" s="54"/>
      <c r="Q124" s="54"/>
      <c r="R124" s="54"/>
      <c r="S124" s="54"/>
      <c r="T124" s="54"/>
      <c r="U124" s="54"/>
      <c r="V124" s="54"/>
      <c r="W124" s="54"/>
      <c r="X124" s="54"/>
      <c r="Y124" s="54"/>
      <c r="Z124" s="54"/>
      <c r="AA124" s="54"/>
      <c r="AB124" s="54"/>
    </row>
    <row r="125">
      <c r="A125" s="57"/>
      <c r="B125" s="10" t="str">
        <f>IFERROR(VLOOKUP(C125,'Employees List'!$B$1:$G$999,4,0),"")</f>
        <v/>
      </c>
      <c r="C125" s="9"/>
      <c r="D125" s="9"/>
      <c r="E125" s="56"/>
      <c r="F125" s="56"/>
      <c r="G125" s="56"/>
      <c r="H125" s="50"/>
      <c r="I125" s="54"/>
      <c r="J125" s="54"/>
      <c r="K125" s="54"/>
      <c r="L125" s="54"/>
      <c r="M125" s="54"/>
      <c r="N125" s="54"/>
      <c r="O125" s="54"/>
      <c r="P125" s="54"/>
      <c r="Q125" s="54"/>
      <c r="R125" s="54"/>
      <c r="S125" s="54"/>
      <c r="T125" s="54"/>
      <c r="U125" s="54"/>
      <c r="V125" s="54"/>
      <c r="W125" s="54"/>
      <c r="X125" s="54"/>
      <c r="Y125" s="54"/>
      <c r="Z125" s="54"/>
      <c r="AA125" s="54"/>
      <c r="AB125" s="54"/>
    </row>
    <row r="126">
      <c r="A126" s="57"/>
      <c r="B126" s="10" t="str">
        <f>IFERROR(VLOOKUP(C126,'Employees List'!$B$1:$G$999,4,0),"")</f>
        <v/>
      </c>
      <c r="C126" s="9"/>
      <c r="D126" s="9"/>
      <c r="E126" s="56"/>
      <c r="F126" s="56"/>
      <c r="G126" s="56"/>
      <c r="H126" s="50"/>
      <c r="I126" s="54"/>
      <c r="J126" s="54"/>
      <c r="K126" s="54"/>
      <c r="L126" s="54"/>
      <c r="M126" s="54"/>
      <c r="N126" s="54"/>
      <c r="O126" s="54"/>
      <c r="P126" s="54"/>
      <c r="Q126" s="54"/>
      <c r="R126" s="54"/>
      <c r="S126" s="54"/>
      <c r="T126" s="54"/>
      <c r="U126" s="54"/>
      <c r="V126" s="54"/>
      <c r="W126" s="54"/>
      <c r="X126" s="54"/>
      <c r="Y126" s="54"/>
      <c r="Z126" s="54"/>
      <c r="AA126" s="54"/>
      <c r="AB126" s="54"/>
    </row>
    <row r="127">
      <c r="A127" s="57"/>
      <c r="B127" s="10" t="str">
        <f>IFERROR(VLOOKUP(C127,'Employees List'!$B$1:$G$999,4,0),"")</f>
        <v/>
      </c>
      <c r="C127" s="9"/>
      <c r="D127" s="9"/>
      <c r="E127" s="56"/>
      <c r="F127" s="56"/>
      <c r="G127" s="56"/>
      <c r="H127" s="50"/>
      <c r="I127" s="54"/>
      <c r="J127" s="54"/>
      <c r="K127" s="54"/>
      <c r="L127" s="54"/>
      <c r="M127" s="54"/>
      <c r="N127" s="54"/>
      <c r="O127" s="54"/>
      <c r="P127" s="54"/>
      <c r="Q127" s="54"/>
      <c r="R127" s="54"/>
      <c r="S127" s="54"/>
      <c r="T127" s="54"/>
      <c r="U127" s="54"/>
      <c r="V127" s="54"/>
      <c r="W127" s="54"/>
      <c r="X127" s="54"/>
      <c r="Y127" s="54"/>
      <c r="Z127" s="54"/>
      <c r="AA127" s="54"/>
      <c r="AB127" s="54"/>
    </row>
    <row r="128">
      <c r="A128" s="57"/>
      <c r="B128" s="10" t="str">
        <f>IFERROR(VLOOKUP(C128,'Employees List'!$B$1:$G$999,4,0),"")</f>
        <v/>
      </c>
      <c r="C128" s="9"/>
      <c r="D128" s="9"/>
      <c r="E128" s="56"/>
      <c r="F128" s="56"/>
      <c r="G128" s="56"/>
      <c r="H128" s="50"/>
      <c r="I128" s="54"/>
      <c r="J128" s="54"/>
      <c r="K128" s="54"/>
      <c r="L128" s="54"/>
      <c r="M128" s="54"/>
      <c r="N128" s="54"/>
      <c r="O128" s="54"/>
      <c r="P128" s="54"/>
      <c r="Q128" s="54"/>
      <c r="R128" s="54"/>
      <c r="S128" s="54"/>
      <c r="T128" s="54"/>
      <c r="U128" s="54"/>
      <c r="V128" s="54"/>
      <c r="W128" s="54"/>
      <c r="X128" s="54"/>
      <c r="Y128" s="54"/>
      <c r="Z128" s="54"/>
      <c r="AA128" s="54"/>
      <c r="AB128" s="54"/>
    </row>
    <row r="129">
      <c r="A129" s="57"/>
      <c r="B129" s="10" t="str">
        <f>IFERROR(VLOOKUP(C129,'Employees List'!$B$1:$G$999,4,0),"")</f>
        <v/>
      </c>
      <c r="C129" s="9"/>
      <c r="D129" s="9"/>
      <c r="E129" s="56"/>
      <c r="F129" s="56"/>
      <c r="G129" s="56"/>
      <c r="H129" s="50"/>
      <c r="I129" s="54"/>
      <c r="J129" s="54"/>
      <c r="K129" s="54"/>
      <c r="L129" s="54"/>
      <c r="M129" s="54"/>
      <c r="N129" s="54"/>
      <c r="O129" s="54"/>
      <c r="P129" s="54"/>
      <c r="Q129" s="54"/>
      <c r="R129" s="54"/>
      <c r="S129" s="54"/>
      <c r="T129" s="54"/>
      <c r="U129" s="54"/>
      <c r="V129" s="54"/>
      <c r="W129" s="54"/>
      <c r="X129" s="54"/>
      <c r="Y129" s="54"/>
      <c r="Z129" s="54"/>
      <c r="AA129" s="54"/>
      <c r="AB129" s="54"/>
    </row>
    <row r="130">
      <c r="A130" s="57"/>
      <c r="B130" s="10" t="str">
        <f>IFERROR(VLOOKUP(C130,'Employees List'!$B$1:$G$999,4,0),"")</f>
        <v/>
      </c>
      <c r="C130" s="9"/>
      <c r="D130" s="9"/>
      <c r="E130" s="56"/>
      <c r="F130" s="56"/>
      <c r="G130" s="56"/>
      <c r="H130" s="50"/>
      <c r="I130" s="54"/>
      <c r="J130" s="54"/>
      <c r="K130" s="54"/>
      <c r="L130" s="54"/>
      <c r="M130" s="54"/>
      <c r="N130" s="54"/>
      <c r="O130" s="54"/>
      <c r="P130" s="54"/>
      <c r="Q130" s="54"/>
      <c r="R130" s="54"/>
      <c r="S130" s="54"/>
      <c r="T130" s="54"/>
      <c r="U130" s="54"/>
      <c r="V130" s="54"/>
      <c r="W130" s="54"/>
      <c r="X130" s="54"/>
      <c r="Y130" s="54"/>
      <c r="Z130" s="54"/>
      <c r="AA130" s="54"/>
      <c r="AB130" s="54"/>
    </row>
    <row r="131">
      <c r="A131" s="57"/>
      <c r="B131" s="10" t="str">
        <f>IFERROR(VLOOKUP(C131,'Employees List'!$B$1:$G$999,4,0),"")</f>
        <v/>
      </c>
      <c r="C131" s="9"/>
      <c r="D131" s="9"/>
      <c r="E131" s="56"/>
      <c r="F131" s="56"/>
      <c r="G131" s="56"/>
      <c r="H131" s="50"/>
      <c r="I131" s="54"/>
      <c r="J131" s="54"/>
      <c r="K131" s="54"/>
      <c r="L131" s="54"/>
      <c r="M131" s="54"/>
      <c r="N131" s="54"/>
      <c r="O131" s="54"/>
      <c r="P131" s="54"/>
      <c r="Q131" s="54"/>
      <c r="R131" s="54"/>
      <c r="S131" s="54"/>
      <c r="T131" s="54"/>
      <c r="U131" s="54"/>
      <c r="V131" s="54"/>
      <c r="W131" s="54"/>
      <c r="X131" s="54"/>
      <c r="Y131" s="54"/>
      <c r="Z131" s="54"/>
      <c r="AA131" s="54"/>
      <c r="AB131" s="54"/>
    </row>
    <row r="132">
      <c r="A132" s="57"/>
      <c r="B132" s="10" t="str">
        <f>IFERROR(VLOOKUP(C132,'Employees List'!$B$1:$G$999,4,0),"")</f>
        <v/>
      </c>
      <c r="C132" s="9"/>
      <c r="D132" s="9"/>
      <c r="E132" s="56"/>
      <c r="F132" s="56"/>
      <c r="G132" s="56"/>
      <c r="H132" s="50"/>
      <c r="I132" s="54"/>
      <c r="J132" s="54"/>
      <c r="K132" s="54"/>
      <c r="L132" s="54"/>
      <c r="M132" s="54"/>
      <c r="N132" s="54"/>
      <c r="O132" s="54"/>
      <c r="P132" s="54"/>
      <c r="Q132" s="54"/>
      <c r="R132" s="54"/>
      <c r="S132" s="54"/>
      <c r="T132" s="54"/>
      <c r="U132" s="54"/>
      <c r="V132" s="54"/>
      <c r="W132" s="54"/>
      <c r="X132" s="54"/>
      <c r="Y132" s="54"/>
      <c r="Z132" s="54"/>
      <c r="AA132" s="54"/>
      <c r="AB132" s="54"/>
    </row>
    <row r="133">
      <c r="A133" s="57"/>
      <c r="B133" s="10" t="str">
        <f>IFERROR(VLOOKUP(C133,'Employees List'!$B$1:$G$999,4,0),"")</f>
        <v/>
      </c>
      <c r="C133" s="9"/>
      <c r="D133" s="9"/>
      <c r="E133" s="56"/>
      <c r="F133" s="56"/>
      <c r="G133" s="56"/>
      <c r="H133" s="50"/>
      <c r="I133" s="54"/>
      <c r="J133" s="54"/>
      <c r="K133" s="54"/>
      <c r="L133" s="54"/>
      <c r="M133" s="54"/>
      <c r="N133" s="54"/>
      <c r="O133" s="54"/>
      <c r="P133" s="54"/>
      <c r="Q133" s="54"/>
      <c r="R133" s="54"/>
      <c r="S133" s="54"/>
      <c r="T133" s="54"/>
      <c r="U133" s="54"/>
      <c r="V133" s="54"/>
      <c r="W133" s="54"/>
      <c r="X133" s="54"/>
      <c r="Y133" s="54"/>
      <c r="Z133" s="54"/>
      <c r="AA133" s="54"/>
      <c r="AB133" s="54"/>
    </row>
    <row r="134">
      <c r="A134" s="57"/>
      <c r="B134" s="10" t="str">
        <f>IFERROR(VLOOKUP(C134,'Employees List'!$B$1:$G$999,4,0),"")</f>
        <v/>
      </c>
      <c r="C134" s="9"/>
      <c r="D134" s="9"/>
      <c r="E134" s="56"/>
      <c r="F134" s="56"/>
      <c r="G134" s="56"/>
      <c r="H134" s="50"/>
      <c r="I134" s="54"/>
      <c r="J134" s="54"/>
      <c r="K134" s="54"/>
      <c r="L134" s="54"/>
      <c r="M134" s="54"/>
      <c r="N134" s="54"/>
      <c r="O134" s="54"/>
      <c r="P134" s="54"/>
      <c r="Q134" s="54"/>
      <c r="R134" s="54"/>
      <c r="S134" s="54"/>
      <c r="T134" s="54"/>
      <c r="U134" s="54"/>
      <c r="V134" s="54"/>
      <c r="W134" s="54"/>
      <c r="X134" s="54"/>
      <c r="Y134" s="54"/>
      <c r="Z134" s="54"/>
      <c r="AA134" s="54"/>
      <c r="AB134" s="54"/>
    </row>
    <row r="135">
      <c r="A135" s="57"/>
      <c r="B135" s="10" t="str">
        <f>IFERROR(VLOOKUP(C135,'Employees List'!$B$1:$G$999,4,0),"")</f>
        <v/>
      </c>
      <c r="C135" s="9"/>
      <c r="D135" s="9"/>
      <c r="E135" s="56"/>
      <c r="F135" s="56"/>
      <c r="G135" s="56"/>
      <c r="H135" s="50"/>
      <c r="I135" s="54"/>
      <c r="J135" s="54"/>
      <c r="K135" s="54"/>
      <c r="L135" s="54"/>
      <c r="M135" s="54"/>
      <c r="N135" s="54"/>
      <c r="O135" s="54"/>
      <c r="P135" s="54"/>
      <c r="Q135" s="54"/>
      <c r="R135" s="54"/>
      <c r="S135" s="54"/>
      <c r="T135" s="54"/>
      <c r="U135" s="54"/>
      <c r="V135" s="54"/>
      <c r="W135" s="54"/>
      <c r="X135" s="54"/>
      <c r="Y135" s="54"/>
      <c r="Z135" s="54"/>
      <c r="AA135" s="54"/>
      <c r="AB135" s="54"/>
    </row>
    <row r="136">
      <c r="A136" s="57"/>
      <c r="B136" s="10" t="str">
        <f>IFERROR(VLOOKUP(C136,'Employees List'!$B$1:$G$999,4,0),"")</f>
        <v/>
      </c>
      <c r="C136" s="9"/>
      <c r="D136" s="9"/>
      <c r="E136" s="56"/>
      <c r="F136" s="56"/>
      <c r="G136" s="56"/>
      <c r="H136" s="50"/>
      <c r="I136" s="54"/>
      <c r="J136" s="54"/>
      <c r="K136" s="54"/>
      <c r="L136" s="54"/>
      <c r="M136" s="54"/>
      <c r="N136" s="54"/>
      <c r="O136" s="54"/>
      <c r="P136" s="54"/>
      <c r="Q136" s="54"/>
      <c r="R136" s="54"/>
      <c r="S136" s="54"/>
      <c r="T136" s="54"/>
      <c r="U136" s="54"/>
      <c r="V136" s="54"/>
      <c r="W136" s="54"/>
      <c r="X136" s="54"/>
      <c r="Y136" s="54"/>
      <c r="Z136" s="54"/>
      <c r="AA136" s="54"/>
      <c r="AB136" s="54"/>
    </row>
    <row r="137">
      <c r="A137" s="57"/>
      <c r="B137" s="10" t="str">
        <f>IFERROR(VLOOKUP(C137,'Employees List'!$B$1:$G$999,4,0),"")</f>
        <v/>
      </c>
      <c r="C137" s="9"/>
      <c r="D137" s="9"/>
      <c r="E137" s="56"/>
      <c r="F137" s="56"/>
      <c r="G137" s="56"/>
      <c r="H137" s="50"/>
      <c r="I137" s="54"/>
      <c r="J137" s="54"/>
      <c r="K137" s="54"/>
      <c r="L137" s="54"/>
      <c r="M137" s="54"/>
      <c r="N137" s="54"/>
      <c r="O137" s="54"/>
      <c r="P137" s="54"/>
      <c r="Q137" s="54"/>
      <c r="R137" s="54"/>
      <c r="S137" s="54"/>
      <c r="T137" s="54"/>
      <c r="U137" s="54"/>
      <c r="V137" s="54"/>
      <c r="W137" s="54"/>
      <c r="X137" s="54"/>
      <c r="Y137" s="54"/>
      <c r="Z137" s="54"/>
      <c r="AA137" s="54"/>
      <c r="AB137" s="54"/>
    </row>
    <row r="138">
      <c r="A138" s="57"/>
      <c r="B138" s="10" t="str">
        <f>IFERROR(VLOOKUP(C138,'Employees List'!$B$1:$G$999,4,0),"")</f>
        <v/>
      </c>
      <c r="C138" s="9"/>
      <c r="D138" s="9"/>
      <c r="E138" s="56"/>
      <c r="F138" s="56"/>
      <c r="G138" s="56"/>
      <c r="H138" s="50"/>
      <c r="I138" s="54"/>
      <c r="J138" s="54"/>
      <c r="K138" s="54"/>
      <c r="L138" s="54"/>
      <c r="M138" s="54"/>
      <c r="N138" s="54"/>
      <c r="O138" s="54"/>
      <c r="P138" s="54"/>
      <c r="Q138" s="54"/>
      <c r="R138" s="54"/>
      <c r="S138" s="54"/>
      <c r="T138" s="54"/>
      <c r="U138" s="54"/>
      <c r="V138" s="54"/>
      <c r="W138" s="54"/>
      <c r="X138" s="54"/>
      <c r="Y138" s="54"/>
      <c r="Z138" s="54"/>
      <c r="AA138" s="54"/>
      <c r="AB138" s="54"/>
    </row>
    <row r="139">
      <c r="A139" s="57"/>
      <c r="B139" s="10" t="str">
        <f>IFERROR(VLOOKUP(C139,'Employees List'!$B$1:$G$999,4,0),"")</f>
        <v/>
      </c>
      <c r="C139" s="9"/>
      <c r="D139" s="9"/>
      <c r="E139" s="56"/>
      <c r="F139" s="56"/>
      <c r="G139" s="56"/>
      <c r="H139" s="50"/>
      <c r="I139" s="54"/>
      <c r="J139" s="54"/>
      <c r="K139" s="54"/>
      <c r="L139" s="54"/>
      <c r="M139" s="54"/>
      <c r="N139" s="54"/>
      <c r="O139" s="54"/>
      <c r="P139" s="54"/>
      <c r="Q139" s="54"/>
      <c r="R139" s="54"/>
      <c r="S139" s="54"/>
      <c r="T139" s="54"/>
      <c r="U139" s="54"/>
      <c r="V139" s="54"/>
      <c r="W139" s="54"/>
      <c r="X139" s="54"/>
      <c r="Y139" s="54"/>
      <c r="Z139" s="54"/>
      <c r="AA139" s="54"/>
      <c r="AB139" s="54"/>
    </row>
    <row r="140">
      <c r="A140" s="57"/>
      <c r="B140" s="10" t="str">
        <f>IFERROR(VLOOKUP(C140,'Employees List'!$B$1:$G$999,4,0),"")</f>
        <v/>
      </c>
      <c r="C140" s="9"/>
      <c r="D140" s="9"/>
      <c r="E140" s="56"/>
      <c r="F140" s="56"/>
      <c r="G140" s="56"/>
      <c r="H140" s="50"/>
      <c r="I140" s="54"/>
      <c r="J140" s="54"/>
      <c r="K140" s="54"/>
      <c r="L140" s="54"/>
      <c r="M140" s="54"/>
      <c r="N140" s="54"/>
      <c r="O140" s="54"/>
      <c r="P140" s="54"/>
      <c r="Q140" s="54"/>
      <c r="R140" s="54"/>
      <c r="S140" s="54"/>
      <c r="T140" s="54"/>
      <c r="U140" s="54"/>
      <c r="V140" s="54"/>
      <c r="W140" s="54"/>
      <c r="X140" s="54"/>
      <c r="Y140" s="54"/>
      <c r="Z140" s="54"/>
      <c r="AA140" s="54"/>
      <c r="AB140" s="54"/>
    </row>
    <row r="141">
      <c r="A141" s="57"/>
      <c r="B141" s="10" t="str">
        <f>IFERROR(VLOOKUP(C141,'Employees List'!$B$1:$G$999,4,0),"")</f>
        <v/>
      </c>
      <c r="C141" s="9"/>
      <c r="D141" s="9"/>
      <c r="E141" s="56"/>
      <c r="F141" s="56"/>
      <c r="G141" s="56"/>
      <c r="H141" s="50"/>
      <c r="I141" s="54"/>
      <c r="J141" s="54"/>
      <c r="K141" s="54"/>
      <c r="L141" s="54"/>
      <c r="M141" s="54"/>
      <c r="N141" s="54"/>
      <c r="O141" s="54"/>
      <c r="P141" s="54"/>
      <c r="Q141" s="54"/>
      <c r="R141" s="54"/>
      <c r="S141" s="54"/>
      <c r="T141" s="54"/>
      <c r="U141" s="54"/>
      <c r="V141" s="54"/>
      <c r="W141" s="54"/>
      <c r="X141" s="54"/>
      <c r="Y141" s="54"/>
      <c r="Z141" s="54"/>
      <c r="AA141" s="54"/>
      <c r="AB141" s="54"/>
    </row>
    <row r="142">
      <c r="A142" s="57"/>
      <c r="B142" s="10" t="str">
        <f>IFERROR(VLOOKUP(C142,'Employees List'!$B$1:$G$999,4,0),"")</f>
        <v/>
      </c>
      <c r="C142" s="9"/>
      <c r="D142" s="9"/>
      <c r="E142" s="56"/>
      <c r="F142" s="56"/>
      <c r="G142" s="56"/>
      <c r="H142" s="50"/>
      <c r="I142" s="54"/>
      <c r="J142" s="54"/>
      <c r="K142" s="54"/>
      <c r="L142" s="54"/>
      <c r="M142" s="54"/>
      <c r="N142" s="54"/>
      <c r="O142" s="54"/>
      <c r="P142" s="54"/>
      <c r="Q142" s="54"/>
      <c r="R142" s="54"/>
      <c r="S142" s="54"/>
      <c r="T142" s="54"/>
      <c r="U142" s="54"/>
      <c r="V142" s="54"/>
      <c r="W142" s="54"/>
      <c r="X142" s="54"/>
      <c r="Y142" s="54"/>
      <c r="Z142" s="54"/>
      <c r="AA142" s="54"/>
      <c r="AB142" s="54"/>
    </row>
    <row r="143">
      <c r="A143" s="57"/>
      <c r="B143" s="10" t="str">
        <f>IFERROR(VLOOKUP(C143,'Employees List'!$B$1:$G$999,4,0),"")</f>
        <v/>
      </c>
      <c r="C143" s="9"/>
      <c r="D143" s="9"/>
      <c r="E143" s="56"/>
      <c r="F143" s="56"/>
      <c r="G143" s="56"/>
      <c r="H143" s="50"/>
      <c r="I143" s="54"/>
      <c r="J143" s="54"/>
      <c r="K143" s="54"/>
      <c r="L143" s="54"/>
      <c r="M143" s="54"/>
      <c r="N143" s="54"/>
      <c r="O143" s="54"/>
      <c r="P143" s="54"/>
      <c r="Q143" s="54"/>
      <c r="R143" s="54"/>
      <c r="S143" s="54"/>
      <c r="T143" s="54"/>
      <c r="U143" s="54"/>
      <c r="V143" s="54"/>
      <c r="W143" s="54"/>
      <c r="X143" s="54"/>
      <c r="Y143" s="54"/>
      <c r="Z143" s="54"/>
      <c r="AA143" s="54"/>
      <c r="AB143" s="54"/>
    </row>
    <row r="144">
      <c r="A144" s="57"/>
      <c r="B144" s="10" t="str">
        <f>IFERROR(VLOOKUP(C144,'Employees List'!$B$1:$G$999,4,0),"")</f>
        <v/>
      </c>
      <c r="C144" s="9"/>
      <c r="D144" s="9"/>
      <c r="E144" s="56"/>
      <c r="F144" s="56"/>
      <c r="G144" s="56"/>
      <c r="H144" s="50"/>
      <c r="I144" s="54"/>
      <c r="J144" s="54"/>
      <c r="K144" s="54"/>
      <c r="L144" s="54"/>
      <c r="M144" s="54"/>
      <c r="N144" s="54"/>
      <c r="O144" s="54"/>
      <c r="P144" s="54"/>
      <c r="Q144" s="54"/>
      <c r="R144" s="54"/>
      <c r="S144" s="54"/>
      <c r="T144" s="54"/>
      <c r="U144" s="54"/>
      <c r="V144" s="54"/>
      <c r="W144" s="54"/>
      <c r="X144" s="54"/>
      <c r="Y144" s="54"/>
      <c r="Z144" s="54"/>
      <c r="AA144" s="54"/>
      <c r="AB144" s="54"/>
    </row>
    <row r="145">
      <c r="A145" s="57"/>
      <c r="B145" s="10" t="str">
        <f>IFERROR(VLOOKUP(C145,'Employees List'!$B$1:$G$999,4,0),"")</f>
        <v/>
      </c>
      <c r="C145" s="9"/>
      <c r="D145" s="9"/>
      <c r="E145" s="56"/>
      <c r="F145" s="56"/>
      <c r="G145" s="56"/>
      <c r="H145" s="50"/>
      <c r="I145" s="54"/>
      <c r="J145" s="54"/>
      <c r="K145" s="54"/>
      <c r="L145" s="54"/>
      <c r="M145" s="54"/>
      <c r="N145" s="54"/>
      <c r="O145" s="54"/>
      <c r="P145" s="54"/>
      <c r="Q145" s="54"/>
      <c r="R145" s="54"/>
      <c r="S145" s="54"/>
      <c r="T145" s="54"/>
      <c r="U145" s="54"/>
      <c r="V145" s="54"/>
      <c r="W145" s="54"/>
      <c r="X145" s="54"/>
      <c r="Y145" s="54"/>
      <c r="Z145" s="54"/>
      <c r="AA145" s="54"/>
      <c r="AB145" s="54"/>
    </row>
    <row r="146">
      <c r="A146" s="57"/>
      <c r="B146" s="10" t="str">
        <f>IFERROR(VLOOKUP(C146,'Employees List'!$B$1:$G$999,4,0),"")</f>
        <v/>
      </c>
      <c r="C146" s="9"/>
      <c r="D146" s="9"/>
      <c r="E146" s="56"/>
      <c r="F146" s="56"/>
      <c r="G146" s="56"/>
      <c r="H146" s="50"/>
      <c r="I146" s="54"/>
      <c r="J146" s="54"/>
      <c r="K146" s="54"/>
      <c r="L146" s="54"/>
      <c r="M146" s="54"/>
      <c r="N146" s="54"/>
      <c r="O146" s="54"/>
      <c r="P146" s="54"/>
      <c r="Q146" s="54"/>
      <c r="R146" s="54"/>
      <c r="S146" s="54"/>
      <c r="T146" s="54"/>
      <c r="U146" s="54"/>
      <c r="V146" s="54"/>
      <c r="W146" s="54"/>
      <c r="X146" s="54"/>
      <c r="Y146" s="54"/>
      <c r="Z146" s="54"/>
      <c r="AA146" s="54"/>
      <c r="AB146" s="54"/>
    </row>
    <row r="147">
      <c r="A147" s="57"/>
      <c r="B147" s="10" t="str">
        <f>IFERROR(VLOOKUP(C147,'Employees List'!$B$1:$G$999,4,0),"")</f>
        <v/>
      </c>
      <c r="C147" s="9"/>
      <c r="D147" s="9"/>
      <c r="E147" s="56"/>
      <c r="F147" s="56"/>
      <c r="G147" s="56"/>
      <c r="H147" s="50"/>
      <c r="I147" s="54"/>
      <c r="J147" s="54"/>
      <c r="K147" s="54"/>
      <c r="L147" s="54"/>
      <c r="M147" s="54"/>
      <c r="N147" s="54"/>
      <c r="O147" s="54"/>
      <c r="P147" s="54"/>
      <c r="Q147" s="54"/>
      <c r="R147" s="54"/>
      <c r="S147" s="54"/>
      <c r="T147" s="54"/>
      <c r="U147" s="54"/>
      <c r="V147" s="54"/>
      <c r="W147" s="54"/>
      <c r="X147" s="54"/>
      <c r="Y147" s="54"/>
      <c r="Z147" s="54"/>
      <c r="AA147" s="54"/>
      <c r="AB147" s="54"/>
    </row>
    <row r="148">
      <c r="A148" s="57"/>
      <c r="B148" s="10" t="str">
        <f>IFERROR(VLOOKUP(C148,'Employees List'!$B$1:$G$999,4,0),"")</f>
        <v/>
      </c>
      <c r="C148" s="9"/>
      <c r="D148" s="9"/>
      <c r="E148" s="56"/>
      <c r="F148" s="56"/>
      <c r="G148" s="56"/>
      <c r="H148" s="50"/>
      <c r="I148" s="54"/>
      <c r="J148" s="54"/>
      <c r="K148" s="54"/>
      <c r="L148" s="54"/>
      <c r="M148" s="54"/>
      <c r="N148" s="54"/>
      <c r="O148" s="54"/>
      <c r="P148" s="54"/>
      <c r="Q148" s="54"/>
      <c r="R148" s="54"/>
      <c r="S148" s="54"/>
      <c r="T148" s="54"/>
      <c r="U148" s="54"/>
      <c r="V148" s="54"/>
      <c r="W148" s="54"/>
      <c r="X148" s="54"/>
      <c r="Y148" s="54"/>
      <c r="Z148" s="54"/>
      <c r="AA148" s="54"/>
      <c r="AB148" s="54"/>
    </row>
    <row r="149">
      <c r="A149" s="57"/>
      <c r="B149" s="10" t="str">
        <f>IFERROR(VLOOKUP(C149,'Employees List'!$B$1:$G$999,4,0),"")</f>
        <v/>
      </c>
      <c r="C149" s="9"/>
      <c r="D149" s="9"/>
      <c r="E149" s="56"/>
      <c r="F149" s="56"/>
      <c r="G149" s="56"/>
      <c r="H149" s="50"/>
      <c r="I149" s="54"/>
      <c r="J149" s="54"/>
      <c r="K149" s="54"/>
      <c r="L149" s="54"/>
      <c r="M149" s="54"/>
      <c r="N149" s="54"/>
      <c r="O149" s="54"/>
      <c r="P149" s="54"/>
      <c r="Q149" s="54"/>
      <c r="R149" s="54"/>
      <c r="S149" s="54"/>
      <c r="T149" s="54"/>
      <c r="U149" s="54"/>
      <c r="V149" s="54"/>
      <c r="W149" s="54"/>
      <c r="X149" s="54"/>
      <c r="Y149" s="54"/>
      <c r="Z149" s="54"/>
      <c r="AA149" s="54"/>
      <c r="AB149" s="54"/>
    </row>
    <row r="150">
      <c r="A150" s="57"/>
      <c r="B150" s="10" t="str">
        <f>IFERROR(VLOOKUP(C150,'Employees List'!$B$1:$G$999,4,0),"")</f>
        <v/>
      </c>
      <c r="C150" s="9"/>
      <c r="D150" s="9"/>
      <c r="E150" s="56"/>
      <c r="F150" s="56"/>
      <c r="G150" s="56"/>
      <c r="H150" s="50"/>
      <c r="I150" s="54"/>
      <c r="J150" s="54"/>
      <c r="K150" s="54"/>
      <c r="L150" s="54"/>
      <c r="M150" s="54"/>
      <c r="N150" s="54"/>
      <c r="O150" s="54"/>
      <c r="P150" s="54"/>
      <c r="Q150" s="54"/>
      <c r="R150" s="54"/>
      <c r="S150" s="54"/>
      <c r="T150" s="54"/>
      <c r="U150" s="54"/>
      <c r="V150" s="54"/>
      <c r="W150" s="54"/>
      <c r="X150" s="54"/>
      <c r="Y150" s="54"/>
      <c r="Z150" s="54"/>
      <c r="AA150" s="54"/>
      <c r="AB150" s="54"/>
    </row>
    <row r="151">
      <c r="A151" s="57"/>
      <c r="B151" s="10" t="str">
        <f>IFERROR(VLOOKUP(C151,'Employees List'!$B$1:$G$999,4,0),"")</f>
        <v/>
      </c>
      <c r="C151" s="9"/>
      <c r="D151" s="9"/>
      <c r="E151" s="56"/>
      <c r="F151" s="56"/>
      <c r="G151" s="56"/>
      <c r="H151" s="50"/>
      <c r="I151" s="54"/>
      <c r="J151" s="54"/>
      <c r="K151" s="54"/>
      <c r="L151" s="54"/>
      <c r="M151" s="54"/>
      <c r="N151" s="54"/>
      <c r="O151" s="54"/>
      <c r="P151" s="54"/>
      <c r="Q151" s="54"/>
      <c r="R151" s="54"/>
      <c r="S151" s="54"/>
      <c r="T151" s="54"/>
      <c r="U151" s="54"/>
      <c r="V151" s="54"/>
      <c r="W151" s="54"/>
      <c r="X151" s="54"/>
      <c r="Y151" s="54"/>
      <c r="Z151" s="54"/>
      <c r="AA151" s="54"/>
      <c r="AB151" s="54"/>
    </row>
    <row r="152">
      <c r="A152" s="57"/>
      <c r="B152" s="10" t="str">
        <f>IFERROR(VLOOKUP(C152,'Employees List'!$B$1:$G$999,4,0),"")</f>
        <v/>
      </c>
      <c r="C152" s="9"/>
      <c r="D152" s="9"/>
      <c r="E152" s="56"/>
      <c r="F152" s="56"/>
      <c r="G152" s="56"/>
      <c r="H152" s="50"/>
      <c r="I152" s="54"/>
      <c r="J152" s="54"/>
      <c r="K152" s="54"/>
      <c r="L152" s="54"/>
      <c r="M152" s="54"/>
      <c r="N152" s="54"/>
      <c r="O152" s="54"/>
      <c r="P152" s="54"/>
      <c r="Q152" s="54"/>
      <c r="R152" s="54"/>
      <c r="S152" s="54"/>
      <c r="T152" s="54"/>
      <c r="U152" s="54"/>
      <c r="V152" s="54"/>
      <c r="W152" s="54"/>
      <c r="X152" s="54"/>
      <c r="Y152" s="54"/>
      <c r="Z152" s="54"/>
      <c r="AA152" s="54"/>
      <c r="AB152" s="54"/>
    </row>
    <row r="153">
      <c r="A153" s="57"/>
      <c r="B153" s="10" t="str">
        <f>IFERROR(VLOOKUP(C153,'Employees List'!$B$1:$G$999,4,0),"")</f>
        <v/>
      </c>
      <c r="C153" s="9"/>
      <c r="D153" s="9"/>
      <c r="E153" s="56"/>
      <c r="F153" s="56"/>
      <c r="G153" s="56"/>
      <c r="H153" s="50"/>
      <c r="I153" s="54"/>
      <c r="J153" s="54"/>
      <c r="K153" s="54"/>
      <c r="L153" s="54"/>
      <c r="M153" s="54"/>
      <c r="N153" s="54"/>
      <c r="O153" s="54"/>
      <c r="P153" s="54"/>
      <c r="Q153" s="54"/>
      <c r="R153" s="54"/>
      <c r="S153" s="54"/>
      <c r="T153" s="54"/>
      <c r="U153" s="54"/>
      <c r="V153" s="54"/>
      <c r="W153" s="54"/>
      <c r="X153" s="54"/>
      <c r="Y153" s="54"/>
      <c r="Z153" s="54"/>
      <c r="AA153" s="54"/>
      <c r="AB153" s="54"/>
    </row>
    <row r="154">
      <c r="A154" s="57"/>
      <c r="B154" s="10" t="str">
        <f>IFERROR(VLOOKUP(C154,'Employees List'!$B$1:$G$999,4,0),"")</f>
        <v/>
      </c>
      <c r="C154" s="9"/>
      <c r="D154" s="9"/>
      <c r="E154" s="56"/>
      <c r="F154" s="56"/>
      <c r="G154" s="56"/>
      <c r="H154" s="50"/>
      <c r="I154" s="54"/>
      <c r="J154" s="54"/>
      <c r="K154" s="54"/>
      <c r="L154" s="54"/>
      <c r="M154" s="54"/>
      <c r="N154" s="54"/>
      <c r="O154" s="54"/>
      <c r="P154" s="54"/>
      <c r="Q154" s="54"/>
      <c r="R154" s="54"/>
      <c r="S154" s="54"/>
      <c r="T154" s="54"/>
      <c r="U154" s="54"/>
      <c r="V154" s="54"/>
      <c r="W154" s="54"/>
      <c r="X154" s="54"/>
      <c r="Y154" s="54"/>
      <c r="Z154" s="54"/>
      <c r="AA154" s="54"/>
      <c r="AB154" s="54"/>
    </row>
    <row r="155">
      <c r="A155" s="57"/>
      <c r="B155" s="10" t="str">
        <f>IFERROR(VLOOKUP(C155,'Employees List'!$B$1:$G$999,4,0),"")</f>
        <v/>
      </c>
      <c r="C155" s="9"/>
      <c r="D155" s="9"/>
      <c r="E155" s="56"/>
      <c r="F155" s="56"/>
      <c r="G155" s="56"/>
      <c r="H155" s="50"/>
      <c r="I155" s="54"/>
      <c r="J155" s="54"/>
      <c r="K155" s="54"/>
      <c r="L155" s="54"/>
      <c r="M155" s="54"/>
      <c r="N155" s="54"/>
      <c r="O155" s="54"/>
      <c r="P155" s="54"/>
      <c r="Q155" s="54"/>
      <c r="R155" s="54"/>
      <c r="S155" s="54"/>
      <c r="T155" s="54"/>
      <c r="U155" s="54"/>
      <c r="V155" s="54"/>
      <c r="W155" s="54"/>
      <c r="X155" s="54"/>
      <c r="Y155" s="54"/>
      <c r="Z155" s="54"/>
      <c r="AA155" s="54"/>
      <c r="AB155" s="54"/>
    </row>
    <row r="156">
      <c r="A156" s="57"/>
      <c r="B156" s="10" t="str">
        <f>IFERROR(VLOOKUP(C156,'Employees List'!$B$1:$G$999,4,0),"")</f>
        <v/>
      </c>
      <c r="C156" s="9"/>
      <c r="D156" s="9"/>
      <c r="E156" s="56"/>
      <c r="F156" s="56"/>
      <c r="G156" s="56"/>
      <c r="H156" s="50"/>
      <c r="I156" s="54"/>
      <c r="J156" s="54"/>
      <c r="K156" s="54"/>
      <c r="L156" s="54"/>
      <c r="M156" s="54"/>
      <c r="N156" s="54"/>
      <c r="O156" s="54"/>
      <c r="P156" s="54"/>
      <c r="Q156" s="54"/>
      <c r="R156" s="54"/>
      <c r="S156" s="54"/>
      <c r="T156" s="54"/>
      <c r="U156" s="54"/>
      <c r="V156" s="54"/>
      <c r="W156" s="54"/>
      <c r="X156" s="54"/>
      <c r="Y156" s="54"/>
      <c r="Z156" s="54"/>
      <c r="AA156" s="54"/>
      <c r="AB156" s="54"/>
    </row>
    <row r="157">
      <c r="A157" s="57"/>
      <c r="B157" s="10" t="str">
        <f>IFERROR(VLOOKUP(C157,'Employees List'!$B$1:$G$999,4,0),"")</f>
        <v/>
      </c>
      <c r="C157" s="9"/>
      <c r="D157" s="9"/>
      <c r="E157" s="56"/>
      <c r="F157" s="56"/>
      <c r="G157" s="56"/>
      <c r="H157" s="50"/>
      <c r="I157" s="54"/>
      <c r="J157" s="54"/>
      <c r="K157" s="54"/>
      <c r="L157" s="54"/>
      <c r="M157" s="54"/>
      <c r="N157" s="54"/>
      <c r="O157" s="54"/>
      <c r="P157" s="54"/>
      <c r="Q157" s="54"/>
      <c r="R157" s="54"/>
      <c r="S157" s="54"/>
      <c r="T157" s="54"/>
      <c r="U157" s="54"/>
      <c r="V157" s="54"/>
      <c r="W157" s="54"/>
      <c r="X157" s="54"/>
      <c r="Y157" s="54"/>
      <c r="Z157" s="54"/>
      <c r="AA157" s="54"/>
      <c r="AB157" s="54"/>
    </row>
    <row r="158">
      <c r="A158" s="57"/>
      <c r="B158" s="10" t="str">
        <f>IFERROR(VLOOKUP(C158,'Employees List'!$B$1:$G$999,4,0),"")</f>
        <v/>
      </c>
      <c r="C158" s="9"/>
      <c r="D158" s="9"/>
      <c r="E158" s="56"/>
      <c r="F158" s="56"/>
      <c r="G158" s="56"/>
      <c r="H158" s="50"/>
      <c r="I158" s="54"/>
      <c r="J158" s="54"/>
      <c r="K158" s="54"/>
      <c r="L158" s="54"/>
      <c r="M158" s="54"/>
      <c r="N158" s="54"/>
      <c r="O158" s="54"/>
      <c r="P158" s="54"/>
      <c r="Q158" s="54"/>
      <c r="R158" s="54"/>
      <c r="S158" s="54"/>
      <c r="T158" s="54"/>
      <c r="U158" s="54"/>
      <c r="V158" s="54"/>
      <c r="W158" s="54"/>
      <c r="X158" s="54"/>
      <c r="Y158" s="54"/>
      <c r="Z158" s="54"/>
      <c r="AA158" s="54"/>
      <c r="AB158" s="54"/>
    </row>
    <row r="159">
      <c r="A159" s="57"/>
      <c r="B159" s="10" t="str">
        <f>IFERROR(VLOOKUP(C159,'Employees List'!$B$1:$G$999,4,0),"")</f>
        <v/>
      </c>
      <c r="C159" s="9"/>
      <c r="D159" s="9"/>
      <c r="E159" s="56"/>
      <c r="F159" s="56"/>
      <c r="G159" s="56"/>
      <c r="H159" s="50"/>
      <c r="I159" s="54"/>
      <c r="J159" s="54"/>
      <c r="K159" s="54"/>
      <c r="L159" s="54"/>
      <c r="M159" s="54"/>
      <c r="N159" s="54"/>
      <c r="O159" s="54"/>
      <c r="P159" s="54"/>
      <c r="Q159" s="54"/>
      <c r="R159" s="54"/>
      <c r="S159" s="54"/>
      <c r="T159" s="54"/>
      <c r="U159" s="54"/>
      <c r="V159" s="54"/>
      <c r="W159" s="54"/>
      <c r="X159" s="54"/>
      <c r="Y159" s="54"/>
      <c r="Z159" s="54"/>
      <c r="AA159" s="54"/>
      <c r="AB159" s="54"/>
    </row>
    <row r="160">
      <c r="A160" s="57"/>
      <c r="B160" s="10" t="str">
        <f>IFERROR(VLOOKUP(C160,'Employees List'!$B$1:$G$999,4,0),"")</f>
        <v/>
      </c>
      <c r="C160" s="9"/>
      <c r="D160" s="9"/>
      <c r="E160" s="56"/>
      <c r="F160" s="56"/>
      <c r="G160" s="56"/>
      <c r="H160" s="50"/>
      <c r="I160" s="54"/>
      <c r="J160" s="54"/>
      <c r="K160" s="54"/>
      <c r="L160" s="54"/>
      <c r="M160" s="54"/>
      <c r="N160" s="54"/>
      <c r="O160" s="54"/>
      <c r="P160" s="54"/>
      <c r="Q160" s="54"/>
      <c r="R160" s="54"/>
      <c r="S160" s="54"/>
      <c r="T160" s="54"/>
      <c r="U160" s="54"/>
      <c r="V160" s="54"/>
      <c r="W160" s="54"/>
      <c r="X160" s="54"/>
      <c r="Y160" s="54"/>
      <c r="Z160" s="54"/>
      <c r="AA160" s="54"/>
      <c r="AB160" s="54"/>
    </row>
    <row r="161">
      <c r="A161" s="57"/>
      <c r="B161" s="10" t="str">
        <f>IFERROR(VLOOKUP(C161,'Employees List'!$B$1:$G$999,4,0),"")</f>
        <v/>
      </c>
      <c r="C161" s="9"/>
      <c r="D161" s="9"/>
      <c r="E161" s="56"/>
      <c r="F161" s="56"/>
      <c r="G161" s="56"/>
      <c r="H161" s="50"/>
      <c r="I161" s="54"/>
      <c r="J161" s="54"/>
      <c r="K161" s="54"/>
      <c r="L161" s="54"/>
      <c r="M161" s="54"/>
      <c r="N161" s="54"/>
      <c r="O161" s="54"/>
      <c r="P161" s="54"/>
      <c r="Q161" s="54"/>
      <c r="R161" s="54"/>
      <c r="S161" s="54"/>
      <c r="T161" s="54"/>
      <c r="U161" s="54"/>
      <c r="V161" s="54"/>
      <c r="W161" s="54"/>
      <c r="X161" s="54"/>
      <c r="Y161" s="54"/>
      <c r="Z161" s="54"/>
      <c r="AA161" s="54"/>
      <c r="AB161" s="54"/>
    </row>
    <row r="162">
      <c r="A162" s="57"/>
      <c r="B162" s="10" t="str">
        <f>IFERROR(VLOOKUP(C162,'Employees List'!$B$1:$G$999,4,0),"")</f>
        <v/>
      </c>
      <c r="C162" s="9"/>
      <c r="D162" s="9"/>
      <c r="E162" s="56"/>
      <c r="F162" s="56"/>
      <c r="G162" s="56"/>
      <c r="H162" s="50"/>
      <c r="I162" s="54"/>
      <c r="J162" s="54"/>
      <c r="K162" s="54"/>
      <c r="L162" s="54"/>
      <c r="M162" s="54"/>
      <c r="N162" s="54"/>
      <c r="O162" s="54"/>
      <c r="P162" s="54"/>
      <c r="Q162" s="54"/>
      <c r="R162" s="54"/>
      <c r="S162" s="54"/>
      <c r="T162" s="54"/>
      <c r="U162" s="54"/>
      <c r="V162" s="54"/>
      <c r="W162" s="54"/>
      <c r="X162" s="54"/>
      <c r="Y162" s="54"/>
      <c r="Z162" s="54"/>
      <c r="AA162" s="54"/>
      <c r="AB162" s="54"/>
    </row>
    <row r="163">
      <c r="A163" s="57"/>
      <c r="B163" s="10" t="str">
        <f>IFERROR(VLOOKUP(C163,'Employees List'!$B$1:$G$999,4,0),"")</f>
        <v/>
      </c>
      <c r="C163" s="9"/>
      <c r="D163" s="9"/>
      <c r="E163" s="56"/>
      <c r="F163" s="56"/>
      <c r="G163" s="56"/>
      <c r="H163" s="50"/>
      <c r="I163" s="54"/>
      <c r="J163" s="54"/>
      <c r="K163" s="54"/>
      <c r="L163" s="54"/>
      <c r="M163" s="54"/>
      <c r="N163" s="54"/>
      <c r="O163" s="54"/>
      <c r="P163" s="54"/>
      <c r="Q163" s="54"/>
      <c r="R163" s="54"/>
      <c r="S163" s="54"/>
      <c r="T163" s="54"/>
      <c r="U163" s="54"/>
      <c r="V163" s="54"/>
      <c r="W163" s="54"/>
      <c r="X163" s="54"/>
      <c r="Y163" s="54"/>
      <c r="Z163" s="54"/>
      <c r="AA163" s="54"/>
      <c r="AB163" s="54"/>
    </row>
    <row r="164">
      <c r="A164" s="57"/>
      <c r="B164" s="10" t="str">
        <f>IFERROR(VLOOKUP(C164,'Employees List'!$B$1:$G$999,4,0),"")</f>
        <v/>
      </c>
      <c r="C164" s="9"/>
      <c r="D164" s="9"/>
      <c r="E164" s="56"/>
      <c r="F164" s="56"/>
      <c r="G164" s="56"/>
      <c r="H164" s="50"/>
      <c r="I164" s="54"/>
      <c r="J164" s="54"/>
      <c r="K164" s="54"/>
      <c r="L164" s="54"/>
      <c r="M164" s="54"/>
      <c r="N164" s="54"/>
      <c r="O164" s="54"/>
      <c r="P164" s="54"/>
      <c r="Q164" s="54"/>
      <c r="R164" s="54"/>
      <c r="S164" s="54"/>
      <c r="T164" s="54"/>
      <c r="U164" s="54"/>
      <c r="V164" s="54"/>
      <c r="W164" s="54"/>
      <c r="X164" s="54"/>
      <c r="Y164" s="54"/>
      <c r="Z164" s="54"/>
      <c r="AA164" s="54"/>
      <c r="AB164" s="54"/>
    </row>
    <row r="165">
      <c r="A165" s="57"/>
      <c r="B165" s="10" t="str">
        <f>IFERROR(VLOOKUP(C165,'Employees List'!$B$1:$G$999,4,0),"")</f>
        <v/>
      </c>
      <c r="C165" s="9"/>
      <c r="D165" s="9"/>
      <c r="E165" s="56"/>
      <c r="F165" s="56"/>
      <c r="G165" s="56"/>
      <c r="H165" s="50"/>
      <c r="I165" s="54"/>
      <c r="J165" s="54"/>
      <c r="K165" s="54"/>
      <c r="L165" s="54"/>
      <c r="M165" s="54"/>
      <c r="N165" s="54"/>
      <c r="O165" s="54"/>
      <c r="P165" s="54"/>
      <c r="Q165" s="54"/>
      <c r="R165" s="54"/>
      <c r="S165" s="54"/>
      <c r="T165" s="54"/>
      <c r="U165" s="54"/>
      <c r="V165" s="54"/>
      <c r="W165" s="54"/>
      <c r="X165" s="54"/>
      <c r="Y165" s="54"/>
      <c r="Z165" s="54"/>
      <c r="AA165" s="54"/>
      <c r="AB165" s="54"/>
    </row>
    <row r="166">
      <c r="A166" s="57"/>
      <c r="B166" s="10" t="str">
        <f>IFERROR(VLOOKUP(C166,'Employees List'!$B$1:$G$999,4,0),"")</f>
        <v/>
      </c>
      <c r="C166" s="9"/>
      <c r="D166" s="9"/>
      <c r="E166" s="56"/>
      <c r="F166" s="56"/>
      <c r="G166" s="56"/>
      <c r="H166" s="50"/>
      <c r="I166" s="54"/>
      <c r="J166" s="54"/>
      <c r="K166" s="54"/>
      <c r="L166" s="54"/>
      <c r="M166" s="54"/>
      <c r="N166" s="54"/>
      <c r="O166" s="54"/>
      <c r="P166" s="54"/>
      <c r="Q166" s="54"/>
      <c r="R166" s="54"/>
      <c r="S166" s="54"/>
      <c r="T166" s="54"/>
      <c r="U166" s="54"/>
      <c r="V166" s="54"/>
      <c r="W166" s="54"/>
      <c r="X166" s="54"/>
      <c r="Y166" s="54"/>
      <c r="Z166" s="54"/>
      <c r="AA166" s="54"/>
      <c r="AB166" s="54"/>
    </row>
    <row r="167">
      <c r="A167" s="57"/>
      <c r="B167" s="10" t="str">
        <f>IFERROR(VLOOKUP(C167,'Employees List'!$B$1:$G$999,4,0),"")</f>
        <v/>
      </c>
      <c r="C167" s="9"/>
      <c r="D167" s="9"/>
      <c r="E167" s="56"/>
      <c r="F167" s="56"/>
      <c r="G167" s="56"/>
      <c r="H167" s="50"/>
      <c r="I167" s="54"/>
      <c r="J167" s="54"/>
      <c r="K167" s="54"/>
      <c r="L167" s="54"/>
      <c r="M167" s="54"/>
      <c r="N167" s="54"/>
      <c r="O167" s="54"/>
      <c r="P167" s="54"/>
      <c r="Q167" s="54"/>
      <c r="R167" s="54"/>
      <c r="S167" s="54"/>
      <c r="T167" s="54"/>
      <c r="U167" s="54"/>
      <c r="V167" s="54"/>
      <c r="W167" s="54"/>
      <c r="X167" s="54"/>
      <c r="Y167" s="54"/>
      <c r="Z167" s="54"/>
      <c r="AA167" s="54"/>
      <c r="AB167" s="54"/>
    </row>
    <row r="168">
      <c r="A168" s="57"/>
      <c r="B168" s="10" t="str">
        <f>IFERROR(VLOOKUP(C168,'Employees List'!$B$1:$G$999,4,0),"")</f>
        <v/>
      </c>
      <c r="C168" s="9"/>
      <c r="D168" s="9"/>
      <c r="E168" s="56"/>
      <c r="F168" s="56"/>
      <c r="G168" s="56"/>
      <c r="H168" s="50"/>
      <c r="I168" s="54"/>
      <c r="J168" s="54"/>
      <c r="K168" s="54"/>
      <c r="L168" s="54"/>
      <c r="M168" s="54"/>
      <c r="N168" s="54"/>
      <c r="O168" s="54"/>
      <c r="P168" s="54"/>
      <c r="Q168" s="54"/>
      <c r="R168" s="54"/>
      <c r="S168" s="54"/>
      <c r="T168" s="54"/>
      <c r="U168" s="54"/>
      <c r="V168" s="54"/>
      <c r="W168" s="54"/>
      <c r="X168" s="54"/>
      <c r="Y168" s="54"/>
      <c r="Z168" s="54"/>
      <c r="AA168" s="54"/>
      <c r="AB168" s="54"/>
    </row>
    <row r="169">
      <c r="A169" s="57"/>
      <c r="B169" s="10" t="str">
        <f>IFERROR(VLOOKUP(C169,'Employees List'!$B$1:$G$999,4,0),"")</f>
        <v/>
      </c>
      <c r="C169" s="9"/>
      <c r="D169" s="9"/>
      <c r="E169" s="56"/>
      <c r="F169" s="56"/>
      <c r="G169" s="56"/>
      <c r="H169" s="50"/>
      <c r="I169" s="54"/>
      <c r="J169" s="54"/>
      <c r="K169" s="54"/>
      <c r="L169" s="54"/>
      <c r="M169" s="54"/>
      <c r="N169" s="54"/>
      <c r="O169" s="54"/>
      <c r="P169" s="54"/>
      <c r="Q169" s="54"/>
      <c r="R169" s="54"/>
      <c r="S169" s="54"/>
      <c r="T169" s="54"/>
      <c r="U169" s="54"/>
      <c r="V169" s="54"/>
      <c r="W169" s="54"/>
      <c r="X169" s="54"/>
      <c r="Y169" s="54"/>
      <c r="Z169" s="54"/>
      <c r="AA169" s="54"/>
      <c r="AB169" s="54"/>
    </row>
    <row r="170">
      <c r="A170" s="57"/>
      <c r="B170" s="10" t="str">
        <f>IFERROR(VLOOKUP(C170,'Employees List'!$B$1:$G$999,4,0),"")</f>
        <v/>
      </c>
      <c r="C170" s="9"/>
      <c r="D170" s="9"/>
      <c r="E170" s="56"/>
      <c r="F170" s="56"/>
      <c r="G170" s="56"/>
      <c r="H170" s="50"/>
      <c r="I170" s="54"/>
      <c r="J170" s="54"/>
      <c r="K170" s="54"/>
      <c r="L170" s="54"/>
      <c r="M170" s="54"/>
      <c r="N170" s="54"/>
      <c r="O170" s="54"/>
      <c r="P170" s="54"/>
      <c r="Q170" s="54"/>
      <c r="R170" s="54"/>
      <c r="S170" s="54"/>
      <c r="T170" s="54"/>
      <c r="U170" s="54"/>
      <c r="V170" s="54"/>
      <c r="W170" s="54"/>
      <c r="X170" s="54"/>
      <c r="Y170" s="54"/>
      <c r="Z170" s="54"/>
      <c r="AA170" s="54"/>
      <c r="AB170" s="54"/>
    </row>
    <row r="171">
      <c r="A171" s="57"/>
      <c r="B171" s="10" t="str">
        <f>IFERROR(VLOOKUP(C171,'Employees List'!$B$1:$G$999,4,0),"")</f>
        <v/>
      </c>
      <c r="C171" s="9"/>
      <c r="D171" s="9"/>
      <c r="E171" s="56"/>
      <c r="F171" s="56"/>
      <c r="G171" s="56"/>
      <c r="H171" s="50"/>
      <c r="I171" s="54"/>
      <c r="J171" s="54"/>
      <c r="K171" s="54"/>
      <c r="L171" s="54"/>
      <c r="M171" s="54"/>
      <c r="N171" s="54"/>
      <c r="O171" s="54"/>
      <c r="P171" s="54"/>
      <c r="Q171" s="54"/>
      <c r="R171" s="54"/>
      <c r="S171" s="54"/>
      <c r="T171" s="54"/>
      <c r="U171" s="54"/>
      <c r="V171" s="54"/>
      <c r="W171" s="54"/>
      <c r="X171" s="54"/>
      <c r="Y171" s="54"/>
      <c r="Z171" s="54"/>
      <c r="AA171" s="54"/>
      <c r="AB171" s="54"/>
    </row>
    <row r="172">
      <c r="A172" s="57"/>
      <c r="B172" s="10" t="str">
        <f>IFERROR(VLOOKUP(C172,'Employees List'!$B$1:$G$999,4,0),"")</f>
        <v/>
      </c>
      <c r="C172" s="9"/>
      <c r="D172" s="9"/>
      <c r="E172" s="56"/>
      <c r="F172" s="56"/>
      <c r="G172" s="56"/>
      <c r="H172" s="50"/>
      <c r="I172" s="54"/>
      <c r="J172" s="54"/>
      <c r="K172" s="54"/>
      <c r="L172" s="54"/>
      <c r="M172" s="54"/>
      <c r="N172" s="54"/>
      <c r="O172" s="54"/>
      <c r="P172" s="54"/>
      <c r="Q172" s="54"/>
      <c r="R172" s="54"/>
      <c r="S172" s="54"/>
      <c r="T172" s="54"/>
      <c r="U172" s="54"/>
      <c r="V172" s="54"/>
      <c r="W172" s="54"/>
      <c r="X172" s="54"/>
      <c r="Y172" s="54"/>
      <c r="Z172" s="54"/>
      <c r="AA172" s="54"/>
      <c r="AB172" s="54"/>
    </row>
    <row r="173">
      <c r="A173" s="57"/>
      <c r="B173" s="10" t="str">
        <f>IFERROR(VLOOKUP(C173,'Employees List'!$B$1:$G$999,4,0),"")</f>
        <v/>
      </c>
      <c r="C173" s="9"/>
      <c r="D173" s="9"/>
      <c r="E173" s="56"/>
      <c r="F173" s="56"/>
      <c r="G173" s="56"/>
      <c r="H173" s="50"/>
      <c r="I173" s="54"/>
      <c r="J173" s="54"/>
      <c r="K173" s="54"/>
      <c r="L173" s="54"/>
      <c r="M173" s="54"/>
      <c r="N173" s="54"/>
      <c r="O173" s="54"/>
      <c r="P173" s="54"/>
      <c r="Q173" s="54"/>
      <c r="R173" s="54"/>
      <c r="S173" s="54"/>
      <c r="T173" s="54"/>
      <c r="U173" s="54"/>
      <c r="V173" s="54"/>
      <c r="W173" s="54"/>
      <c r="X173" s="54"/>
      <c r="Y173" s="54"/>
      <c r="Z173" s="54"/>
      <c r="AA173" s="54"/>
      <c r="AB173" s="54"/>
    </row>
    <row r="174">
      <c r="A174" s="57"/>
      <c r="B174" s="10" t="str">
        <f>IFERROR(VLOOKUP(C174,'Employees List'!$B$1:$G$999,4,0),"")</f>
        <v/>
      </c>
      <c r="C174" s="9"/>
      <c r="D174" s="9"/>
      <c r="E174" s="56"/>
      <c r="F174" s="56"/>
      <c r="G174" s="56"/>
      <c r="H174" s="50"/>
      <c r="I174" s="54"/>
      <c r="J174" s="54"/>
      <c r="K174" s="54"/>
      <c r="L174" s="54"/>
      <c r="M174" s="54"/>
      <c r="N174" s="54"/>
      <c r="O174" s="54"/>
      <c r="P174" s="54"/>
      <c r="Q174" s="54"/>
      <c r="R174" s="54"/>
      <c r="S174" s="54"/>
      <c r="T174" s="54"/>
      <c r="U174" s="54"/>
      <c r="V174" s="54"/>
      <c r="W174" s="54"/>
      <c r="X174" s="54"/>
      <c r="Y174" s="54"/>
      <c r="Z174" s="54"/>
      <c r="AA174" s="54"/>
      <c r="AB174" s="54"/>
    </row>
    <row r="175">
      <c r="A175" s="57"/>
      <c r="B175" s="10" t="str">
        <f>IFERROR(VLOOKUP(C175,'Employees List'!$B$1:$G$999,4,0),"")</f>
        <v/>
      </c>
      <c r="C175" s="9"/>
      <c r="D175" s="9"/>
      <c r="E175" s="56"/>
      <c r="F175" s="56"/>
      <c r="G175" s="56"/>
      <c r="H175" s="50"/>
      <c r="I175" s="54"/>
      <c r="J175" s="54"/>
      <c r="K175" s="54"/>
      <c r="L175" s="54"/>
      <c r="M175" s="54"/>
      <c r="N175" s="54"/>
      <c r="O175" s="54"/>
      <c r="P175" s="54"/>
      <c r="Q175" s="54"/>
      <c r="R175" s="54"/>
      <c r="S175" s="54"/>
      <c r="T175" s="54"/>
      <c r="U175" s="54"/>
      <c r="V175" s="54"/>
      <c r="W175" s="54"/>
      <c r="X175" s="54"/>
      <c r="Y175" s="54"/>
      <c r="Z175" s="54"/>
      <c r="AA175" s="54"/>
      <c r="AB175" s="54"/>
    </row>
    <row r="176">
      <c r="A176" s="57"/>
      <c r="B176" s="10" t="str">
        <f>IFERROR(VLOOKUP(C176,'Employees List'!$B$1:$G$999,4,0),"")</f>
        <v/>
      </c>
      <c r="C176" s="9"/>
      <c r="D176" s="9"/>
      <c r="E176" s="56"/>
      <c r="F176" s="56"/>
      <c r="G176" s="56"/>
      <c r="H176" s="50"/>
      <c r="I176" s="54"/>
      <c r="J176" s="54"/>
      <c r="K176" s="54"/>
      <c r="L176" s="54"/>
      <c r="M176" s="54"/>
      <c r="N176" s="54"/>
      <c r="O176" s="54"/>
      <c r="P176" s="54"/>
      <c r="Q176" s="54"/>
      <c r="R176" s="54"/>
      <c r="S176" s="54"/>
      <c r="T176" s="54"/>
      <c r="U176" s="54"/>
      <c r="V176" s="54"/>
      <c r="W176" s="54"/>
      <c r="X176" s="54"/>
      <c r="Y176" s="54"/>
      <c r="Z176" s="54"/>
      <c r="AA176" s="54"/>
      <c r="AB176" s="54"/>
    </row>
    <row r="177">
      <c r="A177" s="57"/>
      <c r="B177" s="10" t="str">
        <f>IFERROR(VLOOKUP(C177,'Employees List'!$B$1:$G$999,4,0),"")</f>
        <v/>
      </c>
      <c r="C177" s="9"/>
      <c r="D177" s="9"/>
      <c r="E177" s="56"/>
      <c r="F177" s="56"/>
      <c r="G177" s="56"/>
      <c r="H177" s="50"/>
      <c r="I177" s="54"/>
      <c r="J177" s="54"/>
      <c r="K177" s="54"/>
      <c r="L177" s="54"/>
      <c r="M177" s="54"/>
      <c r="N177" s="54"/>
      <c r="O177" s="54"/>
      <c r="P177" s="54"/>
      <c r="Q177" s="54"/>
      <c r="R177" s="54"/>
      <c r="S177" s="54"/>
      <c r="T177" s="54"/>
      <c r="U177" s="54"/>
      <c r="V177" s="54"/>
      <c r="W177" s="54"/>
      <c r="X177" s="54"/>
      <c r="Y177" s="54"/>
      <c r="Z177" s="54"/>
      <c r="AA177" s="54"/>
      <c r="AB177" s="54"/>
    </row>
    <row r="178">
      <c r="A178" s="57"/>
      <c r="B178" s="10" t="str">
        <f>IFERROR(VLOOKUP(C178,'Employees List'!$B$1:$G$999,4,0),"")</f>
        <v/>
      </c>
      <c r="C178" s="9"/>
      <c r="D178" s="9"/>
      <c r="E178" s="56"/>
      <c r="F178" s="56"/>
      <c r="G178" s="56"/>
      <c r="H178" s="50"/>
      <c r="I178" s="54"/>
      <c r="J178" s="54"/>
      <c r="K178" s="54"/>
      <c r="L178" s="54"/>
      <c r="M178" s="54"/>
      <c r="N178" s="54"/>
      <c r="O178" s="54"/>
      <c r="P178" s="54"/>
      <c r="Q178" s="54"/>
      <c r="R178" s="54"/>
      <c r="S178" s="54"/>
      <c r="T178" s="54"/>
      <c r="U178" s="54"/>
      <c r="V178" s="54"/>
      <c r="W178" s="54"/>
      <c r="X178" s="54"/>
      <c r="Y178" s="54"/>
      <c r="Z178" s="54"/>
      <c r="AA178" s="54"/>
      <c r="AB178" s="54"/>
    </row>
    <row r="179">
      <c r="A179" s="57"/>
      <c r="B179" s="10" t="str">
        <f>IFERROR(VLOOKUP(C179,'Employees List'!$B$1:$G$999,4,0),"")</f>
        <v/>
      </c>
      <c r="C179" s="9"/>
      <c r="D179" s="9"/>
      <c r="E179" s="56"/>
      <c r="F179" s="56"/>
      <c r="G179" s="56"/>
      <c r="H179" s="50"/>
      <c r="I179" s="54"/>
      <c r="J179" s="54"/>
      <c r="K179" s="54"/>
      <c r="L179" s="54"/>
      <c r="M179" s="54"/>
      <c r="N179" s="54"/>
      <c r="O179" s="54"/>
      <c r="P179" s="54"/>
      <c r="Q179" s="54"/>
      <c r="R179" s="54"/>
      <c r="S179" s="54"/>
      <c r="T179" s="54"/>
      <c r="U179" s="54"/>
      <c r="V179" s="54"/>
      <c r="W179" s="54"/>
      <c r="X179" s="54"/>
      <c r="Y179" s="54"/>
      <c r="Z179" s="54"/>
      <c r="AA179" s="54"/>
      <c r="AB179" s="54"/>
    </row>
    <row r="180">
      <c r="A180" s="57"/>
      <c r="B180" s="10" t="str">
        <f>IFERROR(VLOOKUP(C180,'Employees List'!$B$1:$G$999,4,0),"")</f>
        <v/>
      </c>
      <c r="C180" s="9"/>
      <c r="D180" s="9"/>
      <c r="E180" s="56"/>
      <c r="F180" s="56"/>
      <c r="G180" s="56"/>
      <c r="H180" s="50"/>
      <c r="I180" s="54"/>
      <c r="J180" s="54"/>
      <c r="K180" s="54"/>
      <c r="L180" s="54"/>
      <c r="M180" s="54"/>
      <c r="N180" s="54"/>
      <c r="O180" s="54"/>
      <c r="P180" s="54"/>
      <c r="Q180" s="54"/>
      <c r="R180" s="54"/>
      <c r="S180" s="54"/>
      <c r="T180" s="54"/>
      <c r="U180" s="54"/>
      <c r="V180" s="54"/>
      <c r="W180" s="54"/>
      <c r="X180" s="54"/>
      <c r="Y180" s="54"/>
      <c r="Z180" s="54"/>
      <c r="AA180" s="54"/>
      <c r="AB180" s="54"/>
    </row>
    <row r="181">
      <c r="A181" s="57"/>
      <c r="B181" s="10" t="str">
        <f>IFERROR(VLOOKUP(C181,'Employees List'!$B$1:$G$999,4,0),"")</f>
        <v/>
      </c>
      <c r="C181" s="9"/>
      <c r="D181" s="9"/>
      <c r="E181" s="56"/>
      <c r="F181" s="56"/>
      <c r="G181" s="56"/>
      <c r="H181" s="50"/>
      <c r="I181" s="54"/>
      <c r="J181" s="54"/>
      <c r="K181" s="54"/>
      <c r="L181" s="54"/>
      <c r="M181" s="54"/>
      <c r="N181" s="54"/>
      <c r="O181" s="54"/>
      <c r="P181" s="54"/>
      <c r="Q181" s="54"/>
      <c r="R181" s="54"/>
      <c r="S181" s="54"/>
      <c r="T181" s="54"/>
      <c r="U181" s="54"/>
      <c r="V181" s="54"/>
      <c r="W181" s="54"/>
      <c r="X181" s="54"/>
      <c r="Y181" s="54"/>
      <c r="Z181" s="54"/>
      <c r="AA181" s="54"/>
      <c r="AB181" s="54"/>
    </row>
    <row r="182">
      <c r="A182" s="57"/>
      <c r="B182" s="10" t="str">
        <f>IFERROR(VLOOKUP(C182,'Employees List'!$B$1:$G$999,4,0),"")</f>
        <v/>
      </c>
      <c r="C182" s="9"/>
      <c r="D182" s="9"/>
      <c r="E182" s="56"/>
      <c r="F182" s="56"/>
      <c r="G182" s="56"/>
      <c r="H182" s="50"/>
      <c r="I182" s="54"/>
      <c r="J182" s="54"/>
      <c r="K182" s="54"/>
      <c r="L182" s="54"/>
      <c r="M182" s="54"/>
      <c r="N182" s="54"/>
      <c r="O182" s="54"/>
      <c r="P182" s="54"/>
      <c r="Q182" s="54"/>
      <c r="R182" s="54"/>
      <c r="S182" s="54"/>
      <c r="T182" s="54"/>
      <c r="U182" s="54"/>
      <c r="V182" s="54"/>
      <c r="W182" s="54"/>
      <c r="X182" s="54"/>
      <c r="Y182" s="54"/>
      <c r="Z182" s="54"/>
      <c r="AA182" s="54"/>
      <c r="AB182" s="54"/>
    </row>
    <row r="183">
      <c r="A183" s="57"/>
      <c r="B183" s="10" t="str">
        <f>IFERROR(VLOOKUP(C183,'Employees List'!$B$1:$G$999,4,0),"")</f>
        <v/>
      </c>
      <c r="C183" s="9"/>
      <c r="D183" s="9"/>
      <c r="E183" s="56"/>
      <c r="F183" s="56"/>
      <c r="G183" s="56"/>
      <c r="H183" s="50"/>
      <c r="I183" s="54"/>
      <c r="J183" s="54"/>
      <c r="K183" s="54"/>
      <c r="L183" s="54"/>
      <c r="M183" s="54"/>
      <c r="N183" s="54"/>
      <c r="O183" s="54"/>
      <c r="P183" s="54"/>
      <c r="Q183" s="54"/>
      <c r="R183" s="54"/>
      <c r="S183" s="54"/>
      <c r="T183" s="54"/>
      <c r="U183" s="54"/>
      <c r="V183" s="54"/>
      <c r="W183" s="54"/>
      <c r="X183" s="54"/>
      <c r="Y183" s="54"/>
      <c r="Z183" s="54"/>
      <c r="AA183" s="54"/>
      <c r="AB183" s="54"/>
    </row>
    <row r="184">
      <c r="A184" s="57"/>
      <c r="B184" s="10" t="str">
        <f>IFERROR(VLOOKUP(C184,'Employees List'!$B$1:$G$999,4,0),"")</f>
        <v/>
      </c>
      <c r="C184" s="9"/>
      <c r="D184" s="9"/>
      <c r="E184" s="56"/>
      <c r="F184" s="56"/>
      <c r="G184" s="56"/>
      <c r="H184" s="50"/>
      <c r="I184" s="54"/>
      <c r="J184" s="54"/>
      <c r="K184" s="54"/>
      <c r="L184" s="54"/>
      <c r="M184" s="54"/>
      <c r="N184" s="54"/>
      <c r="O184" s="54"/>
      <c r="P184" s="54"/>
      <c r="Q184" s="54"/>
      <c r="R184" s="54"/>
      <c r="S184" s="54"/>
      <c r="T184" s="54"/>
      <c r="U184" s="54"/>
      <c r="V184" s="54"/>
      <c r="W184" s="54"/>
      <c r="X184" s="54"/>
      <c r="Y184" s="54"/>
      <c r="Z184" s="54"/>
      <c r="AA184" s="54"/>
      <c r="AB184" s="54"/>
    </row>
    <row r="185">
      <c r="A185" s="57"/>
      <c r="B185" s="10" t="str">
        <f>IFERROR(VLOOKUP(C185,'Employees List'!$B$1:$G$999,4,0),"")</f>
        <v/>
      </c>
      <c r="C185" s="9"/>
      <c r="D185" s="9"/>
      <c r="E185" s="56"/>
      <c r="F185" s="56"/>
      <c r="G185" s="56"/>
      <c r="H185" s="50"/>
      <c r="I185" s="54"/>
      <c r="J185" s="54"/>
      <c r="K185" s="54"/>
      <c r="L185" s="54"/>
      <c r="M185" s="54"/>
      <c r="N185" s="54"/>
      <c r="O185" s="54"/>
      <c r="P185" s="54"/>
      <c r="Q185" s="54"/>
      <c r="R185" s="54"/>
      <c r="S185" s="54"/>
      <c r="T185" s="54"/>
      <c r="U185" s="54"/>
      <c r="V185" s="54"/>
      <c r="W185" s="54"/>
      <c r="X185" s="54"/>
      <c r="Y185" s="54"/>
      <c r="Z185" s="54"/>
      <c r="AA185" s="54"/>
      <c r="AB185" s="54"/>
    </row>
    <row r="186">
      <c r="A186" s="57"/>
      <c r="B186" s="10" t="str">
        <f>IFERROR(VLOOKUP(C186,'Employees List'!$B$1:$G$999,4,0),"")</f>
        <v/>
      </c>
      <c r="C186" s="9"/>
      <c r="D186" s="9"/>
      <c r="E186" s="56"/>
      <c r="F186" s="56"/>
      <c r="G186" s="56"/>
      <c r="H186" s="50"/>
      <c r="I186" s="54"/>
      <c r="J186" s="54"/>
      <c r="K186" s="54"/>
      <c r="L186" s="54"/>
      <c r="M186" s="54"/>
      <c r="N186" s="54"/>
      <c r="O186" s="54"/>
      <c r="P186" s="54"/>
      <c r="Q186" s="54"/>
      <c r="R186" s="54"/>
      <c r="S186" s="54"/>
      <c r="T186" s="54"/>
      <c r="U186" s="54"/>
      <c r="V186" s="54"/>
      <c r="W186" s="54"/>
      <c r="X186" s="54"/>
      <c r="Y186" s="54"/>
      <c r="Z186" s="54"/>
      <c r="AA186" s="54"/>
      <c r="AB186" s="54"/>
    </row>
    <row r="187">
      <c r="A187" s="57"/>
      <c r="B187" s="10" t="str">
        <f>IFERROR(VLOOKUP(C187,'Employees List'!$B$1:$G$999,4,0),"")</f>
        <v/>
      </c>
      <c r="C187" s="9"/>
      <c r="D187" s="9"/>
      <c r="E187" s="56"/>
      <c r="F187" s="56"/>
      <c r="G187" s="56"/>
      <c r="H187" s="50"/>
      <c r="I187" s="54"/>
      <c r="J187" s="54"/>
      <c r="K187" s="54"/>
      <c r="L187" s="54"/>
      <c r="M187" s="54"/>
      <c r="N187" s="54"/>
      <c r="O187" s="54"/>
      <c r="P187" s="54"/>
      <c r="Q187" s="54"/>
      <c r="R187" s="54"/>
      <c r="S187" s="54"/>
      <c r="T187" s="54"/>
      <c r="U187" s="54"/>
      <c r="V187" s="54"/>
      <c r="W187" s="54"/>
      <c r="X187" s="54"/>
      <c r="Y187" s="54"/>
      <c r="Z187" s="54"/>
      <c r="AA187" s="54"/>
      <c r="AB187" s="54"/>
    </row>
    <row r="188">
      <c r="A188" s="57"/>
      <c r="B188" s="10" t="str">
        <f>IFERROR(VLOOKUP(C188,'Employees List'!$B$1:$G$999,4,0),"")</f>
        <v/>
      </c>
      <c r="C188" s="9"/>
      <c r="D188" s="9"/>
      <c r="E188" s="56"/>
      <c r="F188" s="56"/>
      <c r="G188" s="56"/>
      <c r="H188" s="50"/>
      <c r="I188" s="54"/>
      <c r="J188" s="54"/>
      <c r="K188" s="54"/>
      <c r="L188" s="54"/>
      <c r="M188" s="54"/>
      <c r="N188" s="54"/>
      <c r="O188" s="54"/>
      <c r="P188" s="54"/>
      <c r="Q188" s="54"/>
      <c r="R188" s="54"/>
      <c r="S188" s="54"/>
      <c r="T188" s="54"/>
      <c r="U188" s="54"/>
      <c r="V188" s="54"/>
      <c r="W188" s="54"/>
      <c r="X188" s="54"/>
      <c r="Y188" s="54"/>
      <c r="Z188" s="54"/>
      <c r="AA188" s="54"/>
      <c r="AB188" s="54"/>
    </row>
    <row r="189">
      <c r="A189" s="57"/>
      <c r="B189" s="10" t="str">
        <f>IFERROR(VLOOKUP(C189,'Employees List'!$B$1:$G$999,4,0),"")</f>
        <v/>
      </c>
      <c r="C189" s="9"/>
      <c r="D189" s="9"/>
      <c r="E189" s="56"/>
      <c r="F189" s="56"/>
      <c r="G189" s="56"/>
      <c r="H189" s="50"/>
      <c r="I189" s="54"/>
      <c r="J189" s="54"/>
      <c r="K189" s="54"/>
      <c r="L189" s="54"/>
      <c r="M189" s="54"/>
      <c r="N189" s="54"/>
      <c r="O189" s="54"/>
      <c r="P189" s="54"/>
      <c r="Q189" s="54"/>
      <c r="R189" s="54"/>
      <c r="S189" s="54"/>
      <c r="T189" s="54"/>
      <c r="U189" s="54"/>
      <c r="V189" s="54"/>
      <c r="W189" s="54"/>
      <c r="X189" s="54"/>
      <c r="Y189" s="54"/>
      <c r="Z189" s="54"/>
      <c r="AA189" s="54"/>
      <c r="AB189" s="54"/>
    </row>
    <row r="190">
      <c r="A190" s="57"/>
      <c r="B190" s="10" t="str">
        <f>IFERROR(VLOOKUP(C190,'Employees List'!$B$1:$G$999,4,0),"")</f>
        <v/>
      </c>
      <c r="C190" s="9"/>
      <c r="D190" s="9"/>
      <c r="E190" s="56"/>
      <c r="F190" s="56"/>
      <c r="G190" s="56"/>
      <c r="H190" s="50"/>
      <c r="I190" s="54"/>
      <c r="J190" s="54"/>
      <c r="K190" s="54"/>
      <c r="L190" s="54"/>
      <c r="M190" s="54"/>
      <c r="N190" s="54"/>
      <c r="O190" s="54"/>
      <c r="P190" s="54"/>
      <c r="Q190" s="54"/>
      <c r="R190" s="54"/>
      <c r="S190" s="54"/>
      <c r="T190" s="54"/>
      <c r="U190" s="54"/>
      <c r="V190" s="54"/>
      <c r="W190" s="54"/>
      <c r="X190" s="54"/>
      <c r="Y190" s="54"/>
      <c r="Z190" s="54"/>
      <c r="AA190" s="54"/>
      <c r="AB190" s="54"/>
    </row>
    <row r="191">
      <c r="A191" s="57"/>
      <c r="B191" s="10" t="str">
        <f>IFERROR(VLOOKUP(C191,'Employees List'!$B$1:$G$999,4,0),"")</f>
        <v/>
      </c>
      <c r="C191" s="9"/>
      <c r="D191" s="9"/>
      <c r="E191" s="56"/>
      <c r="F191" s="56"/>
      <c r="G191" s="56"/>
      <c r="H191" s="50"/>
      <c r="I191" s="54"/>
      <c r="J191" s="54"/>
      <c r="K191" s="54"/>
      <c r="L191" s="54"/>
      <c r="M191" s="54"/>
      <c r="N191" s="54"/>
      <c r="O191" s="54"/>
      <c r="P191" s="54"/>
      <c r="Q191" s="54"/>
      <c r="R191" s="54"/>
      <c r="S191" s="54"/>
      <c r="T191" s="54"/>
      <c r="U191" s="54"/>
      <c r="V191" s="54"/>
      <c r="W191" s="54"/>
      <c r="X191" s="54"/>
      <c r="Y191" s="54"/>
      <c r="Z191" s="54"/>
      <c r="AA191" s="54"/>
      <c r="AB191" s="54"/>
    </row>
    <row r="192">
      <c r="A192" s="57"/>
      <c r="B192" s="10" t="str">
        <f>IFERROR(VLOOKUP(C192,'Employees List'!$B$1:$G$999,4,0),"")</f>
        <v/>
      </c>
      <c r="C192" s="9"/>
      <c r="D192" s="9"/>
      <c r="E192" s="56"/>
      <c r="F192" s="56"/>
      <c r="G192" s="56"/>
      <c r="H192" s="50"/>
      <c r="I192" s="54"/>
      <c r="J192" s="54"/>
      <c r="K192" s="54"/>
      <c r="L192" s="54"/>
      <c r="M192" s="54"/>
      <c r="N192" s="54"/>
      <c r="O192" s="54"/>
      <c r="P192" s="54"/>
      <c r="Q192" s="54"/>
      <c r="R192" s="54"/>
      <c r="S192" s="54"/>
      <c r="T192" s="54"/>
      <c r="U192" s="54"/>
      <c r="V192" s="54"/>
      <c r="W192" s="54"/>
      <c r="X192" s="54"/>
      <c r="Y192" s="54"/>
      <c r="Z192" s="54"/>
      <c r="AA192" s="54"/>
      <c r="AB192" s="54"/>
    </row>
    <row r="193">
      <c r="A193" s="57"/>
      <c r="B193" s="10" t="str">
        <f>IFERROR(VLOOKUP(C193,'Employees List'!$B$1:$G$999,4,0),"")</f>
        <v/>
      </c>
      <c r="C193" s="9"/>
      <c r="D193" s="9"/>
      <c r="E193" s="56"/>
      <c r="F193" s="56"/>
      <c r="G193" s="56"/>
      <c r="H193" s="50"/>
      <c r="I193" s="54"/>
      <c r="J193" s="54"/>
      <c r="K193" s="54"/>
      <c r="L193" s="54"/>
      <c r="M193" s="54"/>
      <c r="N193" s="54"/>
      <c r="O193" s="54"/>
      <c r="P193" s="54"/>
      <c r="Q193" s="54"/>
      <c r="R193" s="54"/>
      <c r="S193" s="54"/>
      <c r="T193" s="54"/>
      <c r="U193" s="54"/>
      <c r="V193" s="54"/>
      <c r="W193" s="54"/>
      <c r="X193" s="54"/>
      <c r="Y193" s="54"/>
      <c r="Z193" s="54"/>
      <c r="AA193" s="54"/>
      <c r="AB193" s="54"/>
    </row>
    <row r="194">
      <c r="A194" s="57"/>
      <c r="B194" s="10" t="str">
        <f>IFERROR(VLOOKUP(C194,'Employees List'!$B$1:$G$999,4,0),"")</f>
        <v/>
      </c>
      <c r="C194" s="9"/>
      <c r="D194" s="9"/>
      <c r="E194" s="56"/>
      <c r="F194" s="56"/>
      <c r="G194" s="56"/>
      <c r="H194" s="50"/>
      <c r="I194" s="54"/>
      <c r="J194" s="54"/>
      <c r="K194" s="54"/>
      <c r="L194" s="54"/>
      <c r="M194" s="54"/>
      <c r="N194" s="54"/>
      <c r="O194" s="54"/>
      <c r="P194" s="54"/>
      <c r="Q194" s="54"/>
      <c r="R194" s="54"/>
      <c r="S194" s="54"/>
      <c r="T194" s="54"/>
      <c r="U194" s="54"/>
      <c r="V194" s="54"/>
      <c r="W194" s="54"/>
      <c r="X194" s="54"/>
      <c r="Y194" s="54"/>
      <c r="Z194" s="54"/>
      <c r="AA194" s="54"/>
      <c r="AB194" s="54"/>
    </row>
    <row r="195">
      <c r="A195" s="57"/>
      <c r="B195" s="10" t="str">
        <f>IFERROR(VLOOKUP(C195,'Employees List'!$B$1:$G$999,4,0),"")</f>
        <v/>
      </c>
      <c r="C195" s="9"/>
      <c r="D195" s="9"/>
      <c r="E195" s="56"/>
      <c r="F195" s="56"/>
      <c r="G195" s="56"/>
      <c r="H195" s="50"/>
      <c r="I195" s="54"/>
      <c r="J195" s="54"/>
      <c r="K195" s="54"/>
      <c r="L195" s="54"/>
      <c r="M195" s="54"/>
      <c r="N195" s="54"/>
      <c r="O195" s="54"/>
      <c r="P195" s="54"/>
      <c r="Q195" s="54"/>
      <c r="R195" s="54"/>
      <c r="S195" s="54"/>
      <c r="T195" s="54"/>
      <c r="U195" s="54"/>
      <c r="V195" s="54"/>
      <c r="W195" s="54"/>
      <c r="X195" s="54"/>
      <c r="Y195" s="54"/>
      <c r="Z195" s="54"/>
      <c r="AA195" s="54"/>
      <c r="AB195" s="54"/>
    </row>
    <row r="196">
      <c r="A196" s="57"/>
      <c r="B196" s="10" t="str">
        <f>IFERROR(VLOOKUP(C196,'Employees List'!$B$1:$G$999,4,0),"")</f>
        <v/>
      </c>
      <c r="C196" s="9"/>
      <c r="D196" s="9"/>
      <c r="E196" s="56"/>
      <c r="F196" s="56"/>
      <c r="G196" s="56"/>
      <c r="H196" s="50"/>
      <c r="I196" s="54"/>
      <c r="J196" s="54"/>
      <c r="K196" s="54"/>
      <c r="L196" s="54"/>
      <c r="M196" s="54"/>
      <c r="N196" s="54"/>
      <c r="O196" s="54"/>
      <c r="P196" s="54"/>
      <c r="Q196" s="54"/>
      <c r="R196" s="54"/>
      <c r="S196" s="54"/>
      <c r="T196" s="54"/>
      <c r="U196" s="54"/>
      <c r="V196" s="54"/>
      <c r="W196" s="54"/>
      <c r="X196" s="54"/>
      <c r="Y196" s="54"/>
      <c r="Z196" s="54"/>
      <c r="AA196" s="54"/>
      <c r="AB196" s="54"/>
    </row>
    <row r="197">
      <c r="A197" s="57"/>
      <c r="B197" s="10" t="str">
        <f>IFERROR(VLOOKUP(C197,'Employees List'!$B$1:$G$999,4,0),"")</f>
        <v/>
      </c>
      <c r="C197" s="9"/>
      <c r="D197" s="9"/>
      <c r="E197" s="56"/>
      <c r="F197" s="56"/>
      <c r="G197" s="56"/>
      <c r="H197" s="50"/>
      <c r="I197" s="54"/>
      <c r="J197" s="54"/>
      <c r="K197" s="54"/>
      <c r="L197" s="54"/>
      <c r="M197" s="54"/>
      <c r="N197" s="54"/>
      <c r="O197" s="54"/>
      <c r="P197" s="54"/>
      <c r="Q197" s="54"/>
      <c r="R197" s="54"/>
      <c r="S197" s="54"/>
      <c r="T197" s="54"/>
      <c r="U197" s="54"/>
      <c r="V197" s="54"/>
      <c r="W197" s="54"/>
      <c r="X197" s="54"/>
      <c r="Y197" s="54"/>
      <c r="Z197" s="54"/>
      <c r="AA197" s="54"/>
      <c r="AB197" s="54"/>
    </row>
    <row r="198">
      <c r="A198" s="57"/>
      <c r="B198" s="10" t="str">
        <f>IFERROR(VLOOKUP(C198,'Employees List'!$B$1:$G$999,4,0),"")</f>
        <v/>
      </c>
      <c r="C198" s="9"/>
      <c r="D198" s="9"/>
      <c r="E198" s="56"/>
      <c r="F198" s="56"/>
      <c r="G198" s="56"/>
      <c r="H198" s="50"/>
      <c r="I198" s="54"/>
      <c r="J198" s="54"/>
      <c r="K198" s="54"/>
      <c r="L198" s="54"/>
      <c r="M198" s="54"/>
      <c r="N198" s="54"/>
      <c r="O198" s="54"/>
      <c r="P198" s="54"/>
      <c r="Q198" s="54"/>
      <c r="R198" s="54"/>
      <c r="S198" s="54"/>
      <c r="T198" s="54"/>
      <c r="U198" s="54"/>
      <c r="V198" s="54"/>
      <c r="W198" s="54"/>
      <c r="X198" s="54"/>
      <c r="Y198" s="54"/>
      <c r="Z198" s="54"/>
      <c r="AA198" s="54"/>
      <c r="AB198" s="54"/>
    </row>
    <row r="199">
      <c r="A199" s="57"/>
      <c r="B199" s="10" t="str">
        <f>IFERROR(VLOOKUP(C199,'Employees List'!$B$1:$G$999,4,0),"")</f>
        <v/>
      </c>
      <c r="C199" s="9"/>
      <c r="D199" s="9"/>
      <c r="E199" s="56"/>
      <c r="F199" s="56"/>
      <c r="G199" s="56"/>
      <c r="H199" s="50"/>
      <c r="I199" s="54"/>
      <c r="J199" s="54"/>
      <c r="K199" s="54"/>
      <c r="L199" s="54"/>
      <c r="M199" s="54"/>
      <c r="N199" s="54"/>
      <c r="O199" s="54"/>
      <c r="P199" s="54"/>
      <c r="Q199" s="54"/>
      <c r="R199" s="54"/>
      <c r="S199" s="54"/>
      <c r="T199" s="54"/>
      <c r="U199" s="54"/>
      <c r="V199" s="54"/>
      <c r="W199" s="54"/>
      <c r="X199" s="54"/>
      <c r="Y199" s="54"/>
      <c r="Z199" s="54"/>
      <c r="AA199" s="54"/>
      <c r="AB199" s="54"/>
    </row>
    <row r="200">
      <c r="A200" s="57"/>
      <c r="B200" s="10" t="str">
        <f>IFERROR(VLOOKUP(C200,'Employees List'!$B$1:$G$999,4,0),"")</f>
        <v/>
      </c>
      <c r="C200" s="9"/>
      <c r="D200" s="9"/>
      <c r="E200" s="56"/>
      <c r="F200" s="56"/>
      <c r="G200" s="56"/>
      <c r="H200" s="50"/>
      <c r="I200" s="54"/>
      <c r="J200" s="54"/>
      <c r="K200" s="54"/>
      <c r="L200" s="54"/>
      <c r="M200" s="54"/>
      <c r="N200" s="54"/>
      <c r="O200" s="54"/>
      <c r="P200" s="54"/>
      <c r="Q200" s="54"/>
      <c r="R200" s="54"/>
      <c r="S200" s="54"/>
      <c r="T200" s="54"/>
      <c r="U200" s="54"/>
      <c r="V200" s="54"/>
      <c r="W200" s="54"/>
      <c r="X200" s="54"/>
      <c r="Y200" s="54"/>
      <c r="Z200" s="54"/>
      <c r="AA200" s="54"/>
      <c r="AB200" s="54"/>
    </row>
    <row r="201">
      <c r="A201" s="57"/>
      <c r="B201" s="10" t="str">
        <f>IFERROR(VLOOKUP(C201,'Employees List'!$B$1:$G$999,4,0),"")</f>
        <v/>
      </c>
      <c r="C201" s="9"/>
      <c r="D201" s="9"/>
      <c r="E201" s="56"/>
      <c r="F201" s="56"/>
      <c r="G201" s="56"/>
      <c r="H201" s="50"/>
      <c r="I201" s="54"/>
      <c r="J201" s="54"/>
      <c r="K201" s="54"/>
      <c r="L201" s="54"/>
      <c r="M201" s="54"/>
      <c r="N201" s="54"/>
      <c r="O201" s="54"/>
      <c r="P201" s="54"/>
      <c r="Q201" s="54"/>
      <c r="R201" s="54"/>
      <c r="S201" s="54"/>
      <c r="T201" s="54"/>
      <c r="U201" s="54"/>
      <c r="V201" s="54"/>
      <c r="W201" s="54"/>
      <c r="X201" s="54"/>
      <c r="Y201" s="54"/>
      <c r="Z201" s="54"/>
      <c r="AA201" s="54"/>
      <c r="AB201" s="54"/>
    </row>
    <row r="202">
      <c r="A202" s="57"/>
      <c r="B202" s="10" t="str">
        <f>IFERROR(VLOOKUP(C202,'Employees List'!$B$1:$G$999,4,0),"")</f>
        <v/>
      </c>
      <c r="C202" s="9"/>
      <c r="D202" s="9"/>
      <c r="E202" s="56"/>
      <c r="F202" s="56"/>
      <c r="G202" s="56"/>
      <c r="H202" s="50"/>
      <c r="I202" s="54"/>
      <c r="J202" s="54"/>
      <c r="K202" s="54"/>
      <c r="L202" s="54"/>
      <c r="M202" s="54"/>
      <c r="N202" s="54"/>
      <c r="O202" s="54"/>
      <c r="P202" s="54"/>
      <c r="Q202" s="54"/>
      <c r="R202" s="54"/>
      <c r="S202" s="54"/>
      <c r="T202" s="54"/>
      <c r="U202" s="54"/>
      <c r="V202" s="54"/>
      <c r="W202" s="54"/>
      <c r="X202" s="54"/>
      <c r="Y202" s="54"/>
      <c r="Z202" s="54"/>
      <c r="AA202" s="54"/>
      <c r="AB202" s="54"/>
    </row>
    <row r="203">
      <c r="A203" s="57"/>
      <c r="B203" s="10" t="str">
        <f>IFERROR(VLOOKUP(C203,'Employees List'!$B$1:$G$999,4,0),"")</f>
        <v/>
      </c>
      <c r="C203" s="9"/>
      <c r="D203" s="9"/>
      <c r="E203" s="56"/>
      <c r="F203" s="56"/>
      <c r="G203" s="56"/>
      <c r="H203" s="50"/>
      <c r="I203" s="54"/>
      <c r="J203" s="54"/>
      <c r="K203" s="54"/>
      <c r="L203" s="54"/>
      <c r="M203" s="54"/>
      <c r="N203" s="54"/>
      <c r="O203" s="54"/>
      <c r="P203" s="54"/>
      <c r="Q203" s="54"/>
      <c r="R203" s="54"/>
      <c r="S203" s="54"/>
      <c r="T203" s="54"/>
      <c r="U203" s="54"/>
      <c r="V203" s="54"/>
      <c r="W203" s="54"/>
      <c r="X203" s="54"/>
      <c r="Y203" s="54"/>
      <c r="Z203" s="54"/>
      <c r="AA203" s="54"/>
      <c r="AB203" s="54"/>
    </row>
    <row r="204">
      <c r="A204" s="57"/>
      <c r="B204" s="10" t="str">
        <f>IFERROR(VLOOKUP(C204,'Employees List'!$B$1:$G$999,4,0),"")</f>
        <v/>
      </c>
      <c r="C204" s="9"/>
      <c r="D204" s="9"/>
      <c r="E204" s="56"/>
      <c r="F204" s="56"/>
      <c r="G204" s="56"/>
      <c r="H204" s="50"/>
      <c r="I204" s="54"/>
      <c r="J204" s="54"/>
      <c r="K204" s="54"/>
      <c r="L204" s="54"/>
      <c r="M204" s="54"/>
      <c r="N204" s="54"/>
      <c r="O204" s="54"/>
      <c r="P204" s="54"/>
      <c r="Q204" s="54"/>
      <c r="R204" s="54"/>
      <c r="S204" s="54"/>
      <c r="T204" s="54"/>
      <c r="U204" s="54"/>
      <c r="V204" s="54"/>
      <c r="W204" s="54"/>
      <c r="X204" s="54"/>
      <c r="Y204" s="54"/>
      <c r="Z204" s="54"/>
      <c r="AA204" s="54"/>
      <c r="AB204" s="54"/>
    </row>
    <row r="205">
      <c r="A205" s="57"/>
      <c r="B205" s="10" t="str">
        <f>IFERROR(VLOOKUP(C205,'Employees List'!$B$1:$G$999,4,0),"")</f>
        <v/>
      </c>
      <c r="C205" s="9"/>
      <c r="D205" s="9"/>
      <c r="E205" s="56"/>
      <c r="F205" s="56"/>
      <c r="G205" s="56"/>
      <c r="H205" s="50"/>
      <c r="I205" s="54"/>
      <c r="J205" s="54"/>
      <c r="K205" s="54"/>
      <c r="L205" s="54"/>
      <c r="M205" s="54"/>
      <c r="N205" s="54"/>
      <c r="O205" s="54"/>
      <c r="P205" s="54"/>
      <c r="Q205" s="54"/>
      <c r="R205" s="54"/>
      <c r="S205" s="54"/>
      <c r="T205" s="54"/>
      <c r="U205" s="54"/>
      <c r="V205" s="54"/>
      <c r="W205" s="54"/>
      <c r="X205" s="54"/>
      <c r="Y205" s="54"/>
      <c r="Z205" s="54"/>
      <c r="AA205" s="54"/>
      <c r="AB205" s="54"/>
    </row>
    <row r="206">
      <c r="A206" s="57"/>
      <c r="B206" s="10" t="str">
        <f>IFERROR(VLOOKUP(C206,'Employees List'!$B$1:$G$999,4,0),"")</f>
        <v/>
      </c>
      <c r="C206" s="9"/>
      <c r="D206" s="9"/>
      <c r="E206" s="56"/>
      <c r="F206" s="56"/>
      <c r="G206" s="56"/>
      <c r="H206" s="50"/>
      <c r="I206" s="54"/>
      <c r="J206" s="54"/>
      <c r="K206" s="54"/>
      <c r="L206" s="54"/>
      <c r="M206" s="54"/>
      <c r="N206" s="54"/>
      <c r="O206" s="54"/>
      <c r="P206" s="54"/>
      <c r="Q206" s="54"/>
      <c r="R206" s="54"/>
      <c r="S206" s="54"/>
      <c r="T206" s="54"/>
      <c r="U206" s="54"/>
      <c r="V206" s="54"/>
      <c r="W206" s="54"/>
      <c r="X206" s="54"/>
      <c r="Y206" s="54"/>
      <c r="Z206" s="54"/>
      <c r="AA206" s="54"/>
      <c r="AB206" s="54"/>
    </row>
    <row r="207">
      <c r="A207" s="57"/>
      <c r="B207" s="10" t="str">
        <f>IFERROR(VLOOKUP(C207,'Employees List'!$B$1:$G$999,4,0),"")</f>
        <v/>
      </c>
      <c r="C207" s="9"/>
      <c r="D207" s="9"/>
      <c r="E207" s="56"/>
      <c r="F207" s="56"/>
      <c r="G207" s="56"/>
      <c r="H207" s="50"/>
      <c r="I207" s="54"/>
      <c r="J207" s="54"/>
      <c r="K207" s="54"/>
      <c r="L207" s="54"/>
      <c r="M207" s="54"/>
      <c r="N207" s="54"/>
      <c r="O207" s="54"/>
      <c r="P207" s="54"/>
      <c r="Q207" s="54"/>
      <c r="R207" s="54"/>
      <c r="S207" s="54"/>
      <c r="T207" s="54"/>
      <c r="U207" s="54"/>
      <c r="V207" s="54"/>
      <c r="W207" s="54"/>
      <c r="X207" s="54"/>
      <c r="Y207" s="54"/>
      <c r="Z207" s="54"/>
      <c r="AA207" s="54"/>
      <c r="AB207" s="54"/>
    </row>
    <row r="208">
      <c r="A208" s="57"/>
      <c r="B208" s="10" t="str">
        <f>IFERROR(VLOOKUP(C208,'Employees List'!$B$1:$G$999,4,0),"")</f>
        <v/>
      </c>
      <c r="C208" s="9"/>
      <c r="D208" s="9"/>
      <c r="E208" s="56"/>
      <c r="F208" s="56"/>
      <c r="G208" s="56"/>
      <c r="H208" s="50"/>
      <c r="I208" s="54"/>
      <c r="J208" s="54"/>
      <c r="K208" s="54"/>
      <c r="L208" s="54"/>
      <c r="M208" s="54"/>
      <c r="N208" s="54"/>
      <c r="O208" s="54"/>
      <c r="P208" s="54"/>
      <c r="Q208" s="54"/>
      <c r="R208" s="54"/>
      <c r="S208" s="54"/>
      <c r="T208" s="54"/>
      <c r="U208" s="54"/>
      <c r="V208" s="54"/>
      <c r="W208" s="54"/>
      <c r="X208" s="54"/>
      <c r="Y208" s="54"/>
      <c r="Z208" s="54"/>
      <c r="AA208" s="54"/>
      <c r="AB208" s="54"/>
    </row>
    <row r="209">
      <c r="A209" s="57"/>
      <c r="B209" s="10" t="str">
        <f>IFERROR(VLOOKUP(C209,'Employees List'!$B$1:$G$999,4,0),"")</f>
        <v/>
      </c>
      <c r="C209" s="9"/>
      <c r="D209" s="9"/>
      <c r="E209" s="56"/>
      <c r="F209" s="56"/>
      <c r="G209" s="56"/>
      <c r="H209" s="50"/>
      <c r="I209" s="54"/>
      <c r="J209" s="54"/>
      <c r="K209" s="54"/>
      <c r="L209" s="54"/>
      <c r="M209" s="54"/>
      <c r="N209" s="54"/>
      <c r="O209" s="54"/>
      <c r="P209" s="54"/>
      <c r="Q209" s="54"/>
      <c r="R209" s="54"/>
      <c r="S209" s="54"/>
      <c r="T209" s="54"/>
      <c r="U209" s="54"/>
      <c r="V209" s="54"/>
      <c r="W209" s="54"/>
      <c r="X209" s="54"/>
      <c r="Y209" s="54"/>
      <c r="Z209" s="54"/>
      <c r="AA209" s="54"/>
      <c r="AB209" s="54"/>
    </row>
    <row r="210">
      <c r="A210" s="57"/>
      <c r="B210" s="10" t="str">
        <f>IFERROR(VLOOKUP(C210,'Employees List'!$B$1:$G$999,4,0),"")</f>
        <v/>
      </c>
      <c r="C210" s="9"/>
      <c r="D210" s="9"/>
      <c r="E210" s="56"/>
      <c r="F210" s="56"/>
      <c r="G210" s="56"/>
      <c r="H210" s="50"/>
      <c r="I210" s="54"/>
      <c r="J210" s="54"/>
      <c r="K210" s="54"/>
      <c r="L210" s="54"/>
      <c r="M210" s="54"/>
      <c r="N210" s="54"/>
      <c r="O210" s="54"/>
      <c r="P210" s="54"/>
      <c r="Q210" s="54"/>
      <c r="R210" s="54"/>
      <c r="S210" s="54"/>
      <c r="T210" s="54"/>
      <c r="U210" s="54"/>
      <c r="V210" s="54"/>
      <c r="W210" s="54"/>
      <c r="X210" s="54"/>
      <c r="Y210" s="54"/>
      <c r="Z210" s="54"/>
      <c r="AA210" s="54"/>
      <c r="AB210" s="54"/>
    </row>
    <row r="211">
      <c r="A211" s="57"/>
      <c r="B211" s="10" t="str">
        <f>IFERROR(VLOOKUP(C211,'Employees List'!$B$1:$G$999,4,0),"")</f>
        <v/>
      </c>
      <c r="C211" s="9"/>
      <c r="D211" s="9"/>
      <c r="E211" s="56"/>
      <c r="F211" s="56"/>
      <c r="G211" s="56"/>
      <c r="H211" s="50"/>
      <c r="I211" s="54"/>
      <c r="J211" s="54"/>
      <c r="K211" s="54"/>
      <c r="L211" s="54"/>
      <c r="M211" s="54"/>
      <c r="N211" s="54"/>
      <c r="O211" s="54"/>
      <c r="P211" s="54"/>
      <c r="Q211" s="54"/>
      <c r="R211" s="54"/>
      <c r="S211" s="54"/>
      <c r="T211" s="54"/>
      <c r="U211" s="54"/>
      <c r="V211" s="54"/>
      <c r="W211" s="54"/>
      <c r="X211" s="54"/>
      <c r="Y211" s="54"/>
      <c r="Z211" s="54"/>
      <c r="AA211" s="54"/>
      <c r="AB211" s="54"/>
    </row>
    <row r="212">
      <c r="A212" s="57"/>
      <c r="B212" s="10" t="str">
        <f>IFERROR(VLOOKUP(C212,'Employees List'!$B$1:$G$999,4,0),"")</f>
        <v/>
      </c>
      <c r="C212" s="9"/>
      <c r="D212" s="9"/>
      <c r="E212" s="56"/>
      <c r="F212" s="56"/>
      <c r="G212" s="56"/>
      <c r="H212" s="50"/>
      <c r="I212" s="54"/>
      <c r="J212" s="54"/>
      <c r="K212" s="54"/>
      <c r="L212" s="54"/>
      <c r="M212" s="54"/>
      <c r="N212" s="54"/>
      <c r="O212" s="54"/>
      <c r="P212" s="54"/>
      <c r="Q212" s="54"/>
      <c r="R212" s="54"/>
      <c r="S212" s="54"/>
      <c r="T212" s="54"/>
      <c r="U212" s="54"/>
      <c r="V212" s="54"/>
      <c r="W212" s="54"/>
      <c r="X212" s="54"/>
      <c r="Y212" s="54"/>
      <c r="Z212" s="54"/>
      <c r="AA212" s="54"/>
      <c r="AB212" s="54"/>
    </row>
    <row r="213">
      <c r="A213" s="57"/>
      <c r="B213" s="10" t="str">
        <f>IFERROR(VLOOKUP(C213,'Employees List'!$B$1:$G$999,4,0),"")</f>
        <v/>
      </c>
      <c r="C213" s="9"/>
      <c r="D213" s="9"/>
      <c r="E213" s="56"/>
      <c r="F213" s="56"/>
      <c r="G213" s="56"/>
      <c r="H213" s="50"/>
      <c r="I213" s="54"/>
      <c r="J213" s="54"/>
      <c r="K213" s="54"/>
      <c r="L213" s="54"/>
      <c r="M213" s="54"/>
      <c r="N213" s="54"/>
      <c r="O213" s="54"/>
      <c r="P213" s="54"/>
      <c r="Q213" s="54"/>
      <c r="R213" s="54"/>
      <c r="S213" s="54"/>
      <c r="T213" s="54"/>
      <c r="U213" s="54"/>
      <c r="V213" s="54"/>
      <c r="W213" s="54"/>
      <c r="X213" s="54"/>
      <c r="Y213" s="54"/>
      <c r="Z213" s="54"/>
      <c r="AA213" s="54"/>
      <c r="AB213" s="54"/>
    </row>
    <row r="214">
      <c r="A214" s="57"/>
      <c r="B214" s="10" t="str">
        <f>IFERROR(VLOOKUP(C214,'Employees List'!$B$1:$G$999,4,0),"")</f>
        <v/>
      </c>
      <c r="C214" s="9"/>
      <c r="D214" s="9"/>
      <c r="E214" s="56"/>
      <c r="F214" s="56"/>
      <c r="G214" s="56"/>
      <c r="H214" s="50"/>
      <c r="I214" s="54"/>
      <c r="J214" s="54"/>
      <c r="K214" s="54"/>
      <c r="L214" s="54"/>
      <c r="M214" s="54"/>
      <c r="N214" s="54"/>
      <c r="O214" s="54"/>
      <c r="P214" s="54"/>
      <c r="Q214" s="54"/>
      <c r="R214" s="54"/>
      <c r="S214" s="54"/>
      <c r="T214" s="54"/>
      <c r="U214" s="54"/>
      <c r="V214" s="54"/>
      <c r="W214" s="54"/>
      <c r="X214" s="54"/>
      <c r="Y214" s="54"/>
      <c r="Z214" s="54"/>
      <c r="AA214" s="54"/>
      <c r="AB214" s="54"/>
    </row>
    <row r="215">
      <c r="A215" s="57"/>
      <c r="B215" s="10" t="str">
        <f>IFERROR(VLOOKUP(C215,'Employees List'!$B$1:$G$999,4,0),"")</f>
        <v/>
      </c>
      <c r="C215" s="9"/>
      <c r="D215" s="9"/>
      <c r="E215" s="56"/>
      <c r="F215" s="56"/>
      <c r="G215" s="56"/>
      <c r="H215" s="50"/>
      <c r="I215" s="54"/>
      <c r="J215" s="54"/>
      <c r="K215" s="54"/>
      <c r="L215" s="54"/>
      <c r="M215" s="54"/>
      <c r="N215" s="54"/>
      <c r="O215" s="54"/>
      <c r="P215" s="54"/>
      <c r="Q215" s="54"/>
      <c r="R215" s="54"/>
      <c r="S215" s="54"/>
      <c r="T215" s="54"/>
      <c r="U215" s="54"/>
      <c r="V215" s="54"/>
      <c r="W215" s="54"/>
      <c r="X215" s="54"/>
      <c r="Y215" s="54"/>
      <c r="Z215" s="54"/>
      <c r="AA215" s="54"/>
      <c r="AB215" s="54"/>
    </row>
    <row r="216">
      <c r="A216" s="57"/>
      <c r="B216" s="10" t="str">
        <f>IFERROR(VLOOKUP(C216,'Employees List'!$B$1:$G$999,4,0),"")</f>
        <v/>
      </c>
      <c r="C216" s="9"/>
      <c r="D216" s="9"/>
      <c r="E216" s="56"/>
      <c r="F216" s="56"/>
      <c r="G216" s="56"/>
      <c r="H216" s="50"/>
      <c r="I216" s="54"/>
      <c r="J216" s="54"/>
      <c r="K216" s="54"/>
      <c r="L216" s="54"/>
      <c r="M216" s="54"/>
      <c r="N216" s="54"/>
      <c r="O216" s="54"/>
      <c r="P216" s="54"/>
      <c r="Q216" s="54"/>
      <c r="R216" s="54"/>
      <c r="S216" s="54"/>
      <c r="T216" s="54"/>
      <c r="U216" s="54"/>
      <c r="V216" s="54"/>
      <c r="W216" s="54"/>
      <c r="X216" s="54"/>
      <c r="Y216" s="54"/>
      <c r="Z216" s="54"/>
      <c r="AA216" s="54"/>
      <c r="AB216" s="54"/>
    </row>
    <row r="217">
      <c r="A217" s="57"/>
      <c r="B217" s="10" t="str">
        <f>IFERROR(VLOOKUP(C217,'Employees List'!$B$1:$G$999,4,0),"")</f>
        <v/>
      </c>
      <c r="C217" s="9"/>
      <c r="D217" s="9"/>
      <c r="E217" s="56"/>
      <c r="F217" s="56"/>
      <c r="G217" s="56"/>
      <c r="H217" s="50"/>
      <c r="I217" s="54"/>
      <c r="J217" s="54"/>
      <c r="K217" s="54"/>
      <c r="L217" s="54"/>
      <c r="M217" s="54"/>
      <c r="N217" s="54"/>
      <c r="O217" s="54"/>
      <c r="P217" s="54"/>
      <c r="Q217" s="54"/>
      <c r="R217" s="54"/>
      <c r="S217" s="54"/>
      <c r="T217" s="54"/>
      <c r="U217" s="54"/>
      <c r="V217" s="54"/>
      <c r="W217" s="54"/>
      <c r="X217" s="54"/>
      <c r="Y217" s="54"/>
      <c r="Z217" s="54"/>
      <c r="AA217" s="54"/>
      <c r="AB217" s="54"/>
    </row>
    <row r="218">
      <c r="A218" s="57"/>
      <c r="B218" s="10" t="str">
        <f>IFERROR(VLOOKUP(C218,'Employees List'!$B$1:$G$999,4,0),"")</f>
        <v/>
      </c>
      <c r="C218" s="9"/>
      <c r="D218" s="9"/>
      <c r="E218" s="56"/>
      <c r="F218" s="56"/>
      <c r="G218" s="56"/>
      <c r="H218" s="50"/>
      <c r="I218" s="54"/>
      <c r="J218" s="54"/>
      <c r="K218" s="54"/>
      <c r="L218" s="54"/>
      <c r="M218" s="54"/>
      <c r="N218" s="54"/>
      <c r="O218" s="54"/>
      <c r="P218" s="54"/>
      <c r="Q218" s="54"/>
      <c r="R218" s="54"/>
      <c r="S218" s="54"/>
      <c r="T218" s="54"/>
      <c r="U218" s="54"/>
      <c r="V218" s="54"/>
      <c r="W218" s="54"/>
      <c r="X218" s="54"/>
      <c r="Y218" s="54"/>
      <c r="Z218" s="54"/>
      <c r="AA218" s="54"/>
      <c r="AB218" s="54"/>
    </row>
    <row r="219">
      <c r="A219" s="57"/>
      <c r="B219" s="10" t="str">
        <f>IFERROR(VLOOKUP(C219,'Employees List'!$B$1:$G$999,4,0),"")</f>
        <v/>
      </c>
      <c r="C219" s="9"/>
      <c r="D219" s="9"/>
      <c r="E219" s="56"/>
      <c r="F219" s="56"/>
      <c r="G219" s="56"/>
      <c r="H219" s="50"/>
      <c r="I219" s="54"/>
      <c r="J219" s="54"/>
      <c r="K219" s="54"/>
      <c r="L219" s="54"/>
      <c r="M219" s="54"/>
      <c r="N219" s="54"/>
      <c r="O219" s="54"/>
      <c r="P219" s="54"/>
      <c r="Q219" s="54"/>
      <c r="R219" s="54"/>
      <c r="S219" s="54"/>
      <c r="T219" s="54"/>
      <c r="U219" s="54"/>
      <c r="V219" s="54"/>
      <c r="W219" s="54"/>
      <c r="X219" s="54"/>
      <c r="Y219" s="54"/>
      <c r="Z219" s="54"/>
      <c r="AA219" s="54"/>
      <c r="AB219" s="54"/>
    </row>
    <row r="220">
      <c r="A220" s="57"/>
      <c r="B220" s="10" t="str">
        <f>IFERROR(VLOOKUP(C220,'Employees List'!$B$1:$G$999,4,0),"")</f>
        <v/>
      </c>
      <c r="C220" s="9"/>
      <c r="D220" s="9"/>
      <c r="E220" s="56"/>
      <c r="F220" s="56"/>
      <c r="G220" s="56"/>
      <c r="H220" s="50"/>
      <c r="I220" s="54"/>
      <c r="J220" s="54"/>
      <c r="K220" s="54"/>
      <c r="L220" s="54"/>
      <c r="M220" s="54"/>
      <c r="N220" s="54"/>
      <c r="O220" s="54"/>
      <c r="P220" s="54"/>
      <c r="Q220" s="54"/>
      <c r="R220" s="54"/>
      <c r="S220" s="54"/>
      <c r="T220" s="54"/>
      <c r="U220" s="54"/>
      <c r="V220" s="54"/>
      <c r="W220" s="54"/>
      <c r="X220" s="54"/>
      <c r="Y220" s="54"/>
      <c r="Z220" s="54"/>
      <c r="AA220" s="54"/>
      <c r="AB220" s="54"/>
    </row>
    <row r="221">
      <c r="A221" s="57"/>
      <c r="B221" s="10" t="str">
        <f>IFERROR(VLOOKUP(C221,'Employees List'!$B$1:$G$999,4,0),"")</f>
        <v/>
      </c>
      <c r="C221" s="9"/>
      <c r="D221" s="9"/>
      <c r="E221" s="56"/>
      <c r="F221" s="56"/>
      <c r="G221" s="56"/>
      <c r="H221" s="50"/>
      <c r="I221" s="54"/>
      <c r="J221" s="54"/>
      <c r="K221" s="54"/>
      <c r="L221" s="54"/>
      <c r="M221" s="54"/>
      <c r="N221" s="54"/>
      <c r="O221" s="54"/>
      <c r="P221" s="54"/>
      <c r="Q221" s="54"/>
      <c r="R221" s="54"/>
      <c r="S221" s="54"/>
      <c r="T221" s="54"/>
      <c r="U221" s="54"/>
      <c r="V221" s="54"/>
      <c r="W221" s="54"/>
      <c r="X221" s="54"/>
      <c r="Y221" s="54"/>
      <c r="Z221" s="54"/>
      <c r="AA221" s="54"/>
      <c r="AB221" s="54"/>
    </row>
    <row r="222">
      <c r="A222" s="57"/>
      <c r="B222" s="10" t="str">
        <f>IFERROR(VLOOKUP(C222,'Employees List'!$B$1:$G$999,4,0),"")</f>
        <v/>
      </c>
      <c r="C222" s="9"/>
      <c r="D222" s="9"/>
      <c r="E222" s="56"/>
      <c r="F222" s="56"/>
      <c r="G222" s="56"/>
      <c r="H222" s="50"/>
      <c r="I222" s="54"/>
      <c r="J222" s="54"/>
      <c r="K222" s="54"/>
      <c r="L222" s="54"/>
      <c r="M222" s="54"/>
      <c r="N222" s="54"/>
      <c r="O222" s="54"/>
      <c r="P222" s="54"/>
      <c r="Q222" s="54"/>
      <c r="R222" s="54"/>
      <c r="S222" s="54"/>
      <c r="T222" s="54"/>
      <c r="U222" s="54"/>
      <c r="V222" s="54"/>
      <c r="W222" s="54"/>
      <c r="X222" s="54"/>
      <c r="Y222" s="54"/>
      <c r="Z222" s="54"/>
      <c r="AA222" s="54"/>
      <c r="AB222" s="54"/>
    </row>
    <row r="223">
      <c r="A223" s="57"/>
      <c r="B223" s="10" t="str">
        <f>IFERROR(VLOOKUP(C223,'Employees List'!$B$1:$G$999,4,0),"")</f>
        <v/>
      </c>
      <c r="C223" s="9"/>
      <c r="D223" s="9"/>
      <c r="E223" s="56"/>
      <c r="F223" s="56"/>
      <c r="G223" s="56"/>
      <c r="H223" s="50"/>
      <c r="I223" s="54"/>
      <c r="J223" s="54"/>
      <c r="K223" s="54"/>
      <c r="L223" s="54"/>
      <c r="M223" s="54"/>
      <c r="N223" s="54"/>
      <c r="O223" s="54"/>
      <c r="P223" s="54"/>
      <c r="Q223" s="54"/>
      <c r="R223" s="54"/>
      <c r="S223" s="54"/>
      <c r="T223" s="54"/>
      <c r="U223" s="54"/>
      <c r="V223" s="54"/>
      <c r="W223" s="54"/>
      <c r="X223" s="54"/>
      <c r="Y223" s="54"/>
      <c r="Z223" s="54"/>
      <c r="AA223" s="54"/>
      <c r="AB223" s="54"/>
    </row>
    <row r="224">
      <c r="A224" s="57"/>
      <c r="B224" s="10" t="str">
        <f>IFERROR(VLOOKUP(C224,'Employees List'!$B$1:$G$999,4,0),"")</f>
        <v/>
      </c>
      <c r="C224" s="9"/>
      <c r="D224" s="9"/>
      <c r="E224" s="56"/>
      <c r="F224" s="56"/>
      <c r="G224" s="56"/>
      <c r="H224" s="50"/>
      <c r="I224" s="54"/>
      <c r="J224" s="54"/>
      <c r="K224" s="54"/>
      <c r="L224" s="54"/>
      <c r="M224" s="54"/>
      <c r="N224" s="54"/>
      <c r="O224" s="54"/>
      <c r="P224" s="54"/>
      <c r="Q224" s="54"/>
      <c r="R224" s="54"/>
      <c r="S224" s="54"/>
      <c r="T224" s="54"/>
      <c r="U224" s="54"/>
      <c r="V224" s="54"/>
      <c r="W224" s="54"/>
      <c r="X224" s="54"/>
      <c r="Y224" s="54"/>
      <c r="Z224" s="54"/>
      <c r="AA224" s="54"/>
      <c r="AB224" s="54"/>
    </row>
    <row r="225">
      <c r="A225" s="57"/>
      <c r="B225" s="10" t="str">
        <f>IFERROR(VLOOKUP(C225,'Employees List'!$B$1:$G$999,4,0),"")</f>
        <v/>
      </c>
      <c r="C225" s="9"/>
      <c r="D225" s="9"/>
      <c r="E225" s="56"/>
      <c r="F225" s="56"/>
      <c r="G225" s="56"/>
      <c r="H225" s="50"/>
      <c r="I225" s="54"/>
      <c r="J225" s="54"/>
      <c r="K225" s="54"/>
      <c r="L225" s="54"/>
      <c r="M225" s="54"/>
      <c r="N225" s="54"/>
      <c r="O225" s="54"/>
      <c r="P225" s="54"/>
      <c r="Q225" s="54"/>
      <c r="R225" s="54"/>
      <c r="S225" s="54"/>
      <c r="T225" s="54"/>
      <c r="U225" s="54"/>
      <c r="V225" s="54"/>
      <c r="W225" s="54"/>
      <c r="X225" s="54"/>
      <c r="Y225" s="54"/>
      <c r="Z225" s="54"/>
      <c r="AA225" s="54"/>
      <c r="AB225" s="54"/>
    </row>
    <row r="226">
      <c r="A226" s="57"/>
      <c r="B226" s="10" t="str">
        <f>IFERROR(VLOOKUP(C226,'Employees List'!$B$1:$G$999,4,0),"")</f>
        <v/>
      </c>
      <c r="C226" s="9"/>
      <c r="D226" s="9"/>
      <c r="E226" s="56"/>
      <c r="F226" s="56"/>
      <c r="G226" s="56"/>
      <c r="H226" s="50"/>
      <c r="I226" s="54"/>
      <c r="J226" s="54"/>
      <c r="K226" s="54"/>
      <c r="L226" s="54"/>
      <c r="M226" s="54"/>
      <c r="N226" s="54"/>
      <c r="O226" s="54"/>
      <c r="P226" s="54"/>
      <c r="Q226" s="54"/>
      <c r="R226" s="54"/>
      <c r="S226" s="54"/>
      <c r="T226" s="54"/>
      <c r="U226" s="54"/>
      <c r="V226" s="54"/>
      <c r="W226" s="54"/>
      <c r="X226" s="54"/>
      <c r="Y226" s="54"/>
      <c r="Z226" s="54"/>
      <c r="AA226" s="54"/>
      <c r="AB226" s="54"/>
    </row>
    <row r="227">
      <c r="A227" s="57"/>
      <c r="B227" s="10" t="str">
        <f>IFERROR(VLOOKUP(C227,'Employees List'!$B$1:$G$999,4,0),"")</f>
        <v/>
      </c>
      <c r="C227" s="9"/>
      <c r="D227" s="9"/>
      <c r="E227" s="56"/>
      <c r="F227" s="56"/>
      <c r="G227" s="56"/>
      <c r="H227" s="50"/>
      <c r="I227" s="54"/>
      <c r="J227" s="54"/>
      <c r="K227" s="54"/>
      <c r="L227" s="54"/>
      <c r="M227" s="54"/>
      <c r="N227" s="54"/>
      <c r="O227" s="54"/>
      <c r="P227" s="54"/>
      <c r="Q227" s="54"/>
      <c r="R227" s="54"/>
      <c r="S227" s="54"/>
      <c r="T227" s="54"/>
      <c r="U227" s="54"/>
      <c r="V227" s="54"/>
      <c r="W227" s="54"/>
      <c r="X227" s="54"/>
      <c r="Y227" s="54"/>
      <c r="Z227" s="54"/>
      <c r="AA227" s="54"/>
      <c r="AB227" s="54"/>
    </row>
    <row r="228">
      <c r="A228" s="57"/>
      <c r="B228" s="10" t="str">
        <f>IFERROR(VLOOKUP(C228,'Employees List'!$B$1:$G$999,4,0),"")</f>
        <v/>
      </c>
      <c r="C228" s="9"/>
      <c r="D228" s="9"/>
      <c r="E228" s="56"/>
      <c r="F228" s="56"/>
      <c r="G228" s="56"/>
      <c r="H228" s="50"/>
      <c r="I228" s="54"/>
      <c r="J228" s="54"/>
      <c r="K228" s="54"/>
      <c r="L228" s="54"/>
      <c r="M228" s="54"/>
      <c r="N228" s="54"/>
      <c r="O228" s="54"/>
      <c r="P228" s="54"/>
      <c r="Q228" s="54"/>
      <c r="R228" s="54"/>
      <c r="S228" s="54"/>
      <c r="T228" s="54"/>
      <c r="U228" s="54"/>
      <c r="V228" s="54"/>
      <c r="W228" s="54"/>
      <c r="X228" s="54"/>
      <c r="Y228" s="54"/>
      <c r="Z228" s="54"/>
      <c r="AA228" s="54"/>
      <c r="AB228" s="54"/>
    </row>
    <row r="229">
      <c r="A229" s="57"/>
      <c r="B229" s="10" t="str">
        <f>IFERROR(VLOOKUP(C229,'Employees List'!$B$1:$G$999,4,0),"")</f>
        <v/>
      </c>
      <c r="C229" s="9"/>
      <c r="D229" s="9"/>
      <c r="E229" s="56"/>
      <c r="F229" s="56"/>
      <c r="G229" s="56"/>
      <c r="H229" s="50"/>
      <c r="I229" s="54"/>
      <c r="J229" s="54"/>
      <c r="K229" s="54"/>
      <c r="L229" s="54"/>
      <c r="M229" s="54"/>
      <c r="N229" s="54"/>
      <c r="O229" s="54"/>
      <c r="P229" s="54"/>
      <c r="Q229" s="54"/>
      <c r="R229" s="54"/>
      <c r="S229" s="54"/>
      <c r="T229" s="54"/>
      <c r="U229" s="54"/>
      <c r="V229" s="54"/>
      <c r="W229" s="54"/>
      <c r="X229" s="54"/>
      <c r="Y229" s="54"/>
      <c r="Z229" s="54"/>
      <c r="AA229" s="54"/>
      <c r="AB229" s="54"/>
    </row>
    <row r="230">
      <c r="A230" s="57"/>
      <c r="B230" s="10" t="str">
        <f>IFERROR(VLOOKUP(C230,'Employees List'!$B$1:$G$999,4,0),"")</f>
        <v/>
      </c>
      <c r="C230" s="9"/>
      <c r="D230" s="9"/>
      <c r="E230" s="56"/>
      <c r="F230" s="56"/>
      <c r="G230" s="56"/>
      <c r="H230" s="50"/>
      <c r="I230" s="54"/>
      <c r="J230" s="54"/>
      <c r="K230" s="54"/>
      <c r="L230" s="54"/>
      <c r="M230" s="54"/>
      <c r="N230" s="54"/>
      <c r="O230" s="54"/>
      <c r="P230" s="54"/>
      <c r="Q230" s="54"/>
      <c r="R230" s="54"/>
      <c r="S230" s="54"/>
      <c r="T230" s="54"/>
      <c r="U230" s="54"/>
      <c r="V230" s="54"/>
      <c r="W230" s="54"/>
      <c r="X230" s="54"/>
      <c r="Y230" s="54"/>
      <c r="Z230" s="54"/>
      <c r="AA230" s="54"/>
      <c r="AB230" s="54"/>
    </row>
    <row r="231">
      <c r="A231" s="57"/>
      <c r="B231" s="10" t="str">
        <f>IFERROR(VLOOKUP(C231,'Employees List'!$B$1:$G$999,4,0),"")</f>
        <v/>
      </c>
      <c r="C231" s="9"/>
      <c r="D231" s="9"/>
      <c r="E231" s="56"/>
      <c r="F231" s="56"/>
      <c r="G231" s="56"/>
      <c r="H231" s="50"/>
      <c r="I231" s="54"/>
      <c r="J231" s="54"/>
      <c r="K231" s="54"/>
      <c r="L231" s="54"/>
      <c r="M231" s="54"/>
      <c r="N231" s="54"/>
      <c r="O231" s="54"/>
      <c r="P231" s="54"/>
      <c r="Q231" s="54"/>
      <c r="R231" s="54"/>
      <c r="S231" s="54"/>
      <c r="T231" s="54"/>
      <c r="U231" s="54"/>
      <c r="V231" s="54"/>
      <c r="W231" s="54"/>
      <c r="X231" s="54"/>
      <c r="Y231" s="54"/>
      <c r="Z231" s="54"/>
      <c r="AA231" s="54"/>
      <c r="AB231" s="54"/>
    </row>
    <row r="232">
      <c r="A232" s="57"/>
      <c r="B232" s="10" t="str">
        <f>IFERROR(VLOOKUP(C232,'Employees List'!$B$1:$G$999,4,0),"")</f>
        <v/>
      </c>
      <c r="C232" s="9"/>
      <c r="D232" s="9"/>
      <c r="E232" s="56"/>
      <c r="F232" s="56"/>
      <c r="G232" s="56"/>
      <c r="H232" s="50"/>
      <c r="I232" s="54"/>
      <c r="J232" s="54"/>
      <c r="K232" s="54"/>
      <c r="L232" s="54"/>
      <c r="M232" s="54"/>
      <c r="N232" s="54"/>
      <c r="O232" s="54"/>
      <c r="P232" s="54"/>
      <c r="Q232" s="54"/>
      <c r="R232" s="54"/>
      <c r="S232" s="54"/>
      <c r="T232" s="54"/>
      <c r="U232" s="54"/>
      <c r="V232" s="54"/>
      <c r="W232" s="54"/>
      <c r="X232" s="54"/>
      <c r="Y232" s="54"/>
      <c r="Z232" s="54"/>
      <c r="AA232" s="54"/>
      <c r="AB232" s="54"/>
    </row>
    <row r="233">
      <c r="A233" s="57"/>
      <c r="B233" s="10" t="str">
        <f>IFERROR(VLOOKUP(C233,'Employees List'!$B$1:$G$999,4,0),"")</f>
        <v/>
      </c>
      <c r="C233" s="9"/>
      <c r="D233" s="9"/>
      <c r="E233" s="56"/>
      <c r="F233" s="56"/>
      <c r="G233" s="56"/>
      <c r="H233" s="50"/>
      <c r="I233" s="54"/>
      <c r="J233" s="54"/>
      <c r="K233" s="54"/>
      <c r="L233" s="54"/>
      <c r="M233" s="54"/>
      <c r="N233" s="54"/>
      <c r="O233" s="54"/>
      <c r="P233" s="54"/>
      <c r="Q233" s="54"/>
      <c r="R233" s="54"/>
      <c r="S233" s="54"/>
      <c r="T233" s="54"/>
      <c r="U233" s="54"/>
      <c r="V233" s="54"/>
      <c r="W233" s="54"/>
      <c r="X233" s="54"/>
      <c r="Y233" s="54"/>
      <c r="Z233" s="54"/>
      <c r="AA233" s="54"/>
      <c r="AB233" s="54"/>
    </row>
    <row r="234">
      <c r="A234" s="57"/>
      <c r="B234" s="10" t="str">
        <f>IFERROR(VLOOKUP(C234,'Employees List'!$B$1:$G$999,4,0),"")</f>
        <v/>
      </c>
      <c r="C234" s="9"/>
      <c r="D234" s="9"/>
      <c r="E234" s="56"/>
      <c r="F234" s="56"/>
      <c r="G234" s="56"/>
      <c r="H234" s="50"/>
      <c r="I234" s="54"/>
      <c r="J234" s="54"/>
      <c r="K234" s="54"/>
      <c r="L234" s="54"/>
      <c r="M234" s="54"/>
      <c r="N234" s="54"/>
      <c r="O234" s="54"/>
      <c r="P234" s="54"/>
      <c r="Q234" s="54"/>
      <c r="R234" s="54"/>
      <c r="S234" s="54"/>
      <c r="T234" s="54"/>
      <c r="U234" s="54"/>
      <c r="V234" s="54"/>
      <c r="W234" s="54"/>
      <c r="X234" s="54"/>
      <c r="Y234" s="54"/>
      <c r="Z234" s="54"/>
      <c r="AA234" s="54"/>
      <c r="AB234" s="54"/>
    </row>
    <row r="235">
      <c r="A235" s="57"/>
      <c r="B235" s="10" t="str">
        <f>IFERROR(VLOOKUP(C235,'Employees List'!$B$1:$G$999,4,0),"")</f>
        <v/>
      </c>
      <c r="C235" s="9"/>
      <c r="D235" s="9"/>
      <c r="E235" s="56"/>
      <c r="F235" s="56"/>
      <c r="G235" s="56"/>
      <c r="H235" s="50"/>
      <c r="I235" s="54"/>
      <c r="J235" s="54"/>
      <c r="K235" s="54"/>
      <c r="L235" s="54"/>
      <c r="M235" s="54"/>
      <c r="N235" s="54"/>
      <c r="O235" s="54"/>
      <c r="P235" s="54"/>
      <c r="Q235" s="54"/>
      <c r="R235" s="54"/>
      <c r="S235" s="54"/>
      <c r="T235" s="54"/>
      <c r="U235" s="54"/>
      <c r="V235" s="54"/>
      <c r="W235" s="54"/>
      <c r="X235" s="54"/>
      <c r="Y235" s="54"/>
      <c r="Z235" s="54"/>
      <c r="AA235" s="54"/>
      <c r="AB235" s="54"/>
    </row>
    <row r="236">
      <c r="A236" s="57"/>
      <c r="B236" s="10" t="str">
        <f>IFERROR(VLOOKUP(C236,'Employees List'!$B$1:$G$999,4,0),"")</f>
        <v/>
      </c>
      <c r="C236" s="9"/>
      <c r="D236" s="9"/>
      <c r="E236" s="56"/>
      <c r="F236" s="56"/>
      <c r="G236" s="56"/>
      <c r="H236" s="50"/>
      <c r="I236" s="54"/>
      <c r="J236" s="54"/>
      <c r="K236" s="54"/>
      <c r="L236" s="54"/>
      <c r="M236" s="54"/>
      <c r="N236" s="54"/>
      <c r="O236" s="54"/>
      <c r="P236" s="54"/>
      <c r="Q236" s="54"/>
      <c r="R236" s="54"/>
      <c r="S236" s="54"/>
      <c r="T236" s="54"/>
      <c r="U236" s="54"/>
      <c r="V236" s="54"/>
      <c r="W236" s="54"/>
      <c r="X236" s="54"/>
      <c r="Y236" s="54"/>
      <c r="Z236" s="54"/>
      <c r="AA236" s="54"/>
      <c r="AB236" s="54"/>
    </row>
    <row r="237">
      <c r="A237" s="57"/>
      <c r="B237" s="10" t="str">
        <f>IFERROR(VLOOKUP(C237,'Employees List'!$B$1:$G$999,4,0),"")</f>
        <v/>
      </c>
      <c r="C237" s="9"/>
      <c r="D237" s="9"/>
      <c r="E237" s="56"/>
      <c r="F237" s="56"/>
      <c r="G237" s="56"/>
      <c r="H237" s="50"/>
      <c r="I237" s="54"/>
      <c r="J237" s="54"/>
      <c r="K237" s="54"/>
      <c r="L237" s="54"/>
      <c r="M237" s="54"/>
      <c r="N237" s="54"/>
      <c r="O237" s="54"/>
      <c r="P237" s="54"/>
      <c r="Q237" s="54"/>
      <c r="R237" s="54"/>
      <c r="S237" s="54"/>
      <c r="T237" s="54"/>
      <c r="U237" s="54"/>
      <c r="V237" s="54"/>
      <c r="W237" s="54"/>
      <c r="X237" s="54"/>
      <c r="Y237" s="54"/>
      <c r="Z237" s="54"/>
      <c r="AA237" s="54"/>
      <c r="AB237" s="54"/>
    </row>
    <row r="238">
      <c r="A238" s="57"/>
      <c r="B238" s="10" t="str">
        <f>IFERROR(VLOOKUP(C238,'Employees List'!$B$1:$G$999,4,0),"")</f>
        <v/>
      </c>
      <c r="C238" s="9"/>
      <c r="D238" s="9"/>
      <c r="E238" s="56"/>
      <c r="F238" s="56"/>
      <c r="G238" s="56"/>
      <c r="H238" s="50"/>
      <c r="I238" s="54"/>
      <c r="J238" s="54"/>
      <c r="K238" s="54"/>
      <c r="L238" s="54"/>
      <c r="M238" s="54"/>
      <c r="N238" s="54"/>
      <c r="O238" s="54"/>
      <c r="P238" s="54"/>
      <c r="Q238" s="54"/>
      <c r="R238" s="54"/>
      <c r="S238" s="54"/>
      <c r="T238" s="54"/>
      <c r="U238" s="54"/>
      <c r="V238" s="54"/>
      <c r="W238" s="54"/>
      <c r="X238" s="54"/>
      <c r="Y238" s="54"/>
      <c r="Z238" s="54"/>
      <c r="AA238" s="54"/>
      <c r="AB238" s="54"/>
    </row>
    <row r="239">
      <c r="A239" s="57"/>
      <c r="B239" s="10" t="str">
        <f>IFERROR(VLOOKUP(C239,'Employees List'!$B$1:$G$999,4,0),"")</f>
        <v/>
      </c>
      <c r="C239" s="9"/>
      <c r="D239" s="9"/>
      <c r="E239" s="56"/>
      <c r="F239" s="56"/>
      <c r="G239" s="56"/>
      <c r="H239" s="50"/>
      <c r="I239" s="54"/>
      <c r="J239" s="54"/>
      <c r="K239" s="54"/>
      <c r="L239" s="54"/>
      <c r="M239" s="54"/>
      <c r="N239" s="54"/>
      <c r="O239" s="54"/>
      <c r="P239" s="54"/>
      <c r="Q239" s="54"/>
      <c r="R239" s="54"/>
      <c r="S239" s="54"/>
      <c r="T239" s="54"/>
      <c r="U239" s="54"/>
      <c r="V239" s="54"/>
      <c r="W239" s="54"/>
      <c r="X239" s="54"/>
      <c r="Y239" s="54"/>
      <c r="Z239" s="54"/>
      <c r="AA239" s="54"/>
      <c r="AB239" s="54"/>
    </row>
    <row r="240">
      <c r="A240" s="57"/>
      <c r="B240" s="10" t="str">
        <f>IFERROR(VLOOKUP(C240,'Employees List'!$B$1:$G$999,4,0),"")</f>
        <v/>
      </c>
      <c r="C240" s="9"/>
      <c r="D240" s="9"/>
      <c r="E240" s="56"/>
      <c r="F240" s="56"/>
      <c r="G240" s="56"/>
      <c r="H240" s="50"/>
      <c r="I240" s="54"/>
      <c r="J240" s="54"/>
      <c r="K240" s="54"/>
      <c r="L240" s="54"/>
      <c r="M240" s="54"/>
      <c r="N240" s="54"/>
      <c r="O240" s="54"/>
      <c r="P240" s="54"/>
      <c r="Q240" s="54"/>
      <c r="R240" s="54"/>
      <c r="S240" s="54"/>
      <c r="T240" s="54"/>
      <c r="U240" s="54"/>
      <c r="V240" s="54"/>
      <c r="W240" s="54"/>
      <c r="X240" s="54"/>
      <c r="Y240" s="54"/>
      <c r="Z240" s="54"/>
      <c r="AA240" s="54"/>
      <c r="AB240" s="54"/>
    </row>
    <row r="241">
      <c r="A241" s="57"/>
      <c r="B241" s="10" t="str">
        <f>IFERROR(VLOOKUP(C241,'Employees List'!$B$1:$G$999,4,0),"")</f>
        <v/>
      </c>
      <c r="C241" s="9"/>
      <c r="D241" s="9"/>
      <c r="E241" s="56"/>
      <c r="F241" s="56"/>
      <c r="G241" s="56"/>
      <c r="H241" s="50"/>
      <c r="I241" s="54"/>
      <c r="J241" s="54"/>
      <c r="K241" s="54"/>
      <c r="L241" s="54"/>
      <c r="M241" s="54"/>
      <c r="N241" s="54"/>
      <c r="O241" s="54"/>
      <c r="P241" s="54"/>
      <c r="Q241" s="54"/>
      <c r="R241" s="54"/>
      <c r="S241" s="54"/>
      <c r="T241" s="54"/>
      <c r="U241" s="54"/>
      <c r="V241" s="54"/>
      <c r="W241" s="54"/>
      <c r="X241" s="54"/>
      <c r="Y241" s="54"/>
      <c r="Z241" s="54"/>
      <c r="AA241" s="54"/>
      <c r="AB241" s="54"/>
    </row>
    <row r="242">
      <c r="A242" s="57"/>
      <c r="B242" s="10" t="str">
        <f>IFERROR(VLOOKUP(C242,'Employees List'!$B$1:$G$999,4,0),"")</f>
        <v/>
      </c>
      <c r="C242" s="9"/>
      <c r="D242" s="9"/>
      <c r="E242" s="56"/>
      <c r="F242" s="56"/>
      <c r="G242" s="56"/>
      <c r="H242" s="50"/>
      <c r="I242" s="54"/>
      <c r="J242" s="54"/>
      <c r="K242" s="54"/>
      <c r="L242" s="54"/>
      <c r="M242" s="54"/>
      <c r="N242" s="54"/>
      <c r="O242" s="54"/>
      <c r="P242" s="54"/>
      <c r="Q242" s="54"/>
      <c r="R242" s="54"/>
      <c r="S242" s="54"/>
      <c r="T242" s="54"/>
      <c r="U242" s="54"/>
      <c r="V242" s="54"/>
      <c r="W242" s="54"/>
      <c r="X242" s="54"/>
      <c r="Y242" s="54"/>
      <c r="Z242" s="54"/>
      <c r="AA242" s="54"/>
      <c r="AB242" s="54"/>
    </row>
    <row r="243">
      <c r="A243" s="57"/>
      <c r="B243" s="10" t="str">
        <f>IFERROR(VLOOKUP(C243,'Employees List'!$B$1:$G$999,4,0),"")</f>
        <v/>
      </c>
      <c r="C243" s="9"/>
      <c r="D243" s="9"/>
      <c r="E243" s="56"/>
      <c r="F243" s="56"/>
      <c r="G243" s="56"/>
      <c r="H243" s="50"/>
      <c r="I243" s="54"/>
      <c r="J243" s="54"/>
      <c r="K243" s="54"/>
      <c r="L243" s="54"/>
      <c r="M243" s="54"/>
      <c r="N243" s="54"/>
      <c r="O243" s="54"/>
      <c r="P243" s="54"/>
      <c r="Q243" s="54"/>
      <c r="R243" s="54"/>
      <c r="S243" s="54"/>
      <c r="T243" s="54"/>
      <c r="U243" s="54"/>
      <c r="V243" s="54"/>
      <c r="W243" s="54"/>
      <c r="X243" s="54"/>
      <c r="Y243" s="54"/>
      <c r="Z243" s="54"/>
      <c r="AA243" s="54"/>
      <c r="AB243" s="54"/>
    </row>
    <row r="244">
      <c r="A244" s="57"/>
      <c r="B244" s="10" t="str">
        <f>IFERROR(VLOOKUP(C244,'Employees List'!$B$1:$G$999,4,0),"")</f>
        <v/>
      </c>
      <c r="C244" s="9"/>
      <c r="D244" s="9"/>
      <c r="E244" s="56"/>
      <c r="F244" s="56"/>
      <c r="G244" s="56"/>
      <c r="H244" s="50"/>
      <c r="I244" s="54"/>
      <c r="J244" s="54"/>
      <c r="K244" s="54"/>
      <c r="L244" s="54"/>
      <c r="M244" s="54"/>
      <c r="N244" s="54"/>
      <c r="O244" s="54"/>
      <c r="P244" s="54"/>
      <c r="Q244" s="54"/>
      <c r="R244" s="54"/>
      <c r="S244" s="54"/>
      <c r="T244" s="54"/>
      <c r="U244" s="54"/>
      <c r="V244" s="54"/>
      <c r="W244" s="54"/>
      <c r="X244" s="54"/>
      <c r="Y244" s="54"/>
      <c r="Z244" s="54"/>
      <c r="AA244" s="54"/>
      <c r="AB244" s="54"/>
    </row>
    <row r="245">
      <c r="A245" s="57"/>
      <c r="B245" s="10" t="str">
        <f>IFERROR(VLOOKUP(C245,'Employees List'!$B$1:$G$999,4,0),"")</f>
        <v/>
      </c>
      <c r="C245" s="9"/>
      <c r="D245" s="9"/>
      <c r="E245" s="56"/>
      <c r="F245" s="56"/>
      <c r="G245" s="56"/>
      <c r="H245" s="50"/>
      <c r="I245" s="54"/>
      <c r="J245" s="54"/>
      <c r="K245" s="54"/>
      <c r="L245" s="54"/>
      <c r="M245" s="54"/>
      <c r="N245" s="54"/>
      <c r="O245" s="54"/>
      <c r="P245" s="54"/>
      <c r="Q245" s="54"/>
      <c r="R245" s="54"/>
      <c r="S245" s="54"/>
      <c r="T245" s="54"/>
      <c r="U245" s="54"/>
      <c r="V245" s="54"/>
      <c r="W245" s="54"/>
      <c r="X245" s="54"/>
      <c r="Y245" s="54"/>
      <c r="Z245" s="54"/>
      <c r="AA245" s="54"/>
      <c r="AB245" s="54"/>
    </row>
    <row r="246">
      <c r="A246" s="57"/>
      <c r="B246" s="10" t="str">
        <f>IFERROR(VLOOKUP(C246,'Employees List'!$B$1:$G$999,4,0),"")</f>
        <v/>
      </c>
      <c r="C246" s="9"/>
      <c r="D246" s="9"/>
      <c r="E246" s="56"/>
      <c r="F246" s="56"/>
      <c r="G246" s="56"/>
      <c r="H246" s="50"/>
      <c r="I246" s="54"/>
      <c r="J246" s="54"/>
      <c r="K246" s="54"/>
      <c r="L246" s="54"/>
      <c r="M246" s="54"/>
      <c r="N246" s="54"/>
      <c r="O246" s="54"/>
      <c r="P246" s="54"/>
      <c r="Q246" s="54"/>
      <c r="R246" s="54"/>
      <c r="S246" s="54"/>
      <c r="T246" s="54"/>
      <c r="U246" s="54"/>
      <c r="V246" s="54"/>
      <c r="W246" s="54"/>
      <c r="X246" s="54"/>
      <c r="Y246" s="54"/>
      <c r="Z246" s="54"/>
      <c r="AA246" s="54"/>
      <c r="AB246" s="54"/>
    </row>
    <row r="247">
      <c r="A247" s="57"/>
      <c r="B247" s="10" t="str">
        <f>IFERROR(VLOOKUP(C247,'Employees List'!$B$1:$G$999,4,0),"")</f>
        <v/>
      </c>
      <c r="C247" s="9"/>
      <c r="D247" s="9"/>
      <c r="E247" s="56"/>
      <c r="F247" s="56"/>
      <c r="G247" s="56"/>
      <c r="H247" s="50"/>
      <c r="I247" s="54"/>
      <c r="J247" s="54"/>
      <c r="K247" s="54"/>
      <c r="L247" s="54"/>
      <c r="M247" s="54"/>
      <c r="N247" s="54"/>
      <c r="O247" s="54"/>
      <c r="P247" s="54"/>
      <c r="Q247" s="54"/>
      <c r="R247" s="54"/>
      <c r="S247" s="54"/>
      <c r="T247" s="54"/>
      <c r="U247" s="54"/>
      <c r="V247" s="54"/>
      <c r="W247" s="54"/>
      <c r="X247" s="54"/>
      <c r="Y247" s="54"/>
      <c r="Z247" s="54"/>
      <c r="AA247" s="54"/>
      <c r="AB247" s="54"/>
    </row>
    <row r="248">
      <c r="A248" s="57"/>
      <c r="B248" s="10" t="str">
        <f>IFERROR(VLOOKUP(C248,'Employees List'!$B$1:$G$999,4,0),"")</f>
        <v/>
      </c>
      <c r="C248" s="9"/>
      <c r="D248" s="9"/>
      <c r="E248" s="56"/>
      <c r="F248" s="56"/>
      <c r="G248" s="56"/>
      <c r="H248" s="50"/>
      <c r="I248" s="54"/>
      <c r="J248" s="54"/>
      <c r="K248" s="54"/>
      <c r="L248" s="54"/>
      <c r="M248" s="54"/>
      <c r="N248" s="54"/>
      <c r="O248" s="54"/>
      <c r="P248" s="54"/>
      <c r="Q248" s="54"/>
      <c r="R248" s="54"/>
      <c r="S248" s="54"/>
      <c r="T248" s="54"/>
      <c r="U248" s="54"/>
      <c r="V248" s="54"/>
      <c r="W248" s="54"/>
      <c r="X248" s="54"/>
      <c r="Y248" s="54"/>
      <c r="Z248" s="54"/>
      <c r="AA248" s="54"/>
      <c r="AB248" s="54"/>
    </row>
    <row r="249">
      <c r="A249" s="57"/>
      <c r="B249" s="10" t="str">
        <f>IFERROR(VLOOKUP(C249,'Employees List'!$B$1:$G$999,4,0),"")</f>
        <v/>
      </c>
      <c r="C249" s="9"/>
      <c r="D249" s="9"/>
      <c r="E249" s="56"/>
      <c r="F249" s="56"/>
      <c r="G249" s="56"/>
      <c r="H249" s="50"/>
      <c r="I249" s="54"/>
      <c r="J249" s="54"/>
      <c r="K249" s="54"/>
      <c r="L249" s="54"/>
      <c r="M249" s="54"/>
      <c r="N249" s="54"/>
      <c r="O249" s="54"/>
      <c r="P249" s="54"/>
      <c r="Q249" s="54"/>
      <c r="R249" s="54"/>
      <c r="S249" s="54"/>
      <c r="T249" s="54"/>
      <c r="U249" s="54"/>
      <c r="V249" s="54"/>
      <c r="W249" s="54"/>
      <c r="X249" s="54"/>
      <c r="Y249" s="54"/>
      <c r="Z249" s="54"/>
      <c r="AA249" s="54"/>
      <c r="AB249" s="54"/>
    </row>
    <row r="250">
      <c r="A250" s="57"/>
      <c r="B250" s="10" t="str">
        <f>IFERROR(VLOOKUP(C250,'Employees List'!$B$1:$G$999,4,0),"")</f>
        <v/>
      </c>
      <c r="C250" s="9"/>
      <c r="D250" s="9"/>
      <c r="E250" s="56"/>
      <c r="F250" s="56"/>
      <c r="G250" s="56"/>
      <c r="H250" s="50"/>
      <c r="I250" s="54"/>
      <c r="J250" s="54"/>
      <c r="K250" s="54"/>
      <c r="L250" s="54"/>
      <c r="M250" s="54"/>
      <c r="N250" s="54"/>
      <c r="O250" s="54"/>
      <c r="P250" s="54"/>
      <c r="Q250" s="54"/>
      <c r="R250" s="54"/>
      <c r="S250" s="54"/>
      <c r="T250" s="54"/>
      <c r="U250" s="54"/>
      <c r="V250" s="54"/>
      <c r="W250" s="54"/>
      <c r="X250" s="54"/>
      <c r="Y250" s="54"/>
      <c r="Z250" s="54"/>
      <c r="AA250" s="54"/>
      <c r="AB250" s="54"/>
    </row>
    <row r="251">
      <c r="A251" s="57"/>
      <c r="B251" s="10" t="str">
        <f>IFERROR(VLOOKUP(C251,'Employees List'!$B$1:$G$999,4,0),"")</f>
        <v/>
      </c>
      <c r="C251" s="9"/>
      <c r="D251" s="9"/>
      <c r="E251" s="56"/>
      <c r="F251" s="56"/>
      <c r="G251" s="56"/>
      <c r="H251" s="50"/>
      <c r="I251" s="54"/>
      <c r="J251" s="54"/>
      <c r="K251" s="54"/>
      <c r="L251" s="54"/>
      <c r="M251" s="54"/>
      <c r="N251" s="54"/>
      <c r="O251" s="54"/>
      <c r="P251" s="54"/>
      <c r="Q251" s="54"/>
      <c r="R251" s="54"/>
      <c r="S251" s="54"/>
      <c r="T251" s="54"/>
      <c r="U251" s="54"/>
      <c r="V251" s="54"/>
      <c r="W251" s="54"/>
      <c r="X251" s="54"/>
      <c r="Y251" s="54"/>
      <c r="Z251" s="54"/>
      <c r="AA251" s="54"/>
      <c r="AB251" s="54"/>
    </row>
    <row r="252">
      <c r="A252" s="57"/>
      <c r="B252" s="10" t="str">
        <f>IFERROR(VLOOKUP(C252,'Employees List'!$B$1:$G$999,4,0),"")</f>
        <v/>
      </c>
      <c r="C252" s="9"/>
      <c r="D252" s="9"/>
      <c r="E252" s="56"/>
      <c r="F252" s="56"/>
      <c r="G252" s="56"/>
      <c r="H252" s="50"/>
      <c r="I252" s="54"/>
      <c r="J252" s="54"/>
      <c r="K252" s="54"/>
      <c r="L252" s="54"/>
      <c r="M252" s="54"/>
      <c r="N252" s="54"/>
      <c r="O252" s="54"/>
      <c r="P252" s="54"/>
      <c r="Q252" s="54"/>
      <c r="R252" s="54"/>
      <c r="S252" s="54"/>
      <c r="T252" s="54"/>
      <c r="U252" s="54"/>
      <c r="V252" s="54"/>
      <c r="W252" s="54"/>
      <c r="X252" s="54"/>
      <c r="Y252" s="54"/>
      <c r="Z252" s="54"/>
      <c r="AA252" s="54"/>
      <c r="AB252" s="54"/>
    </row>
    <row r="253">
      <c r="A253" s="57"/>
      <c r="B253" s="10" t="str">
        <f>IFERROR(VLOOKUP(C253,'Employees List'!$B$1:$G$999,4,0),"")</f>
        <v/>
      </c>
      <c r="C253" s="9"/>
      <c r="D253" s="9"/>
      <c r="E253" s="56"/>
      <c r="F253" s="56"/>
      <c r="G253" s="56"/>
      <c r="H253" s="50"/>
      <c r="I253" s="54"/>
      <c r="J253" s="54"/>
      <c r="K253" s="54"/>
      <c r="L253" s="54"/>
      <c r="M253" s="54"/>
      <c r="N253" s="54"/>
      <c r="O253" s="54"/>
      <c r="P253" s="54"/>
      <c r="Q253" s="54"/>
      <c r="R253" s="54"/>
      <c r="S253" s="54"/>
      <c r="T253" s="54"/>
      <c r="U253" s="54"/>
      <c r="V253" s="54"/>
      <c r="W253" s="54"/>
      <c r="X253" s="54"/>
      <c r="Y253" s="54"/>
      <c r="Z253" s="54"/>
      <c r="AA253" s="54"/>
      <c r="AB253" s="54"/>
    </row>
    <row r="254">
      <c r="A254" s="57"/>
      <c r="B254" s="10" t="str">
        <f>IFERROR(VLOOKUP(C254,'Employees List'!$B$1:$G$999,4,0),"")</f>
        <v/>
      </c>
      <c r="C254" s="9"/>
      <c r="D254" s="9"/>
      <c r="E254" s="56"/>
      <c r="F254" s="56"/>
      <c r="G254" s="56"/>
      <c r="H254" s="50"/>
      <c r="I254" s="54"/>
      <c r="J254" s="54"/>
      <c r="K254" s="54"/>
      <c r="L254" s="54"/>
      <c r="M254" s="54"/>
      <c r="N254" s="54"/>
      <c r="O254" s="54"/>
      <c r="P254" s="54"/>
      <c r="Q254" s="54"/>
      <c r="R254" s="54"/>
      <c r="S254" s="54"/>
      <c r="T254" s="54"/>
      <c r="U254" s="54"/>
      <c r="V254" s="54"/>
      <c r="W254" s="54"/>
      <c r="X254" s="54"/>
      <c r="Y254" s="54"/>
      <c r="Z254" s="54"/>
      <c r="AA254" s="54"/>
      <c r="AB254" s="54"/>
    </row>
    <row r="255">
      <c r="A255" s="57"/>
      <c r="B255" s="10" t="str">
        <f>IFERROR(VLOOKUP(C255,'Employees List'!$B$1:$G$999,4,0),"")</f>
        <v/>
      </c>
      <c r="C255" s="9"/>
      <c r="D255" s="9"/>
      <c r="E255" s="56"/>
      <c r="F255" s="56"/>
      <c r="G255" s="56"/>
      <c r="H255" s="50"/>
      <c r="I255" s="54"/>
      <c r="J255" s="54"/>
      <c r="K255" s="54"/>
      <c r="L255" s="54"/>
      <c r="M255" s="54"/>
      <c r="N255" s="54"/>
      <c r="O255" s="54"/>
      <c r="P255" s="54"/>
      <c r="Q255" s="54"/>
      <c r="R255" s="54"/>
      <c r="S255" s="54"/>
      <c r="T255" s="54"/>
      <c r="U255" s="54"/>
      <c r="V255" s="54"/>
      <c r="W255" s="54"/>
      <c r="X255" s="54"/>
      <c r="Y255" s="54"/>
      <c r="Z255" s="54"/>
      <c r="AA255" s="54"/>
      <c r="AB255" s="54"/>
    </row>
    <row r="256">
      <c r="A256" s="57"/>
      <c r="B256" s="10" t="str">
        <f>IFERROR(VLOOKUP(C256,'Employees List'!$B$1:$G$999,4,0),"")</f>
        <v/>
      </c>
      <c r="C256" s="9"/>
      <c r="D256" s="9"/>
      <c r="E256" s="56"/>
      <c r="F256" s="56"/>
      <c r="G256" s="56"/>
      <c r="H256" s="50"/>
      <c r="I256" s="54"/>
      <c r="J256" s="54"/>
      <c r="K256" s="54"/>
      <c r="L256" s="54"/>
      <c r="M256" s="54"/>
      <c r="N256" s="54"/>
      <c r="O256" s="54"/>
      <c r="P256" s="54"/>
      <c r="Q256" s="54"/>
      <c r="R256" s="54"/>
      <c r="S256" s="54"/>
      <c r="T256" s="54"/>
      <c r="U256" s="54"/>
      <c r="V256" s="54"/>
      <c r="W256" s="54"/>
      <c r="X256" s="54"/>
      <c r="Y256" s="54"/>
      <c r="Z256" s="54"/>
      <c r="AA256" s="54"/>
      <c r="AB256" s="54"/>
    </row>
    <row r="257">
      <c r="A257" s="57"/>
      <c r="B257" s="10" t="str">
        <f>IFERROR(VLOOKUP(C257,'Employees List'!$B$1:$G$999,4,0),"")</f>
        <v/>
      </c>
      <c r="C257" s="9"/>
      <c r="D257" s="9"/>
      <c r="E257" s="56"/>
      <c r="F257" s="56"/>
      <c r="G257" s="56"/>
      <c r="H257" s="50"/>
      <c r="I257" s="54"/>
      <c r="J257" s="54"/>
      <c r="K257" s="54"/>
      <c r="L257" s="54"/>
      <c r="M257" s="54"/>
      <c r="N257" s="54"/>
      <c r="O257" s="54"/>
      <c r="P257" s="54"/>
      <c r="Q257" s="54"/>
      <c r="R257" s="54"/>
      <c r="S257" s="54"/>
      <c r="T257" s="54"/>
      <c r="U257" s="54"/>
      <c r="V257" s="54"/>
      <c r="W257" s="54"/>
      <c r="X257" s="54"/>
      <c r="Y257" s="54"/>
      <c r="Z257" s="54"/>
      <c r="AA257" s="54"/>
      <c r="AB257" s="54"/>
    </row>
    <row r="258">
      <c r="A258" s="57"/>
      <c r="B258" s="10" t="str">
        <f>IFERROR(VLOOKUP(C258,'Employees List'!$B$1:$G$999,4,0),"")</f>
        <v/>
      </c>
      <c r="C258" s="9"/>
      <c r="D258" s="9"/>
      <c r="E258" s="56"/>
      <c r="F258" s="56"/>
      <c r="G258" s="56"/>
      <c r="H258" s="50"/>
      <c r="I258" s="54"/>
      <c r="J258" s="54"/>
      <c r="K258" s="54"/>
      <c r="L258" s="54"/>
      <c r="M258" s="54"/>
      <c r="N258" s="54"/>
      <c r="O258" s="54"/>
      <c r="P258" s="54"/>
      <c r="Q258" s="54"/>
      <c r="R258" s="54"/>
      <c r="S258" s="54"/>
      <c r="T258" s="54"/>
      <c r="U258" s="54"/>
      <c r="V258" s="54"/>
      <c r="W258" s="54"/>
      <c r="X258" s="54"/>
      <c r="Y258" s="54"/>
      <c r="Z258" s="54"/>
      <c r="AA258" s="54"/>
      <c r="AB258" s="54"/>
    </row>
    <row r="259">
      <c r="A259" s="57"/>
      <c r="B259" s="10" t="str">
        <f>IFERROR(VLOOKUP(C259,'Employees List'!$B$1:$G$999,4,0),"")</f>
        <v/>
      </c>
      <c r="C259" s="9"/>
      <c r="D259" s="9"/>
      <c r="E259" s="56"/>
      <c r="F259" s="56"/>
      <c r="G259" s="56"/>
      <c r="H259" s="50"/>
      <c r="I259" s="54"/>
      <c r="J259" s="54"/>
      <c r="K259" s="54"/>
      <c r="L259" s="54"/>
      <c r="M259" s="54"/>
      <c r="N259" s="54"/>
      <c r="O259" s="54"/>
      <c r="P259" s="54"/>
      <c r="Q259" s="54"/>
      <c r="R259" s="54"/>
      <c r="S259" s="54"/>
      <c r="T259" s="54"/>
      <c r="U259" s="54"/>
      <c r="V259" s="54"/>
      <c r="W259" s="54"/>
      <c r="X259" s="54"/>
      <c r="Y259" s="54"/>
      <c r="Z259" s="54"/>
      <c r="AA259" s="54"/>
      <c r="AB259" s="54"/>
    </row>
    <row r="260">
      <c r="A260" s="57"/>
      <c r="B260" s="10" t="str">
        <f>IFERROR(VLOOKUP(C260,'Employees List'!$B$1:$G$999,4,0),"")</f>
        <v/>
      </c>
      <c r="C260" s="9"/>
      <c r="D260" s="9"/>
      <c r="E260" s="56"/>
      <c r="F260" s="56"/>
      <c r="G260" s="56"/>
      <c r="H260" s="50"/>
      <c r="I260" s="54"/>
      <c r="J260" s="54"/>
      <c r="K260" s="54"/>
      <c r="L260" s="54"/>
      <c r="M260" s="54"/>
      <c r="N260" s="54"/>
      <c r="O260" s="54"/>
      <c r="P260" s="54"/>
      <c r="Q260" s="54"/>
      <c r="R260" s="54"/>
      <c r="S260" s="54"/>
      <c r="T260" s="54"/>
      <c r="U260" s="54"/>
      <c r="V260" s="54"/>
      <c r="W260" s="54"/>
      <c r="X260" s="54"/>
      <c r="Y260" s="54"/>
      <c r="Z260" s="54"/>
      <c r="AA260" s="54"/>
      <c r="AB260" s="54"/>
    </row>
    <row r="261">
      <c r="A261" s="57"/>
      <c r="B261" s="10" t="str">
        <f>IFERROR(VLOOKUP(C261,'Employees List'!$B$1:$G$999,4,0),"")</f>
        <v/>
      </c>
      <c r="C261" s="9"/>
      <c r="D261" s="9"/>
      <c r="E261" s="56"/>
      <c r="F261" s="56"/>
      <c r="G261" s="56"/>
      <c r="H261" s="50"/>
      <c r="I261" s="54"/>
      <c r="J261" s="54"/>
      <c r="K261" s="54"/>
      <c r="L261" s="54"/>
      <c r="M261" s="54"/>
      <c r="N261" s="54"/>
      <c r="O261" s="54"/>
      <c r="P261" s="54"/>
      <c r="Q261" s="54"/>
      <c r="R261" s="54"/>
      <c r="S261" s="54"/>
      <c r="T261" s="54"/>
      <c r="U261" s="54"/>
      <c r="V261" s="54"/>
      <c r="W261" s="54"/>
      <c r="X261" s="54"/>
      <c r="Y261" s="54"/>
      <c r="Z261" s="54"/>
      <c r="AA261" s="54"/>
      <c r="AB261" s="54"/>
    </row>
    <row r="262">
      <c r="A262" s="57"/>
      <c r="B262" s="10" t="str">
        <f>IFERROR(VLOOKUP(C262,'Employees List'!$B$1:$G$999,4,0),"")</f>
        <v/>
      </c>
      <c r="C262" s="9"/>
      <c r="D262" s="9"/>
      <c r="E262" s="56"/>
      <c r="F262" s="56"/>
      <c r="G262" s="56"/>
      <c r="H262" s="50"/>
      <c r="I262" s="54"/>
      <c r="J262" s="54"/>
      <c r="K262" s="54"/>
      <c r="L262" s="54"/>
      <c r="M262" s="54"/>
      <c r="N262" s="54"/>
      <c r="O262" s="54"/>
      <c r="P262" s="54"/>
      <c r="Q262" s="54"/>
      <c r="R262" s="54"/>
      <c r="S262" s="54"/>
      <c r="T262" s="54"/>
      <c r="U262" s="54"/>
      <c r="V262" s="54"/>
      <c r="W262" s="54"/>
      <c r="X262" s="54"/>
      <c r="Y262" s="54"/>
      <c r="Z262" s="54"/>
      <c r="AA262" s="54"/>
      <c r="AB262" s="54"/>
    </row>
    <row r="263">
      <c r="A263" s="57"/>
      <c r="B263" s="10" t="str">
        <f>IFERROR(VLOOKUP(C263,'Employees List'!$B$1:$G$999,4,0),"")</f>
        <v/>
      </c>
      <c r="C263" s="9"/>
      <c r="D263" s="9"/>
      <c r="E263" s="56"/>
      <c r="F263" s="56"/>
      <c r="G263" s="56"/>
      <c r="H263" s="50"/>
      <c r="I263" s="54"/>
      <c r="J263" s="54"/>
      <c r="K263" s="54"/>
      <c r="L263" s="54"/>
      <c r="M263" s="54"/>
      <c r="N263" s="54"/>
      <c r="O263" s="54"/>
      <c r="P263" s="54"/>
      <c r="Q263" s="54"/>
      <c r="R263" s="54"/>
      <c r="S263" s="54"/>
      <c r="T263" s="54"/>
      <c r="U263" s="54"/>
      <c r="V263" s="54"/>
      <c r="W263" s="54"/>
      <c r="X263" s="54"/>
      <c r="Y263" s="54"/>
      <c r="Z263" s="54"/>
      <c r="AA263" s="54"/>
      <c r="AB263" s="54"/>
    </row>
    <row r="264">
      <c r="A264" s="57"/>
      <c r="B264" s="10" t="str">
        <f>IFERROR(VLOOKUP(C264,'Employees List'!$B$1:$G$999,4,0),"")</f>
        <v/>
      </c>
      <c r="C264" s="9"/>
      <c r="D264" s="9"/>
      <c r="E264" s="56"/>
      <c r="F264" s="56"/>
      <c r="G264" s="56"/>
      <c r="H264" s="50"/>
      <c r="I264" s="54"/>
      <c r="J264" s="54"/>
      <c r="K264" s="54"/>
      <c r="L264" s="54"/>
      <c r="M264" s="54"/>
      <c r="N264" s="54"/>
      <c r="O264" s="54"/>
      <c r="P264" s="54"/>
      <c r="Q264" s="54"/>
      <c r="R264" s="54"/>
      <c r="S264" s="54"/>
      <c r="T264" s="54"/>
      <c r="U264" s="54"/>
      <c r="V264" s="54"/>
      <c r="W264" s="54"/>
      <c r="X264" s="54"/>
      <c r="Y264" s="54"/>
      <c r="Z264" s="54"/>
      <c r="AA264" s="54"/>
      <c r="AB264" s="54"/>
    </row>
    <row r="265">
      <c r="A265" s="57"/>
      <c r="B265" s="10" t="str">
        <f>IFERROR(VLOOKUP(C265,'Employees List'!$B$1:$G$999,4,0),"")</f>
        <v/>
      </c>
      <c r="C265" s="9"/>
      <c r="D265" s="9"/>
      <c r="E265" s="56"/>
      <c r="F265" s="56"/>
      <c r="G265" s="56"/>
      <c r="H265" s="50"/>
      <c r="I265" s="54"/>
      <c r="J265" s="54"/>
      <c r="K265" s="54"/>
      <c r="L265" s="54"/>
      <c r="M265" s="54"/>
      <c r="N265" s="54"/>
      <c r="O265" s="54"/>
      <c r="P265" s="54"/>
      <c r="Q265" s="54"/>
      <c r="R265" s="54"/>
      <c r="S265" s="54"/>
      <c r="T265" s="54"/>
      <c r="U265" s="54"/>
      <c r="V265" s="54"/>
      <c r="W265" s="54"/>
      <c r="X265" s="54"/>
      <c r="Y265" s="54"/>
      <c r="Z265" s="54"/>
      <c r="AA265" s="54"/>
      <c r="AB265" s="54"/>
    </row>
    <row r="266">
      <c r="A266" s="57"/>
      <c r="B266" s="10" t="str">
        <f>IFERROR(VLOOKUP(C266,'Employees List'!$B$1:$G$999,4,0),"")</f>
        <v/>
      </c>
      <c r="C266" s="9"/>
      <c r="D266" s="9"/>
      <c r="E266" s="56"/>
      <c r="F266" s="56"/>
      <c r="G266" s="56"/>
      <c r="H266" s="50"/>
      <c r="I266" s="54"/>
      <c r="J266" s="54"/>
      <c r="K266" s="54"/>
      <c r="L266" s="54"/>
      <c r="M266" s="54"/>
      <c r="N266" s="54"/>
      <c r="O266" s="54"/>
      <c r="P266" s="54"/>
      <c r="Q266" s="54"/>
      <c r="R266" s="54"/>
      <c r="S266" s="54"/>
      <c r="T266" s="54"/>
      <c r="U266" s="54"/>
      <c r="V266" s="54"/>
      <c r="W266" s="54"/>
      <c r="X266" s="54"/>
      <c r="Y266" s="54"/>
      <c r="Z266" s="54"/>
      <c r="AA266" s="54"/>
      <c r="AB266" s="54"/>
    </row>
    <row r="267">
      <c r="A267" s="57"/>
      <c r="B267" s="10" t="str">
        <f>IFERROR(VLOOKUP(C267,'Employees List'!$B$1:$G$999,4,0),"")</f>
        <v/>
      </c>
      <c r="C267" s="9"/>
      <c r="D267" s="9"/>
      <c r="E267" s="56"/>
      <c r="F267" s="56"/>
      <c r="G267" s="56"/>
      <c r="H267" s="50"/>
      <c r="I267" s="54"/>
      <c r="J267" s="54"/>
      <c r="K267" s="54"/>
      <c r="L267" s="54"/>
      <c r="M267" s="54"/>
      <c r="N267" s="54"/>
      <c r="O267" s="54"/>
      <c r="P267" s="54"/>
      <c r="Q267" s="54"/>
      <c r="R267" s="54"/>
      <c r="S267" s="54"/>
      <c r="T267" s="54"/>
      <c r="U267" s="54"/>
      <c r="V267" s="54"/>
      <c r="W267" s="54"/>
      <c r="X267" s="54"/>
      <c r="Y267" s="54"/>
      <c r="Z267" s="54"/>
      <c r="AA267" s="54"/>
      <c r="AB267" s="54"/>
    </row>
    <row r="268">
      <c r="A268" s="57"/>
      <c r="B268" s="10" t="str">
        <f>IFERROR(VLOOKUP(C268,'Employees List'!$B$1:$G$999,4,0),"")</f>
        <v/>
      </c>
      <c r="C268" s="9"/>
      <c r="D268" s="9"/>
      <c r="E268" s="56"/>
      <c r="F268" s="56"/>
      <c r="G268" s="56"/>
      <c r="H268" s="50"/>
      <c r="I268" s="54"/>
      <c r="J268" s="54"/>
      <c r="K268" s="54"/>
      <c r="L268" s="54"/>
      <c r="M268" s="54"/>
      <c r="N268" s="54"/>
      <c r="O268" s="54"/>
      <c r="P268" s="54"/>
      <c r="Q268" s="54"/>
      <c r="R268" s="54"/>
      <c r="S268" s="54"/>
      <c r="T268" s="54"/>
      <c r="U268" s="54"/>
      <c r="V268" s="54"/>
      <c r="W268" s="54"/>
      <c r="X268" s="54"/>
      <c r="Y268" s="54"/>
      <c r="Z268" s="54"/>
      <c r="AA268" s="54"/>
      <c r="AB268" s="54"/>
    </row>
    <row r="269">
      <c r="A269" s="57"/>
      <c r="B269" s="10" t="str">
        <f>IFERROR(VLOOKUP(C269,'Employees List'!$B$1:$G$999,4,0),"")</f>
        <v/>
      </c>
      <c r="C269" s="9"/>
      <c r="D269" s="9"/>
      <c r="E269" s="56"/>
      <c r="F269" s="56"/>
      <c r="G269" s="56"/>
      <c r="H269" s="50"/>
      <c r="I269" s="54"/>
      <c r="J269" s="54"/>
      <c r="K269" s="54"/>
      <c r="L269" s="54"/>
      <c r="M269" s="54"/>
      <c r="N269" s="54"/>
      <c r="O269" s="54"/>
      <c r="P269" s="54"/>
      <c r="Q269" s="54"/>
      <c r="R269" s="54"/>
      <c r="S269" s="54"/>
      <c r="T269" s="54"/>
      <c r="U269" s="54"/>
      <c r="V269" s="54"/>
      <c r="W269" s="54"/>
      <c r="X269" s="54"/>
      <c r="Y269" s="54"/>
      <c r="Z269" s="54"/>
      <c r="AA269" s="54"/>
      <c r="AB269" s="54"/>
    </row>
    <row r="270">
      <c r="A270" s="57"/>
      <c r="B270" s="10" t="str">
        <f>IFERROR(VLOOKUP(C270,'Employees List'!$B$1:$G$999,4,0),"")</f>
        <v/>
      </c>
      <c r="C270" s="9"/>
      <c r="D270" s="9"/>
      <c r="E270" s="56"/>
      <c r="F270" s="56"/>
      <c r="G270" s="56"/>
      <c r="H270" s="50"/>
      <c r="I270" s="54"/>
      <c r="J270" s="54"/>
      <c r="K270" s="54"/>
      <c r="L270" s="54"/>
      <c r="M270" s="54"/>
      <c r="N270" s="54"/>
      <c r="O270" s="54"/>
      <c r="P270" s="54"/>
      <c r="Q270" s="54"/>
      <c r="R270" s="54"/>
      <c r="S270" s="54"/>
      <c r="T270" s="54"/>
      <c r="U270" s="54"/>
      <c r="V270" s="54"/>
      <c r="W270" s="54"/>
      <c r="X270" s="54"/>
      <c r="Y270" s="54"/>
      <c r="Z270" s="54"/>
      <c r="AA270" s="54"/>
      <c r="AB270" s="54"/>
    </row>
    <row r="271">
      <c r="A271" s="57"/>
      <c r="B271" s="10" t="str">
        <f>IFERROR(VLOOKUP(C271,'Employees List'!$B$1:$G$999,4,0),"")</f>
        <v/>
      </c>
      <c r="C271" s="9"/>
      <c r="D271" s="9"/>
      <c r="E271" s="56"/>
      <c r="F271" s="56"/>
      <c r="G271" s="56"/>
      <c r="H271" s="50"/>
      <c r="I271" s="54"/>
      <c r="J271" s="54"/>
      <c r="K271" s="54"/>
      <c r="L271" s="54"/>
      <c r="M271" s="54"/>
      <c r="N271" s="54"/>
      <c r="O271" s="54"/>
      <c r="P271" s="54"/>
      <c r="Q271" s="54"/>
      <c r="R271" s="54"/>
      <c r="S271" s="54"/>
      <c r="T271" s="54"/>
      <c r="U271" s="54"/>
      <c r="V271" s="54"/>
      <c r="W271" s="54"/>
      <c r="X271" s="54"/>
      <c r="Y271" s="54"/>
      <c r="Z271" s="54"/>
      <c r="AA271" s="54"/>
      <c r="AB271" s="54"/>
    </row>
    <row r="272">
      <c r="A272" s="57"/>
      <c r="B272" s="10" t="str">
        <f>IFERROR(VLOOKUP(C272,'Employees List'!$B$1:$G$999,4,0),"")</f>
        <v/>
      </c>
      <c r="C272" s="9"/>
      <c r="D272" s="9"/>
      <c r="E272" s="56"/>
      <c r="F272" s="56"/>
      <c r="G272" s="56"/>
      <c r="H272" s="50"/>
      <c r="I272" s="54"/>
      <c r="J272" s="54"/>
      <c r="K272" s="54"/>
      <c r="L272" s="54"/>
      <c r="M272" s="54"/>
      <c r="N272" s="54"/>
      <c r="O272" s="54"/>
      <c r="P272" s="54"/>
      <c r="Q272" s="54"/>
      <c r="R272" s="54"/>
      <c r="S272" s="54"/>
      <c r="T272" s="54"/>
      <c r="U272" s="54"/>
      <c r="V272" s="54"/>
      <c r="W272" s="54"/>
      <c r="X272" s="54"/>
      <c r="Y272" s="54"/>
      <c r="Z272" s="54"/>
      <c r="AA272" s="54"/>
      <c r="AB272" s="54"/>
    </row>
    <row r="273">
      <c r="A273" s="57"/>
      <c r="B273" s="10" t="str">
        <f>IFERROR(VLOOKUP(C273,'Employees List'!$B$1:$G$999,4,0),"")</f>
        <v/>
      </c>
      <c r="C273" s="9"/>
      <c r="D273" s="9"/>
      <c r="E273" s="56"/>
      <c r="F273" s="56"/>
      <c r="G273" s="56"/>
      <c r="H273" s="50"/>
      <c r="I273" s="54"/>
      <c r="J273" s="54"/>
      <c r="K273" s="54"/>
      <c r="L273" s="54"/>
      <c r="M273" s="54"/>
      <c r="N273" s="54"/>
      <c r="O273" s="54"/>
      <c r="P273" s="54"/>
      <c r="Q273" s="54"/>
      <c r="R273" s="54"/>
      <c r="S273" s="54"/>
      <c r="T273" s="54"/>
      <c r="U273" s="54"/>
      <c r="V273" s="54"/>
      <c r="W273" s="54"/>
      <c r="X273" s="54"/>
      <c r="Y273" s="54"/>
      <c r="Z273" s="54"/>
      <c r="AA273" s="54"/>
      <c r="AB273" s="54"/>
    </row>
    <row r="274">
      <c r="A274" s="57"/>
      <c r="B274" s="10" t="str">
        <f>IFERROR(VLOOKUP(C274,'Employees List'!$B$1:$G$999,4,0),"")</f>
        <v/>
      </c>
      <c r="C274" s="9"/>
      <c r="D274" s="9"/>
      <c r="E274" s="56"/>
      <c r="F274" s="56"/>
      <c r="G274" s="56"/>
      <c r="H274" s="50"/>
      <c r="I274" s="54"/>
      <c r="J274" s="54"/>
      <c r="K274" s="54"/>
      <c r="L274" s="54"/>
      <c r="M274" s="54"/>
      <c r="N274" s="54"/>
      <c r="O274" s="54"/>
      <c r="P274" s="54"/>
      <c r="Q274" s="54"/>
      <c r="R274" s="54"/>
      <c r="S274" s="54"/>
      <c r="T274" s="54"/>
      <c r="U274" s="54"/>
      <c r="V274" s="54"/>
      <c r="W274" s="54"/>
      <c r="X274" s="54"/>
      <c r="Y274" s="54"/>
      <c r="Z274" s="54"/>
      <c r="AA274" s="54"/>
      <c r="AB274" s="54"/>
    </row>
    <row r="275">
      <c r="A275" s="57"/>
      <c r="B275" s="10" t="str">
        <f>IFERROR(VLOOKUP(C275,'Employees List'!$B$1:$G$999,4,0),"")</f>
        <v/>
      </c>
      <c r="C275" s="9"/>
      <c r="D275" s="9"/>
      <c r="E275" s="56"/>
      <c r="F275" s="56"/>
      <c r="G275" s="56"/>
      <c r="H275" s="50"/>
      <c r="I275" s="54"/>
      <c r="J275" s="54"/>
      <c r="K275" s="54"/>
      <c r="L275" s="54"/>
      <c r="M275" s="54"/>
      <c r="N275" s="54"/>
      <c r="O275" s="54"/>
      <c r="P275" s="54"/>
      <c r="Q275" s="54"/>
      <c r="R275" s="54"/>
      <c r="S275" s="54"/>
      <c r="T275" s="54"/>
      <c r="U275" s="54"/>
      <c r="V275" s="54"/>
      <c r="W275" s="54"/>
      <c r="X275" s="54"/>
      <c r="Y275" s="54"/>
      <c r="Z275" s="54"/>
      <c r="AA275" s="54"/>
      <c r="AB275" s="54"/>
    </row>
    <row r="276">
      <c r="A276" s="57"/>
      <c r="B276" s="10" t="str">
        <f>IFERROR(VLOOKUP(C276,'Employees List'!$B$1:$G$999,4,0),"")</f>
        <v/>
      </c>
      <c r="C276" s="9"/>
      <c r="D276" s="9"/>
      <c r="E276" s="56"/>
      <c r="F276" s="56"/>
      <c r="G276" s="56"/>
      <c r="H276" s="50"/>
      <c r="I276" s="54"/>
      <c r="J276" s="54"/>
      <c r="K276" s="54"/>
      <c r="L276" s="54"/>
      <c r="M276" s="54"/>
      <c r="N276" s="54"/>
      <c r="O276" s="54"/>
      <c r="P276" s="54"/>
      <c r="Q276" s="54"/>
      <c r="R276" s="54"/>
      <c r="S276" s="54"/>
      <c r="T276" s="54"/>
      <c r="U276" s="54"/>
      <c r="V276" s="54"/>
      <c r="W276" s="54"/>
      <c r="X276" s="54"/>
      <c r="Y276" s="54"/>
      <c r="Z276" s="54"/>
      <c r="AA276" s="54"/>
      <c r="AB276" s="54"/>
    </row>
    <row r="277">
      <c r="A277" s="57"/>
      <c r="B277" s="10" t="str">
        <f>IFERROR(VLOOKUP(C277,'Employees List'!$B$1:$G$999,4,0),"")</f>
        <v/>
      </c>
      <c r="C277" s="9"/>
      <c r="D277" s="9"/>
      <c r="E277" s="56"/>
      <c r="F277" s="56"/>
      <c r="G277" s="56"/>
      <c r="H277" s="50"/>
      <c r="I277" s="54"/>
      <c r="J277" s="54"/>
      <c r="K277" s="54"/>
      <c r="L277" s="54"/>
      <c r="M277" s="54"/>
      <c r="N277" s="54"/>
      <c r="O277" s="54"/>
      <c r="P277" s="54"/>
      <c r="Q277" s="54"/>
      <c r="R277" s="54"/>
      <c r="S277" s="54"/>
      <c r="T277" s="54"/>
      <c r="U277" s="54"/>
      <c r="V277" s="54"/>
      <c r="W277" s="54"/>
      <c r="X277" s="54"/>
      <c r="Y277" s="54"/>
      <c r="Z277" s="54"/>
      <c r="AA277" s="54"/>
      <c r="AB277" s="54"/>
    </row>
    <row r="278">
      <c r="A278" s="57"/>
      <c r="B278" s="10" t="str">
        <f>IFERROR(VLOOKUP(C278,'Employees List'!$B$1:$G$999,4,0),"")</f>
        <v/>
      </c>
      <c r="C278" s="9"/>
      <c r="D278" s="9"/>
      <c r="E278" s="56"/>
      <c r="F278" s="56"/>
      <c r="G278" s="56"/>
      <c r="H278" s="50"/>
      <c r="I278" s="54"/>
      <c r="J278" s="54"/>
      <c r="K278" s="54"/>
      <c r="L278" s="54"/>
      <c r="M278" s="54"/>
      <c r="N278" s="54"/>
      <c r="O278" s="54"/>
      <c r="P278" s="54"/>
      <c r="Q278" s="54"/>
      <c r="R278" s="54"/>
      <c r="S278" s="54"/>
      <c r="T278" s="54"/>
      <c r="U278" s="54"/>
      <c r="V278" s="54"/>
      <c r="W278" s="54"/>
      <c r="X278" s="54"/>
      <c r="Y278" s="54"/>
      <c r="Z278" s="54"/>
      <c r="AA278" s="54"/>
      <c r="AB278" s="54"/>
    </row>
    <row r="279">
      <c r="A279" s="57"/>
      <c r="B279" s="10" t="str">
        <f>IFERROR(VLOOKUP(C279,'Employees List'!$B$1:$G$999,4,0),"")</f>
        <v/>
      </c>
      <c r="C279" s="9"/>
      <c r="D279" s="9"/>
      <c r="E279" s="56"/>
      <c r="F279" s="56"/>
      <c r="G279" s="56"/>
      <c r="H279" s="50"/>
      <c r="I279" s="54"/>
      <c r="J279" s="54"/>
      <c r="K279" s="54"/>
      <c r="L279" s="54"/>
      <c r="M279" s="54"/>
      <c r="N279" s="54"/>
      <c r="O279" s="54"/>
      <c r="P279" s="54"/>
      <c r="Q279" s="54"/>
      <c r="R279" s="54"/>
      <c r="S279" s="54"/>
      <c r="T279" s="54"/>
      <c r="U279" s="54"/>
      <c r="V279" s="54"/>
      <c r="W279" s="54"/>
      <c r="X279" s="54"/>
      <c r="Y279" s="54"/>
      <c r="Z279" s="54"/>
      <c r="AA279" s="54"/>
      <c r="AB279" s="54"/>
    </row>
    <row r="280">
      <c r="A280" s="57"/>
      <c r="B280" s="10" t="str">
        <f>IFERROR(VLOOKUP(C280,'Employees List'!$B$1:$G$999,4,0),"")</f>
        <v/>
      </c>
      <c r="C280" s="9"/>
      <c r="D280" s="9"/>
      <c r="E280" s="56"/>
      <c r="F280" s="56"/>
      <c r="G280" s="56"/>
      <c r="H280" s="50"/>
      <c r="I280" s="54"/>
      <c r="J280" s="54"/>
      <c r="K280" s="54"/>
      <c r="L280" s="54"/>
      <c r="M280" s="54"/>
      <c r="N280" s="54"/>
      <c r="O280" s="54"/>
      <c r="P280" s="54"/>
      <c r="Q280" s="54"/>
      <c r="R280" s="54"/>
      <c r="S280" s="54"/>
      <c r="T280" s="54"/>
      <c r="U280" s="54"/>
      <c r="V280" s="54"/>
      <c r="W280" s="54"/>
      <c r="X280" s="54"/>
      <c r="Y280" s="54"/>
      <c r="Z280" s="54"/>
      <c r="AA280" s="54"/>
      <c r="AB280" s="54"/>
    </row>
    <row r="281">
      <c r="A281" s="57"/>
      <c r="B281" s="10" t="str">
        <f>IFERROR(VLOOKUP(C281,'Employees List'!$B$1:$G$999,4,0),"")</f>
        <v/>
      </c>
      <c r="C281" s="9"/>
      <c r="D281" s="9"/>
      <c r="E281" s="56"/>
      <c r="F281" s="56"/>
      <c r="G281" s="56"/>
      <c r="H281" s="50"/>
      <c r="I281" s="54"/>
      <c r="J281" s="54"/>
      <c r="K281" s="54"/>
      <c r="L281" s="54"/>
      <c r="M281" s="54"/>
      <c r="N281" s="54"/>
      <c r="O281" s="54"/>
      <c r="P281" s="54"/>
      <c r="Q281" s="54"/>
      <c r="R281" s="54"/>
      <c r="S281" s="54"/>
      <c r="T281" s="54"/>
      <c r="U281" s="54"/>
      <c r="V281" s="54"/>
      <c r="W281" s="54"/>
      <c r="X281" s="54"/>
      <c r="Y281" s="54"/>
      <c r="Z281" s="54"/>
      <c r="AA281" s="54"/>
      <c r="AB281" s="54"/>
    </row>
    <row r="282">
      <c r="A282" s="57"/>
      <c r="B282" s="10" t="str">
        <f>IFERROR(VLOOKUP(C282,'Employees List'!$B$1:$G$999,4,0),"")</f>
        <v/>
      </c>
      <c r="C282" s="9"/>
      <c r="D282" s="9"/>
      <c r="E282" s="56"/>
      <c r="F282" s="56"/>
      <c r="G282" s="56"/>
      <c r="H282" s="50"/>
      <c r="I282" s="54"/>
      <c r="J282" s="54"/>
      <c r="K282" s="54"/>
      <c r="L282" s="54"/>
      <c r="M282" s="54"/>
      <c r="N282" s="54"/>
      <c r="O282" s="54"/>
      <c r="P282" s="54"/>
      <c r="Q282" s="54"/>
      <c r="R282" s="54"/>
      <c r="S282" s="54"/>
      <c r="T282" s="54"/>
      <c r="U282" s="54"/>
      <c r="V282" s="54"/>
      <c r="W282" s="54"/>
      <c r="X282" s="54"/>
      <c r="Y282" s="54"/>
      <c r="Z282" s="54"/>
      <c r="AA282" s="54"/>
      <c r="AB282" s="54"/>
    </row>
    <row r="283">
      <c r="A283" s="57"/>
      <c r="B283" s="10" t="str">
        <f>IFERROR(VLOOKUP(C283,'Employees List'!$B$1:$G$999,4,0),"")</f>
        <v/>
      </c>
      <c r="C283" s="9"/>
      <c r="D283" s="9"/>
      <c r="E283" s="56"/>
      <c r="F283" s="56"/>
      <c r="G283" s="56"/>
      <c r="H283" s="50"/>
      <c r="I283" s="54"/>
      <c r="J283" s="54"/>
      <c r="K283" s="54"/>
      <c r="L283" s="54"/>
      <c r="M283" s="54"/>
      <c r="N283" s="54"/>
      <c r="O283" s="54"/>
      <c r="P283" s="54"/>
      <c r="Q283" s="54"/>
      <c r="R283" s="54"/>
      <c r="S283" s="54"/>
      <c r="T283" s="54"/>
      <c r="U283" s="54"/>
      <c r="V283" s="54"/>
      <c r="W283" s="54"/>
      <c r="X283" s="54"/>
      <c r="Y283" s="54"/>
      <c r="Z283" s="54"/>
      <c r="AA283" s="54"/>
      <c r="AB283" s="54"/>
    </row>
    <row r="284">
      <c r="A284" s="57"/>
      <c r="B284" s="10" t="str">
        <f>IFERROR(VLOOKUP(C284,'Employees List'!$B$1:$G$999,4,0),"")</f>
        <v/>
      </c>
      <c r="C284" s="9"/>
      <c r="D284" s="9"/>
      <c r="E284" s="56"/>
      <c r="F284" s="56"/>
      <c r="G284" s="56"/>
      <c r="H284" s="50"/>
      <c r="I284" s="54"/>
      <c r="J284" s="54"/>
      <c r="K284" s="54"/>
      <c r="L284" s="54"/>
      <c r="M284" s="54"/>
      <c r="N284" s="54"/>
      <c r="O284" s="54"/>
      <c r="P284" s="54"/>
      <c r="Q284" s="54"/>
      <c r="R284" s="54"/>
      <c r="S284" s="54"/>
      <c r="T284" s="54"/>
      <c r="U284" s="54"/>
      <c r="V284" s="54"/>
      <c r="W284" s="54"/>
      <c r="X284" s="54"/>
      <c r="Y284" s="54"/>
      <c r="Z284" s="54"/>
      <c r="AA284" s="54"/>
      <c r="AB284" s="54"/>
    </row>
    <row r="285">
      <c r="A285" s="57"/>
      <c r="B285" s="10" t="str">
        <f>IFERROR(VLOOKUP(C285,'Employees List'!$B$1:$G$999,4,0),"")</f>
        <v/>
      </c>
      <c r="C285" s="9"/>
      <c r="D285" s="9"/>
      <c r="E285" s="56"/>
      <c r="F285" s="56"/>
      <c r="G285" s="56"/>
      <c r="H285" s="50"/>
      <c r="I285" s="54"/>
      <c r="J285" s="54"/>
      <c r="K285" s="54"/>
      <c r="L285" s="54"/>
      <c r="M285" s="54"/>
      <c r="N285" s="54"/>
      <c r="O285" s="54"/>
      <c r="P285" s="54"/>
      <c r="Q285" s="54"/>
      <c r="R285" s="54"/>
      <c r="S285" s="54"/>
      <c r="T285" s="54"/>
      <c r="U285" s="54"/>
      <c r="V285" s="54"/>
      <c r="W285" s="54"/>
      <c r="X285" s="54"/>
      <c r="Y285" s="54"/>
      <c r="Z285" s="54"/>
      <c r="AA285" s="54"/>
      <c r="AB285" s="54"/>
    </row>
    <row r="286">
      <c r="A286" s="57"/>
      <c r="B286" s="10" t="str">
        <f>IFERROR(VLOOKUP(C286,'Employees List'!$B$1:$G$999,4,0),"")</f>
        <v/>
      </c>
      <c r="C286" s="9"/>
      <c r="D286" s="9"/>
      <c r="E286" s="56"/>
      <c r="F286" s="56"/>
      <c r="G286" s="56"/>
      <c r="H286" s="50"/>
      <c r="I286" s="54"/>
      <c r="J286" s="54"/>
      <c r="K286" s="54"/>
      <c r="L286" s="54"/>
      <c r="M286" s="54"/>
      <c r="N286" s="54"/>
      <c r="O286" s="54"/>
      <c r="P286" s="54"/>
      <c r="Q286" s="54"/>
      <c r="R286" s="54"/>
      <c r="S286" s="54"/>
      <c r="T286" s="54"/>
      <c r="U286" s="54"/>
      <c r="V286" s="54"/>
      <c r="W286" s="54"/>
      <c r="X286" s="54"/>
      <c r="Y286" s="54"/>
      <c r="Z286" s="54"/>
      <c r="AA286" s="54"/>
      <c r="AB286" s="54"/>
    </row>
    <row r="287">
      <c r="A287" s="57"/>
      <c r="B287" s="10" t="str">
        <f>IFERROR(VLOOKUP(C287,'Employees List'!$B$1:$G$999,4,0),"")</f>
        <v/>
      </c>
      <c r="C287" s="9"/>
      <c r="D287" s="9"/>
      <c r="E287" s="56"/>
      <c r="F287" s="56"/>
      <c r="G287" s="56"/>
      <c r="H287" s="50"/>
      <c r="I287" s="54"/>
      <c r="J287" s="54"/>
      <c r="K287" s="54"/>
      <c r="L287" s="54"/>
      <c r="M287" s="54"/>
      <c r="N287" s="54"/>
      <c r="O287" s="54"/>
      <c r="P287" s="54"/>
      <c r="Q287" s="54"/>
      <c r="R287" s="54"/>
      <c r="S287" s="54"/>
      <c r="T287" s="54"/>
      <c r="U287" s="54"/>
      <c r="V287" s="54"/>
      <c r="W287" s="54"/>
      <c r="X287" s="54"/>
      <c r="Y287" s="54"/>
      <c r="Z287" s="54"/>
      <c r="AA287" s="54"/>
      <c r="AB287" s="54"/>
    </row>
    <row r="288">
      <c r="A288" s="57"/>
      <c r="B288" s="10" t="str">
        <f>IFERROR(VLOOKUP(C288,'Employees List'!$B$1:$G$999,4,0),"")</f>
        <v/>
      </c>
      <c r="C288" s="9"/>
      <c r="D288" s="9"/>
      <c r="E288" s="56"/>
      <c r="F288" s="56"/>
      <c r="G288" s="56"/>
      <c r="H288" s="50"/>
      <c r="I288" s="54"/>
      <c r="J288" s="54"/>
      <c r="K288" s="54"/>
      <c r="L288" s="54"/>
      <c r="M288" s="54"/>
      <c r="N288" s="54"/>
      <c r="O288" s="54"/>
      <c r="P288" s="54"/>
      <c r="Q288" s="54"/>
      <c r="R288" s="54"/>
      <c r="S288" s="54"/>
      <c r="T288" s="54"/>
      <c r="U288" s="54"/>
      <c r="V288" s="54"/>
      <c r="W288" s="54"/>
      <c r="X288" s="54"/>
      <c r="Y288" s="54"/>
      <c r="Z288" s="54"/>
      <c r="AA288" s="54"/>
      <c r="AB288" s="54"/>
    </row>
    <row r="289">
      <c r="A289" s="57"/>
      <c r="B289" s="10" t="str">
        <f>IFERROR(VLOOKUP(C289,'Employees List'!$B$1:$G$999,4,0),"")</f>
        <v/>
      </c>
      <c r="C289" s="9"/>
      <c r="D289" s="9"/>
      <c r="E289" s="56"/>
      <c r="F289" s="56"/>
      <c r="G289" s="56"/>
      <c r="H289" s="50"/>
      <c r="I289" s="54"/>
      <c r="J289" s="54"/>
      <c r="K289" s="54"/>
      <c r="L289" s="54"/>
      <c r="M289" s="54"/>
      <c r="N289" s="54"/>
      <c r="O289" s="54"/>
      <c r="P289" s="54"/>
      <c r="Q289" s="54"/>
      <c r="R289" s="54"/>
      <c r="S289" s="54"/>
      <c r="T289" s="54"/>
      <c r="U289" s="54"/>
      <c r="V289" s="54"/>
      <c r="W289" s="54"/>
      <c r="X289" s="54"/>
      <c r="Y289" s="54"/>
      <c r="Z289" s="54"/>
      <c r="AA289" s="54"/>
      <c r="AB289" s="54"/>
    </row>
    <row r="290">
      <c r="A290" s="57"/>
      <c r="B290" s="10" t="str">
        <f>IFERROR(VLOOKUP(C290,'Employees List'!$B$1:$G$999,4,0),"")</f>
        <v/>
      </c>
      <c r="C290" s="9"/>
      <c r="D290" s="9"/>
      <c r="E290" s="56"/>
      <c r="F290" s="56"/>
      <c r="G290" s="56"/>
      <c r="H290" s="50"/>
      <c r="I290" s="54"/>
      <c r="J290" s="54"/>
      <c r="K290" s="54"/>
      <c r="L290" s="54"/>
      <c r="M290" s="54"/>
      <c r="N290" s="54"/>
      <c r="O290" s="54"/>
      <c r="P290" s="54"/>
      <c r="Q290" s="54"/>
      <c r="R290" s="54"/>
      <c r="S290" s="54"/>
      <c r="T290" s="54"/>
      <c r="U290" s="54"/>
      <c r="V290" s="54"/>
      <c r="W290" s="54"/>
      <c r="X290" s="54"/>
      <c r="Y290" s="54"/>
      <c r="Z290" s="54"/>
      <c r="AA290" s="54"/>
      <c r="AB290" s="54"/>
    </row>
    <row r="291">
      <c r="A291" s="57"/>
      <c r="B291" s="10" t="str">
        <f>IFERROR(VLOOKUP(C291,'Employees List'!$B$1:$G$999,4,0),"")</f>
        <v/>
      </c>
      <c r="C291" s="9"/>
      <c r="D291" s="9"/>
      <c r="E291" s="56"/>
      <c r="F291" s="56"/>
      <c r="G291" s="56"/>
      <c r="H291" s="50"/>
      <c r="I291" s="54"/>
      <c r="J291" s="54"/>
      <c r="K291" s="54"/>
      <c r="L291" s="54"/>
      <c r="M291" s="54"/>
      <c r="N291" s="54"/>
      <c r="O291" s="54"/>
      <c r="P291" s="54"/>
      <c r="Q291" s="54"/>
      <c r="R291" s="54"/>
      <c r="S291" s="54"/>
      <c r="T291" s="54"/>
      <c r="U291" s="54"/>
      <c r="V291" s="54"/>
      <c r="W291" s="54"/>
      <c r="X291" s="54"/>
      <c r="Y291" s="54"/>
      <c r="Z291" s="54"/>
      <c r="AA291" s="54"/>
      <c r="AB291" s="54"/>
    </row>
    <row r="292">
      <c r="A292" s="57"/>
      <c r="B292" s="10" t="str">
        <f>IFERROR(VLOOKUP(C292,'Employees List'!$B$1:$G$999,4,0),"")</f>
        <v/>
      </c>
      <c r="C292" s="9"/>
      <c r="D292" s="9"/>
      <c r="E292" s="56"/>
      <c r="F292" s="56"/>
      <c r="G292" s="56"/>
      <c r="H292" s="50"/>
      <c r="I292" s="54"/>
      <c r="J292" s="54"/>
      <c r="K292" s="54"/>
      <c r="L292" s="54"/>
      <c r="M292" s="54"/>
      <c r="N292" s="54"/>
      <c r="O292" s="54"/>
      <c r="P292" s="54"/>
      <c r="Q292" s="54"/>
      <c r="R292" s="54"/>
      <c r="S292" s="54"/>
      <c r="T292" s="54"/>
      <c r="U292" s="54"/>
      <c r="V292" s="54"/>
      <c r="W292" s="54"/>
      <c r="X292" s="54"/>
      <c r="Y292" s="54"/>
      <c r="Z292" s="54"/>
      <c r="AA292" s="54"/>
      <c r="AB292" s="54"/>
    </row>
    <row r="293">
      <c r="A293" s="57"/>
      <c r="B293" s="10" t="str">
        <f>IFERROR(VLOOKUP(C293,'Employees List'!$B$1:$G$999,4,0),"")</f>
        <v/>
      </c>
      <c r="C293" s="9"/>
      <c r="D293" s="9"/>
      <c r="E293" s="56"/>
      <c r="F293" s="56"/>
      <c r="G293" s="56"/>
      <c r="H293" s="50"/>
      <c r="I293" s="54"/>
      <c r="J293" s="54"/>
      <c r="K293" s="54"/>
      <c r="L293" s="54"/>
      <c r="M293" s="54"/>
      <c r="N293" s="54"/>
      <c r="O293" s="54"/>
      <c r="P293" s="54"/>
      <c r="Q293" s="54"/>
      <c r="R293" s="54"/>
      <c r="S293" s="54"/>
      <c r="T293" s="54"/>
      <c r="U293" s="54"/>
      <c r="V293" s="54"/>
      <c r="W293" s="54"/>
      <c r="X293" s="54"/>
      <c r="Y293" s="54"/>
      <c r="Z293" s="54"/>
      <c r="AA293" s="54"/>
      <c r="AB293" s="54"/>
    </row>
    <row r="294">
      <c r="A294" s="57"/>
      <c r="B294" s="10" t="str">
        <f>IFERROR(VLOOKUP(C294,'Employees List'!$B$1:$G$999,4,0),"")</f>
        <v/>
      </c>
      <c r="C294" s="9"/>
      <c r="D294" s="9"/>
      <c r="E294" s="56"/>
      <c r="F294" s="56"/>
      <c r="G294" s="56"/>
      <c r="H294" s="50"/>
      <c r="I294" s="54"/>
      <c r="J294" s="54"/>
      <c r="K294" s="54"/>
      <c r="L294" s="54"/>
      <c r="M294" s="54"/>
      <c r="N294" s="54"/>
      <c r="O294" s="54"/>
      <c r="P294" s="54"/>
      <c r="Q294" s="54"/>
      <c r="R294" s="54"/>
      <c r="S294" s="54"/>
      <c r="T294" s="54"/>
      <c r="U294" s="54"/>
      <c r="V294" s="54"/>
      <c r="W294" s="54"/>
      <c r="X294" s="54"/>
      <c r="Y294" s="54"/>
      <c r="Z294" s="54"/>
      <c r="AA294" s="54"/>
      <c r="AB294" s="54"/>
    </row>
    <row r="295">
      <c r="A295" s="57"/>
      <c r="B295" s="10" t="str">
        <f>IFERROR(VLOOKUP(C295,'Employees List'!$B$1:$G$999,4,0),"")</f>
        <v/>
      </c>
      <c r="C295" s="9"/>
      <c r="D295" s="9"/>
      <c r="E295" s="56"/>
      <c r="F295" s="56"/>
      <c r="G295" s="56"/>
      <c r="H295" s="50"/>
      <c r="I295" s="54"/>
      <c r="J295" s="54"/>
      <c r="K295" s="54"/>
      <c r="L295" s="54"/>
      <c r="M295" s="54"/>
      <c r="N295" s="54"/>
      <c r="O295" s="54"/>
      <c r="P295" s="54"/>
      <c r="Q295" s="54"/>
      <c r="R295" s="54"/>
      <c r="S295" s="54"/>
      <c r="T295" s="54"/>
      <c r="U295" s="54"/>
      <c r="V295" s="54"/>
      <c r="W295" s="54"/>
      <c r="X295" s="54"/>
      <c r="Y295" s="54"/>
      <c r="Z295" s="54"/>
      <c r="AA295" s="54"/>
      <c r="AB295" s="54"/>
    </row>
    <row r="296">
      <c r="A296" s="57"/>
      <c r="B296" s="10" t="str">
        <f>IFERROR(VLOOKUP(C296,'Employees List'!$B$1:$G$999,4,0),"")</f>
        <v/>
      </c>
      <c r="C296" s="9"/>
      <c r="D296" s="9"/>
      <c r="E296" s="56"/>
      <c r="F296" s="56"/>
      <c r="G296" s="56"/>
      <c r="H296" s="50"/>
      <c r="I296" s="54"/>
      <c r="J296" s="54"/>
      <c r="K296" s="54"/>
      <c r="L296" s="54"/>
      <c r="M296" s="54"/>
      <c r="N296" s="54"/>
      <c r="O296" s="54"/>
      <c r="P296" s="54"/>
      <c r="Q296" s="54"/>
      <c r="R296" s="54"/>
      <c r="S296" s="54"/>
      <c r="T296" s="54"/>
      <c r="U296" s="54"/>
      <c r="V296" s="54"/>
      <c r="W296" s="54"/>
      <c r="X296" s="54"/>
      <c r="Y296" s="54"/>
      <c r="Z296" s="54"/>
      <c r="AA296" s="54"/>
      <c r="AB296" s="54"/>
    </row>
    <row r="297">
      <c r="A297" s="57"/>
      <c r="B297" s="10" t="str">
        <f>IFERROR(VLOOKUP(C297,'Employees List'!$B$1:$G$999,4,0),"")</f>
        <v/>
      </c>
      <c r="C297" s="9"/>
      <c r="D297" s="9"/>
      <c r="E297" s="56"/>
      <c r="F297" s="56"/>
      <c r="G297" s="56"/>
      <c r="H297" s="50"/>
      <c r="I297" s="54"/>
      <c r="J297" s="54"/>
      <c r="K297" s="54"/>
      <c r="L297" s="54"/>
      <c r="M297" s="54"/>
      <c r="N297" s="54"/>
      <c r="O297" s="54"/>
      <c r="P297" s="54"/>
      <c r="Q297" s="54"/>
      <c r="R297" s="54"/>
      <c r="S297" s="54"/>
      <c r="T297" s="54"/>
      <c r="U297" s="54"/>
      <c r="V297" s="54"/>
      <c r="W297" s="54"/>
      <c r="X297" s="54"/>
      <c r="Y297" s="54"/>
      <c r="Z297" s="54"/>
      <c r="AA297" s="54"/>
      <c r="AB297" s="54"/>
    </row>
    <row r="298">
      <c r="A298" s="57"/>
      <c r="B298" s="10" t="str">
        <f>IFERROR(VLOOKUP(C298,'Employees List'!$B$1:$G$999,4,0),"")</f>
        <v/>
      </c>
      <c r="C298" s="9"/>
      <c r="D298" s="9"/>
      <c r="E298" s="56"/>
      <c r="F298" s="56"/>
      <c r="G298" s="56"/>
      <c r="H298" s="50"/>
      <c r="I298" s="54"/>
      <c r="J298" s="54"/>
      <c r="K298" s="54"/>
      <c r="L298" s="54"/>
      <c r="M298" s="54"/>
      <c r="N298" s="54"/>
      <c r="O298" s="54"/>
      <c r="P298" s="54"/>
      <c r="Q298" s="54"/>
      <c r="R298" s="54"/>
      <c r="S298" s="54"/>
      <c r="T298" s="54"/>
      <c r="U298" s="54"/>
      <c r="V298" s="54"/>
      <c r="W298" s="54"/>
      <c r="X298" s="54"/>
      <c r="Y298" s="54"/>
      <c r="Z298" s="54"/>
      <c r="AA298" s="54"/>
      <c r="AB298" s="54"/>
    </row>
    <row r="299">
      <c r="A299" s="57"/>
      <c r="B299" s="10" t="str">
        <f>IFERROR(VLOOKUP(C299,'Employees List'!$B$1:$G$999,4,0),"")</f>
        <v/>
      </c>
      <c r="C299" s="9"/>
      <c r="D299" s="9"/>
      <c r="E299" s="56"/>
      <c r="F299" s="56"/>
      <c r="G299" s="56"/>
      <c r="H299" s="50"/>
      <c r="I299" s="54"/>
      <c r="J299" s="54"/>
      <c r="K299" s="54"/>
      <c r="L299" s="54"/>
      <c r="M299" s="54"/>
      <c r="N299" s="54"/>
      <c r="O299" s="54"/>
      <c r="P299" s="54"/>
      <c r="Q299" s="54"/>
      <c r="R299" s="54"/>
      <c r="S299" s="54"/>
      <c r="T299" s="54"/>
      <c r="U299" s="54"/>
      <c r="V299" s="54"/>
      <c r="W299" s="54"/>
      <c r="X299" s="54"/>
      <c r="Y299" s="54"/>
      <c r="Z299" s="54"/>
      <c r="AA299" s="54"/>
      <c r="AB299" s="54"/>
    </row>
    <row r="300">
      <c r="A300" s="57"/>
      <c r="B300" s="10" t="str">
        <f>IFERROR(VLOOKUP(C300,'Employees List'!$B$1:$G$999,4,0),"")</f>
        <v/>
      </c>
      <c r="C300" s="9"/>
      <c r="D300" s="9"/>
      <c r="E300" s="56"/>
      <c r="F300" s="56"/>
      <c r="G300" s="56"/>
      <c r="H300" s="50"/>
      <c r="I300" s="54"/>
      <c r="J300" s="54"/>
      <c r="K300" s="54"/>
      <c r="L300" s="54"/>
      <c r="M300" s="54"/>
      <c r="N300" s="54"/>
      <c r="O300" s="54"/>
      <c r="P300" s="54"/>
      <c r="Q300" s="54"/>
      <c r="R300" s="54"/>
      <c r="S300" s="54"/>
      <c r="T300" s="54"/>
      <c r="U300" s="54"/>
      <c r="V300" s="54"/>
      <c r="W300" s="54"/>
      <c r="X300" s="54"/>
      <c r="Y300" s="54"/>
      <c r="Z300" s="54"/>
      <c r="AA300" s="54"/>
      <c r="AB300" s="54"/>
    </row>
    <row r="301">
      <c r="A301" s="57"/>
      <c r="B301" s="10" t="str">
        <f>IFERROR(VLOOKUP(C301,'Employees List'!$B$1:$G$999,4,0),"")</f>
        <v/>
      </c>
      <c r="C301" s="9"/>
      <c r="D301" s="9"/>
      <c r="E301" s="56"/>
      <c r="F301" s="56"/>
      <c r="G301" s="56"/>
      <c r="H301" s="50"/>
      <c r="I301" s="54"/>
      <c r="J301" s="54"/>
      <c r="K301" s="54"/>
      <c r="L301" s="54"/>
      <c r="M301" s="54"/>
      <c r="N301" s="54"/>
      <c r="O301" s="54"/>
      <c r="P301" s="54"/>
      <c r="Q301" s="54"/>
      <c r="R301" s="54"/>
      <c r="S301" s="54"/>
      <c r="T301" s="54"/>
      <c r="U301" s="54"/>
      <c r="V301" s="54"/>
      <c r="W301" s="54"/>
      <c r="X301" s="54"/>
      <c r="Y301" s="54"/>
      <c r="Z301" s="54"/>
      <c r="AA301" s="54"/>
      <c r="AB301" s="54"/>
    </row>
    <row r="302">
      <c r="A302" s="57"/>
      <c r="B302" s="10" t="str">
        <f>IFERROR(VLOOKUP(C302,'Employees List'!$B$1:$G$999,4,0),"")</f>
        <v/>
      </c>
      <c r="C302" s="9"/>
      <c r="D302" s="9"/>
      <c r="E302" s="56"/>
      <c r="F302" s="56"/>
      <c r="G302" s="56"/>
      <c r="H302" s="50"/>
      <c r="I302" s="54"/>
      <c r="J302" s="54"/>
      <c r="K302" s="54"/>
      <c r="L302" s="54"/>
      <c r="M302" s="54"/>
      <c r="N302" s="54"/>
      <c r="O302" s="54"/>
      <c r="P302" s="54"/>
      <c r="Q302" s="54"/>
      <c r="R302" s="54"/>
      <c r="S302" s="54"/>
      <c r="T302" s="54"/>
      <c r="U302" s="54"/>
      <c r="V302" s="54"/>
      <c r="W302" s="54"/>
      <c r="X302" s="54"/>
      <c r="Y302" s="54"/>
      <c r="Z302" s="54"/>
      <c r="AA302" s="54"/>
      <c r="AB302" s="54"/>
    </row>
    <row r="303">
      <c r="A303" s="57"/>
      <c r="B303" s="10" t="str">
        <f>IFERROR(VLOOKUP(C303,'Employees List'!$B$1:$G$999,4,0),"")</f>
        <v/>
      </c>
      <c r="C303" s="9"/>
      <c r="D303" s="9"/>
      <c r="E303" s="56"/>
      <c r="F303" s="56"/>
      <c r="G303" s="56"/>
      <c r="H303" s="50"/>
      <c r="I303" s="54"/>
      <c r="J303" s="54"/>
      <c r="K303" s="54"/>
      <c r="L303" s="54"/>
      <c r="M303" s="54"/>
      <c r="N303" s="54"/>
      <c r="O303" s="54"/>
      <c r="P303" s="54"/>
      <c r="Q303" s="54"/>
      <c r="R303" s="54"/>
      <c r="S303" s="54"/>
      <c r="T303" s="54"/>
      <c r="U303" s="54"/>
      <c r="V303" s="54"/>
      <c r="W303" s="54"/>
      <c r="X303" s="54"/>
      <c r="Y303" s="54"/>
      <c r="Z303" s="54"/>
      <c r="AA303" s="54"/>
      <c r="AB303" s="54"/>
    </row>
    <row r="304">
      <c r="A304" s="57"/>
      <c r="B304" s="10" t="str">
        <f>IFERROR(VLOOKUP(C304,'Employees List'!$B$1:$G$999,4,0),"")</f>
        <v/>
      </c>
      <c r="C304" s="9"/>
      <c r="D304" s="9"/>
      <c r="E304" s="56"/>
      <c r="F304" s="56"/>
      <c r="G304" s="56"/>
      <c r="H304" s="50"/>
      <c r="I304" s="54"/>
      <c r="J304" s="54"/>
      <c r="K304" s="54"/>
      <c r="L304" s="54"/>
      <c r="M304" s="54"/>
      <c r="N304" s="54"/>
      <c r="O304" s="54"/>
      <c r="P304" s="54"/>
      <c r="Q304" s="54"/>
      <c r="R304" s="54"/>
      <c r="S304" s="54"/>
      <c r="T304" s="54"/>
      <c r="U304" s="54"/>
      <c r="V304" s="54"/>
      <c r="W304" s="54"/>
      <c r="X304" s="54"/>
      <c r="Y304" s="54"/>
      <c r="Z304" s="54"/>
      <c r="AA304" s="54"/>
      <c r="AB304" s="54"/>
    </row>
    <row r="305">
      <c r="A305" s="57"/>
      <c r="B305" s="10" t="str">
        <f>IFERROR(VLOOKUP(C305,'Employees List'!$B$1:$G$999,4,0),"")</f>
        <v/>
      </c>
      <c r="C305" s="9"/>
      <c r="D305" s="9"/>
      <c r="E305" s="56"/>
      <c r="F305" s="56"/>
      <c r="G305" s="56"/>
      <c r="H305" s="50"/>
      <c r="I305" s="54"/>
      <c r="J305" s="54"/>
      <c r="K305" s="54"/>
      <c r="L305" s="54"/>
      <c r="M305" s="54"/>
      <c r="N305" s="54"/>
      <c r="O305" s="54"/>
      <c r="P305" s="54"/>
      <c r="Q305" s="54"/>
      <c r="R305" s="54"/>
      <c r="S305" s="54"/>
      <c r="T305" s="54"/>
      <c r="U305" s="54"/>
      <c r="V305" s="54"/>
      <c r="W305" s="54"/>
      <c r="X305" s="54"/>
      <c r="Y305" s="54"/>
      <c r="Z305" s="54"/>
      <c r="AA305" s="54"/>
      <c r="AB305" s="54"/>
    </row>
    <row r="306">
      <c r="A306" s="57"/>
      <c r="B306" s="10" t="str">
        <f>IFERROR(VLOOKUP(C306,'Employees List'!$B$1:$G$999,4,0),"")</f>
        <v/>
      </c>
      <c r="C306" s="9"/>
      <c r="D306" s="9"/>
      <c r="E306" s="56"/>
      <c r="F306" s="56"/>
      <c r="G306" s="56"/>
      <c r="H306" s="50"/>
      <c r="I306" s="54"/>
      <c r="J306" s="54"/>
      <c r="K306" s="54"/>
      <c r="L306" s="54"/>
      <c r="M306" s="54"/>
      <c r="N306" s="54"/>
      <c r="O306" s="54"/>
      <c r="P306" s="54"/>
      <c r="Q306" s="54"/>
      <c r="R306" s="54"/>
      <c r="S306" s="54"/>
      <c r="T306" s="54"/>
      <c r="U306" s="54"/>
      <c r="V306" s="54"/>
      <c r="W306" s="54"/>
      <c r="X306" s="54"/>
      <c r="Y306" s="54"/>
      <c r="Z306" s="54"/>
      <c r="AA306" s="54"/>
      <c r="AB306" s="54"/>
    </row>
    <row r="307">
      <c r="A307" s="57"/>
      <c r="B307" s="10" t="str">
        <f>IFERROR(VLOOKUP(C307,'Employees List'!$B$1:$G$999,4,0),"")</f>
        <v/>
      </c>
      <c r="C307" s="9"/>
      <c r="D307" s="9"/>
      <c r="E307" s="56"/>
      <c r="F307" s="56"/>
      <c r="G307" s="56"/>
      <c r="H307" s="50"/>
      <c r="I307" s="54"/>
      <c r="J307" s="54"/>
      <c r="K307" s="54"/>
      <c r="L307" s="54"/>
      <c r="M307" s="54"/>
      <c r="N307" s="54"/>
      <c r="O307" s="54"/>
      <c r="P307" s="54"/>
      <c r="Q307" s="54"/>
      <c r="R307" s="54"/>
      <c r="S307" s="54"/>
      <c r="T307" s="54"/>
      <c r="U307" s="54"/>
      <c r="V307" s="54"/>
      <c r="W307" s="54"/>
      <c r="X307" s="54"/>
      <c r="Y307" s="54"/>
      <c r="Z307" s="54"/>
      <c r="AA307" s="54"/>
      <c r="AB307" s="54"/>
    </row>
    <row r="308">
      <c r="A308" s="57"/>
      <c r="B308" s="10" t="str">
        <f>IFERROR(VLOOKUP(C308,'Employees List'!$B$1:$G$999,4,0),"")</f>
        <v/>
      </c>
      <c r="C308" s="9"/>
      <c r="D308" s="9"/>
      <c r="E308" s="56"/>
      <c r="F308" s="56"/>
      <c r="G308" s="56"/>
      <c r="H308" s="50"/>
      <c r="I308" s="54"/>
      <c r="J308" s="54"/>
      <c r="K308" s="54"/>
      <c r="L308" s="54"/>
      <c r="M308" s="54"/>
      <c r="N308" s="54"/>
      <c r="O308" s="54"/>
      <c r="P308" s="54"/>
      <c r="Q308" s="54"/>
      <c r="R308" s="54"/>
      <c r="S308" s="54"/>
      <c r="T308" s="54"/>
      <c r="U308" s="54"/>
      <c r="V308" s="54"/>
      <c r="W308" s="54"/>
      <c r="X308" s="54"/>
      <c r="Y308" s="54"/>
      <c r="Z308" s="54"/>
      <c r="AA308" s="54"/>
      <c r="AB308" s="54"/>
    </row>
    <row r="309">
      <c r="A309" s="57"/>
      <c r="B309" s="10" t="str">
        <f>IFERROR(VLOOKUP(C309,'Employees List'!$B$1:$G$999,4,0),"")</f>
        <v/>
      </c>
      <c r="C309" s="9"/>
      <c r="D309" s="9"/>
      <c r="E309" s="56"/>
      <c r="F309" s="56"/>
      <c r="G309" s="56"/>
      <c r="H309" s="50"/>
      <c r="I309" s="54"/>
      <c r="J309" s="54"/>
      <c r="K309" s="54"/>
      <c r="L309" s="54"/>
      <c r="M309" s="54"/>
      <c r="N309" s="54"/>
      <c r="O309" s="54"/>
      <c r="P309" s="54"/>
      <c r="Q309" s="54"/>
      <c r="R309" s="54"/>
      <c r="S309" s="54"/>
      <c r="T309" s="54"/>
      <c r="U309" s="54"/>
      <c r="V309" s="54"/>
      <c r="W309" s="54"/>
      <c r="X309" s="54"/>
      <c r="Y309" s="54"/>
      <c r="Z309" s="54"/>
      <c r="AA309" s="54"/>
      <c r="AB309" s="54"/>
    </row>
    <row r="310">
      <c r="A310" s="57"/>
      <c r="B310" s="10" t="str">
        <f>IFERROR(VLOOKUP(C310,'Employees List'!$B$1:$G$999,4,0),"")</f>
        <v/>
      </c>
      <c r="C310" s="9"/>
      <c r="D310" s="9"/>
      <c r="E310" s="56"/>
      <c r="F310" s="56"/>
      <c r="G310" s="56"/>
      <c r="H310" s="50"/>
      <c r="I310" s="54"/>
      <c r="J310" s="54"/>
      <c r="K310" s="54"/>
      <c r="L310" s="54"/>
      <c r="M310" s="54"/>
      <c r="N310" s="54"/>
      <c r="O310" s="54"/>
      <c r="P310" s="54"/>
      <c r="Q310" s="54"/>
      <c r="R310" s="54"/>
      <c r="S310" s="54"/>
      <c r="T310" s="54"/>
      <c r="U310" s="54"/>
      <c r="V310" s="54"/>
      <c r="W310" s="54"/>
      <c r="X310" s="54"/>
      <c r="Y310" s="54"/>
      <c r="Z310" s="54"/>
      <c r="AA310" s="54"/>
      <c r="AB310" s="54"/>
    </row>
    <row r="311">
      <c r="A311" s="57"/>
      <c r="B311" s="10" t="str">
        <f>IFERROR(VLOOKUP(C311,'Employees List'!$B$1:$G$999,4,0),"")</f>
        <v/>
      </c>
      <c r="C311" s="9"/>
      <c r="D311" s="9"/>
      <c r="E311" s="56"/>
      <c r="F311" s="56"/>
      <c r="G311" s="56"/>
      <c r="H311" s="50"/>
      <c r="I311" s="54"/>
      <c r="J311" s="54"/>
      <c r="K311" s="54"/>
      <c r="L311" s="54"/>
      <c r="M311" s="54"/>
      <c r="N311" s="54"/>
      <c r="O311" s="54"/>
      <c r="P311" s="54"/>
      <c r="Q311" s="54"/>
      <c r="R311" s="54"/>
      <c r="S311" s="54"/>
      <c r="T311" s="54"/>
      <c r="U311" s="54"/>
      <c r="V311" s="54"/>
      <c r="W311" s="54"/>
      <c r="X311" s="54"/>
      <c r="Y311" s="54"/>
      <c r="Z311" s="54"/>
      <c r="AA311" s="54"/>
      <c r="AB311" s="54"/>
    </row>
    <row r="312">
      <c r="A312" s="57"/>
      <c r="B312" s="10" t="str">
        <f>IFERROR(VLOOKUP(C312,'Employees List'!$B$1:$G$999,4,0),"")</f>
        <v/>
      </c>
      <c r="C312" s="9"/>
      <c r="D312" s="9"/>
      <c r="E312" s="56"/>
      <c r="F312" s="56"/>
      <c r="G312" s="56"/>
      <c r="H312" s="50"/>
      <c r="I312" s="54"/>
      <c r="J312" s="54"/>
      <c r="K312" s="54"/>
      <c r="L312" s="54"/>
      <c r="M312" s="54"/>
      <c r="N312" s="54"/>
      <c r="O312" s="54"/>
      <c r="P312" s="54"/>
      <c r="Q312" s="54"/>
      <c r="R312" s="54"/>
      <c r="S312" s="54"/>
      <c r="T312" s="54"/>
      <c r="U312" s="54"/>
      <c r="V312" s="54"/>
      <c r="W312" s="54"/>
      <c r="X312" s="54"/>
      <c r="Y312" s="54"/>
      <c r="Z312" s="54"/>
      <c r="AA312" s="54"/>
      <c r="AB312" s="54"/>
    </row>
    <row r="313">
      <c r="A313" s="57"/>
      <c r="B313" s="10" t="str">
        <f>IFERROR(VLOOKUP(C313,'Employees List'!$B$1:$G$999,4,0),"")</f>
        <v/>
      </c>
      <c r="C313" s="9"/>
      <c r="D313" s="9"/>
      <c r="E313" s="56"/>
      <c r="F313" s="56"/>
      <c r="G313" s="56"/>
      <c r="H313" s="50"/>
      <c r="I313" s="54"/>
      <c r="J313" s="54"/>
      <c r="K313" s="54"/>
      <c r="L313" s="54"/>
      <c r="M313" s="54"/>
      <c r="N313" s="54"/>
      <c r="O313" s="54"/>
      <c r="P313" s="54"/>
      <c r="Q313" s="54"/>
      <c r="R313" s="54"/>
      <c r="S313" s="54"/>
      <c r="T313" s="54"/>
      <c r="U313" s="54"/>
      <c r="V313" s="54"/>
      <c r="W313" s="54"/>
      <c r="X313" s="54"/>
      <c r="Y313" s="54"/>
      <c r="Z313" s="54"/>
      <c r="AA313" s="54"/>
      <c r="AB313" s="54"/>
    </row>
    <row r="314">
      <c r="A314" s="57"/>
      <c r="B314" s="10" t="str">
        <f>IFERROR(VLOOKUP(C314,'Employees List'!$B$1:$G$999,4,0),"")</f>
        <v/>
      </c>
      <c r="C314" s="9"/>
      <c r="D314" s="9"/>
      <c r="E314" s="56"/>
      <c r="F314" s="56"/>
      <c r="G314" s="56"/>
      <c r="H314" s="50"/>
      <c r="I314" s="54"/>
      <c r="J314" s="54"/>
      <c r="K314" s="54"/>
      <c r="L314" s="54"/>
      <c r="M314" s="54"/>
      <c r="N314" s="54"/>
      <c r="O314" s="54"/>
      <c r="P314" s="54"/>
      <c r="Q314" s="54"/>
      <c r="R314" s="54"/>
      <c r="S314" s="54"/>
      <c r="T314" s="54"/>
      <c r="U314" s="54"/>
      <c r="V314" s="54"/>
      <c r="W314" s="54"/>
      <c r="X314" s="54"/>
      <c r="Y314" s="54"/>
      <c r="Z314" s="54"/>
      <c r="AA314" s="54"/>
      <c r="AB314" s="54"/>
    </row>
    <row r="315">
      <c r="A315" s="57"/>
      <c r="B315" s="10" t="str">
        <f>IFERROR(VLOOKUP(C315,'Employees List'!$B$1:$G$999,4,0),"")</f>
        <v/>
      </c>
      <c r="C315" s="9"/>
      <c r="D315" s="9"/>
      <c r="E315" s="56"/>
      <c r="F315" s="56"/>
      <c r="G315" s="56"/>
      <c r="H315" s="50"/>
      <c r="I315" s="54"/>
      <c r="J315" s="54"/>
      <c r="K315" s="54"/>
      <c r="L315" s="54"/>
      <c r="M315" s="54"/>
      <c r="N315" s="54"/>
      <c r="O315" s="54"/>
      <c r="P315" s="54"/>
      <c r="Q315" s="54"/>
      <c r="R315" s="54"/>
      <c r="S315" s="54"/>
      <c r="T315" s="54"/>
      <c r="U315" s="54"/>
      <c r="V315" s="54"/>
      <c r="W315" s="54"/>
      <c r="X315" s="54"/>
      <c r="Y315" s="54"/>
      <c r="Z315" s="54"/>
      <c r="AA315" s="54"/>
      <c r="AB315" s="54"/>
    </row>
    <row r="316">
      <c r="A316" s="57"/>
      <c r="B316" s="10" t="str">
        <f>IFERROR(VLOOKUP(C316,'Employees List'!$B$1:$G$999,4,0),"")</f>
        <v/>
      </c>
      <c r="C316" s="9"/>
      <c r="D316" s="9"/>
      <c r="E316" s="56"/>
      <c r="F316" s="56"/>
      <c r="G316" s="56"/>
      <c r="H316" s="50"/>
      <c r="I316" s="54"/>
      <c r="J316" s="54"/>
      <c r="K316" s="54"/>
      <c r="L316" s="54"/>
      <c r="M316" s="54"/>
      <c r="N316" s="54"/>
      <c r="O316" s="54"/>
      <c r="P316" s="54"/>
      <c r="Q316" s="54"/>
      <c r="R316" s="54"/>
      <c r="S316" s="54"/>
      <c r="T316" s="54"/>
      <c r="U316" s="54"/>
      <c r="V316" s="54"/>
      <c r="W316" s="54"/>
      <c r="X316" s="54"/>
      <c r="Y316" s="54"/>
      <c r="Z316" s="54"/>
      <c r="AA316" s="54"/>
      <c r="AB316" s="54"/>
    </row>
    <row r="317">
      <c r="A317" s="57"/>
      <c r="B317" s="10" t="str">
        <f>IFERROR(VLOOKUP(C317,'Employees List'!$B$1:$G$999,4,0),"")</f>
        <v/>
      </c>
      <c r="C317" s="9"/>
      <c r="D317" s="9"/>
      <c r="E317" s="56"/>
      <c r="F317" s="56"/>
      <c r="G317" s="56"/>
      <c r="H317" s="50"/>
      <c r="I317" s="54"/>
      <c r="J317" s="54"/>
      <c r="K317" s="54"/>
      <c r="L317" s="54"/>
      <c r="M317" s="54"/>
      <c r="N317" s="54"/>
      <c r="O317" s="54"/>
      <c r="P317" s="54"/>
      <c r="Q317" s="54"/>
      <c r="R317" s="54"/>
      <c r="S317" s="54"/>
      <c r="T317" s="54"/>
      <c r="U317" s="54"/>
      <c r="V317" s="54"/>
      <c r="W317" s="54"/>
      <c r="X317" s="54"/>
      <c r="Y317" s="54"/>
      <c r="Z317" s="54"/>
      <c r="AA317" s="54"/>
      <c r="AB317" s="54"/>
    </row>
    <row r="318">
      <c r="A318" s="57"/>
      <c r="B318" s="10" t="str">
        <f>IFERROR(VLOOKUP(C318,'Employees List'!$B$1:$G$999,4,0),"")</f>
        <v/>
      </c>
      <c r="C318" s="9"/>
      <c r="D318" s="9"/>
      <c r="E318" s="56"/>
      <c r="F318" s="56"/>
      <c r="G318" s="56"/>
      <c r="H318" s="50"/>
      <c r="I318" s="54"/>
      <c r="J318" s="54"/>
      <c r="K318" s="54"/>
      <c r="L318" s="54"/>
      <c r="M318" s="54"/>
      <c r="N318" s="54"/>
      <c r="O318" s="54"/>
      <c r="P318" s="54"/>
      <c r="Q318" s="54"/>
      <c r="R318" s="54"/>
      <c r="S318" s="54"/>
      <c r="T318" s="54"/>
      <c r="U318" s="54"/>
      <c r="V318" s="54"/>
      <c r="W318" s="54"/>
      <c r="X318" s="54"/>
      <c r="Y318" s="54"/>
      <c r="Z318" s="54"/>
      <c r="AA318" s="54"/>
      <c r="AB318" s="54"/>
    </row>
    <row r="319">
      <c r="A319" s="57"/>
      <c r="B319" s="10" t="str">
        <f>IFERROR(VLOOKUP(C319,'Employees List'!$B$1:$G$999,4,0),"")</f>
        <v/>
      </c>
      <c r="C319" s="9"/>
      <c r="D319" s="9"/>
      <c r="E319" s="56"/>
      <c r="F319" s="56"/>
      <c r="G319" s="56"/>
      <c r="H319" s="50"/>
      <c r="I319" s="54"/>
      <c r="J319" s="54"/>
      <c r="K319" s="54"/>
      <c r="L319" s="54"/>
      <c r="M319" s="54"/>
      <c r="N319" s="54"/>
      <c r="O319" s="54"/>
      <c r="P319" s="54"/>
      <c r="Q319" s="54"/>
      <c r="R319" s="54"/>
      <c r="S319" s="54"/>
      <c r="T319" s="54"/>
      <c r="U319" s="54"/>
      <c r="V319" s="54"/>
      <c r="W319" s="54"/>
      <c r="X319" s="54"/>
      <c r="Y319" s="54"/>
      <c r="Z319" s="54"/>
      <c r="AA319" s="54"/>
      <c r="AB319" s="54"/>
    </row>
    <row r="320">
      <c r="A320" s="57"/>
      <c r="B320" s="10" t="str">
        <f>IFERROR(VLOOKUP(C320,'Employees List'!$B$1:$G$999,4,0),"")</f>
        <v/>
      </c>
      <c r="C320" s="9"/>
      <c r="D320" s="9"/>
      <c r="E320" s="56"/>
      <c r="F320" s="56"/>
      <c r="G320" s="56"/>
      <c r="H320" s="50"/>
      <c r="I320" s="54"/>
      <c r="J320" s="54"/>
      <c r="K320" s="54"/>
      <c r="L320" s="54"/>
      <c r="M320" s="54"/>
      <c r="N320" s="54"/>
      <c r="O320" s="54"/>
      <c r="P320" s="54"/>
      <c r="Q320" s="54"/>
      <c r="R320" s="54"/>
      <c r="S320" s="54"/>
      <c r="T320" s="54"/>
      <c r="U320" s="54"/>
      <c r="V320" s="54"/>
      <c r="W320" s="54"/>
      <c r="X320" s="54"/>
      <c r="Y320" s="54"/>
      <c r="Z320" s="54"/>
      <c r="AA320" s="54"/>
      <c r="AB320" s="54"/>
    </row>
    <row r="321">
      <c r="A321" s="57"/>
      <c r="B321" s="10" t="str">
        <f>IFERROR(VLOOKUP(C321,'Employees List'!$B$1:$G$999,4,0),"")</f>
        <v/>
      </c>
      <c r="C321" s="9"/>
      <c r="D321" s="9"/>
      <c r="E321" s="56"/>
      <c r="F321" s="56"/>
      <c r="G321" s="56"/>
      <c r="H321" s="50"/>
      <c r="I321" s="54"/>
      <c r="J321" s="54"/>
      <c r="K321" s="54"/>
      <c r="L321" s="54"/>
      <c r="M321" s="54"/>
      <c r="N321" s="54"/>
      <c r="O321" s="54"/>
      <c r="P321" s="54"/>
      <c r="Q321" s="54"/>
      <c r="R321" s="54"/>
      <c r="S321" s="54"/>
      <c r="T321" s="54"/>
      <c r="U321" s="54"/>
      <c r="V321" s="54"/>
      <c r="W321" s="54"/>
      <c r="X321" s="54"/>
      <c r="Y321" s="54"/>
      <c r="Z321" s="54"/>
      <c r="AA321" s="54"/>
      <c r="AB321" s="54"/>
    </row>
    <row r="322">
      <c r="A322" s="57"/>
      <c r="B322" s="10" t="str">
        <f>IFERROR(VLOOKUP(C322,'Employees List'!$B$1:$G$999,4,0),"")</f>
        <v/>
      </c>
      <c r="C322" s="9"/>
      <c r="D322" s="9"/>
      <c r="E322" s="56"/>
      <c r="F322" s="56"/>
      <c r="G322" s="56"/>
      <c r="H322" s="50"/>
      <c r="I322" s="54"/>
      <c r="J322" s="54"/>
      <c r="K322" s="54"/>
      <c r="L322" s="54"/>
      <c r="M322" s="54"/>
      <c r="N322" s="54"/>
      <c r="O322" s="54"/>
      <c r="P322" s="54"/>
      <c r="Q322" s="54"/>
      <c r="R322" s="54"/>
      <c r="S322" s="54"/>
      <c r="T322" s="54"/>
      <c r="U322" s="54"/>
      <c r="V322" s="54"/>
      <c r="W322" s="54"/>
      <c r="X322" s="54"/>
      <c r="Y322" s="54"/>
      <c r="Z322" s="54"/>
      <c r="AA322" s="54"/>
      <c r="AB322" s="54"/>
    </row>
    <row r="323">
      <c r="A323" s="57"/>
      <c r="B323" s="10" t="str">
        <f>IFERROR(VLOOKUP(C323,'Employees List'!$B$1:$G$999,4,0),"")</f>
        <v/>
      </c>
      <c r="C323" s="9"/>
      <c r="D323" s="9"/>
      <c r="E323" s="56"/>
      <c r="F323" s="56"/>
      <c r="G323" s="56"/>
      <c r="H323" s="50"/>
      <c r="I323" s="54"/>
      <c r="J323" s="54"/>
      <c r="K323" s="54"/>
      <c r="L323" s="54"/>
      <c r="M323" s="54"/>
      <c r="N323" s="54"/>
      <c r="O323" s="54"/>
      <c r="P323" s="54"/>
      <c r="Q323" s="54"/>
      <c r="R323" s="54"/>
      <c r="S323" s="54"/>
      <c r="T323" s="54"/>
      <c r="U323" s="54"/>
      <c r="V323" s="54"/>
      <c r="W323" s="54"/>
      <c r="X323" s="54"/>
      <c r="Y323" s="54"/>
      <c r="Z323" s="54"/>
      <c r="AA323" s="54"/>
      <c r="AB323" s="54"/>
    </row>
    <row r="324">
      <c r="A324" s="57"/>
      <c r="B324" s="10" t="str">
        <f>IFERROR(VLOOKUP(C324,'Employees List'!$B$1:$G$999,4,0),"")</f>
        <v/>
      </c>
      <c r="C324" s="9"/>
      <c r="D324" s="9"/>
      <c r="E324" s="56"/>
      <c r="F324" s="56"/>
      <c r="G324" s="56"/>
      <c r="H324" s="50"/>
      <c r="I324" s="54"/>
      <c r="J324" s="54"/>
      <c r="K324" s="54"/>
      <c r="L324" s="54"/>
      <c r="M324" s="54"/>
      <c r="N324" s="54"/>
      <c r="O324" s="54"/>
      <c r="P324" s="54"/>
      <c r="Q324" s="54"/>
      <c r="R324" s="54"/>
      <c r="S324" s="54"/>
      <c r="T324" s="54"/>
      <c r="U324" s="54"/>
      <c r="V324" s="54"/>
      <c r="W324" s="54"/>
      <c r="X324" s="54"/>
      <c r="Y324" s="54"/>
      <c r="Z324" s="54"/>
      <c r="AA324" s="54"/>
      <c r="AB324" s="54"/>
    </row>
    <row r="325">
      <c r="A325" s="57"/>
      <c r="B325" s="10" t="str">
        <f>IFERROR(VLOOKUP(C325,'Employees List'!$B$1:$G$999,4,0),"")</f>
        <v/>
      </c>
      <c r="C325" s="9"/>
      <c r="D325" s="9"/>
      <c r="E325" s="56"/>
      <c r="F325" s="56"/>
      <c r="G325" s="56"/>
      <c r="H325" s="50"/>
      <c r="I325" s="54"/>
      <c r="J325" s="54"/>
      <c r="K325" s="54"/>
      <c r="L325" s="54"/>
      <c r="M325" s="54"/>
      <c r="N325" s="54"/>
      <c r="O325" s="54"/>
      <c r="P325" s="54"/>
      <c r="Q325" s="54"/>
      <c r="R325" s="54"/>
      <c r="S325" s="54"/>
      <c r="T325" s="54"/>
      <c r="U325" s="54"/>
      <c r="V325" s="54"/>
      <c r="W325" s="54"/>
      <c r="X325" s="54"/>
      <c r="Y325" s="54"/>
      <c r="Z325" s="54"/>
      <c r="AA325" s="54"/>
      <c r="AB325" s="54"/>
    </row>
    <row r="326">
      <c r="A326" s="57"/>
      <c r="B326" s="10" t="str">
        <f>IFERROR(VLOOKUP(C326,'Employees List'!$B$1:$G$999,4,0),"")</f>
        <v/>
      </c>
      <c r="C326" s="9"/>
      <c r="D326" s="9"/>
      <c r="E326" s="56"/>
      <c r="F326" s="56"/>
      <c r="G326" s="56"/>
      <c r="H326" s="50"/>
      <c r="I326" s="54"/>
      <c r="J326" s="54"/>
      <c r="K326" s="54"/>
      <c r="L326" s="54"/>
      <c r="M326" s="54"/>
      <c r="N326" s="54"/>
      <c r="O326" s="54"/>
      <c r="P326" s="54"/>
      <c r="Q326" s="54"/>
      <c r="R326" s="54"/>
      <c r="S326" s="54"/>
      <c r="T326" s="54"/>
      <c r="U326" s="54"/>
      <c r="V326" s="54"/>
      <c r="W326" s="54"/>
      <c r="X326" s="54"/>
      <c r="Y326" s="54"/>
      <c r="Z326" s="54"/>
      <c r="AA326" s="54"/>
      <c r="AB326" s="54"/>
    </row>
    <row r="327">
      <c r="A327" s="57"/>
      <c r="B327" s="10" t="str">
        <f>IFERROR(VLOOKUP(C327,'Employees List'!$B$1:$G$999,4,0),"")</f>
        <v/>
      </c>
      <c r="C327" s="9"/>
      <c r="D327" s="9"/>
      <c r="E327" s="56"/>
      <c r="F327" s="56"/>
      <c r="G327" s="56"/>
      <c r="H327" s="50"/>
      <c r="I327" s="54"/>
      <c r="J327" s="54"/>
      <c r="K327" s="54"/>
      <c r="L327" s="54"/>
      <c r="M327" s="54"/>
      <c r="N327" s="54"/>
      <c r="O327" s="54"/>
      <c r="P327" s="54"/>
      <c r="Q327" s="54"/>
      <c r="R327" s="54"/>
      <c r="S327" s="54"/>
      <c r="T327" s="54"/>
      <c r="U327" s="54"/>
      <c r="V327" s="54"/>
      <c r="W327" s="54"/>
      <c r="X327" s="54"/>
      <c r="Y327" s="54"/>
      <c r="Z327" s="54"/>
      <c r="AA327" s="54"/>
      <c r="AB327" s="54"/>
    </row>
    <row r="328">
      <c r="A328" s="57"/>
      <c r="B328" s="10" t="str">
        <f>IFERROR(VLOOKUP(C328,'Employees List'!$B$1:$G$999,4,0),"")</f>
        <v/>
      </c>
      <c r="C328" s="9"/>
      <c r="D328" s="9"/>
      <c r="E328" s="56"/>
      <c r="F328" s="56"/>
      <c r="G328" s="56"/>
      <c r="H328" s="50"/>
      <c r="I328" s="54"/>
      <c r="J328" s="54"/>
      <c r="K328" s="54"/>
      <c r="L328" s="54"/>
      <c r="M328" s="54"/>
      <c r="N328" s="54"/>
      <c r="O328" s="54"/>
      <c r="P328" s="54"/>
      <c r="Q328" s="54"/>
      <c r="R328" s="54"/>
      <c r="S328" s="54"/>
      <c r="T328" s="54"/>
      <c r="U328" s="54"/>
      <c r="V328" s="54"/>
      <c r="W328" s="54"/>
      <c r="X328" s="54"/>
      <c r="Y328" s="54"/>
      <c r="Z328" s="54"/>
      <c r="AA328" s="54"/>
      <c r="AB328" s="54"/>
    </row>
    <row r="329">
      <c r="A329" s="57"/>
      <c r="B329" s="10" t="str">
        <f>IFERROR(VLOOKUP(C329,'Employees List'!$B$1:$G$999,4,0),"")</f>
        <v/>
      </c>
      <c r="C329" s="9"/>
      <c r="D329" s="9"/>
      <c r="E329" s="56"/>
      <c r="F329" s="56"/>
      <c r="G329" s="56"/>
      <c r="H329" s="50"/>
      <c r="I329" s="54"/>
      <c r="J329" s="54"/>
      <c r="K329" s="54"/>
      <c r="L329" s="54"/>
      <c r="M329" s="54"/>
      <c r="N329" s="54"/>
      <c r="O329" s="54"/>
      <c r="P329" s="54"/>
      <c r="Q329" s="54"/>
      <c r="R329" s="54"/>
      <c r="S329" s="54"/>
      <c r="T329" s="54"/>
      <c r="U329" s="54"/>
      <c r="V329" s="54"/>
      <c r="W329" s="54"/>
      <c r="X329" s="54"/>
      <c r="Y329" s="54"/>
      <c r="Z329" s="54"/>
      <c r="AA329" s="54"/>
      <c r="AB329" s="54"/>
    </row>
    <row r="330">
      <c r="A330" s="57"/>
      <c r="B330" s="10" t="str">
        <f>IFERROR(VLOOKUP(C330,'Employees List'!$B$1:$G$999,4,0),"")</f>
        <v/>
      </c>
      <c r="C330" s="9"/>
      <c r="D330" s="9"/>
      <c r="E330" s="56"/>
      <c r="F330" s="56"/>
      <c r="G330" s="56"/>
      <c r="H330" s="50"/>
      <c r="I330" s="54"/>
      <c r="J330" s="54"/>
      <c r="K330" s="54"/>
      <c r="L330" s="54"/>
      <c r="M330" s="54"/>
      <c r="N330" s="54"/>
      <c r="O330" s="54"/>
      <c r="P330" s="54"/>
      <c r="Q330" s="54"/>
      <c r="R330" s="54"/>
      <c r="S330" s="54"/>
      <c r="T330" s="54"/>
      <c r="U330" s="54"/>
      <c r="V330" s="54"/>
      <c r="W330" s="54"/>
      <c r="X330" s="54"/>
      <c r="Y330" s="54"/>
      <c r="Z330" s="54"/>
      <c r="AA330" s="54"/>
      <c r="AB330" s="54"/>
    </row>
    <row r="331">
      <c r="A331" s="57"/>
      <c r="B331" s="10" t="str">
        <f>IFERROR(VLOOKUP(C331,'Employees List'!$B$1:$G$999,4,0),"")</f>
        <v/>
      </c>
      <c r="C331" s="9"/>
      <c r="D331" s="9"/>
      <c r="E331" s="56"/>
      <c r="F331" s="56"/>
      <c r="G331" s="56"/>
      <c r="H331" s="50"/>
      <c r="I331" s="54"/>
      <c r="J331" s="54"/>
      <c r="K331" s="54"/>
      <c r="L331" s="54"/>
      <c r="M331" s="54"/>
      <c r="N331" s="54"/>
      <c r="O331" s="54"/>
      <c r="P331" s="54"/>
      <c r="Q331" s="54"/>
      <c r="R331" s="54"/>
      <c r="S331" s="54"/>
      <c r="T331" s="54"/>
      <c r="U331" s="54"/>
      <c r="V331" s="54"/>
      <c r="W331" s="54"/>
      <c r="X331" s="54"/>
      <c r="Y331" s="54"/>
      <c r="Z331" s="54"/>
      <c r="AA331" s="54"/>
      <c r="AB331" s="54"/>
    </row>
    <row r="332">
      <c r="A332" s="57"/>
      <c r="B332" s="10" t="str">
        <f>IFERROR(VLOOKUP(C332,'Employees List'!$B$1:$G$999,4,0),"")</f>
        <v/>
      </c>
      <c r="C332" s="9"/>
      <c r="D332" s="9"/>
      <c r="E332" s="56"/>
      <c r="F332" s="56"/>
      <c r="G332" s="56"/>
      <c r="H332" s="50"/>
      <c r="I332" s="54"/>
      <c r="J332" s="54"/>
      <c r="K332" s="54"/>
      <c r="L332" s="54"/>
      <c r="M332" s="54"/>
      <c r="N332" s="54"/>
      <c r="O332" s="54"/>
      <c r="P332" s="54"/>
      <c r="Q332" s="54"/>
      <c r="R332" s="54"/>
      <c r="S332" s="54"/>
      <c r="T332" s="54"/>
      <c r="U332" s="54"/>
      <c r="V332" s="54"/>
      <c r="W332" s="54"/>
      <c r="X332" s="54"/>
      <c r="Y332" s="54"/>
      <c r="Z332" s="54"/>
      <c r="AA332" s="54"/>
      <c r="AB332" s="54"/>
    </row>
    <row r="333">
      <c r="A333" s="57"/>
      <c r="B333" s="10" t="str">
        <f>IFERROR(VLOOKUP(C333,'Employees List'!$B$1:$G$999,4,0),"")</f>
        <v/>
      </c>
      <c r="C333" s="9"/>
      <c r="D333" s="9"/>
      <c r="E333" s="56"/>
      <c r="F333" s="56"/>
      <c r="G333" s="56"/>
      <c r="H333" s="50"/>
      <c r="I333" s="54"/>
      <c r="J333" s="54"/>
      <c r="K333" s="54"/>
      <c r="L333" s="54"/>
      <c r="M333" s="54"/>
      <c r="N333" s="54"/>
      <c r="O333" s="54"/>
      <c r="P333" s="54"/>
      <c r="Q333" s="54"/>
      <c r="R333" s="54"/>
      <c r="S333" s="54"/>
      <c r="T333" s="54"/>
      <c r="U333" s="54"/>
      <c r="V333" s="54"/>
      <c r="W333" s="54"/>
      <c r="X333" s="54"/>
      <c r="Y333" s="54"/>
      <c r="Z333" s="54"/>
      <c r="AA333" s="54"/>
      <c r="AB333" s="54"/>
    </row>
    <row r="334">
      <c r="A334" s="57"/>
      <c r="B334" s="10" t="str">
        <f>IFERROR(VLOOKUP(C334,'Employees List'!$B$1:$G$999,4,0),"")</f>
        <v/>
      </c>
      <c r="C334" s="9"/>
      <c r="D334" s="9"/>
      <c r="E334" s="56"/>
      <c r="F334" s="56"/>
      <c r="G334" s="56"/>
      <c r="H334" s="50"/>
      <c r="I334" s="54"/>
      <c r="J334" s="54"/>
      <c r="K334" s="54"/>
      <c r="L334" s="54"/>
      <c r="M334" s="54"/>
      <c r="N334" s="54"/>
      <c r="O334" s="54"/>
      <c r="P334" s="54"/>
      <c r="Q334" s="54"/>
      <c r="R334" s="54"/>
      <c r="S334" s="54"/>
      <c r="T334" s="54"/>
      <c r="U334" s="54"/>
      <c r="V334" s="54"/>
      <c r="W334" s="54"/>
      <c r="X334" s="54"/>
      <c r="Y334" s="54"/>
      <c r="Z334" s="54"/>
      <c r="AA334" s="54"/>
      <c r="AB334" s="54"/>
    </row>
    <row r="335">
      <c r="A335" s="57"/>
      <c r="B335" s="10" t="str">
        <f>IFERROR(VLOOKUP(C335,'Employees List'!$B$1:$G$999,4,0),"")</f>
        <v/>
      </c>
      <c r="C335" s="9"/>
      <c r="D335" s="9"/>
      <c r="E335" s="56"/>
      <c r="F335" s="56"/>
      <c r="G335" s="56"/>
      <c r="H335" s="50"/>
      <c r="I335" s="54"/>
      <c r="J335" s="54"/>
      <c r="K335" s="54"/>
      <c r="L335" s="54"/>
      <c r="M335" s="54"/>
      <c r="N335" s="54"/>
      <c r="O335" s="54"/>
      <c r="P335" s="54"/>
      <c r="Q335" s="54"/>
      <c r="R335" s="54"/>
      <c r="S335" s="54"/>
      <c r="T335" s="54"/>
      <c r="U335" s="54"/>
      <c r="V335" s="54"/>
      <c r="W335" s="54"/>
      <c r="X335" s="54"/>
      <c r="Y335" s="54"/>
      <c r="Z335" s="54"/>
      <c r="AA335" s="54"/>
      <c r="AB335" s="54"/>
    </row>
    <row r="336">
      <c r="A336" s="57"/>
      <c r="B336" s="10" t="str">
        <f>IFERROR(VLOOKUP(C336,'Employees List'!$B$1:$G$999,4,0),"")</f>
        <v/>
      </c>
      <c r="C336" s="9"/>
      <c r="D336" s="9"/>
      <c r="E336" s="56"/>
      <c r="F336" s="56"/>
      <c r="G336" s="56"/>
      <c r="H336" s="50"/>
      <c r="I336" s="54"/>
      <c r="J336" s="54"/>
      <c r="K336" s="54"/>
      <c r="L336" s="54"/>
      <c r="M336" s="54"/>
      <c r="N336" s="54"/>
      <c r="O336" s="54"/>
      <c r="P336" s="54"/>
      <c r="Q336" s="54"/>
      <c r="R336" s="54"/>
      <c r="S336" s="54"/>
      <c r="T336" s="54"/>
      <c r="U336" s="54"/>
      <c r="V336" s="54"/>
      <c r="W336" s="54"/>
      <c r="X336" s="54"/>
      <c r="Y336" s="54"/>
      <c r="Z336" s="54"/>
      <c r="AA336" s="54"/>
      <c r="AB336" s="54"/>
    </row>
    <row r="337">
      <c r="A337" s="57"/>
      <c r="B337" s="10" t="str">
        <f>IFERROR(VLOOKUP(C337,'Employees List'!$B$1:$G$999,4,0),"")</f>
        <v/>
      </c>
      <c r="C337" s="9"/>
      <c r="D337" s="9"/>
      <c r="E337" s="56"/>
      <c r="F337" s="56"/>
      <c r="G337" s="56"/>
      <c r="H337" s="50"/>
      <c r="I337" s="54"/>
      <c r="J337" s="54"/>
      <c r="K337" s="54"/>
      <c r="L337" s="54"/>
      <c r="M337" s="54"/>
      <c r="N337" s="54"/>
      <c r="O337" s="54"/>
      <c r="P337" s="54"/>
      <c r="Q337" s="54"/>
      <c r="R337" s="54"/>
      <c r="S337" s="54"/>
      <c r="T337" s="54"/>
      <c r="U337" s="54"/>
      <c r="V337" s="54"/>
      <c r="W337" s="54"/>
      <c r="X337" s="54"/>
      <c r="Y337" s="54"/>
      <c r="Z337" s="54"/>
      <c r="AA337" s="54"/>
      <c r="AB337" s="54"/>
    </row>
    <row r="338">
      <c r="A338" s="57"/>
      <c r="B338" s="10" t="str">
        <f>IFERROR(VLOOKUP(C338,'Employees List'!$B$1:$G$999,4,0),"")</f>
        <v/>
      </c>
      <c r="C338" s="9"/>
      <c r="D338" s="9"/>
      <c r="E338" s="56"/>
      <c r="F338" s="56"/>
      <c r="G338" s="56"/>
      <c r="H338" s="50"/>
      <c r="I338" s="54"/>
      <c r="J338" s="54"/>
      <c r="K338" s="54"/>
      <c r="L338" s="54"/>
      <c r="M338" s="54"/>
      <c r="N338" s="54"/>
      <c r="O338" s="54"/>
      <c r="P338" s="54"/>
      <c r="Q338" s="54"/>
      <c r="R338" s="54"/>
      <c r="S338" s="54"/>
      <c r="T338" s="54"/>
      <c r="U338" s="54"/>
      <c r="V338" s="54"/>
      <c r="W338" s="54"/>
      <c r="X338" s="54"/>
      <c r="Y338" s="54"/>
      <c r="Z338" s="54"/>
      <c r="AA338" s="54"/>
      <c r="AB338" s="54"/>
    </row>
    <row r="339">
      <c r="A339" s="57"/>
      <c r="B339" s="10" t="str">
        <f>IFERROR(VLOOKUP(C339,'Employees List'!$B$1:$G$999,4,0),"")</f>
        <v/>
      </c>
      <c r="C339" s="9"/>
      <c r="D339" s="9"/>
      <c r="E339" s="56"/>
      <c r="F339" s="56"/>
      <c r="G339" s="56"/>
      <c r="H339" s="50"/>
      <c r="I339" s="54"/>
      <c r="J339" s="54"/>
      <c r="K339" s="54"/>
      <c r="L339" s="54"/>
      <c r="M339" s="54"/>
      <c r="N339" s="54"/>
      <c r="O339" s="54"/>
      <c r="P339" s="54"/>
      <c r="Q339" s="54"/>
      <c r="R339" s="54"/>
      <c r="S339" s="54"/>
      <c r="T339" s="54"/>
      <c r="U339" s="54"/>
      <c r="V339" s="54"/>
      <c r="W339" s="54"/>
      <c r="X339" s="54"/>
      <c r="Y339" s="54"/>
      <c r="Z339" s="54"/>
      <c r="AA339" s="54"/>
      <c r="AB339" s="54"/>
    </row>
    <row r="340">
      <c r="A340" s="57"/>
      <c r="B340" s="10" t="str">
        <f>IFERROR(VLOOKUP(C340,'Employees List'!$B$1:$G$999,4,0),"")</f>
        <v/>
      </c>
      <c r="C340" s="9"/>
      <c r="D340" s="9"/>
      <c r="E340" s="56"/>
      <c r="F340" s="56"/>
      <c r="G340" s="56"/>
      <c r="H340" s="50"/>
      <c r="I340" s="54"/>
      <c r="J340" s="54"/>
      <c r="K340" s="54"/>
      <c r="L340" s="54"/>
      <c r="M340" s="54"/>
      <c r="N340" s="54"/>
      <c r="O340" s="54"/>
      <c r="P340" s="54"/>
      <c r="Q340" s="54"/>
      <c r="R340" s="54"/>
      <c r="S340" s="54"/>
      <c r="T340" s="54"/>
      <c r="U340" s="54"/>
      <c r="V340" s="54"/>
      <c r="W340" s="54"/>
      <c r="X340" s="54"/>
      <c r="Y340" s="54"/>
      <c r="Z340" s="54"/>
      <c r="AA340" s="54"/>
      <c r="AB340" s="54"/>
    </row>
    <row r="341">
      <c r="A341" s="57"/>
      <c r="B341" s="10" t="str">
        <f>IFERROR(VLOOKUP(C341,'Employees List'!$B$1:$G$999,4,0),"")</f>
        <v/>
      </c>
      <c r="C341" s="9"/>
      <c r="D341" s="9"/>
      <c r="E341" s="56"/>
      <c r="F341" s="56"/>
      <c r="G341" s="56"/>
      <c r="H341" s="50"/>
      <c r="I341" s="54"/>
      <c r="J341" s="54"/>
      <c r="K341" s="54"/>
      <c r="L341" s="54"/>
      <c r="M341" s="54"/>
      <c r="N341" s="54"/>
      <c r="O341" s="54"/>
      <c r="P341" s="54"/>
      <c r="Q341" s="54"/>
      <c r="R341" s="54"/>
      <c r="S341" s="54"/>
      <c r="T341" s="54"/>
      <c r="U341" s="54"/>
      <c r="V341" s="54"/>
      <c r="W341" s="54"/>
      <c r="X341" s="54"/>
      <c r="Y341" s="54"/>
      <c r="Z341" s="54"/>
      <c r="AA341" s="54"/>
      <c r="AB341" s="54"/>
    </row>
    <row r="342">
      <c r="A342" s="57"/>
      <c r="B342" s="10" t="str">
        <f>IFERROR(VLOOKUP(C342,'Employees List'!$B$1:$G$999,4,0),"")</f>
        <v/>
      </c>
      <c r="C342" s="9"/>
      <c r="D342" s="9"/>
      <c r="E342" s="56"/>
      <c r="F342" s="56"/>
      <c r="G342" s="56"/>
      <c r="H342" s="50"/>
      <c r="I342" s="54"/>
      <c r="J342" s="54"/>
      <c r="K342" s="54"/>
      <c r="L342" s="54"/>
      <c r="M342" s="54"/>
      <c r="N342" s="54"/>
      <c r="O342" s="54"/>
      <c r="P342" s="54"/>
      <c r="Q342" s="54"/>
      <c r="R342" s="54"/>
      <c r="S342" s="54"/>
      <c r="T342" s="54"/>
      <c r="U342" s="54"/>
      <c r="V342" s="54"/>
      <c r="W342" s="54"/>
      <c r="X342" s="54"/>
      <c r="Y342" s="54"/>
      <c r="Z342" s="54"/>
      <c r="AA342" s="54"/>
      <c r="AB342" s="54"/>
    </row>
    <row r="343">
      <c r="A343" s="57"/>
      <c r="B343" s="10" t="str">
        <f>IFERROR(VLOOKUP(C343,'Employees List'!$B$1:$G$999,4,0),"")</f>
        <v/>
      </c>
      <c r="C343" s="9"/>
      <c r="D343" s="9"/>
      <c r="E343" s="56"/>
      <c r="F343" s="56"/>
      <c r="G343" s="56"/>
      <c r="H343" s="50"/>
      <c r="I343" s="54"/>
      <c r="J343" s="54"/>
      <c r="K343" s="54"/>
      <c r="L343" s="54"/>
      <c r="M343" s="54"/>
      <c r="N343" s="54"/>
      <c r="O343" s="54"/>
      <c r="P343" s="54"/>
      <c r="Q343" s="54"/>
      <c r="R343" s="54"/>
      <c r="S343" s="54"/>
      <c r="T343" s="54"/>
      <c r="U343" s="54"/>
      <c r="V343" s="54"/>
      <c r="W343" s="54"/>
      <c r="X343" s="54"/>
      <c r="Y343" s="54"/>
      <c r="Z343" s="54"/>
      <c r="AA343" s="54"/>
      <c r="AB343" s="54"/>
    </row>
    <row r="344">
      <c r="A344" s="57"/>
      <c r="B344" s="10" t="str">
        <f>IFERROR(VLOOKUP(C344,'Employees List'!$B$1:$G$999,4,0),"")</f>
        <v/>
      </c>
      <c r="C344" s="9"/>
      <c r="D344" s="9"/>
      <c r="E344" s="56"/>
      <c r="F344" s="56"/>
      <c r="G344" s="56"/>
      <c r="H344" s="50"/>
      <c r="I344" s="54"/>
      <c r="J344" s="54"/>
      <c r="K344" s="54"/>
      <c r="L344" s="54"/>
      <c r="M344" s="54"/>
      <c r="N344" s="54"/>
      <c r="O344" s="54"/>
      <c r="P344" s="54"/>
      <c r="Q344" s="54"/>
      <c r="R344" s="54"/>
      <c r="S344" s="54"/>
      <c r="T344" s="54"/>
      <c r="U344" s="54"/>
      <c r="V344" s="54"/>
      <c r="W344" s="54"/>
      <c r="X344" s="54"/>
      <c r="Y344" s="54"/>
      <c r="Z344" s="54"/>
      <c r="AA344" s="54"/>
      <c r="AB344" s="54"/>
    </row>
    <row r="345">
      <c r="A345" s="57"/>
      <c r="B345" s="10" t="str">
        <f>IFERROR(VLOOKUP(C345,'Employees List'!$B$1:$G$999,4,0),"")</f>
        <v/>
      </c>
      <c r="C345" s="9"/>
      <c r="D345" s="9"/>
      <c r="E345" s="56"/>
      <c r="F345" s="56"/>
      <c r="G345" s="56"/>
      <c r="H345" s="50"/>
      <c r="I345" s="54"/>
      <c r="J345" s="54"/>
      <c r="K345" s="54"/>
      <c r="L345" s="54"/>
      <c r="M345" s="54"/>
      <c r="N345" s="54"/>
      <c r="O345" s="54"/>
      <c r="P345" s="54"/>
      <c r="Q345" s="54"/>
      <c r="R345" s="54"/>
      <c r="S345" s="54"/>
      <c r="T345" s="54"/>
      <c r="U345" s="54"/>
      <c r="V345" s="54"/>
      <c r="W345" s="54"/>
      <c r="X345" s="54"/>
      <c r="Y345" s="54"/>
      <c r="Z345" s="54"/>
      <c r="AA345" s="54"/>
      <c r="AB345" s="54"/>
    </row>
    <row r="346">
      <c r="A346" s="57"/>
      <c r="B346" s="10" t="str">
        <f>IFERROR(VLOOKUP(C346,'Employees List'!$B$1:$G$999,4,0),"")</f>
        <v/>
      </c>
      <c r="C346" s="9"/>
      <c r="D346" s="9"/>
      <c r="E346" s="56"/>
      <c r="F346" s="56"/>
      <c r="G346" s="56"/>
      <c r="H346" s="50"/>
      <c r="I346" s="54"/>
      <c r="J346" s="54"/>
      <c r="K346" s="54"/>
      <c r="L346" s="54"/>
      <c r="M346" s="54"/>
      <c r="N346" s="54"/>
      <c r="O346" s="54"/>
      <c r="P346" s="54"/>
      <c r="Q346" s="54"/>
      <c r="R346" s="54"/>
      <c r="S346" s="54"/>
      <c r="T346" s="54"/>
      <c r="U346" s="54"/>
      <c r="V346" s="54"/>
      <c r="W346" s="54"/>
      <c r="X346" s="54"/>
      <c r="Y346" s="54"/>
      <c r="Z346" s="54"/>
      <c r="AA346" s="54"/>
      <c r="AB346" s="54"/>
    </row>
    <row r="347">
      <c r="A347" s="57"/>
      <c r="B347" s="10" t="str">
        <f>IFERROR(VLOOKUP(C347,'Employees List'!$B$1:$G$999,4,0),"")</f>
        <v/>
      </c>
      <c r="C347" s="9"/>
      <c r="D347" s="9"/>
      <c r="E347" s="56"/>
      <c r="F347" s="56"/>
      <c r="G347" s="56"/>
      <c r="H347" s="50"/>
      <c r="I347" s="54"/>
      <c r="J347" s="54"/>
      <c r="K347" s="54"/>
      <c r="L347" s="54"/>
      <c r="M347" s="54"/>
      <c r="N347" s="54"/>
      <c r="O347" s="54"/>
      <c r="P347" s="54"/>
      <c r="Q347" s="54"/>
      <c r="R347" s="54"/>
      <c r="S347" s="54"/>
      <c r="T347" s="54"/>
      <c r="U347" s="54"/>
      <c r="V347" s="54"/>
      <c r="W347" s="54"/>
      <c r="X347" s="54"/>
      <c r="Y347" s="54"/>
      <c r="Z347" s="54"/>
      <c r="AA347" s="54"/>
      <c r="AB347" s="54"/>
    </row>
    <row r="348">
      <c r="A348" s="57"/>
      <c r="B348" s="10" t="str">
        <f>IFERROR(VLOOKUP(C348,'Employees List'!$B$1:$G$999,4,0),"")</f>
        <v/>
      </c>
      <c r="C348" s="9"/>
      <c r="D348" s="9"/>
      <c r="E348" s="56"/>
      <c r="F348" s="56"/>
      <c r="G348" s="56"/>
      <c r="H348" s="50"/>
      <c r="I348" s="54"/>
      <c r="J348" s="54"/>
      <c r="K348" s="54"/>
      <c r="L348" s="54"/>
      <c r="M348" s="54"/>
      <c r="N348" s="54"/>
      <c r="O348" s="54"/>
      <c r="P348" s="54"/>
      <c r="Q348" s="54"/>
      <c r="R348" s="54"/>
      <c r="S348" s="54"/>
      <c r="T348" s="54"/>
      <c r="U348" s="54"/>
      <c r="V348" s="54"/>
      <c r="W348" s="54"/>
      <c r="X348" s="54"/>
      <c r="Y348" s="54"/>
      <c r="Z348" s="54"/>
      <c r="AA348" s="54"/>
      <c r="AB348" s="54"/>
    </row>
    <row r="349">
      <c r="A349" s="57"/>
      <c r="B349" s="10" t="str">
        <f>IFERROR(VLOOKUP(C349,'Employees List'!$B$1:$G$999,4,0),"")</f>
        <v/>
      </c>
      <c r="C349" s="9"/>
      <c r="D349" s="9"/>
      <c r="E349" s="56"/>
      <c r="F349" s="56"/>
      <c r="G349" s="56"/>
      <c r="H349" s="50"/>
      <c r="I349" s="54"/>
      <c r="J349" s="54"/>
      <c r="K349" s="54"/>
      <c r="L349" s="54"/>
      <c r="M349" s="54"/>
      <c r="N349" s="54"/>
      <c r="O349" s="54"/>
      <c r="P349" s="54"/>
      <c r="Q349" s="54"/>
      <c r="R349" s="54"/>
      <c r="S349" s="54"/>
      <c r="T349" s="54"/>
      <c r="U349" s="54"/>
      <c r="V349" s="54"/>
      <c r="W349" s="54"/>
      <c r="X349" s="54"/>
      <c r="Y349" s="54"/>
      <c r="Z349" s="54"/>
      <c r="AA349" s="54"/>
      <c r="AB349" s="54"/>
    </row>
    <row r="350">
      <c r="A350" s="57"/>
      <c r="B350" s="10" t="str">
        <f>IFERROR(VLOOKUP(C350,'Employees List'!$B$1:$G$999,4,0),"")</f>
        <v/>
      </c>
      <c r="C350" s="9"/>
      <c r="D350" s="9"/>
      <c r="E350" s="56"/>
      <c r="F350" s="56"/>
      <c r="G350" s="56"/>
      <c r="H350" s="50"/>
      <c r="I350" s="54"/>
      <c r="J350" s="54"/>
      <c r="K350" s="54"/>
      <c r="L350" s="54"/>
      <c r="M350" s="54"/>
      <c r="N350" s="54"/>
      <c r="O350" s="54"/>
      <c r="P350" s="54"/>
      <c r="Q350" s="54"/>
      <c r="R350" s="54"/>
      <c r="S350" s="54"/>
      <c r="T350" s="54"/>
      <c r="U350" s="54"/>
      <c r="V350" s="54"/>
      <c r="W350" s="54"/>
      <c r="X350" s="54"/>
      <c r="Y350" s="54"/>
      <c r="Z350" s="54"/>
      <c r="AA350" s="54"/>
      <c r="AB350" s="54"/>
    </row>
    <row r="351">
      <c r="A351" s="57"/>
      <c r="B351" s="10" t="str">
        <f>IFERROR(VLOOKUP(C351,'Employees List'!$B$1:$G$999,4,0),"")</f>
        <v/>
      </c>
      <c r="C351" s="9"/>
      <c r="D351" s="9"/>
      <c r="E351" s="56"/>
      <c r="F351" s="56"/>
      <c r="G351" s="56"/>
      <c r="H351" s="50"/>
      <c r="I351" s="54"/>
      <c r="J351" s="54"/>
      <c r="K351" s="54"/>
      <c r="L351" s="54"/>
      <c r="M351" s="54"/>
      <c r="N351" s="54"/>
      <c r="O351" s="54"/>
      <c r="P351" s="54"/>
      <c r="Q351" s="54"/>
      <c r="R351" s="54"/>
      <c r="S351" s="54"/>
      <c r="T351" s="54"/>
      <c r="U351" s="54"/>
      <c r="V351" s="54"/>
      <c r="W351" s="54"/>
      <c r="X351" s="54"/>
      <c r="Y351" s="54"/>
      <c r="Z351" s="54"/>
      <c r="AA351" s="54"/>
      <c r="AB351" s="54"/>
    </row>
    <row r="352">
      <c r="A352" s="57"/>
      <c r="B352" s="10" t="str">
        <f>IFERROR(VLOOKUP(C352,'Employees List'!$B$1:$G$999,4,0),"")</f>
        <v/>
      </c>
      <c r="C352" s="9"/>
      <c r="D352" s="9"/>
      <c r="E352" s="56"/>
      <c r="F352" s="56"/>
      <c r="G352" s="56"/>
      <c r="H352" s="50"/>
      <c r="I352" s="54"/>
      <c r="J352" s="54"/>
      <c r="K352" s="54"/>
      <c r="L352" s="54"/>
      <c r="M352" s="54"/>
      <c r="N352" s="54"/>
      <c r="O352" s="54"/>
      <c r="P352" s="54"/>
      <c r="Q352" s="54"/>
      <c r="R352" s="54"/>
      <c r="S352" s="54"/>
      <c r="T352" s="54"/>
      <c r="U352" s="54"/>
      <c r="V352" s="54"/>
      <c r="W352" s="54"/>
      <c r="X352" s="54"/>
      <c r="Y352" s="54"/>
      <c r="Z352" s="54"/>
      <c r="AA352" s="54"/>
      <c r="AB352" s="54"/>
    </row>
    <row r="353">
      <c r="A353" s="57"/>
      <c r="B353" s="10" t="str">
        <f>IFERROR(VLOOKUP(C353,'Employees List'!$B$1:$G$999,4,0),"")</f>
        <v/>
      </c>
      <c r="C353" s="9"/>
      <c r="D353" s="9"/>
      <c r="E353" s="56"/>
      <c r="F353" s="56"/>
      <c r="G353" s="56"/>
      <c r="H353" s="50"/>
      <c r="I353" s="54"/>
      <c r="J353" s="54"/>
      <c r="K353" s="54"/>
      <c r="L353" s="54"/>
      <c r="M353" s="54"/>
      <c r="N353" s="54"/>
      <c r="O353" s="54"/>
      <c r="P353" s="54"/>
      <c r="Q353" s="54"/>
      <c r="R353" s="54"/>
      <c r="S353" s="54"/>
      <c r="T353" s="54"/>
      <c r="U353" s="54"/>
      <c r="V353" s="54"/>
      <c r="W353" s="54"/>
      <c r="X353" s="54"/>
      <c r="Y353" s="54"/>
      <c r="Z353" s="54"/>
      <c r="AA353" s="54"/>
      <c r="AB353" s="54"/>
    </row>
    <row r="354">
      <c r="A354" s="57"/>
      <c r="B354" s="10" t="str">
        <f>IFERROR(VLOOKUP(C354,'Employees List'!$B$1:$G$999,4,0),"")</f>
        <v/>
      </c>
      <c r="C354" s="9"/>
      <c r="D354" s="9"/>
      <c r="E354" s="56"/>
      <c r="F354" s="56"/>
      <c r="G354" s="56"/>
      <c r="H354" s="50"/>
      <c r="I354" s="54"/>
      <c r="J354" s="54"/>
      <c r="K354" s="54"/>
      <c r="L354" s="54"/>
      <c r="M354" s="54"/>
      <c r="N354" s="54"/>
      <c r="O354" s="54"/>
      <c r="P354" s="54"/>
      <c r="Q354" s="54"/>
      <c r="R354" s="54"/>
      <c r="S354" s="54"/>
      <c r="T354" s="54"/>
      <c r="U354" s="54"/>
      <c r="V354" s="54"/>
      <c r="W354" s="54"/>
      <c r="X354" s="54"/>
      <c r="Y354" s="54"/>
      <c r="Z354" s="54"/>
      <c r="AA354" s="54"/>
      <c r="AB354" s="54"/>
    </row>
    <row r="355">
      <c r="A355" s="57"/>
      <c r="B355" s="10" t="str">
        <f>IFERROR(VLOOKUP(C355,'Employees List'!$B$1:$G$999,4,0),"")</f>
        <v/>
      </c>
      <c r="C355" s="9"/>
      <c r="D355" s="9"/>
      <c r="E355" s="56"/>
      <c r="F355" s="56"/>
      <c r="G355" s="56"/>
      <c r="H355" s="50"/>
      <c r="I355" s="54"/>
      <c r="J355" s="54"/>
      <c r="K355" s="54"/>
      <c r="L355" s="54"/>
      <c r="M355" s="54"/>
      <c r="N355" s="54"/>
      <c r="O355" s="54"/>
      <c r="P355" s="54"/>
      <c r="Q355" s="54"/>
      <c r="R355" s="54"/>
      <c r="S355" s="54"/>
      <c r="T355" s="54"/>
      <c r="U355" s="54"/>
      <c r="V355" s="54"/>
      <c r="W355" s="54"/>
      <c r="X355" s="54"/>
      <c r="Y355" s="54"/>
      <c r="Z355" s="54"/>
      <c r="AA355" s="54"/>
      <c r="AB355" s="54"/>
    </row>
    <row r="356">
      <c r="A356" s="57"/>
      <c r="B356" s="10" t="str">
        <f>IFERROR(VLOOKUP(C356,'Employees List'!$B$1:$G$999,4,0),"")</f>
        <v/>
      </c>
      <c r="C356" s="9"/>
      <c r="D356" s="9"/>
      <c r="E356" s="56"/>
      <c r="F356" s="56"/>
      <c r="G356" s="56"/>
      <c r="H356" s="50"/>
      <c r="I356" s="54"/>
      <c r="J356" s="54"/>
      <c r="K356" s="54"/>
      <c r="L356" s="54"/>
      <c r="M356" s="54"/>
      <c r="N356" s="54"/>
      <c r="O356" s="54"/>
      <c r="P356" s="54"/>
      <c r="Q356" s="54"/>
      <c r="R356" s="54"/>
      <c r="S356" s="54"/>
      <c r="T356" s="54"/>
      <c r="U356" s="54"/>
      <c r="V356" s="54"/>
      <c r="W356" s="54"/>
      <c r="X356" s="54"/>
      <c r="Y356" s="54"/>
      <c r="Z356" s="54"/>
      <c r="AA356" s="54"/>
      <c r="AB356" s="54"/>
    </row>
    <row r="357">
      <c r="A357" s="57"/>
      <c r="B357" s="10" t="str">
        <f>IFERROR(VLOOKUP(C357,'Employees List'!$B$1:$G$999,4,0),"")</f>
        <v/>
      </c>
      <c r="C357" s="9"/>
      <c r="D357" s="9"/>
      <c r="E357" s="56"/>
      <c r="F357" s="56"/>
      <c r="G357" s="56"/>
      <c r="H357" s="50"/>
      <c r="I357" s="54"/>
      <c r="J357" s="54"/>
      <c r="K357" s="54"/>
      <c r="L357" s="54"/>
      <c r="M357" s="54"/>
      <c r="N357" s="54"/>
      <c r="O357" s="54"/>
      <c r="P357" s="54"/>
      <c r="Q357" s="54"/>
      <c r="R357" s="54"/>
      <c r="S357" s="54"/>
      <c r="T357" s="54"/>
      <c r="U357" s="54"/>
      <c r="V357" s="54"/>
      <c r="W357" s="54"/>
      <c r="X357" s="54"/>
      <c r="Y357" s="54"/>
      <c r="Z357" s="54"/>
      <c r="AA357" s="54"/>
      <c r="AB357" s="54"/>
    </row>
    <row r="358">
      <c r="A358" s="57"/>
      <c r="B358" s="10" t="str">
        <f>IFERROR(VLOOKUP(C358,'Employees List'!$B$1:$G$999,4,0),"")</f>
        <v/>
      </c>
      <c r="C358" s="9"/>
      <c r="D358" s="9"/>
      <c r="E358" s="56"/>
      <c r="F358" s="56"/>
      <c r="G358" s="56"/>
      <c r="H358" s="50"/>
      <c r="I358" s="54"/>
      <c r="J358" s="54"/>
      <c r="K358" s="54"/>
      <c r="L358" s="54"/>
      <c r="M358" s="54"/>
      <c r="N358" s="54"/>
      <c r="O358" s="54"/>
      <c r="P358" s="54"/>
      <c r="Q358" s="54"/>
      <c r="R358" s="54"/>
      <c r="S358" s="54"/>
      <c r="T358" s="54"/>
      <c r="U358" s="54"/>
      <c r="V358" s="54"/>
      <c r="W358" s="54"/>
      <c r="X358" s="54"/>
      <c r="Y358" s="54"/>
      <c r="Z358" s="54"/>
      <c r="AA358" s="54"/>
      <c r="AB358" s="54"/>
    </row>
    <row r="359">
      <c r="A359" s="57"/>
      <c r="B359" s="10" t="str">
        <f>IFERROR(VLOOKUP(C359,'Employees List'!$B$1:$G$999,4,0),"")</f>
        <v/>
      </c>
      <c r="C359" s="9"/>
      <c r="D359" s="9"/>
      <c r="E359" s="56"/>
      <c r="F359" s="56"/>
      <c r="G359" s="56"/>
      <c r="H359" s="50"/>
      <c r="I359" s="54"/>
      <c r="J359" s="54"/>
      <c r="K359" s="54"/>
      <c r="L359" s="54"/>
      <c r="M359" s="54"/>
      <c r="N359" s="54"/>
      <c r="O359" s="54"/>
      <c r="P359" s="54"/>
      <c r="Q359" s="54"/>
      <c r="R359" s="54"/>
      <c r="S359" s="54"/>
      <c r="T359" s="54"/>
      <c r="U359" s="54"/>
      <c r="V359" s="54"/>
      <c r="W359" s="54"/>
      <c r="X359" s="54"/>
      <c r="Y359" s="54"/>
      <c r="Z359" s="54"/>
      <c r="AA359" s="54"/>
      <c r="AB359" s="54"/>
    </row>
    <row r="360">
      <c r="A360" s="57"/>
      <c r="B360" s="10" t="str">
        <f>IFERROR(VLOOKUP(C360,'Employees List'!$B$1:$G$999,4,0),"")</f>
        <v/>
      </c>
      <c r="C360" s="9"/>
      <c r="D360" s="9"/>
      <c r="E360" s="56"/>
      <c r="F360" s="56"/>
      <c r="G360" s="56"/>
      <c r="H360" s="50"/>
      <c r="I360" s="54"/>
      <c r="J360" s="54"/>
      <c r="K360" s="54"/>
      <c r="L360" s="54"/>
      <c r="M360" s="54"/>
      <c r="N360" s="54"/>
      <c r="O360" s="54"/>
      <c r="P360" s="54"/>
      <c r="Q360" s="54"/>
      <c r="R360" s="54"/>
      <c r="S360" s="54"/>
      <c r="T360" s="54"/>
      <c r="U360" s="54"/>
      <c r="V360" s="54"/>
      <c r="W360" s="54"/>
      <c r="X360" s="54"/>
      <c r="Y360" s="54"/>
      <c r="Z360" s="54"/>
      <c r="AA360" s="54"/>
      <c r="AB360" s="54"/>
    </row>
    <row r="361">
      <c r="A361" s="57"/>
      <c r="B361" s="10" t="str">
        <f>IFERROR(VLOOKUP(C361,'Employees List'!$B$1:$G$999,4,0),"")</f>
        <v/>
      </c>
      <c r="C361" s="9"/>
      <c r="D361" s="9"/>
      <c r="E361" s="56"/>
      <c r="F361" s="56"/>
      <c r="G361" s="56"/>
      <c r="H361" s="50"/>
      <c r="I361" s="54"/>
      <c r="J361" s="54"/>
      <c r="K361" s="54"/>
      <c r="L361" s="54"/>
      <c r="M361" s="54"/>
      <c r="N361" s="54"/>
      <c r="O361" s="54"/>
      <c r="P361" s="54"/>
      <c r="Q361" s="54"/>
      <c r="R361" s="54"/>
      <c r="S361" s="54"/>
      <c r="T361" s="54"/>
      <c r="U361" s="54"/>
      <c r="V361" s="54"/>
      <c r="W361" s="54"/>
      <c r="X361" s="54"/>
      <c r="Y361" s="54"/>
      <c r="Z361" s="54"/>
      <c r="AA361" s="54"/>
      <c r="AB361" s="54"/>
    </row>
    <row r="362">
      <c r="A362" s="57"/>
      <c r="B362" s="10" t="str">
        <f>IFERROR(VLOOKUP(C362,'Employees List'!$B$1:$G$999,4,0),"")</f>
        <v/>
      </c>
      <c r="C362" s="9"/>
      <c r="D362" s="9"/>
      <c r="E362" s="56"/>
      <c r="F362" s="56"/>
      <c r="G362" s="56"/>
      <c r="H362" s="50"/>
      <c r="I362" s="54"/>
      <c r="J362" s="54"/>
      <c r="K362" s="54"/>
      <c r="L362" s="54"/>
      <c r="M362" s="54"/>
      <c r="N362" s="54"/>
      <c r="O362" s="54"/>
      <c r="P362" s="54"/>
      <c r="Q362" s="54"/>
      <c r="R362" s="54"/>
      <c r="S362" s="54"/>
      <c r="T362" s="54"/>
      <c r="U362" s="54"/>
      <c r="V362" s="54"/>
      <c r="W362" s="54"/>
      <c r="X362" s="54"/>
      <c r="Y362" s="54"/>
      <c r="Z362" s="54"/>
      <c r="AA362" s="54"/>
      <c r="AB362" s="54"/>
    </row>
    <row r="363">
      <c r="A363" s="57"/>
      <c r="B363" s="10" t="str">
        <f>IFERROR(VLOOKUP(C363,'Employees List'!$B$1:$G$999,4,0),"")</f>
        <v/>
      </c>
      <c r="C363" s="9"/>
      <c r="D363" s="9"/>
      <c r="E363" s="56"/>
      <c r="F363" s="56"/>
      <c r="G363" s="56"/>
      <c r="H363" s="50"/>
      <c r="I363" s="54"/>
      <c r="J363" s="54"/>
      <c r="K363" s="54"/>
      <c r="L363" s="54"/>
      <c r="M363" s="54"/>
      <c r="N363" s="54"/>
      <c r="O363" s="54"/>
      <c r="P363" s="54"/>
      <c r="Q363" s="54"/>
      <c r="R363" s="54"/>
      <c r="S363" s="54"/>
      <c r="T363" s="54"/>
      <c r="U363" s="54"/>
      <c r="V363" s="54"/>
      <c r="W363" s="54"/>
      <c r="X363" s="54"/>
      <c r="Y363" s="54"/>
      <c r="Z363" s="54"/>
      <c r="AA363" s="54"/>
      <c r="AB363" s="54"/>
    </row>
    <row r="364">
      <c r="A364" s="57"/>
      <c r="B364" s="10" t="str">
        <f>IFERROR(VLOOKUP(C364,'Employees List'!$B$1:$G$999,4,0),"")</f>
        <v/>
      </c>
      <c r="C364" s="9"/>
      <c r="D364" s="9"/>
      <c r="E364" s="56"/>
      <c r="F364" s="56"/>
      <c r="G364" s="56"/>
      <c r="H364" s="50"/>
      <c r="I364" s="54"/>
      <c r="J364" s="54"/>
      <c r="K364" s="54"/>
      <c r="L364" s="54"/>
      <c r="M364" s="54"/>
      <c r="N364" s="54"/>
      <c r="O364" s="54"/>
      <c r="P364" s="54"/>
      <c r="Q364" s="54"/>
      <c r="R364" s="54"/>
      <c r="S364" s="54"/>
      <c r="T364" s="54"/>
      <c r="U364" s="54"/>
      <c r="V364" s="54"/>
      <c r="W364" s="54"/>
      <c r="X364" s="54"/>
      <c r="Y364" s="54"/>
      <c r="Z364" s="54"/>
      <c r="AA364" s="54"/>
      <c r="AB364" s="54"/>
    </row>
    <row r="365">
      <c r="A365" s="57"/>
      <c r="B365" s="10" t="str">
        <f>IFERROR(VLOOKUP(C365,'Employees List'!$B$1:$G$999,4,0),"")</f>
        <v/>
      </c>
      <c r="C365" s="9"/>
      <c r="D365" s="9"/>
      <c r="E365" s="56"/>
      <c r="F365" s="56"/>
      <c r="G365" s="56"/>
      <c r="H365" s="50"/>
      <c r="I365" s="54"/>
      <c r="J365" s="54"/>
      <c r="K365" s="54"/>
      <c r="L365" s="54"/>
      <c r="M365" s="54"/>
      <c r="N365" s="54"/>
      <c r="O365" s="54"/>
      <c r="P365" s="54"/>
      <c r="Q365" s="54"/>
      <c r="R365" s="54"/>
      <c r="S365" s="54"/>
      <c r="T365" s="54"/>
      <c r="U365" s="54"/>
      <c r="V365" s="54"/>
      <c r="W365" s="54"/>
      <c r="X365" s="54"/>
      <c r="Y365" s="54"/>
      <c r="Z365" s="54"/>
      <c r="AA365" s="54"/>
      <c r="AB365" s="54"/>
    </row>
    <row r="366">
      <c r="A366" s="57"/>
      <c r="B366" s="10" t="str">
        <f>IFERROR(VLOOKUP(C366,'Employees List'!$B$1:$G$999,4,0),"")</f>
        <v/>
      </c>
      <c r="C366" s="9"/>
      <c r="D366" s="9"/>
      <c r="E366" s="56"/>
      <c r="F366" s="56"/>
      <c r="G366" s="56"/>
      <c r="H366" s="50"/>
      <c r="I366" s="54"/>
      <c r="J366" s="54"/>
      <c r="K366" s="54"/>
      <c r="L366" s="54"/>
      <c r="M366" s="54"/>
      <c r="N366" s="54"/>
      <c r="O366" s="54"/>
      <c r="P366" s="54"/>
      <c r="Q366" s="54"/>
      <c r="R366" s="54"/>
      <c r="S366" s="54"/>
      <c r="T366" s="54"/>
      <c r="U366" s="54"/>
      <c r="V366" s="54"/>
      <c r="W366" s="54"/>
      <c r="X366" s="54"/>
      <c r="Y366" s="54"/>
      <c r="Z366" s="54"/>
      <c r="AA366" s="54"/>
      <c r="AB366" s="54"/>
    </row>
    <row r="367">
      <c r="A367" s="57"/>
      <c r="B367" s="10" t="str">
        <f>IFERROR(VLOOKUP(C367,'Employees List'!$B$1:$G$999,4,0),"")</f>
        <v/>
      </c>
      <c r="C367" s="9"/>
      <c r="D367" s="9"/>
      <c r="E367" s="56"/>
      <c r="F367" s="56"/>
      <c r="G367" s="56"/>
      <c r="H367" s="50"/>
      <c r="I367" s="54"/>
      <c r="J367" s="54"/>
      <c r="K367" s="54"/>
      <c r="L367" s="54"/>
      <c r="M367" s="54"/>
      <c r="N367" s="54"/>
      <c r="O367" s="54"/>
      <c r="P367" s="54"/>
      <c r="Q367" s="54"/>
      <c r="R367" s="54"/>
      <c r="S367" s="54"/>
      <c r="T367" s="54"/>
      <c r="U367" s="54"/>
      <c r="V367" s="54"/>
      <c r="W367" s="54"/>
      <c r="X367" s="54"/>
      <c r="Y367" s="54"/>
      <c r="Z367" s="54"/>
      <c r="AA367" s="54"/>
      <c r="AB367" s="54"/>
    </row>
    <row r="368">
      <c r="A368" s="57"/>
      <c r="B368" s="10" t="str">
        <f>IFERROR(VLOOKUP(C368,'Employees List'!$B$1:$G$999,4,0),"")</f>
        <v/>
      </c>
      <c r="C368" s="9"/>
      <c r="D368" s="9"/>
      <c r="E368" s="56"/>
      <c r="F368" s="56"/>
      <c r="G368" s="56"/>
      <c r="H368" s="50"/>
      <c r="I368" s="54"/>
      <c r="J368" s="54"/>
      <c r="K368" s="54"/>
      <c r="L368" s="54"/>
      <c r="M368" s="54"/>
      <c r="N368" s="54"/>
      <c r="O368" s="54"/>
      <c r="P368" s="54"/>
      <c r="Q368" s="54"/>
      <c r="R368" s="54"/>
      <c r="S368" s="54"/>
      <c r="T368" s="54"/>
      <c r="U368" s="54"/>
      <c r="V368" s="54"/>
      <c r="W368" s="54"/>
      <c r="X368" s="54"/>
      <c r="Y368" s="54"/>
      <c r="Z368" s="54"/>
      <c r="AA368" s="54"/>
      <c r="AB368" s="54"/>
    </row>
    <row r="369">
      <c r="A369" s="57"/>
      <c r="B369" s="10" t="str">
        <f>IFERROR(VLOOKUP(C369,'Employees List'!$B$1:$G$999,4,0),"")</f>
        <v/>
      </c>
      <c r="C369" s="9"/>
      <c r="D369" s="9"/>
      <c r="E369" s="56"/>
      <c r="F369" s="56"/>
      <c r="G369" s="56"/>
      <c r="H369" s="50"/>
      <c r="I369" s="54"/>
      <c r="J369" s="54"/>
      <c r="K369" s="54"/>
      <c r="L369" s="54"/>
      <c r="M369" s="54"/>
      <c r="N369" s="54"/>
      <c r="O369" s="54"/>
      <c r="P369" s="54"/>
      <c r="Q369" s="54"/>
      <c r="R369" s="54"/>
      <c r="S369" s="54"/>
      <c r="T369" s="54"/>
      <c r="U369" s="54"/>
      <c r="V369" s="54"/>
      <c r="W369" s="54"/>
      <c r="X369" s="54"/>
      <c r="Y369" s="54"/>
      <c r="Z369" s="54"/>
      <c r="AA369" s="54"/>
      <c r="AB369" s="54"/>
    </row>
    <row r="370">
      <c r="A370" s="57"/>
      <c r="B370" s="10" t="str">
        <f>IFERROR(VLOOKUP(C370,'Employees List'!$B$1:$G$999,4,0),"")</f>
        <v/>
      </c>
      <c r="C370" s="9"/>
      <c r="D370" s="9"/>
      <c r="E370" s="56"/>
      <c r="F370" s="56"/>
      <c r="G370" s="56"/>
      <c r="H370" s="50"/>
      <c r="I370" s="54"/>
      <c r="J370" s="54"/>
      <c r="K370" s="54"/>
      <c r="L370" s="54"/>
      <c r="M370" s="54"/>
      <c r="N370" s="54"/>
      <c r="O370" s="54"/>
      <c r="P370" s="54"/>
      <c r="Q370" s="54"/>
      <c r="R370" s="54"/>
      <c r="S370" s="54"/>
      <c r="T370" s="54"/>
      <c r="U370" s="54"/>
      <c r="V370" s="54"/>
      <c r="W370" s="54"/>
      <c r="X370" s="54"/>
      <c r="Y370" s="54"/>
      <c r="Z370" s="54"/>
      <c r="AA370" s="54"/>
      <c r="AB370" s="54"/>
    </row>
    <row r="371">
      <c r="A371" s="57"/>
      <c r="B371" s="10" t="str">
        <f>IFERROR(VLOOKUP(C371,'Employees List'!$B$1:$G$999,4,0),"")</f>
        <v/>
      </c>
      <c r="C371" s="9"/>
      <c r="D371" s="9"/>
      <c r="E371" s="56"/>
      <c r="F371" s="56"/>
      <c r="G371" s="56"/>
      <c r="H371" s="50"/>
      <c r="I371" s="54"/>
      <c r="J371" s="54"/>
      <c r="K371" s="54"/>
      <c r="L371" s="54"/>
      <c r="M371" s="54"/>
      <c r="N371" s="54"/>
      <c r="O371" s="54"/>
      <c r="P371" s="54"/>
      <c r="Q371" s="54"/>
      <c r="R371" s="54"/>
      <c r="S371" s="54"/>
      <c r="T371" s="54"/>
      <c r="U371" s="54"/>
      <c r="V371" s="54"/>
      <c r="W371" s="54"/>
      <c r="X371" s="54"/>
      <c r="Y371" s="54"/>
      <c r="Z371" s="54"/>
      <c r="AA371" s="54"/>
      <c r="AB371" s="54"/>
    </row>
    <row r="372">
      <c r="A372" s="57"/>
      <c r="B372" s="10" t="str">
        <f>IFERROR(VLOOKUP(C372,'Employees List'!$B$1:$G$999,4,0),"")</f>
        <v/>
      </c>
      <c r="C372" s="9"/>
      <c r="D372" s="9"/>
      <c r="E372" s="56"/>
      <c r="F372" s="56"/>
      <c r="G372" s="56"/>
      <c r="H372" s="50"/>
      <c r="I372" s="54"/>
      <c r="J372" s="54"/>
      <c r="K372" s="54"/>
      <c r="L372" s="54"/>
      <c r="M372" s="54"/>
      <c r="N372" s="54"/>
      <c r="O372" s="54"/>
      <c r="P372" s="54"/>
      <c r="Q372" s="54"/>
      <c r="R372" s="54"/>
      <c r="S372" s="54"/>
      <c r="T372" s="54"/>
      <c r="U372" s="54"/>
      <c r="V372" s="54"/>
      <c r="W372" s="54"/>
      <c r="X372" s="54"/>
      <c r="Y372" s="54"/>
      <c r="Z372" s="54"/>
      <c r="AA372" s="54"/>
      <c r="AB372" s="54"/>
    </row>
    <row r="373">
      <c r="A373" s="57"/>
      <c r="B373" s="10" t="str">
        <f>IFERROR(VLOOKUP(C373,'Employees List'!$B$1:$G$999,4,0),"")</f>
        <v/>
      </c>
      <c r="C373" s="9"/>
      <c r="D373" s="9"/>
      <c r="E373" s="56"/>
      <c r="F373" s="56"/>
      <c r="G373" s="56"/>
      <c r="H373" s="50"/>
      <c r="I373" s="54"/>
      <c r="J373" s="54"/>
      <c r="K373" s="54"/>
      <c r="L373" s="54"/>
      <c r="M373" s="54"/>
      <c r="N373" s="54"/>
      <c r="O373" s="54"/>
      <c r="P373" s="54"/>
      <c r="Q373" s="54"/>
      <c r="R373" s="54"/>
      <c r="S373" s="54"/>
      <c r="T373" s="54"/>
      <c r="U373" s="54"/>
      <c r="V373" s="54"/>
      <c r="W373" s="54"/>
      <c r="X373" s="54"/>
      <c r="Y373" s="54"/>
      <c r="Z373" s="54"/>
      <c r="AA373" s="54"/>
      <c r="AB373" s="54"/>
    </row>
    <row r="374">
      <c r="A374" s="57"/>
      <c r="B374" s="10" t="str">
        <f>IFERROR(VLOOKUP(C374,'Employees List'!$B$1:$G$999,4,0),"")</f>
        <v/>
      </c>
      <c r="C374" s="9"/>
      <c r="D374" s="9"/>
      <c r="E374" s="56"/>
      <c r="F374" s="56"/>
      <c r="G374" s="56"/>
      <c r="H374" s="50"/>
      <c r="I374" s="54"/>
      <c r="J374" s="54"/>
      <c r="K374" s="54"/>
      <c r="L374" s="54"/>
      <c r="M374" s="54"/>
      <c r="N374" s="54"/>
      <c r="O374" s="54"/>
      <c r="P374" s="54"/>
      <c r="Q374" s="54"/>
      <c r="R374" s="54"/>
      <c r="S374" s="54"/>
      <c r="T374" s="54"/>
      <c r="U374" s="54"/>
      <c r="V374" s="54"/>
      <c r="W374" s="54"/>
      <c r="X374" s="54"/>
      <c r="Y374" s="54"/>
      <c r="Z374" s="54"/>
      <c r="AA374" s="54"/>
      <c r="AB374" s="54"/>
    </row>
    <row r="375">
      <c r="A375" s="57"/>
      <c r="B375" s="10" t="str">
        <f>IFERROR(VLOOKUP(C375,'Employees List'!$B$1:$G$999,4,0),"")</f>
        <v/>
      </c>
      <c r="C375" s="9"/>
      <c r="D375" s="9"/>
      <c r="E375" s="56"/>
      <c r="F375" s="56"/>
      <c r="G375" s="56"/>
      <c r="H375" s="50"/>
      <c r="I375" s="54"/>
      <c r="J375" s="54"/>
      <c r="K375" s="54"/>
      <c r="L375" s="54"/>
      <c r="M375" s="54"/>
      <c r="N375" s="54"/>
      <c r="O375" s="54"/>
      <c r="P375" s="54"/>
      <c r="Q375" s="54"/>
      <c r="R375" s="54"/>
      <c r="S375" s="54"/>
      <c r="T375" s="54"/>
      <c r="U375" s="54"/>
      <c r="V375" s="54"/>
      <c r="W375" s="54"/>
      <c r="X375" s="54"/>
      <c r="Y375" s="54"/>
      <c r="Z375" s="54"/>
      <c r="AA375" s="54"/>
      <c r="AB375" s="54"/>
    </row>
    <row r="376">
      <c r="A376" s="57"/>
      <c r="B376" s="10" t="str">
        <f>IFERROR(VLOOKUP(C376,'Employees List'!$B$1:$G$999,4,0),"")</f>
        <v/>
      </c>
      <c r="C376" s="9"/>
      <c r="D376" s="9"/>
      <c r="E376" s="56"/>
      <c r="F376" s="56"/>
      <c r="G376" s="56"/>
      <c r="H376" s="50"/>
      <c r="I376" s="54"/>
      <c r="J376" s="54"/>
      <c r="K376" s="54"/>
      <c r="L376" s="54"/>
      <c r="M376" s="54"/>
      <c r="N376" s="54"/>
      <c r="O376" s="54"/>
      <c r="P376" s="54"/>
      <c r="Q376" s="54"/>
      <c r="R376" s="54"/>
      <c r="S376" s="54"/>
      <c r="T376" s="54"/>
      <c r="U376" s="54"/>
      <c r="V376" s="54"/>
      <c r="W376" s="54"/>
      <c r="X376" s="54"/>
      <c r="Y376" s="54"/>
      <c r="Z376" s="54"/>
      <c r="AA376" s="54"/>
      <c r="AB376" s="54"/>
    </row>
    <row r="377">
      <c r="A377" s="57"/>
      <c r="B377" s="10" t="str">
        <f>IFERROR(VLOOKUP(C377,'Employees List'!$B$1:$G$999,4,0),"")</f>
        <v/>
      </c>
      <c r="C377" s="9"/>
      <c r="D377" s="9"/>
      <c r="E377" s="56"/>
      <c r="F377" s="56"/>
      <c r="G377" s="56"/>
      <c r="H377" s="50"/>
      <c r="I377" s="54"/>
      <c r="J377" s="54"/>
      <c r="K377" s="54"/>
      <c r="L377" s="54"/>
      <c r="M377" s="54"/>
      <c r="N377" s="54"/>
      <c r="O377" s="54"/>
      <c r="P377" s="54"/>
      <c r="Q377" s="54"/>
      <c r="R377" s="54"/>
      <c r="S377" s="54"/>
      <c r="T377" s="54"/>
      <c r="U377" s="54"/>
      <c r="V377" s="54"/>
      <c r="W377" s="54"/>
      <c r="X377" s="54"/>
      <c r="Y377" s="54"/>
      <c r="Z377" s="54"/>
      <c r="AA377" s="54"/>
      <c r="AB377" s="54"/>
    </row>
    <row r="378">
      <c r="A378" s="57"/>
      <c r="B378" s="10" t="str">
        <f>IFERROR(VLOOKUP(C378,'Employees List'!$B$1:$G$999,4,0),"")</f>
        <v/>
      </c>
      <c r="C378" s="9"/>
      <c r="D378" s="9"/>
      <c r="E378" s="56"/>
      <c r="F378" s="56"/>
      <c r="G378" s="56"/>
      <c r="H378" s="50"/>
      <c r="I378" s="54"/>
      <c r="J378" s="54"/>
      <c r="K378" s="54"/>
      <c r="L378" s="54"/>
      <c r="M378" s="54"/>
      <c r="N378" s="54"/>
      <c r="O378" s="54"/>
      <c r="P378" s="54"/>
      <c r="Q378" s="54"/>
      <c r="R378" s="54"/>
      <c r="S378" s="54"/>
      <c r="T378" s="54"/>
      <c r="U378" s="54"/>
      <c r="V378" s="54"/>
      <c r="W378" s="54"/>
      <c r="X378" s="54"/>
      <c r="Y378" s="54"/>
      <c r="Z378" s="54"/>
      <c r="AA378" s="54"/>
      <c r="AB378" s="54"/>
    </row>
    <row r="379">
      <c r="A379" s="57"/>
      <c r="B379" s="10" t="str">
        <f>IFERROR(VLOOKUP(C379,'Employees List'!$B$1:$G$999,4,0),"")</f>
        <v/>
      </c>
      <c r="C379" s="9"/>
      <c r="D379" s="9"/>
      <c r="E379" s="56"/>
      <c r="F379" s="56"/>
      <c r="G379" s="56"/>
      <c r="H379" s="50"/>
      <c r="I379" s="54"/>
      <c r="J379" s="54"/>
      <c r="K379" s="54"/>
      <c r="L379" s="54"/>
      <c r="M379" s="54"/>
      <c r="N379" s="54"/>
      <c r="O379" s="54"/>
      <c r="P379" s="54"/>
      <c r="Q379" s="54"/>
      <c r="R379" s="54"/>
      <c r="S379" s="54"/>
      <c r="T379" s="54"/>
      <c r="U379" s="54"/>
      <c r="V379" s="54"/>
      <c r="W379" s="54"/>
      <c r="X379" s="54"/>
      <c r="Y379" s="54"/>
      <c r="Z379" s="54"/>
      <c r="AA379" s="54"/>
      <c r="AB379" s="54"/>
    </row>
    <row r="380">
      <c r="A380" s="57"/>
      <c r="B380" s="10" t="str">
        <f>IFERROR(VLOOKUP(C380,'Employees List'!$B$1:$G$999,4,0),"")</f>
        <v/>
      </c>
      <c r="C380" s="9"/>
      <c r="D380" s="9"/>
      <c r="E380" s="56"/>
      <c r="F380" s="56"/>
      <c r="G380" s="56"/>
      <c r="H380" s="50"/>
      <c r="I380" s="54"/>
      <c r="J380" s="54"/>
      <c r="K380" s="54"/>
      <c r="L380" s="54"/>
      <c r="M380" s="54"/>
      <c r="N380" s="54"/>
      <c r="O380" s="54"/>
      <c r="P380" s="54"/>
      <c r="Q380" s="54"/>
      <c r="R380" s="54"/>
      <c r="S380" s="54"/>
      <c r="T380" s="54"/>
      <c r="U380" s="54"/>
      <c r="V380" s="54"/>
      <c r="W380" s="54"/>
      <c r="X380" s="54"/>
      <c r="Y380" s="54"/>
      <c r="Z380" s="54"/>
      <c r="AA380" s="54"/>
      <c r="AB380" s="54"/>
    </row>
    <row r="381">
      <c r="A381" s="57"/>
      <c r="B381" s="10" t="str">
        <f>IFERROR(VLOOKUP(C381,'Employees List'!$B$1:$G$999,4,0),"")</f>
        <v/>
      </c>
      <c r="C381" s="9"/>
      <c r="D381" s="9"/>
      <c r="E381" s="56"/>
      <c r="F381" s="56"/>
      <c r="G381" s="56"/>
      <c r="H381" s="50"/>
      <c r="I381" s="54"/>
      <c r="J381" s="54"/>
      <c r="K381" s="54"/>
      <c r="L381" s="54"/>
      <c r="M381" s="54"/>
      <c r="N381" s="54"/>
      <c r="O381" s="54"/>
      <c r="P381" s="54"/>
      <c r="Q381" s="54"/>
      <c r="R381" s="54"/>
      <c r="S381" s="54"/>
      <c r="T381" s="54"/>
      <c r="U381" s="54"/>
      <c r="V381" s="54"/>
      <c r="W381" s="54"/>
      <c r="X381" s="54"/>
      <c r="Y381" s="54"/>
      <c r="Z381" s="54"/>
      <c r="AA381" s="54"/>
      <c r="AB381" s="54"/>
    </row>
    <row r="382">
      <c r="A382" s="57"/>
      <c r="B382" s="10" t="str">
        <f>IFERROR(VLOOKUP(C382,'Employees List'!$B$1:$G$999,4,0),"")</f>
        <v/>
      </c>
      <c r="C382" s="9"/>
      <c r="D382" s="9"/>
      <c r="E382" s="56"/>
      <c r="F382" s="56"/>
      <c r="G382" s="56"/>
      <c r="H382" s="50"/>
      <c r="I382" s="54"/>
      <c r="J382" s="54"/>
      <c r="K382" s="54"/>
      <c r="L382" s="54"/>
      <c r="M382" s="54"/>
      <c r="N382" s="54"/>
      <c r="O382" s="54"/>
      <c r="P382" s="54"/>
      <c r="Q382" s="54"/>
      <c r="R382" s="54"/>
      <c r="S382" s="54"/>
      <c r="T382" s="54"/>
      <c r="U382" s="54"/>
      <c r="V382" s="54"/>
      <c r="W382" s="54"/>
      <c r="X382" s="54"/>
      <c r="Y382" s="54"/>
      <c r="Z382" s="54"/>
      <c r="AA382" s="54"/>
      <c r="AB382" s="54"/>
    </row>
    <row r="383">
      <c r="A383" s="57"/>
      <c r="B383" s="10" t="str">
        <f>IFERROR(VLOOKUP(C383,'Employees List'!$B$1:$G$999,4,0),"")</f>
        <v/>
      </c>
      <c r="C383" s="9"/>
      <c r="D383" s="9"/>
      <c r="E383" s="56"/>
      <c r="F383" s="56"/>
      <c r="G383" s="56"/>
      <c r="H383" s="50"/>
      <c r="I383" s="54"/>
      <c r="J383" s="54"/>
      <c r="K383" s="54"/>
      <c r="L383" s="54"/>
      <c r="M383" s="54"/>
      <c r="N383" s="54"/>
      <c r="O383" s="54"/>
      <c r="P383" s="54"/>
      <c r="Q383" s="54"/>
      <c r="R383" s="54"/>
      <c r="S383" s="54"/>
      <c r="T383" s="54"/>
      <c r="U383" s="54"/>
      <c r="V383" s="54"/>
      <c r="W383" s="54"/>
      <c r="X383" s="54"/>
      <c r="Y383" s="54"/>
      <c r="Z383" s="54"/>
      <c r="AA383" s="54"/>
      <c r="AB383" s="54"/>
    </row>
    <row r="384">
      <c r="A384" s="57"/>
      <c r="B384" s="10" t="str">
        <f>IFERROR(VLOOKUP(C384,'Employees List'!$B$1:$G$999,4,0),"")</f>
        <v/>
      </c>
      <c r="C384" s="9"/>
      <c r="D384" s="9"/>
      <c r="E384" s="56"/>
      <c r="F384" s="56"/>
      <c r="G384" s="56"/>
      <c r="H384" s="50"/>
      <c r="I384" s="54"/>
      <c r="J384" s="54"/>
      <c r="K384" s="54"/>
      <c r="L384" s="54"/>
      <c r="M384" s="54"/>
      <c r="N384" s="54"/>
      <c r="O384" s="54"/>
      <c r="P384" s="54"/>
      <c r="Q384" s="54"/>
      <c r="R384" s="54"/>
      <c r="S384" s="54"/>
      <c r="T384" s="54"/>
      <c r="U384" s="54"/>
      <c r="V384" s="54"/>
      <c r="W384" s="54"/>
      <c r="X384" s="54"/>
      <c r="Y384" s="54"/>
      <c r="Z384" s="54"/>
      <c r="AA384" s="54"/>
      <c r="AB384" s="54"/>
    </row>
    <row r="385">
      <c r="A385" s="57"/>
      <c r="B385" s="10" t="str">
        <f>IFERROR(VLOOKUP(C385,'Employees List'!$B$1:$G$999,4,0),"")</f>
        <v/>
      </c>
      <c r="C385" s="9"/>
      <c r="D385" s="9"/>
      <c r="E385" s="56"/>
      <c r="F385" s="56"/>
      <c r="G385" s="56"/>
      <c r="H385" s="50"/>
      <c r="I385" s="54"/>
      <c r="J385" s="54"/>
      <c r="K385" s="54"/>
      <c r="L385" s="54"/>
      <c r="M385" s="54"/>
      <c r="N385" s="54"/>
      <c r="O385" s="54"/>
      <c r="P385" s="54"/>
      <c r="Q385" s="54"/>
      <c r="R385" s="54"/>
      <c r="S385" s="54"/>
      <c r="T385" s="54"/>
      <c r="U385" s="54"/>
      <c r="V385" s="54"/>
      <c r="W385" s="54"/>
      <c r="X385" s="54"/>
      <c r="Y385" s="54"/>
      <c r="Z385" s="54"/>
      <c r="AA385" s="54"/>
      <c r="AB385" s="54"/>
    </row>
    <row r="386">
      <c r="A386" s="57"/>
      <c r="B386" s="10" t="str">
        <f>IFERROR(VLOOKUP(C386,'Employees List'!$B$1:$G$999,4,0),"")</f>
        <v/>
      </c>
      <c r="C386" s="9"/>
      <c r="D386" s="9"/>
      <c r="E386" s="56"/>
      <c r="F386" s="56"/>
      <c r="G386" s="56"/>
      <c r="H386" s="50"/>
      <c r="I386" s="54"/>
      <c r="J386" s="54"/>
      <c r="K386" s="54"/>
      <c r="L386" s="54"/>
      <c r="M386" s="54"/>
      <c r="N386" s="54"/>
      <c r="O386" s="54"/>
      <c r="P386" s="54"/>
      <c r="Q386" s="54"/>
      <c r="R386" s="54"/>
      <c r="S386" s="54"/>
      <c r="T386" s="54"/>
      <c r="U386" s="54"/>
      <c r="V386" s="54"/>
      <c r="W386" s="54"/>
      <c r="X386" s="54"/>
      <c r="Y386" s="54"/>
      <c r="Z386" s="54"/>
      <c r="AA386" s="54"/>
      <c r="AB386" s="54"/>
    </row>
    <row r="387">
      <c r="A387" s="57"/>
      <c r="B387" s="10" t="str">
        <f>IFERROR(VLOOKUP(C387,'Employees List'!$B$1:$G$999,4,0),"")</f>
        <v/>
      </c>
      <c r="C387" s="9"/>
      <c r="D387" s="9"/>
      <c r="E387" s="56"/>
      <c r="F387" s="56"/>
      <c r="G387" s="56"/>
      <c r="H387" s="50"/>
      <c r="I387" s="54"/>
      <c r="J387" s="54"/>
      <c r="K387" s="54"/>
      <c r="L387" s="54"/>
      <c r="M387" s="54"/>
      <c r="N387" s="54"/>
      <c r="O387" s="54"/>
      <c r="P387" s="54"/>
      <c r="Q387" s="54"/>
      <c r="R387" s="54"/>
      <c r="S387" s="54"/>
      <c r="T387" s="54"/>
      <c r="U387" s="54"/>
      <c r="V387" s="54"/>
      <c r="W387" s="54"/>
      <c r="X387" s="54"/>
      <c r="Y387" s="54"/>
      <c r="Z387" s="54"/>
      <c r="AA387" s="54"/>
      <c r="AB387" s="54"/>
    </row>
    <row r="388">
      <c r="A388" s="57"/>
      <c r="B388" s="10" t="str">
        <f>IFERROR(VLOOKUP(C388,'Employees List'!$B$1:$G$999,4,0),"")</f>
        <v/>
      </c>
      <c r="C388" s="9"/>
      <c r="D388" s="9"/>
      <c r="E388" s="56"/>
      <c r="F388" s="56"/>
      <c r="G388" s="56"/>
      <c r="H388" s="50"/>
      <c r="I388" s="54"/>
      <c r="J388" s="54"/>
      <c r="K388" s="54"/>
      <c r="L388" s="54"/>
      <c r="M388" s="54"/>
      <c r="N388" s="54"/>
      <c r="O388" s="54"/>
      <c r="P388" s="54"/>
      <c r="Q388" s="54"/>
      <c r="R388" s="54"/>
      <c r="S388" s="54"/>
      <c r="T388" s="54"/>
      <c r="U388" s="54"/>
      <c r="V388" s="54"/>
      <c r="W388" s="54"/>
      <c r="X388" s="54"/>
      <c r="Y388" s="54"/>
      <c r="Z388" s="54"/>
      <c r="AA388" s="54"/>
      <c r="AB388" s="54"/>
    </row>
    <row r="389">
      <c r="A389" s="57"/>
      <c r="B389" s="10" t="str">
        <f>IFERROR(VLOOKUP(C389,'Employees List'!$B$1:$G$999,4,0),"")</f>
        <v/>
      </c>
      <c r="C389" s="9"/>
      <c r="D389" s="9"/>
      <c r="E389" s="56"/>
      <c r="F389" s="56"/>
      <c r="G389" s="56"/>
      <c r="H389" s="50"/>
      <c r="I389" s="54"/>
      <c r="J389" s="54"/>
      <c r="K389" s="54"/>
      <c r="L389" s="54"/>
      <c r="M389" s="54"/>
      <c r="N389" s="54"/>
      <c r="O389" s="54"/>
      <c r="P389" s="54"/>
      <c r="Q389" s="54"/>
      <c r="R389" s="54"/>
      <c r="S389" s="54"/>
      <c r="T389" s="54"/>
      <c r="U389" s="54"/>
      <c r="V389" s="54"/>
      <c r="W389" s="54"/>
      <c r="X389" s="54"/>
      <c r="Y389" s="54"/>
      <c r="Z389" s="54"/>
      <c r="AA389" s="54"/>
      <c r="AB389" s="54"/>
    </row>
    <row r="390">
      <c r="A390" s="57"/>
      <c r="B390" s="10" t="str">
        <f>IFERROR(VLOOKUP(C390,'Employees List'!$B$1:$G$999,4,0),"")</f>
        <v/>
      </c>
      <c r="C390" s="9"/>
      <c r="D390" s="9"/>
      <c r="E390" s="56"/>
      <c r="F390" s="56"/>
      <c r="G390" s="56"/>
      <c r="H390" s="50"/>
      <c r="I390" s="54"/>
      <c r="J390" s="54"/>
      <c r="K390" s="54"/>
      <c r="L390" s="54"/>
      <c r="M390" s="54"/>
      <c r="N390" s="54"/>
      <c r="O390" s="54"/>
      <c r="P390" s="54"/>
      <c r="Q390" s="54"/>
      <c r="R390" s="54"/>
      <c r="S390" s="54"/>
      <c r="T390" s="54"/>
      <c r="U390" s="54"/>
      <c r="V390" s="54"/>
      <c r="W390" s="54"/>
      <c r="X390" s="54"/>
      <c r="Y390" s="54"/>
      <c r="Z390" s="54"/>
      <c r="AA390" s="54"/>
      <c r="AB390" s="54"/>
    </row>
    <row r="391">
      <c r="A391" s="57"/>
      <c r="B391" s="10" t="str">
        <f>IFERROR(VLOOKUP(C391,'Employees List'!$B$1:$G$999,4,0),"")</f>
        <v/>
      </c>
      <c r="C391" s="9"/>
      <c r="D391" s="9"/>
      <c r="E391" s="56"/>
      <c r="F391" s="56"/>
      <c r="G391" s="56"/>
      <c r="H391" s="50"/>
      <c r="I391" s="54"/>
      <c r="J391" s="54"/>
      <c r="K391" s="54"/>
      <c r="L391" s="54"/>
      <c r="M391" s="54"/>
      <c r="N391" s="54"/>
      <c r="O391" s="54"/>
      <c r="P391" s="54"/>
      <c r="Q391" s="54"/>
      <c r="R391" s="54"/>
      <c r="S391" s="54"/>
      <c r="T391" s="54"/>
      <c r="U391" s="54"/>
      <c r="V391" s="54"/>
      <c r="W391" s="54"/>
      <c r="X391" s="54"/>
      <c r="Y391" s="54"/>
      <c r="Z391" s="54"/>
      <c r="AA391" s="54"/>
      <c r="AB391" s="54"/>
    </row>
    <row r="392">
      <c r="A392" s="57"/>
      <c r="B392" s="10" t="str">
        <f>IFERROR(VLOOKUP(C392,'Employees List'!$B$1:$G$999,4,0),"")</f>
        <v/>
      </c>
      <c r="C392" s="9"/>
      <c r="D392" s="9"/>
      <c r="E392" s="56"/>
      <c r="F392" s="56"/>
      <c r="G392" s="56"/>
      <c r="H392" s="50"/>
      <c r="I392" s="54"/>
      <c r="J392" s="54"/>
      <c r="K392" s="54"/>
      <c r="L392" s="54"/>
      <c r="M392" s="54"/>
      <c r="N392" s="54"/>
      <c r="O392" s="54"/>
      <c r="P392" s="54"/>
      <c r="Q392" s="54"/>
      <c r="R392" s="54"/>
      <c r="S392" s="54"/>
      <c r="T392" s="54"/>
      <c r="U392" s="54"/>
      <c r="V392" s="54"/>
      <c r="W392" s="54"/>
      <c r="X392" s="54"/>
      <c r="Y392" s="54"/>
      <c r="Z392" s="54"/>
      <c r="AA392" s="54"/>
      <c r="AB392" s="54"/>
    </row>
    <row r="393">
      <c r="A393" s="57"/>
      <c r="B393" s="10" t="str">
        <f>IFERROR(VLOOKUP(C393,'Employees List'!$B$1:$G$999,4,0),"")</f>
        <v/>
      </c>
      <c r="C393" s="9"/>
      <c r="D393" s="9"/>
      <c r="E393" s="56"/>
      <c r="F393" s="56"/>
      <c r="G393" s="56"/>
      <c r="H393" s="50"/>
      <c r="I393" s="54"/>
      <c r="J393" s="54"/>
      <c r="K393" s="54"/>
      <c r="L393" s="54"/>
      <c r="M393" s="54"/>
      <c r="N393" s="54"/>
      <c r="O393" s="54"/>
      <c r="P393" s="54"/>
      <c r="Q393" s="54"/>
      <c r="R393" s="54"/>
      <c r="S393" s="54"/>
      <c r="T393" s="54"/>
      <c r="U393" s="54"/>
      <c r="V393" s="54"/>
      <c r="W393" s="54"/>
      <c r="X393" s="54"/>
      <c r="Y393" s="54"/>
      <c r="Z393" s="54"/>
      <c r="AA393" s="54"/>
      <c r="AB393" s="54"/>
    </row>
    <row r="394">
      <c r="A394" s="57"/>
      <c r="B394" s="10" t="str">
        <f>IFERROR(VLOOKUP(C394,'Employees List'!$B$1:$G$999,4,0),"")</f>
        <v/>
      </c>
      <c r="C394" s="9"/>
      <c r="D394" s="9"/>
      <c r="E394" s="56"/>
      <c r="F394" s="56"/>
      <c r="G394" s="56"/>
      <c r="H394" s="50"/>
      <c r="I394" s="54"/>
      <c r="J394" s="54"/>
      <c r="K394" s="54"/>
      <c r="L394" s="54"/>
      <c r="M394" s="54"/>
      <c r="N394" s="54"/>
      <c r="O394" s="54"/>
      <c r="P394" s="54"/>
      <c r="Q394" s="54"/>
      <c r="R394" s="54"/>
      <c r="S394" s="54"/>
      <c r="T394" s="54"/>
      <c r="U394" s="54"/>
      <c r="V394" s="54"/>
      <c r="W394" s="54"/>
      <c r="X394" s="54"/>
      <c r="Y394" s="54"/>
      <c r="Z394" s="54"/>
      <c r="AA394" s="54"/>
      <c r="AB394" s="54"/>
    </row>
    <row r="395">
      <c r="A395" s="57"/>
      <c r="B395" s="10" t="str">
        <f>IFERROR(VLOOKUP(C395,'Employees List'!$B$1:$G$999,4,0),"")</f>
        <v/>
      </c>
      <c r="C395" s="9"/>
      <c r="D395" s="9"/>
      <c r="E395" s="56"/>
      <c r="F395" s="56"/>
      <c r="G395" s="56"/>
      <c r="H395" s="50"/>
      <c r="I395" s="54"/>
      <c r="J395" s="54"/>
      <c r="K395" s="54"/>
      <c r="L395" s="54"/>
      <c r="M395" s="54"/>
      <c r="N395" s="54"/>
      <c r="O395" s="54"/>
      <c r="P395" s="54"/>
      <c r="Q395" s="54"/>
      <c r="R395" s="54"/>
      <c r="S395" s="54"/>
      <c r="T395" s="54"/>
      <c r="U395" s="54"/>
      <c r="V395" s="54"/>
      <c r="W395" s="54"/>
      <c r="X395" s="54"/>
      <c r="Y395" s="54"/>
      <c r="Z395" s="54"/>
      <c r="AA395" s="54"/>
      <c r="AB395" s="54"/>
    </row>
    <row r="396">
      <c r="A396" s="57"/>
      <c r="B396" s="10" t="str">
        <f>IFERROR(VLOOKUP(C396,'Employees List'!$B$1:$G$999,4,0),"")</f>
        <v/>
      </c>
      <c r="C396" s="9"/>
      <c r="D396" s="9"/>
      <c r="E396" s="56"/>
      <c r="F396" s="56"/>
      <c r="G396" s="56"/>
      <c r="H396" s="50"/>
      <c r="I396" s="54"/>
      <c r="J396" s="54"/>
      <c r="K396" s="54"/>
      <c r="L396" s="54"/>
      <c r="M396" s="54"/>
      <c r="N396" s="54"/>
      <c r="O396" s="54"/>
      <c r="P396" s="54"/>
      <c r="Q396" s="54"/>
      <c r="R396" s="54"/>
      <c r="S396" s="54"/>
      <c r="T396" s="54"/>
      <c r="U396" s="54"/>
      <c r="V396" s="54"/>
      <c r="W396" s="54"/>
      <c r="X396" s="54"/>
      <c r="Y396" s="54"/>
      <c r="Z396" s="54"/>
      <c r="AA396" s="54"/>
      <c r="AB396" s="54"/>
    </row>
    <row r="397">
      <c r="A397" s="57"/>
      <c r="B397" s="10" t="str">
        <f>IFERROR(VLOOKUP(C397,'Employees List'!$B$1:$G$999,4,0),"")</f>
        <v/>
      </c>
      <c r="C397" s="9"/>
      <c r="D397" s="9"/>
      <c r="E397" s="56"/>
      <c r="F397" s="56"/>
      <c r="G397" s="56"/>
      <c r="H397" s="50"/>
      <c r="I397" s="54"/>
      <c r="J397" s="54"/>
      <c r="K397" s="54"/>
      <c r="L397" s="54"/>
      <c r="M397" s="54"/>
      <c r="N397" s="54"/>
      <c r="O397" s="54"/>
      <c r="P397" s="54"/>
      <c r="Q397" s="54"/>
      <c r="R397" s="54"/>
      <c r="S397" s="54"/>
      <c r="T397" s="54"/>
      <c r="U397" s="54"/>
      <c r="V397" s="54"/>
      <c r="W397" s="54"/>
      <c r="X397" s="54"/>
      <c r="Y397" s="54"/>
      <c r="Z397" s="54"/>
      <c r="AA397" s="54"/>
      <c r="AB397" s="54"/>
    </row>
    <row r="398">
      <c r="A398" s="57"/>
      <c r="B398" s="10" t="str">
        <f>IFERROR(VLOOKUP(C398,'Employees List'!$B$1:$G$999,4,0),"")</f>
        <v/>
      </c>
      <c r="C398" s="9"/>
      <c r="D398" s="9"/>
      <c r="E398" s="56"/>
      <c r="F398" s="56"/>
      <c r="G398" s="56"/>
      <c r="H398" s="50"/>
      <c r="I398" s="54"/>
      <c r="J398" s="54"/>
      <c r="K398" s="54"/>
      <c r="L398" s="54"/>
      <c r="M398" s="54"/>
      <c r="N398" s="54"/>
      <c r="O398" s="54"/>
      <c r="P398" s="54"/>
      <c r="Q398" s="54"/>
      <c r="R398" s="54"/>
      <c r="S398" s="54"/>
      <c r="T398" s="54"/>
      <c r="U398" s="54"/>
      <c r="V398" s="54"/>
      <c r="W398" s="54"/>
      <c r="X398" s="54"/>
      <c r="Y398" s="54"/>
      <c r="Z398" s="54"/>
      <c r="AA398" s="54"/>
      <c r="AB398" s="54"/>
    </row>
    <row r="399">
      <c r="A399" s="57"/>
      <c r="B399" s="10" t="str">
        <f>IFERROR(VLOOKUP(C399,'Employees List'!$B$1:$G$999,4,0),"")</f>
        <v/>
      </c>
      <c r="C399" s="9"/>
      <c r="D399" s="9"/>
      <c r="E399" s="56"/>
      <c r="F399" s="56"/>
      <c r="G399" s="56"/>
      <c r="H399" s="50"/>
      <c r="I399" s="54"/>
      <c r="J399" s="54"/>
      <c r="K399" s="54"/>
      <c r="L399" s="54"/>
      <c r="M399" s="54"/>
      <c r="N399" s="54"/>
      <c r="O399" s="54"/>
      <c r="P399" s="54"/>
      <c r="Q399" s="54"/>
      <c r="R399" s="54"/>
      <c r="S399" s="54"/>
      <c r="T399" s="54"/>
      <c r="U399" s="54"/>
      <c r="V399" s="54"/>
      <c r="W399" s="54"/>
      <c r="X399" s="54"/>
      <c r="Y399" s="54"/>
      <c r="Z399" s="54"/>
      <c r="AA399" s="54"/>
      <c r="AB399" s="54"/>
    </row>
    <row r="400">
      <c r="A400" s="57"/>
      <c r="B400" s="10" t="str">
        <f>IFERROR(VLOOKUP(C400,'Employees List'!$B$1:$G$999,4,0),"")</f>
        <v/>
      </c>
      <c r="C400" s="9"/>
      <c r="D400" s="9"/>
      <c r="E400" s="56"/>
      <c r="F400" s="56"/>
      <c r="G400" s="56"/>
      <c r="H400" s="50"/>
      <c r="I400" s="54"/>
      <c r="J400" s="54"/>
      <c r="K400" s="54"/>
      <c r="L400" s="54"/>
      <c r="M400" s="54"/>
      <c r="N400" s="54"/>
      <c r="O400" s="54"/>
      <c r="P400" s="54"/>
      <c r="Q400" s="54"/>
      <c r="R400" s="54"/>
      <c r="S400" s="54"/>
      <c r="T400" s="54"/>
      <c r="U400" s="54"/>
      <c r="V400" s="54"/>
      <c r="W400" s="54"/>
      <c r="X400" s="54"/>
      <c r="Y400" s="54"/>
      <c r="Z400" s="54"/>
      <c r="AA400" s="54"/>
      <c r="AB400" s="54"/>
    </row>
    <row r="401">
      <c r="A401" s="57"/>
      <c r="B401" s="10" t="str">
        <f>IFERROR(VLOOKUP(C401,'Employees List'!$B$1:$G$999,4,0),"")</f>
        <v/>
      </c>
      <c r="C401" s="9"/>
      <c r="D401" s="9"/>
      <c r="E401" s="56"/>
      <c r="F401" s="56"/>
      <c r="G401" s="56"/>
      <c r="H401" s="50"/>
      <c r="I401" s="54"/>
      <c r="J401" s="54"/>
      <c r="K401" s="54"/>
      <c r="L401" s="54"/>
      <c r="M401" s="54"/>
      <c r="N401" s="54"/>
      <c r="O401" s="54"/>
      <c r="P401" s="54"/>
      <c r="Q401" s="54"/>
      <c r="R401" s="54"/>
      <c r="S401" s="54"/>
      <c r="T401" s="54"/>
      <c r="U401" s="54"/>
      <c r="V401" s="54"/>
      <c r="W401" s="54"/>
      <c r="X401" s="54"/>
      <c r="Y401" s="54"/>
      <c r="Z401" s="54"/>
      <c r="AA401" s="54"/>
      <c r="AB401" s="54"/>
    </row>
    <row r="402">
      <c r="A402" s="57"/>
      <c r="B402" s="10" t="str">
        <f>IFERROR(VLOOKUP(C402,'Employees List'!$B$1:$G$999,4,0),"")</f>
        <v/>
      </c>
      <c r="C402" s="9"/>
      <c r="D402" s="9"/>
      <c r="E402" s="56"/>
      <c r="F402" s="56"/>
      <c r="G402" s="56"/>
      <c r="H402" s="50"/>
      <c r="I402" s="54"/>
      <c r="J402" s="54"/>
      <c r="K402" s="54"/>
      <c r="L402" s="54"/>
      <c r="M402" s="54"/>
      <c r="N402" s="54"/>
      <c r="O402" s="54"/>
      <c r="P402" s="54"/>
      <c r="Q402" s="54"/>
      <c r="R402" s="54"/>
      <c r="S402" s="54"/>
      <c r="T402" s="54"/>
      <c r="U402" s="54"/>
      <c r="V402" s="54"/>
      <c r="W402" s="54"/>
      <c r="X402" s="54"/>
      <c r="Y402" s="54"/>
      <c r="Z402" s="54"/>
      <c r="AA402" s="54"/>
      <c r="AB402" s="54"/>
    </row>
    <row r="403">
      <c r="A403" s="57"/>
      <c r="B403" s="10" t="str">
        <f>IFERROR(VLOOKUP(C403,'Employees List'!$B$1:$G$999,4,0),"")</f>
        <v/>
      </c>
      <c r="C403" s="9"/>
      <c r="D403" s="9"/>
      <c r="E403" s="56"/>
      <c r="F403" s="56"/>
      <c r="G403" s="56"/>
      <c r="H403" s="50"/>
      <c r="I403" s="54"/>
      <c r="J403" s="54"/>
      <c r="K403" s="54"/>
      <c r="L403" s="54"/>
      <c r="M403" s="54"/>
      <c r="N403" s="54"/>
      <c r="O403" s="54"/>
      <c r="P403" s="54"/>
      <c r="Q403" s="54"/>
      <c r="R403" s="54"/>
      <c r="S403" s="54"/>
      <c r="T403" s="54"/>
      <c r="U403" s="54"/>
      <c r="V403" s="54"/>
      <c r="W403" s="54"/>
      <c r="X403" s="54"/>
      <c r="Y403" s="54"/>
      <c r="Z403" s="54"/>
      <c r="AA403" s="54"/>
      <c r="AB403" s="54"/>
    </row>
    <row r="404">
      <c r="A404" s="57"/>
      <c r="B404" s="10" t="str">
        <f>IFERROR(VLOOKUP(C404,'Employees List'!$B$1:$G$999,4,0),"")</f>
        <v/>
      </c>
      <c r="C404" s="9"/>
      <c r="D404" s="9"/>
      <c r="E404" s="56"/>
      <c r="F404" s="56"/>
      <c r="G404" s="56"/>
      <c r="H404" s="50"/>
      <c r="I404" s="54"/>
      <c r="J404" s="54"/>
      <c r="K404" s="54"/>
      <c r="L404" s="54"/>
      <c r="M404" s="54"/>
      <c r="N404" s="54"/>
      <c r="O404" s="54"/>
      <c r="P404" s="54"/>
      <c r="Q404" s="54"/>
      <c r="R404" s="54"/>
      <c r="S404" s="54"/>
      <c r="T404" s="54"/>
      <c r="U404" s="54"/>
      <c r="V404" s="54"/>
      <c r="W404" s="54"/>
      <c r="X404" s="54"/>
      <c r="Y404" s="54"/>
      <c r="Z404" s="54"/>
      <c r="AA404" s="54"/>
      <c r="AB404" s="54"/>
    </row>
    <row r="405">
      <c r="A405" s="57"/>
      <c r="B405" s="10" t="str">
        <f>IFERROR(VLOOKUP(C405,'Employees List'!$B$1:$G$999,4,0),"")</f>
        <v/>
      </c>
      <c r="C405" s="9"/>
      <c r="D405" s="9"/>
      <c r="E405" s="56"/>
      <c r="F405" s="56"/>
      <c r="G405" s="56"/>
      <c r="H405" s="50"/>
      <c r="I405" s="54"/>
      <c r="J405" s="54"/>
      <c r="K405" s="54"/>
      <c r="L405" s="54"/>
      <c r="M405" s="54"/>
      <c r="N405" s="54"/>
      <c r="O405" s="54"/>
      <c r="P405" s="54"/>
      <c r="Q405" s="54"/>
      <c r="R405" s="54"/>
      <c r="S405" s="54"/>
      <c r="T405" s="54"/>
      <c r="U405" s="54"/>
      <c r="V405" s="54"/>
      <c r="W405" s="54"/>
      <c r="X405" s="54"/>
      <c r="Y405" s="54"/>
      <c r="Z405" s="54"/>
      <c r="AA405" s="54"/>
      <c r="AB405" s="54"/>
    </row>
    <row r="406">
      <c r="A406" s="57"/>
      <c r="B406" s="10" t="str">
        <f>IFERROR(VLOOKUP(C406,'Employees List'!$B$1:$G$999,4,0),"")</f>
        <v/>
      </c>
      <c r="C406" s="9"/>
      <c r="D406" s="9"/>
      <c r="E406" s="56"/>
      <c r="F406" s="56"/>
      <c r="G406" s="56"/>
      <c r="H406" s="50"/>
      <c r="I406" s="54"/>
      <c r="J406" s="54"/>
      <c r="K406" s="54"/>
      <c r="L406" s="54"/>
      <c r="M406" s="54"/>
      <c r="N406" s="54"/>
      <c r="O406" s="54"/>
      <c r="P406" s="54"/>
      <c r="Q406" s="54"/>
      <c r="R406" s="54"/>
      <c r="S406" s="54"/>
      <c r="T406" s="54"/>
      <c r="U406" s="54"/>
      <c r="V406" s="54"/>
      <c r="W406" s="54"/>
      <c r="X406" s="54"/>
      <c r="Y406" s="54"/>
      <c r="Z406" s="54"/>
      <c r="AA406" s="54"/>
      <c r="AB406" s="54"/>
    </row>
    <row r="407">
      <c r="A407" s="57"/>
      <c r="B407" s="10" t="str">
        <f>IFERROR(VLOOKUP(C407,'Employees List'!$B$1:$G$999,4,0),"")</f>
        <v/>
      </c>
      <c r="C407" s="9"/>
      <c r="D407" s="9"/>
      <c r="E407" s="56"/>
      <c r="F407" s="56"/>
      <c r="G407" s="56"/>
      <c r="H407" s="50"/>
      <c r="I407" s="54"/>
      <c r="J407" s="54"/>
      <c r="K407" s="54"/>
      <c r="L407" s="54"/>
      <c r="M407" s="54"/>
      <c r="N407" s="54"/>
      <c r="O407" s="54"/>
      <c r="P407" s="54"/>
      <c r="Q407" s="54"/>
      <c r="R407" s="54"/>
      <c r="S407" s="54"/>
      <c r="T407" s="54"/>
      <c r="U407" s="54"/>
      <c r="V407" s="54"/>
      <c r="W407" s="54"/>
      <c r="X407" s="54"/>
      <c r="Y407" s="54"/>
      <c r="Z407" s="54"/>
      <c r="AA407" s="54"/>
      <c r="AB407" s="54"/>
    </row>
    <row r="408">
      <c r="A408" s="57"/>
      <c r="B408" s="10" t="str">
        <f>IFERROR(VLOOKUP(C408,'Employees List'!$B$1:$G$999,4,0),"")</f>
        <v/>
      </c>
      <c r="C408" s="9"/>
      <c r="D408" s="9"/>
      <c r="E408" s="56"/>
      <c r="F408" s="56"/>
      <c r="G408" s="56"/>
      <c r="H408" s="50"/>
      <c r="I408" s="54"/>
      <c r="J408" s="54"/>
      <c r="K408" s="54"/>
      <c r="L408" s="54"/>
      <c r="M408" s="54"/>
      <c r="N408" s="54"/>
      <c r="O408" s="54"/>
      <c r="P408" s="54"/>
      <c r="Q408" s="54"/>
      <c r="R408" s="54"/>
      <c r="S408" s="54"/>
      <c r="T408" s="54"/>
      <c r="U408" s="54"/>
      <c r="V408" s="54"/>
      <c r="W408" s="54"/>
      <c r="X408" s="54"/>
      <c r="Y408" s="54"/>
      <c r="Z408" s="54"/>
      <c r="AA408" s="54"/>
      <c r="AB408" s="54"/>
    </row>
    <row r="409">
      <c r="A409" s="57"/>
      <c r="B409" s="10" t="str">
        <f>IFERROR(VLOOKUP(C409,'Employees List'!$B$1:$G$999,4,0),"")</f>
        <v/>
      </c>
      <c r="C409" s="9"/>
      <c r="D409" s="9"/>
      <c r="E409" s="56"/>
      <c r="F409" s="56"/>
      <c r="G409" s="56"/>
      <c r="H409" s="50"/>
      <c r="I409" s="54"/>
      <c r="J409" s="54"/>
      <c r="K409" s="54"/>
      <c r="L409" s="54"/>
      <c r="M409" s="54"/>
      <c r="N409" s="54"/>
      <c r="O409" s="54"/>
      <c r="P409" s="54"/>
      <c r="Q409" s="54"/>
      <c r="R409" s="54"/>
      <c r="S409" s="54"/>
      <c r="T409" s="54"/>
      <c r="U409" s="54"/>
      <c r="V409" s="54"/>
      <c r="W409" s="54"/>
      <c r="X409" s="54"/>
      <c r="Y409" s="54"/>
      <c r="Z409" s="54"/>
      <c r="AA409" s="54"/>
      <c r="AB409" s="54"/>
    </row>
    <row r="410">
      <c r="A410" s="57"/>
      <c r="B410" s="10" t="str">
        <f>IFERROR(VLOOKUP(C410,'Employees List'!$B$1:$G$999,4,0),"")</f>
        <v/>
      </c>
      <c r="C410" s="9"/>
      <c r="D410" s="9"/>
      <c r="E410" s="56"/>
      <c r="F410" s="56"/>
      <c r="G410" s="56"/>
      <c r="H410" s="50"/>
      <c r="I410" s="54"/>
      <c r="J410" s="54"/>
      <c r="K410" s="54"/>
      <c r="L410" s="54"/>
      <c r="M410" s="54"/>
      <c r="N410" s="54"/>
      <c r="O410" s="54"/>
      <c r="P410" s="54"/>
      <c r="Q410" s="54"/>
      <c r="R410" s="54"/>
      <c r="S410" s="54"/>
      <c r="T410" s="54"/>
      <c r="U410" s="54"/>
      <c r="V410" s="54"/>
      <c r="W410" s="54"/>
      <c r="X410" s="54"/>
      <c r="Y410" s="54"/>
      <c r="Z410" s="54"/>
      <c r="AA410" s="54"/>
      <c r="AB410" s="54"/>
    </row>
    <row r="411">
      <c r="A411" s="57"/>
      <c r="B411" s="10" t="str">
        <f>IFERROR(VLOOKUP(C411,'Employees List'!$B$1:$G$999,4,0),"")</f>
        <v/>
      </c>
      <c r="C411" s="9"/>
      <c r="D411" s="9"/>
      <c r="E411" s="56"/>
      <c r="F411" s="56"/>
      <c r="G411" s="56"/>
      <c r="H411" s="50"/>
      <c r="I411" s="54"/>
      <c r="J411" s="54"/>
      <c r="K411" s="54"/>
      <c r="L411" s="54"/>
      <c r="M411" s="54"/>
      <c r="N411" s="54"/>
      <c r="O411" s="54"/>
      <c r="P411" s="54"/>
      <c r="Q411" s="54"/>
      <c r="R411" s="54"/>
      <c r="S411" s="54"/>
      <c r="T411" s="54"/>
      <c r="U411" s="54"/>
      <c r="V411" s="54"/>
      <c r="W411" s="54"/>
      <c r="X411" s="54"/>
      <c r="Y411" s="54"/>
      <c r="Z411" s="54"/>
      <c r="AA411" s="54"/>
      <c r="AB411" s="54"/>
    </row>
    <row r="412">
      <c r="A412" s="57"/>
      <c r="B412" s="10" t="str">
        <f>IFERROR(VLOOKUP(C412,'Employees List'!$B$1:$G$999,4,0),"")</f>
        <v/>
      </c>
      <c r="C412" s="9"/>
      <c r="D412" s="9"/>
      <c r="E412" s="56"/>
      <c r="F412" s="56"/>
      <c r="G412" s="56"/>
      <c r="H412" s="50"/>
      <c r="I412" s="54"/>
      <c r="J412" s="54"/>
      <c r="K412" s="54"/>
      <c r="L412" s="54"/>
      <c r="M412" s="54"/>
      <c r="N412" s="54"/>
      <c r="O412" s="54"/>
      <c r="P412" s="54"/>
      <c r="Q412" s="54"/>
      <c r="R412" s="54"/>
      <c r="S412" s="54"/>
      <c r="T412" s="54"/>
      <c r="U412" s="54"/>
      <c r="V412" s="54"/>
      <c r="W412" s="54"/>
      <c r="X412" s="54"/>
      <c r="Y412" s="54"/>
      <c r="Z412" s="54"/>
      <c r="AA412" s="54"/>
      <c r="AB412" s="54"/>
    </row>
    <row r="413">
      <c r="A413" s="57"/>
      <c r="B413" s="10" t="str">
        <f>IFERROR(VLOOKUP(C413,'Employees List'!$B$1:$G$999,4,0),"")</f>
        <v/>
      </c>
      <c r="C413" s="9"/>
      <c r="D413" s="9"/>
      <c r="E413" s="56"/>
      <c r="F413" s="56"/>
      <c r="G413" s="56"/>
      <c r="H413" s="50"/>
      <c r="I413" s="54"/>
      <c r="J413" s="54"/>
      <c r="K413" s="54"/>
      <c r="L413" s="54"/>
      <c r="M413" s="54"/>
      <c r="N413" s="54"/>
      <c r="O413" s="54"/>
      <c r="P413" s="54"/>
      <c r="Q413" s="54"/>
      <c r="R413" s="54"/>
      <c r="S413" s="54"/>
      <c r="T413" s="54"/>
      <c r="U413" s="54"/>
      <c r="V413" s="54"/>
      <c r="W413" s="54"/>
      <c r="X413" s="54"/>
      <c r="Y413" s="54"/>
      <c r="Z413" s="54"/>
      <c r="AA413" s="54"/>
      <c r="AB413" s="54"/>
    </row>
    <row r="414">
      <c r="A414" s="57"/>
      <c r="B414" s="10" t="str">
        <f>IFERROR(VLOOKUP(C414,'Employees List'!$B$1:$G$999,4,0),"")</f>
        <v/>
      </c>
      <c r="C414" s="9"/>
      <c r="D414" s="9"/>
      <c r="E414" s="56"/>
      <c r="F414" s="56"/>
      <c r="G414" s="56"/>
      <c r="H414" s="50"/>
      <c r="I414" s="54"/>
      <c r="J414" s="54"/>
      <c r="K414" s="54"/>
      <c r="L414" s="54"/>
      <c r="M414" s="54"/>
      <c r="N414" s="54"/>
      <c r="O414" s="54"/>
      <c r="P414" s="54"/>
      <c r="Q414" s="54"/>
      <c r="R414" s="54"/>
      <c r="S414" s="54"/>
      <c r="T414" s="54"/>
      <c r="U414" s="54"/>
      <c r="V414" s="54"/>
      <c r="W414" s="54"/>
      <c r="X414" s="54"/>
      <c r="Y414" s="54"/>
      <c r="Z414" s="54"/>
      <c r="AA414" s="54"/>
      <c r="AB414" s="54"/>
    </row>
    <row r="415">
      <c r="A415" s="57"/>
      <c r="B415" s="10" t="str">
        <f>IFERROR(VLOOKUP(C415,'Employees List'!$B$1:$G$999,4,0),"")</f>
        <v/>
      </c>
      <c r="C415" s="9"/>
      <c r="D415" s="9"/>
      <c r="E415" s="56"/>
      <c r="F415" s="56"/>
      <c r="G415" s="56"/>
      <c r="H415" s="50"/>
      <c r="I415" s="54"/>
      <c r="J415" s="54"/>
      <c r="K415" s="54"/>
      <c r="L415" s="54"/>
      <c r="M415" s="54"/>
      <c r="N415" s="54"/>
      <c r="O415" s="54"/>
      <c r="P415" s="54"/>
      <c r="Q415" s="54"/>
      <c r="R415" s="54"/>
      <c r="S415" s="54"/>
      <c r="T415" s="54"/>
      <c r="U415" s="54"/>
      <c r="V415" s="54"/>
      <c r="W415" s="54"/>
      <c r="X415" s="54"/>
      <c r="Y415" s="54"/>
      <c r="Z415" s="54"/>
      <c r="AA415" s="54"/>
      <c r="AB415" s="54"/>
    </row>
    <row r="416">
      <c r="A416" s="57"/>
      <c r="B416" s="10" t="str">
        <f>IFERROR(VLOOKUP(C416,'Employees List'!$B$1:$G$999,4,0),"")</f>
        <v/>
      </c>
      <c r="C416" s="9"/>
      <c r="D416" s="9"/>
      <c r="E416" s="56"/>
      <c r="F416" s="56"/>
      <c r="G416" s="56"/>
      <c r="H416" s="50"/>
      <c r="I416" s="54"/>
      <c r="J416" s="54"/>
      <c r="K416" s="54"/>
      <c r="L416" s="54"/>
      <c r="M416" s="54"/>
      <c r="N416" s="54"/>
      <c r="O416" s="54"/>
      <c r="P416" s="54"/>
      <c r="Q416" s="54"/>
      <c r="R416" s="54"/>
      <c r="S416" s="54"/>
      <c r="T416" s="54"/>
      <c r="U416" s="54"/>
      <c r="V416" s="54"/>
      <c r="W416" s="54"/>
      <c r="X416" s="54"/>
      <c r="Y416" s="54"/>
      <c r="Z416" s="54"/>
      <c r="AA416" s="54"/>
      <c r="AB416" s="54"/>
    </row>
    <row r="417">
      <c r="A417" s="57"/>
      <c r="B417" s="10" t="str">
        <f>IFERROR(VLOOKUP(C417,'Employees List'!$B$1:$G$999,4,0),"")</f>
        <v/>
      </c>
      <c r="C417" s="9"/>
      <c r="D417" s="9"/>
      <c r="E417" s="56"/>
      <c r="F417" s="56"/>
      <c r="G417" s="56"/>
      <c r="H417" s="50"/>
      <c r="I417" s="54"/>
      <c r="J417" s="54"/>
      <c r="K417" s="54"/>
      <c r="L417" s="54"/>
      <c r="M417" s="54"/>
      <c r="N417" s="54"/>
      <c r="O417" s="54"/>
      <c r="P417" s="54"/>
      <c r="Q417" s="54"/>
      <c r="R417" s="54"/>
      <c r="S417" s="54"/>
      <c r="T417" s="54"/>
      <c r="U417" s="54"/>
      <c r="V417" s="54"/>
      <c r="W417" s="54"/>
      <c r="X417" s="54"/>
      <c r="Y417" s="54"/>
      <c r="Z417" s="54"/>
      <c r="AA417" s="54"/>
      <c r="AB417" s="54"/>
    </row>
    <row r="418">
      <c r="A418" s="57"/>
      <c r="B418" s="10" t="str">
        <f>IFERROR(VLOOKUP(C418,'Employees List'!$B$1:$G$999,4,0),"")</f>
        <v/>
      </c>
      <c r="C418" s="9"/>
      <c r="D418" s="9"/>
      <c r="E418" s="56"/>
      <c r="F418" s="56"/>
      <c r="G418" s="56"/>
      <c r="H418" s="50"/>
      <c r="I418" s="54"/>
      <c r="J418" s="54"/>
      <c r="K418" s="54"/>
      <c r="L418" s="54"/>
      <c r="M418" s="54"/>
      <c r="N418" s="54"/>
      <c r="O418" s="54"/>
      <c r="P418" s="54"/>
      <c r="Q418" s="54"/>
      <c r="R418" s="54"/>
      <c r="S418" s="54"/>
      <c r="T418" s="54"/>
      <c r="U418" s="54"/>
      <c r="V418" s="54"/>
      <c r="W418" s="54"/>
      <c r="X418" s="54"/>
      <c r="Y418" s="54"/>
      <c r="Z418" s="54"/>
      <c r="AA418" s="54"/>
      <c r="AB418" s="54"/>
    </row>
    <row r="419">
      <c r="A419" s="57"/>
      <c r="B419" s="10" t="str">
        <f>IFERROR(VLOOKUP(C419,'Employees List'!$B$1:$G$999,4,0),"")</f>
        <v/>
      </c>
      <c r="C419" s="9"/>
      <c r="D419" s="9"/>
      <c r="E419" s="56"/>
      <c r="F419" s="56"/>
      <c r="G419" s="56"/>
      <c r="H419" s="50"/>
      <c r="I419" s="54"/>
      <c r="J419" s="54"/>
      <c r="K419" s="54"/>
      <c r="L419" s="54"/>
      <c r="M419" s="54"/>
      <c r="N419" s="54"/>
      <c r="O419" s="54"/>
      <c r="P419" s="54"/>
      <c r="Q419" s="54"/>
      <c r="R419" s="54"/>
      <c r="S419" s="54"/>
      <c r="T419" s="54"/>
      <c r="U419" s="54"/>
      <c r="V419" s="54"/>
      <c r="W419" s="54"/>
      <c r="X419" s="54"/>
      <c r="Y419" s="54"/>
      <c r="Z419" s="54"/>
      <c r="AA419" s="54"/>
      <c r="AB419" s="54"/>
    </row>
    <row r="420">
      <c r="A420" s="57"/>
      <c r="B420" s="10" t="str">
        <f>IFERROR(VLOOKUP(C420,'Employees List'!$B$1:$G$999,4,0),"")</f>
        <v/>
      </c>
      <c r="C420" s="9"/>
      <c r="D420" s="9"/>
      <c r="E420" s="56"/>
      <c r="F420" s="56"/>
      <c r="G420" s="56"/>
      <c r="H420" s="50"/>
      <c r="I420" s="54"/>
      <c r="J420" s="54"/>
      <c r="K420" s="54"/>
      <c r="L420" s="54"/>
      <c r="M420" s="54"/>
      <c r="N420" s="54"/>
      <c r="O420" s="54"/>
      <c r="P420" s="54"/>
      <c r="Q420" s="54"/>
      <c r="R420" s="54"/>
      <c r="S420" s="54"/>
      <c r="T420" s="54"/>
      <c r="U420" s="54"/>
      <c r="V420" s="54"/>
      <c r="W420" s="54"/>
      <c r="X420" s="54"/>
      <c r="Y420" s="54"/>
      <c r="Z420" s="54"/>
      <c r="AA420" s="54"/>
      <c r="AB420" s="54"/>
    </row>
    <row r="421">
      <c r="A421" s="57"/>
      <c r="B421" s="10" t="str">
        <f>IFERROR(VLOOKUP(C421,'Employees List'!$B$1:$G$999,4,0),"")</f>
        <v/>
      </c>
      <c r="C421" s="9"/>
      <c r="D421" s="9"/>
      <c r="E421" s="56"/>
      <c r="F421" s="56"/>
      <c r="G421" s="56"/>
      <c r="H421" s="50"/>
      <c r="I421" s="54"/>
      <c r="J421" s="54"/>
      <c r="K421" s="54"/>
      <c r="L421" s="54"/>
      <c r="M421" s="54"/>
      <c r="N421" s="54"/>
      <c r="O421" s="54"/>
      <c r="P421" s="54"/>
      <c r="Q421" s="54"/>
      <c r="R421" s="54"/>
      <c r="S421" s="54"/>
      <c r="T421" s="54"/>
      <c r="U421" s="54"/>
      <c r="V421" s="54"/>
      <c r="W421" s="54"/>
      <c r="X421" s="54"/>
      <c r="Y421" s="54"/>
      <c r="Z421" s="54"/>
      <c r="AA421" s="54"/>
      <c r="AB421" s="54"/>
    </row>
    <row r="422">
      <c r="A422" s="57"/>
      <c r="B422" s="10" t="str">
        <f>IFERROR(VLOOKUP(C422,'Employees List'!$B$1:$G$999,4,0),"")</f>
        <v/>
      </c>
      <c r="C422" s="9"/>
      <c r="D422" s="9"/>
      <c r="E422" s="56"/>
      <c r="F422" s="56"/>
      <c r="G422" s="56"/>
      <c r="H422" s="50"/>
      <c r="I422" s="54"/>
      <c r="J422" s="54"/>
      <c r="K422" s="54"/>
      <c r="L422" s="54"/>
      <c r="M422" s="54"/>
      <c r="N422" s="54"/>
      <c r="O422" s="54"/>
      <c r="P422" s="54"/>
      <c r="Q422" s="54"/>
      <c r="R422" s="54"/>
      <c r="S422" s="54"/>
      <c r="T422" s="54"/>
      <c r="U422" s="54"/>
      <c r="V422" s="54"/>
      <c r="W422" s="54"/>
      <c r="X422" s="54"/>
      <c r="Y422" s="54"/>
      <c r="Z422" s="54"/>
      <c r="AA422" s="54"/>
      <c r="AB422" s="54"/>
    </row>
    <row r="423">
      <c r="A423" s="57"/>
      <c r="B423" s="10" t="str">
        <f>IFERROR(VLOOKUP(C423,'Employees List'!$B$1:$G$999,4,0),"")</f>
        <v/>
      </c>
      <c r="C423" s="9"/>
      <c r="D423" s="9"/>
      <c r="E423" s="56"/>
      <c r="F423" s="56"/>
      <c r="G423" s="56"/>
      <c r="H423" s="50"/>
      <c r="I423" s="54"/>
      <c r="J423" s="54"/>
      <c r="K423" s="54"/>
      <c r="L423" s="54"/>
      <c r="M423" s="54"/>
      <c r="N423" s="54"/>
      <c r="O423" s="54"/>
      <c r="P423" s="54"/>
      <c r="Q423" s="54"/>
      <c r="R423" s="54"/>
      <c r="S423" s="54"/>
      <c r="T423" s="54"/>
      <c r="U423" s="54"/>
      <c r="V423" s="54"/>
      <c r="W423" s="54"/>
      <c r="X423" s="54"/>
      <c r="Y423" s="54"/>
      <c r="Z423" s="54"/>
      <c r="AA423" s="54"/>
      <c r="AB423" s="54"/>
    </row>
    <row r="424">
      <c r="A424" s="57"/>
      <c r="B424" s="10" t="str">
        <f>IFERROR(VLOOKUP(C424,'Employees List'!$B$1:$G$999,4,0),"")</f>
        <v/>
      </c>
      <c r="C424" s="9"/>
      <c r="D424" s="9"/>
      <c r="E424" s="56"/>
      <c r="F424" s="56"/>
      <c r="G424" s="56"/>
      <c r="H424" s="50"/>
      <c r="I424" s="54"/>
      <c r="J424" s="54"/>
      <c r="K424" s="54"/>
      <c r="L424" s="54"/>
      <c r="M424" s="54"/>
      <c r="N424" s="54"/>
      <c r="O424" s="54"/>
      <c r="P424" s="54"/>
      <c r="Q424" s="54"/>
      <c r="R424" s="54"/>
      <c r="S424" s="54"/>
      <c r="T424" s="54"/>
      <c r="U424" s="54"/>
      <c r="V424" s="54"/>
      <c r="W424" s="54"/>
      <c r="X424" s="54"/>
      <c r="Y424" s="54"/>
      <c r="Z424" s="54"/>
      <c r="AA424" s="54"/>
      <c r="AB424" s="54"/>
    </row>
    <row r="425">
      <c r="A425" s="57"/>
      <c r="B425" s="10" t="str">
        <f>IFERROR(VLOOKUP(C425,'Employees List'!$B$1:$G$999,4,0),"")</f>
        <v/>
      </c>
      <c r="C425" s="9"/>
      <c r="D425" s="9"/>
      <c r="E425" s="56"/>
      <c r="F425" s="56"/>
      <c r="G425" s="56"/>
      <c r="H425" s="50"/>
      <c r="I425" s="54"/>
      <c r="J425" s="54"/>
      <c r="K425" s="54"/>
      <c r="L425" s="54"/>
      <c r="M425" s="54"/>
      <c r="N425" s="54"/>
      <c r="O425" s="54"/>
      <c r="P425" s="54"/>
      <c r="Q425" s="54"/>
      <c r="R425" s="54"/>
      <c r="S425" s="54"/>
      <c r="T425" s="54"/>
      <c r="U425" s="54"/>
      <c r="V425" s="54"/>
      <c r="W425" s="54"/>
      <c r="X425" s="54"/>
      <c r="Y425" s="54"/>
      <c r="Z425" s="54"/>
      <c r="AA425" s="54"/>
      <c r="AB425" s="54"/>
    </row>
    <row r="426">
      <c r="A426" s="57"/>
      <c r="B426" s="10" t="str">
        <f>IFERROR(VLOOKUP(C426,'Employees List'!$B$1:$G$999,4,0),"")</f>
        <v/>
      </c>
      <c r="C426" s="9"/>
      <c r="D426" s="9"/>
      <c r="E426" s="56"/>
      <c r="F426" s="56"/>
      <c r="G426" s="56"/>
      <c r="H426" s="50"/>
      <c r="I426" s="54"/>
      <c r="J426" s="54"/>
      <c r="K426" s="54"/>
      <c r="L426" s="54"/>
      <c r="M426" s="54"/>
      <c r="N426" s="54"/>
      <c r="O426" s="54"/>
      <c r="P426" s="54"/>
      <c r="Q426" s="54"/>
      <c r="R426" s="54"/>
      <c r="S426" s="54"/>
      <c r="T426" s="54"/>
      <c r="U426" s="54"/>
      <c r="V426" s="54"/>
      <c r="W426" s="54"/>
      <c r="X426" s="54"/>
      <c r="Y426" s="54"/>
      <c r="Z426" s="54"/>
      <c r="AA426" s="54"/>
      <c r="AB426" s="54"/>
    </row>
    <row r="427">
      <c r="A427" s="57"/>
      <c r="B427" s="10" t="str">
        <f>IFERROR(VLOOKUP(C427,'Employees List'!$B$1:$G$999,4,0),"")</f>
        <v/>
      </c>
      <c r="C427" s="9"/>
      <c r="D427" s="9"/>
      <c r="E427" s="56"/>
      <c r="F427" s="56"/>
      <c r="G427" s="56"/>
      <c r="H427" s="50"/>
      <c r="I427" s="54"/>
      <c r="J427" s="54"/>
      <c r="K427" s="54"/>
      <c r="L427" s="54"/>
      <c r="M427" s="54"/>
      <c r="N427" s="54"/>
      <c r="O427" s="54"/>
      <c r="P427" s="54"/>
      <c r="Q427" s="54"/>
      <c r="R427" s="54"/>
      <c r="S427" s="54"/>
      <c r="T427" s="54"/>
      <c r="U427" s="54"/>
      <c r="V427" s="54"/>
      <c r="W427" s="54"/>
      <c r="X427" s="54"/>
      <c r="Y427" s="54"/>
      <c r="Z427" s="54"/>
      <c r="AA427" s="54"/>
      <c r="AB427" s="54"/>
    </row>
    <row r="428">
      <c r="A428" s="57"/>
      <c r="B428" s="10" t="str">
        <f>IFERROR(VLOOKUP(C428,'Employees List'!$B$1:$G$999,4,0),"")</f>
        <v/>
      </c>
      <c r="C428" s="9"/>
      <c r="D428" s="9"/>
      <c r="E428" s="56"/>
      <c r="F428" s="56"/>
      <c r="G428" s="56"/>
      <c r="H428" s="50"/>
      <c r="I428" s="54"/>
      <c r="J428" s="54"/>
      <c r="K428" s="54"/>
      <c r="L428" s="54"/>
      <c r="M428" s="54"/>
      <c r="N428" s="54"/>
      <c r="O428" s="54"/>
      <c r="P428" s="54"/>
      <c r="Q428" s="54"/>
      <c r="R428" s="54"/>
      <c r="S428" s="54"/>
      <c r="T428" s="54"/>
      <c r="U428" s="54"/>
      <c r="V428" s="54"/>
      <c r="W428" s="54"/>
      <c r="X428" s="54"/>
      <c r="Y428" s="54"/>
      <c r="Z428" s="54"/>
      <c r="AA428" s="54"/>
      <c r="AB428" s="54"/>
    </row>
    <row r="429">
      <c r="A429" s="57"/>
      <c r="B429" s="10" t="str">
        <f>IFERROR(VLOOKUP(C429,'Employees List'!$B$1:$G$999,4,0),"")</f>
        <v/>
      </c>
      <c r="C429" s="9"/>
      <c r="D429" s="9"/>
      <c r="E429" s="56"/>
      <c r="F429" s="56"/>
      <c r="G429" s="56"/>
      <c r="H429" s="50"/>
      <c r="I429" s="54"/>
      <c r="J429" s="54"/>
      <c r="K429" s="54"/>
      <c r="L429" s="54"/>
      <c r="M429" s="54"/>
      <c r="N429" s="54"/>
      <c r="O429" s="54"/>
      <c r="P429" s="54"/>
      <c r="Q429" s="54"/>
      <c r="R429" s="54"/>
      <c r="S429" s="54"/>
      <c r="T429" s="54"/>
      <c r="U429" s="54"/>
      <c r="V429" s="54"/>
      <c r="W429" s="54"/>
      <c r="X429" s="54"/>
      <c r="Y429" s="54"/>
      <c r="Z429" s="54"/>
      <c r="AA429" s="54"/>
      <c r="AB429" s="54"/>
    </row>
    <row r="430">
      <c r="A430" s="57"/>
      <c r="B430" s="10" t="str">
        <f>IFERROR(VLOOKUP(C430,'Employees List'!$B$1:$G$999,4,0),"")</f>
        <v/>
      </c>
      <c r="C430" s="9"/>
      <c r="D430" s="9"/>
      <c r="E430" s="56"/>
      <c r="F430" s="56"/>
      <c r="G430" s="56"/>
      <c r="H430" s="50"/>
      <c r="I430" s="54"/>
      <c r="J430" s="54"/>
      <c r="K430" s="54"/>
      <c r="L430" s="54"/>
      <c r="M430" s="54"/>
      <c r="N430" s="54"/>
      <c r="O430" s="54"/>
      <c r="P430" s="54"/>
      <c r="Q430" s="54"/>
      <c r="R430" s="54"/>
      <c r="S430" s="54"/>
      <c r="T430" s="54"/>
      <c r="U430" s="54"/>
      <c r="V430" s="54"/>
      <c r="W430" s="54"/>
      <c r="X430" s="54"/>
      <c r="Y430" s="54"/>
      <c r="Z430" s="54"/>
      <c r="AA430" s="54"/>
      <c r="AB430" s="54"/>
    </row>
    <row r="431">
      <c r="A431" s="57"/>
      <c r="B431" s="10" t="str">
        <f>IFERROR(VLOOKUP(C431,'Employees List'!$B$1:$G$999,4,0),"")</f>
        <v/>
      </c>
      <c r="C431" s="9"/>
      <c r="D431" s="9"/>
      <c r="E431" s="56"/>
      <c r="F431" s="56"/>
      <c r="G431" s="56"/>
      <c r="H431" s="50"/>
      <c r="I431" s="54"/>
      <c r="J431" s="54"/>
      <c r="K431" s="54"/>
      <c r="L431" s="54"/>
      <c r="M431" s="54"/>
      <c r="N431" s="54"/>
      <c r="O431" s="54"/>
      <c r="P431" s="54"/>
      <c r="Q431" s="54"/>
      <c r="R431" s="54"/>
      <c r="S431" s="54"/>
      <c r="T431" s="54"/>
      <c r="U431" s="54"/>
      <c r="V431" s="54"/>
      <c r="W431" s="54"/>
      <c r="X431" s="54"/>
      <c r="Y431" s="54"/>
      <c r="Z431" s="54"/>
      <c r="AA431" s="54"/>
      <c r="AB431" s="54"/>
    </row>
    <row r="432">
      <c r="A432" s="57"/>
      <c r="B432" s="10" t="str">
        <f>IFERROR(VLOOKUP(C432,'Employees List'!$B$1:$G$999,4,0),"")</f>
        <v/>
      </c>
      <c r="C432" s="9"/>
      <c r="D432" s="9"/>
      <c r="E432" s="56"/>
      <c r="F432" s="56"/>
      <c r="G432" s="56"/>
      <c r="H432" s="50"/>
      <c r="I432" s="54"/>
      <c r="J432" s="54"/>
      <c r="K432" s="54"/>
      <c r="L432" s="54"/>
      <c r="M432" s="54"/>
      <c r="N432" s="54"/>
      <c r="O432" s="54"/>
      <c r="P432" s="54"/>
      <c r="Q432" s="54"/>
      <c r="R432" s="54"/>
      <c r="S432" s="54"/>
      <c r="T432" s="54"/>
      <c r="U432" s="54"/>
      <c r="V432" s="54"/>
      <c r="W432" s="54"/>
      <c r="X432" s="54"/>
      <c r="Y432" s="54"/>
      <c r="Z432" s="54"/>
      <c r="AA432" s="54"/>
      <c r="AB432" s="54"/>
    </row>
    <row r="433">
      <c r="A433" s="57"/>
      <c r="B433" s="10" t="str">
        <f>IFERROR(VLOOKUP(C433,'Employees List'!$B$1:$G$999,4,0),"")</f>
        <v/>
      </c>
      <c r="C433" s="9"/>
      <c r="D433" s="9"/>
      <c r="E433" s="56"/>
      <c r="F433" s="56"/>
      <c r="G433" s="56"/>
      <c r="H433" s="50"/>
      <c r="I433" s="54"/>
      <c r="J433" s="54"/>
      <c r="K433" s="54"/>
      <c r="L433" s="54"/>
      <c r="M433" s="54"/>
      <c r="N433" s="54"/>
      <c r="O433" s="54"/>
      <c r="P433" s="54"/>
      <c r="Q433" s="54"/>
      <c r="R433" s="54"/>
      <c r="S433" s="54"/>
      <c r="T433" s="54"/>
      <c r="U433" s="54"/>
      <c r="V433" s="54"/>
      <c r="W433" s="54"/>
      <c r="X433" s="54"/>
      <c r="Y433" s="54"/>
      <c r="Z433" s="54"/>
      <c r="AA433" s="54"/>
      <c r="AB433" s="54"/>
    </row>
    <row r="434">
      <c r="A434" s="57"/>
      <c r="B434" s="10" t="str">
        <f>IFERROR(VLOOKUP(C434,'Employees List'!$B$1:$G$999,4,0),"")</f>
        <v/>
      </c>
      <c r="C434" s="9"/>
      <c r="D434" s="9"/>
      <c r="E434" s="56"/>
      <c r="F434" s="56"/>
      <c r="G434" s="56"/>
      <c r="H434" s="50"/>
      <c r="I434" s="54"/>
      <c r="J434" s="54"/>
      <c r="K434" s="54"/>
      <c r="L434" s="54"/>
      <c r="M434" s="54"/>
      <c r="N434" s="54"/>
      <c r="O434" s="54"/>
      <c r="P434" s="54"/>
      <c r="Q434" s="54"/>
      <c r="R434" s="54"/>
      <c r="S434" s="54"/>
      <c r="T434" s="54"/>
      <c r="U434" s="54"/>
      <c r="V434" s="54"/>
      <c r="W434" s="54"/>
      <c r="X434" s="54"/>
      <c r="Y434" s="54"/>
      <c r="Z434" s="54"/>
      <c r="AA434" s="54"/>
      <c r="AB434" s="54"/>
    </row>
    <row r="435">
      <c r="A435" s="57"/>
      <c r="B435" s="10" t="str">
        <f>IFERROR(VLOOKUP(C435,'Employees List'!$B$1:$G$999,4,0),"")</f>
        <v/>
      </c>
      <c r="C435" s="9"/>
      <c r="D435" s="9"/>
      <c r="E435" s="56"/>
      <c r="F435" s="56"/>
      <c r="G435" s="56"/>
      <c r="H435" s="50"/>
      <c r="I435" s="54"/>
      <c r="J435" s="54"/>
      <c r="K435" s="54"/>
      <c r="L435" s="54"/>
      <c r="M435" s="54"/>
      <c r="N435" s="54"/>
      <c r="O435" s="54"/>
      <c r="P435" s="54"/>
      <c r="Q435" s="54"/>
      <c r="R435" s="54"/>
      <c r="S435" s="54"/>
      <c r="T435" s="54"/>
      <c r="U435" s="54"/>
      <c r="V435" s="54"/>
      <c r="W435" s="54"/>
      <c r="X435" s="54"/>
      <c r="Y435" s="54"/>
      <c r="Z435" s="54"/>
      <c r="AA435" s="54"/>
      <c r="AB435" s="54"/>
    </row>
    <row r="436">
      <c r="A436" s="57"/>
      <c r="B436" s="10" t="str">
        <f>IFERROR(VLOOKUP(C436,'Employees List'!$B$1:$G$999,4,0),"")</f>
        <v/>
      </c>
      <c r="C436" s="9"/>
      <c r="D436" s="9"/>
      <c r="E436" s="56"/>
      <c r="F436" s="56"/>
      <c r="G436" s="56"/>
      <c r="H436" s="50"/>
      <c r="I436" s="54"/>
      <c r="J436" s="54"/>
      <c r="K436" s="54"/>
      <c r="L436" s="54"/>
      <c r="M436" s="54"/>
      <c r="N436" s="54"/>
      <c r="O436" s="54"/>
      <c r="P436" s="54"/>
      <c r="Q436" s="54"/>
      <c r="R436" s="54"/>
      <c r="S436" s="54"/>
      <c r="T436" s="54"/>
      <c r="U436" s="54"/>
      <c r="V436" s="54"/>
      <c r="W436" s="54"/>
      <c r="X436" s="54"/>
      <c r="Y436" s="54"/>
      <c r="Z436" s="54"/>
      <c r="AA436" s="54"/>
      <c r="AB436" s="54"/>
    </row>
    <row r="437">
      <c r="A437" s="57"/>
      <c r="B437" s="10" t="str">
        <f>IFERROR(VLOOKUP(C437,'Employees List'!$B$1:$G$999,4,0),"")</f>
        <v/>
      </c>
      <c r="C437" s="9"/>
      <c r="D437" s="9"/>
      <c r="E437" s="56"/>
      <c r="F437" s="56"/>
      <c r="G437" s="56"/>
      <c r="H437" s="50"/>
      <c r="I437" s="54"/>
      <c r="J437" s="54"/>
      <c r="K437" s="54"/>
      <c r="L437" s="54"/>
      <c r="M437" s="54"/>
      <c r="N437" s="54"/>
      <c r="O437" s="54"/>
      <c r="P437" s="54"/>
      <c r="Q437" s="54"/>
      <c r="R437" s="54"/>
      <c r="S437" s="54"/>
      <c r="T437" s="54"/>
      <c r="U437" s="54"/>
      <c r="V437" s="54"/>
      <c r="W437" s="54"/>
      <c r="X437" s="54"/>
      <c r="Y437" s="54"/>
      <c r="Z437" s="54"/>
      <c r="AA437" s="54"/>
      <c r="AB437" s="54"/>
    </row>
    <row r="438">
      <c r="A438" s="57"/>
      <c r="B438" s="10" t="str">
        <f>IFERROR(VLOOKUP(C438,'Employees List'!$B$1:$G$999,4,0),"")</f>
        <v/>
      </c>
      <c r="C438" s="9"/>
      <c r="D438" s="9"/>
      <c r="E438" s="56"/>
      <c r="F438" s="56"/>
      <c r="G438" s="56"/>
      <c r="H438" s="50"/>
      <c r="I438" s="54"/>
      <c r="J438" s="54"/>
      <c r="K438" s="54"/>
      <c r="L438" s="54"/>
      <c r="M438" s="54"/>
      <c r="N438" s="54"/>
      <c r="O438" s="54"/>
      <c r="P438" s="54"/>
      <c r="Q438" s="54"/>
      <c r="R438" s="54"/>
      <c r="S438" s="54"/>
      <c r="T438" s="54"/>
      <c r="U438" s="54"/>
      <c r="V438" s="54"/>
      <c r="W438" s="54"/>
      <c r="X438" s="54"/>
      <c r="Y438" s="54"/>
      <c r="Z438" s="54"/>
      <c r="AA438" s="54"/>
      <c r="AB438" s="54"/>
    </row>
    <row r="439">
      <c r="A439" s="57"/>
      <c r="B439" s="10" t="str">
        <f>IFERROR(VLOOKUP(C439,'Employees List'!$B$1:$G$999,4,0),"")</f>
        <v/>
      </c>
      <c r="C439" s="9"/>
      <c r="D439" s="9"/>
      <c r="E439" s="56"/>
      <c r="F439" s="56"/>
      <c r="G439" s="56"/>
      <c r="H439" s="50"/>
      <c r="I439" s="54"/>
      <c r="J439" s="54"/>
      <c r="K439" s="54"/>
      <c r="L439" s="54"/>
      <c r="M439" s="54"/>
      <c r="N439" s="54"/>
      <c r="O439" s="54"/>
      <c r="P439" s="54"/>
      <c r="Q439" s="54"/>
      <c r="R439" s="54"/>
      <c r="S439" s="54"/>
      <c r="T439" s="54"/>
      <c r="U439" s="54"/>
      <c r="V439" s="54"/>
      <c r="W439" s="54"/>
      <c r="X439" s="54"/>
      <c r="Y439" s="54"/>
      <c r="Z439" s="54"/>
      <c r="AA439" s="54"/>
      <c r="AB439" s="54"/>
    </row>
    <row r="440">
      <c r="A440" s="57"/>
      <c r="B440" s="10" t="str">
        <f>IFERROR(VLOOKUP(C440,'Employees List'!$B$1:$G$999,4,0),"")</f>
        <v/>
      </c>
      <c r="C440" s="9"/>
      <c r="D440" s="9"/>
      <c r="E440" s="56"/>
      <c r="F440" s="56"/>
      <c r="G440" s="56"/>
      <c r="H440" s="50"/>
      <c r="I440" s="54"/>
      <c r="J440" s="54"/>
      <c r="K440" s="54"/>
      <c r="L440" s="54"/>
      <c r="M440" s="54"/>
      <c r="N440" s="54"/>
      <c r="O440" s="54"/>
      <c r="P440" s="54"/>
      <c r="Q440" s="54"/>
      <c r="R440" s="54"/>
      <c r="S440" s="54"/>
      <c r="T440" s="54"/>
      <c r="U440" s="54"/>
      <c r="V440" s="54"/>
      <c r="W440" s="54"/>
      <c r="X440" s="54"/>
      <c r="Y440" s="54"/>
      <c r="Z440" s="54"/>
      <c r="AA440" s="54"/>
      <c r="AB440" s="54"/>
    </row>
    <row r="441">
      <c r="A441" s="57"/>
      <c r="B441" s="10" t="str">
        <f>IFERROR(VLOOKUP(C441,'Employees List'!$B$1:$G$999,4,0),"")</f>
        <v/>
      </c>
      <c r="C441" s="9"/>
      <c r="D441" s="9"/>
      <c r="E441" s="56"/>
      <c r="F441" s="56"/>
      <c r="G441" s="56"/>
      <c r="H441" s="50"/>
      <c r="I441" s="54"/>
      <c r="J441" s="54"/>
      <c r="K441" s="54"/>
      <c r="L441" s="54"/>
      <c r="M441" s="54"/>
      <c r="N441" s="54"/>
      <c r="O441" s="54"/>
      <c r="P441" s="54"/>
      <c r="Q441" s="54"/>
      <c r="R441" s="54"/>
      <c r="S441" s="54"/>
      <c r="T441" s="54"/>
      <c r="U441" s="54"/>
      <c r="V441" s="54"/>
      <c r="W441" s="54"/>
      <c r="X441" s="54"/>
      <c r="Y441" s="54"/>
      <c r="Z441" s="54"/>
      <c r="AA441" s="54"/>
      <c r="AB441" s="54"/>
    </row>
    <row r="442">
      <c r="A442" s="57"/>
      <c r="B442" s="10" t="str">
        <f>IFERROR(VLOOKUP(C442,'Employees List'!$B$1:$G$999,4,0),"")</f>
        <v/>
      </c>
      <c r="C442" s="9"/>
      <c r="D442" s="9"/>
      <c r="E442" s="56"/>
      <c r="F442" s="56"/>
      <c r="G442" s="56"/>
      <c r="H442" s="50"/>
      <c r="I442" s="54"/>
      <c r="J442" s="54"/>
      <c r="K442" s="54"/>
      <c r="L442" s="54"/>
      <c r="M442" s="54"/>
      <c r="N442" s="54"/>
      <c r="O442" s="54"/>
      <c r="P442" s="54"/>
      <c r="Q442" s="54"/>
      <c r="R442" s="54"/>
      <c r="S442" s="54"/>
      <c r="T442" s="54"/>
      <c r="U442" s="54"/>
      <c r="V442" s="54"/>
      <c r="W442" s="54"/>
      <c r="X442" s="54"/>
      <c r="Y442" s="54"/>
      <c r="Z442" s="54"/>
      <c r="AA442" s="54"/>
      <c r="AB442" s="54"/>
    </row>
    <row r="443">
      <c r="A443" s="57"/>
      <c r="B443" s="10" t="str">
        <f>IFERROR(VLOOKUP(C443,'Employees List'!$B$1:$G$999,4,0),"")</f>
        <v/>
      </c>
      <c r="C443" s="9"/>
      <c r="D443" s="9"/>
      <c r="E443" s="56"/>
      <c r="F443" s="56"/>
      <c r="G443" s="56"/>
      <c r="H443" s="50"/>
      <c r="I443" s="54"/>
      <c r="J443" s="54"/>
      <c r="K443" s="54"/>
      <c r="L443" s="54"/>
      <c r="M443" s="54"/>
      <c r="N443" s="54"/>
      <c r="O443" s="54"/>
      <c r="P443" s="54"/>
      <c r="Q443" s="54"/>
      <c r="R443" s="54"/>
      <c r="S443" s="54"/>
      <c r="T443" s="54"/>
      <c r="U443" s="54"/>
      <c r="V443" s="54"/>
      <c r="W443" s="54"/>
      <c r="X443" s="54"/>
      <c r="Y443" s="54"/>
      <c r="Z443" s="54"/>
      <c r="AA443" s="54"/>
      <c r="AB443" s="54"/>
    </row>
    <row r="444">
      <c r="A444" s="57"/>
      <c r="B444" s="10" t="str">
        <f>IFERROR(VLOOKUP(C444,'Employees List'!$B$1:$G$999,4,0),"")</f>
        <v/>
      </c>
      <c r="C444" s="9"/>
      <c r="D444" s="9"/>
      <c r="E444" s="56"/>
      <c r="F444" s="56"/>
      <c r="G444" s="56"/>
      <c r="H444" s="50"/>
      <c r="I444" s="54"/>
      <c r="J444" s="54"/>
      <c r="K444" s="54"/>
      <c r="L444" s="54"/>
      <c r="M444" s="54"/>
      <c r="N444" s="54"/>
      <c r="O444" s="54"/>
      <c r="P444" s="54"/>
      <c r="Q444" s="54"/>
      <c r="R444" s="54"/>
      <c r="S444" s="54"/>
      <c r="T444" s="54"/>
      <c r="U444" s="54"/>
      <c r="V444" s="54"/>
      <c r="W444" s="54"/>
      <c r="X444" s="54"/>
      <c r="Y444" s="54"/>
      <c r="Z444" s="54"/>
      <c r="AA444" s="54"/>
      <c r="AB444" s="54"/>
    </row>
    <row r="445">
      <c r="A445" s="57"/>
      <c r="B445" s="10" t="str">
        <f>IFERROR(VLOOKUP(C445,'Employees List'!$B$1:$G$999,4,0),"")</f>
        <v/>
      </c>
      <c r="C445" s="9"/>
      <c r="D445" s="9"/>
      <c r="E445" s="56"/>
      <c r="F445" s="56"/>
      <c r="G445" s="56"/>
      <c r="H445" s="50"/>
      <c r="I445" s="54"/>
      <c r="J445" s="54"/>
      <c r="K445" s="54"/>
      <c r="L445" s="54"/>
      <c r="M445" s="54"/>
      <c r="N445" s="54"/>
      <c r="O445" s="54"/>
      <c r="P445" s="54"/>
      <c r="Q445" s="54"/>
      <c r="R445" s="54"/>
      <c r="S445" s="54"/>
      <c r="T445" s="54"/>
      <c r="U445" s="54"/>
      <c r="V445" s="54"/>
      <c r="W445" s="54"/>
      <c r="X445" s="54"/>
      <c r="Y445" s="54"/>
      <c r="Z445" s="54"/>
      <c r="AA445" s="54"/>
      <c r="AB445" s="54"/>
    </row>
    <row r="446">
      <c r="A446" s="57"/>
      <c r="B446" s="10" t="str">
        <f>IFERROR(VLOOKUP(C446,'Employees List'!$B$1:$G$999,4,0),"")</f>
        <v/>
      </c>
      <c r="C446" s="9"/>
      <c r="D446" s="9"/>
      <c r="E446" s="56"/>
      <c r="F446" s="56"/>
      <c r="G446" s="56"/>
      <c r="H446" s="50"/>
      <c r="I446" s="54"/>
      <c r="J446" s="54"/>
      <c r="K446" s="54"/>
      <c r="L446" s="54"/>
      <c r="M446" s="54"/>
      <c r="N446" s="54"/>
      <c r="O446" s="54"/>
      <c r="P446" s="54"/>
      <c r="Q446" s="54"/>
      <c r="R446" s="54"/>
      <c r="S446" s="54"/>
      <c r="T446" s="54"/>
      <c r="U446" s="54"/>
      <c r="V446" s="54"/>
      <c r="W446" s="54"/>
      <c r="X446" s="54"/>
      <c r="Y446" s="54"/>
      <c r="Z446" s="54"/>
      <c r="AA446" s="54"/>
      <c r="AB446" s="54"/>
    </row>
    <row r="447">
      <c r="A447" s="57"/>
      <c r="B447" s="10" t="str">
        <f>IFERROR(VLOOKUP(C447,'Employees List'!$B$1:$G$999,4,0),"")</f>
        <v/>
      </c>
      <c r="C447" s="9"/>
      <c r="D447" s="9"/>
      <c r="E447" s="56"/>
      <c r="F447" s="56"/>
      <c r="G447" s="56"/>
      <c r="H447" s="50"/>
      <c r="I447" s="54"/>
      <c r="J447" s="54"/>
      <c r="K447" s="54"/>
      <c r="L447" s="54"/>
      <c r="M447" s="54"/>
      <c r="N447" s="54"/>
      <c r="O447" s="54"/>
      <c r="P447" s="54"/>
      <c r="Q447" s="54"/>
      <c r="R447" s="54"/>
      <c r="S447" s="54"/>
      <c r="T447" s="54"/>
      <c r="U447" s="54"/>
      <c r="V447" s="54"/>
      <c r="W447" s="54"/>
      <c r="X447" s="54"/>
      <c r="Y447" s="54"/>
      <c r="Z447" s="54"/>
      <c r="AA447" s="54"/>
      <c r="AB447" s="54"/>
    </row>
    <row r="448">
      <c r="A448" s="57"/>
      <c r="B448" s="10" t="str">
        <f>IFERROR(VLOOKUP(C448,'Employees List'!$B$1:$G$999,4,0),"")</f>
        <v/>
      </c>
      <c r="C448" s="9"/>
      <c r="D448" s="9"/>
      <c r="E448" s="56"/>
      <c r="F448" s="56"/>
      <c r="G448" s="56"/>
      <c r="H448" s="50"/>
      <c r="I448" s="54"/>
      <c r="J448" s="54"/>
      <c r="K448" s="54"/>
      <c r="L448" s="54"/>
      <c r="M448" s="54"/>
      <c r="N448" s="54"/>
      <c r="O448" s="54"/>
      <c r="P448" s="54"/>
      <c r="Q448" s="54"/>
      <c r="R448" s="54"/>
      <c r="S448" s="54"/>
      <c r="T448" s="54"/>
      <c r="U448" s="54"/>
      <c r="V448" s="54"/>
      <c r="W448" s="54"/>
      <c r="X448" s="54"/>
      <c r="Y448" s="54"/>
      <c r="Z448" s="54"/>
      <c r="AA448" s="54"/>
      <c r="AB448" s="54"/>
    </row>
    <row r="449">
      <c r="A449" s="57"/>
      <c r="B449" s="10" t="str">
        <f>IFERROR(VLOOKUP(C449,'Employees List'!$B$1:$G$999,4,0),"")</f>
        <v/>
      </c>
      <c r="C449" s="9"/>
      <c r="D449" s="9"/>
      <c r="E449" s="56"/>
      <c r="F449" s="56"/>
      <c r="G449" s="56"/>
      <c r="H449" s="50"/>
      <c r="I449" s="54"/>
      <c r="J449" s="54"/>
      <c r="K449" s="54"/>
      <c r="L449" s="54"/>
      <c r="M449" s="54"/>
      <c r="N449" s="54"/>
      <c r="O449" s="54"/>
      <c r="P449" s="54"/>
      <c r="Q449" s="54"/>
      <c r="R449" s="54"/>
      <c r="S449" s="54"/>
      <c r="T449" s="54"/>
      <c r="U449" s="54"/>
      <c r="V449" s="54"/>
      <c r="W449" s="54"/>
      <c r="X449" s="54"/>
      <c r="Y449" s="54"/>
      <c r="Z449" s="54"/>
      <c r="AA449" s="54"/>
      <c r="AB449" s="54"/>
    </row>
    <row r="450">
      <c r="A450" s="57"/>
      <c r="B450" s="10" t="str">
        <f>IFERROR(VLOOKUP(C450,'Employees List'!$B$1:$G$999,4,0),"")</f>
        <v/>
      </c>
      <c r="C450" s="9"/>
      <c r="D450" s="9"/>
      <c r="E450" s="56"/>
      <c r="F450" s="56"/>
      <c r="G450" s="56"/>
      <c r="H450" s="50"/>
      <c r="I450" s="54"/>
      <c r="J450" s="54"/>
      <c r="K450" s="54"/>
      <c r="L450" s="54"/>
      <c r="M450" s="54"/>
      <c r="N450" s="54"/>
      <c r="O450" s="54"/>
      <c r="P450" s="54"/>
      <c r="Q450" s="54"/>
      <c r="R450" s="54"/>
      <c r="S450" s="54"/>
      <c r="T450" s="54"/>
      <c r="U450" s="54"/>
      <c r="V450" s="54"/>
      <c r="W450" s="54"/>
      <c r="X450" s="54"/>
      <c r="Y450" s="54"/>
      <c r="Z450" s="54"/>
      <c r="AA450" s="54"/>
      <c r="AB450" s="54"/>
    </row>
    <row r="451">
      <c r="A451" s="57"/>
      <c r="B451" s="10" t="str">
        <f>IFERROR(VLOOKUP(C451,'Employees List'!$B$1:$G$999,4,0),"")</f>
        <v/>
      </c>
      <c r="C451" s="9"/>
      <c r="D451" s="9"/>
      <c r="E451" s="56"/>
      <c r="F451" s="56"/>
      <c r="G451" s="56"/>
      <c r="H451" s="50"/>
      <c r="I451" s="54"/>
      <c r="J451" s="54"/>
      <c r="K451" s="54"/>
      <c r="L451" s="54"/>
      <c r="M451" s="54"/>
      <c r="N451" s="54"/>
      <c r="O451" s="54"/>
      <c r="P451" s="54"/>
      <c r="Q451" s="54"/>
      <c r="R451" s="54"/>
      <c r="S451" s="54"/>
      <c r="T451" s="54"/>
      <c r="U451" s="54"/>
      <c r="V451" s="54"/>
      <c r="W451" s="54"/>
      <c r="X451" s="54"/>
      <c r="Y451" s="54"/>
      <c r="Z451" s="54"/>
      <c r="AA451" s="54"/>
      <c r="AB451" s="54"/>
    </row>
    <row r="452">
      <c r="A452" s="57"/>
      <c r="B452" s="10" t="str">
        <f>IFERROR(VLOOKUP(C452,'Employees List'!$B$1:$G$999,4,0),"")</f>
        <v/>
      </c>
      <c r="C452" s="9"/>
      <c r="D452" s="9"/>
      <c r="E452" s="56"/>
      <c r="F452" s="56"/>
      <c r="G452" s="56"/>
      <c r="H452" s="50"/>
      <c r="I452" s="54"/>
      <c r="J452" s="54"/>
      <c r="K452" s="54"/>
      <c r="L452" s="54"/>
      <c r="M452" s="54"/>
      <c r="N452" s="54"/>
      <c r="O452" s="54"/>
      <c r="P452" s="54"/>
      <c r="Q452" s="54"/>
      <c r="R452" s="54"/>
      <c r="S452" s="54"/>
      <c r="T452" s="54"/>
      <c r="U452" s="54"/>
      <c r="V452" s="54"/>
      <c r="W452" s="54"/>
      <c r="X452" s="54"/>
      <c r="Y452" s="54"/>
      <c r="Z452" s="54"/>
      <c r="AA452" s="54"/>
      <c r="AB452" s="54"/>
    </row>
    <row r="453">
      <c r="A453" s="57"/>
      <c r="B453" s="10" t="str">
        <f>IFERROR(VLOOKUP(C453,'Employees List'!$B$1:$G$999,4,0),"")</f>
        <v/>
      </c>
      <c r="C453" s="9"/>
      <c r="D453" s="9"/>
      <c r="E453" s="56"/>
      <c r="F453" s="56"/>
      <c r="G453" s="56"/>
      <c r="H453" s="50"/>
      <c r="I453" s="54"/>
      <c r="J453" s="54"/>
      <c r="K453" s="54"/>
      <c r="L453" s="54"/>
      <c r="M453" s="54"/>
      <c r="N453" s="54"/>
      <c r="O453" s="54"/>
      <c r="P453" s="54"/>
      <c r="Q453" s="54"/>
      <c r="R453" s="54"/>
      <c r="S453" s="54"/>
      <c r="T453" s="54"/>
      <c r="U453" s="54"/>
      <c r="V453" s="54"/>
      <c r="W453" s="54"/>
      <c r="X453" s="54"/>
      <c r="Y453" s="54"/>
      <c r="Z453" s="54"/>
      <c r="AA453" s="54"/>
      <c r="AB453" s="54"/>
    </row>
    <row r="454">
      <c r="A454" s="57"/>
      <c r="B454" s="10" t="str">
        <f>IFERROR(VLOOKUP(C454,'Employees List'!$B$1:$G$999,4,0),"")</f>
        <v/>
      </c>
      <c r="C454" s="9"/>
      <c r="D454" s="9"/>
      <c r="E454" s="56"/>
      <c r="F454" s="56"/>
      <c r="G454" s="56"/>
      <c r="H454" s="50"/>
      <c r="I454" s="54"/>
      <c r="J454" s="54"/>
      <c r="K454" s="54"/>
      <c r="L454" s="54"/>
      <c r="M454" s="54"/>
      <c r="N454" s="54"/>
      <c r="O454" s="54"/>
      <c r="P454" s="54"/>
      <c r="Q454" s="54"/>
      <c r="R454" s="54"/>
      <c r="S454" s="54"/>
      <c r="T454" s="54"/>
      <c r="U454" s="54"/>
      <c r="V454" s="54"/>
      <c r="W454" s="54"/>
      <c r="X454" s="54"/>
      <c r="Y454" s="54"/>
      <c r="Z454" s="54"/>
      <c r="AA454" s="54"/>
      <c r="AB454" s="54"/>
    </row>
    <row r="455">
      <c r="A455" s="57"/>
      <c r="B455" s="10" t="str">
        <f>IFERROR(VLOOKUP(C455,'Employees List'!$B$1:$G$999,4,0),"")</f>
        <v/>
      </c>
      <c r="C455" s="9"/>
      <c r="D455" s="9"/>
      <c r="E455" s="56"/>
      <c r="F455" s="56"/>
      <c r="G455" s="56"/>
      <c r="H455" s="50"/>
      <c r="I455" s="54"/>
      <c r="J455" s="54"/>
      <c r="K455" s="54"/>
      <c r="L455" s="54"/>
      <c r="M455" s="54"/>
      <c r="N455" s="54"/>
      <c r="O455" s="54"/>
      <c r="P455" s="54"/>
      <c r="Q455" s="54"/>
      <c r="R455" s="54"/>
      <c r="S455" s="54"/>
      <c r="T455" s="54"/>
      <c r="U455" s="54"/>
      <c r="V455" s="54"/>
      <c r="W455" s="54"/>
      <c r="X455" s="54"/>
      <c r="Y455" s="54"/>
      <c r="Z455" s="54"/>
      <c r="AA455" s="54"/>
      <c r="AB455" s="54"/>
    </row>
    <row r="456">
      <c r="A456" s="57"/>
      <c r="B456" s="10" t="str">
        <f>IFERROR(VLOOKUP(C456,'Employees List'!$B$1:$G$999,4,0),"")</f>
        <v/>
      </c>
      <c r="C456" s="9"/>
      <c r="D456" s="9"/>
      <c r="E456" s="56"/>
      <c r="F456" s="56"/>
      <c r="G456" s="56"/>
      <c r="H456" s="50"/>
      <c r="I456" s="54"/>
      <c r="J456" s="54"/>
      <c r="K456" s="54"/>
      <c r="L456" s="54"/>
      <c r="M456" s="54"/>
      <c r="N456" s="54"/>
      <c r="O456" s="54"/>
      <c r="P456" s="54"/>
      <c r="Q456" s="54"/>
      <c r="R456" s="54"/>
      <c r="S456" s="54"/>
      <c r="T456" s="54"/>
      <c r="U456" s="54"/>
      <c r="V456" s="54"/>
      <c r="W456" s="54"/>
      <c r="X456" s="54"/>
      <c r="Y456" s="54"/>
      <c r="Z456" s="54"/>
      <c r="AA456" s="54"/>
      <c r="AB456" s="54"/>
    </row>
    <row r="457">
      <c r="A457" s="57"/>
      <c r="B457" s="10" t="str">
        <f>IFERROR(VLOOKUP(C457,'Employees List'!$B$1:$G$999,4,0),"")</f>
        <v/>
      </c>
      <c r="C457" s="9"/>
      <c r="D457" s="9"/>
      <c r="E457" s="56"/>
      <c r="F457" s="56"/>
      <c r="G457" s="56"/>
      <c r="H457" s="50"/>
      <c r="I457" s="54"/>
      <c r="J457" s="54"/>
      <c r="K457" s="54"/>
      <c r="L457" s="54"/>
      <c r="M457" s="54"/>
      <c r="N457" s="54"/>
      <c r="O457" s="54"/>
      <c r="P457" s="54"/>
      <c r="Q457" s="54"/>
      <c r="R457" s="54"/>
      <c r="S457" s="54"/>
      <c r="T457" s="54"/>
      <c r="U457" s="54"/>
      <c r="V457" s="54"/>
      <c r="W457" s="54"/>
      <c r="X457" s="54"/>
      <c r="Y457" s="54"/>
      <c r="Z457" s="54"/>
      <c r="AA457" s="54"/>
      <c r="AB457" s="54"/>
    </row>
    <row r="458">
      <c r="A458" s="57"/>
      <c r="B458" s="10" t="str">
        <f>IFERROR(VLOOKUP(C458,'Employees List'!$B$1:$G$999,4,0),"")</f>
        <v/>
      </c>
      <c r="C458" s="9"/>
      <c r="D458" s="9"/>
      <c r="E458" s="56"/>
      <c r="F458" s="56"/>
      <c r="G458" s="56"/>
      <c r="H458" s="50"/>
      <c r="I458" s="54"/>
      <c r="J458" s="54"/>
      <c r="K458" s="54"/>
      <c r="L458" s="54"/>
      <c r="M458" s="54"/>
      <c r="N458" s="54"/>
      <c r="O458" s="54"/>
      <c r="P458" s="54"/>
      <c r="Q458" s="54"/>
      <c r="R458" s="54"/>
      <c r="S458" s="54"/>
      <c r="T458" s="54"/>
      <c r="U458" s="54"/>
      <c r="V458" s="54"/>
      <c r="W458" s="54"/>
      <c r="X458" s="54"/>
      <c r="Y458" s="54"/>
      <c r="Z458" s="54"/>
      <c r="AA458" s="54"/>
      <c r="AB458" s="54"/>
    </row>
    <row r="459">
      <c r="A459" s="57"/>
      <c r="B459" s="10" t="str">
        <f>IFERROR(VLOOKUP(C459,'Employees List'!$B$1:$G$999,4,0),"")</f>
        <v/>
      </c>
      <c r="C459" s="9"/>
      <c r="D459" s="9"/>
      <c r="E459" s="56"/>
      <c r="F459" s="56"/>
      <c r="G459" s="56"/>
      <c r="H459" s="50"/>
      <c r="I459" s="54"/>
      <c r="J459" s="54"/>
      <c r="K459" s="54"/>
      <c r="L459" s="54"/>
      <c r="M459" s="54"/>
      <c r="N459" s="54"/>
      <c r="O459" s="54"/>
      <c r="P459" s="54"/>
      <c r="Q459" s="54"/>
      <c r="R459" s="54"/>
      <c r="S459" s="54"/>
      <c r="T459" s="54"/>
      <c r="U459" s="54"/>
      <c r="V459" s="54"/>
      <c r="W459" s="54"/>
      <c r="X459" s="54"/>
      <c r="Y459" s="54"/>
      <c r="Z459" s="54"/>
      <c r="AA459" s="54"/>
      <c r="AB459" s="54"/>
    </row>
    <row r="460">
      <c r="A460" s="57"/>
      <c r="B460" s="10" t="str">
        <f>IFERROR(VLOOKUP(C460,'Employees List'!$B$1:$G$999,4,0),"")</f>
        <v/>
      </c>
      <c r="C460" s="9"/>
      <c r="D460" s="9"/>
      <c r="E460" s="56"/>
      <c r="F460" s="56"/>
      <c r="G460" s="56"/>
      <c r="H460" s="50"/>
      <c r="I460" s="54"/>
      <c r="J460" s="54"/>
      <c r="K460" s="54"/>
      <c r="L460" s="54"/>
      <c r="M460" s="54"/>
      <c r="N460" s="54"/>
      <c r="O460" s="54"/>
      <c r="P460" s="54"/>
      <c r="Q460" s="54"/>
      <c r="R460" s="54"/>
      <c r="S460" s="54"/>
      <c r="T460" s="54"/>
      <c r="U460" s="54"/>
      <c r="V460" s="54"/>
      <c r="W460" s="54"/>
      <c r="X460" s="54"/>
      <c r="Y460" s="54"/>
      <c r="Z460" s="54"/>
      <c r="AA460" s="54"/>
      <c r="AB460" s="54"/>
    </row>
    <row r="461">
      <c r="A461" s="57"/>
      <c r="B461" s="10" t="str">
        <f>IFERROR(VLOOKUP(C461,'Employees List'!$B$1:$G$999,4,0),"")</f>
        <v/>
      </c>
      <c r="C461" s="9"/>
      <c r="D461" s="9"/>
      <c r="E461" s="56"/>
      <c r="F461" s="56"/>
      <c r="G461" s="56"/>
      <c r="H461" s="50"/>
      <c r="I461" s="54"/>
      <c r="J461" s="54"/>
      <c r="K461" s="54"/>
      <c r="L461" s="54"/>
      <c r="M461" s="54"/>
      <c r="N461" s="54"/>
      <c r="O461" s="54"/>
      <c r="P461" s="54"/>
      <c r="Q461" s="54"/>
      <c r="R461" s="54"/>
      <c r="S461" s="54"/>
      <c r="T461" s="54"/>
      <c r="U461" s="54"/>
      <c r="V461" s="54"/>
      <c r="W461" s="54"/>
      <c r="X461" s="54"/>
      <c r="Y461" s="54"/>
      <c r="Z461" s="54"/>
      <c r="AA461" s="54"/>
      <c r="AB461" s="54"/>
    </row>
    <row r="462">
      <c r="A462" s="57"/>
      <c r="B462" s="10" t="str">
        <f>IFERROR(VLOOKUP(C462,'Employees List'!$B$1:$G$999,4,0),"")</f>
        <v/>
      </c>
      <c r="C462" s="9"/>
      <c r="D462" s="9"/>
      <c r="E462" s="56"/>
      <c r="F462" s="56"/>
      <c r="G462" s="56"/>
      <c r="H462" s="50"/>
      <c r="I462" s="54"/>
      <c r="J462" s="54"/>
      <c r="K462" s="54"/>
      <c r="L462" s="54"/>
      <c r="M462" s="54"/>
      <c r="N462" s="54"/>
      <c r="O462" s="54"/>
      <c r="P462" s="54"/>
      <c r="Q462" s="54"/>
      <c r="R462" s="54"/>
      <c r="S462" s="54"/>
      <c r="T462" s="54"/>
      <c r="U462" s="54"/>
      <c r="V462" s="54"/>
      <c r="W462" s="54"/>
      <c r="X462" s="54"/>
      <c r="Y462" s="54"/>
      <c r="Z462" s="54"/>
      <c r="AA462" s="54"/>
      <c r="AB462" s="54"/>
    </row>
    <row r="463">
      <c r="A463" s="57"/>
      <c r="B463" s="10" t="str">
        <f>IFERROR(VLOOKUP(C463,'Employees List'!$B$1:$G$999,4,0),"")</f>
        <v/>
      </c>
      <c r="C463" s="9"/>
      <c r="D463" s="9"/>
      <c r="E463" s="56"/>
      <c r="F463" s="56"/>
      <c r="G463" s="56"/>
      <c r="H463" s="50"/>
      <c r="I463" s="54"/>
      <c r="J463" s="54"/>
      <c r="K463" s="54"/>
      <c r="L463" s="54"/>
      <c r="M463" s="54"/>
      <c r="N463" s="54"/>
      <c r="O463" s="54"/>
      <c r="P463" s="54"/>
      <c r="Q463" s="54"/>
      <c r="R463" s="54"/>
      <c r="S463" s="54"/>
      <c r="T463" s="54"/>
      <c r="U463" s="54"/>
      <c r="V463" s="54"/>
      <c r="W463" s="54"/>
      <c r="X463" s="54"/>
      <c r="Y463" s="54"/>
      <c r="Z463" s="54"/>
      <c r="AA463" s="54"/>
      <c r="AB463" s="54"/>
    </row>
    <row r="464">
      <c r="A464" s="57"/>
      <c r="B464" s="10" t="str">
        <f>IFERROR(VLOOKUP(C464,'Employees List'!$B$1:$G$999,4,0),"")</f>
        <v/>
      </c>
      <c r="C464" s="9"/>
      <c r="D464" s="9"/>
      <c r="E464" s="56"/>
      <c r="F464" s="56"/>
      <c r="G464" s="56"/>
      <c r="H464" s="50"/>
      <c r="I464" s="54"/>
      <c r="J464" s="54"/>
      <c r="K464" s="54"/>
      <c r="L464" s="54"/>
      <c r="M464" s="54"/>
      <c r="N464" s="54"/>
      <c r="O464" s="54"/>
      <c r="P464" s="54"/>
      <c r="Q464" s="54"/>
      <c r="R464" s="54"/>
      <c r="S464" s="54"/>
      <c r="T464" s="54"/>
      <c r="U464" s="54"/>
      <c r="V464" s="54"/>
      <c r="W464" s="54"/>
      <c r="X464" s="54"/>
      <c r="Y464" s="54"/>
      <c r="Z464" s="54"/>
      <c r="AA464" s="54"/>
      <c r="AB464" s="54"/>
    </row>
    <row r="465">
      <c r="A465" s="57"/>
      <c r="B465" s="10" t="str">
        <f>IFERROR(VLOOKUP(C465,'Employees List'!$B$1:$G$999,4,0),"")</f>
        <v/>
      </c>
      <c r="C465" s="9"/>
      <c r="D465" s="9"/>
      <c r="E465" s="56"/>
      <c r="F465" s="56"/>
      <c r="G465" s="56"/>
      <c r="H465" s="50"/>
      <c r="I465" s="54"/>
      <c r="J465" s="54"/>
      <c r="K465" s="54"/>
      <c r="L465" s="54"/>
      <c r="M465" s="54"/>
      <c r="N465" s="54"/>
      <c r="O465" s="54"/>
      <c r="P465" s="54"/>
      <c r="Q465" s="54"/>
      <c r="R465" s="54"/>
      <c r="S465" s="54"/>
      <c r="T465" s="54"/>
      <c r="U465" s="54"/>
      <c r="V465" s="54"/>
      <c r="W465" s="54"/>
      <c r="X465" s="54"/>
      <c r="Y465" s="54"/>
      <c r="Z465" s="54"/>
      <c r="AA465" s="54"/>
      <c r="AB465" s="54"/>
    </row>
    <row r="466">
      <c r="A466" s="57"/>
      <c r="B466" s="10" t="str">
        <f>IFERROR(VLOOKUP(C466,'Employees List'!$B$1:$G$999,4,0),"")</f>
        <v/>
      </c>
      <c r="C466" s="9"/>
      <c r="D466" s="9"/>
      <c r="E466" s="56"/>
      <c r="F466" s="56"/>
      <c r="G466" s="56"/>
      <c r="H466" s="50"/>
      <c r="I466" s="54"/>
      <c r="J466" s="54"/>
      <c r="K466" s="54"/>
      <c r="L466" s="54"/>
      <c r="M466" s="54"/>
      <c r="N466" s="54"/>
      <c r="O466" s="54"/>
      <c r="P466" s="54"/>
      <c r="Q466" s="54"/>
      <c r="R466" s="54"/>
      <c r="S466" s="54"/>
      <c r="T466" s="54"/>
      <c r="U466" s="54"/>
      <c r="V466" s="54"/>
      <c r="W466" s="54"/>
      <c r="X466" s="54"/>
      <c r="Y466" s="54"/>
      <c r="Z466" s="54"/>
      <c r="AA466" s="54"/>
      <c r="AB466" s="54"/>
    </row>
    <row r="467">
      <c r="A467" s="57"/>
      <c r="B467" s="10" t="str">
        <f>IFERROR(VLOOKUP(C467,'Employees List'!$B$1:$G$999,4,0),"")</f>
        <v/>
      </c>
      <c r="C467" s="9"/>
      <c r="D467" s="9"/>
      <c r="E467" s="56"/>
      <c r="F467" s="56"/>
      <c r="G467" s="56"/>
      <c r="H467" s="50"/>
      <c r="I467" s="54"/>
      <c r="J467" s="54"/>
      <c r="K467" s="54"/>
      <c r="L467" s="54"/>
      <c r="M467" s="54"/>
      <c r="N467" s="54"/>
      <c r="O467" s="54"/>
      <c r="P467" s="54"/>
      <c r="Q467" s="54"/>
      <c r="R467" s="54"/>
      <c r="S467" s="54"/>
      <c r="T467" s="54"/>
      <c r="U467" s="54"/>
      <c r="V467" s="54"/>
      <c r="W467" s="54"/>
      <c r="X467" s="54"/>
      <c r="Y467" s="54"/>
      <c r="Z467" s="54"/>
      <c r="AA467" s="54"/>
      <c r="AB467" s="54"/>
    </row>
    <row r="468">
      <c r="A468" s="57"/>
      <c r="B468" s="10" t="str">
        <f>IFERROR(VLOOKUP(C468,'Employees List'!$B$1:$G$999,4,0),"")</f>
        <v/>
      </c>
      <c r="C468" s="9"/>
      <c r="D468" s="9"/>
      <c r="E468" s="56"/>
      <c r="F468" s="56"/>
      <c r="G468" s="56"/>
      <c r="H468" s="50"/>
      <c r="I468" s="54"/>
      <c r="J468" s="54"/>
      <c r="K468" s="54"/>
      <c r="L468" s="54"/>
      <c r="M468" s="54"/>
      <c r="N468" s="54"/>
      <c r="O468" s="54"/>
      <c r="P468" s="54"/>
      <c r="Q468" s="54"/>
      <c r="R468" s="54"/>
      <c r="S468" s="54"/>
      <c r="T468" s="54"/>
      <c r="U468" s="54"/>
      <c r="V468" s="54"/>
      <c r="W468" s="54"/>
      <c r="X468" s="54"/>
      <c r="Y468" s="54"/>
      <c r="Z468" s="54"/>
      <c r="AA468" s="54"/>
      <c r="AB468" s="54"/>
    </row>
    <row r="469">
      <c r="A469" s="57"/>
      <c r="B469" s="10" t="str">
        <f>IFERROR(VLOOKUP(C469,'Employees List'!$B$1:$G$999,4,0),"")</f>
        <v/>
      </c>
      <c r="C469" s="9"/>
      <c r="D469" s="9"/>
      <c r="E469" s="56"/>
      <c r="F469" s="56"/>
      <c r="G469" s="56"/>
      <c r="H469" s="50"/>
      <c r="I469" s="54"/>
      <c r="J469" s="54"/>
      <c r="K469" s="54"/>
      <c r="L469" s="54"/>
      <c r="M469" s="54"/>
      <c r="N469" s="54"/>
      <c r="O469" s="54"/>
      <c r="P469" s="54"/>
      <c r="Q469" s="54"/>
      <c r="R469" s="54"/>
      <c r="S469" s="54"/>
      <c r="T469" s="54"/>
      <c r="U469" s="54"/>
      <c r="V469" s="54"/>
      <c r="W469" s="54"/>
      <c r="X469" s="54"/>
      <c r="Y469" s="54"/>
      <c r="Z469" s="54"/>
      <c r="AA469" s="54"/>
      <c r="AB469" s="54"/>
    </row>
    <row r="470">
      <c r="A470" s="57"/>
      <c r="B470" s="10" t="str">
        <f>IFERROR(VLOOKUP(C470,'Employees List'!$B$1:$G$999,4,0),"")</f>
        <v/>
      </c>
      <c r="C470" s="9"/>
      <c r="D470" s="9"/>
      <c r="E470" s="56"/>
      <c r="F470" s="56"/>
      <c r="G470" s="56"/>
      <c r="H470" s="50"/>
      <c r="I470" s="54"/>
      <c r="J470" s="54"/>
      <c r="K470" s="54"/>
      <c r="L470" s="54"/>
      <c r="M470" s="54"/>
      <c r="N470" s="54"/>
      <c r="O470" s="54"/>
      <c r="P470" s="54"/>
      <c r="Q470" s="54"/>
      <c r="R470" s="54"/>
      <c r="S470" s="54"/>
      <c r="T470" s="54"/>
      <c r="U470" s="54"/>
      <c r="V470" s="54"/>
      <c r="W470" s="54"/>
      <c r="X470" s="54"/>
      <c r="Y470" s="54"/>
      <c r="Z470" s="54"/>
      <c r="AA470" s="54"/>
      <c r="AB470" s="54"/>
    </row>
    <row r="471">
      <c r="A471" s="57"/>
      <c r="B471" s="10" t="str">
        <f>IFERROR(VLOOKUP(C471,'Employees List'!$B$1:$G$999,4,0),"")</f>
        <v/>
      </c>
      <c r="C471" s="9"/>
      <c r="D471" s="9"/>
      <c r="E471" s="56"/>
      <c r="F471" s="56"/>
      <c r="G471" s="56"/>
      <c r="H471" s="50"/>
      <c r="I471" s="54"/>
      <c r="J471" s="54"/>
      <c r="K471" s="54"/>
      <c r="L471" s="54"/>
      <c r="M471" s="54"/>
      <c r="N471" s="54"/>
      <c r="O471" s="54"/>
      <c r="P471" s="54"/>
      <c r="Q471" s="54"/>
      <c r="R471" s="54"/>
      <c r="S471" s="54"/>
      <c r="T471" s="54"/>
      <c r="U471" s="54"/>
      <c r="V471" s="54"/>
      <c r="W471" s="54"/>
      <c r="X471" s="54"/>
      <c r="Y471" s="54"/>
      <c r="Z471" s="54"/>
      <c r="AA471" s="54"/>
      <c r="AB471" s="54"/>
    </row>
    <row r="472">
      <c r="A472" s="57"/>
      <c r="B472" s="10" t="str">
        <f>IFERROR(VLOOKUP(C472,'Employees List'!$B$1:$G$999,4,0),"")</f>
        <v/>
      </c>
      <c r="C472" s="9"/>
      <c r="D472" s="9"/>
      <c r="E472" s="56"/>
      <c r="F472" s="56"/>
      <c r="G472" s="56"/>
      <c r="H472" s="50"/>
      <c r="I472" s="54"/>
      <c r="J472" s="54"/>
      <c r="K472" s="54"/>
      <c r="L472" s="54"/>
      <c r="M472" s="54"/>
      <c r="N472" s="54"/>
      <c r="O472" s="54"/>
      <c r="P472" s="54"/>
      <c r="Q472" s="54"/>
      <c r="R472" s="54"/>
      <c r="S472" s="54"/>
      <c r="T472" s="54"/>
      <c r="U472" s="54"/>
      <c r="V472" s="54"/>
      <c r="W472" s="54"/>
      <c r="X472" s="54"/>
      <c r="Y472" s="54"/>
      <c r="Z472" s="54"/>
      <c r="AA472" s="54"/>
      <c r="AB472" s="54"/>
    </row>
    <row r="473">
      <c r="A473" s="57"/>
      <c r="B473" s="10" t="str">
        <f>IFERROR(VLOOKUP(C473,'Employees List'!$B$1:$G$999,4,0),"")</f>
        <v/>
      </c>
      <c r="C473" s="9"/>
      <c r="D473" s="9"/>
      <c r="E473" s="56"/>
      <c r="F473" s="56"/>
      <c r="G473" s="56"/>
      <c r="H473" s="50"/>
      <c r="I473" s="54"/>
      <c r="J473" s="54"/>
      <c r="K473" s="54"/>
      <c r="L473" s="54"/>
      <c r="M473" s="54"/>
      <c r="N473" s="54"/>
      <c r="O473" s="54"/>
      <c r="P473" s="54"/>
      <c r="Q473" s="54"/>
      <c r="R473" s="54"/>
      <c r="S473" s="54"/>
      <c r="T473" s="54"/>
      <c r="U473" s="54"/>
      <c r="V473" s="54"/>
      <c r="W473" s="54"/>
      <c r="X473" s="54"/>
      <c r="Y473" s="54"/>
      <c r="Z473" s="54"/>
      <c r="AA473" s="54"/>
      <c r="AB473" s="54"/>
    </row>
    <row r="474">
      <c r="A474" s="57"/>
      <c r="B474" s="10" t="str">
        <f>IFERROR(VLOOKUP(C474,'Employees List'!$B$1:$G$999,4,0),"")</f>
        <v/>
      </c>
      <c r="C474" s="9"/>
      <c r="D474" s="9"/>
      <c r="E474" s="56"/>
      <c r="F474" s="56"/>
      <c r="G474" s="56"/>
      <c r="H474" s="50"/>
      <c r="I474" s="54"/>
      <c r="J474" s="54"/>
      <c r="K474" s="54"/>
      <c r="L474" s="54"/>
      <c r="M474" s="54"/>
      <c r="N474" s="54"/>
      <c r="O474" s="54"/>
      <c r="P474" s="54"/>
      <c r="Q474" s="54"/>
      <c r="R474" s="54"/>
      <c r="S474" s="54"/>
      <c r="T474" s="54"/>
      <c r="U474" s="54"/>
      <c r="V474" s="54"/>
      <c r="W474" s="54"/>
      <c r="X474" s="54"/>
      <c r="Y474" s="54"/>
      <c r="Z474" s="54"/>
      <c r="AA474" s="54"/>
      <c r="AB474" s="54"/>
    </row>
    <row r="475">
      <c r="A475" s="57"/>
      <c r="B475" s="10" t="str">
        <f>IFERROR(VLOOKUP(C475,'Employees List'!$B$1:$G$999,4,0),"")</f>
        <v/>
      </c>
      <c r="C475" s="9"/>
      <c r="D475" s="9"/>
      <c r="E475" s="56"/>
      <c r="F475" s="56"/>
      <c r="G475" s="56"/>
      <c r="H475" s="50"/>
      <c r="I475" s="54"/>
      <c r="J475" s="54"/>
      <c r="K475" s="54"/>
      <c r="L475" s="54"/>
      <c r="M475" s="54"/>
      <c r="N475" s="54"/>
      <c r="O475" s="54"/>
      <c r="P475" s="54"/>
      <c r="Q475" s="54"/>
      <c r="R475" s="54"/>
      <c r="S475" s="54"/>
      <c r="T475" s="54"/>
      <c r="U475" s="54"/>
      <c r="V475" s="54"/>
      <c r="W475" s="54"/>
      <c r="X475" s="54"/>
      <c r="Y475" s="54"/>
      <c r="Z475" s="54"/>
      <c r="AA475" s="54"/>
      <c r="AB475" s="54"/>
    </row>
    <row r="476">
      <c r="A476" s="57"/>
      <c r="B476" s="10" t="str">
        <f>IFERROR(VLOOKUP(C476,'Employees List'!$B$1:$G$999,4,0),"")</f>
        <v/>
      </c>
      <c r="C476" s="9"/>
      <c r="D476" s="9"/>
      <c r="E476" s="56"/>
      <c r="F476" s="56"/>
      <c r="G476" s="56"/>
      <c r="H476" s="50"/>
      <c r="I476" s="54"/>
      <c r="J476" s="54"/>
      <c r="K476" s="54"/>
      <c r="L476" s="54"/>
      <c r="M476" s="54"/>
      <c r="N476" s="54"/>
      <c r="O476" s="54"/>
      <c r="P476" s="54"/>
      <c r="Q476" s="54"/>
      <c r="R476" s="54"/>
      <c r="S476" s="54"/>
      <c r="T476" s="54"/>
      <c r="U476" s="54"/>
      <c r="V476" s="54"/>
      <c r="W476" s="54"/>
      <c r="X476" s="54"/>
      <c r="Y476" s="54"/>
      <c r="Z476" s="54"/>
      <c r="AA476" s="54"/>
      <c r="AB476" s="54"/>
    </row>
    <row r="477">
      <c r="A477" s="57"/>
      <c r="B477" s="10" t="str">
        <f>IFERROR(VLOOKUP(C477,'Employees List'!$B$1:$G$999,4,0),"")</f>
        <v/>
      </c>
      <c r="C477" s="9"/>
      <c r="D477" s="9"/>
      <c r="E477" s="56"/>
      <c r="F477" s="56"/>
      <c r="G477" s="56"/>
      <c r="H477" s="50"/>
      <c r="I477" s="54"/>
      <c r="J477" s="54"/>
      <c r="K477" s="54"/>
      <c r="L477" s="54"/>
      <c r="M477" s="54"/>
      <c r="N477" s="54"/>
      <c r="O477" s="54"/>
      <c r="P477" s="54"/>
      <c r="Q477" s="54"/>
      <c r="R477" s="54"/>
      <c r="S477" s="54"/>
      <c r="T477" s="54"/>
      <c r="U477" s="54"/>
      <c r="V477" s="54"/>
      <c r="W477" s="54"/>
      <c r="X477" s="54"/>
      <c r="Y477" s="54"/>
      <c r="Z477" s="54"/>
      <c r="AA477" s="54"/>
      <c r="AB477" s="54"/>
    </row>
    <row r="478">
      <c r="A478" s="57"/>
      <c r="B478" s="10" t="str">
        <f>IFERROR(VLOOKUP(C478,'Employees List'!$B$1:$G$999,4,0),"")</f>
        <v/>
      </c>
      <c r="C478" s="9"/>
      <c r="D478" s="9"/>
      <c r="E478" s="56"/>
      <c r="F478" s="56"/>
      <c r="G478" s="56"/>
      <c r="H478" s="50"/>
      <c r="I478" s="54"/>
      <c r="J478" s="54"/>
      <c r="K478" s="54"/>
      <c r="L478" s="54"/>
      <c r="M478" s="54"/>
      <c r="N478" s="54"/>
      <c r="O478" s="54"/>
      <c r="P478" s="54"/>
      <c r="Q478" s="54"/>
      <c r="R478" s="54"/>
      <c r="S478" s="54"/>
      <c r="T478" s="54"/>
      <c r="U478" s="54"/>
      <c r="V478" s="54"/>
      <c r="W478" s="54"/>
      <c r="X478" s="54"/>
      <c r="Y478" s="54"/>
      <c r="Z478" s="54"/>
      <c r="AA478" s="54"/>
      <c r="AB478" s="54"/>
    </row>
    <row r="479">
      <c r="A479" s="57"/>
      <c r="B479" s="10" t="str">
        <f>IFERROR(VLOOKUP(C479,'Employees List'!$B$1:$G$999,4,0),"")</f>
        <v/>
      </c>
      <c r="C479" s="9"/>
      <c r="D479" s="9"/>
      <c r="E479" s="56"/>
      <c r="F479" s="56"/>
      <c r="G479" s="56"/>
      <c r="H479" s="50"/>
      <c r="I479" s="54"/>
      <c r="J479" s="54"/>
      <c r="K479" s="54"/>
      <c r="L479" s="54"/>
      <c r="M479" s="54"/>
      <c r="N479" s="54"/>
      <c r="O479" s="54"/>
      <c r="P479" s="54"/>
      <c r="Q479" s="54"/>
      <c r="R479" s="54"/>
      <c r="S479" s="54"/>
      <c r="T479" s="54"/>
      <c r="U479" s="54"/>
      <c r="V479" s="54"/>
      <c r="W479" s="54"/>
      <c r="X479" s="54"/>
      <c r="Y479" s="54"/>
      <c r="Z479" s="54"/>
      <c r="AA479" s="54"/>
      <c r="AB479" s="54"/>
    </row>
    <row r="480">
      <c r="A480" s="57"/>
      <c r="B480" s="10" t="str">
        <f>IFERROR(VLOOKUP(C480,'Employees List'!$B$1:$G$999,4,0),"")</f>
        <v/>
      </c>
      <c r="C480" s="9"/>
      <c r="D480" s="9"/>
      <c r="E480" s="56"/>
      <c r="F480" s="56"/>
      <c r="G480" s="56"/>
      <c r="H480" s="50"/>
      <c r="I480" s="54"/>
      <c r="J480" s="54"/>
      <c r="K480" s="54"/>
      <c r="L480" s="54"/>
      <c r="M480" s="54"/>
      <c r="N480" s="54"/>
      <c r="O480" s="54"/>
      <c r="P480" s="54"/>
      <c r="Q480" s="54"/>
      <c r="R480" s="54"/>
      <c r="S480" s="54"/>
      <c r="T480" s="54"/>
      <c r="U480" s="54"/>
      <c r="V480" s="54"/>
      <c r="W480" s="54"/>
      <c r="X480" s="54"/>
      <c r="Y480" s="54"/>
      <c r="Z480" s="54"/>
      <c r="AA480" s="54"/>
      <c r="AB480" s="54"/>
    </row>
    <row r="481">
      <c r="A481" s="57"/>
      <c r="B481" s="10" t="str">
        <f>IFERROR(VLOOKUP(C481,'Employees List'!$B$1:$G$999,4,0),"")</f>
        <v/>
      </c>
      <c r="C481" s="9"/>
      <c r="D481" s="9"/>
      <c r="E481" s="56"/>
      <c r="F481" s="56"/>
      <c r="G481" s="56"/>
      <c r="H481" s="50"/>
      <c r="I481" s="54"/>
      <c r="J481" s="54"/>
      <c r="K481" s="54"/>
      <c r="L481" s="54"/>
      <c r="M481" s="54"/>
      <c r="N481" s="54"/>
      <c r="O481" s="54"/>
      <c r="P481" s="54"/>
      <c r="Q481" s="54"/>
      <c r="R481" s="54"/>
      <c r="S481" s="54"/>
      <c r="T481" s="54"/>
      <c r="U481" s="54"/>
      <c r="V481" s="54"/>
      <c r="W481" s="54"/>
      <c r="X481" s="54"/>
      <c r="Y481" s="54"/>
      <c r="Z481" s="54"/>
      <c r="AA481" s="54"/>
      <c r="AB481" s="54"/>
    </row>
    <row r="482">
      <c r="A482" s="57"/>
      <c r="B482" s="10" t="str">
        <f>IFERROR(VLOOKUP(C482,'Employees List'!$B$1:$G$999,4,0),"")</f>
        <v/>
      </c>
      <c r="C482" s="9"/>
      <c r="D482" s="9"/>
      <c r="E482" s="56"/>
      <c r="F482" s="56"/>
      <c r="G482" s="56"/>
      <c r="H482" s="50"/>
      <c r="I482" s="54"/>
      <c r="J482" s="54"/>
      <c r="K482" s="54"/>
      <c r="L482" s="54"/>
      <c r="M482" s="54"/>
      <c r="N482" s="54"/>
      <c r="O482" s="54"/>
      <c r="P482" s="54"/>
      <c r="Q482" s="54"/>
      <c r="R482" s="54"/>
      <c r="S482" s="54"/>
      <c r="T482" s="54"/>
      <c r="U482" s="54"/>
      <c r="V482" s="54"/>
      <c r="W482" s="54"/>
      <c r="X482" s="54"/>
      <c r="Y482" s="54"/>
      <c r="Z482" s="54"/>
      <c r="AA482" s="54"/>
      <c r="AB482" s="54"/>
    </row>
    <row r="483">
      <c r="A483" s="57"/>
      <c r="B483" s="10" t="str">
        <f>IFERROR(VLOOKUP(C483,'Employees List'!$B$1:$G$999,4,0),"")</f>
        <v/>
      </c>
      <c r="C483" s="9"/>
      <c r="D483" s="9"/>
      <c r="E483" s="56"/>
      <c r="F483" s="56"/>
      <c r="G483" s="56"/>
      <c r="H483" s="50"/>
      <c r="I483" s="54"/>
      <c r="J483" s="54"/>
      <c r="K483" s="54"/>
      <c r="L483" s="54"/>
      <c r="M483" s="54"/>
      <c r="N483" s="54"/>
      <c r="O483" s="54"/>
      <c r="P483" s="54"/>
      <c r="Q483" s="54"/>
      <c r="R483" s="54"/>
      <c r="S483" s="54"/>
      <c r="T483" s="54"/>
      <c r="U483" s="54"/>
      <c r="V483" s="54"/>
      <c r="W483" s="54"/>
      <c r="X483" s="54"/>
      <c r="Y483" s="54"/>
      <c r="Z483" s="54"/>
      <c r="AA483" s="54"/>
      <c r="AB483" s="54"/>
    </row>
    <row r="484">
      <c r="A484" s="57"/>
      <c r="B484" s="10" t="str">
        <f>IFERROR(VLOOKUP(C484,'Employees List'!$B$1:$G$999,4,0),"")</f>
        <v/>
      </c>
      <c r="C484" s="9"/>
      <c r="D484" s="9"/>
      <c r="E484" s="56"/>
      <c r="F484" s="56"/>
      <c r="G484" s="56"/>
      <c r="H484" s="50"/>
      <c r="I484" s="54"/>
      <c r="J484" s="54"/>
      <c r="K484" s="54"/>
      <c r="L484" s="54"/>
      <c r="M484" s="54"/>
      <c r="N484" s="54"/>
      <c r="O484" s="54"/>
      <c r="P484" s="54"/>
      <c r="Q484" s="54"/>
      <c r="R484" s="54"/>
      <c r="S484" s="54"/>
      <c r="T484" s="54"/>
      <c r="U484" s="54"/>
      <c r="V484" s="54"/>
      <c r="W484" s="54"/>
      <c r="X484" s="54"/>
      <c r="Y484" s="54"/>
      <c r="Z484" s="54"/>
      <c r="AA484" s="54"/>
      <c r="AB484" s="54"/>
    </row>
    <row r="485">
      <c r="A485" s="57"/>
      <c r="B485" s="10" t="str">
        <f>IFERROR(VLOOKUP(C485,'Employees List'!$B$1:$G$999,4,0),"")</f>
        <v/>
      </c>
      <c r="C485" s="9"/>
      <c r="D485" s="9"/>
      <c r="E485" s="56"/>
      <c r="F485" s="56"/>
      <c r="G485" s="56"/>
      <c r="H485" s="50"/>
      <c r="I485" s="54"/>
      <c r="J485" s="54"/>
      <c r="K485" s="54"/>
      <c r="L485" s="54"/>
      <c r="M485" s="54"/>
      <c r="N485" s="54"/>
      <c r="O485" s="54"/>
      <c r="P485" s="54"/>
      <c r="Q485" s="54"/>
      <c r="R485" s="54"/>
      <c r="S485" s="54"/>
      <c r="T485" s="54"/>
      <c r="U485" s="54"/>
      <c r="V485" s="54"/>
      <c r="W485" s="54"/>
      <c r="X485" s="54"/>
      <c r="Y485" s="54"/>
      <c r="Z485" s="54"/>
      <c r="AA485" s="54"/>
      <c r="AB485" s="54"/>
    </row>
    <row r="486">
      <c r="A486" s="57"/>
      <c r="B486" s="10" t="str">
        <f>IFERROR(VLOOKUP(C486,'Employees List'!$B$1:$G$999,4,0),"")</f>
        <v/>
      </c>
      <c r="C486" s="9"/>
      <c r="D486" s="9"/>
      <c r="E486" s="56"/>
      <c r="F486" s="56"/>
      <c r="G486" s="56"/>
      <c r="H486" s="50"/>
      <c r="I486" s="54"/>
      <c r="J486" s="54"/>
      <c r="K486" s="54"/>
      <c r="L486" s="54"/>
      <c r="M486" s="54"/>
      <c r="N486" s="54"/>
      <c r="O486" s="54"/>
      <c r="P486" s="54"/>
      <c r="Q486" s="54"/>
      <c r="R486" s="54"/>
      <c r="S486" s="54"/>
      <c r="T486" s="54"/>
      <c r="U486" s="54"/>
      <c r="V486" s="54"/>
      <c r="W486" s="54"/>
      <c r="X486" s="54"/>
      <c r="Y486" s="54"/>
      <c r="Z486" s="54"/>
      <c r="AA486" s="54"/>
      <c r="AB486" s="54"/>
    </row>
    <row r="487">
      <c r="A487" s="57"/>
      <c r="B487" s="10" t="str">
        <f>IFERROR(VLOOKUP(C487,'Employees List'!$B$1:$G$999,4,0),"")</f>
        <v/>
      </c>
      <c r="C487" s="9"/>
      <c r="D487" s="9"/>
      <c r="E487" s="56"/>
      <c r="F487" s="56"/>
      <c r="G487" s="56"/>
      <c r="H487" s="50"/>
      <c r="I487" s="54"/>
      <c r="J487" s="54"/>
      <c r="K487" s="54"/>
      <c r="L487" s="54"/>
      <c r="M487" s="54"/>
      <c r="N487" s="54"/>
      <c r="O487" s="54"/>
      <c r="P487" s="54"/>
      <c r="Q487" s="54"/>
      <c r="R487" s="54"/>
      <c r="S487" s="54"/>
      <c r="T487" s="54"/>
      <c r="U487" s="54"/>
      <c r="V487" s="54"/>
      <c r="W487" s="54"/>
      <c r="X487" s="54"/>
      <c r="Y487" s="54"/>
      <c r="Z487" s="54"/>
      <c r="AA487" s="54"/>
      <c r="AB487" s="54"/>
    </row>
    <row r="488">
      <c r="A488" s="57"/>
      <c r="B488" s="10" t="str">
        <f>IFERROR(VLOOKUP(C488,'Employees List'!$B$1:$G$999,4,0),"")</f>
        <v/>
      </c>
      <c r="C488" s="9"/>
      <c r="D488" s="9"/>
      <c r="E488" s="56"/>
      <c r="F488" s="56"/>
      <c r="G488" s="56"/>
      <c r="H488" s="50"/>
      <c r="I488" s="54"/>
      <c r="J488" s="54"/>
      <c r="K488" s="54"/>
      <c r="L488" s="54"/>
      <c r="M488" s="54"/>
      <c r="N488" s="54"/>
      <c r="O488" s="54"/>
      <c r="P488" s="54"/>
      <c r="Q488" s="54"/>
      <c r="R488" s="54"/>
      <c r="S488" s="54"/>
      <c r="T488" s="54"/>
      <c r="U488" s="54"/>
      <c r="V488" s="54"/>
      <c r="W488" s="54"/>
      <c r="X488" s="54"/>
      <c r="Y488" s="54"/>
      <c r="Z488" s="54"/>
      <c r="AA488" s="54"/>
      <c r="AB488" s="54"/>
    </row>
    <row r="489">
      <c r="A489" s="57"/>
      <c r="B489" s="10" t="str">
        <f>IFERROR(VLOOKUP(C489,'Employees List'!$B$1:$G$999,4,0),"")</f>
        <v/>
      </c>
      <c r="C489" s="9"/>
      <c r="D489" s="9"/>
      <c r="E489" s="56"/>
      <c r="F489" s="56"/>
      <c r="G489" s="56"/>
      <c r="H489" s="50"/>
      <c r="I489" s="54"/>
      <c r="J489" s="54"/>
      <c r="K489" s="54"/>
      <c r="L489" s="54"/>
      <c r="M489" s="54"/>
      <c r="N489" s="54"/>
      <c r="O489" s="54"/>
      <c r="P489" s="54"/>
      <c r="Q489" s="54"/>
      <c r="R489" s="54"/>
      <c r="S489" s="54"/>
      <c r="T489" s="54"/>
      <c r="U489" s="54"/>
      <c r="V489" s="54"/>
      <c r="W489" s="54"/>
      <c r="X489" s="54"/>
      <c r="Y489" s="54"/>
      <c r="Z489" s="54"/>
      <c r="AA489" s="54"/>
      <c r="AB489" s="54"/>
    </row>
    <row r="490">
      <c r="A490" s="57"/>
      <c r="B490" s="10" t="str">
        <f>IFERROR(VLOOKUP(C490,'Employees List'!$B$1:$G$999,4,0),"")</f>
        <v/>
      </c>
      <c r="C490" s="9"/>
      <c r="D490" s="9"/>
      <c r="E490" s="56"/>
      <c r="F490" s="56"/>
      <c r="G490" s="56"/>
      <c r="H490" s="50"/>
      <c r="I490" s="54"/>
      <c r="J490" s="54"/>
      <c r="K490" s="54"/>
      <c r="L490" s="54"/>
      <c r="M490" s="54"/>
      <c r="N490" s="54"/>
      <c r="O490" s="54"/>
      <c r="P490" s="54"/>
      <c r="Q490" s="54"/>
      <c r="R490" s="54"/>
      <c r="S490" s="54"/>
      <c r="T490" s="54"/>
      <c r="U490" s="54"/>
      <c r="V490" s="54"/>
      <c r="W490" s="54"/>
      <c r="X490" s="54"/>
      <c r="Y490" s="54"/>
      <c r="Z490" s="54"/>
      <c r="AA490" s="54"/>
      <c r="AB490" s="54"/>
    </row>
    <row r="491">
      <c r="A491" s="57"/>
      <c r="B491" s="10" t="str">
        <f>IFERROR(VLOOKUP(C491,'Employees List'!$B$1:$G$999,4,0),"")</f>
        <v/>
      </c>
      <c r="C491" s="9"/>
      <c r="D491" s="9"/>
      <c r="E491" s="56"/>
      <c r="F491" s="56"/>
      <c r="G491" s="56"/>
      <c r="H491" s="50"/>
      <c r="I491" s="54"/>
      <c r="J491" s="54"/>
      <c r="K491" s="54"/>
      <c r="L491" s="54"/>
      <c r="M491" s="54"/>
      <c r="N491" s="54"/>
      <c r="O491" s="54"/>
      <c r="P491" s="54"/>
      <c r="Q491" s="54"/>
      <c r="R491" s="54"/>
      <c r="S491" s="54"/>
      <c r="T491" s="54"/>
      <c r="U491" s="54"/>
      <c r="V491" s="54"/>
      <c r="W491" s="54"/>
      <c r="X491" s="54"/>
      <c r="Y491" s="54"/>
      <c r="Z491" s="54"/>
      <c r="AA491" s="54"/>
      <c r="AB491" s="54"/>
    </row>
    <row r="492">
      <c r="A492" s="57"/>
      <c r="B492" s="10" t="str">
        <f>IFERROR(VLOOKUP(C492,'Employees List'!$B$1:$G$999,4,0),"")</f>
        <v/>
      </c>
      <c r="C492" s="9"/>
      <c r="D492" s="9"/>
      <c r="E492" s="56"/>
      <c r="F492" s="56"/>
      <c r="G492" s="56"/>
      <c r="H492" s="50"/>
      <c r="I492" s="54"/>
      <c r="J492" s="54"/>
      <c r="K492" s="54"/>
      <c r="L492" s="54"/>
      <c r="M492" s="54"/>
      <c r="N492" s="54"/>
      <c r="O492" s="54"/>
      <c r="P492" s="54"/>
      <c r="Q492" s="54"/>
      <c r="R492" s="54"/>
      <c r="S492" s="54"/>
      <c r="T492" s="54"/>
      <c r="U492" s="54"/>
      <c r="V492" s="54"/>
      <c r="W492" s="54"/>
      <c r="X492" s="54"/>
      <c r="Y492" s="54"/>
      <c r="Z492" s="54"/>
      <c r="AA492" s="54"/>
      <c r="AB492" s="54"/>
    </row>
    <row r="493">
      <c r="A493" s="57"/>
      <c r="B493" s="10" t="str">
        <f>IFERROR(VLOOKUP(C493,'Employees List'!$B$1:$G$999,4,0),"")</f>
        <v/>
      </c>
      <c r="C493" s="9"/>
      <c r="D493" s="9"/>
      <c r="E493" s="56"/>
      <c r="F493" s="56"/>
      <c r="G493" s="56"/>
      <c r="H493" s="50"/>
      <c r="I493" s="54"/>
      <c r="J493" s="54"/>
      <c r="K493" s="54"/>
      <c r="L493" s="54"/>
      <c r="M493" s="54"/>
      <c r="N493" s="54"/>
      <c r="O493" s="54"/>
      <c r="P493" s="54"/>
      <c r="Q493" s="54"/>
      <c r="R493" s="54"/>
      <c r="S493" s="54"/>
      <c r="T493" s="54"/>
      <c r="U493" s="54"/>
      <c r="V493" s="54"/>
      <c r="W493" s="54"/>
      <c r="X493" s="54"/>
      <c r="Y493" s="54"/>
      <c r="Z493" s="54"/>
      <c r="AA493" s="54"/>
      <c r="AB493" s="54"/>
    </row>
    <row r="494">
      <c r="A494" s="57"/>
      <c r="B494" s="10" t="str">
        <f>IFERROR(VLOOKUP(C494,'Employees List'!$B$1:$G$999,4,0),"")</f>
        <v/>
      </c>
      <c r="C494" s="9"/>
      <c r="D494" s="9"/>
      <c r="E494" s="56"/>
      <c r="F494" s="56"/>
      <c r="G494" s="56"/>
      <c r="H494" s="50"/>
      <c r="I494" s="54"/>
      <c r="J494" s="54"/>
      <c r="K494" s="54"/>
      <c r="L494" s="54"/>
      <c r="M494" s="54"/>
      <c r="N494" s="54"/>
      <c r="O494" s="54"/>
      <c r="P494" s="54"/>
      <c r="Q494" s="54"/>
      <c r="R494" s="54"/>
      <c r="S494" s="54"/>
      <c r="T494" s="54"/>
      <c r="U494" s="54"/>
      <c r="V494" s="54"/>
      <c r="W494" s="54"/>
      <c r="X494" s="54"/>
      <c r="Y494" s="54"/>
      <c r="Z494" s="54"/>
      <c r="AA494" s="54"/>
      <c r="AB494" s="54"/>
    </row>
    <row r="495">
      <c r="A495" s="57"/>
      <c r="B495" s="10" t="str">
        <f>IFERROR(VLOOKUP(C495,'Employees List'!$B$1:$G$999,4,0),"")</f>
        <v/>
      </c>
      <c r="C495" s="9"/>
      <c r="D495" s="9"/>
      <c r="E495" s="56"/>
      <c r="F495" s="56"/>
      <c r="G495" s="56"/>
      <c r="H495" s="50"/>
      <c r="I495" s="54"/>
      <c r="J495" s="54"/>
      <c r="K495" s="54"/>
      <c r="L495" s="54"/>
      <c r="M495" s="54"/>
      <c r="N495" s="54"/>
      <c r="O495" s="54"/>
      <c r="P495" s="54"/>
      <c r="Q495" s="54"/>
      <c r="R495" s="54"/>
      <c r="S495" s="54"/>
      <c r="T495" s="54"/>
      <c r="U495" s="54"/>
      <c r="V495" s="54"/>
      <c r="W495" s="54"/>
      <c r="X495" s="54"/>
      <c r="Y495" s="54"/>
      <c r="Z495" s="54"/>
      <c r="AA495" s="54"/>
      <c r="AB495" s="54"/>
    </row>
    <row r="496">
      <c r="A496" s="57"/>
      <c r="B496" s="10" t="str">
        <f>IFERROR(VLOOKUP(C496,'Employees List'!$B$1:$G$999,4,0),"")</f>
        <v/>
      </c>
      <c r="C496" s="9"/>
      <c r="D496" s="9"/>
      <c r="E496" s="56"/>
      <c r="F496" s="56"/>
      <c r="G496" s="56"/>
      <c r="H496" s="50"/>
      <c r="I496" s="54"/>
      <c r="J496" s="54"/>
      <c r="K496" s="54"/>
      <c r="L496" s="54"/>
      <c r="M496" s="54"/>
      <c r="N496" s="54"/>
      <c r="O496" s="54"/>
      <c r="P496" s="54"/>
      <c r="Q496" s="54"/>
      <c r="R496" s="54"/>
      <c r="S496" s="54"/>
      <c r="T496" s="54"/>
      <c r="U496" s="54"/>
      <c r="V496" s="54"/>
      <c r="W496" s="54"/>
      <c r="X496" s="54"/>
      <c r="Y496" s="54"/>
      <c r="Z496" s="54"/>
      <c r="AA496" s="54"/>
      <c r="AB496" s="54"/>
    </row>
    <row r="497">
      <c r="A497" s="57"/>
      <c r="B497" s="10" t="str">
        <f>IFERROR(VLOOKUP(C497,'Employees List'!$B$1:$G$999,4,0),"")</f>
        <v/>
      </c>
      <c r="C497" s="9"/>
      <c r="D497" s="9"/>
      <c r="E497" s="56"/>
      <c r="F497" s="56"/>
      <c r="G497" s="56"/>
      <c r="H497" s="50"/>
      <c r="I497" s="54"/>
      <c r="J497" s="54"/>
      <c r="K497" s="54"/>
      <c r="L497" s="54"/>
      <c r="M497" s="54"/>
      <c r="N497" s="54"/>
      <c r="O497" s="54"/>
      <c r="P497" s="54"/>
      <c r="Q497" s="54"/>
      <c r="R497" s="54"/>
      <c r="S497" s="54"/>
      <c r="T497" s="54"/>
      <c r="U497" s="54"/>
      <c r="V497" s="54"/>
      <c r="W497" s="54"/>
      <c r="X497" s="54"/>
      <c r="Y497" s="54"/>
      <c r="Z497" s="54"/>
      <c r="AA497" s="54"/>
      <c r="AB497" s="54"/>
    </row>
    <row r="498">
      <c r="A498" s="57"/>
      <c r="B498" s="10" t="str">
        <f>IFERROR(VLOOKUP(C498,'Employees List'!$B$1:$G$999,4,0),"")</f>
        <v/>
      </c>
      <c r="C498" s="9"/>
      <c r="D498" s="9"/>
      <c r="E498" s="56"/>
      <c r="F498" s="56"/>
      <c r="G498" s="56"/>
      <c r="H498" s="50"/>
      <c r="I498" s="54"/>
      <c r="J498" s="54"/>
      <c r="K498" s="54"/>
      <c r="L498" s="54"/>
      <c r="M498" s="54"/>
      <c r="N498" s="54"/>
      <c r="O498" s="54"/>
      <c r="P498" s="54"/>
      <c r="Q498" s="54"/>
      <c r="R498" s="54"/>
      <c r="S498" s="54"/>
      <c r="T498" s="54"/>
      <c r="U498" s="54"/>
      <c r="V498" s="54"/>
      <c r="W498" s="54"/>
      <c r="X498" s="54"/>
      <c r="Y498" s="54"/>
      <c r="Z498" s="54"/>
      <c r="AA498" s="54"/>
      <c r="AB498" s="54"/>
    </row>
    <row r="499">
      <c r="A499" s="57"/>
      <c r="B499" s="10" t="str">
        <f>IFERROR(VLOOKUP(C499,'Employees List'!$B$1:$G$999,4,0),"")</f>
        <v/>
      </c>
      <c r="C499" s="9"/>
      <c r="D499" s="9"/>
      <c r="E499" s="56"/>
      <c r="F499" s="56"/>
      <c r="G499" s="56"/>
      <c r="H499" s="50"/>
      <c r="I499" s="54"/>
      <c r="J499" s="54"/>
      <c r="K499" s="54"/>
      <c r="L499" s="54"/>
      <c r="M499" s="54"/>
      <c r="N499" s="54"/>
      <c r="O499" s="54"/>
      <c r="P499" s="54"/>
      <c r="Q499" s="54"/>
      <c r="R499" s="54"/>
      <c r="S499" s="54"/>
      <c r="T499" s="54"/>
      <c r="U499" s="54"/>
      <c r="V499" s="54"/>
      <c r="W499" s="54"/>
      <c r="X499" s="54"/>
      <c r="Y499" s="54"/>
      <c r="Z499" s="54"/>
      <c r="AA499" s="54"/>
      <c r="AB499" s="54"/>
    </row>
    <row r="500">
      <c r="A500" s="57"/>
      <c r="B500" s="10" t="str">
        <f>IFERROR(VLOOKUP(C500,'Employees List'!$B$1:$G$999,4,0),"")</f>
        <v/>
      </c>
      <c r="C500" s="9"/>
      <c r="D500" s="9"/>
      <c r="E500" s="56"/>
      <c r="F500" s="56"/>
      <c r="G500" s="56"/>
      <c r="H500" s="50"/>
      <c r="I500" s="54"/>
      <c r="J500" s="54"/>
      <c r="K500" s="54"/>
      <c r="L500" s="54"/>
      <c r="M500" s="54"/>
      <c r="N500" s="54"/>
      <c r="O500" s="54"/>
      <c r="P500" s="54"/>
      <c r="Q500" s="54"/>
      <c r="R500" s="54"/>
      <c r="S500" s="54"/>
      <c r="T500" s="54"/>
      <c r="U500" s="54"/>
      <c r="V500" s="54"/>
      <c r="W500" s="54"/>
      <c r="X500" s="54"/>
      <c r="Y500" s="54"/>
      <c r="Z500" s="54"/>
      <c r="AA500" s="54"/>
      <c r="AB500" s="54"/>
    </row>
    <row r="501">
      <c r="A501" s="57"/>
      <c r="B501" s="10" t="str">
        <f>IFERROR(VLOOKUP(C501,'Employees List'!$B$1:$G$999,4,0),"")</f>
        <v/>
      </c>
      <c r="C501" s="9"/>
      <c r="D501" s="9"/>
      <c r="E501" s="56"/>
      <c r="F501" s="56"/>
      <c r="G501" s="56"/>
      <c r="H501" s="50"/>
      <c r="I501" s="54"/>
      <c r="J501" s="54"/>
      <c r="K501" s="54"/>
      <c r="L501" s="54"/>
      <c r="M501" s="54"/>
      <c r="N501" s="54"/>
      <c r="O501" s="54"/>
      <c r="P501" s="54"/>
      <c r="Q501" s="54"/>
      <c r="R501" s="54"/>
      <c r="S501" s="54"/>
      <c r="T501" s="54"/>
      <c r="U501" s="54"/>
      <c r="V501" s="54"/>
      <c r="W501" s="54"/>
      <c r="X501" s="54"/>
      <c r="Y501" s="54"/>
      <c r="Z501" s="54"/>
      <c r="AA501" s="54"/>
      <c r="AB501" s="54"/>
    </row>
    <row r="502">
      <c r="A502" s="57"/>
      <c r="B502" s="10" t="str">
        <f>IFERROR(VLOOKUP(C502,'Employees List'!$B$1:$G$999,4,0),"")</f>
        <v/>
      </c>
      <c r="C502" s="9"/>
      <c r="D502" s="9"/>
      <c r="E502" s="56"/>
      <c r="F502" s="56"/>
      <c r="G502" s="56"/>
      <c r="H502" s="50"/>
      <c r="I502" s="54"/>
      <c r="J502" s="54"/>
      <c r="K502" s="54"/>
      <c r="L502" s="54"/>
      <c r="M502" s="54"/>
      <c r="N502" s="54"/>
      <c r="O502" s="54"/>
      <c r="P502" s="54"/>
      <c r="Q502" s="54"/>
      <c r="R502" s="54"/>
      <c r="S502" s="54"/>
      <c r="T502" s="54"/>
      <c r="U502" s="54"/>
      <c r="V502" s="54"/>
      <c r="W502" s="54"/>
      <c r="X502" s="54"/>
      <c r="Y502" s="54"/>
      <c r="Z502" s="54"/>
      <c r="AA502" s="54"/>
      <c r="AB502" s="54"/>
    </row>
    <row r="503">
      <c r="A503" s="57"/>
      <c r="B503" s="10" t="str">
        <f>IFERROR(VLOOKUP(C503,'Employees List'!$B$1:$G$999,4,0),"")</f>
        <v/>
      </c>
      <c r="C503" s="9"/>
      <c r="D503" s="9"/>
      <c r="E503" s="56"/>
      <c r="F503" s="56"/>
      <c r="G503" s="56"/>
      <c r="H503" s="50"/>
      <c r="I503" s="54"/>
      <c r="J503" s="54"/>
      <c r="K503" s="54"/>
      <c r="L503" s="54"/>
      <c r="M503" s="54"/>
      <c r="N503" s="54"/>
      <c r="O503" s="54"/>
      <c r="P503" s="54"/>
      <c r="Q503" s="54"/>
      <c r="R503" s="54"/>
      <c r="S503" s="54"/>
      <c r="T503" s="54"/>
      <c r="U503" s="54"/>
      <c r="V503" s="54"/>
      <c r="W503" s="54"/>
      <c r="X503" s="54"/>
      <c r="Y503" s="54"/>
      <c r="Z503" s="54"/>
      <c r="AA503" s="54"/>
      <c r="AB503" s="54"/>
    </row>
    <row r="504">
      <c r="A504" s="57"/>
      <c r="B504" s="10" t="str">
        <f>IFERROR(VLOOKUP(C504,'Employees List'!$B$1:$G$999,4,0),"")</f>
        <v/>
      </c>
      <c r="C504" s="9"/>
      <c r="D504" s="9"/>
      <c r="E504" s="56"/>
      <c r="F504" s="56"/>
      <c r="G504" s="56"/>
      <c r="H504" s="50"/>
      <c r="I504" s="54"/>
      <c r="J504" s="54"/>
      <c r="K504" s="54"/>
      <c r="L504" s="54"/>
      <c r="M504" s="54"/>
      <c r="N504" s="54"/>
      <c r="O504" s="54"/>
      <c r="P504" s="54"/>
      <c r="Q504" s="54"/>
      <c r="R504" s="54"/>
      <c r="S504" s="54"/>
      <c r="T504" s="54"/>
      <c r="U504" s="54"/>
      <c r="V504" s="54"/>
      <c r="W504" s="54"/>
      <c r="X504" s="54"/>
      <c r="Y504" s="54"/>
      <c r="Z504" s="54"/>
      <c r="AA504" s="54"/>
      <c r="AB504" s="54"/>
    </row>
    <row r="505">
      <c r="A505" s="57"/>
      <c r="B505" s="10" t="str">
        <f>IFERROR(VLOOKUP(C505,'Employees List'!$B$1:$G$999,4,0),"")</f>
        <v/>
      </c>
      <c r="C505" s="9"/>
      <c r="D505" s="9"/>
      <c r="E505" s="56"/>
      <c r="F505" s="56"/>
      <c r="G505" s="56"/>
      <c r="H505" s="50"/>
      <c r="I505" s="54"/>
      <c r="J505" s="54"/>
      <c r="K505" s="54"/>
      <c r="L505" s="54"/>
      <c r="M505" s="54"/>
      <c r="N505" s="54"/>
      <c r="O505" s="54"/>
      <c r="P505" s="54"/>
      <c r="Q505" s="54"/>
      <c r="R505" s="54"/>
      <c r="S505" s="54"/>
      <c r="T505" s="54"/>
      <c r="U505" s="54"/>
      <c r="V505" s="54"/>
      <c r="W505" s="54"/>
      <c r="X505" s="54"/>
      <c r="Y505" s="54"/>
      <c r="Z505" s="54"/>
      <c r="AA505" s="54"/>
      <c r="AB505" s="54"/>
    </row>
    <row r="506">
      <c r="A506" s="57"/>
      <c r="B506" s="10" t="str">
        <f>IFERROR(VLOOKUP(C506,'Employees List'!$B$1:$G$999,4,0),"")</f>
        <v/>
      </c>
      <c r="C506" s="9"/>
      <c r="D506" s="9"/>
      <c r="E506" s="56"/>
      <c r="F506" s="56"/>
      <c r="G506" s="56"/>
      <c r="H506" s="50"/>
      <c r="I506" s="54"/>
      <c r="J506" s="54"/>
      <c r="K506" s="54"/>
      <c r="L506" s="54"/>
      <c r="M506" s="54"/>
      <c r="N506" s="54"/>
      <c r="O506" s="54"/>
      <c r="P506" s="54"/>
      <c r="Q506" s="54"/>
      <c r="R506" s="54"/>
      <c r="S506" s="54"/>
      <c r="T506" s="54"/>
      <c r="U506" s="54"/>
      <c r="V506" s="54"/>
      <c r="W506" s="54"/>
      <c r="X506" s="54"/>
      <c r="Y506" s="54"/>
      <c r="Z506" s="54"/>
      <c r="AA506" s="54"/>
      <c r="AB506" s="54"/>
    </row>
    <row r="507">
      <c r="A507" s="57"/>
      <c r="B507" s="10" t="str">
        <f>IFERROR(VLOOKUP(C507,'Employees List'!$B$1:$G$999,4,0),"")</f>
        <v/>
      </c>
      <c r="C507" s="9"/>
      <c r="D507" s="9"/>
      <c r="E507" s="56"/>
      <c r="F507" s="56"/>
      <c r="G507" s="56"/>
      <c r="H507" s="50"/>
      <c r="I507" s="54"/>
      <c r="J507" s="54"/>
      <c r="K507" s="54"/>
      <c r="L507" s="54"/>
      <c r="M507" s="54"/>
      <c r="N507" s="54"/>
      <c r="O507" s="54"/>
      <c r="P507" s="54"/>
      <c r="Q507" s="54"/>
      <c r="R507" s="54"/>
      <c r="S507" s="54"/>
      <c r="T507" s="54"/>
      <c r="U507" s="54"/>
      <c r="V507" s="54"/>
      <c r="W507" s="54"/>
      <c r="X507" s="54"/>
      <c r="Y507" s="54"/>
      <c r="Z507" s="54"/>
      <c r="AA507" s="54"/>
      <c r="AB507" s="54"/>
    </row>
    <row r="508">
      <c r="A508" s="57"/>
      <c r="B508" s="10" t="str">
        <f>IFERROR(VLOOKUP(C508,'Employees List'!$B$1:$G$999,4,0),"")</f>
        <v/>
      </c>
      <c r="C508" s="9"/>
      <c r="D508" s="9"/>
      <c r="E508" s="56"/>
      <c r="F508" s="56"/>
      <c r="G508" s="56"/>
      <c r="H508" s="50"/>
      <c r="I508" s="54"/>
      <c r="J508" s="54"/>
      <c r="K508" s="54"/>
      <c r="L508" s="54"/>
      <c r="M508" s="54"/>
      <c r="N508" s="54"/>
      <c r="O508" s="54"/>
      <c r="P508" s="54"/>
      <c r="Q508" s="54"/>
      <c r="R508" s="54"/>
      <c r="S508" s="54"/>
      <c r="T508" s="54"/>
      <c r="U508" s="54"/>
      <c r="V508" s="54"/>
      <c r="W508" s="54"/>
      <c r="X508" s="54"/>
      <c r="Y508" s="54"/>
      <c r="Z508" s="54"/>
      <c r="AA508" s="54"/>
      <c r="AB508" s="54"/>
    </row>
    <row r="509">
      <c r="A509" s="57"/>
      <c r="B509" s="10" t="str">
        <f>IFERROR(VLOOKUP(C509,'Employees List'!$B$1:$G$999,4,0),"")</f>
        <v/>
      </c>
      <c r="C509" s="9"/>
      <c r="D509" s="9"/>
      <c r="E509" s="56"/>
      <c r="F509" s="56"/>
      <c r="G509" s="56"/>
      <c r="H509" s="50"/>
      <c r="I509" s="54"/>
      <c r="J509" s="54"/>
      <c r="K509" s="54"/>
      <c r="L509" s="54"/>
      <c r="M509" s="54"/>
      <c r="N509" s="54"/>
      <c r="O509" s="54"/>
      <c r="P509" s="54"/>
      <c r="Q509" s="54"/>
      <c r="R509" s="54"/>
      <c r="S509" s="54"/>
      <c r="T509" s="54"/>
      <c r="U509" s="54"/>
      <c r="V509" s="54"/>
      <c r="W509" s="54"/>
      <c r="X509" s="54"/>
      <c r="Y509" s="54"/>
      <c r="Z509" s="54"/>
      <c r="AA509" s="54"/>
      <c r="AB509" s="54"/>
    </row>
    <row r="510">
      <c r="A510" s="57"/>
      <c r="B510" s="10" t="str">
        <f>IFERROR(VLOOKUP(C510,'Employees List'!$B$1:$G$999,4,0),"")</f>
        <v/>
      </c>
      <c r="C510" s="9"/>
      <c r="D510" s="9"/>
      <c r="E510" s="56"/>
      <c r="F510" s="56"/>
      <c r="G510" s="56"/>
      <c r="H510" s="50"/>
      <c r="I510" s="54"/>
      <c r="J510" s="54"/>
      <c r="K510" s="54"/>
      <c r="L510" s="54"/>
      <c r="M510" s="54"/>
      <c r="N510" s="54"/>
      <c r="O510" s="54"/>
      <c r="P510" s="54"/>
      <c r="Q510" s="54"/>
      <c r="R510" s="54"/>
      <c r="S510" s="54"/>
      <c r="T510" s="54"/>
      <c r="U510" s="54"/>
      <c r="V510" s="54"/>
      <c r="W510" s="54"/>
      <c r="X510" s="54"/>
      <c r="Y510" s="54"/>
      <c r="Z510" s="54"/>
      <c r="AA510" s="54"/>
      <c r="AB510" s="54"/>
    </row>
    <row r="511">
      <c r="A511" s="57"/>
      <c r="B511" s="10" t="str">
        <f>IFERROR(VLOOKUP(C511,'Employees List'!$B$1:$G$999,4,0),"")</f>
        <v/>
      </c>
      <c r="C511" s="9"/>
      <c r="D511" s="9"/>
      <c r="E511" s="56"/>
      <c r="F511" s="56"/>
      <c r="G511" s="56"/>
      <c r="H511" s="50"/>
      <c r="I511" s="54"/>
      <c r="J511" s="54"/>
      <c r="K511" s="54"/>
      <c r="L511" s="54"/>
      <c r="M511" s="54"/>
      <c r="N511" s="54"/>
      <c r="O511" s="54"/>
      <c r="P511" s="54"/>
      <c r="Q511" s="54"/>
      <c r="R511" s="54"/>
      <c r="S511" s="54"/>
      <c r="T511" s="54"/>
      <c r="U511" s="54"/>
      <c r="V511" s="54"/>
      <c r="W511" s="54"/>
      <c r="X511" s="54"/>
      <c r="Y511" s="54"/>
      <c r="Z511" s="54"/>
      <c r="AA511" s="54"/>
      <c r="AB511" s="54"/>
    </row>
    <row r="512">
      <c r="A512" s="57"/>
      <c r="B512" s="10" t="str">
        <f>IFERROR(VLOOKUP(C512,'Employees List'!$B$1:$G$999,4,0),"")</f>
        <v/>
      </c>
      <c r="C512" s="9"/>
      <c r="D512" s="9"/>
      <c r="E512" s="56"/>
      <c r="F512" s="56"/>
      <c r="G512" s="56"/>
      <c r="H512" s="50"/>
      <c r="I512" s="54"/>
      <c r="J512" s="54"/>
      <c r="K512" s="54"/>
      <c r="L512" s="54"/>
      <c r="M512" s="54"/>
      <c r="N512" s="54"/>
      <c r="O512" s="54"/>
      <c r="P512" s="54"/>
      <c r="Q512" s="54"/>
      <c r="R512" s="54"/>
      <c r="S512" s="54"/>
      <c r="T512" s="54"/>
      <c r="U512" s="54"/>
      <c r="V512" s="54"/>
      <c r="W512" s="54"/>
      <c r="X512" s="54"/>
      <c r="Y512" s="54"/>
      <c r="Z512" s="54"/>
      <c r="AA512" s="54"/>
      <c r="AB512" s="54"/>
    </row>
    <row r="513">
      <c r="A513" s="57"/>
      <c r="B513" s="10" t="str">
        <f>IFERROR(VLOOKUP(C513,'Employees List'!$B$1:$G$999,4,0),"")</f>
        <v/>
      </c>
      <c r="C513" s="9"/>
      <c r="D513" s="9"/>
      <c r="E513" s="56"/>
      <c r="F513" s="56"/>
      <c r="G513" s="56"/>
      <c r="H513" s="50"/>
      <c r="I513" s="54"/>
      <c r="J513" s="54"/>
      <c r="K513" s="54"/>
      <c r="L513" s="54"/>
      <c r="M513" s="54"/>
      <c r="N513" s="54"/>
      <c r="O513" s="54"/>
      <c r="P513" s="54"/>
      <c r="Q513" s="54"/>
      <c r="R513" s="54"/>
      <c r="S513" s="54"/>
      <c r="T513" s="54"/>
      <c r="U513" s="54"/>
      <c r="V513" s="54"/>
      <c r="W513" s="54"/>
      <c r="X513" s="54"/>
      <c r="Y513" s="54"/>
      <c r="Z513" s="54"/>
      <c r="AA513" s="54"/>
      <c r="AB513" s="54"/>
    </row>
    <row r="514">
      <c r="A514" s="57"/>
      <c r="B514" s="10" t="str">
        <f>IFERROR(VLOOKUP(C514,'Employees List'!$B$1:$G$999,4,0),"")</f>
        <v/>
      </c>
      <c r="C514" s="9"/>
      <c r="D514" s="9"/>
      <c r="E514" s="56"/>
      <c r="F514" s="56"/>
      <c r="G514" s="56"/>
      <c r="H514" s="50"/>
      <c r="I514" s="54"/>
      <c r="J514" s="54"/>
      <c r="K514" s="54"/>
      <c r="L514" s="54"/>
      <c r="M514" s="54"/>
      <c r="N514" s="54"/>
      <c r="O514" s="54"/>
      <c r="P514" s="54"/>
      <c r="Q514" s="54"/>
      <c r="R514" s="54"/>
      <c r="S514" s="54"/>
      <c r="T514" s="54"/>
      <c r="U514" s="54"/>
      <c r="V514" s="54"/>
      <c r="W514" s="54"/>
      <c r="X514" s="54"/>
      <c r="Y514" s="54"/>
      <c r="Z514" s="54"/>
      <c r="AA514" s="54"/>
      <c r="AB514" s="54"/>
    </row>
    <row r="515">
      <c r="A515" s="57"/>
      <c r="B515" s="10" t="str">
        <f>IFERROR(VLOOKUP(C515,'Employees List'!$B$1:$G$999,4,0),"")</f>
        <v/>
      </c>
      <c r="C515" s="9"/>
      <c r="D515" s="9"/>
      <c r="E515" s="56"/>
      <c r="F515" s="56"/>
      <c r="G515" s="56"/>
      <c r="H515" s="50"/>
      <c r="I515" s="54"/>
      <c r="J515" s="54"/>
      <c r="K515" s="54"/>
      <c r="L515" s="54"/>
      <c r="M515" s="54"/>
      <c r="N515" s="54"/>
      <c r="O515" s="54"/>
      <c r="P515" s="54"/>
      <c r="Q515" s="54"/>
      <c r="R515" s="54"/>
      <c r="S515" s="54"/>
      <c r="T515" s="54"/>
      <c r="U515" s="54"/>
      <c r="V515" s="54"/>
      <c r="W515" s="54"/>
      <c r="X515" s="54"/>
      <c r="Y515" s="54"/>
      <c r="Z515" s="54"/>
      <c r="AA515" s="54"/>
      <c r="AB515" s="54"/>
    </row>
    <row r="516">
      <c r="A516" s="57"/>
      <c r="B516" s="10" t="str">
        <f>IFERROR(VLOOKUP(C516,'Employees List'!$B$1:$G$999,4,0),"")</f>
        <v/>
      </c>
      <c r="C516" s="9"/>
      <c r="D516" s="9"/>
      <c r="E516" s="56"/>
      <c r="F516" s="56"/>
      <c r="G516" s="56"/>
      <c r="H516" s="50"/>
      <c r="I516" s="54"/>
      <c r="J516" s="54"/>
      <c r="K516" s="54"/>
      <c r="L516" s="54"/>
      <c r="M516" s="54"/>
      <c r="N516" s="54"/>
      <c r="O516" s="54"/>
      <c r="P516" s="54"/>
      <c r="Q516" s="54"/>
      <c r="R516" s="54"/>
      <c r="S516" s="54"/>
      <c r="T516" s="54"/>
      <c r="U516" s="54"/>
      <c r="V516" s="54"/>
      <c r="W516" s="54"/>
      <c r="X516" s="54"/>
      <c r="Y516" s="54"/>
      <c r="Z516" s="54"/>
      <c r="AA516" s="54"/>
      <c r="AB516" s="54"/>
    </row>
    <row r="517">
      <c r="A517" s="57"/>
      <c r="B517" s="10" t="str">
        <f>IFERROR(VLOOKUP(C517,'Employees List'!$B$1:$G$999,4,0),"")</f>
        <v/>
      </c>
      <c r="C517" s="9"/>
      <c r="D517" s="9"/>
      <c r="E517" s="56"/>
      <c r="F517" s="56"/>
      <c r="G517" s="56"/>
      <c r="H517" s="50"/>
      <c r="I517" s="54"/>
      <c r="J517" s="54"/>
      <c r="K517" s="54"/>
      <c r="L517" s="54"/>
      <c r="M517" s="54"/>
      <c r="N517" s="54"/>
      <c r="O517" s="54"/>
      <c r="P517" s="54"/>
      <c r="Q517" s="54"/>
      <c r="R517" s="54"/>
      <c r="S517" s="54"/>
      <c r="T517" s="54"/>
      <c r="U517" s="54"/>
      <c r="V517" s="54"/>
      <c r="W517" s="54"/>
      <c r="X517" s="54"/>
      <c r="Y517" s="54"/>
      <c r="Z517" s="54"/>
      <c r="AA517" s="54"/>
      <c r="AB517" s="54"/>
    </row>
    <row r="518">
      <c r="A518" s="57"/>
      <c r="B518" s="10" t="str">
        <f>IFERROR(VLOOKUP(C518,'Employees List'!$B$1:$G$999,4,0),"")</f>
        <v/>
      </c>
      <c r="C518" s="9"/>
      <c r="D518" s="9"/>
      <c r="E518" s="56"/>
      <c r="F518" s="56"/>
      <c r="G518" s="56"/>
      <c r="H518" s="50"/>
      <c r="I518" s="54"/>
      <c r="J518" s="54"/>
      <c r="K518" s="54"/>
      <c r="L518" s="54"/>
      <c r="M518" s="54"/>
      <c r="N518" s="54"/>
      <c r="O518" s="54"/>
      <c r="P518" s="54"/>
      <c r="Q518" s="54"/>
      <c r="R518" s="54"/>
      <c r="S518" s="54"/>
      <c r="T518" s="54"/>
      <c r="U518" s="54"/>
      <c r="V518" s="54"/>
      <c r="W518" s="54"/>
      <c r="X518" s="54"/>
      <c r="Y518" s="54"/>
      <c r="Z518" s="54"/>
      <c r="AA518" s="54"/>
      <c r="AB518" s="54"/>
    </row>
    <row r="519">
      <c r="A519" s="57"/>
      <c r="B519" s="10" t="str">
        <f>IFERROR(VLOOKUP(C519,'Employees List'!$B$1:$G$999,4,0),"")</f>
        <v/>
      </c>
      <c r="C519" s="9"/>
      <c r="D519" s="9"/>
      <c r="E519" s="56"/>
      <c r="F519" s="56"/>
      <c r="G519" s="56"/>
      <c r="H519" s="50"/>
      <c r="I519" s="54"/>
      <c r="J519" s="54"/>
      <c r="K519" s="54"/>
      <c r="L519" s="54"/>
      <c r="M519" s="54"/>
      <c r="N519" s="54"/>
      <c r="O519" s="54"/>
      <c r="P519" s="54"/>
      <c r="Q519" s="54"/>
      <c r="R519" s="54"/>
      <c r="S519" s="54"/>
      <c r="T519" s="54"/>
      <c r="U519" s="54"/>
      <c r="V519" s="54"/>
      <c r="W519" s="54"/>
      <c r="X519" s="54"/>
      <c r="Y519" s="54"/>
      <c r="Z519" s="54"/>
      <c r="AA519" s="54"/>
      <c r="AB519" s="54"/>
    </row>
    <row r="520">
      <c r="A520" s="57"/>
      <c r="B520" s="10" t="str">
        <f>IFERROR(VLOOKUP(C520,'Employees List'!$B$1:$G$999,4,0),"")</f>
        <v/>
      </c>
      <c r="C520" s="9"/>
      <c r="D520" s="9"/>
      <c r="E520" s="56"/>
      <c r="F520" s="56"/>
      <c r="G520" s="56"/>
      <c r="H520" s="50"/>
      <c r="I520" s="54"/>
      <c r="J520" s="54"/>
      <c r="K520" s="54"/>
      <c r="L520" s="54"/>
      <c r="M520" s="54"/>
      <c r="N520" s="54"/>
      <c r="O520" s="54"/>
      <c r="P520" s="54"/>
      <c r="Q520" s="54"/>
      <c r="R520" s="54"/>
      <c r="S520" s="54"/>
      <c r="T520" s="54"/>
      <c r="U520" s="54"/>
      <c r="V520" s="54"/>
      <c r="W520" s="54"/>
      <c r="X520" s="54"/>
      <c r="Y520" s="54"/>
      <c r="Z520" s="54"/>
      <c r="AA520" s="54"/>
      <c r="AB520" s="54"/>
    </row>
    <row r="521">
      <c r="A521" s="57"/>
      <c r="B521" s="10" t="str">
        <f>IFERROR(VLOOKUP(C521,'Employees List'!$B$1:$G$999,4,0),"")</f>
        <v/>
      </c>
      <c r="C521" s="9"/>
      <c r="D521" s="9"/>
      <c r="E521" s="56"/>
      <c r="F521" s="56"/>
      <c r="G521" s="56"/>
      <c r="H521" s="50"/>
      <c r="I521" s="54"/>
      <c r="J521" s="54"/>
      <c r="K521" s="54"/>
      <c r="L521" s="54"/>
      <c r="M521" s="54"/>
      <c r="N521" s="54"/>
      <c r="O521" s="54"/>
      <c r="P521" s="54"/>
      <c r="Q521" s="54"/>
      <c r="R521" s="54"/>
      <c r="S521" s="54"/>
      <c r="T521" s="54"/>
      <c r="U521" s="54"/>
      <c r="V521" s="54"/>
      <c r="W521" s="54"/>
      <c r="X521" s="54"/>
      <c r="Y521" s="54"/>
      <c r="Z521" s="54"/>
      <c r="AA521" s="54"/>
      <c r="AB521" s="54"/>
    </row>
    <row r="522">
      <c r="A522" s="57"/>
      <c r="B522" s="10" t="str">
        <f>IFERROR(VLOOKUP(C522,'Employees List'!$B$1:$G$999,4,0),"")</f>
        <v/>
      </c>
      <c r="C522" s="9"/>
      <c r="D522" s="9"/>
      <c r="E522" s="56"/>
      <c r="F522" s="56"/>
      <c r="G522" s="56"/>
      <c r="H522" s="50"/>
      <c r="I522" s="54"/>
      <c r="J522" s="54"/>
      <c r="K522" s="54"/>
      <c r="L522" s="54"/>
      <c r="M522" s="54"/>
      <c r="N522" s="54"/>
      <c r="O522" s="54"/>
      <c r="P522" s="54"/>
      <c r="Q522" s="54"/>
      <c r="R522" s="54"/>
      <c r="S522" s="54"/>
      <c r="T522" s="54"/>
      <c r="U522" s="54"/>
      <c r="V522" s="54"/>
      <c r="W522" s="54"/>
      <c r="X522" s="54"/>
      <c r="Y522" s="54"/>
      <c r="Z522" s="54"/>
      <c r="AA522" s="54"/>
      <c r="AB522" s="54"/>
    </row>
    <row r="523">
      <c r="A523" s="57"/>
      <c r="B523" s="10" t="str">
        <f>IFERROR(VLOOKUP(C523,'Employees List'!$B$1:$G$999,4,0),"")</f>
        <v/>
      </c>
      <c r="C523" s="9"/>
      <c r="D523" s="9"/>
      <c r="E523" s="56"/>
      <c r="F523" s="56"/>
      <c r="G523" s="56"/>
      <c r="H523" s="50"/>
      <c r="I523" s="54"/>
      <c r="J523" s="54"/>
      <c r="K523" s="54"/>
      <c r="L523" s="54"/>
      <c r="M523" s="54"/>
      <c r="N523" s="54"/>
      <c r="O523" s="54"/>
      <c r="P523" s="54"/>
      <c r="Q523" s="54"/>
      <c r="R523" s="54"/>
      <c r="S523" s="54"/>
      <c r="T523" s="54"/>
      <c r="U523" s="54"/>
      <c r="V523" s="54"/>
      <c r="W523" s="54"/>
      <c r="X523" s="54"/>
      <c r="Y523" s="54"/>
      <c r="Z523" s="54"/>
      <c r="AA523" s="54"/>
      <c r="AB523" s="54"/>
    </row>
    <row r="524">
      <c r="A524" s="57"/>
      <c r="B524" s="10" t="str">
        <f>IFERROR(VLOOKUP(C524,'Employees List'!$B$1:$G$999,4,0),"")</f>
        <v/>
      </c>
      <c r="C524" s="9"/>
      <c r="D524" s="9"/>
      <c r="E524" s="56"/>
      <c r="F524" s="56"/>
      <c r="G524" s="56"/>
      <c r="H524" s="50"/>
      <c r="I524" s="54"/>
      <c r="J524" s="54"/>
      <c r="K524" s="54"/>
      <c r="L524" s="54"/>
      <c r="M524" s="54"/>
      <c r="N524" s="54"/>
      <c r="O524" s="54"/>
      <c r="P524" s="54"/>
      <c r="Q524" s="54"/>
      <c r="R524" s="54"/>
      <c r="S524" s="54"/>
      <c r="T524" s="54"/>
      <c r="U524" s="54"/>
      <c r="V524" s="54"/>
      <c r="W524" s="54"/>
      <c r="X524" s="54"/>
      <c r="Y524" s="54"/>
      <c r="Z524" s="54"/>
      <c r="AA524" s="54"/>
      <c r="AB524" s="54"/>
    </row>
    <row r="525">
      <c r="A525" s="57"/>
      <c r="B525" s="10" t="str">
        <f>IFERROR(VLOOKUP(C525,'Employees List'!$B$1:$G$999,4,0),"")</f>
        <v/>
      </c>
      <c r="C525" s="9"/>
      <c r="D525" s="9"/>
      <c r="E525" s="56"/>
      <c r="F525" s="56"/>
      <c r="G525" s="56"/>
      <c r="H525" s="50"/>
      <c r="I525" s="54"/>
      <c r="J525" s="54"/>
      <c r="K525" s="54"/>
      <c r="L525" s="54"/>
      <c r="M525" s="54"/>
      <c r="N525" s="54"/>
      <c r="O525" s="54"/>
      <c r="P525" s="54"/>
      <c r="Q525" s="54"/>
      <c r="R525" s="54"/>
      <c r="S525" s="54"/>
      <c r="T525" s="54"/>
      <c r="U525" s="54"/>
      <c r="V525" s="54"/>
      <c r="W525" s="54"/>
      <c r="X525" s="54"/>
      <c r="Y525" s="54"/>
      <c r="Z525" s="54"/>
      <c r="AA525" s="54"/>
      <c r="AB525" s="54"/>
    </row>
    <row r="526">
      <c r="A526" s="57"/>
      <c r="B526" s="10" t="str">
        <f>IFERROR(VLOOKUP(C526,'Employees List'!$B$1:$G$999,4,0),"")</f>
        <v/>
      </c>
      <c r="C526" s="9"/>
      <c r="D526" s="9"/>
      <c r="E526" s="56"/>
      <c r="F526" s="56"/>
      <c r="G526" s="56"/>
      <c r="H526" s="50"/>
      <c r="I526" s="54"/>
      <c r="J526" s="54"/>
      <c r="K526" s="54"/>
      <c r="L526" s="54"/>
      <c r="M526" s="54"/>
      <c r="N526" s="54"/>
      <c r="O526" s="54"/>
      <c r="P526" s="54"/>
      <c r="Q526" s="54"/>
      <c r="R526" s="54"/>
      <c r="S526" s="54"/>
      <c r="T526" s="54"/>
      <c r="U526" s="54"/>
      <c r="V526" s="54"/>
      <c r="W526" s="54"/>
      <c r="X526" s="54"/>
      <c r="Y526" s="54"/>
      <c r="Z526" s="54"/>
      <c r="AA526" s="54"/>
      <c r="AB526" s="54"/>
    </row>
    <row r="527">
      <c r="A527" s="57"/>
      <c r="B527" s="10" t="str">
        <f>IFERROR(VLOOKUP(C527,'Employees List'!$B$1:$G$999,4,0),"")</f>
        <v/>
      </c>
      <c r="C527" s="9"/>
      <c r="D527" s="9"/>
      <c r="E527" s="56"/>
      <c r="F527" s="56"/>
      <c r="G527" s="56"/>
      <c r="H527" s="50"/>
      <c r="I527" s="54"/>
      <c r="J527" s="54"/>
      <c r="K527" s="54"/>
      <c r="L527" s="54"/>
      <c r="M527" s="54"/>
      <c r="N527" s="54"/>
      <c r="O527" s="54"/>
      <c r="P527" s="54"/>
      <c r="Q527" s="54"/>
      <c r="R527" s="54"/>
      <c r="S527" s="54"/>
      <c r="T527" s="54"/>
      <c r="U527" s="54"/>
      <c r="V527" s="54"/>
      <c r="W527" s="54"/>
      <c r="X527" s="54"/>
      <c r="Y527" s="54"/>
      <c r="Z527" s="54"/>
      <c r="AA527" s="54"/>
      <c r="AB527" s="54"/>
    </row>
    <row r="528">
      <c r="A528" s="57"/>
      <c r="B528" s="10" t="str">
        <f>IFERROR(VLOOKUP(C528,'Employees List'!$B$1:$G$999,4,0),"")</f>
        <v/>
      </c>
      <c r="C528" s="9"/>
      <c r="D528" s="9"/>
      <c r="E528" s="56"/>
      <c r="F528" s="56"/>
      <c r="G528" s="56"/>
      <c r="H528" s="50"/>
      <c r="I528" s="54"/>
      <c r="J528" s="54"/>
      <c r="K528" s="54"/>
      <c r="L528" s="54"/>
      <c r="M528" s="54"/>
      <c r="N528" s="54"/>
      <c r="O528" s="54"/>
      <c r="P528" s="54"/>
      <c r="Q528" s="54"/>
      <c r="R528" s="54"/>
      <c r="S528" s="54"/>
      <c r="T528" s="54"/>
      <c r="U528" s="54"/>
      <c r="V528" s="54"/>
      <c r="W528" s="54"/>
      <c r="X528" s="54"/>
      <c r="Y528" s="54"/>
      <c r="Z528" s="54"/>
      <c r="AA528" s="54"/>
      <c r="AB528" s="54"/>
    </row>
    <row r="529">
      <c r="A529" s="57"/>
      <c r="B529" s="10" t="str">
        <f>IFERROR(VLOOKUP(C529,'Employees List'!$B$1:$G$999,4,0),"")</f>
        <v/>
      </c>
      <c r="C529" s="9"/>
      <c r="D529" s="9"/>
      <c r="E529" s="56"/>
      <c r="F529" s="56"/>
      <c r="G529" s="56"/>
      <c r="H529" s="50"/>
      <c r="I529" s="54"/>
      <c r="J529" s="54"/>
      <c r="K529" s="54"/>
      <c r="L529" s="54"/>
      <c r="M529" s="54"/>
      <c r="N529" s="54"/>
      <c r="O529" s="54"/>
      <c r="P529" s="54"/>
      <c r="Q529" s="54"/>
      <c r="R529" s="54"/>
      <c r="S529" s="54"/>
      <c r="T529" s="54"/>
      <c r="U529" s="54"/>
      <c r="V529" s="54"/>
      <c r="W529" s="54"/>
      <c r="X529" s="54"/>
      <c r="Y529" s="54"/>
      <c r="Z529" s="54"/>
      <c r="AA529" s="54"/>
      <c r="AB529" s="54"/>
    </row>
    <row r="530">
      <c r="A530" s="57"/>
      <c r="B530" s="10" t="str">
        <f>IFERROR(VLOOKUP(C530,'Employees List'!$B$1:$G$999,4,0),"")</f>
        <v/>
      </c>
      <c r="C530" s="9"/>
      <c r="D530" s="9"/>
      <c r="E530" s="56"/>
      <c r="F530" s="56"/>
      <c r="G530" s="56"/>
      <c r="H530" s="50"/>
      <c r="I530" s="54"/>
      <c r="J530" s="54"/>
      <c r="K530" s="54"/>
      <c r="L530" s="54"/>
      <c r="M530" s="54"/>
      <c r="N530" s="54"/>
      <c r="O530" s="54"/>
      <c r="P530" s="54"/>
      <c r="Q530" s="54"/>
      <c r="R530" s="54"/>
      <c r="S530" s="54"/>
      <c r="T530" s="54"/>
      <c r="U530" s="54"/>
      <c r="V530" s="54"/>
      <c r="W530" s="54"/>
      <c r="X530" s="54"/>
      <c r="Y530" s="54"/>
      <c r="Z530" s="54"/>
      <c r="AA530" s="54"/>
      <c r="AB530" s="54"/>
    </row>
    <row r="531">
      <c r="A531" s="57"/>
      <c r="B531" s="10" t="str">
        <f>IFERROR(VLOOKUP(C531,'Employees List'!$B$1:$G$999,4,0),"")</f>
        <v/>
      </c>
      <c r="C531" s="9"/>
      <c r="D531" s="9"/>
      <c r="E531" s="56"/>
      <c r="F531" s="56"/>
      <c r="G531" s="56"/>
      <c r="H531" s="50"/>
      <c r="I531" s="54"/>
      <c r="J531" s="54"/>
      <c r="K531" s="54"/>
      <c r="L531" s="54"/>
      <c r="M531" s="54"/>
      <c r="N531" s="54"/>
      <c r="O531" s="54"/>
      <c r="P531" s="54"/>
      <c r="Q531" s="54"/>
      <c r="R531" s="54"/>
      <c r="S531" s="54"/>
      <c r="T531" s="54"/>
      <c r="U531" s="54"/>
      <c r="V531" s="54"/>
      <c r="W531" s="54"/>
      <c r="X531" s="54"/>
      <c r="Y531" s="54"/>
      <c r="Z531" s="54"/>
      <c r="AA531" s="54"/>
      <c r="AB531" s="54"/>
    </row>
    <row r="532">
      <c r="A532" s="57"/>
      <c r="B532" s="10" t="str">
        <f>IFERROR(VLOOKUP(C532,'Employees List'!$B$1:$G$999,4,0),"")</f>
        <v/>
      </c>
      <c r="C532" s="9"/>
      <c r="D532" s="9"/>
      <c r="E532" s="56"/>
      <c r="F532" s="56"/>
      <c r="G532" s="56"/>
      <c r="H532" s="50"/>
      <c r="I532" s="54"/>
      <c r="J532" s="54"/>
      <c r="K532" s="54"/>
      <c r="L532" s="54"/>
      <c r="M532" s="54"/>
      <c r="N532" s="54"/>
      <c r="O532" s="54"/>
      <c r="P532" s="54"/>
      <c r="Q532" s="54"/>
      <c r="R532" s="54"/>
      <c r="S532" s="54"/>
      <c r="T532" s="54"/>
      <c r="U532" s="54"/>
      <c r="V532" s="54"/>
      <c r="W532" s="54"/>
      <c r="X532" s="54"/>
      <c r="Y532" s="54"/>
      <c r="Z532" s="54"/>
      <c r="AA532" s="54"/>
      <c r="AB532" s="54"/>
    </row>
    <row r="533">
      <c r="A533" s="57"/>
      <c r="B533" s="10" t="str">
        <f>IFERROR(VLOOKUP(C533,'Employees List'!$B$1:$G$999,4,0),"")</f>
        <v/>
      </c>
      <c r="C533" s="9"/>
      <c r="D533" s="9"/>
      <c r="E533" s="56"/>
      <c r="F533" s="56"/>
      <c r="G533" s="56"/>
      <c r="H533" s="50"/>
      <c r="I533" s="54"/>
      <c r="J533" s="54"/>
      <c r="K533" s="54"/>
      <c r="L533" s="54"/>
      <c r="M533" s="54"/>
      <c r="N533" s="54"/>
      <c r="O533" s="54"/>
      <c r="P533" s="54"/>
      <c r="Q533" s="54"/>
      <c r="R533" s="54"/>
      <c r="S533" s="54"/>
      <c r="T533" s="54"/>
      <c r="U533" s="54"/>
      <c r="V533" s="54"/>
      <c r="W533" s="54"/>
      <c r="X533" s="54"/>
      <c r="Y533" s="54"/>
      <c r="Z533" s="54"/>
      <c r="AA533" s="54"/>
      <c r="AB533" s="54"/>
    </row>
    <row r="534">
      <c r="A534" s="57"/>
      <c r="B534" s="10" t="str">
        <f>IFERROR(VLOOKUP(C534,'Employees List'!$B$1:$G$999,4,0),"")</f>
        <v/>
      </c>
      <c r="C534" s="9"/>
      <c r="D534" s="9"/>
      <c r="E534" s="56"/>
      <c r="F534" s="56"/>
      <c r="G534" s="56"/>
      <c r="H534" s="50"/>
      <c r="I534" s="54"/>
      <c r="J534" s="54"/>
      <c r="K534" s="54"/>
      <c r="L534" s="54"/>
      <c r="M534" s="54"/>
      <c r="N534" s="54"/>
      <c r="O534" s="54"/>
      <c r="P534" s="54"/>
      <c r="Q534" s="54"/>
      <c r="R534" s="54"/>
      <c r="S534" s="54"/>
      <c r="T534" s="54"/>
      <c r="U534" s="54"/>
      <c r="V534" s="54"/>
      <c r="W534" s="54"/>
      <c r="X534" s="54"/>
      <c r="Y534" s="54"/>
      <c r="Z534" s="54"/>
      <c r="AA534" s="54"/>
      <c r="AB534" s="54"/>
    </row>
    <row r="535">
      <c r="A535" s="57"/>
      <c r="B535" s="10" t="str">
        <f>IFERROR(VLOOKUP(C535,'Employees List'!$B$1:$G$999,4,0),"")</f>
        <v/>
      </c>
      <c r="C535" s="9"/>
      <c r="D535" s="9"/>
      <c r="E535" s="56"/>
      <c r="F535" s="56"/>
      <c r="G535" s="56"/>
      <c r="H535" s="50"/>
      <c r="I535" s="54"/>
      <c r="J535" s="54"/>
      <c r="K535" s="54"/>
      <c r="L535" s="54"/>
      <c r="M535" s="54"/>
      <c r="N535" s="54"/>
      <c r="O535" s="54"/>
      <c r="P535" s="54"/>
      <c r="Q535" s="54"/>
      <c r="R535" s="54"/>
      <c r="S535" s="54"/>
      <c r="T535" s="54"/>
      <c r="U535" s="54"/>
      <c r="V535" s="54"/>
      <c r="W535" s="54"/>
      <c r="X535" s="54"/>
      <c r="Y535" s="54"/>
      <c r="Z535" s="54"/>
      <c r="AA535" s="54"/>
      <c r="AB535" s="54"/>
    </row>
    <row r="536">
      <c r="A536" s="57"/>
      <c r="B536" s="10" t="str">
        <f>IFERROR(VLOOKUP(C536,'Employees List'!$B$1:$G$999,4,0),"")</f>
        <v/>
      </c>
      <c r="C536" s="9"/>
      <c r="D536" s="9"/>
      <c r="E536" s="56"/>
      <c r="F536" s="56"/>
      <c r="G536" s="56"/>
      <c r="H536" s="50"/>
      <c r="I536" s="54"/>
      <c r="J536" s="54"/>
      <c r="K536" s="54"/>
      <c r="L536" s="54"/>
      <c r="M536" s="54"/>
      <c r="N536" s="54"/>
      <c r="O536" s="54"/>
      <c r="P536" s="54"/>
      <c r="Q536" s="54"/>
      <c r="R536" s="54"/>
      <c r="S536" s="54"/>
      <c r="T536" s="54"/>
      <c r="U536" s="54"/>
      <c r="V536" s="54"/>
      <c r="W536" s="54"/>
      <c r="X536" s="54"/>
      <c r="Y536" s="54"/>
      <c r="Z536" s="54"/>
      <c r="AA536" s="54"/>
      <c r="AB536" s="54"/>
    </row>
    <row r="537">
      <c r="A537" s="57"/>
      <c r="B537" s="10" t="str">
        <f>IFERROR(VLOOKUP(C537,'Employees List'!$B$1:$G$999,4,0),"")</f>
        <v/>
      </c>
      <c r="C537" s="9"/>
      <c r="D537" s="9"/>
      <c r="E537" s="56"/>
      <c r="F537" s="56"/>
      <c r="G537" s="56"/>
      <c r="H537" s="50"/>
      <c r="I537" s="54"/>
      <c r="J537" s="54"/>
      <c r="K537" s="54"/>
      <c r="L537" s="54"/>
      <c r="M537" s="54"/>
      <c r="N537" s="54"/>
      <c r="O537" s="54"/>
      <c r="P537" s="54"/>
      <c r="Q537" s="54"/>
      <c r="R537" s="54"/>
      <c r="S537" s="54"/>
      <c r="T537" s="54"/>
      <c r="U537" s="54"/>
      <c r="V537" s="54"/>
      <c r="W537" s="54"/>
      <c r="X537" s="54"/>
      <c r="Y537" s="54"/>
      <c r="Z537" s="54"/>
      <c r="AA537" s="54"/>
      <c r="AB537" s="54"/>
    </row>
    <row r="538">
      <c r="A538" s="57"/>
      <c r="B538" s="10" t="str">
        <f>IFERROR(VLOOKUP(C538,'Employees List'!$B$1:$G$999,4,0),"")</f>
        <v/>
      </c>
      <c r="C538" s="9"/>
      <c r="D538" s="9"/>
      <c r="E538" s="56"/>
      <c r="F538" s="56"/>
      <c r="G538" s="56"/>
      <c r="H538" s="50"/>
      <c r="I538" s="54"/>
      <c r="J538" s="54"/>
      <c r="K538" s="54"/>
      <c r="L538" s="54"/>
      <c r="M538" s="54"/>
      <c r="N538" s="54"/>
      <c r="O538" s="54"/>
      <c r="P538" s="54"/>
      <c r="Q538" s="54"/>
      <c r="R538" s="54"/>
      <c r="S538" s="54"/>
      <c r="T538" s="54"/>
      <c r="U538" s="54"/>
      <c r="V538" s="54"/>
      <c r="W538" s="54"/>
      <c r="X538" s="54"/>
      <c r="Y538" s="54"/>
      <c r="Z538" s="54"/>
      <c r="AA538" s="54"/>
      <c r="AB538" s="54"/>
    </row>
    <row r="539">
      <c r="A539" s="57"/>
      <c r="B539" s="10" t="str">
        <f>IFERROR(VLOOKUP(C539,'Employees List'!$B$1:$G$999,4,0),"")</f>
        <v/>
      </c>
      <c r="C539" s="9"/>
      <c r="D539" s="9"/>
      <c r="E539" s="56"/>
      <c r="F539" s="56"/>
      <c r="G539" s="56"/>
      <c r="H539" s="50"/>
      <c r="I539" s="54"/>
      <c r="J539" s="54"/>
      <c r="K539" s="54"/>
      <c r="L539" s="54"/>
      <c r="M539" s="54"/>
      <c r="N539" s="54"/>
      <c r="O539" s="54"/>
      <c r="P539" s="54"/>
      <c r="Q539" s="54"/>
      <c r="R539" s="54"/>
      <c r="S539" s="54"/>
      <c r="T539" s="54"/>
      <c r="U539" s="54"/>
      <c r="V539" s="54"/>
      <c r="W539" s="54"/>
      <c r="X539" s="54"/>
      <c r="Y539" s="54"/>
      <c r="Z539" s="54"/>
      <c r="AA539" s="54"/>
      <c r="AB539" s="54"/>
    </row>
    <row r="540">
      <c r="A540" s="57"/>
      <c r="B540" s="10" t="str">
        <f>IFERROR(VLOOKUP(C540,'Employees List'!$B$1:$G$999,4,0),"")</f>
        <v/>
      </c>
      <c r="C540" s="9"/>
      <c r="D540" s="9"/>
      <c r="E540" s="56"/>
      <c r="F540" s="56"/>
      <c r="G540" s="56"/>
      <c r="H540" s="50"/>
      <c r="I540" s="54"/>
      <c r="J540" s="54"/>
      <c r="K540" s="54"/>
      <c r="L540" s="54"/>
      <c r="M540" s="54"/>
      <c r="N540" s="54"/>
      <c r="O540" s="54"/>
      <c r="P540" s="54"/>
      <c r="Q540" s="54"/>
      <c r="R540" s="54"/>
      <c r="S540" s="54"/>
      <c r="T540" s="54"/>
      <c r="U540" s="54"/>
      <c r="V540" s="54"/>
      <c r="W540" s="54"/>
      <c r="X540" s="54"/>
      <c r="Y540" s="54"/>
      <c r="Z540" s="54"/>
      <c r="AA540" s="54"/>
      <c r="AB540" s="54"/>
    </row>
    <row r="541">
      <c r="A541" s="57"/>
      <c r="B541" s="10" t="str">
        <f>IFERROR(VLOOKUP(C541,'Employees List'!$B$1:$G$999,4,0),"")</f>
        <v/>
      </c>
      <c r="C541" s="9"/>
      <c r="D541" s="9"/>
      <c r="E541" s="56"/>
      <c r="F541" s="56"/>
      <c r="G541" s="56"/>
      <c r="H541" s="50"/>
      <c r="I541" s="54"/>
      <c r="J541" s="54"/>
      <c r="K541" s="54"/>
      <c r="L541" s="54"/>
      <c r="M541" s="54"/>
      <c r="N541" s="54"/>
      <c r="O541" s="54"/>
      <c r="P541" s="54"/>
      <c r="Q541" s="54"/>
      <c r="R541" s="54"/>
      <c r="S541" s="54"/>
      <c r="T541" s="54"/>
      <c r="U541" s="54"/>
      <c r="V541" s="54"/>
      <c r="W541" s="54"/>
      <c r="X541" s="54"/>
      <c r="Y541" s="54"/>
      <c r="Z541" s="54"/>
      <c r="AA541" s="54"/>
      <c r="AB541" s="54"/>
    </row>
    <row r="542">
      <c r="A542" s="57"/>
      <c r="B542" s="10" t="str">
        <f>IFERROR(VLOOKUP(C542,'Employees List'!$B$1:$G$999,4,0),"")</f>
        <v/>
      </c>
      <c r="C542" s="9"/>
      <c r="D542" s="9"/>
      <c r="E542" s="56"/>
      <c r="F542" s="56"/>
      <c r="G542" s="56"/>
      <c r="H542" s="50"/>
      <c r="I542" s="54"/>
      <c r="J542" s="54"/>
      <c r="K542" s="54"/>
      <c r="L542" s="54"/>
      <c r="M542" s="54"/>
      <c r="N542" s="54"/>
      <c r="O542" s="54"/>
      <c r="P542" s="54"/>
      <c r="Q542" s="54"/>
      <c r="R542" s="54"/>
      <c r="S542" s="54"/>
      <c r="T542" s="54"/>
      <c r="U542" s="54"/>
      <c r="V542" s="54"/>
      <c r="W542" s="54"/>
      <c r="X542" s="54"/>
      <c r="Y542" s="54"/>
      <c r="Z542" s="54"/>
      <c r="AA542" s="54"/>
      <c r="AB542" s="54"/>
    </row>
    <row r="543">
      <c r="A543" s="57"/>
      <c r="B543" s="10" t="str">
        <f>IFERROR(VLOOKUP(C543,'Employees List'!$B$1:$G$999,4,0),"")</f>
        <v/>
      </c>
      <c r="C543" s="9"/>
      <c r="D543" s="9"/>
      <c r="E543" s="56"/>
      <c r="F543" s="56"/>
      <c r="G543" s="56"/>
      <c r="H543" s="50"/>
      <c r="I543" s="54"/>
      <c r="J543" s="54"/>
      <c r="K543" s="54"/>
      <c r="L543" s="54"/>
      <c r="M543" s="54"/>
      <c r="N543" s="54"/>
      <c r="O543" s="54"/>
      <c r="P543" s="54"/>
      <c r="Q543" s="54"/>
      <c r="R543" s="54"/>
      <c r="S543" s="54"/>
      <c r="T543" s="54"/>
      <c r="U543" s="54"/>
      <c r="V543" s="54"/>
      <c r="W543" s="54"/>
      <c r="X543" s="54"/>
      <c r="Y543" s="54"/>
      <c r="Z543" s="54"/>
      <c r="AA543" s="54"/>
      <c r="AB543" s="54"/>
    </row>
    <row r="544">
      <c r="A544" s="57"/>
      <c r="B544" s="10" t="str">
        <f>IFERROR(VLOOKUP(C544,'Employees List'!$B$1:$G$999,4,0),"")</f>
        <v/>
      </c>
      <c r="C544" s="9"/>
      <c r="D544" s="9"/>
      <c r="E544" s="56"/>
      <c r="F544" s="56"/>
      <c r="G544" s="56"/>
      <c r="H544" s="50"/>
      <c r="I544" s="54"/>
      <c r="J544" s="54"/>
      <c r="K544" s="54"/>
      <c r="L544" s="54"/>
      <c r="M544" s="54"/>
      <c r="N544" s="54"/>
      <c r="O544" s="54"/>
      <c r="P544" s="54"/>
      <c r="Q544" s="54"/>
      <c r="R544" s="54"/>
      <c r="S544" s="54"/>
      <c r="T544" s="54"/>
      <c r="U544" s="54"/>
      <c r="V544" s="54"/>
      <c r="W544" s="54"/>
      <c r="X544" s="54"/>
      <c r="Y544" s="54"/>
      <c r="Z544" s="54"/>
      <c r="AA544" s="54"/>
      <c r="AB544" s="54"/>
    </row>
    <row r="545">
      <c r="A545" s="57"/>
      <c r="B545" s="10" t="str">
        <f>IFERROR(VLOOKUP(C545,'Employees List'!$B$1:$G$999,4,0),"")</f>
        <v/>
      </c>
      <c r="C545" s="9"/>
      <c r="D545" s="9"/>
      <c r="E545" s="56"/>
      <c r="F545" s="56"/>
      <c r="G545" s="56"/>
      <c r="H545" s="50"/>
      <c r="I545" s="54"/>
      <c r="J545" s="54"/>
      <c r="K545" s="54"/>
      <c r="L545" s="54"/>
      <c r="M545" s="54"/>
      <c r="N545" s="54"/>
      <c r="O545" s="54"/>
      <c r="P545" s="54"/>
      <c r="Q545" s="54"/>
      <c r="R545" s="54"/>
      <c r="S545" s="54"/>
      <c r="T545" s="54"/>
      <c r="U545" s="54"/>
      <c r="V545" s="54"/>
      <c r="W545" s="54"/>
      <c r="X545" s="54"/>
      <c r="Y545" s="54"/>
      <c r="Z545" s="54"/>
      <c r="AA545" s="54"/>
      <c r="AB545" s="54"/>
    </row>
    <row r="546">
      <c r="A546" s="57"/>
      <c r="B546" s="10" t="str">
        <f>IFERROR(VLOOKUP(C546,'Employees List'!$B$1:$G$999,4,0),"")</f>
        <v/>
      </c>
      <c r="C546" s="9"/>
      <c r="D546" s="9"/>
      <c r="E546" s="56"/>
      <c r="F546" s="56"/>
      <c r="G546" s="56"/>
      <c r="H546" s="50"/>
      <c r="I546" s="54"/>
      <c r="J546" s="54"/>
      <c r="K546" s="54"/>
      <c r="L546" s="54"/>
      <c r="M546" s="54"/>
      <c r="N546" s="54"/>
      <c r="O546" s="54"/>
      <c r="P546" s="54"/>
      <c r="Q546" s="54"/>
      <c r="R546" s="54"/>
      <c r="S546" s="54"/>
      <c r="T546" s="54"/>
      <c r="U546" s="54"/>
      <c r="V546" s="54"/>
      <c r="W546" s="54"/>
      <c r="X546" s="54"/>
      <c r="Y546" s="54"/>
      <c r="Z546" s="54"/>
      <c r="AA546" s="54"/>
      <c r="AB546" s="54"/>
    </row>
    <row r="547">
      <c r="A547" s="57"/>
      <c r="B547" s="10" t="str">
        <f>IFERROR(VLOOKUP(C547,'Employees List'!$B$1:$G$999,4,0),"")</f>
        <v/>
      </c>
      <c r="C547" s="9"/>
      <c r="D547" s="9"/>
      <c r="E547" s="56"/>
      <c r="F547" s="56"/>
      <c r="G547" s="56"/>
      <c r="H547" s="50"/>
      <c r="I547" s="54"/>
      <c r="J547" s="54"/>
      <c r="K547" s="54"/>
      <c r="L547" s="54"/>
      <c r="M547" s="54"/>
      <c r="N547" s="54"/>
      <c r="O547" s="54"/>
      <c r="P547" s="54"/>
      <c r="Q547" s="54"/>
      <c r="R547" s="54"/>
      <c r="S547" s="54"/>
      <c r="T547" s="54"/>
      <c r="U547" s="54"/>
      <c r="V547" s="54"/>
      <c r="W547" s="54"/>
      <c r="X547" s="54"/>
      <c r="Y547" s="54"/>
      <c r="Z547" s="54"/>
      <c r="AA547" s="54"/>
      <c r="AB547" s="54"/>
    </row>
    <row r="548">
      <c r="A548" s="57"/>
      <c r="B548" s="10" t="str">
        <f>IFERROR(VLOOKUP(C548,'Employees List'!$B$1:$G$999,4,0),"")</f>
        <v/>
      </c>
      <c r="C548" s="9"/>
      <c r="D548" s="9"/>
      <c r="E548" s="56"/>
      <c r="F548" s="56"/>
      <c r="G548" s="56"/>
      <c r="H548" s="50"/>
      <c r="I548" s="54"/>
      <c r="J548" s="54"/>
      <c r="K548" s="54"/>
      <c r="L548" s="54"/>
      <c r="M548" s="54"/>
      <c r="N548" s="54"/>
      <c r="O548" s="54"/>
      <c r="P548" s="54"/>
      <c r="Q548" s="54"/>
      <c r="R548" s="54"/>
      <c r="S548" s="54"/>
      <c r="T548" s="54"/>
      <c r="U548" s="54"/>
      <c r="V548" s="54"/>
      <c r="W548" s="54"/>
      <c r="X548" s="54"/>
      <c r="Y548" s="54"/>
      <c r="Z548" s="54"/>
      <c r="AA548" s="54"/>
      <c r="AB548" s="54"/>
    </row>
    <row r="549">
      <c r="A549" s="57"/>
      <c r="B549" s="10" t="str">
        <f>IFERROR(VLOOKUP(C549,'Employees List'!$B$1:$G$999,4,0),"")</f>
        <v/>
      </c>
      <c r="C549" s="9"/>
      <c r="D549" s="9"/>
      <c r="E549" s="56"/>
      <c r="F549" s="56"/>
      <c r="G549" s="56"/>
      <c r="H549" s="50"/>
      <c r="I549" s="54"/>
      <c r="J549" s="54"/>
      <c r="K549" s="54"/>
      <c r="L549" s="54"/>
      <c r="M549" s="54"/>
      <c r="N549" s="54"/>
      <c r="O549" s="54"/>
      <c r="P549" s="54"/>
      <c r="Q549" s="54"/>
      <c r="R549" s="54"/>
      <c r="S549" s="54"/>
      <c r="T549" s="54"/>
      <c r="U549" s="54"/>
      <c r="V549" s="54"/>
      <c r="W549" s="54"/>
      <c r="X549" s="54"/>
      <c r="Y549" s="54"/>
      <c r="Z549" s="54"/>
      <c r="AA549" s="54"/>
      <c r="AB549" s="54"/>
    </row>
    <row r="550">
      <c r="A550" s="57"/>
      <c r="B550" s="10" t="str">
        <f>IFERROR(VLOOKUP(C550,'Employees List'!$B$1:$G$999,4,0),"")</f>
        <v/>
      </c>
      <c r="C550" s="9"/>
      <c r="D550" s="9"/>
      <c r="E550" s="56"/>
      <c r="F550" s="56"/>
      <c r="G550" s="56"/>
      <c r="H550" s="50"/>
      <c r="I550" s="54"/>
      <c r="J550" s="54"/>
      <c r="K550" s="54"/>
      <c r="L550" s="54"/>
      <c r="M550" s="54"/>
      <c r="N550" s="54"/>
      <c r="O550" s="54"/>
      <c r="P550" s="54"/>
      <c r="Q550" s="54"/>
      <c r="R550" s="54"/>
      <c r="S550" s="54"/>
      <c r="T550" s="54"/>
      <c r="U550" s="54"/>
      <c r="V550" s="54"/>
      <c r="W550" s="54"/>
      <c r="X550" s="54"/>
      <c r="Y550" s="54"/>
      <c r="Z550" s="54"/>
      <c r="AA550" s="54"/>
      <c r="AB550" s="54"/>
    </row>
    <row r="551">
      <c r="A551" s="57"/>
      <c r="B551" s="10" t="str">
        <f>IFERROR(VLOOKUP(C551,'Employees List'!$B$1:$G$999,4,0),"")</f>
        <v/>
      </c>
      <c r="C551" s="9"/>
      <c r="D551" s="9"/>
      <c r="E551" s="56"/>
      <c r="F551" s="56"/>
      <c r="G551" s="56"/>
      <c r="H551" s="50"/>
      <c r="I551" s="54"/>
      <c r="J551" s="54"/>
      <c r="K551" s="54"/>
      <c r="L551" s="54"/>
      <c r="M551" s="54"/>
      <c r="N551" s="54"/>
      <c r="O551" s="54"/>
      <c r="P551" s="54"/>
      <c r="Q551" s="54"/>
      <c r="R551" s="54"/>
      <c r="S551" s="54"/>
      <c r="T551" s="54"/>
      <c r="U551" s="54"/>
      <c r="V551" s="54"/>
      <c r="W551" s="54"/>
      <c r="X551" s="54"/>
      <c r="Y551" s="54"/>
      <c r="Z551" s="54"/>
      <c r="AA551" s="54"/>
      <c r="AB551" s="54"/>
    </row>
    <row r="552">
      <c r="A552" s="57"/>
      <c r="B552" s="10" t="str">
        <f>IFERROR(VLOOKUP(C552,'Employees List'!$B$1:$G$999,4,0),"")</f>
        <v/>
      </c>
      <c r="C552" s="9"/>
      <c r="D552" s="9"/>
      <c r="E552" s="56"/>
      <c r="F552" s="56"/>
      <c r="G552" s="56"/>
      <c r="H552" s="50"/>
      <c r="I552" s="54"/>
      <c r="J552" s="54"/>
      <c r="K552" s="54"/>
      <c r="L552" s="54"/>
      <c r="M552" s="54"/>
      <c r="N552" s="54"/>
      <c r="O552" s="54"/>
      <c r="P552" s="54"/>
      <c r="Q552" s="54"/>
      <c r="R552" s="54"/>
      <c r="S552" s="54"/>
      <c r="T552" s="54"/>
      <c r="U552" s="54"/>
      <c r="V552" s="54"/>
      <c r="W552" s="54"/>
      <c r="X552" s="54"/>
      <c r="Y552" s="54"/>
      <c r="Z552" s="54"/>
      <c r="AA552" s="54"/>
      <c r="AB552" s="54"/>
    </row>
    <row r="553">
      <c r="A553" s="57"/>
      <c r="B553" s="10" t="str">
        <f>IFERROR(VLOOKUP(C553,'Employees List'!$B$1:$G$999,4,0),"")</f>
        <v/>
      </c>
      <c r="C553" s="9"/>
      <c r="D553" s="9"/>
      <c r="E553" s="56"/>
      <c r="F553" s="56"/>
      <c r="G553" s="56"/>
      <c r="H553" s="50"/>
      <c r="I553" s="54"/>
      <c r="J553" s="54"/>
      <c r="K553" s="54"/>
      <c r="L553" s="54"/>
      <c r="M553" s="54"/>
      <c r="N553" s="54"/>
      <c r="O553" s="54"/>
      <c r="P553" s="54"/>
      <c r="Q553" s="54"/>
      <c r="R553" s="54"/>
      <c r="S553" s="54"/>
      <c r="T553" s="54"/>
      <c r="U553" s="54"/>
      <c r="V553" s="54"/>
      <c r="W553" s="54"/>
      <c r="X553" s="54"/>
      <c r="Y553" s="54"/>
      <c r="Z553" s="54"/>
      <c r="AA553" s="54"/>
      <c r="AB553" s="54"/>
    </row>
    <row r="554">
      <c r="A554" s="57"/>
      <c r="B554" s="10" t="str">
        <f>IFERROR(VLOOKUP(C554,'Employees List'!$B$1:$G$999,4,0),"")</f>
        <v/>
      </c>
      <c r="C554" s="9"/>
      <c r="D554" s="9"/>
      <c r="E554" s="56"/>
      <c r="F554" s="56"/>
      <c r="G554" s="56"/>
      <c r="H554" s="50"/>
      <c r="I554" s="54"/>
      <c r="J554" s="54"/>
      <c r="K554" s="54"/>
      <c r="L554" s="54"/>
      <c r="M554" s="54"/>
      <c r="N554" s="54"/>
      <c r="O554" s="54"/>
      <c r="P554" s="54"/>
      <c r="Q554" s="54"/>
      <c r="R554" s="54"/>
      <c r="S554" s="54"/>
      <c r="T554" s="54"/>
      <c r="U554" s="54"/>
      <c r="V554" s="54"/>
      <c r="W554" s="54"/>
      <c r="X554" s="54"/>
      <c r="Y554" s="54"/>
      <c r="Z554" s="54"/>
      <c r="AA554" s="54"/>
      <c r="AB554" s="54"/>
    </row>
    <row r="555">
      <c r="A555" s="57"/>
      <c r="B555" s="10" t="str">
        <f>IFERROR(VLOOKUP(C555,'Employees List'!$B$1:$G$999,4,0),"")</f>
        <v/>
      </c>
      <c r="C555" s="9"/>
      <c r="D555" s="9"/>
      <c r="E555" s="56"/>
      <c r="F555" s="56"/>
      <c r="G555" s="56"/>
      <c r="H555" s="50"/>
      <c r="I555" s="54"/>
      <c r="J555" s="54"/>
      <c r="K555" s="54"/>
      <c r="L555" s="54"/>
      <c r="M555" s="54"/>
      <c r="N555" s="54"/>
      <c r="O555" s="54"/>
      <c r="P555" s="54"/>
      <c r="Q555" s="54"/>
      <c r="R555" s="54"/>
      <c r="S555" s="54"/>
      <c r="T555" s="54"/>
      <c r="U555" s="54"/>
      <c r="V555" s="54"/>
      <c r="W555" s="54"/>
      <c r="X555" s="54"/>
      <c r="Y555" s="54"/>
      <c r="Z555" s="54"/>
      <c r="AA555" s="54"/>
      <c r="AB555" s="54"/>
    </row>
    <row r="556">
      <c r="A556" s="57"/>
      <c r="B556" s="10" t="str">
        <f>IFERROR(VLOOKUP(C556,'Employees List'!$B$1:$G$999,4,0),"")</f>
        <v/>
      </c>
      <c r="C556" s="9"/>
      <c r="D556" s="9"/>
      <c r="E556" s="56"/>
      <c r="F556" s="56"/>
      <c r="G556" s="56"/>
      <c r="H556" s="50"/>
      <c r="I556" s="54"/>
      <c r="J556" s="54"/>
      <c r="K556" s="54"/>
      <c r="L556" s="54"/>
      <c r="M556" s="54"/>
      <c r="N556" s="54"/>
      <c r="O556" s="54"/>
      <c r="P556" s="54"/>
      <c r="Q556" s="54"/>
      <c r="R556" s="54"/>
      <c r="S556" s="54"/>
      <c r="T556" s="54"/>
      <c r="U556" s="54"/>
      <c r="V556" s="54"/>
      <c r="W556" s="54"/>
      <c r="X556" s="54"/>
      <c r="Y556" s="54"/>
      <c r="Z556" s="54"/>
      <c r="AA556" s="54"/>
      <c r="AB556" s="54"/>
    </row>
    <row r="557">
      <c r="A557" s="57"/>
      <c r="B557" s="10" t="str">
        <f>IFERROR(VLOOKUP(C557,'Employees List'!$B$1:$G$999,4,0),"")</f>
        <v/>
      </c>
      <c r="C557" s="9"/>
      <c r="D557" s="9"/>
      <c r="E557" s="56"/>
      <c r="F557" s="56"/>
      <c r="G557" s="56"/>
      <c r="H557" s="50"/>
      <c r="I557" s="54"/>
      <c r="J557" s="54"/>
      <c r="K557" s="54"/>
      <c r="L557" s="54"/>
      <c r="M557" s="54"/>
      <c r="N557" s="54"/>
      <c r="O557" s="54"/>
      <c r="P557" s="54"/>
      <c r="Q557" s="54"/>
      <c r="R557" s="54"/>
      <c r="S557" s="54"/>
      <c r="T557" s="54"/>
      <c r="U557" s="54"/>
      <c r="V557" s="54"/>
      <c r="W557" s="54"/>
      <c r="X557" s="54"/>
      <c r="Y557" s="54"/>
      <c r="Z557" s="54"/>
      <c r="AA557" s="54"/>
      <c r="AB557" s="54"/>
    </row>
    <row r="558">
      <c r="A558" s="57"/>
      <c r="B558" s="10" t="str">
        <f>IFERROR(VLOOKUP(C558,'Employees List'!$B$1:$G$999,4,0),"")</f>
        <v/>
      </c>
      <c r="C558" s="9"/>
      <c r="D558" s="9"/>
      <c r="E558" s="56"/>
      <c r="F558" s="56"/>
      <c r="G558" s="56"/>
      <c r="H558" s="50"/>
      <c r="I558" s="54"/>
      <c r="J558" s="54"/>
      <c r="K558" s="54"/>
      <c r="L558" s="54"/>
      <c r="M558" s="54"/>
      <c r="N558" s="54"/>
      <c r="O558" s="54"/>
      <c r="P558" s="54"/>
      <c r="Q558" s="54"/>
      <c r="R558" s="54"/>
      <c r="S558" s="54"/>
      <c r="T558" s="54"/>
      <c r="U558" s="54"/>
      <c r="V558" s="54"/>
      <c r="W558" s="54"/>
      <c r="X558" s="54"/>
      <c r="Y558" s="54"/>
      <c r="Z558" s="54"/>
      <c r="AA558" s="54"/>
      <c r="AB558" s="54"/>
    </row>
    <row r="559">
      <c r="A559" s="57"/>
      <c r="B559" s="10" t="str">
        <f>IFERROR(VLOOKUP(C559,'Employees List'!$B$1:$G$999,4,0),"")</f>
        <v/>
      </c>
      <c r="C559" s="9"/>
      <c r="D559" s="9"/>
      <c r="E559" s="56"/>
      <c r="F559" s="56"/>
      <c r="G559" s="56"/>
      <c r="H559" s="50"/>
      <c r="I559" s="54"/>
      <c r="J559" s="54"/>
      <c r="K559" s="54"/>
      <c r="L559" s="54"/>
      <c r="M559" s="54"/>
      <c r="N559" s="54"/>
      <c r="O559" s="54"/>
      <c r="P559" s="54"/>
      <c r="Q559" s="54"/>
      <c r="R559" s="54"/>
      <c r="S559" s="54"/>
      <c r="T559" s="54"/>
      <c r="U559" s="54"/>
      <c r="V559" s="54"/>
      <c r="W559" s="54"/>
      <c r="X559" s="54"/>
      <c r="Y559" s="54"/>
      <c r="Z559" s="54"/>
      <c r="AA559" s="54"/>
      <c r="AB559" s="54"/>
    </row>
    <row r="560">
      <c r="A560" s="57"/>
      <c r="B560" s="10" t="str">
        <f>IFERROR(VLOOKUP(C560,'Employees List'!$B$1:$G$999,4,0),"")</f>
        <v/>
      </c>
      <c r="C560" s="9"/>
      <c r="D560" s="9"/>
      <c r="E560" s="56"/>
      <c r="F560" s="56"/>
      <c r="G560" s="56"/>
      <c r="H560" s="50"/>
      <c r="I560" s="54"/>
      <c r="J560" s="54"/>
      <c r="K560" s="54"/>
      <c r="L560" s="54"/>
      <c r="M560" s="54"/>
      <c r="N560" s="54"/>
      <c r="O560" s="54"/>
      <c r="P560" s="54"/>
      <c r="Q560" s="54"/>
      <c r="R560" s="54"/>
      <c r="S560" s="54"/>
      <c r="T560" s="54"/>
      <c r="U560" s="54"/>
      <c r="V560" s="54"/>
      <c r="W560" s="54"/>
      <c r="X560" s="54"/>
      <c r="Y560" s="54"/>
      <c r="Z560" s="54"/>
      <c r="AA560" s="54"/>
      <c r="AB560" s="54"/>
    </row>
    <row r="561">
      <c r="A561" s="57"/>
      <c r="B561" s="10" t="str">
        <f>IFERROR(VLOOKUP(C561,'Employees List'!$B$1:$G$999,4,0),"")</f>
        <v/>
      </c>
      <c r="C561" s="9"/>
      <c r="D561" s="9"/>
      <c r="E561" s="56"/>
      <c r="F561" s="56"/>
      <c r="G561" s="56"/>
      <c r="H561" s="50"/>
      <c r="I561" s="54"/>
      <c r="J561" s="54"/>
      <c r="K561" s="54"/>
      <c r="L561" s="54"/>
      <c r="M561" s="54"/>
      <c r="N561" s="54"/>
      <c r="O561" s="54"/>
      <c r="P561" s="54"/>
      <c r="Q561" s="54"/>
      <c r="R561" s="54"/>
      <c r="S561" s="54"/>
      <c r="T561" s="54"/>
      <c r="U561" s="54"/>
      <c r="V561" s="54"/>
      <c r="W561" s="54"/>
      <c r="X561" s="54"/>
      <c r="Y561" s="54"/>
      <c r="Z561" s="54"/>
      <c r="AA561" s="54"/>
      <c r="AB561" s="54"/>
    </row>
    <row r="562">
      <c r="A562" s="57"/>
      <c r="B562" s="10" t="str">
        <f>IFERROR(VLOOKUP(C562,'Employees List'!$B$1:$G$999,4,0),"")</f>
        <v/>
      </c>
      <c r="C562" s="9"/>
      <c r="D562" s="9"/>
      <c r="E562" s="56"/>
      <c r="F562" s="56"/>
      <c r="G562" s="56"/>
      <c r="H562" s="50"/>
      <c r="I562" s="54"/>
      <c r="J562" s="54"/>
      <c r="K562" s="54"/>
      <c r="L562" s="54"/>
      <c r="M562" s="54"/>
      <c r="N562" s="54"/>
      <c r="O562" s="54"/>
      <c r="P562" s="54"/>
      <c r="Q562" s="54"/>
      <c r="R562" s="54"/>
      <c r="S562" s="54"/>
      <c r="T562" s="54"/>
      <c r="U562" s="54"/>
      <c r="V562" s="54"/>
      <c r="W562" s="54"/>
      <c r="X562" s="54"/>
      <c r="Y562" s="54"/>
      <c r="Z562" s="54"/>
      <c r="AA562" s="54"/>
      <c r="AB562" s="54"/>
    </row>
    <row r="563">
      <c r="A563" s="57"/>
      <c r="B563" s="10" t="str">
        <f>IFERROR(VLOOKUP(C563,'Employees List'!$B$1:$G$999,4,0),"")</f>
        <v/>
      </c>
      <c r="C563" s="9"/>
      <c r="D563" s="9"/>
      <c r="E563" s="56"/>
      <c r="F563" s="56"/>
      <c r="G563" s="56"/>
      <c r="H563" s="50"/>
      <c r="I563" s="54"/>
      <c r="J563" s="54"/>
      <c r="K563" s="54"/>
      <c r="L563" s="54"/>
      <c r="M563" s="54"/>
      <c r="N563" s="54"/>
      <c r="O563" s="54"/>
      <c r="P563" s="54"/>
      <c r="Q563" s="54"/>
      <c r="R563" s="54"/>
      <c r="S563" s="54"/>
      <c r="T563" s="54"/>
      <c r="U563" s="54"/>
      <c r="V563" s="54"/>
      <c r="W563" s="54"/>
      <c r="X563" s="54"/>
      <c r="Y563" s="54"/>
      <c r="Z563" s="54"/>
      <c r="AA563" s="54"/>
      <c r="AB563" s="54"/>
    </row>
    <row r="564">
      <c r="A564" s="57"/>
      <c r="B564" s="10" t="str">
        <f>IFERROR(VLOOKUP(C564,'Employees List'!$B$1:$G$999,4,0),"")</f>
        <v/>
      </c>
      <c r="C564" s="9"/>
      <c r="D564" s="9"/>
      <c r="E564" s="56"/>
      <c r="F564" s="56"/>
      <c r="G564" s="56"/>
      <c r="H564" s="50"/>
      <c r="I564" s="54"/>
      <c r="J564" s="54"/>
      <c r="K564" s="54"/>
      <c r="L564" s="54"/>
      <c r="M564" s="54"/>
      <c r="N564" s="54"/>
      <c r="O564" s="54"/>
      <c r="P564" s="54"/>
      <c r="Q564" s="54"/>
      <c r="R564" s="54"/>
      <c r="S564" s="54"/>
      <c r="T564" s="54"/>
      <c r="U564" s="54"/>
      <c r="V564" s="54"/>
      <c r="W564" s="54"/>
      <c r="X564" s="54"/>
      <c r="Y564" s="54"/>
      <c r="Z564" s="54"/>
      <c r="AA564" s="54"/>
      <c r="AB564" s="54"/>
    </row>
    <row r="565">
      <c r="A565" s="57"/>
      <c r="B565" s="10" t="str">
        <f>IFERROR(VLOOKUP(C565,'Employees List'!$B$1:$G$999,4,0),"")</f>
        <v/>
      </c>
      <c r="C565" s="9"/>
      <c r="D565" s="9"/>
      <c r="E565" s="56"/>
      <c r="F565" s="56"/>
      <c r="G565" s="56"/>
      <c r="H565" s="50"/>
      <c r="I565" s="54"/>
      <c r="J565" s="54"/>
      <c r="K565" s="54"/>
      <c r="L565" s="54"/>
      <c r="M565" s="54"/>
      <c r="N565" s="54"/>
      <c r="O565" s="54"/>
      <c r="P565" s="54"/>
      <c r="Q565" s="54"/>
      <c r="R565" s="54"/>
      <c r="S565" s="54"/>
      <c r="T565" s="54"/>
      <c r="U565" s="54"/>
      <c r="V565" s="54"/>
      <c r="W565" s="54"/>
      <c r="X565" s="54"/>
      <c r="Y565" s="54"/>
      <c r="Z565" s="54"/>
      <c r="AA565" s="54"/>
      <c r="AB565" s="54"/>
    </row>
    <row r="566">
      <c r="A566" s="57"/>
      <c r="B566" s="10" t="str">
        <f>IFERROR(VLOOKUP(C566,'Employees List'!$B$1:$G$999,4,0),"")</f>
        <v/>
      </c>
      <c r="C566" s="9"/>
      <c r="D566" s="9"/>
      <c r="E566" s="56"/>
      <c r="F566" s="56"/>
      <c r="G566" s="56"/>
      <c r="H566" s="50"/>
      <c r="I566" s="54"/>
      <c r="J566" s="54"/>
      <c r="K566" s="54"/>
      <c r="L566" s="54"/>
      <c r="M566" s="54"/>
      <c r="N566" s="54"/>
      <c r="O566" s="54"/>
      <c r="P566" s="54"/>
      <c r="Q566" s="54"/>
      <c r="R566" s="54"/>
      <c r="S566" s="54"/>
      <c r="T566" s="54"/>
      <c r="U566" s="54"/>
      <c r="V566" s="54"/>
      <c r="W566" s="54"/>
      <c r="X566" s="54"/>
      <c r="Y566" s="54"/>
      <c r="Z566" s="54"/>
      <c r="AA566" s="54"/>
      <c r="AB566" s="54"/>
    </row>
    <row r="567">
      <c r="A567" s="57"/>
      <c r="B567" s="10" t="str">
        <f>IFERROR(VLOOKUP(C567,'Employees List'!$B$1:$G$999,4,0),"")</f>
        <v/>
      </c>
      <c r="C567" s="9"/>
      <c r="D567" s="9"/>
      <c r="E567" s="56"/>
      <c r="F567" s="56"/>
      <c r="G567" s="56"/>
      <c r="H567" s="50"/>
      <c r="I567" s="54"/>
      <c r="J567" s="54"/>
      <c r="K567" s="54"/>
      <c r="L567" s="54"/>
      <c r="M567" s="54"/>
      <c r="N567" s="54"/>
      <c r="O567" s="54"/>
      <c r="P567" s="54"/>
      <c r="Q567" s="54"/>
      <c r="R567" s="54"/>
      <c r="S567" s="54"/>
      <c r="T567" s="54"/>
      <c r="U567" s="54"/>
      <c r="V567" s="54"/>
      <c r="W567" s="54"/>
      <c r="X567" s="54"/>
      <c r="Y567" s="54"/>
      <c r="Z567" s="54"/>
      <c r="AA567" s="54"/>
      <c r="AB567" s="54"/>
    </row>
    <row r="568">
      <c r="A568" s="57"/>
      <c r="B568" s="10" t="str">
        <f>IFERROR(VLOOKUP(C568,'Employees List'!$B$1:$G$999,4,0),"")</f>
        <v/>
      </c>
      <c r="C568" s="9"/>
      <c r="D568" s="9"/>
      <c r="E568" s="56"/>
      <c r="F568" s="56"/>
      <c r="G568" s="56"/>
      <c r="H568" s="50"/>
      <c r="I568" s="54"/>
      <c r="J568" s="54"/>
      <c r="K568" s="54"/>
      <c r="L568" s="54"/>
      <c r="M568" s="54"/>
      <c r="N568" s="54"/>
      <c r="O568" s="54"/>
      <c r="P568" s="54"/>
      <c r="Q568" s="54"/>
      <c r="R568" s="54"/>
      <c r="S568" s="54"/>
      <c r="T568" s="54"/>
      <c r="U568" s="54"/>
      <c r="V568" s="54"/>
      <c r="W568" s="54"/>
      <c r="X568" s="54"/>
      <c r="Y568" s="54"/>
      <c r="Z568" s="54"/>
      <c r="AA568" s="54"/>
      <c r="AB568" s="54"/>
    </row>
    <row r="569">
      <c r="A569" s="57"/>
      <c r="B569" s="10" t="str">
        <f>IFERROR(VLOOKUP(C569,'Employees List'!$B$1:$G$999,4,0),"")</f>
        <v/>
      </c>
      <c r="C569" s="9"/>
      <c r="D569" s="9"/>
      <c r="E569" s="56"/>
      <c r="F569" s="56"/>
      <c r="G569" s="56"/>
      <c r="H569" s="50"/>
      <c r="I569" s="54"/>
      <c r="J569" s="54"/>
      <c r="K569" s="54"/>
      <c r="L569" s="54"/>
      <c r="M569" s="54"/>
      <c r="N569" s="54"/>
      <c r="O569" s="54"/>
      <c r="P569" s="54"/>
      <c r="Q569" s="54"/>
      <c r="R569" s="54"/>
      <c r="S569" s="54"/>
      <c r="T569" s="54"/>
      <c r="U569" s="54"/>
      <c r="V569" s="54"/>
      <c r="W569" s="54"/>
      <c r="X569" s="54"/>
      <c r="Y569" s="54"/>
      <c r="Z569" s="54"/>
      <c r="AA569" s="54"/>
      <c r="AB569" s="54"/>
    </row>
    <row r="570">
      <c r="A570" s="57"/>
      <c r="B570" s="10" t="str">
        <f>IFERROR(VLOOKUP(C570,'Employees List'!$B$1:$G$999,4,0),"")</f>
        <v/>
      </c>
      <c r="C570" s="9"/>
      <c r="D570" s="9"/>
      <c r="E570" s="56"/>
      <c r="F570" s="56"/>
      <c r="G570" s="56"/>
      <c r="H570" s="50"/>
      <c r="I570" s="54"/>
      <c r="J570" s="54"/>
      <c r="K570" s="54"/>
      <c r="L570" s="54"/>
      <c r="M570" s="54"/>
      <c r="N570" s="54"/>
      <c r="O570" s="54"/>
      <c r="P570" s="54"/>
      <c r="Q570" s="54"/>
      <c r="R570" s="54"/>
      <c r="S570" s="54"/>
      <c r="T570" s="54"/>
      <c r="U570" s="54"/>
      <c r="V570" s="54"/>
      <c r="W570" s="54"/>
      <c r="X570" s="54"/>
      <c r="Y570" s="54"/>
      <c r="Z570" s="54"/>
      <c r="AA570" s="54"/>
      <c r="AB570" s="54"/>
    </row>
    <row r="571">
      <c r="A571" s="57"/>
      <c r="B571" s="10" t="str">
        <f>IFERROR(VLOOKUP(C571,'Employees List'!$B$1:$G$999,4,0),"")</f>
        <v/>
      </c>
      <c r="C571" s="9"/>
      <c r="D571" s="9"/>
      <c r="E571" s="56"/>
      <c r="F571" s="56"/>
      <c r="G571" s="56"/>
      <c r="H571" s="50"/>
      <c r="I571" s="54"/>
      <c r="J571" s="54"/>
      <c r="K571" s="54"/>
      <c r="L571" s="54"/>
      <c r="M571" s="54"/>
      <c r="N571" s="54"/>
      <c r="O571" s="54"/>
      <c r="P571" s="54"/>
      <c r="Q571" s="54"/>
      <c r="R571" s="54"/>
      <c r="S571" s="54"/>
      <c r="T571" s="54"/>
      <c r="U571" s="54"/>
      <c r="V571" s="54"/>
      <c r="W571" s="54"/>
      <c r="X571" s="54"/>
      <c r="Y571" s="54"/>
      <c r="Z571" s="54"/>
      <c r="AA571" s="54"/>
      <c r="AB571" s="54"/>
    </row>
    <row r="572">
      <c r="A572" s="57"/>
      <c r="B572" s="10" t="str">
        <f>IFERROR(VLOOKUP(C572,'Employees List'!$B$1:$G$999,4,0),"")</f>
        <v/>
      </c>
      <c r="C572" s="9"/>
      <c r="D572" s="9"/>
      <c r="E572" s="56"/>
      <c r="F572" s="56"/>
      <c r="G572" s="56"/>
      <c r="H572" s="50"/>
      <c r="I572" s="54"/>
      <c r="J572" s="54"/>
      <c r="K572" s="54"/>
      <c r="L572" s="54"/>
      <c r="M572" s="54"/>
      <c r="N572" s="54"/>
      <c r="O572" s="54"/>
      <c r="P572" s="54"/>
      <c r="Q572" s="54"/>
      <c r="R572" s="54"/>
      <c r="S572" s="54"/>
      <c r="T572" s="54"/>
      <c r="U572" s="54"/>
      <c r="V572" s="54"/>
      <c r="W572" s="54"/>
      <c r="X572" s="54"/>
      <c r="Y572" s="54"/>
      <c r="Z572" s="54"/>
      <c r="AA572" s="54"/>
      <c r="AB572" s="54"/>
    </row>
    <row r="573">
      <c r="A573" s="57"/>
      <c r="B573" s="10" t="str">
        <f>IFERROR(VLOOKUP(C573,'Employees List'!$B$1:$G$999,4,0),"")</f>
        <v/>
      </c>
      <c r="C573" s="9"/>
      <c r="D573" s="9"/>
      <c r="E573" s="56"/>
      <c r="F573" s="56"/>
      <c r="G573" s="56"/>
      <c r="H573" s="50"/>
      <c r="I573" s="54"/>
      <c r="J573" s="54"/>
      <c r="K573" s="54"/>
      <c r="L573" s="54"/>
      <c r="M573" s="54"/>
      <c r="N573" s="54"/>
      <c r="O573" s="54"/>
      <c r="P573" s="54"/>
      <c r="Q573" s="54"/>
      <c r="R573" s="54"/>
      <c r="S573" s="54"/>
      <c r="T573" s="54"/>
      <c r="U573" s="54"/>
      <c r="V573" s="54"/>
      <c r="W573" s="54"/>
      <c r="X573" s="54"/>
      <c r="Y573" s="54"/>
      <c r="Z573" s="54"/>
      <c r="AA573" s="54"/>
      <c r="AB573" s="54"/>
    </row>
    <row r="574">
      <c r="A574" s="57"/>
      <c r="B574" s="10" t="str">
        <f>IFERROR(VLOOKUP(C574,'Employees List'!$B$1:$G$999,4,0),"")</f>
        <v/>
      </c>
      <c r="C574" s="9"/>
      <c r="D574" s="9"/>
      <c r="E574" s="56"/>
      <c r="F574" s="56"/>
      <c r="G574" s="56"/>
      <c r="H574" s="50"/>
      <c r="I574" s="54"/>
      <c r="J574" s="54"/>
      <c r="K574" s="54"/>
      <c r="L574" s="54"/>
      <c r="M574" s="54"/>
      <c r="N574" s="54"/>
      <c r="O574" s="54"/>
      <c r="P574" s="54"/>
      <c r="Q574" s="54"/>
      <c r="R574" s="54"/>
      <c r="S574" s="54"/>
      <c r="T574" s="54"/>
      <c r="U574" s="54"/>
      <c r="V574" s="54"/>
      <c r="W574" s="54"/>
      <c r="X574" s="54"/>
      <c r="Y574" s="54"/>
      <c r="Z574" s="54"/>
      <c r="AA574" s="54"/>
      <c r="AB574" s="54"/>
    </row>
    <row r="575">
      <c r="A575" s="57"/>
      <c r="B575" s="10" t="str">
        <f>IFERROR(VLOOKUP(C575,'Employees List'!$B$1:$G$999,4,0),"")</f>
        <v/>
      </c>
      <c r="C575" s="9"/>
      <c r="D575" s="9"/>
      <c r="E575" s="56"/>
      <c r="F575" s="56"/>
      <c r="G575" s="56"/>
      <c r="H575" s="50"/>
      <c r="I575" s="54"/>
      <c r="J575" s="54"/>
      <c r="K575" s="54"/>
      <c r="L575" s="54"/>
      <c r="M575" s="54"/>
      <c r="N575" s="54"/>
      <c r="O575" s="54"/>
      <c r="P575" s="54"/>
      <c r="Q575" s="54"/>
      <c r="R575" s="54"/>
      <c r="S575" s="54"/>
      <c r="T575" s="54"/>
      <c r="U575" s="54"/>
      <c r="V575" s="54"/>
      <c r="W575" s="54"/>
      <c r="X575" s="54"/>
      <c r="Y575" s="54"/>
      <c r="Z575" s="54"/>
      <c r="AA575" s="54"/>
      <c r="AB575" s="54"/>
    </row>
    <row r="576">
      <c r="A576" s="57"/>
      <c r="B576" s="10" t="str">
        <f>IFERROR(VLOOKUP(C576,'Employees List'!$B$1:$G$999,4,0),"")</f>
        <v/>
      </c>
      <c r="C576" s="9"/>
      <c r="D576" s="9"/>
      <c r="E576" s="56"/>
      <c r="F576" s="56"/>
      <c r="G576" s="56"/>
      <c r="H576" s="50"/>
      <c r="I576" s="54"/>
      <c r="J576" s="54"/>
      <c r="K576" s="54"/>
      <c r="L576" s="54"/>
      <c r="M576" s="54"/>
      <c r="N576" s="54"/>
      <c r="O576" s="54"/>
      <c r="P576" s="54"/>
      <c r="Q576" s="54"/>
      <c r="R576" s="54"/>
      <c r="S576" s="54"/>
      <c r="T576" s="54"/>
      <c r="U576" s="54"/>
      <c r="V576" s="54"/>
      <c r="W576" s="54"/>
      <c r="X576" s="54"/>
      <c r="Y576" s="54"/>
      <c r="Z576" s="54"/>
      <c r="AA576" s="54"/>
      <c r="AB576" s="54"/>
    </row>
    <row r="577">
      <c r="A577" s="57"/>
      <c r="B577" s="10" t="str">
        <f>IFERROR(VLOOKUP(C577,'Employees List'!$B$1:$G$999,4,0),"")</f>
        <v/>
      </c>
      <c r="C577" s="9"/>
      <c r="D577" s="9"/>
      <c r="E577" s="56"/>
      <c r="F577" s="56"/>
      <c r="G577" s="56"/>
      <c r="H577" s="50"/>
      <c r="I577" s="54"/>
      <c r="J577" s="54"/>
      <c r="K577" s="54"/>
      <c r="L577" s="54"/>
      <c r="M577" s="54"/>
      <c r="N577" s="54"/>
      <c r="O577" s="54"/>
      <c r="P577" s="54"/>
      <c r="Q577" s="54"/>
      <c r="R577" s="54"/>
      <c r="S577" s="54"/>
      <c r="T577" s="54"/>
      <c r="U577" s="54"/>
      <c r="V577" s="54"/>
      <c r="W577" s="54"/>
      <c r="X577" s="54"/>
      <c r="Y577" s="54"/>
      <c r="Z577" s="54"/>
      <c r="AA577" s="54"/>
      <c r="AB577" s="54"/>
    </row>
    <row r="578">
      <c r="A578" s="57"/>
      <c r="B578" s="10" t="str">
        <f>IFERROR(VLOOKUP(C578,'Employees List'!$B$1:$G$999,4,0),"")</f>
        <v/>
      </c>
      <c r="C578" s="9"/>
      <c r="D578" s="9"/>
      <c r="E578" s="56"/>
      <c r="F578" s="56"/>
      <c r="G578" s="56"/>
      <c r="H578" s="50"/>
      <c r="I578" s="54"/>
      <c r="J578" s="54"/>
      <c r="K578" s="54"/>
      <c r="L578" s="54"/>
      <c r="M578" s="54"/>
      <c r="N578" s="54"/>
      <c r="O578" s="54"/>
      <c r="P578" s="54"/>
      <c r="Q578" s="54"/>
      <c r="R578" s="54"/>
      <c r="S578" s="54"/>
      <c r="T578" s="54"/>
      <c r="U578" s="54"/>
      <c r="V578" s="54"/>
      <c r="W578" s="54"/>
      <c r="X578" s="54"/>
      <c r="Y578" s="54"/>
      <c r="Z578" s="54"/>
      <c r="AA578" s="54"/>
      <c r="AB578" s="54"/>
    </row>
    <row r="579">
      <c r="A579" s="57"/>
      <c r="B579" s="10" t="str">
        <f>IFERROR(VLOOKUP(C579,'Employees List'!$B$1:$G$999,4,0),"")</f>
        <v/>
      </c>
      <c r="C579" s="9"/>
      <c r="D579" s="9"/>
      <c r="E579" s="56"/>
      <c r="F579" s="56"/>
      <c r="G579" s="56"/>
      <c r="H579" s="50"/>
      <c r="I579" s="54"/>
      <c r="J579" s="54"/>
      <c r="K579" s="54"/>
      <c r="L579" s="54"/>
      <c r="M579" s="54"/>
      <c r="N579" s="54"/>
      <c r="O579" s="54"/>
      <c r="P579" s="54"/>
      <c r="Q579" s="54"/>
      <c r="R579" s="54"/>
      <c r="S579" s="54"/>
      <c r="T579" s="54"/>
      <c r="U579" s="54"/>
      <c r="V579" s="54"/>
      <c r="W579" s="54"/>
      <c r="X579" s="54"/>
      <c r="Y579" s="54"/>
      <c r="Z579" s="54"/>
      <c r="AA579" s="54"/>
      <c r="AB579" s="54"/>
    </row>
    <row r="580">
      <c r="A580" s="57"/>
      <c r="B580" s="10" t="str">
        <f>IFERROR(VLOOKUP(C580,'Employees List'!$B$1:$G$999,4,0),"")</f>
        <v/>
      </c>
      <c r="C580" s="9"/>
      <c r="D580" s="9"/>
      <c r="E580" s="56"/>
      <c r="F580" s="56"/>
      <c r="G580" s="56"/>
      <c r="H580" s="50"/>
      <c r="I580" s="54"/>
      <c r="J580" s="54"/>
      <c r="K580" s="54"/>
      <c r="L580" s="54"/>
      <c r="M580" s="54"/>
      <c r="N580" s="54"/>
      <c r="O580" s="54"/>
      <c r="P580" s="54"/>
      <c r="Q580" s="54"/>
      <c r="R580" s="54"/>
      <c r="S580" s="54"/>
      <c r="T580" s="54"/>
      <c r="U580" s="54"/>
      <c r="V580" s="54"/>
      <c r="W580" s="54"/>
      <c r="X580" s="54"/>
      <c r="Y580" s="54"/>
      <c r="Z580" s="54"/>
      <c r="AA580" s="54"/>
      <c r="AB580" s="54"/>
    </row>
    <row r="581">
      <c r="A581" s="57"/>
      <c r="B581" s="10" t="str">
        <f>IFERROR(VLOOKUP(C581,'Employees List'!$B$1:$G$999,4,0),"")</f>
        <v/>
      </c>
      <c r="C581" s="9"/>
      <c r="D581" s="9"/>
      <c r="E581" s="56"/>
      <c r="F581" s="56"/>
      <c r="G581" s="56"/>
      <c r="H581" s="50"/>
      <c r="I581" s="54"/>
      <c r="J581" s="54"/>
      <c r="K581" s="54"/>
      <c r="L581" s="54"/>
      <c r="M581" s="54"/>
      <c r="N581" s="54"/>
      <c r="O581" s="54"/>
      <c r="P581" s="54"/>
      <c r="Q581" s="54"/>
      <c r="R581" s="54"/>
      <c r="S581" s="54"/>
      <c r="T581" s="54"/>
      <c r="U581" s="54"/>
      <c r="V581" s="54"/>
      <c r="W581" s="54"/>
      <c r="X581" s="54"/>
      <c r="Y581" s="54"/>
      <c r="Z581" s="54"/>
      <c r="AA581" s="54"/>
      <c r="AB581" s="54"/>
    </row>
    <row r="582">
      <c r="A582" s="57"/>
      <c r="B582" s="10" t="str">
        <f>IFERROR(VLOOKUP(C582,'Employees List'!$B$1:$G$999,4,0),"")</f>
        <v/>
      </c>
      <c r="C582" s="9"/>
      <c r="D582" s="9"/>
      <c r="E582" s="56"/>
      <c r="F582" s="56"/>
      <c r="G582" s="56"/>
      <c r="H582" s="50"/>
      <c r="I582" s="54"/>
      <c r="J582" s="54"/>
      <c r="K582" s="54"/>
      <c r="L582" s="54"/>
      <c r="M582" s="54"/>
      <c r="N582" s="54"/>
      <c r="O582" s="54"/>
      <c r="P582" s="54"/>
      <c r="Q582" s="54"/>
      <c r="R582" s="54"/>
      <c r="S582" s="54"/>
      <c r="T582" s="54"/>
      <c r="U582" s="54"/>
      <c r="V582" s="54"/>
      <c r="W582" s="54"/>
      <c r="X582" s="54"/>
      <c r="Y582" s="54"/>
      <c r="Z582" s="54"/>
      <c r="AA582" s="54"/>
      <c r="AB582" s="54"/>
    </row>
    <row r="583">
      <c r="A583" s="57"/>
      <c r="B583" s="10" t="str">
        <f>IFERROR(VLOOKUP(C583,'Employees List'!$B$1:$G$999,4,0),"")</f>
        <v/>
      </c>
      <c r="C583" s="9"/>
      <c r="D583" s="9"/>
      <c r="E583" s="56"/>
      <c r="F583" s="56"/>
      <c r="G583" s="56"/>
      <c r="H583" s="50"/>
      <c r="I583" s="54"/>
      <c r="J583" s="54"/>
      <c r="K583" s="54"/>
      <c r="L583" s="54"/>
      <c r="M583" s="54"/>
      <c r="N583" s="54"/>
      <c r="O583" s="54"/>
      <c r="P583" s="54"/>
      <c r="Q583" s="54"/>
      <c r="R583" s="54"/>
      <c r="S583" s="54"/>
      <c r="T583" s="54"/>
      <c r="U583" s="54"/>
      <c r="V583" s="54"/>
      <c r="W583" s="54"/>
      <c r="X583" s="54"/>
      <c r="Y583" s="54"/>
      <c r="Z583" s="54"/>
      <c r="AA583" s="54"/>
      <c r="AB583" s="54"/>
    </row>
    <row r="584">
      <c r="A584" s="57"/>
      <c r="B584" s="10" t="str">
        <f>IFERROR(VLOOKUP(C584,'Employees List'!$B$1:$G$999,4,0),"")</f>
        <v/>
      </c>
      <c r="C584" s="9"/>
      <c r="D584" s="9"/>
      <c r="E584" s="56"/>
      <c r="F584" s="56"/>
      <c r="G584" s="56"/>
      <c r="H584" s="50"/>
      <c r="I584" s="54"/>
      <c r="J584" s="54"/>
      <c r="K584" s="54"/>
      <c r="L584" s="54"/>
      <c r="M584" s="54"/>
      <c r="N584" s="54"/>
      <c r="O584" s="54"/>
      <c r="P584" s="54"/>
      <c r="Q584" s="54"/>
      <c r="R584" s="54"/>
      <c r="S584" s="54"/>
      <c r="T584" s="54"/>
      <c r="U584" s="54"/>
      <c r="V584" s="54"/>
      <c r="W584" s="54"/>
      <c r="X584" s="54"/>
      <c r="Y584" s="54"/>
      <c r="Z584" s="54"/>
      <c r="AA584" s="54"/>
      <c r="AB584" s="54"/>
    </row>
    <row r="585">
      <c r="A585" s="57"/>
      <c r="B585" s="10" t="str">
        <f>IFERROR(VLOOKUP(C585,'Employees List'!$B$1:$G$999,4,0),"")</f>
        <v/>
      </c>
      <c r="C585" s="9"/>
      <c r="D585" s="9"/>
      <c r="E585" s="56"/>
      <c r="F585" s="56"/>
      <c r="G585" s="56"/>
      <c r="H585" s="50"/>
      <c r="I585" s="54"/>
      <c r="J585" s="54"/>
      <c r="K585" s="54"/>
      <c r="L585" s="54"/>
      <c r="M585" s="54"/>
      <c r="N585" s="54"/>
      <c r="O585" s="54"/>
      <c r="P585" s="54"/>
      <c r="Q585" s="54"/>
      <c r="R585" s="54"/>
      <c r="S585" s="54"/>
      <c r="T585" s="54"/>
      <c r="U585" s="54"/>
      <c r="V585" s="54"/>
      <c r="W585" s="54"/>
      <c r="X585" s="54"/>
      <c r="Y585" s="54"/>
      <c r="Z585" s="54"/>
      <c r="AA585" s="54"/>
      <c r="AB585" s="54"/>
    </row>
    <row r="586">
      <c r="A586" s="57"/>
      <c r="B586" s="10" t="str">
        <f>IFERROR(VLOOKUP(C586,'Employees List'!$B$1:$G$999,4,0),"")</f>
        <v/>
      </c>
      <c r="C586" s="9"/>
      <c r="D586" s="9"/>
      <c r="E586" s="56"/>
      <c r="F586" s="56"/>
      <c r="G586" s="56"/>
      <c r="H586" s="50"/>
      <c r="I586" s="54"/>
      <c r="J586" s="54"/>
      <c r="K586" s="54"/>
      <c r="L586" s="54"/>
      <c r="M586" s="54"/>
      <c r="N586" s="54"/>
      <c r="O586" s="54"/>
      <c r="P586" s="54"/>
      <c r="Q586" s="54"/>
      <c r="R586" s="54"/>
      <c r="S586" s="54"/>
      <c r="T586" s="54"/>
      <c r="U586" s="54"/>
      <c r="V586" s="54"/>
      <c r="W586" s="54"/>
      <c r="X586" s="54"/>
      <c r="Y586" s="54"/>
      <c r="Z586" s="54"/>
      <c r="AA586" s="54"/>
      <c r="AB586" s="54"/>
    </row>
    <row r="587">
      <c r="A587" s="57"/>
      <c r="B587" s="10" t="str">
        <f>IFERROR(VLOOKUP(C587,'Employees List'!$B$1:$G$999,4,0),"")</f>
        <v/>
      </c>
      <c r="C587" s="9"/>
      <c r="D587" s="9"/>
      <c r="E587" s="56"/>
      <c r="F587" s="56"/>
      <c r="G587" s="56"/>
      <c r="H587" s="50"/>
      <c r="I587" s="54"/>
      <c r="J587" s="54"/>
      <c r="K587" s="54"/>
      <c r="L587" s="54"/>
      <c r="M587" s="54"/>
      <c r="N587" s="54"/>
      <c r="O587" s="54"/>
      <c r="P587" s="54"/>
      <c r="Q587" s="54"/>
      <c r="R587" s="54"/>
      <c r="S587" s="54"/>
      <c r="T587" s="54"/>
      <c r="U587" s="54"/>
      <c r="V587" s="54"/>
      <c r="W587" s="54"/>
      <c r="X587" s="54"/>
      <c r="Y587" s="54"/>
      <c r="Z587" s="54"/>
      <c r="AA587" s="54"/>
      <c r="AB587" s="54"/>
    </row>
    <row r="588">
      <c r="A588" s="57"/>
      <c r="B588" s="10" t="str">
        <f>IFERROR(VLOOKUP(C588,'Employees List'!$B$1:$G$999,4,0),"")</f>
        <v/>
      </c>
      <c r="C588" s="9"/>
      <c r="D588" s="9"/>
      <c r="E588" s="56"/>
      <c r="F588" s="56"/>
      <c r="G588" s="56"/>
      <c r="H588" s="50"/>
      <c r="I588" s="54"/>
      <c r="J588" s="54"/>
      <c r="K588" s="54"/>
      <c r="L588" s="54"/>
      <c r="M588" s="54"/>
      <c r="N588" s="54"/>
      <c r="O588" s="54"/>
      <c r="P588" s="54"/>
      <c r="Q588" s="54"/>
      <c r="R588" s="54"/>
      <c r="S588" s="54"/>
      <c r="T588" s="54"/>
      <c r="U588" s="54"/>
      <c r="V588" s="54"/>
      <c r="W588" s="54"/>
      <c r="X588" s="54"/>
      <c r="Y588" s="54"/>
      <c r="Z588" s="54"/>
      <c r="AA588" s="54"/>
      <c r="AB588" s="54"/>
    </row>
    <row r="589">
      <c r="A589" s="57"/>
      <c r="B589" s="10" t="str">
        <f>IFERROR(VLOOKUP(C589,'Employees List'!$B$1:$G$999,4,0),"")</f>
        <v/>
      </c>
      <c r="C589" s="9"/>
      <c r="D589" s="9"/>
      <c r="E589" s="56"/>
      <c r="F589" s="56"/>
      <c r="G589" s="56"/>
      <c r="H589" s="50"/>
      <c r="I589" s="54"/>
      <c r="J589" s="54"/>
      <c r="K589" s="54"/>
      <c r="L589" s="54"/>
      <c r="M589" s="54"/>
      <c r="N589" s="54"/>
      <c r="O589" s="54"/>
      <c r="P589" s="54"/>
      <c r="Q589" s="54"/>
      <c r="R589" s="54"/>
      <c r="S589" s="54"/>
      <c r="T589" s="54"/>
      <c r="U589" s="54"/>
      <c r="V589" s="54"/>
      <c r="W589" s="54"/>
      <c r="X589" s="54"/>
      <c r="Y589" s="54"/>
      <c r="Z589" s="54"/>
      <c r="AA589" s="54"/>
      <c r="AB589" s="54"/>
    </row>
    <row r="590">
      <c r="A590" s="57"/>
      <c r="B590" s="10" t="str">
        <f>IFERROR(VLOOKUP(C590,'Employees List'!$B$1:$G$999,4,0),"")</f>
        <v/>
      </c>
      <c r="C590" s="9"/>
      <c r="D590" s="9"/>
      <c r="E590" s="56"/>
      <c r="F590" s="56"/>
      <c r="G590" s="56"/>
      <c r="H590" s="50"/>
      <c r="I590" s="54"/>
      <c r="J590" s="54"/>
      <c r="K590" s="54"/>
      <c r="L590" s="54"/>
      <c r="M590" s="54"/>
      <c r="N590" s="54"/>
      <c r="O590" s="54"/>
      <c r="P590" s="54"/>
      <c r="Q590" s="54"/>
      <c r="R590" s="54"/>
      <c r="S590" s="54"/>
      <c r="T590" s="54"/>
      <c r="U590" s="54"/>
      <c r="V590" s="54"/>
      <c r="W590" s="54"/>
      <c r="X590" s="54"/>
      <c r="Y590" s="54"/>
      <c r="Z590" s="54"/>
      <c r="AA590" s="54"/>
      <c r="AB590" s="54"/>
    </row>
    <row r="591">
      <c r="A591" s="57"/>
      <c r="B591" s="10" t="str">
        <f>IFERROR(VLOOKUP(C591,'Employees List'!$B$1:$G$999,4,0),"")</f>
        <v/>
      </c>
      <c r="C591" s="9"/>
      <c r="D591" s="9"/>
      <c r="E591" s="56"/>
      <c r="F591" s="56"/>
      <c r="G591" s="56"/>
      <c r="H591" s="50"/>
      <c r="I591" s="54"/>
      <c r="J591" s="54"/>
      <c r="K591" s="54"/>
      <c r="L591" s="54"/>
      <c r="M591" s="54"/>
      <c r="N591" s="54"/>
      <c r="O591" s="54"/>
      <c r="P591" s="54"/>
      <c r="Q591" s="54"/>
      <c r="R591" s="54"/>
      <c r="S591" s="54"/>
      <c r="T591" s="54"/>
      <c r="U591" s="54"/>
      <c r="V591" s="54"/>
      <c r="W591" s="54"/>
      <c r="X591" s="54"/>
      <c r="Y591" s="54"/>
      <c r="Z591" s="54"/>
      <c r="AA591" s="54"/>
      <c r="AB591" s="54"/>
    </row>
    <row r="592">
      <c r="A592" s="57"/>
      <c r="B592" s="10" t="str">
        <f>IFERROR(VLOOKUP(C592,'Employees List'!$B$1:$G$999,4,0),"")</f>
        <v/>
      </c>
      <c r="C592" s="9"/>
      <c r="D592" s="9"/>
      <c r="E592" s="56"/>
      <c r="F592" s="56"/>
      <c r="G592" s="56"/>
      <c r="H592" s="50"/>
      <c r="I592" s="54"/>
      <c r="J592" s="54"/>
      <c r="K592" s="54"/>
      <c r="L592" s="54"/>
      <c r="M592" s="54"/>
      <c r="N592" s="54"/>
      <c r="O592" s="54"/>
      <c r="P592" s="54"/>
      <c r="Q592" s="54"/>
      <c r="R592" s="54"/>
      <c r="S592" s="54"/>
      <c r="T592" s="54"/>
      <c r="U592" s="54"/>
      <c r="V592" s="54"/>
      <c r="W592" s="54"/>
      <c r="X592" s="54"/>
      <c r="Y592" s="54"/>
      <c r="Z592" s="54"/>
      <c r="AA592" s="54"/>
      <c r="AB592" s="54"/>
    </row>
    <row r="593">
      <c r="A593" s="57"/>
      <c r="B593" s="10" t="str">
        <f>IFERROR(VLOOKUP(C593,'Employees List'!$B$1:$G$999,4,0),"")</f>
        <v/>
      </c>
      <c r="C593" s="9"/>
      <c r="D593" s="9"/>
      <c r="E593" s="56"/>
      <c r="F593" s="56"/>
      <c r="G593" s="56"/>
      <c r="H593" s="50"/>
      <c r="I593" s="54"/>
      <c r="J593" s="54"/>
      <c r="K593" s="54"/>
      <c r="L593" s="54"/>
      <c r="M593" s="54"/>
      <c r="N593" s="54"/>
      <c r="O593" s="54"/>
      <c r="P593" s="54"/>
      <c r="Q593" s="54"/>
      <c r="R593" s="54"/>
      <c r="S593" s="54"/>
      <c r="T593" s="54"/>
      <c r="U593" s="54"/>
      <c r="V593" s="54"/>
      <c r="W593" s="54"/>
      <c r="X593" s="54"/>
      <c r="Y593" s="54"/>
      <c r="Z593" s="54"/>
      <c r="AA593" s="54"/>
      <c r="AB593" s="54"/>
    </row>
    <row r="594">
      <c r="A594" s="57"/>
      <c r="B594" s="10" t="str">
        <f>IFERROR(VLOOKUP(C594,'Employees List'!$B$1:$G$999,4,0),"")</f>
        <v/>
      </c>
      <c r="C594" s="9"/>
      <c r="D594" s="9"/>
      <c r="E594" s="56"/>
      <c r="F594" s="56"/>
      <c r="G594" s="56"/>
      <c r="H594" s="50"/>
      <c r="I594" s="54"/>
      <c r="J594" s="54"/>
      <c r="K594" s="54"/>
      <c r="L594" s="54"/>
      <c r="M594" s="54"/>
      <c r="N594" s="54"/>
      <c r="O594" s="54"/>
      <c r="P594" s="54"/>
      <c r="Q594" s="54"/>
      <c r="R594" s="54"/>
      <c r="S594" s="54"/>
      <c r="T594" s="54"/>
      <c r="U594" s="54"/>
      <c r="V594" s="54"/>
      <c r="W594" s="54"/>
      <c r="X594" s="54"/>
      <c r="Y594" s="54"/>
      <c r="Z594" s="54"/>
      <c r="AA594" s="54"/>
      <c r="AB594" s="54"/>
    </row>
    <row r="595">
      <c r="A595" s="57"/>
      <c r="B595" s="10" t="str">
        <f>IFERROR(VLOOKUP(C595,'Employees List'!$B$1:$G$999,4,0),"")</f>
        <v/>
      </c>
      <c r="C595" s="9"/>
      <c r="D595" s="9"/>
      <c r="E595" s="56"/>
      <c r="F595" s="56"/>
      <c r="G595" s="56"/>
      <c r="H595" s="50"/>
      <c r="I595" s="54"/>
      <c r="J595" s="54"/>
      <c r="K595" s="54"/>
      <c r="L595" s="54"/>
      <c r="M595" s="54"/>
      <c r="N595" s="54"/>
      <c r="O595" s="54"/>
      <c r="P595" s="54"/>
      <c r="Q595" s="54"/>
      <c r="R595" s="54"/>
      <c r="S595" s="54"/>
      <c r="T595" s="54"/>
      <c r="U595" s="54"/>
      <c r="V595" s="54"/>
      <c r="W595" s="54"/>
      <c r="X595" s="54"/>
      <c r="Y595" s="54"/>
      <c r="Z595" s="54"/>
      <c r="AA595" s="54"/>
      <c r="AB595" s="54"/>
    </row>
    <row r="596">
      <c r="A596" s="57"/>
      <c r="B596" s="10" t="str">
        <f>IFERROR(VLOOKUP(C596,'Employees List'!$B$1:$G$999,4,0),"")</f>
        <v/>
      </c>
      <c r="C596" s="9"/>
      <c r="D596" s="9"/>
      <c r="E596" s="56"/>
      <c r="F596" s="56"/>
      <c r="G596" s="56"/>
      <c r="H596" s="50"/>
      <c r="I596" s="54"/>
      <c r="J596" s="54"/>
      <c r="K596" s="54"/>
      <c r="L596" s="54"/>
      <c r="M596" s="54"/>
      <c r="N596" s="54"/>
      <c r="O596" s="54"/>
      <c r="P596" s="54"/>
      <c r="Q596" s="54"/>
      <c r="R596" s="54"/>
      <c r="S596" s="54"/>
      <c r="T596" s="54"/>
      <c r="U596" s="54"/>
      <c r="V596" s="54"/>
      <c r="W596" s="54"/>
      <c r="X596" s="54"/>
      <c r="Y596" s="54"/>
      <c r="Z596" s="54"/>
      <c r="AA596" s="54"/>
      <c r="AB596" s="54"/>
    </row>
    <row r="597">
      <c r="A597" s="57"/>
      <c r="B597" s="10" t="str">
        <f>IFERROR(VLOOKUP(C597,'Employees List'!$B$1:$G$999,4,0),"")</f>
        <v/>
      </c>
      <c r="C597" s="9"/>
      <c r="D597" s="9"/>
      <c r="E597" s="56"/>
      <c r="F597" s="56"/>
      <c r="G597" s="56"/>
      <c r="H597" s="50"/>
      <c r="I597" s="54"/>
      <c r="J597" s="54"/>
      <c r="K597" s="54"/>
      <c r="L597" s="54"/>
      <c r="M597" s="54"/>
      <c r="N597" s="54"/>
      <c r="O597" s="54"/>
      <c r="P597" s="54"/>
      <c r="Q597" s="54"/>
      <c r="R597" s="54"/>
      <c r="S597" s="54"/>
      <c r="T597" s="54"/>
      <c r="U597" s="54"/>
      <c r="V597" s="54"/>
      <c r="W597" s="54"/>
      <c r="X597" s="54"/>
      <c r="Y597" s="54"/>
      <c r="Z597" s="54"/>
      <c r="AA597" s="54"/>
      <c r="AB597" s="54"/>
    </row>
    <row r="598">
      <c r="A598" s="57"/>
      <c r="B598" s="10" t="str">
        <f>IFERROR(VLOOKUP(C598,'Employees List'!$B$1:$G$999,4,0),"")</f>
        <v/>
      </c>
      <c r="C598" s="9"/>
      <c r="D598" s="9"/>
      <c r="E598" s="56"/>
      <c r="F598" s="56"/>
      <c r="G598" s="56"/>
      <c r="H598" s="50"/>
      <c r="I598" s="54"/>
      <c r="J598" s="54"/>
      <c r="K598" s="54"/>
      <c r="L598" s="54"/>
      <c r="M598" s="54"/>
      <c r="N598" s="54"/>
      <c r="O598" s="54"/>
      <c r="P598" s="54"/>
      <c r="Q598" s="54"/>
      <c r="R598" s="54"/>
      <c r="S598" s="54"/>
      <c r="T598" s="54"/>
      <c r="U598" s="54"/>
      <c r="V598" s="54"/>
      <c r="W598" s="54"/>
      <c r="X598" s="54"/>
      <c r="Y598" s="54"/>
      <c r="Z598" s="54"/>
      <c r="AA598" s="54"/>
      <c r="AB598" s="54"/>
    </row>
    <row r="599">
      <c r="A599" s="57"/>
      <c r="B599" s="10" t="str">
        <f>IFERROR(VLOOKUP(C599,'Employees List'!$B$1:$G$999,4,0),"")</f>
        <v/>
      </c>
      <c r="C599" s="9"/>
      <c r="D599" s="9"/>
      <c r="E599" s="56"/>
      <c r="F599" s="56"/>
      <c r="G599" s="56"/>
      <c r="H599" s="50"/>
      <c r="I599" s="54"/>
      <c r="J599" s="54"/>
      <c r="K599" s="54"/>
      <c r="L599" s="54"/>
      <c r="M599" s="54"/>
      <c r="N599" s="54"/>
      <c r="O599" s="54"/>
      <c r="P599" s="54"/>
      <c r="Q599" s="54"/>
      <c r="R599" s="54"/>
      <c r="S599" s="54"/>
      <c r="T599" s="54"/>
      <c r="U599" s="54"/>
      <c r="V599" s="54"/>
      <c r="W599" s="54"/>
      <c r="X599" s="54"/>
      <c r="Y599" s="54"/>
      <c r="Z599" s="54"/>
      <c r="AA599" s="54"/>
      <c r="AB599" s="54"/>
    </row>
    <row r="600">
      <c r="A600" s="57"/>
      <c r="B600" s="10" t="str">
        <f>IFERROR(VLOOKUP(C600,'Employees List'!$B$1:$G$999,4,0),"")</f>
        <v/>
      </c>
      <c r="C600" s="9"/>
      <c r="D600" s="9"/>
      <c r="E600" s="56"/>
      <c r="F600" s="56"/>
      <c r="G600" s="56"/>
      <c r="H600" s="50"/>
      <c r="I600" s="54"/>
      <c r="J600" s="54"/>
      <c r="K600" s="54"/>
      <c r="L600" s="54"/>
      <c r="M600" s="54"/>
      <c r="N600" s="54"/>
      <c r="O600" s="54"/>
      <c r="P600" s="54"/>
      <c r="Q600" s="54"/>
      <c r="R600" s="54"/>
      <c r="S600" s="54"/>
      <c r="T600" s="54"/>
      <c r="U600" s="54"/>
      <c r="V600" s="54"/>
      <c r="W600" s="54"/>
      <c r="X600" s="54"/>
      <c r="Y600" s="54"/>
      <c r="Z600" s="54"/>
      <c r="AA600" s="54"/>
      <c r="AB600" s="54"/>
    </row>
    <row r="601">
      <c r="A601" s="57"/>
      <c r="B601" s="10" t="str">
        <f>IFERROR(VLOOKUP(C601,'Employees List'!$B$1:$G$999,4,0),"")</f>
        <v/>
      </c>
      <c r="C601" s="9"/>
      <c r="D601" s="9"/>
      <c r="E601" s="56"/>
      <c r="F601" s="56"/>
      <c r="G601" s="56"/>
      <c r="H601" s="50"/>
      <c r="I601" s="54"/>
      <c r="J601" s="54"/>
      <c r="K601" s="54"/>
      <c r="L601" s="54"/>
      <c r="M601" s="54"/>
      <c r="N601" s="54"/>
      <c r="O601" s="54"/>
      <c r="P601" s="54"/>
      <c r="Q601" s="54"/>
      <c r="R601" s="54"/>
      <c r="S601" s="54"/>
      <c r="T601" s="54"/>
      <c r="U601" s="54"/>
      <c r="V601" s="54"/>
      <c r="W601" s="54"/>
      <c r="X601" s="54"/>
      <c r="Y601" s="54"/>
      <c r="Z601" s="54"/>
      <c r="AA601" s="54"/>
      <c r="AB601" s="54"/>
    </row>
    <row r="602">
      <c r="A602" s="57"/>
      <c r="B602" s="10" t="str">
        <f>IFERROR(VLOOKUP(C602,'Employees List'!$B$1:$G$999,4,0),"")</f>
        <v/>
      </c>
      <c r="C602" s="9"/>
      <c r="D602" s="9"/>
      <c r="E602" s="56"/>
      <c r="F602" s="56"/>
      <c r="G602" s="56"/>
      <c r="H602" s="50"/>
      <c r="I602" s="54"/>
      <c r="J602" s="54"/>
      <c r="K602" s="54"/>
      <c r="L602" s="54"/>
      <c r="M602" s="54"/>
      <c r="N602" s="54"/>
      <c r="O602" s="54"/>
      <c r="P602" s="54"/>
      <c r="Q602" s="54"/>
      <c r="R602" s="54"/>
      <c r="S602" s="54"/>
      <c r="T602" s="54"/>
      <c r="U602" s="54"/>
      <c r="V602" s="54"/>
      <c r="W602" s="54"/>
      <c r="X602" s="54"/>
      <c r="Y602" s="54"/>
      <c r="Z602" s="54"/>
      <c r="AA602" s="54"/>
      <c r="AB602" s="54"/>
    </row>
    <row r="603">
      <c r="A603" s="57"/>
      <c r="B603" s="10" t="str">
        <f>IFERROR(VLOOKUP(C603,'Employees List'!$B$1:$G$999,4,0),"")</f>
        <v/>
      </c>
      <c r="C603" s="9"/>
      <c r="D603" s="9"/>
      <c r="E603" s="56"/>
      <c r="F603" s="56"/>
      <c r="G603" s="56"/>
      <c r="H603" s="50"/>
      <c r="I603" s="54"/>
      <c r="J603" s="54"/>
      <c r="K603" s="54"/>
      <c r="L603" s="54"/>
      <c r="M603" s="54"/>
      <c r="N603" s="54"/>
      <c r="O603" s="54"/>
      <c r="P603" s="54"/>
      <c r="Q603" s="54"/>
      <c r="R603" s="54"/>
      <c r="S603" s="54"/>
      <c r="T603" s="54"/>
      <c r="U603" s="54"/>
      <c r="V603" s="54"/>
      <c r="W603" s="54"/>
      <c r="X603" s="54"/>
      <c r="Y603" s="54"/>
      <c r="Z603" s="54"/>
      <c r="AA603" s="54"/>
      <c r="AB603" s="54"/>
    </row>
    <row r="604">
      <c r="A604" s="57"/>
      <c r="B604" s="10" t="str">
        <f>IFERROR(VLOOKUP(C604,'Employees List'!$B$1:$G$999,4,0),"")</f>
        <v/>
      </c>
      <c r="C604" s="9"/>
      <c r="D604" s="9"/>
      <c r="E604" s="56"/>
      <c r="F604" s="56"/>
      <c r="G604" s="56"/>
      <c r="H604" s="50"/>
      <c r="I604" s="54"/>
      <c r="J604" s="54"/>
      <c r="K604" s="54"/>
      <c r="L604" s="54"/>
      <c r="M604" s="54"/>
      <c r="N604" s="54"/>
      <c r="O604" s="54"/>
      <c r="P604" s="54"/>
      <c r="Q604" s="54"/>
      <c r="R604" s="54"/>
      <c r="S604" s="54"/>
      <c r="T604" s="54"/>
      <c r="U604" s="54"/>
      <c r="V604" s="54"/>
      <c r="W604" s="54"/>
      <c r="X604" s="54"/>
      <c r="Y604" s="54"/>
      <c r="Z604" s="54"/>
      <c r="AA604" s="54"/>
      <c r="AB604" s="54"/>
    </row>
    <row r="605">
      <c r="A605" s="57"/>
      <c r="B605" s="10" t="str">
        <f>IFERROR(VLOOKUP(C605,'Employees List'!$B$1:$G$999,4,0),"")</f>
        <v/>
      </c>
      <c r="C605" s="9"/>
      <c r="D605" s="9"/>
      <c r="E605" s="56"/>
      <c r="F605" s="56"/>
      <c r="G605" s="56"/>
      <c r="H605" s="50"/>
      <c r="I605" s="54"/>
      <c r="J605" s="54"/>
      <c r="K605" s="54"/>
      <c r="L605" s="54"/>
      <c r="M605" s="54"/>
      <c r="N605" s="54"/>
      <c r="O605" s="54"/>
      <c r="P605" s="54"/>
      <c r="Q605" s="54"/>
      <c r="R605" s="54"/>
      <c r="S605" s="54"/>
      <c r="T605" s="54"/>
      <c r="U605" s="54"/>
      <c r="V605" s="54"/>
      <c r="W605" s="54"/>
      <c r="X605" s="54"/>
      <c r="Y605" s="54"/>
      <c r="Z605" s="54"/>
      <c r="AA605" s="54"/>
      <c r="AB605" s="54"/>
    </row>
    <row r="606">
      <c r="A606" s="57"/>
      <c r="B606" s="10" t="str">
        <f>IFERROR(VLOOKUP(C606,'Employees List'!$B$1:$G$999,4,0),"")</f>
        <v/>
      </c>
      <c r="C606" s="9"/>
      <c r="D606" s="9"/>
      <c r="E606" s="56"/>
      <c r="F606" s="56"/>
      <c r="G606" s="56"/>
      <c r="H606" s="50"/>
      <c r="I606" s="54"/>
      <c r="J606" s="54"/>
      <c r="K606" s="54"/>
      <c r="L606" s="54"/>
      <c r="M606" s="54"/>
      <c r="N606" s="54"/>
      <c r="O606" s="54"/>
      <c r="P606" s="54"/>
      <c r="Q606" s="54"/>
      <c r="R606" s="54"/>
      <c r="S606" s="54"/>
      <c r="T606" s="54"/>
      <c r="U606" s="54"/>
      <c r="V606" s="54"/>
      <c r="W606" s="54"/>
      <c r="X606" s="54"/>
      <c r="Y606" s="54"/>
      <c r="Z606" s="54"/>
      <c r="AA606" s="54"/>
      <c r="AB606" s="54"/>
    </row>
    <row r="607">
      <c r="A607" s="57"/>
      <c r="B607" s="10" t="str">
        <f>IFERROR(VLOOKUP(C607,'Employees List'!$B$1:$G$999,4,0),"")</f>
        <v/>
      </c>
      <c r="C607" s="9"/>
      <c r="D607" s="9"/>
      <c r="E607" s="56"/>
      <c r="F607" s="56"/>
      <c r="G607" s="56"/>
      <c r="H607" s="50"/>
      <c r="I607" s="54"/>
      <c r="J607" s="54"/>
      <c r="K607" s="54"/>
      <c r="L607" s="54"/>
      <c r="M607" s="54"/>
      <c r="N607" s="54"/>
      <c r="O607" s="54"/>
      <c r="P607" s="54"/>
      <c r="Q607" s="54"/>
      <c r="R607" s="54"/>
      <c r="S607" s="54"/>
      <c r="T607" s="54"/>
      <c r="U607" s="54"/>
      <c r="V607" s="54"/>
      <c r="W607" s="54"/>
      <c r="X607" s="54"/>
      <c r="Y607" s="54"/>
      <c r="Z607" s="54"/>
      <c r="AA607" s="54"/>
      <c r="AB607" s="54"/>
    </row>
    <row r="608">
      <c r="A608" s="57"/>
      <c r="B608" s="10" t="str">
        <f>IFERROR(VLOOKUP(C608,'Employees List'!$B$1:$G$999,4,0),"")</f>
        <v/>
      </c>
      <c r="C608" s="9"/>
      <c r="D608" s="9"/>
      <c r="E608" s="56"/>
      <c r="F608" s="56"/>
      <c r="G608" s="56"/>
      <c r="H608" s="50"/>
      <c r="I608" s="54"/>
      <c r="J608" s="54"/>
      <c r="K608" s="54"/>
      <c r="L608" s="54"/>
      <c r="M608" s="54"/>
      <c r="N608" s="54"/>
      <c r="O608" s="54"/>
      <c r="P608" s="54"/>
      <c r="Q608" s="54"/>
      <c r="R608" s="54"/>
      <c r="S608" s="54"/>
      <c r="T608" s="54"/>
      <c r="U608" s="54"/>
      <c r="V608" s="54"/>
      <c r="W608" s="54"/>
      <c r="X608" s="54"/>
      <c r="Y608" s="54"/>
      <c r="Z608" s="54"/>
      <c r="AA608" s="54"/>
      <c r="AB608" s="54"/>
    </row>
    <row r="609">
      <c r="A609" s="57"/>
      <c r="B609" s="10" t="str">
        <f>IFERROR(VLOOKUP(C609,'Employees List'!$B$1:$G$999,4,0),"")</f>
        <v/>
      </c>
      <c r="C609" s="9"/>
      <c r="D609" s="9"/>
      <c r="E609" s="56"/>
      <c r="F609" s="56"/>
      <c r="G609" s="56"/>
      <c r="H609" s="50"/>
      <c r="I609" s="54"/>
      <c r="J609" s="54"/>
      <c r="K609" s="54"/>
      <c r="L609" s="54"/>
      <c r="M609" s="54"/>
      <c r="N609" s="54"/>
      <c r="O609" s="54"/>
      <c r="P609" s="54"/>
      <c r="Q609" s="54"/>
      <c r="R609" s="54"/>
      <c r="S609" s="54"/>
      <c r="T609" s="54"/>
      <c r="U609" s="54"/>
      <c r="V609" s="54"/>
      <c r="W609" s="54"/>
      <c r="X609" s="54"/>
      <c r="Y609" s="54"/>
      <c r="Z609" s="54"/>
      <c r="AA609" s="54"/>
      <c r="AB609" s="54"/>
    </row>
    <row r="610">
      <c r="A610" s="57"/>
      <c r="B610" s="10" t="str">
        <f>IFERROR(VLOOKUP(C610,'Employees List'!$B$1:$G$999,4,0),"")</f>
        <v/>
      </c>
      <c r="C610" s="9"/>
      <c r="D610" s="9"/>
      <c r="E610" s="56"/>
      <c r="F610" s="56"/>
      <c r="G610" s="56"/>
      <c r="H610" s="50"/>
      <c r="I610" s="54"/>
      <c r="J610" s="54"/>
      <c r="K610" s="54"/>
      <c r="L610" s="54"/>
      <c r="M610" s="54"/>
      <c r="N610" s="54"/>
      <c r="O610" s="54"/>
      <c r="P610" s="54"/>
      <c r="Q610" s="54"/>
      <c r="R610" s="54"/>
      <c r="S610" s="54"/>
      <c r="T610" s="54"/>
      <c r="U610" s="54"/>
      <c r="V610" s="54"/>
      <c r="W610" s="54"/>
      <c r="X610" s="54"/>
      <c r="Y610" s="54"/>
      <c r="Z610" s="54"/>
      <c r="AA610" s="54"/>
      <c r="AB610" s="54"/>
    </row>
    <row r="611">
      <c r="A611" s="57"/>
      <c r="B611" s="10" t="str">
        <f>IFERROR(VLOOKUP(C611,'Employees List'!$B$1:$G$999,4,0),"")</f>
        <v/>
      </c>
      <c r="C611" s="9"/>
      <c r="D611" s="9"/>
      <c r="E611" s="56"/>
      <c r="F611" s="56"/>
      <c r="G611" s="56"/>
      <c r="H611" s="50"/>
      <c r="I611" s="54"/>
      <c r="J611" s="54"/>
      <c r="K611" s="54"/>
      <c r="L611" s="54"/>
      <c r="M611" s="54"/>
      <c r="N611" s="54"/>
      <c r="O611" s="54"/>
      <c r="P611" s="54"/>
      <c r="Q611" s="54"/>
      <c r="R611" s="54"/>
      <c r="S611" s="54"/>
      <c r="T611" s="54"/>
      <c r="U611" s="54"/>
      <c r="V611" s="54"/>
      <c r="W611" s="54"/>
      <c r="X611" s="54"/>
      <c r="Y611" s="54"/>
      <c r="Z611" s="54"/>
      <c r="AA611" s="54"/>
      <c r="AB611" s="54"/>
    </row>
    <row r="612">
      <c r="A612" s="57"/>
      <c r="B612" s="10" t="str">
        <f>IFERROR(VLOOKUP(C612,'Employees List'!$B$1:$G$999,4,0),"")</f>
        <v/>
      </c>
      <c r="C612" s="9"/>
      <c r="D612" s="9"/>
      <c r="E612" s="56"/>
      <c r="F612" s="56"/>
      <c r="G612" s="56"/>
      <c r="H612" s="50"/>
      <c r="I612" s="54"/>
      <c r="J612" s="54"/>
      <c r="K612" s="54"/>
      <c r="L612" s="54"/>
      <c r="M612" s="54"/>
      <c r="N612" s="54"/>
      <c r="O612" s="54"/>
      <c r="P612" s="54"/>
      <c r="Q612" s="54"/>
      <c r="R612" s="54"/>
      <c r="S612" s="54"/>
      <c r="T612" s="54"/>
      <c r="U612" s="54"/>
      <c r="V612" s="54"/>
      <c r="W612" s="54"/>
      <c r="X612" s="54"/>
      <c r="Y612" s="54"/>
      <c r="Z612" s="54"/>
      <c r="AA612" s="54"/>
      <c r="AB612" s="54"/>
    </row>
    <row r="613">
      <c r="A613" s="57"/>
      <c r="B613" s="10" t="str">
        <f>IFERROR(VLOOKUP(C613,'Employees List'!$B$1:$G$999,4,0),"")</f>
        <v/>
      </c>
      <c r="C613" s="9"/>
      <c r="D613" s="9"/>
      <c r="E613" s="56"/>
      <c r="F613" s="56"/>
      <c r="G613" s="56"/>
      <c r="H613" s="50"/>
      <c r="I613" s="54"/>
      <c r="J613" s="54"/>
      <c r="K613" s="54"/>
      <c r="L613" s="54"/>
      <c r="M613" s="54"/>
      <c r="N613" s="54"/>
      <c r="O613" s="54"/>
      <c r="P613" s="54"/>
      <c r="Q613" s="54"/>
      <c r="R613" s="54"/>
      <c r="S613" s="54"/>
      <c r="T613" s="54"/>
      <c r="U613" s="54"/>
      <c r="V613" s="54"/>
      <c r="W613" s="54"/>
      <c r="X613" s="54"/>
      <c r="Y613" s="54"/>
      <c r="Z613" s="54"/>
      <c r="AA613" s="54"/>
      <c r="AB613" s="54"/>
    </row>
    <row r="614">
      <c r="A614" s="57"/>
      <c r="B614" s="10" t="str">
        <f>IFERROR(VLOOKUP(C614,'Employees List'!$B$1:$G$999,4,0),"")</f>
        <v/>
      </c>
      <c r="C614" s="9"/>
      <c r="D614" s="9"/>
      <c r="E614" s="56"/>
      <c r="F614" s="56"/>
      <c r="G614" s="56"/>
      <c r="H614" s="50"/>
      <c r="I614" s="54"/>
      <c r="J614" s="54"/>
      <c r="K614" s="54"/>
      <c r="L614" s="54"/>
      <c r="M614" s="54"/>
      <c r="N614" s="54"/>
      <c r="O614" s="54"/>
      <c r="P614" s="54"/>
      <c r="Q614" s="54"/>
      <c r="R614" s="54"/>
      <c r="S614" s="54"/>
      <c r="T614" s="54"/>
      <c r="U614" s="54"/>
      <c r="V614" s="54"/>
      <c r="W614" s="54"/>
      <c r="X614" s="54"/>
      <c r="Y614" s="54"/>
      <c r="Z614" s="54"/>
      <c r="AA614" s="54"/>
      <c r="AB614" s="54"/>
    </row>
    <row r="615">
      <c r="A615" s="57"/>
      <c r="B615" s="10" t="str">
        <f>IFERROR(VLOOKUP(C615,'Employees List'!$B$1:$G$999,4,0),"")</f>
        <v/>
      </c>
      <c r="C615" s="9"/>
      <c r="D615" s="9"/>
      <c r="E615" s="56"/>
      <c r="F615" s="56"/>
      <c r="G615" s="56"/>
      <c r="H615" s="50"/>
      <c r="I615" s="54"/>
      <c r="J615" s="54"/>
      <c r="K615" s="54"/>
      <c r="L615" s="54"/>
      <c r="M615" s="54"/>
      <c r="N615" s="54"/>
      <c r="O615" s="54"/>
      <c r="P615" s="54"/>
      <c r="Q615" s="54"/>
      <c r="R615" s="54"/>
      <c r="S615" s="54"/>
      <c r="T615" s="54"/>
      <c r="U615" s="54"/>
      <c r="V615" s="54"/>
      <c r="W615" s="54"/>
      <c r="X615" s="54"/>
      <c r="Y615" s="54"/>
      <c r="Z615" s="54"/>
      <c r="AA615" s="54"/>
      <c r="AB615" s="54"/>
    </row>
    <row r="616">
      <c r="A616" s="57"/>
      <c r="B616" s="10" t="str">
        <f>IFERROR(VLOOKUP(C616,'Employees List'!$B$1:$G$999,4,0),"")</f>
        <v/>
      </c>
      <c r="C616" s="9"/>
      <c r="D616" s="9"/>
      <c r="E616" s="56"/>
      <c r="F616" s="56"/>
      <c r="G616" s="56"/>
      <c r="H616" s="50"/>
      <c r="I616" s="54"/>
      <c r="J616" s="54"/>
      <c r="K616" s="54"/>
      <c r="L616" s="54"/>
      <c r="M616" s="54"/>
      <c r="N616" s="54"/>
      <c r="O616" s="54"/>
      <c r="P616" s="54"/>
      <c r="Q616" s="54"/>
      <c r="R616" s="54"/>
      <c r="S616" s="54"/>
      <c r="T616" s="54"/>
      <c r="U616" s="54"/>
      <c r="V616" s="54"/>
      <c r="W616" s="54"/>
      <c r="X616" s="54"/>
      <c r="Y616" s="54"/>
      <c r="Z616" s="54"/>
      <c r="AA616" s="54"/>
      <c r="AB616" s="54"/>
    </row>
    <row r="617">
      <c r="A617" s="57"/>
      <c r="B617" s="10" t="str">
        <f>IFERROR(VLOOKUP(C617,'Employees List'!$B$1:$G$999,4,0),"")</f>
        <v/>
      </c>
      <c r="C617" s="9"/>
      <c r="D617" s="9"/>
      <c r="E617" s="56"/>
      <c r="F617" s="56"/>
      <c r="G617" s="56"/>
      <c r="H617" s="50"/>
      <c r="I617" s="54"/>
      <c r="J617" s="54"/>
      <c r="K617" s="54"/>
      <c r="L617" s="54"/>
      <c r="M617" s="54"/>
      <c r="N617" s="54"/>
      <c r="O617" s="54"/>
      <c r="P617" s="54"/>
      <c r="Q617" s="54"/>
      <c r="R617" s="54"/>
      <c r="S617" s="54"/>
      <c r="T617" s="54"/>
      <c r="U617" s="54"/>
      <c r="V617" s="54"/>
      <c r="W617" s="54"/>
      <c r="X617" s="54"/>
      <c r="Y617" s="54"/>
      <c r="Z617" s="54"/>
      <c r="AA617" s="54"/>
      <c r="AB617" s="54"/>
    </row>
    <row r="618">
      <c r="A618" s="57"/>
      <c r="B618" s="10" t="str">
        <f>IFERROR(VLOOKUP(C618,'Employees List'!$B$1:$G$999,4,0),"")</f>
        <v/>
      </c>
      <c r="C618" s="9"/>
      <c r="D618" s="9"/>
      <c r="E618" s="56"/>
      <c r="F618" s="56"/>
      <c r="G618" s="56"/>
      <c r="H618" s="50"/>
      <c r="I618" s="54"/>
      <c r="J618" s="54"/>
      <c r="K618" s="54"/>
      <c r="L618" s="54"/>
      <c r="M618" s="54"/>
      <c r="N618" s="54"/>
      <c r="O618" s="54"/>
      <c r="P618" s="54"/>
      <c r="Q618" s="54"/>
      <c r="R618" s="54"/>
      <c r="S618" s="54"/>
      <c r="T618" s="54"/>
      <c r="U618" s="54"/>
      <c r="V618" s="54"/>
      <c r="W618" s="54"/>
      <c r="X618" s="54"/>
      <c r="Y618" s="54"/>
      <c r="Z618" s="54"/>
      <c r="AA618" s="54"/>
      <c r="AB618" s="54"/>
    </row>
    <row r="619">
      <c r="A619" s="57"/>
      <c r="B619" s="10" t="str">
        <f>IFERROR(VLOOKUP(C619,'Employees List'!$B$1:$G$999,4,0),"")</f>
        <v/>
      </c>
      <c r="C619" s="9"/>
      <c r="D619" s="9"/>
      <c r="E619" s="56"/>
      <c r="F619" s="56"/>
      <c r="G619" s="56"/>
      <c r="H619" s="50"/>
      <c r="I619" s="54"/>
      <c r="J619" s="54"/>
      <c r="K619" s="54"/>
      <c r="L619" s="54"/>
      <c r="M619" s="54"/>
      <c r="N619" s="54"/>
      <c r="O619" s="54"/>
      <c r="P619" s="54"/>
      <c r="Q619" s="54"/>
      <c r="R619" s="54"/>
      <c r="S619" s="54"/>
      <c r="T619" s="54"/>
      <c r="U619" s="54"/>
      <c r="V619" s="54"/>
      <c r="W619" s="54"/>
      <c r="X619" s="54"/>
      <c r="Y619" s="54"/>
      <c r="Z619" s="54"/>
      <c r="AA619" s="54"/>
      <c r="AB619" s="54"/>
    </row>
    <row r="620">
      <c r="A620" s="57"/>
      <c r="B620" s="10" t="str">
        <f>IFERROR(VLOOKUP(C620,'Employees List'!$B$1:$G$999,4,0),"")</f>
        <v/>
      </c>
      <c r="C620" s="9"/>
      <c r="D620" s="9"/>
      <c r="E620" s="56"/>
      <c r="F620" s="56"/>
      <c r="G620" s="56"/>
      <c r="H620" s="50"/>
      <c r="I620" s="54"/>
      <c r="J620" s="54"/>
      <c r="K620" s="54"/>
      <c r="L620" s="54"/>
      <c r="M620" s="54"/>
      <c r="N620" s="54"/>
      <c r="O620" s="54"/>
      <c r="P620" s="54"/>
      <c r="Q620" s="54"/>
      <c r="R620" s="54"/>
      <c r="S620" s="54"/>
      <c r="T620" s="54"/>
      <c r="U620" s="54"/>
      <c r="V620" s="54"/>
      <c r="W620" s="54"/>
      <c r="X620" s="54"/>
      <c r="Y620" s="54"/>
      <c r="Z620" s="54"/>
      <c r="AA620" s="54"/>
      <c r="AB620" s="54"/>
    </row>
    <row r="621">
      <c r="A621" s="57"/>
      <c r="B621" s="10" t="str">
        <f>IFERROR(VLOOKUP(C621,'Employees List'!$B$1:$G$999,4,0),"")</f>
        <v/>
      </c>
      <c r="C621" s="9"/>
      <c r="D621" s="9"/>
      <c r="E621" s="56"/>
      <c r="F621" s="56"/>
      <c r="G621" s="56"/>
      <c r="H621" s="50"/>
      <c r="I621" s="54"/>
      <c r="J621" s="54"/>
      <c r="K621" s="54"/>
      <c r="L621" s="54"/>
      <c r="M621" s="54"/>
      <c r="N621" s="54"/>
      <c r="O621" s="54"/>
      <c r="P621" s="54"/>
      <c r="Q621" s="54"/>
      <c r="R621" s="54"/>
      <c r="S621" s="54"/>
      <c r="T621" s="54"/>
      <c r="U621" s="54"/>
      <c r="V621" s="54"/>
      <c r="W621" s="54"/>
      <c r="X621" s="54"/>
      <c r="Y621" s="54"/>
      <c r="Z621" s="54"/>
      <c r="AA621" s="54"/>
      <c r="AB621" s="54"/>
    </row>
    <row r="622">
      <c r="A622" s="57"/>
      <c r="B622" s="10" t="str">
        <f>IFERROR(VLOOKUP(C622,'Employees List'!$B$1:$G$999,4,0),"")</f>
        <v/>
      </c>
      <c r="C622" s="9"/>
      <c r="D622" s="9"/>
      <c r="E622" s="56"/>
      <c r="F622" s="56"/>
      <c r="G622" s="56"/>
      <c r="H622" s="50"/>
      <c r="I622" s="54"/>
      <c r="J622" s="54"/>
      <c r="K622" s="54"/>
      <c r="L622" s="54"/>
      <c r="M622" s="54"/>
      <c r="N622" s="54"/>
      <c r="O622" s="54"/>
      <c r="P622" s="54"/>
      <c r="Q622" s="54"/>
      <c r="R622" s="54"/>
      <c r="S622" s="54"/>
      <c r="T622" s="54"/>
      <c r="U622" s="54"/>
      <c r="V622" s="54"/>
      <c r="W622" s="54"/>
      <c r="X622" s="54"/>
      <c r="Y622" s="54"/>
      <c r="Z622" s="54"/>
      <c r="AA622" s="54"/>
      <c r="AB622" s="54"/>
    </row>
    <row r="623">
      <c r="A623" s="57"/>
      <c r="B623" s="10" t="str">
        <f>IFERROR(VLOOKUP(C623,'Employees List'!$B$1:$G$999,4,0),"")</f>
        <v/>
      </c>
      <c r="C623" s="9"/>
      <c r="D623" s="9"/>
      <c r="E623" s="56"/>
      <c r="F623" s="56"/>
      <c r="G623" s="56"/>
      <c r="H623" s="50"/>
      <c r="I623" s="54"/>
      <c r="J623" s="54"/>
      <c r="K623" s="54"/>
      <c r="L623" s="54"/>
      <c r="M623" s="54"/>
      <c r="N623" s="54"/>
      <c r="O623" s="54"/>
      <c r="P623" s="54"/>
      <c r="Q623" s="54"/>
      <c r="R623" s="54"/>
      <c r="S623" s="54"/>
      <c r="T623" s="54"/>
      <c r="U623" s="54"/>
      <c r="V623" s="54"/>
      <c r="W623" s="54"/>
      <c r="X623" s="54"/>
      <c r="Y623" s="54"/>
      <c r="Z623" s="54"/>
      <c r="AA623" s="54"/>
      <c r="AB623" s="54"/>
    </row>
    <row r="624">
      <c r="A624" s="57"/>
      <c r="B624" s="10" t="str">
        <f>IFERROR(VLOOKUP(C624,'Employees List'!$B$1:$G$999,4,0),"")</f>
        <v/>
      </c>
      <c r="C624" s="9"/>
      <c r="D624" s="9"/>
      <c r="E624" s="56"/>
      <c r="F624" s="56"/>
      <c r="G624" s="56"/>
      <c r="H624" s="50"/>
      <c r="I624" s="54"/>
      <c r="J624" s="54"/>
      <c r="K624" s="54"/>
      <c r="L624" s="54"/>
      <c r="M624" s="54"/>
      <c r="N624" s="54"/>
      <c r="O624" s="54"/>
      <c r="P624" s="54"/>
      <c r="Q624" s="54"/>
      <c r="R624" s="54"/>
      <c r="S624" s="54"/>
      <c r="T624" s="54"/>
      <c r="U624" s="54"/>
      <c r="V624" s="54"/>
      <c r="W624" s="54"/>
      <c r="X624" s="54"/>
      <c r="Y624" s="54"/>
      <c r="Z624" s="54"/>
      <c r="AA624" s="54"/>
      <c r="AB624" s="54"/>
    </row>
    <row r="625">
      <c r="A625" s="57"/>
      <c r="B625" s="10" t="str">
        <f>IFERROR(VLOOKUP(C625,'Employees List'!$B$1:$G$999,4,0),"")</f>
        <v/>
      </c>
      <c r="C625" s="9"/>
      <c r="D625" s="9"/>
      <c r="E625" s="56"/>
      <c r="F625" s="56"/>
      <c r="G625" s="56"/>
      <c r="H625" s="50"/>
      <c r="I625" s="54"/>
      <c r="J625" s="54"/>
      <c r="K625" s="54"/>
      <c r="L625" s="54"/>
      <c r="M625" s="54"/>
      <c r="N625" s="54"/>
      <c r="O625" s="54"/>
      <c r="P625" s="54"/>
      <c r="Q625" s="54"/>
      <c r="R625" s="54"/>
      <c r="S625" s="54"/>
      <c r="T625" s="54"/>
      <c r="U625" s="54"/>
      <c r="V625" s="54"/>
      <c r="W625" s="54"/>
      <c r="X625" s="54"/>
      <c r="Y625" s="54"/>
      <c r="Z625" s="54"/>
      <c r="AA625" s="54"/>
      <c r="AB625" s="54"/>
    </row>
    <row r="626">
      <c r="A626" s="57"/>
      <c r="B626" s="10" t="str">
        <f>IFERROR(VLOOKUP(C626,'Employees List'!$B$1:$G$999,4,0),"")</f>
        <v/>
      </c>
      <c r="C626" s="9"/>
      <c r="D626" s="9"/>
      <c r="E626" s="56"/>
      <c r="F626" s="56"/>
      <c r="G626" s="56"/>
      <c r="H626" s="50"/>
      <c r="I626" s="54"/>
      <c r="J626" s="54"/>
      <c r="K626" s="54"/>
      <c r="L626" s="54"/>
      <c r="M626" s="54"/>
      <c r="N626" s="54"/>
      <c r="O626" s="54"/>
      <c r="P626" s="54"/>
      <c r="Q626" s="54"/>
      <c r="R626" s="54"/>
      <c r="S626" s="54"/>
      <c r="T626" s="54"/>
      <c r="U626" s="54"/>
      <c r="V626" s="54"/>
      <c r="W626" s="54"/>
      <c r="X626" s="54"/>
      <c r="Y626" s="54"/>
      <c r="Z626" s="54"/>
      <c r="AA626" s="54"/>
      <c r="AB626" s="54"/>
    </row>
    <row r="627">
      <c r="A627" s="57"/>
      <c r="B627" s="10" t="str">
        <f>IFERROR(VLOOKUP(C627,'Employees List'!$B$1:$G$999,4,0),"")</f>
        <v/>
      </c>
      <c r="C627" s="9"/>
      <c r="D627" s="9"/>
      <c r="E627" s="56"/>
      <c r="F627" s="56"/>
      <c r="G627" s="56"/>
      <c r="H627" s="50"/>
      <c r="I627" s="54"/>
      <c r="J627" s="54"/>
      <c r="K627" s="54"/>
      <c r="L627" s="54"/>
      <c r="M627" s="54"/>
      <c r="N627" s="54"/>
      <c r="O627" s="54"/>
      <c r="P627" s="54"/>
      <c r="Q627" s="54"/>
      <c r="R627" s="54"/>
      <c r="S627" s="54"/>
      <c r="T627" s="54"/>
      <c r="U627" s="54"/>
      <c r="V627" s="54"/>
      <c r="W627" s="54"/>
      <c r="X627" s="54"/>
      <c r="Y627" s="54"/>
      <c r="Z627" s="54"/>
      <c r="AA627" s="54"/>
      <c r="AB627" s="54"/>
    </row>
    <row r="628">
      <c r="A628" s="57"/>
      <c r="B628" s="10" t="str">
        <f>IFERROR(VLOOKUP(C628,'Employees List'!$B$1:$G$999,4,0),"")</f>
        <v/>
      </c>
      <c r="C628" s="9"/>
      <c r="D628" s="9"/>
      <c r="E628" s="56"/>
      <c r="F628" s="56"/>
      <c r="G628" s="56"/>
      <c r="H628" s="50"/>
      <c r="I628" s="54"/>
      <c r="J628" s="54"/>
      <c r="K628" s="54"/>
      <c r="L628" s="54"/>
      <c r="M628" s="54"/>
      <c r="N628" s="54"/>
      <c r="O628" s="54"/>
      <c r="P628" s="54"/>
      <c r="Q628" s="54"/>
      <c r="R628" s="54"/>
      <c r="S628" s="54"/>
      <c r="T628" s="54"/>
      <c r="U628" s="54"/>
      <c r="V628" s="54"/>
      <c r="W628" s="54"/>
      <c r="X628" s="54"/>
      <c r="Y628" s="54"/>
      <c r="Z628" s="54"/>
      <c r="AA628" s="54"/>
      <c r="AB628" s="54"/>
    </row>
    <row r="629">
      <c r="A629" s="57"/>
      <c r="B629" s="10" t="str">
        <f>IFERROR(VLOOKUP(C629,'Employees List'!$B$1:$G$999,4,0),"")</f>
        <v/>
      </c>
      <c r="C629" s="9"/>
      <c r="D629" s="9"/>
      <c r="E629" s="56"/>
      <c r="F629" s="56"/>
      <c r="G629" s="56"/>
      <c r="H629" s="50"/>
      <c r="I629" s="54"/>
      <c r="J629" s="54"/>
      <c r="K629" s="54"/>
      <c r="L629" s="54"/>
      <c r="M629" s="54"/>
      <c r="N629" s="54"/>
      <c r="O629" s="54"/>
      <c r="P629" s="54"/>
      <c r="Q629" s="54"/>
      <c r="R629" s="54"/>
      <c r="S629" s="54"/>
      <c r="T629" s="54"/>
      <c r="U629" s="54"/>
      <c r="V629" s="54"/>
      <c r="W629" s="54"/>
      <c r="X629" s="54"/>
      <c r="Y629" s="54"/>
      <c r="Z629" s="54"/>
      <c r="AA629" s="54"/>
      <c r="AB629" s="54"/>
    </row>
    <row r="630">
      <c r="A630" s="57"/>
      <c r="B630" s="10" t="str">
        <f>IFERROR(VLOOKUP(C630,'Employees List'!$B$1:$G$999,4,0),"")</f>
        <v/>
      </c>
      <c r="C630" s="9"/>
      <c r="D630" s="9"/>
      <c r="E630" s="56"/>
      <c r="F630" s="56"/>
      <c r="G630" s="56"/>
      <c r="H630" s="50"/>
      <c r="I630" s="54"/>
      <c r="J630" s="54"/>
      <c r="K630" s="54"/>
      <c r="L630" s="54"/>
      <c r="M630" s="54"/>
      <c r="N630" s="54"/>
      <c r="O630" s="54"/>
      <c r="P630" s="54"/>
      <c r="Q630" s="54"/>
      <c r="R630" s="54"/>
      <c r="S630" s="54"/>
      <c r="T630" s="54"/>
      <c r="U630" s="54"/>
      <c r="V630" s="54"/>
      <c r="W630" s="54"/>
      <c r="X630" s="54"/>
      <c r="Y630" s="54"/>
      <c r="Z630" s="54"/>
      <c r="AA630" s="54"/>
      <c r="AB630" s="54"/>
    </row>
    <row r="631">
      <c r="A631" s="57"/>
      <c r="B631" s="10" t="str">
        <f>IFERROR(VLOOKUP(C631,'Employees List'!$B$1:$G$999,4,0),"")</f>
        <v/>
      </c>
      <c r="C631" s="9"/>
      <c r="D631" s="9"/>
      <c r="E631" s="56"/>
      <c r="F631" s="56"/>
      <c r="G631" s="56"/>
      <c r="H631" s="50"/>
      <c r="I631" s="54"/>
      <c r="J631" s="54"/>
      <c r="K631" s="54"/>
      <c r="L631" s="54"/>
      <c r="M631" s="54"/>
      <c r="N631" s="54"/>
      <c r="O631" s="54"/>
      <c r="P631" s="54"/>
      <c r="Q631" s="54"/>
      <c r="R631" s="54"/>
      <c r="S631" s="54"/>
      <c r="T631" s="54"/>
      <c r="U631" s="54"/>
      <c r="V631" s="54"/>
      <c r="W631" s="54"/>
      <c r="X631" s="54"/>
      <c r="Y631" s="54"/>
      <c r="Z631" s="54"/>
      <c r="AA631" s="54"/>
      <c r="AB631" s="54"/>
    </row>
    <row r="632">
      <c r="A632" s="57"/>
      <c r="B632" s="10" t="str">
        <f>IFERROR(VLOOKUP(C632,'Employees List'!$B$1:$G$999,4,0),"")</f>
        <v/>
      </c>
      <c r="C632" s="9"/>
      <c r="D632" s="9"/>
      <c r="E632" s="56"/>
      <c r="F632" s="56"/>
      <c r="G632" s="56"/>
      <c r="H632" s="50"/>
      <c r="I632" s="54"/>
      <c r="J632" s="54"/>
      <c r="K632" s="54"/>
      <c r="L632" s="54"/>
      <c r="M632" s="54"/>
      <c r="N632" s="54"/>
      <c r="O632" s="54"/>
      <c r="P632" s="54"/>
      <c r="Q632" s="54"/>
      <c r="R632" s="54"/>
      <c r="S632" s="54"/>
      <c r="T632" s="54"/>
      <c r="U632" s="54"/>
      <c r="V632" s="54"/>
      <c r="W632" s="54"/>
      <c r="X632" s="54"/>
      <c r="Y632" s="54"/>
      <c r="Z632" s="54"/>
      <c r="AA632" s="54"/>
      <c r="AB632" s="54"/>
    </row>
    <row r="633">
      <c r="A633" s="57"/>
      <c r="B633" s="10" t="str">
        <f>IFERROR(VLOOKUP(C633,'Employees List'!$B$1:$G$999,4,0),"")</f>
        <v/>
      </c>
      <c r="C633" s="9"/>
      <c r="D633" s="9"/>
      <c r="E633" s="56"/>
      <c r="F633" s="56"/>
      <c r="G633" s="56"/>
      <c r="H633" s="50"/>
      <c r="I633" s="54"/>
      <c r="J633" s="54"/>
      <c r="K633" s="54"/>
      <c r="L633" s="54"/>
      <c r="M633" s="54"/>
      <c r="N633" s="54"/>
      <c r="O633" s="54"/>
      <c r="P633" s="54"/>
      <c r="Q633" s="54"/>
      <c r="R633" s="54"/>
      <c r="S633" s="54"/>
      <c r="T633" s="54"/>
      <c r="U633" s="54"/>
      <c r="V633" s="54"/>
      <c r="W633" s="54"/>
      <c r="X633" s="54"/>
      <c r="Y633" s="54"/>
      <c r="Z633" s="54"/>
      <c r="AA633" s="54"/>
      <c r="AB633" s="54"/>
    </row>
    <row r="634">
      <c r="A634" s="57"/>
      <c r="B634" s="10" t="str">
        <f>IFERROR(VLOOKUP(C634,'Employees List'!$B$1:$G$999,4,0),"")</f>
        <v/>
      </c>
      <c r="C634" s="9"/>
      <c r="D634" s="9"/>
      <c r="E634" s="56"/>
      <c r="F634" s="56"/>
      <c r="G634" s="56"/>
      <c r="H634" s="50"/>
      <c r="I634" s="54"/>
      <c r="J634" s="54"/>
      <c r="K634" s="54"/>
      <c r="L634" s="54"/>
      <c r="M634" s="54"/>
      <c r="N634" s="54"/>
      <c r="O634" s="54"/>
      <c r="P634" s="54"/>
      <c r="Q634" s="54"/>
      <c r="R634" s="54"/>
      <c r="S634" s="54"/>
      <c r="T634" s="54"/>
      <c r="U634" s="54"/>
      <c r="V634" s="54"/>
      <c r="W634" s="54"/>
      <c r="X634" s="54"/>
      <c r="Y634" s="54"/>
      <c r="Z634" s="54"/>
      <c r="AA634" s="54"/>
      <c r="AB634" s="54"/>
    </row>
    <row r="635">
      <c r="A635" s="57"/>
      <c r="B635" s="10" t="str">
        <f>IFERROR(VLOOKUP(C635,'Employees List'!$B$1:$G$999,4,0),"")</f>
        <v/>
      </c>
      <c r="C635" s="9"/>
      <c r="D635" s="9"/>
      <c r="E635" s="56"/>
      <c r="F635" s="56"/>
      <c r="G635" s="56"/>
      <c r="H635" s="50"/>
      <c r="I635" s="54"/>
      <c r="J635" s="54"/>
      <c r="K635" s="54"/>
      <c r="L635" s="54"/>
      <c r="M635" s="54"/>
      <c r="N635" s="54"/>
      <c r="O635" s="54"/>
      <c r="P635" s="54"/>
      <c r="Q635" s="54"/>
      <c r="R635" s="54"/>
      <c r="S635" s="54"/>
      <c r="T635" s="54"/>
      <c r="U635" s="54"/>
      <c r="V635" s="54"/>
      <c r="W635" s="54"/>
      <c r="X635" s="54"/>
      <c r="Y635" s="54"/>
      <c r="Z635" s="54"/>
      <c r="AA635" s="54"/>
      <c r="AB635" s="54"/>
    </row>
    <row r="636">
      <c r="A636" s="57"/>
      <c r="B636" s="10" t="str">
        <f>IFERROR(VLOOKUP(C636,'Employees List'!$B$1:$G$999,4,0),"")</f>
        <v/>
      </c>
      <c r="C636" s="9"/>
      <c r="D636" s="9"/>
      <c r="E636" s="56"/>
      <c r="F636" s="56"/>
      <c r="G636" s="56"/>
      <c r="H636" s="50"/>
      <c r="I636" s="54"/>
      <c r="J636" s="54"/>
      <c r="K636" s="54"/>
      <c r="L636" s="54"/>
      <c r="M636" s="54"/>
      <c r="N636" s="54"/>
      <c r="O636" s="54"/>
      <c r="P636" s="54"/>
      <c r="Q636" s="54"/>
      <c r="R636" s="54"/>
      <c r="S636" s="54"/>
      <c r="T636" s="54"/>
      <c r="U636" s="54"/>
      <c r="V636" s="54"/>
      <c r="W636" s="54"/>
      <c r="X636" s="54"/>
      <c r="Y636" s="54"/>
      <c r="Z636" s="54"/>
      <c r="AA636" s="54"/>
      <c r="AB636" s="54"/>
    </row>
    <row r="637">
      <c r="A637" s="57"/>
      <c r="B637" s="10" t="str">
        <f>IFERROR(VLOOKUP(C637,'Employees List'!$B$1:$G$999,4,0),"")</f>
        <v/>
      </c>
      <c r="C637" s="9"/>
      <c r="D637" s="9"/>
      <c r="E637" s="56"/>
      <c r="F637" s="56"/>
      <c r="G637" s="56"/>
      <c r="H637" s="50"/>
      <c r="I637" s="54"/>
      <c r="J637" s="54"/>
      <c r="K637" s="54"/>
      <c r="L637" s="54"/>
      <c r="M637" s="54"/>
      <c r="N637" s="54"/>
      <c r="O637" s="54"/>
      <c r="P637" s="54"/>
      <c r="Q637" s="54"/>
      <c r="R637" s="54"/>
      <c r="S637" s="54"/>
      <c r="T637" s="54"/>
      <c r="U637" s="54"/>
      <c r="V637" s="54"/>
      <c r="W637" s="54"/>
      <c r="X637" s="54"/>
      <c r="Y637" s="54"/>
      <c r="Z637" s="54"/>
      <c r="AA637" s="54"/>
      <c r="AB637" s="54"/>
    </row>
    <row r="638">
      <c r="A638" s="57"/>
      <c r="B638" s="10" t="str">
        <f>IFERROR(VLOOKUP(C638,'Employees List'!$B$1:$G$999,4,0),"")</f>
        <v/>
      </c>
      <c r="C638" s="9"/>
      <c r="D638" s="9"/>
      <c r="E638" s="56"/>
      <c r="F638" s="56"/>
      <c r="G638" s="56"/>
      <c r="H638" s="50"/>
      <c r="I638" s="54"/>
      <c r="J638" s="54"/>
      <c r="K638" s="54"/>
      <c r="L638" s="54"/>
      <c r="M638" s="54"/>
      <c r="N638" s="54"/>
      <c r="O638" s="54"/>
      <c r="P638" s="54"/>
      <c r="Q638" s="54"/>
      <c r="R638" s="54"/>
      <c r="S638" s="54"/>
      <c r="T638" s="54"/>
      <c r="U638" s="54"/>
      <c r="V638" s="54"/>
      <c r="W638" s="54"/>
      <c r="X638" s="54"/>
      <c r="Y638" s="54"/>
      <c r="Z638" s="54"/>
      <c r="AA638" s="54"/>
      <c r="AB638" s="54"/>
    </row>
    <row r="639">
      <c r="A639" s="57"/>
      <c r="B639" s="10" t="str">
        <f>IFERROR(VLOOKUP(C639,'Employees List'!$B$1:$G$999,4,0),"")</f>
        <v/>
      </c>
      <c r="C639" s="9"/>
      <c r="D639" s="9"/>
      <c r="E639" s="56"/>
      <c r="F639" s="56"/>
      <c r="G639" s="56"/>
      <c r="H639" s="50"/>
      <c r="I639" s="54"/>
      <c r="J639" s="54"/>
      <c r="K639" s="54"/>
      <c r="L639" s="54"/>
      <c r="M639" s="54"/>
      <c r="N639" s="54"/>
      <c r="O639" s="54"/>
      <c r="P639" s="54"/>
      <c r="Q639" s="54"/>
      <c r="R639" s="54"/>
      <c r="S639" s="54"/>
      <c r="T639" s="54"/>
      <c r="U639" s="54"/>
      <c r="V639" s="54"/>
      <c r="W639" s="54"/>
      <c r="X639" s="54"/>
      <c r="Y639" s="54"/>
      <c r="Z639" s="54"/>
      <c r="AA639" s="54"/>
      <c r="AB639" s="54"/>
    </row>
    <row r="640">
      <c r="A640" s="57"/>
      <c r="B640" s="10" t="str">
        <f>IFERROR(VLOOKUP(C640,'Employees List'!$B$1:$G$999,4,0),"")</f>
        <v/>
      </c>
      <c r="C640" s="9"/>
      <c r="D640" s="9"/>
      <c r="E640" s="56"/>
      <c r="F640" s="56"/>
      <c r="G640" s="56"/>
      <c r="H640" s="50"/>
      <c r="I640" s="54"/>
      <c r="J640" s="54"/>
      <c r="K640" s="54"/>
      <c r="L640" s="54"/>
      <c r="M640" s="54"/>
      <c r="N640" s="54"/>
      <c r="O640" s="54"/>
      <c r="P640" s="54"/>
      <c r="Q640" s="54"/>
      <c r="R640" s="54"/>
      <c r="S640" s="54"/>
      <c r="T640" s="54"/>
      <c r="U640" s="54"/>
      <c r="V640" s="54"/>
      <c r="W640" s="54"/>
      <c r="X640" s="54"/>
      <c r="Y640" s="54"/>
      <c r="Z640" s="54"/>
      <c r="AA640" s="54"/>
      <c r="AB640" s="54"/>
    </row>
    <row r="641">
      <c r="A641" s="57"/>
      <c r="B641" s="10" t="str">
        <f>IFERROR(VLOOKUP(C641,'Employees List'!$B$1:$G$999,4,0),"")</f>
        <v/>
      </c>
      <c r="C641" s="9"/>
      <c r="D641" s="9"/>
      <c r="E641" s="56"/>
      <c r="F641" s="56"/>
      <c r="G641" s="56"/>
      <c r="H641" s="50"/>
      <c r="I641" s="54"/>
      <c r="J641" s="54"/>
      <c r="K641" s="54"/>
      <c r="L641" s="54"/>
      <c r="M641" s="54"/>
      <c r="N641" s="54"/>
      <c r="O641" s="54"/>
      <c r="P641" s="54"/>
      <c r="Q641" s="54"/>
      <c r="R641" s="54"/>
      <c r="S641" s="54"/>
      <c r="T641" s="54"/>
      <c r="U641" s="54"/>
      <c r="V641" s="54"/>
      <c r="W641" s="54"/>
      <c r="X641" s="54"/>
      <c r="Y641" s="54"/>
      <c r="Z641" s="54"/>
      <c r="AA641" s="54"/>
      <c r="AB641" s="54"/>
    </row>
    <row r="642">
      <c r="A642" s="57"/>
      <c r="B642" s="10" t="str">
        <f>IFERROR(VLOOKUP(C642,'Employees List'!$B$1:$G$999,4,0),"")</f>
        <v/>
      </c>
      <c r="C642" s="9"/>
      <c r="D642" s="9"/>
      <c r="E642" s="56"/>
      <c r="F642" s="56"/>
      <c r="G642" s="56"/>
      <c r="H642" s="50"/>
      <c r="I642" s="54"/>
      <c r="J642" s="54"/>
      <c r="K642" s="54"/>
      <c r="L642" s="54"/>
      <c r="M642" s="54"/>
      <c r="N642" s="54"/>
      <c r="O642" s="54"/>
      <c r="P642" s="54"/>
      <c r="Q642" s="54"/>
      <c r="R642" s="54"/>
      <c r="S642" s="54"/>
      <c r="T642" s="54"/>
      <c r="U642" s="54"/>
      <c r="V642" s="54"/>
      <c r="W642" s="54"/>
      <c r="X642" s="54"/>
      <c r="Y642" s="54"/>
      <c r="Z642" s="54"/>
      <c r="AA642" s="54"/>
      <c r="AB642" s="54"/>
    </row>
    <row r="643">
      <c r="A643" s="57"/>
      <c r="B643" s="10" t="str">
        <f>IFERROR(VLOOKUP(C643,'Employees List'!$B$1:$G$999,4,0),"")</f>
        <v/>
      </c>
      <c r="C643" s="9"/>
      <c r="D643" s="9"/>
      <c r="E643" s="56"/>
      <c r="F643" s="56"/>
      <c r="G643" s="56"/>
      <c r="H643" s="50"/>
      <c r="I643" s="54"/>
      <c r="J643" s="54"/>
      <c r="K643" s="54"/>
      <c r="L643" s="54"/>
      <c r="M643" s="54"/>
      <c r="N643" s="54"/>
      <c r="O643" s="54"/>
      <c r="P643" s="54"/>
      <c r="Q643" s="54"/>
      <c r="R643" s="54"/>
      <c r="S643" s="54"/>
      <c r="T643" s="54"/>
      <c r="U643" s="54"/>
      <c r="V643" s="54"/>
      <c r="W643" s="54"/>
      <c r="X643" s="54"/>
      <c r="Y643" s="54"/>
      <c r="Z643" s="54"/>
      <c r="AA643" s="54"/>
      <c r="AB643" s="54"/>
    </row>
    <row r="644">
      <c r="A644" s="57"/>
      <c r="B644" s="10" t="str">
        <f>IFERROR(VLOOKUP(C644,'Employees List'!$B$1:$G$999,4,0),"")</f>
        <v/>
      </c>
      <c r="C644" s="9"/>
      <c r="D644" s="9"/>
      <c r="E644" s="56"/>
      <c r="F644" s="56"/>
      <c r="G644" s="56"/>
      <c r="H644" s="50"/>
      <c r="I644" s="54"/>
      <c r="J644" s="54"/>
      <c r="K644" s="54"/>
      <c r="L644" s="54"/>
      <c r="M644" s="54"/>
      <c r="N644" s="54"/>
      <c r="O644" s="54"/>
      <c r="P644" s="54"/>
      <c r="Q644" s="54"/>
      <c r="R644" s="54"/>
      <c r="S644" s="54"/>
      <c r="T644" s="54"/>
      <c r="U644" s="54"/>
      <c r="V644" s="54"/>
      <c r="W644" s="54"/>
      <c r="X644" s="54"/>
      <c r="Y644" s="54"/>
      <c r="Z644" s="54"/>
      <c r="AA644" s="54"/>
      <c r="AB644" s="54"/>
    </row>
    <row r="645">
      <c r="A645" s="57"/>
      <c r="B645" s="10" t="str">
        <f>IFERROR(VLOOKUP(C645,'Employees List'!$B$1:$G$999,4,0),"")</f>
        <v/>
      </c>
      <c r="C645" s="9"/>
      <c r="D645" s="9"/>
      <c r="E645" s="56"/>
      <c r="F645" s="56"/>
      <c r="G645" s="56"/>
      <c r="H645" s="50"/>
      <c r="I645" s="54"/>
      <c r="J645" s="54"/>
      <c r="K645" s="54"/>
      <c r="L645" s="54"/>
      <c r="M645" s="54"/>
      <c r="N645" s="54"/>
      <c r="O645" s="54"/>
      <c r="P645" s="54"/>
      <c r="Q645" s="54"/>
      <c r="R645" s="54"/>
      <c r="S645" s="54"/>
      <c r="T645" s="54"/>
      <c r="U645" s="54"/>
      <c r="V645" s="54"/>
      <c r="W645" s="54"/>
      <c r="X645" s="54"/>
      <c r="Y645" s="54"/>
      <c r="Z645" s="54"/>
      <c r="AA645" s="54"/>
      <c r="AB645" s="54"/>
    </row>
    <row r="646">
      <c r="A646" s="57"/>
      <c r="B646" s="10" t="str">
        <f>IFERROR(VLOOKUP(C646,'Employees List'!$B$1:$G$999,4,0),"")</f>
        <v/>
      </c>
      <c r="C646" s="9"/>
      <c r="D646" s="9"/>
      <c r="E646" s="56"/>
      <c r="F646" s="56"/>
      <c r="G646" s="56"/>
      <c r="H646" s="50"/>
      <c r="I646" s="54"/>
      <c r="J646" s="54"/>
      <c r="K646" s="54"/>
      <c r="L646" s="54"/>
      <c r="M646" s="54"/>
      <c r="N646" s="54"/>
      <c r="O646" s="54"/>
      <c r="P646" s="54"/>
      <c r="Q646" s="54"/>
      <c r="R646" s="54"/>
      <c r="S646" s="54"/>
      <c r="T646" s="54"/>
      <c r="U646" s="54"/>
      <c r="V646" s="54"/>
      <c r="W646" s="54"/>
      <c r="X646" s="54"/>
      <c r="Y646" s="54"/>
      <c r="Z646" s="54"/>
      <c r="AA646" s="54"/>
      <c r="AB646" s="54"/>
    </row>
    <row r="647">
      <c r="A647" s="57"/>
      <c r="B647" s="10" t="str">
        <f>IFERROR(VLOOKUP(C647,'Employees List'!$B$1:$G$999,4,0),"")</f>
        <v/>
      </c>
      <c r="C647" s="9"/>
      <c r="D647" s="9"/>
      <c r="E647" s="56"/>
      <c r="F647" s="56"/>
      <c r="G647" s="56"/>
      <c r="H647" s="50"/>
      <c r="I647" s="54"/>
      <c r="J647" s="54"/>
      <c r="K647" s="54"/>
      <c r="L647" s="54"/>
      <c r="M647" s="54"/>
      <c r="N647" s="54"/>
      <c r="O647" s="54"/>
      <c r="P647" s="54"/>
      <c r="Q647" s="54"/>
      <c r="R647" s="54"/>
      <c r="S647" s="54"/>
      <c r="T647" s="54"/>
      <c r="U647" s="54"/>
      <c r="V647" s="54"/>
      <c r="W647" s="54"/>
      <c r="X647" s="54"/>
      <c r="Y647" s="54"/>
      <c r="Z647" s="54"/>
      <c r="AA647" s="54"/>
      <c r="AB647" s="54"/>
    </row>
    <row r="648">
      <c r="A648" s="57"/>
      <c r="B648" s="10" t="str">
        <f>IFERROR(VLOOKUP(C648,'Employees List'!$B$1:$G$999,4,0),"")</f>
        <v/>
      </c>
      <c r="C648" s="9"/>
      <c r="D648" s="9"/>
      <c r="E648" s="56"/>
      <c r="F648" s="56"/>
      <c r="G648" s="56"/>
      <c r="H648" s="50"/>
      <c r="I648" s="54"/>
      <c r="J648" s="54"/>
      <c r="K648" s="54"/>
      <c r="L648" s="54"/>
      <c r="M648" s="54"/>
      <c r="N648" s="54"/>
      <c r="O648" s="54"/>
      <c r="P648" s="54"/>
      <c r="Q648" s="54"/>
      <c r="R648" s="54"/>
      <c r="S648" s="54"/>
      <c r="T648" s="54"/>
      <c r="U648" s="54"/>
      <c r="V648" s="54"/>
      <c r="W648" s="54"/>
      <c r="X648" s="54"/>
      <c r="Y648" s="54"/>
      <c r="Z648" s="54"/>
      <c r="AA648" s="54"/>
      <c r="AB648" s="54"/>
    </row>
    <row r="649">
      <c r="A649" s="57"/>
      <c r="B649" s="10" t="str">
        <f>IFERROR(VLOOKUP(C649,'Employees List'!$B$1:$G$999,4,0),"")</f>
        <v/>
      </c>
      <c r="C649" s="9"/>
      <c r="D649" s="9"/>
      <c r="E649" s="56"/>
      <c r="F649" s="56"/>
      <c r="G649" s="56"/>
      <c r="H649" s="50"/>
      <c r="I649" s="54"/>
      <c r="J649" s="54"/>
      <c r="K649" s="54"/>
      <c r="L649" s="54"/>
      <c r="M649" s="54"/>
      <c r="N649" s="54"/>
      <c r="O649" s="54"/>
      <c r="P649" s="54"/>
      <c r="Q649" s="54"/>
      <c r="R649" s="54"/>
      <c r="S649" s="54"/>
      <c r="T649" s="54"/>
      <c r="U649" s="54"/>
      <c r="V649" s="54"/>
      <c r="W649" s="54"/>
      <c r="X649" s="54"/>
      <c r="Y649" s="54"/>
      <c r="Z649" s="54"/>
      <c r="AA649" s="54"/>
      <c r="AB649" s="54"/>
    </row>
    <row r="650">
      <c r="A650" s="57"/>
      <c r="B650" s="10" t="str">
        <f>IFERROR(VLOOKUP(C650,'Employees List'!$B$1:$G$999,4,0),"")</f>
        <v/>
      </c>
      <c r="C650" s="9"/>
      <c r="D650" s="9"/>
      <c r="E650" s="56"/>
      <c r="F650" s="56"/>
      <c r="G650" s="56"/>
      <c r="H650" s="50"/>
      <c r="I650" s="54"/>
      <c r="J650" s="54"/>
      <c r="K650" s="54"/>
      <c r="L650" s="54"/>
      <c r="M650" s="54"/>
      <c r="N650" s="54"/>
      <c r="O650" s="54"/>
      <c r="P650" s="54"/>
      <c r="Q650" s="54"/>
      <c r="R650" s="54"/>
      <c r="S650" s="54"/>
      <c r="T650" s="54"/>
      <c r="U650" s="54"/>
      <c r="V650" s="54"/>
      <c r="W650" s="54"/>
      <c r="X650" s="54"/>
      <c r="Y650" s="54"/>
      <c r="Z650" s="54"/>
      <c r="AA650" s="54"/>
      <c r="AB650" s="54"/>
    </row>
    <row r="651">
      <c r="A651" s="57"/>
      <c r="B651" s="10" t="str">
        <f>IFERROR(VLOOKUP(C651,'Employees List'!$B$1:$G$999,4,0),"")</f>
        <v/>
      </c>
      <c r="C651" s="9"/>
      <c r="D651" s="9"/>
      <c r="E651" s="56"/>
      <c r="F651" s="56"/>
      <c r="G651" s="56"/>
      <c r="H651" s="50"/>
      <c r="I651" s="54"/>
      <c r="J651" s="54"/>
      <c r="K651" s="54"/>
      <c r="L651" s="54"/>
      <c r="M651" s="54"/>
      <c r="N651" s="54"/>
      <c r="O651" s="54"/>
      <c r="P651" s="54"/>
      <c r="Q651" s="54"/>
      <c r="R651" s="54"/>
      <c r="S651" s="54"/>
      <c r="T651" s="54"/>
      <c r="U651" s="54"/>
      <c r="V651" s="54"/>
      <c r="W651" s="54"/>
      <c r="X651" s="54"/>
      <c r="Y651" s="54"/>
      <c r="Z651" s="54"/>
      <c r="AA651" s="54"/>
      <c r="AB651" s="54"/>
    </row>
    <row r="652">
      <c r="A652" s="57"/>
      <c r="B652" s="10" t="str">
        <f>IFERROR(VLOOKUP(C652,'Employees List'!$B$1:$G$999,4,0),"")</f>
        <v/>
      </c>
      <c r="C652" s="9"/>
      <c r="D652" s="9"/>
      <c r="E652" s="56"/>
      <c r="F652" s="56"/>
      <c r="G652" s="56"/>
      <c r="H652" s="50"/>
      <c r="I652" s="54"/>
      <c r="J652" s="54"/>
      <c r="K652" s="54"/>
      <c r="L652" s="54"/>
      <c r="M652" s="54"/>
      <c r="N652" s="54"/>
      <c r="O652" s="54"/>
      <c r="P652" s="54"/>
      <c r="Q652" s="54"/>
      <c r="R652" s="54"/>
      <c r="S652" s="54"/>
      <c r="T652" s="54"/>
      <c r="U652" s="54"/>
      <c r="V652" s="54"/>
      <c r="W652" s="54"/>
      <c r="X652" s="54"/>
      <c r="Y652" s="54"/>
      <c r="Z652" s="54"/>
      <c r="AA652" s="54"/>
      <c r="AB652" s="54"/>
    </row>
    <row r="653">
      <c r="A653" s="57"/>
      <c r="B653" s="10" t="str">
        <f>IFERROR(VLOOKUP(C653,'Employees List'!$B$1:$G$999,4,0),"")</f>
        <v/>
      </c>
      <c r="C653" s="9"/>
      <c r="D653" s="9"/>
      <c r="E653" s="56"/>
      <c r="F653" s="56"/>
      <c r="G653" s="56"/>
      <c r="H653" s="50"/>
      <c r="I653" s="54"/>
      <c r="J653" s="54"/>
      <c r="K653" s="54"/>
      <c r="L653" s="54"/>
      <c r="M653" s="54"/>
      <c r="N653" s="54"/>
      <c r="O653" s="54"/>
      <c r="P653" s="54"/>
      <c r="Q653" s="54"/>
      <c r="R653" s="54"/>
      <c r="S653" s="54"/>
      <c r="T653" s="54"/>
      <c r="U653" s="54"/>
      <c r="V653" s="54"/>
      <c r="W653" s="54"/>
      <c r="X653" s="54"/>
      <c r="Y653" s="54"/>
      <c r="Z653" s="54"/>
      <c r="AA653" s="54"/>
      <c r="AB653" s="54"/>
    </row>
    <row r="654">
      <c r="A654" s="57"/>
      <c r="B654" s="10" t="str">
        <f>IFERROR(VLOOKUP(C654,'Employees List'!$B$1:$G$999,4,0),"")</f>
        <v/>
      </c>
      <c r="C654" s="9"/>
      <c r="D654" s="9"/>
      <c r="E654" s="56"/>
      <c r="F654" s="56"/>
      <c r="G654" s="56"/>
      <c r="H654" s="50"/>
      <c r="I654" s="54"/>
      <c r="J654" s="54"/>
      <c r="K654" s="54"/>
      <c r="L654" s="54"/>
      <c r="M654" s="54"/>
      <c r="N654" s="54"/>
      <c r="O654" s="54"/>
      <c r="P654" s="54"/>
      <c r="Q654" s="54"/>
      <c r="R654" s="54"/>
      <c r="S654" s="54"/>
      <c r="T654" s="54"/>
      <c r="U654" s="54"/>
      <c r="V654" s="54"/>
      <c r="W654" s="54"/>
      <c r="X654" s="54"/>
      <c r="Y654" s="54"/>
      <c r="Z654" s="54"/>
      <c r="AA654" s="54"/>
      <c r="AB654" s="54"/>
    </row>
    <row r="655">
      <c r="A655" s="57"/>
      <c r="B655" s="10" t="str">
        <f>IFERROR(VLOOKUP(C655,'Employees List'!$B$1:$G$999,4,0),"")</f>
        <v/>
      </c>
      <c r="C655" s="9"/>
      <c r="D655" s="9"/>
      <c r="E655" s="56"/>
      <c r="F655" s="56"/>
      <c r="G655" s="56"/>
      <c r="H655" s="50"/>
      <c r="I655" s="54"/>
      <c r="J655" s="54"/>
      <c r="K655" s="54"/>
      <c r="L655" s="54"/>
      <c r="M655" s="54"/>
      <c r="N655" s="54"/>
      <c r="O655" s="54"/>
      <c r="P655" s="54"/>
      <c r="Q655" s="54"/>
      <c r="R655" s="54"/>
      <c r="S655" s="54"/>
      <c r="T655" s="54"/>
      <c r="U655" s="54"/>
      <c r="V655" s="54"/>
      <c r="W655" s="54"/>
      <c r="X655" s="54"/>
      <c r="Y655" s="54"/>
      <c r="Z655" s="54"/>
      <c r="AA655" s="54"/>
      <c r="AB655" s="54"/>
    </row>
    <row r="656">
      <c r="A656" s="57"/>
      <c r="B656" s="10" t="str">
        <f>IFERROR(VLOOKUP(C656,'Employees List'!$B$1:$G$999,4,0),"")</f>
        <v/>
      </c>
      <c r="C656" s="9"/>
      <c r="D656" s="9"/>
      <c r="E656" s="56"/>
      <c r="F656" s="56"/>
      <c r="G656" s="56"/>
      <c r="H656" s="50"/>
      <c r="I656" s="54"/>
      <c r="J656" s="54"/>
      <c r="K656" s="54"/>
      <c r="L656" s="54"/>
      <c r="M656" s="54"/>
      <c r="N656" s="54"/>
      <c r="O656" s="54"/>
      <c r="P656" s="54"/>
      <c r="Q656" s="54"/>
      <c r="R656" s="54"/>
      <c r="S656" s="54"/>
      <c r="T656" s="54"/>
      <c r="U656" s="54"/>
      <c r="V656" s="54"/>
      <c r="W656" s="54"/>
      <c r="X656" s="54"/>
      <c r="Y656" s="54"/>
      <c r="Z656" s="54"/>
      <c r="AA656" s="54"/>
      <c r="AB656" s="54"/>
    </row>
    <row r="657">
      <c r="A657" s="57"/>
      <c r="B657" s="10" t="str">
        <f>IFERROR(VLOOKUP(C657,'Employees List'!$B$1:$G$999,4,0),"")</f>
        <v/>
      </c>
      <c r="C657" s="9"/>
      <c r="D657" s="9"/>
      <c r="E657" s="56"/>
      <c r="F657" s="56"/>
      <c r="G657" s="56"/>
      <c r="H657" s="50"/>
      <c r="I657" s="54"/>
      <c r="J657" s="54"/>
      <c r="K657" s="54"/>
      <c r="L657" s="54"/>
      <c r="M657" s="54"/>
      <c r="N657" s="54"/>
      <c r="O657" s="54"/>
      <c r="P657" s="54"/>
      <c r="Q657" s="54"/>
      <c r="R657" s="54"/>
      <c r="S657" s="54"/>
      <c r="T657" s="54"/>
      <c r="U657" s="54"/>
      <c r="V657" s="54"/>
      <c r="W657" s="54"/>
      <c r="X657" s="54"/>
      <c r="Y657" s="54"/>
      <c r="Z657" s="54"/>
      <c r="AA657" s="54"/>
      <c r="AB657" s="54"/>
    </row>
    <row r="658">
      <c r="A658" s="57"/>
      <c r="B658" s="10" t="str">
        <f>IFERROR(VLOOKUP(C658,'Employees List'!$B$1:$G$999,4,0),"")</f>
        <v/>
      </c>
      <c r="C658" s="9"/>
      <c r="D658" s="9"/>
      <c r="E658" s="56"/>
      <c r="F658" s="56"/>
      <c r="G658" s="56"/>
      <c r="H658" s="50"/>
      <c r="I658" s="54"/>
      <c r="J658" s="54"/>
      <c r="K658" s="54"/>
      <c r="L658" s="54"/>
      <c r="M658" s="54"/>
      <c r="N658" s="54"/>
      <c r="O658" s="54"/>
      <c r="P658" s="54"/>
      <c r="Q658" s="54"/>
      <c r="R658" s="54"/>
      <c r="S658" s="54"/>
      <c r="T658" s="54"/>
      <c r="U658" s="54"/>
      <c r="V658" s="54"/>
      <c r="W658" s="54"/>
      <c r="X658" s="54"/>
      <c r="Y658" s="54"/>
      <c r="Z658" s="54"/>
      <c r="AA658" s="54"/>
      <c r="AB658" s="54"/>
    </row>
    <row r="659">
      <c r="A659" s="57"/>
      <c r="B659" s="10" t="str">
        <f>IFERROR(VLOOKUP(C659,'Employees List'!$B$1:$G$999,4,0),"")</f>
        <v/>
      </c>
      <c r="C659" s="9"/>
      <c r="D659" s="9"/>
      <c r="E659" s="56"/>
      <c r="F659" s="56"/>
      <c r="G659" s="56"/>
      <c r="H659" s="50"/>
      <c r="I659" s="54"/>
      <c r="J659" s="54"/>
      <c r="K659" s="54"/>
      <c r="L659" s="54"/>
      <c r="M659" s="54"/>
      <c r="N659" s="54"/>
      <c r="O659" s="54"/>
      <c r="P659" s="54"/>
      <c r="Q659" s="54"/>
      <c r="R659" s="54"/>
      <c r="S659" s="54"/>
      <c r="T659" s="54"/>
      <c r="U659" s="54"/>
      <c r="V659" s="54"/>
      <c r="W659" s="54"/>
      <c r="X659" s="54"/>
      <c r="Y659" s="54"/>
      <c r="Z659" s="54"/>
      <c r="AA659" s="54"/>
      <c r="AB659" s="54"/>
    </row>
    <row r="660">
      <c r="A660" s="57"/>
      <c r="B660" s="10" t="str">
        <f>IFERROR(VLOOKUP(C660,'Employees List'!$B$1:$G$999,4,0),"")</f>
        <v/>
      </c>
      <c r="C660" s="9"/>
      <c r="D660" s="9"/>
      <c r="E660" s="56"/>
      <c r="F660" s="56"/>
      <c r="G660" s="56"/>
      <c r="H660" s="50"/>
      <c r="I660" s="54"/>
      <c r="J660" s="54"/>
      <c r="K660" s="54"/>
      <c r="L660" s="54"/>
      <c r="M660" s="54"/>
      <c r="N660" s="54"/>
      <c r="O660" s="54"/>
      <c r="P660" s="54"/>
      <c r="Q660" s="54"/>
      <c r="R660" s="54"/>
      <c r="S660" s="54"/>
      <c r="T660" s="54"/>
      <c r="U660" s="54"/>
      <c r="V660" s="54"/>
      <c r="W660" s="54"/>
      <c r="X660" s="54"/>
      <c r="Y660" s="54"/>
      <c r="Z660" s="54"/>
      <c r="AA660" s="54"/>
      <c r="AB660" s="54"/>
    </row>
    <row r="661">
      <c r="A661" s="57"/>
      <c r="B661" s="10" t="str">
        <f>IFERROR(VLOOKUP(C661,'Employees List'!$B$1:$G$999,4,0),"")</f>
        <v/>
      </c>
      <c r="C661" s="9"/>
      <c r="D661" s="9"/>
      <c r="E661" s="56"/>
      <c r="F661" s="56"/>
      <c r="G661" s="56"/>
      <c r="H661" s="50"/>
      <c r="I661" s="54"/>
      <c r="J661" s="54"/>
      <c r="K661" s="54"/>
      <c r="L661" s="54"/>
      <c r="M661" s="54"/>
      <c r="N661" s="54"/>
      <c r="O661" s="54"/>
      <c r="P661" s="54"/>
      <c r="Q661" s="54"/>
      <c r="R661" s="54"/>
      <c r="S661" s="54"/>
      <c r="T661" s="54"/>
      <c r="U661" s="54"/>
      <c r="V661" s="54"/>
      <c r="W661" s="54"/>
      <c r="X661" s="54"/>
      <c r="Y661" s="54"/>
      <c r="Z661" s="54"/>
      <c r="AA661" s="54"/>
      <c r="AB661" s="54"/>
    </row>
    <row r="662">
      <c r="A662" s="57"/>
      <c r="B662" s="10" t="str">
        <f>IFERROR(VLOOKUP(C662,'Employees List'!$B$1:$G$999,4,0),"")</f>
        <v/>
      </c>
      <c r="C662" s="9"/>
      <c r="D662" s="9"/>
      <c r="E662" s="56"/>
      <c r="F662" s="56"/>
      <c r="G662" s="56"/>
      <c r="H662" s="50"/>
      <c r="I662" s="54"/>
      <c r="J662" s="54"/>
      <c r="K662" s="54"/>
      <c r="L662" s="54"/>
      <c r="M662" s="54"/>
      <c r="N662" s="54"/>
      <c r="O662" s="54"/>
      <c r="P662" s="54"/>
      <c r="Q662" s="54"/>
      <c r="R662" s="54"/>
      <c r="S662" s="54"/>
      <c r="T662" s="54"/>
      <c r="U662" s="54"/>
      <c r="V662" s="54"/>
      <c r="W662" s="54"/>
      <c r="X662" s="54"/>
      <c r="Y662" s="54"/>
      <c r="Z662" s="54"/>
      <c r="AA662" s="54"/>
      <c r="AB662" s="54"/>
    </row>
    <row r="663">
      <c r="A663" s="57"/>
      <c r="B663" s="10" t="str">
        <f>IFERROR(VLOOKUP(C663,'Employees List'!$B$1:$G$999,4,0),"")</f>
        <v/>
      </c>
      <c r="C663" s="9"/>
      <c r="D663" s="9"/>
      <c r="E663" s="56"/>
      <c r="F663" s="56"/>
      <c r="G663" s="56"/>
      <c r="H663" s="50"/>
      <c r="I663" s="54"/>
      <c r="J663" s="54"/>
      <c r="K663" s="54"/>
      <c r="L663" s="54"/>
      <c r="M663" s="54"/>
      <c r="N663" s="54"/>
      <c r="O663" s="54"/>
      <c r="P663" s="54"/>
      <c r="Q663" s="54"/>
      <c r="R663" s="54"/>
      <c r="S663" s="54"/>
      <c r="T663" s="54"/>
      <c r="U663" s="54"/>
      <c r="V663" s="54"/>
      <c r="W663" s="54"/>
      <c r="X663" s="54"/>
      <c r="Y663" s="54"/>
      <c r="Z663" s="54"/>
      <c r="AA663" s="54"/>
      <c r="AB663" s="54"/>
    </row>
    <row r="664">
      <c r="A664" s="57"/>
      <c r="B664" s="10" t="str">
        <f>IFERROR(VLOOKUP(C664,'Employees List'!$B$1:$G$999,4,0),"")</f>
        <v/>
      </c>
      <c r="C664" s="9"/>
      <c r="D664" s="9"/>
      <c r="E664" s="56"/>
      <c r="F664" s="56"/>
      <c r="G664" s="56"/>
      <c r="H664" s="50"/>
      <c r="I664" s="54"/>
      <c r="J664" s="54"/>
      <c r="K664" s="54"/>
      <c r="L664" s="54"/>
      <c r="M664" s="54"/>
      <c r="N664" s="54"/>
      <c r="O664" s="54"/>
      <c r="P664" s="54"/>
      <c r="Q664" s="54"/>
      <c r="R664" s="54"/>
      <c r="S664" s="54"/>
      <c r="T664" s="54"/>
      <c r="U664" s="54"/>
      <c r="V664" s="54"/>
      <c r="W664" s="54"/>
      <c r="X664" s="54"/>
      <c r="Y664" s="54"/>
      <c r="Z664" s="54"/>
      <c r="AA664" s="54"/>
      <c r="AB664" s="54"/>
    </row>
    <row r="665">
      <c r="A665" s="57"/>
      <c r="B665" s="10" t="str">
        <f>IFERROR(VLOOKUP(C665,'Employees List'!$B$1:$G$999,4,0),"")</f>
        <v/>
      </c>
      <c r="C665" s="9"/>
      <c r="D665" s="9"/>
      <c r="E665" s="56"/>
      <c r="F665" s="56"/>
      <c r="G665" s="56"/>
      <c r="H665" s="50"/>
      <c r="I665" s="54"/>
      <c r="J665" s="54"/>
      <c r="K665" s="54"/>
      <c r="L665" s="54"/>
      <c r="M665" s="54"/>
      <c r="N665" s="54"/>
      <c r="O665" s="54"/>
      <c r="P665" s="54"/>
      <c r="Q665" s="54"/>
      <c r="R665" s="54"/>
      <c r="S665" s="54"/>
      <c r="T665" s="54"/>
      <c r="U665" s="54"/>
      <c r="V665" s="54"/>
      <c r="W665" s="54"/>
      <c r="X665" s="54"/>
      <c r="Y665" s="54"/>
      <c r="Z665" s="54"/>
      <c r="AA665" s="54"/>
      <c r="AB665" s="54"/>
    </row>
    <row r="666">
      <c r="A666" s="57"/>
      <c r="B666" s="10" t="str">
        <f>IFERROR(VLOOKUP(C666,'Employees List'!$B$1:$G$999,4,0),"")</f>
        <v/>
      </c>
      <c r="C666" s="9"/>
      <c r="D666" s="9"/>
      <c r="E666" s="56"/>
      <c r="F666" s="56"/>
      <c r="G666" s="56"/>
      <c r="H666" s="50"/>
      <c r="I666" s="54"/>
      <c r="J666" s="54"/>
      <c r="K666" s="54"/>
      <c r="L666" s="54"/>
      <c r="M666" s="54"/>
      <c r="N666" s="54"/>
      <c r="O666" s="54"/>
      <c r="P666" s="54"/>
      <c r="Q666" s="54"/>
      <c r="R666" s="54"/>
      <c r="S666" s="54"/>
      <c r="T666" s="54"/>
      <c r="U666" s="54"/>
      <c r="V666" s="54"/>
      <c r="W666" s="54"/>
      <c r="X666" s="54"/>
      <c r="Y666" s="54"/>
      <c r="Z666" s="54"/>
      <c r="AA666" s="54"/>
      <c r="AB666" s="54"/>
    </row>
    <row r="667">
      <c r="A667" s="57"/>
      <c r="B667" s="10" t="str">
        <f>IFERROR(VLOOKUP(C667,'Employees List'!$B$1:$G$999,4,0),"")</f>
        <v/>
      </c>
      <c r="C667" s="9"/>
      <c r="D667" s="9"/>
      <c r="E667" s="56"/>
      <c r="F667" s="56"/>
      <c r="G667" s="56"/>
      <c r="H667" s="50"/>
      <c r="I667" s="54"/>
      <c r="J667" s="54"/>
      <c r="K667" s="54"/>
      <c r="L667" s="54"/>
      <c r="M667" s="54"/>
      <c r="N667" s="54"/>
      <c r="O667" s="54"/>
      <c r="P667" s="54"/>
      <c r="Q667" s="54"/>
      <c r="R667" s="54"/>
      <c r="S667" s="54"/>
      <c r="T667" s="54"/>
      <c r="U667" s="54"/>
      <c r="V667" s="54"/>
      <c r="W667" s="54"/>
      <c r="X667" s="54"/>
      <c r="Y667" s="54"/>
      <c r="Z667" s="54"/>
      <c r="AA667" s="54"/>
      <c r="AB667" s="54"/>
    </row>
    <row r="668">
      <c r="A668" s="57"/>
      <c r="B668" s="10" t="str">
        <f>IFERROR(VLOOKUP(C668,'Employees List'!$B$1:$G$999,4,0),"")</f>
        <v/>
      </c>
      <c r="C668" s="9"/>
      <c r="D668" s="9"/>
      <c r="E668" s="56"/>
      <c r="F668" s="56"/>
      <c r="G668" s="56"/>
      <c r="H668" s="50"/>
      <c r="I668" s="54"/>
      <c r="J668" s="54"/>
      <c r="K668" s="54"/>
      <c r="L668" s="54"/>
      <c r="M668" s="54"/>
      <c r="N668" s="54"/>
      <c r="O668" s="54"/>
      <c r="P668" s="54"/>
      <c r="Q668" s="54"/>
      <c r="R668" s="54"/>
      <c r="S668" s="54"/>
      <c r="T668" s="54"/>
      <c r="U668" s="54"/>
      <c r="V668" s="54"/>
      <c r="W668" s="54"/>
      <c r="X668" s="54"/>
      <c r="Y668" s="54"/>
      <c r="Z668" s="54"/>
      <c r="AA668" s="54"/>
      <c r="AB668" s="54"/>
    </row>
    <row r="669">
      <c r="A669" s="57"/>
      <c r="B669" s="10" t="str">
        <f>IFERROR(VLOOKUP(C669,'Employees List'!$B$1:$G$999,4,0),"")</f>
        <v/>
      </c>
      <c r="C669" s="9"/>
      <c r="D669" s="9"/>
      <c r="E669" s="56"/>
      <c r="F669" s="56"/>
      <c r="G669" s="56"/>
      <c r="H669" s="50"/>
      <c r="I669" s="54"/>
      <c r="J669" s="54"/>
      <c r="K669" s="54"/>
      <c r="L669" s="54"/>
      <c r="M669" s="54"/>
      <c r="N669" s="54"/>
      <c r="O669" s="54"/>
      <c r="P669" s="54"/>
      <c r="Q669" s="54"/>
      <c r="R669" s="54"/>
      <c r="S669" s="54"/>
      <c r="T669" s="54"/>
      <c r="U669" s="54"/>
      <c r="V669" s="54"/>
      <c r="W669" s="54"/>
      <c r="X669" s="54"/>
      <c r="Y669" s="54"/>
      <c r="Z669" s="54"/>
      <c r="AA669" s="54"/>
      <c r="AB669" s="54"/>
    </row>
    <row r="670">
      <c r="A670" s="57"/>
      <c r="B670" s="10" t="str">
        <f>IFERROR(VLOOKUP(C670,'Employees List'!$B$1:$G$999,4,0),"")</f>
        <v/>
      </c>
      <c r="C670" s="9"/>
      <c r="D670" s="9"/>
      <c r="E670" s="56"/>
      <c r="F670" s="56"/>
      <c r="G670" s="56"/>
      <c r="H670" s="50"/>
      <c r="I670" s="54"/>
      <c r="J670" s="54"/>
      <c r="K670" s="54"/>
      <c r="L670" s="54"/>
      <c r="M670" s="54"/>
      <c r="N670" s="54"/>
      <c r="O670" s="54"/>
      <c r="P670" s="54"/>
      <c r="Q670" s="54"/>
      <c r="R670" s="54"/>
      <c r="S670" s="54"/>
      <c r="T670" s="54"/>
      <c r="U670" s="54"/>
      <c r="V670" s="54"/>
      <c r="W670" s="54"/>
      <c r="X670" s="54"/>
      <c r="Y670" s="54"/>
      <c r="Z670" s="54"/>
      <c r="AA670" s="54"/>
      <c r="AB670" s="54"/>
    </row>
    <row r="671">
      <c r="A671" s="57"/>
      <c r="B671" s="10" t="str">
        <f>IFERROR(VLOOKUP(C671,'Employees List'!$B$1:$G$999,4,0),"")</f>
        <v/>
      </c>
      <c r="C671" s="9"/>
      <c r="D671" s="9"/>
      <c r="E671" s="56"/>
      <c r="F671" s="56"/>
      <c r="G671" s="56"/>
      <c r="H671" s="50"/>
      <c r="I671" s="54"/>
      <c r="J671" s="54"/>
      <c r="K671" s="54"/>
      <c r="L671" s="54"/>
      <c r="M671" s="54"/>
      <c r="N671" s="54"/>
      <c r="O671" s="54"/>
      <c r="P671" s="54"/>
      <c r="Q671" s="54"/>
      <c r="R671" s="54"/>
      <c r="S671" s="54"/>
      <c r="T671" s="54"/>
      <c r="U671" s="54"/>
      <c r="V671" s="54"/>
      <c r="W671" s="54"/>
      <c r="X671" s="54"/>
      <c r="Y671" s="54"/>
      <c r="Z671" s="54"/>
      <c r="AA671" s="54"/>
      <c r="AB671" s="54"/>
    </row>
    <row r="672">
      <c r="A672" s="57"/>
      <c r="B672" s="10" t="str">
        <f>IFERROR(VLOOKUP(C672,'Employees List'!$B$1:$G$999,4,0),"")</f>
        <v/>
      </c>
      <c r="C672" s="9"/>
      <c r="D672" s="9"/>
      <c r="E672" s="56"/>
      <c r="F672" s="56"/>
      <c r="G672" s="56"/>
      <c r="H672" s="50"/>
      <c r="I672" s="54"/>
      <c r="J672" s="54"/>
      <c r="K672" s="54"/>
      <c r="L672" s="54"/>
      <c r="M672" s="54"/>
      <c r="N672" s="54"/>
      <c r="O672" s="54"/>
      <c r="P672" s="54"/>
      <c r="Q672" s="54"/>
      <c r="R672" s="54"/>
      <c r="S672" s="54"/>
      <c r="T672" s="54"/>
      <c r="U672" s="54"/>
      <c r="V672" s="54"/>
      <c r="W672" s="54"/>
      <c r="X672" s="54"/>
      <c r="Y672" s="54"/>
      <c r="Z672" s="54"/>
      <c r="AA672" s="54"/>
      <c r="AB672" s="54"/>
    </row>
    <row r="673">
      <c r="A673" s="57"/>
      <c r="B673" s="10" t="str">
        <f>IFERROR(VLOOKUP(C673,'Employees List'!$B$1:$G$999,4,0),"")</f>
        <v/>
      </c>
      <c r="C673" s="9"/>
      <c r="D673" s="9"/>
      <c r="E673" s="56"/>
      <c r="F673" s="56"/>
      <c r="G673" s="56"/>
      <c r="H673" s="50"/>
      <c r="I673" s="54"/>
      <c r="J673" s="54"/>
      <c r="K673" s="54"/>
      <c r="L673" s="54"/>
      <c r="M673" s="54"/>
      <c r="N673" s="54"/>
      <c r="O673" s="54"/>
      <c r="P673" s="54"/>
      <c r="Q673" s="54"/>
      <c r="R673" s="54"/>
      <c r="S673" s="54"/>
      <c r="T673" s="54"/>
      <c r="U673" s="54"/>
      <c r="V673" s="54"/>
      <c r="W673" s="54"/>
      <c r="X673" s="54"/>
      <c r="Y673" s="54"/>
      <c r="Z673" s="54"/>
      <c r="AA673" s="54"/>
      <c r="AB673" s="54"/>
    </row>
    <row r="674">
      <c r="A674" s="57"/>
      <c r="B674" s="10" t="str">
        <f>IFERROR(VLOOKUP(C674,'Employees List'!$B$1:$G$999,4,0),"")</f>
        <v/>
      </c>
      <c r="C674" s="9"/>
      <c r="D674" s="9"/>
      <c r="E674" s="56"/>
      <c r="F674" s="56"/>
      <c r="G674" s="56"/>
      <c r="H674" s="50"/>
      <c r="I674" s="54"/>
      <c r="J674" s="54"/>
      <c r="K674" s="54"/>
      <c r="L674" s="54"/>
      <c r="M674" s="54"/>
      <c r="N674" s="54"/>
      <c r="O674" s="54"/>
      <c r="P674" s="54"/>
      <c r="Q674" s="54"/>
      <c r="R674" s="54"/>
      <c r="S674" s="54"/>
      <c r="T674" s="54"/>
      <c r="U674" s="54"/>
      <c r="V674" s="54"/>
      <c r="W674" s="54"/>
      <c r="X674" s="54"/>
      <c r="Y674" s="54"/>
      <c r="Z674" s="54"/>
      <c r="AA674" s="54"/>
      <c r="AB674" s="54"/>
    </row>
    <row r="675">
      <c r="A675" s="57"/>
      <c r="B675" s="10" t="str">
        <f>IFERROR(VLOOKUP(C675,'Employees List'!$B$1:$G$999,4,0),"")</f>
        <v/>
      </c>
      <c r="C675" s="9"/>
      <c r="D675" s="9"/>
      <c r="E675" s="56"/>
      <c r="F675" s="56"/>
      <c r="G675" s="56"/>
      <c r="H675" s="50"/>
      <c r="I675" s="54"/>
      <c r="J675" s="54"/>
      <c r="K675" s="54"/>
      <c r="L675" s="54"/>
      <c r="M675" s="54"/>
      <c r="N675" s="54"/>
      <c r="O675" s="54"/>
      <c r="P675" s="54"/>
      <c r="Q675" s="54"/>
      <c r="R675" s="54"/>
      <c r="S675" s="54"/>
      <c r="T675" s="54"/>
      <c r="U675" s="54"/>
      <c r="V675" s="54"/>
      <c r="W675" s="54"/>
      <c r="X675" s="54"/>
      <c r="Y675" s="54"/>
      <c r="Z675" s="54"/>
      <c r="AA675" s="54"/>
      <c r="AB675" s="54"/>
    </row>
    <row r="676">
      <c r="A676" s="57"/>
      <c r="B676" s="10" t="str">
        <f>IFERROR(VLOOKUP(C676,'Employees List'!$B$1:$G$999,4,0),"")</f>
        <v/>
      </c>
      <c r="C676" s="9"/>
      <c r="D676" s="9"/>
      <c r="E676" s="56"/>
      <c r="F676" s="56"/>
      <c r="G676" s="56"/>
      <c r="H676" s="50"/>
      <c r="I676" s="54"/>
      <c r="J676" s="54"/>
      <c r="K676" s="54"/>
      <c r="L676" s="54"/>
      <c r="M676" s="54"/>
      <c r="N676" s="54"/>
      <c r="O676" s="54"/>
      <c r="P676" s="54"/>
      <c r="Q676" s="54"/>
      <c r="R676" s="54"/>
      <c r="S676" s="54"/>
      <c r="T676" s="54"/>
      <c r="U676" s="54"/>
      <c r="V676" s="54"/>
      <c r="W676" s="54"/>
      <c r="X676" s="54"/>
      <c r="Y676" s="54"/>
      <c r="Z676" s="54"/>
      <c r="AA676" s="54"/>
      <c r="AB676" s="54"/>
    </row>
    <row r="677">
      <c r="A677" s="57"/>
      <c r="B677" s="10" t="str">
        <f>IFERROR(VLOOKUP(C677,'Employees List'!$B$1:$G$999,4,0),"")</f>
        <v/>
      </c>
      <c r="C677" s="9"/>
      <c r="D677" s="9"/>
      <c r="E677" s="56"/>
      <c r="F677" s="56"/>
      <c r="G677" s="56"/>
      <c r="H677" s="50"/>
      <c r="I677" s="54"/>
      <c r="J677" s="54"/>
      <c r="K677" s="54"/>
      <c r="L677" s="54"/>
      <c r="M677" s="54"/>
      <c r="N677" s="54"/>
      <c r="O677" s="54"/>
      <c r="P677" s="54"/>
      <c r="Q677" s="54"/>
      <c r="R677" s="54"/>
      <c r="S677" s="54"/>
      <c r="T677" s="54"/>
      <c r="U677" s="54"/>
      <c r="V677" s="54"/>
      <c r="W677" s="54"/>
      <c r="X677" s="54"/>
      <c r="Y677" s="54"/>
      <c r="Z677" s="54"/>
      <c r="AA677" s="54"/>
      <c r="AB677" s="54"/>
    </row>
    <row r="678">
      <c r="A678" s="57"/>
      <c r="B678" s="10" t="str">
        <f>IFERROR(VLOOKUP(C678,'Employees List'!$B$1:$G$999,4,0),"")</f>
        <v/>
      </c>
      <c r="C678" s="9"/>
      <c r="D678" s="9"/>
      <c r="E678" s="56"/>
      <c r="F678" s="56"/>
      <c r="G678" s="56"/>
      <c r="H678" s="50"/>
      <c r="I678" s="54"/>
      <c r="J678" s="54"/>
      <c r="K678" s="54"/>
      <c r="L678" s="54"/>
      <c r="M678" s="54"/>
      <c r="N678" s="54"/>
      <c r="O678" s="54"/>
      <c r="P678" s="54"/>
      <c r="Q678" s="54"/>
      <c r="R678" s="54"/>
      <c r="S678" s="54"/>
      <c r="T678" s="54"/>
      <c r="U678" s="54"/>
      <c r="V678" s="54"/>
      <c r="W678" s="54"/>
      <c r="X678" s="54"/>
      <c r="Y678" s="54"/>
      <c r="Z678" s="54"/>
      <c r="AA678" s="54"/>
      <c r="AB678" s="54"/>
    </row>
    <row r="679">
      <c r="A679" s="57"/>
      <c r="B679" s="10" t="str">
        <f>IFERROR(VLOOKUP(C679,'Employees List'!$B$1:$G$999,4,0),"")</f>
        <v/>
      </c>
      <c r="C679" s="9"/>
      <c r="D679" s="9"/>
      <c r="E679" s="56"/>
      <c r="F679" s="56"/>
      <c r="G679" s="56"/>
      <c r="H679" s="50"/>
      <c r="I679" s="54"/>
      <c r="J679" s="54"/>
      <c r="K679" s="54"/>
      <c r="L679" s="54"/>
      <c r="M679" s="54"/>
      <c r="N679" s="54"/>
      <c r="O679" s="54"/>
      <c r="P679" s="54"/>
      <c r="Q679" s="54"/>
      <c r="R679" s="54"/>
      <c r="S679" s="54"/>
      <c r="T679" s="54"/>
      <c r="U679" s="54"/>
      <c r="V679" s="54"/>
      <c r="W679" s="54"/>
      <c r="X679" s="54"/>
      <c r="Y679" s="54"/>
      <c r="Z679" s="54"/>
      <c r="AA679" s="54"/>
      <c r="AB679" s="54"/>
    </row>
    <row r="680">
      <c r="A680" s="57"/>
      <c r="B680" s="10" t="str">
        <f>IFERROR(VLOOKUP(C680,'Employees List'!$B$1:$G$999,4,0),"")</f>
        <v/>
      </c>
      <c r="C680" s="9"/>
      <c r="D680" s="9"/>
      <c r="E680" s="56"/>
      <c r="F680" s="56"/>
      <c r="G680" s="56"/>
      <c r="H680" s="50"/>
      <c r="I680" s="54"/>
      <c r="J680" s="54"/>
      <c r="K680" s="54"/>
      <c r="L680" s="54"/>
      <c r="M680" s="54"/>
      <c r="N680" s="54"/>
      <c r="O680" s="54"/>
      <c r="P680" s="54"/>
      <c r="Q680" s="54"/>
      <c r="R680" s="54"/>
      <c r="S680" s="54"/>
      <c r="T680" s="54"/>
      <c r="U680" s="54"/>
      <c r="V680" s="54"/>
      <c r="W680" s="54"/>
      <c r="X680" s="54"/>
      <c r="Y680" s="54"/>
      <c r="Z680" s="54"/>
      <c r="AA680" s="54"/>
      <c r="AB680" s="54"/>
    </row>
    <row r="681">
      <c r="A681" s="57"/>
      <c r="B681" s="10" t="str">
        <f>IFERROR(VLOOKUP(C681,'Employees List'!$B$1:$G$999,4,0),"")</f>
        <v/>
      </c>
      <c r="C681" s="9"/>
      <c r="D681" s="9"/>
      <c r="E681" s="56"/>
      <c r="F681" s="56"/>
      <c r="G681" s="56"/>
      <c r="H681" s="50"/>
      <c r="I681" s="54"/>
      <c r="J681" s="54"/>
      <c r="K681" s="54"/>
      <c r="L681" s="54"/>
      <c r="M681" s="54"/>
      <c r="N681" s="54"/>
      <c r="O681" s="54"/>
      <c r="P681" s="54"/>
      <c r="Q681" s="54"/>
      <c r="R681" s="54"/>
      <c r="S681" s="54"/>
      <c r="T681" s="54"/>
      <c r="U681" s="54"/>
      <c r="V681" s="54"/>
      <c r="W681" s="54"/>
      <c r="X681" s="54"/>
      <c r="Y681" s="54"/>
      <c r="Z681" s="54"/>
      <c r="AA681" s="54"/>
      <c r="AB681" s="54"/>
    </row>
    <row r="682">
      <c r="A682" s="57"/>
      <c r="B682" s="10" t="str">
        <f>IFERROR(VLOOKUP(C682,'Employees List'!$B$1:$G$999,4,0),"")</f>
        <v/>
      </c>
      <c r="C682" s="9"/>
      <c r="D682" s="9"/>
      <c r="E682" s="56"/>
      <c r="F682" s="56"/>
      <c r="G682" s="56"/>
      <c r="H682" s="50"/>
      <c r="I682" s="54"/>
      <c r="J682" s="54"/>
      <c r="K682" s="54"/>
      <c r="L682" s="54"/>
      <c r="M682" s="54"/>
      <c r="N682" s="54"/>
      <c r="O682" s="54"/>
      <c r="P682" s="54"/>
      <c r="Q682" s="54"/>
      <c r="R682" s="54"/>
      <c r="S682" s="54"/>
      <c r="T682" s="54"/>
      <c r="U682" s="54"/>
      <c r="V682" s="54"/>
      <c r="W682" s="54"/>
      <c r="X682" s="54"/>
      <c r="Y682" s="54"/>
      <c r="Z682" s="54"/>
      <c r="AA682" s="54"/>
      <c r="AB682" s="54"/>
    </row>
    <row r="683">
      <c r="A683" s="57"/>
      <c r="B683" s="10" t="str">
        <f>IFERROR(VLOOKUP(C683,'Employees List'!$B$1:$G$999,4,0),"")</f>
        <v/>
      </c>
      <c r="C683" s="9"/>
      <c r="D683" s="9"/>
      <c r="E683" s="56"/>
      <c r="F683" s="56"/>
      <c r="G683" s="56"/>
      <c r="H683" s="50"/>
      <c r="I683" s="54"/>
      <c r="J683" s="54"/>
      <c r="K683" s="54"/>
      <c r="L683" s="54"/>
      <c r="M683" s="54"/>
      <c r="N683" s="54"/>
      <c r="O683" s="54"/>
      <c r="P683" s="54"/>
      <c r="Q683" s="54"/>
      <c r="R683" s="54"/>
      <c r="S683" s="54"/>
      <c r="T683" s="54"/>
      <c r="U683" s="54"/>
      <c r="V683" s="54"/>
      <c r="W683" s="54"/>
      <c r="X683" s="54"/>
      <c r="Y683" s="54"/>
      <c r="Z683" s="54"/>
      <c r="AA683" s="54"/>
      <c r="AB683" s="54"/>
    </row>
    <row r="684">
      <c r="A684" s="57"/>
      <c r="B684" s="10" t="str">
        <f>IFERROR(VLOOKUP(C684,'Employees List'!$B$1:$G$999,4,0),"")</f>
        <v/>
      </c>
      <c r="C684" s="9"/>
      <c r="D684" s="9"/>
      <c r="E684" s="56"/>
      <c r="F684" s="56"/>
      <c r="G684" s="56"/>
      <c r="H684" s="50"/>
      <c r="I684" s="54"/>
      <c r="J684" s="54"/>
      <c r="K684" s="54"/>
      <c r="L684" s="54"/>
      <c r="M684" s="54"/>
      <c r="N684" s="54"/>
      <c r="O684" s="54"/>
      <c r="P684" s="54"/>
      <c r="Q684" s="54"/>
      <c r="R684" s="54"/>
      <c r="S684" s="54"/>
      <c r="T684" s="54"/>
      <c r="U684" s="54"/>
      <c r="V684" s="54"/>
      <c r="W684" s="54"/>
      <c r="X684" s="54"/>
      <c r="Y684" s="54"/>
      <c r="Z684" s="54"/>
      <c r="AA684" s="54"/>
      <c r="AB684" s="54"/>
    </row>
    <row r="685">
      <c r="A685" s="57"/>
      <c r="B685" s="10" t="str">
        <f>IFERROR(VLOOKUP(C685,'Employees List'!$B$1:$G$999,4,0),"")</f>
        <v/>
      </c>
      <c r="C685" s="9"/>
      <c r="D685" s="9"/>
      <c r="E685" s="56"/>
      <c r="F685" s="56"/>
      <c r="G685" s="56"/>
      <c r="H685" s="50"/>
      <c r="I685" s="54"/>
      <c r="J685" s="54"/>
      <c r="K685" s="54"/>
      <c r="L685" s="54"/>
      <c r="M685" s="54"/>
      <c r="N685" s="54"/>
      <c r="O685" s="54"/>
      <c r="P685" s="54"/>
      <c r="Q685" s="54"/>
      <c r="R685" s="54"/>
      <c r="S685" s="54"/>
      <c r="T685" s="54"/>
      <c r="U685" s="54"/>
      <c r="V685" s="54"/>
      <c r="W685" s="54"/>
      <c r="X685" s="54"/>
      <c r="Y685" s="54"/>
      <c r="Z685" s="54"/>
      <c r="AA685" s="54"/>
      <c r="AB685" s="54"/>
    </row>
    <row r="686">
      <c r="A686" s="57"/>
      <c r="B686" s="10" t="str">
        <f>IFERROR(VLOOKUP(C686,'Employees List'!$B$1:$G$999,4,0),"")</f>
        <v/>
      </c>
      <c r="C686" s="9"/>
      <c r="D686" s="9"/>
      <c r="E686" s="56"/>
      <c r="F686" s="56"/>
      <c r="G686" s="56"/>
      <c r="H686" s="50"/>
      <c r="I686" s="54"/>
      <c r="J686" s="54"/>
      <c r="K686" s="54"/>
      <c r="L686" s="54"/>
      <c r="M686" s="54"/>
      <c r="N686" s="54"/>
      <c r="O686" s="54"/>
      <c r="P686" s="54"/>
      <c r="Q686" s="54"/>
      <c r="R686" s="54"/>
      <c r="S686" s="54"/>
      <c r="T686" s="54"/>
      <c r="U686" s="54"/>
      <c r="V686" s="54"/>
      <c r="W686" s="54"/>
      <c r="X686" s="54"/>
      <c r="Y686" s="54"/>
      <c r="Z686" s="54"/>
      <c r="AA686" s="54"/>
      <c r="AB686" s="54"/>
    </row>
    <row r="687">
      <c r="A687" s="57"/>
      <c r="B687" s="10" t="str">
        <f>IFERROR(VLOOKUP(C687,'Employees List'!$B$1:$G$999,4,0),"")</f>
        <v/>
      </c>
      <c r="C687" s="9"/>
      <c r="D687" s="9"/>
      <c r="E687" s="56"/>
      <c r="F687" s="56"/>
      <c r="G687" s="56"/>
      <c r="H687" s="50"/>
      <c r="I687" s="54"/>
      <c r="J687" s="54"/>
      <c r="K687" s="54"/>
      <c r="L687" s="54"/>
      <c r="M687" s="54"/>
      <c r="N687" s="54"/>
      <c r="O687" s="54"/>
      <c r="P687" s="54"/>
      <c r="Q687" s="54"/>
      <c r="R687" s="54"/>
      <c r="S687" s="54"/>
      <c r="T687" s="54"/>
      <c r="U687" s="54"/>
      <c r="V687" s="54"/>
      <c r="W687" s="54"/>
      <c r="X687" s="54"/>
      <c r="Y687" s="54"/>
      <c r="Z687" s="54"/>
      <c r="AA687" s="54"/>
      <c r="AB687" s="54"/>
    </row>
    <row r="688">
      <c r="A688" s="57"/>
      <c r="B688" s="10" t="str">
        <f>IFERROR(VLOOKUP(C688,'Employees List'!$B$1:$G$999,4,0),"")</f>
        <v/>
      </c>
      <c r="C688" s="9"/>
      <c r="D688" s="9"/>
      <c r="E688" s="56"/>
      <c r="F688" s="56"/>
      <c r="G688" s="56"/>
      <c r="H688" s="50"/>
      <c r="I688" s="54"/>
      <c r="J688" s="54"/>
      <c r="K688" s="54"/>
      <c r="L688" s="54"/>
      <c r="M688" s="54"/>
      <c r="N688" s="54"/>
      <c r="O688" s="54"/>
      <c r="P688" s="54"/>
      <c r="Q688" s="54"/>
      <c r="R688" s="54"/>
      <c r="S688" s="54"/>
      <c r="T688" s="54"/>
      <c r="U688" s="54"/>
      <c r="V688" s="54"/>
      <c r="W688" s="54"/>
      <c r="X688" s="54"/>
      <c r="Y688" s="54"/>
      <c r="Z688" s="54"/>
      <c r="AA688" s="54"/>
      <c r="AB688" s="54"/>
    </row>
    <row r="689">
      <c r="A689" s="57"/>
      <c r="B689" s="10" t="str">
        <f>IFERROR(VLOOKUP(C689,'Employees List'!$B$1:$G$999,4,0),"")</f>
        <v/>
      </c>
      <c r="C689" s="9"/>
      <c r="D689" s="9"/>
      <c r="E689" s="56"/>
      <c r="F689" s="56"/>
      <c r="G689" s="56"/>
      <c r="H689" s="50"/>
      <c r="I689" s="54"/>
      <c r="J689" s="54"/>
      <c r="K689" s="54"/>
      <c r="L689" s="54"/>
      <c r="M689" s="54"/>
      <c r="N689" s="54"/>
      <c r="O689" s="54"/>
      <c r="P689" s="54"/>
      <c r="Q689" s="54"/>
      <c r="R689" s="54"/>
      <c r="S689" s="54"/>
      <c r="T689" s="54"/>
      <c r="U689" s="54"/>
      <c r="V689" s="54"/>
      <c r="W689" s="54"/>
      <c r="X689" s="54"/>
      <c r="Y689" s="54"/>
      <c r="Z689" s="54"/>
      <c r="AA689" s="54"/>
      <c r="AB689" s="54"/>
    </row>
    <row r="690">
      <c r="A690" s="57"/>
      <c r="B690" s="10" t="str">
        <f>IFERROR(VLOOKUP(C690,'Employees List'!$B$1:$G$999,4,0),"")</f>
        <v/>
      </c>
      <c r="C690" s="9"/>
      <c r="D690" s="9"/>
      <c r="E690" s="56"/>
      <c r="F690" s="56"/>
      <c r="G690" s="56"/>
      <c r="H690" s="50"/>
      <c r="I690" s="54"/>
      <c r="J690" s="54"/>
      <c r="K690" s="54"/>
      <c r="L690" s="54"/>
      <c r="M690" s="54"/>
      <c r="N690" s="54"/>
      <c r="O690" s="54"/>
      <c r="P690" s="54"/>
      <c r="Q690" s="54"/>
      <c r="R690" s="54"/>
      <c r="S690" s="54"/>
      <c r="T690" s="54"/>
      <c r="U690" s="54"/>
      <c r="V690" s="54"/>
      <c r="W690" s="54"/>
      <c r="X690" s="54"/>
      <c r="Y690" s="54"/>
      <c r="Z690" s="54"/>
      <c r="AA690" s="54"/>
      <c r="AB690" s="54"/>
    </row>
    <row r="691">
      <c r="A691" s="57"/>
      <c r="B691" s="10" t="str">
        <f>IFERROR(VLOOKUP(C691,'Employees List'!$B$1:$G$999,4,0),"")</f>
        <v/>
      </c>
      <c r="C691" s="9"/>
      <c r="D691" s="9"/>
      <c r="E691" s="56"/>
      <c r="F691" s="56"/>
      <c r="G691" s="56"/>
      <c r="H691" s="50"/>
      <c r="I691" s="54"/>
      <c r="J691" s="54"/>
      <c r="K691" s="54"/>
      <c r="L691" s="54"/>
      <c r="M691" s="54"/>
      <c r="N691" s="54"/>
      <c r="O691" s="54"/>
      <c r="P691" s="54"/>
      <c r="Q691" s="54"/>
      <c r="R691" s="54"/>
      <c r="S691" s="54"/>
      <c r="T691" s="54"/>
      <c r="U691" s="54"/>
      <c r="V691" s="54"/>
      <c r="W691" s="54"/>
      <c r="X691" s="54"/>
      <c r="Y691" s="54"/>
      <c r="Z691" s="54"/>
      <c r="AA691" s="54"/>
      <c r="AB691" s="54"/>
    </row>
    <row r="692">
      <c r="A692" s="57"/>
      <c r="B692" s="10" t="str">
        <f>IFERROR(VLOOKUP(C692,'Employees List'!$B$1:$G$999,4,0),"")</f>
        <v/>
      </c>
      <c r="C692" s="9"/>
      <c r="D692" s="9"/>
      <c r="E692" s="56"/>
      <c r="F692" s="56"/>
      <c r="G692" s="56"/>
      <c r="H692" s="50"/>
      <c r="I692" s="54"/>
      <c r="J692" s="54"/>
      <c r="K692" s="54"/>
      <c r="L692" s="54"/>
      <c r="M692" s="54"/>
      <c r="N692" s="54"/>
      <c r="O692" s="54"/>
      <c r="P692" s="54"/>
      <c r="Q692" s="54"/>
      <c r="R692" s="54"/>
      <c r="S692" s="54"/>
      <c r="T692" s="54"/>
      <c r="U692" s="54"/>
      <c r="V692" s="54"/>
      <c r="W692" s="54"/>
      <c r="X692" s="54"/>
      <c r="Y692" s="54"/>
      <c r="Z692" s="54"/>
      <c r="AA692" s="54"/>
      <c r="AB692" s="54"/>
    </row>
    <row r="693">
      <c r="A693" s="57"/>
      <c r="B693" s="10" t="str">
        <f>IFERROR(VLOOKUP(C693,'Employees List'!$B$1:$G$999,4,0),"")</f>
        <v/>
      </c>
      <c r="C693" s="9"/>
      <c r="D693" s="9"/>
      <c r="E693" s="56"/>
      <c r="F693" s="56"/>
      <c r="G693" s="56"/>
      <c r="H693" s="50"/>
      <c r="I693" s="54"/>
      <c r="J693" s="54"/>
      <c r="K693" s="54"/>
      <c r="L693" s="54"/>
      <c r="M693" s="54"/>
      <c r="N693" s="54"/>
      <c r="O693" s="54"/>
      <c r="P693" s="54"/>
      <c r="Q693" s="54"/>
      <c r="R693" s="54"/>
      <c r="S693" s="54"/>
      <c r="T693" s="54"/>
      <c r="U693" s="54"/>
      <c r="V693" s="54"/>
      <c r="W693" s="54"/>
      <c r="X693" s="54"/>
      <c r="Y693" s="54"/>
      <c r="Z693" s="54"/>
      <c r="AA693" s="54"/>
      <c r="AB693" s="54"/>
    </row>
    <row r="694">
      <c r="A694" s="57"/>
      <c r="B694" s="10" t="str">
        <f>IFERROR(VLOOKUP(C694,'Employees List'!$B$1:$G$999,4,0),"")</f>
        <v/>
      </c>
      <c r="C694" s="9"/>
      <c r="D694" s="9"/>
      <c r="E694" s="56"/>
      <c r="F694" s="56"/>
      <c r="G694" s="56"/>
      <c r="H694" s="50"/>
      <c r="I694" s="54"/>
      <c r="J694" s="54"/>
      <c r="K694" s="54"/>
      <c r="L694" s="54"/>
      <c r="M694" s="54"/>
      <c r="N694" s="54"/>
      <c r="O694" s="54"/>
      <c r="P694" s="54"/>
      <c r="Q694" s="54"/>
      <c r="R694" s="54"/>
      <c r="S694" s="54"/>
      <c r="T694" s="54"/>
      <c r="U694" s="54"/>
      <c r="V694" s="54"/>
      <c r="W694" s="54"/>
      <c r="X694" s="54"/>
      <c r="Y694" s="54"/>
      <c r="Z694" s="54"/>
      <c r="AA694" s="54"/>
      <c r="AB694" s="54"/>
    </row>
    <row r="695">
      <c r="A695" s="57"/>
      <c r="B695" s="10" t="str">
        <f>IFERROR(VLOOKUP(C695,'Employees List'!$B$1:$G$999,4,0),"")</f>
        <v/>
      </c>
      <c r="C695" s="9"/>
      <c r="D695" s="9"/>
      <c r="E695" s="56"/>
      <c r="F695" s="56"/>
      <c r="G695" s="56"/>
      <c r="H695" s="50"/>
      <c r="I695" s="54"/>
      <c r="J695" s="54"/>
      <c r="K695" s="54"/>
      <c r="L695" s="54"/>
      <c r="M695" s="54"/>
      <c r="N695" s="54"/>
      <c r="O695" s="54"/>
      <c r="P695" s="54"/>
      <c r="Q695" s="54"/>
      <c r="R695" s="54"/>
      <c r="S695" s="54"/>
      <c r="T695" s="54"/>
      <c r="U695" s="54"/>
      <c r="V695" s="54"/>
      <c r="W695" s="54"/>
      <c r="X695" s="54"/>
      <c r="Y695" s="54"/>
      <c r="Z695" s="54"/>
      <c r="AA695" s="54"/>
      <c r="AB695" s="54"/>
    </row>
    <row r="696">
      <c r="A696" s="57"/>
      <c r="B696" s="10" t="str">
        <f>IFERROR(VLOOKUP(C696,'Employees List'!$B$1:$G$999,4,0),"")</f>
        <v/>
      </c>
      <c r="C696" s="9"/>
      <c r="D696" s="9"/>
      <c r="E696" s="56"/>
      <c r="F696" s="56"/>
      <c r="G696" s="56"/>
      <c r="H696" s="50"/>
      <c r="I696" s="54"/>
      <c r="J696" s="54"/>
      <c r="K696" s="54"/>
      <c r="L696" s="54"/>
      <c r="M696" s="54"/>
      <c r="N696" s="54"/>
      <c r="O696" s="54"/>
      <c r="P696" s="54"/>
      <c r="Q696" s="54"/>
      <c r="R696" s="54"/>
      <c r="S696" s="54"/>
      <c r="T696" s="54"/>
      <c r="U696" s="54"/>
      <c r="V696" s="54"/>
      <c r="W696" s="54"/>
      <c r="X696" s="54"/>
      <c r="Y696" s="54"/>
      <c r="Z696" s="54"/>
      <c r="AA696" s="54"/>
      <c r="AB696" s="54"/>
    </row>
    <row r="697">
      <c r="A697" s="57"/>
      <c r="B697" s="10" t="str">
        <f>IFERROR(VLOOKUP(C697,'Employees List'!$B$1:$G$999,4,0),"")</f>
        <v/>
      </c>
      <c r="C697" s="9"/>
      <c r="D697" s="9"/>
      <c r="E697" s="56"/>
      <c r="F697" s="56"/>
      <c r="G697" s="56"/>
      <c r="H697" s="50"/>
      <c r="I697" s="54"/>
      <c r="J697" s="54"/>
      <c r="K697" s="54"/>
      <c r="L697" s="54"/>
      <c r="M697" s="54"/>
      <c r="N697" s="54"/>
      <c r="O697" s="54"/>
      <c r="P697" s="54"/>
      <c r="Q697" s="54"/>
      <c r="R697" s="54"/>
      <c r="S697" s="54"/>
      <c r="T697" s="54"/>
      <c r="U697" s="54"/>
      <c r="V697" s="54"/>
      <c r="W697" s="54"/>
      <c r="X697" s="54"/>
      <c r="Y697" s="54"/>
      <c r="Z697" s="54"/>
      <c r="AA697" s="54"/>
      <c r="AB697" s="54"/>
    </row>
    <row r="698">
      <c r="A698" s="57"/>
      <c r="B698" s="10" t="str">
        <f>IFERROR(VLOOKUP(C698,'Employees List'!$B$1:$G$999,4,0),"")</f>
        <v/>
      </c>
      <c r="C698" s="9"/>
      <c r="D698" s="9"/>
      <c r="E698" s="56"/>
      <c r="F698" s="56"/>
      <c r="G698" s="56"/>
      <c r="H698" s="50"/>
      <c r="I698" s="54"/>
      <c r="J698" s="54"/>
      <c r="K698" s="54"/>
      <c r="L698" s="54"/>
      <c r="M698" s="54"/>
      <c r="N698" s="54"/>
      <c r="O698" s="54"/>
      <c r="P698" s="54"/>
      <c r="Q698" s="54"/>
      <c r="R698" s="54"/>
      <c r="S698" s="54"/>
      <c r="T698" s="54"/>
      <c r="U698" s="54"/>
      <c r="V698" s="54"/>
      <c r="W698" s="54"/>
      <c r="X698" s="54"/>
      <c r="Y698" s="54"/>
      <c r="Z698" s="54"/>
      <c r="AA698" s="54"/>
      <c r="AB698" s="54"/>
    </row>
    <row r="699">
      <c r="A699" s="57"/>
      <c r="B699" s="10" t="str">
        <f>IFERROR(VLOOKUP(C699,'Employees List'!$B$1:$G$999,4,0),"")</f>
        <v/>
      </c>
      <c r="C699" s="9"/>
      <c r="D699" s="9"/>
      <c r="E699" s="56"/>
      <c r="F699" s="56"/>
      <c r="G699" s="56"/>
      <c r="H699" s="50"/>
      <c r="I699" s="54"/>
      <c r="J699" s="54"/>
      <c r="K699" s="54"/>
      <c r="L699" s="54"/>
      <c r="M699" s="54"/>
      <c r="N699" s="54"/>
      <c r="O699" s="54"/>
      <c r="P699" s="54"/>
      <c r="Q699" s="54"/>
      <c r="R699" s="54"/>
      <c r="S699" s="54"/>
      <c r="T699" s="54"/>
      <c r="U699" s="54"/>
      <c r="V699" s="54"/>
      <c r="W699" s="54"/>
      <c r="X699" s="54"/>
      <c r="Y699" s="54"/>
      <c r="Z699" s="54"/>
      <c r="AA699" s="54"/>
      <c r="AB699" s="54"/>
    </row>
    <row r="700">
      <c r="A700" s="57"/>
      <c r="B700" s="10" t="str">
        <f>IFERROR(VLOOKUP(C700,'Employees List'!$B$1:$G$999,4,0),"")</f>
        <v/>
      </c>
      <c r="C700" s="9"/>
      <c r="D700" s="9"/>
      <c r="E700" s="56"/>
      <c r="F700" s="56"/>
      <c r="G700" s="56"/>
      <c r="H700" s="50"/>
      <c r="I700" s="54"/>
      <c r="J700" s="54"/>
      <c r="K700" s="54"/>
      <c r="L700" s="54"/>
      <c r="M700" s="54"/>
      <c r="N700" s="54"/>
      <c r="O700" s="54"/>
      <c r="P700" s="54"/>
      <c r="Q700" s="54"/>
      <c r="R700" s="54"/>
      <c r="S700" s="54"/>
      <c r="T700" s="54"/>
      <c r="U700" s="54"/>
      <c r="V700" s="54"/>
      <c r="W700" s="54"/>
      <c r="X700" s="54"/>
      <c r="Y700" s="54"/>
      <c r="Z700" s="54"/>
      <c r="AA700" s="54"/>
      <c r="AB700" s="54"/>
    </row>
    <row r="701">
      <c r="A701" s="57"/>
      <c r="B701" s="10" t="str">
        <f>IFERROR(VLOOKUP(C701,'Employees List'!$B$1:$G$999,4,0),"")</f>
        <v/>
      </c>
      <c r="C701" s="9"/>
      <c r="D701" s="9"/>
      <c r="E701" s="56"/>
      <c r="F701" s="56"/>
      <c r="G701" s="56"/>
      <c r="H701" s="50"/>
      <c r="I701" s="54"/>
      <c r="J701" s="54"/>
      <c r="K701" s="54"/>
      <c r="L701" s="54"/>
      <c r="M701" s="54"/>
      <c r="N701" s="54"/>
      <c r="O701" s="54"/>
      <c r="P701" s="54"/>
      <c r="Q701" s="54"/>
      <c r="R701" s="54"/>
      <c r="S701" s="54"/>
      <c r="T701" s="54"/>
      <c r="U701" s="54"/>
      <c r="V701" s="54"/>
      <c r="W701" s="54"/>
      <c r="X701" s="54"/>
      <c r="Y701" s="54"/>
      <c r="Z701" s="54"/>
      <c r="AA701" s="54"/>
      <c r="AB701" s="54"/>
    </row>
    <row r="702">
      <c r="A702" s="57"/>
      <c r="B702" s="10" t="str">
        <f>IFERROR(VLOOKUP(C702,'Employees List'!$B$1:$G$999,4,0),"")</f>
        <v/>
      </c>
      <c r="C702" s="9"/>
      <c r="D702" s="9"/>
      <c r="E702" s="56"/>
      <c r="F702" s="56"/>
      <c r="G702" s="56"/>
      <c r="H702" s="50"/>
      <c r="I702" s="54"/>
      <c r="J702" s="54"/>
      <c r="K702" s="54"/>
      <c r="L702" s="54"/>
      <c r="M702" s="54"/>
      <c r="N702" s="54"/>
      <c r="O702" s="54"/>
      <c r="P702" s="54"/>
      <c r="Q702" s="54"/>
      <c r="R702" s="54"/>
      <c r="S702" s="54"/>
      <c r="T702" s="54"/>
      <c r="U702" s="54"/>
      <c r="V702" s="54"/>
      <c r="W702" s="54"/>
      <c r="X702" s="54"/>
      <c r="Y702" s="54"/>
      <c r="Z702" s="54"/>
      <c r="AA702" s="54"/>
      <c r="AB702" s="54"/>
    </row>
    <row r="703">
      <c r="A703" s="57"/>
      <c r="B703" s="10" t="str">
        <f>IFERROR(VLOOKUP(C703,'Employees List'!$B$1:$G$999,4,0),"")</f>
        <v/>
      </c>
      <c r="C703" s="9"/>
      <c r="D703" s="9"/>
      <c r="E703" s="56"/>
      <c r="F703" s="56"/>
      <c r="G703" s="56"/>
      <c r="H703" s="50"/>
      <c r="I703" s="54"/>
      <c r="J703" s="54"/>
      <c r="K703" s="54"/>
      <c r="L703" s="54"/>
      <c r="M703" s="54"/>
      <c r="N703" s="54"/>
      <c r="O703" s="54"/>
      <c r="P703" s="54"/>
      <c r="Q703" s="54"/>
      <c r="R703" s="54"/>
      <c r="S703" s="54"/>
      <c r="T703" s="54"/>
      <c r="U703" s="54"/>
      <c r="V703" s="54"/>
      <c r="W703" s="54"/>
      <c r="X703" s="54"/>
      <c r="Y703" s="54"/>
      <c r="Z703" s="54"/>
      <c r="AA703" s="54"/>
      <c r="AB703" s="54"/>
    </row>
    <row r="704">
      <c r="A704" s="57"/>
      <c r="B704" s="10" t="str">
        <f>IFERROR(VLOOKUP(C704,'Employees List'!$B$1:$G$999,4,0),"")</f>
        <v/>
      </c>
      <c r="C704" s="9"/>
      <c r="D704" s="9"/>
      <c r="E704" s="56"/>
      <c r="F704" s="56"/>
      <c r="G704" s="56"/>
      <c r="H704" s="50"/>
      <c r="I704" s="54"/>
      <c r="J704" s="54"/>
      <c r="K704" s="54"/>
      <c r="L704" s="54"/>
      <c r="M704" s="54"/>
      <c r="N704" s="54"/>
      <c r="O704" s="54"/>
      <c r="P704" s="54"/>
      <c r="Q704" s="54"/>
      <c r="R704" s="54"/>
      <c r="S704" s="54"/>
      <c r="T704" s="54"/>
      <c r="U704" s="54"/>
      <c r="V704" s="54"/>
      <c r="W704" s="54"/>
      <c r="X704" s="54"/>
      <c r="Y704" s="54"/>
      <c r="Z704" s="54"/>
      <c r="AA704" s="54"/>
      <c r="AB704" s="54"/>
    </row>
    <row r="705">
      <c r="A705" s="57"/>
      <c r="B705" s="10" t="str">
        <f>IFERROR(VLOOKUP(C705,'Employees List'!$B$1:$G$999,4,0),"")</f>
        <v/>
      </c>
      <c r="C705" s="9"/>
      <c r="D705" s="9"/>
      <c r="E705" s="56"/>
      <c r="F705" s="56"/>
      <c r="G705" s="56"/>
      <c r="H705" s="50"/>
      <c r="I705" s="54"/>
      <c r="J705" s="54"/>
      <c r="K705" s="54"/>
      <c r="L705" s="54"/>
      <c r="M705" s="54"/>
      <c r="N705" s="54"/>
      <c r="O705" s="54"/>
      <c r="P705" s="54"/>
      <c r="Q705" s="54"/>
      <c r="R705" s="54"/>
      <c r="S705" s="54"/>
      <c r="T705" s="54"/>
      <c r="U705" s="54"/>
      <c r="V705" s="54"/>
      <c r="W705" s="54"/>
      <c r="X705" s="54"/>
      <c r="Y705" s="54"/>
      <c r="Z705" s="54"/>
      <c r="AA705" s="54"/>
      <c r="AB705" s="54"/>
    </row>
    <row r="706">
      <c r="A706" s="57"/>
      <c r="B706" s="10" t="str">
        <f>IFERROR(VLOOKUP(C706,'Employees List'!$B$1:$G$999,4,0),"")</f>
        <v/>
      </c>
      <c r="C706" s="9"/>
      <c r="D706" s="9"/>
      <c r="E706" s="56"/>
      <c r="F706" s="56"/>
      <c r="G706" s="56"/>
      <c r="H706" s="50"/>
      <c r="I706" s="54"/>
      <c r="J706" s="54"/>
      <c r="K706" s="54"/>
      <c r="L706" s="54"/>
      <c r="M706" s="54"/>
      <c r="N706" s="54"/>
      <c r="O706" s="54"/>
      <c r="P706" s="54"/>
      <c r="Q706" s="54"/>
      <c r="R706" s="54"/>
      <c r="S706" s="54"/>
      <c r="T706" s="54"/>
      <c r="U706" s="54"/>
      <c r="V706" s="54"/>
      <c r="W706" s="54"/>
      <c r="X706" s="54"/>
      <c r="Y706" s="54"/>
      <c r="Z706" s="54"/>
      <c r="AA706" s="54"/>
      <c r="AB706" s="54"/>
    </row>
    <row r="707">
      <c r="A707" s="57"/>
      <c r="B707" s="10" t="str">
        <f>IFERROR(VLOOKUP(C707,'Employees List'!$B$1:$G$999,4,0),"")</f>
        <v/>
      </c>
      <c r="C707" s="9"/>
      <c r="D707" s="9"/>
      <c r="E707" s="56"/>
      <c r="F707" s="56"/>
      <c r="G707" s="56"/>
      <c r="H707" s="50"/>
      <c r="I707" s="54"/>
      <c r="J707" s="54"/>
      <c r="K707" s="54"/>
      <c r="L707" s="54"/>
      <c r="M707" s="54"/>
      <c r="N707" s="54"/>
      <c r="O707" s="54"/>
      <c r="P707" s="54"/>
      <c r="Q707" s="54"/>
      <c r="R707" s="54"/>
      <c r="S707" s="54"/>
      <c r="T707" s="54"/>
      <c r="U707" s="54"/>
      <c r="V707" s="54"/>
      <c r="W707" s="54"/>
      <c r="X707" s="54"/>
      <c r="Y707" s="54"/>
      <c r="Z707" s="54"/>
      <c r="AA707" s="54"/>
      <c r="AB707" s="54"/>
    </row>
    <row r="708">
      <c r="A708" s="57"/>
      <c r="B708" s="10" t="str">
        <f>IFERROR(VLOOKUP(C708,'Employees List'!$B$1:$G$999,4,0),"")</f>
        <v/>
      </c>
      <c r="C708" s="9"/>
      <c r="D708" s="9"/>
      <c r="E708" s="56"/>
      <c r="F708" s="56"/>
      <c r="G708" s="56"/>
      <c r="H708" s="50"/>
      <c r="I708" s="54"/>
      <c r="J708" s="54"/>
      <c r="K708" s="54"/>
      <c r="L708" s="54"/>
      <c r="M708" s="54"/>
      <c r="N708" s="54"/>
      <c r="O708" s="54"/>
      <c r="P708" s="54"/>
      <c r="Q708" s="54"/>
      <c r="R708" s="54"/>
      <c r="S708" s="54"/>
      <c r="T708" s="54"/>
      <c r="U708" s="54"/>
      <c r="V708" s="54"/>
      <c r="W708" s="54"/>
      <c r="X708" s="54"/>
      <c r="Y708" s="54"/>
      <c r="Z708" s="54"/>
      <c r="AA708" s="54"/>
      <c r="AB708" s="54"/>
    </row>
    <row r="709">
      <c r="A709" s="57"/>
      <c r="B709" s="10" t="str">
        <f>IFERROR(VLOOKUP(C709,'Employees List'!$B$1:$G$999,4,0),"")</f>
        <v/>
      </c>
      <c r="C709" s="9"/>
      <c r="D709" s="9"/>
      <c r="E709" s="56"/>
      <c r="F709" s="56"/>
      <c r="G709" s="56"/>
      <c r="H709" s="50"/>
      <c r="I709" s="54"/>
      <c r="J709" s="54"/>
      <c r="K709" s="54"/>
      <c r="L709" s="54"/>
      <c r="M709" s="54"/>
      <c r="N709" s="54"/>
      <c r="O709" s="54"/>
      <c r="P709" s="54"/>
      <c r="Q709" s="54"/>
      <c r="R709" s="54"/>
      <c r="S709" s="54"/>
      <c r="T709" s="54"/>
      <c r="U709" s="54"/>
      <c r="V709" s="54"/>
      <c r="W709" s="54"/>
      <c r="X709" s="54"/>
      <c r="Y709" s="54"/>
      <c r="Z709" s="54"/>
      <c r="AA709" s="54"/>
      <c r="AB709" s="54"/>
    </row>
    <row r="710">
      <c r="A710" s="57"/>
      <c r="B710" s="10" t="str">
        <f>IFERROR(VLOOKUP(C710,'Employees List'!$B$1:$G$999,4,0),"")</f>
        <v/>
      </c>
      <c r="C710" s="9"/>
      <c r="D710" s="9"/>
      <c r="E710" s="56"/>
      <c r="F710" s="56"/>
      <c r="G710" s="56"/>
      <c r="H710" s="50"/>
      <c r="I710" s="54"/>
      <c r="J710" s="54"/>
      <c r="K710" s="54"/>
      <c r="L710" s="54"/>
      <c r="M710" s="54"/>
      <c r="N710" s="54"/>
      <c r="O710" s="54"/>
      <c r="P710" s="54"/>
      <c r="Q710" s="54"/>
      <c r="R710" s="54"/>
      <c r="S710" s="54"/>
      <c r="T710" s="54"/>
      <c r="U710" s="54"/>
      <c r="V710" s="54"/>
      <c r="W710" s="54"/>
      <c r="X710" s="54"/>
      <c r="Y710" s="54"/>
      <c r="Z710" s="54"/>
      <c r="AA710" s="54"/>
      <c r="AB710" s="54"/>
    </row>
    <row r="711">
      <c r="A711" s="57"/>
      <c r="B711" s="10" t="str">
        <f>IFERROR(VLOOKUP(C711,'Employees List'!$B$1:$G$999,4,0),"")</f>
        <v/>
      </c>
      <c r="C711" s="9"/>
      <c r="D711" s="9"/>
      <c r="E711" s="56"/>
      <c r="F711" s="56"/>
      <c r="G711" s="56"/>
      <c r="H711" s="50"/>
      <c r="I711" s="54"/>
      <c r="J711" s="54"/>
      <c r="K711" s="54"/>
      <c r="L711" s="54"/>
      <c r="M711" s="54"/>
      <c r="N711" s="54"/>
      <c r="O711" s="54"/>
      <c r="P711" s="54"/>
      <c r="Q711" s="54"/>
      <c r="R711" s="54"/>
      <c r="S711" s="54"/>
      <c r="T711" s="54"/>
      <c r="U711" s="54"/>
      <c r="V711" s="54"/>
      <c r="W711" s="54"/>
      <c r="X711" s="54"/>
      <c r="Y711" s="54"/>
      <c r="Z711" s="54"/>
      <c r="AA711" s="54"/>
      <c r="AB711" s="54"/>
    </row>
    <row r="712">
      <c r="A712" s="57"/>
      <c r="B712" s="10" t="str">
        <f>IFERROR(VLOOKUP(C712,'Employees List'!$B$1:$G$999,4,0),"")</f>
        <v/>
      </c>
      <c r="C712" s="9"/>
      <c r="D712" s="9"/>
      <c r="E712" s="56"/>
      <c r="F712" s="56"/>
      <c r="G712" s="56"/>
      <c r="H712" s="50"/>
      <c r="I712" s="54"/>
      <c r="J712" s="54"/>
      <c r="K712" s="54"/>
      <c r="L712" s="54"/>
      <c r="M712" s="54"/>
      <c r="N712" s="54"/>
      <c r="O712" s="54"/>
      <c r="P712" s="54"/>
      <c r="Q712" s="54"/>
      <c r="R712" s="54"/>
      <c r="S712" s="54"/>
      <c r="T712" s="54"/>
      <c r="U712" s="54"/>
      <c r="V712" s="54"/>
      <c r="W712" s="54"/>
      <c r="X712" s="54"/>
      <c r="Y712" s="54"/>
      <c r="Z712" s="54"/>
      <c r="AA712" s="54"/>
      <c r="AB712" s="54"/>
    </row>
    <row r="713">
      <c r="A713" s="57"/>
      <c r="B713" s="10" t="str">
        <f>IFERROR(VLOOKUP(C713,'Employees List'!$B$1:$G$999,4,0),"")</f>
        <v/>
      </c>
      <c r="C713" s="9"/>
      <c r="D713" s="9"/>
      <c r="E713" s="56"/>
      <c r="F713" s="56"/>
      <c r="G713" s="56"/>
      <c r="H713" s="50"/>
      <c r="I713" s="54"/>
      <c r="J713" s="54"/>
      <c r="K713" s="54"/>
      <c r="L713" s="54"/>
      <c r="M713" s="54"/>
      <c r="N713" s="54"/>
      <c r="O713" s="54"/>
      <c r="P713" s="54"/>
      <c r="Q713" s="54"/>
      <c r="R713" s="54"/>
      <c r="S713" s="54"/>
      <c r="T713" s="54"/>
      <c r="U713" s="54"/>
      <c r="V713" s="54"/>
      <c r="W713" s="54"/>
      <c r="X713" s="54"/>
      <c r="Y713" s="54"/>
      <c r="Z713" s="54"/>
      <c r="AA713" s="54"/>
      <c r="AB713" s="54"/>
    </row>
    <row r="714">
      <c r="A714" s="57"/>
      <c r="B714" s="10" t="str">
        <f>IFERROR(VLOOKUP(C714,'Employees List'!$B$1:$G$999,4,0),"")</f>
        <v/>
      </c>
      <c r="C714" s="9"/>
      <c r="D714" s="9"/>
      <c r="E714" s="56"/>
      <c r="F714" s="56"/>
      <c r="G714" s="56"/>
      <c r="H714" s="50"/>
      <c r="I714" s="54"/>
      <c r="J714" s="54"/>
      <c r="K714" s="54"/>
      <c r="L714" s="54"/>
      <c r="M714" s="54"/>
      <c r="N714" s="54"/>
      <c r="O714" s="54"/>
      <c r="P714" s="54"/>
      <c r="Q714" s="54"/>
      <c r="R714" s="54"/>
      <c r="S714" s="54"/>
      <c r="T714" s="54"/>
      <c r="U714" s="54"/>
      <c r="V714" s="54"/>
      <c r="W714" s="54"/>
      <c r="X714" s="54"/>
      <c r="Y714" s="54"/>
      <c r="Z714" s="54"/>
      <c r="AA714" s="54"/>
      <c r="AB714" s="54"/>
    </row>
    <row r="715">
      <c r="A715" s="57"/>
      <c r="B715" s="10" t="str">
        <f>IFERROR(VLOOKUP(C715,'Employees List'!$B$1:$G$999,4,0),"")</f>
        <v/>
      </c>
      <c r="C715" s="9"/>
      <c r="D715" s="9"/>
      <c r="E715" s="56"/>
      <c r="F715" s="56"/>
      <c r="G715" s="56"/>
      <c r="H715" s="50"/>
      <c r="I715" s="54"/>
      <c r="J715" s="54"/>
      <c r="K715" s="54"/>
      <c r="L715" s="54"/>
      <c r="M715" s="54"/>
      <c r="N715" s="54"/>
      <c r="O715" s="54"/>
      <c r="P715" s="54"/>
      <c r="Q715" s="54"/>
      <c r="R715" s="54"/>
      <c r="S715" s="54"/>
      <c r="T715" s="54"/>
      <c r="U715" s="54"/>
      <c r="V715" s="54"/>
      <c r="W715" s="54"/>
      <c r="X715" s="54"/>
      <c r="Y715" s="54"/>
      <c r="Z715" s="54"/>
      <c r="AA715" s="54"/>
      <c r="AB715" s="54"/>
    </row>
    <row r="716">
      <c r="A716" s="57"/>
      <c r="B716" s="10" t="str">
        <f>IFERROR(VLOOKUP(C716,'Employees List'!$B$1:$G$999,4,0),"")</f>
        <v/>
      </c>
      <c r="C716" s="9"/>
      <c r="D716" s="9"/>
      <c r="E716" s="56"/>
      <c r="F716" s="56"/>
      <c r="G716" s="56"/>
      <c r="H716" s="50"/>
      <c r="I716" s="54"/>
      <c r="J716" s="54"/>
      <c r="K716" s="54"/>
      <c r="L716" s="54"/>
      <c r="M716" s="54"/>
      <c r="N716" s="54"/>
      <c r="O716" s="54"/>
      <c r="P716" s="54"/>
      <c r="Q716" s="54"/>
      <c r="R716" s="54"/>
      <c r="S716" s="54"/>
      <c r="T716" s="54"/>
      <c r="U716" s="54"/>
      <c r="V716" s="54"/>
      <c r="W716" s="54"/>
      <c r="X716" s="54"/>
      <c r="Y716" s="54"/>
      <c r="Z716" s="54"/>
      <c r="AA716" s="54"/>
      <c r="AB716" s="54"/>
    </row>
    <row r="717">
      <c r="A717" s="57"/>
      <c r="B717" s="10" t="str">
        <f>IFERROR(VLOOKUP(C717,'Employees List'!$B$1:$G$999,4,0),"")</f>
        <v/>
      </c>
      <c r="C717" s="9"/>
      <c r="D717" s="9"/>
      <c r="E717" s="56"/>
      <c r="F717" s="56"/>
      <c r="G717" s="56"/>
      <c r="H717" s="50"/>
      <c r="I717" s="54"/>
      <c r="J717" s="54"/>
      <c r="K717" s="54"/>
      <c r="L717" s="54"/>
      <c r="M717" s="54"/>
      <c r="N717" s="54"/>
      <c r="O717" s="54"/>
      <c r="P717" s="54"/>
      <c r="Q717" s="54"/>
      <c r="R717" s="54"/>
      <c r="S717" s="54"/>
      <c r="T717" s="54"/>
      <c r="U717" s="54"/>
      <c r="V717" s="54"/>
      <c r="W717" s="54"/>
      <c r="X717" s="54"/>
      <c r="Y717" s="54"/>
      <c r="Z717" s="54"/>
      <c r="AA717" s="54"/>
      <c r="AB717" s="54"/>
    </row>
    <row r="718">
      <c r="A718" s="57"/>
      <c r="B718" s="10" t="str">
        <f>IFERROR(VLOOKUP(C718,'Employees List'!$B$1:$G$999,4,0),"")</f>
        <v/>
      </c>
      <c r="C718" s="9"/>
      <c r="D718" s="9"/>
      <c r="E718" s="56"/>
      <c r="F718" s="56"/>
      <c r="G718" s="56"/>
      <c r="H718" s="50"/>
      <c r="I718" s="54"/>
      <c r="J718" s="54"/>
      <c r="K718" s="54"/>
      <c r="L718" s="54"/>
      <c r="M718" s="54"/>
      <c r="N718" s="54"/>
      <c r="O718" s="54"/>
      <c r="P718" s="54"/>
      <c r="Q718" s="54"/>
      <c r="R718" s="54"/>
      <c r="S718" s="54"/>
      <c r="T718" s="54"/>
      <c r="U718" s="54"/>
      <c r="V718" s="54"/>
      <c r="W718" s="54"/>
      <c r="X718" s="54"/>
      <c r="Y718" s="54"/>
      <c r="Z718" s="54"/>
      <c r="AA718" s="54"/>
      <c r="AB718" s="54"/>
    </row>
    <row r="719">
      <c r="A719" s="57"/>
      <c r="B719" s="10" t="str">
        <f>IFERROR(VLOOKUP(C719,'Employees List'!$B$1:$G$999,4,0),"")</f>
        <v/>
      </c>
      <c r="C719" s="9"/>
      <c r="D719" s="9"/>
      <c r="E719" s="56"/>
      <c r="F719" s="56"/>
      <c r="G719" s="56"/>
      <c r="H719" s="50"/>
      <c r="I719" s="54"/>
      <c r="J719" s="54"/>
      <c r="K719" s="54"/>
      <c r="L719" s="54"/>
      <c r="M719" s="54"/>
      <c r="N719" s="54"/>
      <c r="O719" s="54"/>
      <c r="P719" s="54"/>
      <c r="Q719" s="54"/>
      <c r="R719" s="54"/>
      <c r="S719" s="54"/>
      <c r="T719" s="54"/>
      <c r="U719" s="54"/>
      <c r="V719" s="54"/>
      <c r="W719" s="54"/>
      <c r="X719" s="54"/>
      <c r="Y719" s="54"/>
      <c r="Z719" s="54"/>
      <c r="AA719" s="54"/>
      <c r="AB719" s="54"/>
    </row>
    <row r="720">
      <c r="A720" s="57"/>
      <c r="B720" s="10" t="str">
        <f>IFERROR(VLOOKUP(C720,'Employees List'!$B$1:$G$999,4,0),"")</f>
        <v/>
      </c>
      <c r="C720" s="9"/>
      <c r="D720" s="9"/>
      <c r="E720" s="56"/>
      <c r="F720" s="56"/>
      <c r="G720" s="56"/>
      <c r="H720" s="50"/>
      <c r="I720" s="54"/>
      <c r="J720" s="54"/>
      <c r="K720" s="54"/>
      <c r="L720" s="54"/>
      <c r="M720" s="54"/>
      <c r="N720" s="54"/>
      <c r="O720" s="54"/>
      <c r="P720" s="54"/>
      <c r="Q720" s="54"/>
      <c r="R720" s="54"/>
      <c r="S720" s="54"/>
      <c r="T720" s="54"/>
      <c r="U720" s="54"/>
      <c r="V720" s="54"/>
      <c r="W720" s="54"/>
      <c r="X720" s="54"/>
      <c r="Y720" s="54"/>
      <c r="Z720" s="54"/>
      <c r="AA720" s="54"/>
      <c r="AB720" s="54"/>
    </row>
    <row r="721">
      <c r="A721" s="57"/>
      <c r="B721" s="10" t="str">
        <f>IFERROR(VLOOKUP(C721,'Employees List'!$B$1:$G$999,4,0),"")</f>
        <v/>
      </c>
      <c r="C721" s="9"/>
      <c r="D721" s="9"/>
      <c r="E721" s="56"/>
      <c r="F721" s="56"/>
      <c r="G721" s="56"/>
      <c r="H721" s="50"/>
      <c r="I721" s="54"/>
      <c r="J721" s="54"/>
      <c r="K721" s="54"/>
      <c r="L721" s="54"/>
      <c r="M721" s="54"/>
      <c r="N721" s="54"/>
      <c r="O721" s="54"/>
      <c r="P721" s="54"/>
      <c r="Q721" s="54"/>
      <c r="R721" s="54"/>
      <c r="S721" s="54"/>
      <c r="T721" s="54"/>
      <c r="U721" s="54"/>
      <c r="V721" s="54"/>
      <c r="W721" s="54"/>
      <c r="X721" s="54"/>
      <c r="Y721" s="54"/>
      <c r="Z721" s="54"/>
      <c r="AA721" s="54"/>
      <c r="AB721" s="54"/>
    </row>
    <row r="722">
      <c r="A722" s="57"/>
      <c r="B722" s="10" t="str">
        <f>IFERROR(VLOOKUP(C722,'Employees List'!$B$1:$G$999,4,0),"")</f>
        <v/>
      </c>
      <c r="C722" s="9"/>
      <c r="D722" s="9"/>
      <c r="E722" s="56"/>
      <c r="F722" s="56"/>
      <c r="G722" s="56"/>
      <c r="H722" s="50"/>
      <c r="I722" s="54"/>
      <c r="J722" s="54"/>
      <c r="K722" s="54"/>
      <c r="L722" s="54"/>
      <c r="M722" s="54"/>
      <c r="N722" s="54"/>
      <c r="O722" s="54"/>
      <c r="P722" s="54"/>
      <c r="Q722" s="54"/>
      <c r="R722" s="54"/>
      <c r="S722" s="54"/>
      <c r="T722" s="54"/>
      <c r="U722" s="54"/>
      <c r="V722" s="54"/>
      <c r="W722" s="54"/>
      <c r="X722" s="54"/>
      <c r="Y722" s="54"/>
      <c r="Z722" s="54"/>
      <c r="AA722" s="54"/>
      <c r="AB722" s="54"/>
    </row>
    <row r="723">
      <c r="A723" s="57"/>
      <c r="B723" s="10" t="str">
        <f>IFERROR(VLOOKUP(C723,'Employees List'!$B$1:$G$999,4,0),"")</f>
        <v/>
      </c>
      <c r="C723" s="9"/>
      <c r="D723" s="9"/>
      <c r="E723" s="56"/>
      <c r="F723" s="56"/>
      <c r="G723" s="56"/>
      <c r="H723" s="50"/>
      <c r="I723" s="54"/>
      <c r="J723" s="54"/>
      <c r="K723" s="54"/>
      <c r="L723" s="54"/>
      <c r="M723" s="54"/>
      <c r="N723" s="54"/>
      <c r="O723" s="54"/>
      <c r="P723" s="54"/>
      <c r="Q723" s="54"/>
      <c r="R723" s="54"/>
      <c r="S723" s="54"/>
      <c r="T723" s="54"/>
      <c r="U723" s="54"/>
      <c r="V723" s="54"/>
      <c r="W723" s="54"/>
      <c r="X723" s="54"/>
      <c r="Y723" s="54"/>
      <c r="Z723" s="54"/>
      <c r="AA723" s="54"/>
      <c r="AB723" s="54"/>
    </row>
    <row r="724">
      <c r="A724" s="57"/>
      <c r="B724" s="10" t="str">
        <f>IFERROR(VLOOKUP(C724,'Employees List'!$B$1:$G$999,4,0),"")</f>
        <v/>
      </c>
      <c r="C724" s="9"/>
      <c r="D724" s="9"/>
      <c r="E724" s="56"/>
      <c r="F724" s="56"/>
      <c r="G724" s="56"/>
      <c r="H724" s="50"/>
      <c r="I724" s="54"/>
      <c r="J724" s="54"/>
      <c r="K724" s="54"/>
      <c r="L724" s="54"/>
      <c r="M724" s="54"/>
      <c r="N724" s="54"/>
      <c r="O724" s="54"/>
      <c r="P724" s="54"/>
      <c r="Q724" s="54"/>
      <c r="R724" s="54"/>
      <c r="S724" s="54"/>
      <c r="T724" s="54"/>
      <c r="U724" s="54"/>
      <c r="V724" s="54"/>
      <c r="W724" s="54"/>
      <c r="X724" s="54"/>
      <c r="Y724" s="54"/>
      <c r="Z724" s="54"/>
      <c r="AA724" s="54"/>
      <c r="AB724" s="54"/>
    </row>
    <row r="725">
      <c r="A725" s="57"/>
      <c r="B725" s="10" t="str">
        <f>IFERROR(VLOOKUP(C725,'Employees List'!$B$1:$G$999,4,0),"")</f>
        <v/>
      </c>
      <c r="C725" s="9"/>
      <c r="D725" s="9"/>
      <c r="E725" s="56"/>
      <c r="F725" s="56"/>
      <c r="G725" s="56"/>
      <c r="H725" s="50"/>
      <c r="I725" s="54"/>
      <c r="J725" s="54"/>
      <c r="K725" s="54"/>
      <c r="L725" s="54"/>
      <c r="M725" s="54"/>
      <c r="N725" s="54"/>
      <c r="O725" s="54"/>
      <c r="P725" s="54"/>
      <c r="Q725" s="54"/>
      <c r="R725" s="54"/>
      <c r="S725" s="54"/>
      <c r="T725" s="54"/>
      <c r="U725" s="54"/>
      <c r="V725" s="54"/>
      <c r="W725" s="54"/>
      <c r="X725" s="54"/>
      <c r="Y725" s="54"/>
      <c r="Z725" s="54"/>
      <c r="AA725" s="54"/>
      <c r="AB725" s="54"/>
    </row>
    <row r="726">
      <c r="A726" s="57"/>
      <c r="B726" s="10" t="str">
        <f>IFERROR(VLOOKUP(C726,'Employees List'!$B$1:$G$999,4,0),"")</f>
        <v/>
      </c>
      <c r="C726" s="9"/>
      <c r="D726" s="9"/>
      <c r="E726" s="56"/>
      <c r="F726" s="56"/>
      <c r="G726" s="56"/>
      <c r="H726" s="50"/>
      <c r="I726" s="54"/>
      <c r="J726" s="54"/>
      <c r="K726" s="54"/>
      <c r="L726" s="54"/>
      <c r="M726" s="54"/>
      <c r="N726" s="54"/>
      <c r="O726" s="54"/>
      <c r="P726" s="54"/>
      <c r="Q726" s="54"/>
      <c r="R726" s="54"/>
      <c r="S726" s="54"/>
      <c r="T726" s="54"/>
      <c r="U726" s="54"/>
      <c r="V726" s="54"/>
      <c r="W726" s="54"/>
      <c r="X726" s="54"/>
      <c r="Y726" s="54"/>
      <c r="Z726" s="54"/>
      <c r="AA726" s="54"/>
      <c r="AB726" s="54"/>
    </row>
    <row r="727">
      <c r="A727" s="57"/>
      <c r="B727" s="10" t="str">
        <f>IFERROR(VLOOKUP(C727,'Employees List'!$B$1:$G$999,4,0),"")</f>
        <v/>
      </c>
      <c r="C727" s="9"/>
      <c r="D727" s="9"/>
      <c r="E727" s="56"/>
      <c r="F727" s="56"/>
      <c r="G727" s="56"/>
      <c r="H727" s="50"/>
      <c r="I727" s="54"/>
      <c r="J727" s="54"/>
      <c r="K727" s="54"/>
      <c r="L727" s="54"/>
      <c r="M727" s="54"/>
      <c r="N727" s="54"/>
      <c r="O727" s="54"/>
      <c r="P727" s="54"/>
      <c r="Q727" s="54"/>
      <c r="R727" s="54"/>
      <c r="S727" s="54"/>
      <c r="T727" s="54"/>
      <c r="U727" s="54"/>
      <c r="V727" s="54"/>
      <c r="W727" s="54"/>
      <c r="X727" s="54"/>
      <c r="Y727" s="54"/>
      <c r="Z727" s="54"/>
      <c r="AA727" s="54"/>
      <c r="AB727" s="54"/>
    </row>
    <row r="728">
      <c r="A728" s="57"/>
      <c r="B728" s="10" t="str">
        <f>IFERROR(VLOOKUP(C728,'Employees List'!$B$1:$G$999,4,0),"")</f>
        <v/>
      </c>
      <c r="C728" s="9"/>
      <c r="D728" s="9"/>
      <c r="E728" s="56"/>
      <c r="F728" s="56"/>
      <c r="G728" s="56"/>
      <c r="H728" s="50"/>
      <c r="I728" s="54"/>
      <c r="J728" s="54"/>
      <c r="K728" s="54"/>
      <c r="L728" s="54"/>
      <c r="M728" s="54"/>
      <c r="N728" s="54"/>
      <c r="O728" s="54"/>
      <c r="P728" s="54"/>
      <c r="Q728" s="54"/>
      <c r="R728" s="54"/>
      <c r="S728" s="54"/>
      <c r="T728" s="54"/>
      <c r="U728" s="54"/>
      <c r="V728" s="54"/>
      <c r="W728" s="54"/>
      <c r="X728" s="54"/>
      <c r="Y728" s="54"/>
      <c r="Z728" s="54"/>
      <c r="AA728" s="54"/>
      <c r="AB728" s="54"/>
    </row>
    <row r="729">
      <c r="A729" s="57"/>
      <c r="B729" s="10" t="str">
        <f>IFERROR(VLOOKUP(C729,'Employees List'!$B$1:$G$999,4,0),"")</f>
        <v/>
      </c>
      <c r="C729" s="9"/>
      <c r="D729" s="9"/>
      <c r="E729" s="56"/>
      <c r="F729" s="56"/>
      <c r="G729" s="56"/>
      <c r="H729" s="50"/>
      <c r="I729" s="54"/>
      <c r="J729" s="54"/>
      <c r="K729" s="54"/>
      <c r="L729" s="54"/>
      <c r="M729" s="54"/>
      <c r="N729" s="54"/>
      <c r="O729" s="54"/>
      <c r="P729" s="54"/>
      <c r="Q729" s="54"/>
      <c r="R729" s="54"/>
      <c r="S729" s="54"/>
      <c r="T729" s="54"/>
      <c r="U729" s="54"/>
      <c r="V729" s="54"/>
      <c r="W729" s="54"/>
      <c r="X729" s="54"/>
      <c r="Y729" s="54"/>
      <c r="Z729" s="54"/>
      <c r="AA729" s="54"/>
      <c r="AB729" s="54"/>
    </row>
    <row r="730">
      <c r="A730" s="57"/>
      <c r="B730" s="10" t="str">
        <f>IFERROR(VLOOKUP(C730,'Employees List'!$B$1:$G$999,4,0),"")</f>
        <v/>
      </c>
      <c r="C730" s="9"/>
      <c r="D730" s="9"/>
      <c r="E730" s="56"/>
      <c r="F730" s="56"/>
      <c r="G730" s="56"/>
      <c r="H730" s="50"/>
      <c r="I730" s="54"/>
      <c r="J730" s="54"/>
      <c r="K730" s="54"/>
      <c r="L730" s="54"/>
      <c r="M730" s="54"/>
      <c r="N730" s="54"/>
      <c r="O730" s="54"/>
      <c r="P730" s="54"/>
      <c r="Q730" s="54"/>
      <c r="R730" s="54"/>
      <c r="S730" s="54"/>
      <c r="T730" s="54"/>
      <c r="U730" s="54"/>
      <c r="V730" s="54"/>
      <c r="W730" s="54"/>
      <c r="X730" s="54"/>
      <c r="Y730" s="54"/>
      <c r="Z730" s="54"/>
      <c r="AA730" s="54"/>
      <c r="AB730" s="54"/>
    </row>
    <row r="731">
      <c r="A731" s="57"/>
      <c r="B731" s="10" t="str">
        <f>IFERROR(VLOOKUP(C731,'Employees List'!$B$1:$G$999,4,0),"")</f>
        <v/>
      </c>
      <c r="C731" s="9"/>
      <c r="D731" s="9"/>
      <c r="E731" s="56"/>
      <c r="F731" s="56"/>
      <c r="G731" s="56"/>
      <c r="H731" s="50"/>
      <c r="I731" s="54"/>
      <c r="J731" s="54"/>
      <c r="K731" s="54"/>
      <c r="L731" s="54"/>
      <c r="M731" s="54"/>
      <c r="N731" s="54"/>
      <c r="O731" s="54"/>
      <c r="P731" s="54"/>
      <c r="Q731" s="54"/>
      <c r="R731" s="54"/>
      <c r="S731" s="54"/>
      <c r="T731" s="54"/>
      <c r="U731" s="54"/>
      <c r="V731" s="54"/>
      <c r="W731" s="54"/>
      <c r="X731" s="54"/>
      <c r="Y731" s="54"/>
      <c r="Z731" s="54"/>
      <c r="AA731" s="54"/>
      <c r="AB731" s="54"/>
    </row>
    <row r="732">
      <c r="A732" s="57"/>
      <c r="B732" s="10" t="str">
        <f>IFERROR(VLOOKUP(C732,'Employees List'!$B$1:$G$999,4,0),"")</f>
        <v/>
      </c>
      <c r="C732" s="9"/>
      <c r="D732" s="9"/>
      <c r="E732" s="56"/>
      <c r="F732" s="56"/>
      <c r="G732" s="56"/>
      <c r="H732" s="50"/>
      <c r="I732" s="54"/>
      <c r="J732" s="54"/>
      <c r="K732" s="54"/>
      <c r="L732" s="54"/>
      <c r="M732" s="54"/>
      <c r="N732" s="54"/>
      <c r="O732" s="54"/>
      <c r="P732" s="54"/>
      <c r="Q732" s="54"/>
      <c r="R732" s="54"/>
      <c r="S732" s="54"/>
      <c r="T732" s="54"/>
      <c r="U732" s="54"/>
      <c r="V732" s="54"/>
      <c r="W732" s="54"/>
      <c r="X732" s="54"/>
      <c r="Y732" s="54"/>
      <c r="Z732" s="54"/>
      <c r="AA732" s="54"/>
      <c r="AB732" s="54"/>
    </row>
    <row r="733">
      <c r="A733" s="57"/>
      <c r="B733" s="10" t="str">
        <f>IFERROR(VLOOKUP(C733,'Employees List'!$B$1:$G$999,4,0),"")</f>
        <v/>
      </c>
      <c r="C733" s="9"/>
      <c r="D733" s="9"/>
      <c r="E733" s="56"/>
      <c r="F733" s="56"/>
      <c r="G733" s="56"/>
      <c r="H733" s="50"/>
      <c r="I733" s="54"/>
      <c r="J733" s="54"/>
      <c r="K733" s="54"/>
      <c r="L733" s="54"/>
      <c r="M733" s="54"/>
      <c r="N733" s="54"/>
      <c r="O733" s="54"/>
      <c r="P733" s="54"/>
      <c r="Q733" s="54"/>
      <c r="R733" s="54"/>
      <c r="S733" s="54"/>
      <c r="T733" s="54"/>
      <c r="U733" s="54"/>
      <c r="V733" s="54"/>
      <c r="W733" s="54"/>
      <c r="X733" s="54"/>
      <c r="Y733" s="54"/>
      <c r="Z733" s="54"/>
      <c r="AA733" s="54"/>
      <c r="AB733" s="54"/>
    </row>
    <row r="734">
      <c r="A734" s="57"/>
      <c r="B734" s="10" t="str">
        <f>IFERROR(VLOOKUP(C734,'Employees List'!$B$1:$G$999,4,0),"")</f>
        <v/>
      </c>
      <c r="C734" s="9"/>
      <c r="D734" s="9"/>
      <c r="E734" s="56"/>
      <c r="F734" s="56"/>
      <c r="G734" s="56"/>
      <c r="H734" s="50"/>
      <c r="I734" s="54"/>
      <c r="J734" s="54"/>
      <c r="K734" s="54"/>
      <c r="L734" s="54"/>
      <c r="M734" s="54"/>
      <c r="N734" s="54"/>
      <c r="O734" s="54"/>
      <c r="P734" s="54"/>
      <c r="Q734" s="54"/>
      <c r="R734" s="54"/>
      <c r="S734" s="54"/>
      <c r="T734" s="54"/>
      <c r="U734" s="54"/>
      <c r="V734" s="54"/>
      <c r="W734" s="54"/>
      <c r="X734" s="54"/>
      <c r="Y734" s="54"/>
      <c r="Z734" s="54"/>
      <c r="AA734" s="54"/>
      <c r="AB734" s="54"/>
    </row>
    <row r="735">
      <c r="A735" s="57"/>
      <c r="B735" s="10" t="str">
        <f>IFERROR(VLOOKUP(C735,'Employees List'!$B$1:$G$999,4,0),"")</f>
        <v/>
      </c>
      <c r="C735" s="9"/>
      <c r="D735" s="9"/>
      <c r="E735" s="56"/>
      <c r="F735" s="56"/>
      <c r="G735" s="56"/>
      <c r="H735" s="50"/>
      <c r="I735" s="54"/>
      <c r="J735" s="54"/>
      <c r="K735" s="54"/>
      <c r="L735" s="54"/>
      <c r="M735" s="54"/>
      <c r="N735" s="54"/>
      <c r="O735" s="54"/>
      <c r="P735" s="54"/>
      <c r="Q735" s="54"/>
      <c r="R735" s="54"/>
      <c r="S735" s="54"/>
      <c r="T735" s="54"/>
      <c r="U735" s="54"/>
      <c r="V735" s="54"/>
      <c r="W735" s="54"/>
      <c r="X735" s="54"/>
      <c r="Y735" s="54"/>
      <c r="Z735" s="54"/>
      <c r="AA735" s="54"/>
      <c r="AB735" s="54"/>
    </row>
    <row r="736">
      <c r="A736" s="57"/>
      <c r="B736" s="10" t="str">
        <f>IFERROR(VLOOKUP(C736,'Employees List'!$B$1:$G$999,4,0),"")</f>
        <v/>
      </c>
      <c r="C736" s="9"/>
      <c r="D736" s="9"/>
      <c r="E736" s="56"/>
      <c r="F736" s="56"/>
      <c r="G736" s="56"/>
      <c r="H736" s="50"/>
      <c r="I736" s="54"/>
      <c r="J736" s="54"/>
      <c r="K736" s="54"/>
      <c r="L736" s="54"/>
      <c r="M736" s="54"/>
      <c r="N736" s="54"/>
      <c r="O736" s="54"/>
      <c r="P736" s="54"/>
      <c r="Q736" s="54"/>
      <c r="R736" s="54"/>
      <c r="S736" s="54"/>
      <c r="T736" s="54"/>
      <c r="U736" s="54"/>
      <c r="V736" s="54"/>
      <c r="W736" s="54"/>
      <c r="X736" s="54"/>
      <c r="Y736" s="54"/>
      <c r="Z736" s="54"/>
      <c r="AA736" s="54"/>
      <c r="AB736" s="54"/>
    </row>
    <row r="737">
      <c r="A737" s="57"/>
      <c r="B737" s="10" t="str">
        <f>IFERROR(VLOOKUP(C737,'Employees List'!$B$1:$G$999,4,0),"")</f>
        <v/>
      </c>
      <c r="C737" s="9"/>
      <c r="D737" s="9"/>
      <c r="E737" s="56"/>
      <c r="F737" s="56"/>
      <c r="G737" s="56"/>
      <c r="H737" s="50"/>
      <c r="I737" s="54"/>
      <c r="J737" s="54"/>
      <c r="K737" s="54"/>
      <c r="L737" s="54"/>
      <c r="M737" s="54"/>
      <c r="N737" s="54"/>
      <c r="O737" s="54"/>
      <c r="P737" s="54"/>
      <c r="Q737" s="54"/>
      <c r="R737" s="54"/>
      <c r="S737" s="54"/>
      <c r="T737" s="54"/>
      <c r="U737" s="54"/>
      <c r="V737" s="54"/>
      <c r="W737" s="54"/>
      <c r="X737" s="54"/>
      <c r="Y737" s="54"/>
      <c r="Z737" s="54"/>
      <c r="AA737" s="54"/>
      <c r="AB737" s="54"/>
    </row>
    <row r="738">
      <c r="A738" s="57"/>
      <c r="B738" s="10" t="str">
        <f>IFERROR(VLOOKUP(C738,'Employees List'!$B$1:$G$999,4,0),"")</f>
        <v/>
      </c>
      <c r="C738" s="9"/>
      <c r="D738" s="9"/>
      <c r="E738" s="56"/>
      <c r="F738" s="56"/>
      <c r="G738" s="56"/>
      <c r="H738" s="50"/>
      <c r="I738" s="54"/>
      <c r="J738" s="54"/>
      <c r="K738" s="54"/>
      <c r="L738" s="54"/>
      <c r="M738" s="54"/>
      <c r="N738" s="54"/>
      <c r="O738" s="54"/>
      <c r="P738" s="54"/>
      <c r="Q738" s="54"/>
      <c r="R738" s="54"/>
      <c r="S738" s="54"/>
      <c r="T738" s="54"/>
      <c r="U738" s="54"/>
      <c r="V738" s="54"/>
      <c r="W738" s="54"/>
      <c r="X738" s="54"/>
      <c r="Y738" s="54"/>
      <c r="Z738" s="54"/>
      <c r="AA738" s="54"/>
      <c r="AB738" s="54"/>
    </row>
    <row r="739">
      <c r="A739" s="57"/>
      <c r="B739" s="10" t="str">
        <f>IFERROR(VLOOKUP(C739,'Employees List'!$B$1:$G$999,4,0),"")</f>
        <v/>
      </c>
      <c r="C739" s="9"/>
      <c r="D739" s="9"/>
      <c r="E739" s="56"/>
      <c r="F739" s="56"/>
      <c r="G739" s="56"/>
      <c r="H739" s="50"/>
      <c r="I739" s="54"/>
      <c r="J739" s="54"/>
      <c r="K739" s="54"/>
      <c r="L739" s="54"/>
      <c r="M739" s="54"/>
      <c r="N739" s="54"/>
      <c r="O739" s="54"/>
      <c r="P739" s="54"/>
      <c r="Q739" s="54"/>
      <c r="R739" s="54"/>
      <c r="S739" s="54"/>
      <c r="T739" s="54"/>
      <c r="U739" s="54"/>
      <c r="V739" s="54"/>
      <c r="W739" s="54"/>
      <c r="X739" s="54"/>
      <c r="Y739" s="54"/>
      <c r="Z739" s="54"/>
      <c r="AA739" s="54"/>
      <c r="AB739" s="54"/>
    </row>
    <row r="740">
      <c r="A740" s="57"/>
      <c r="B740" s="10" t="str">
        <f>IFERROR(VLOOKUP(C740,'Employees List'!$B$1:$G$999,4,0),"")</f>
        <v/>
      </c>
      <c r="C740" s="9"/>
      <c r="D740" s="9"/>
      <c r="E740" s="56"/>
      <c r="F740" s="56"/>
      <c r="G740" s="56"/>
      <c r="H740" s="50"/>
      <c r="I740" s="54"/>
      <c r="J740" s="54"/>
      <c r="K740" s="54"/>
      <c r="L740" s="54"/>
      <c r="M740" s="54"/>
      <c r="N740" s="54"/>
      <c r="O740" s="54"/>
      <c r="P740" s="54"/>
      <c r="Q740" s="54"/>
      <c r="R740" s="54"/>
      <c r="S740" s="54"/>
      <c r="T740" s="54"/>
      <c r="U740" s="54"/>
      <c r="V740" s="54"/>
      <c r="W740" s="54"/>
      <c r="X740" s="54"/>
      <c r="Y740" s="54"/>
      <c r="Z740" s="54"/>
      <c r="AA740" s="54"/>
      <c r="AB740" s="54"/>
    </row>
    <row r="741">
      <c r="A741" s="57"/>
      <c r="B741" s="10" t="str">
        <f>IFERROR(VLOOKUP(C741,'Employees List'!$B$1:$G$999,4,0),"")</f>
        <v/>
      </c>
      <c r="C741" s="9"/>
      <c r="D741" s="9"/>
      <c r="E741" s="56"/>
      <c r="F741" s="56"/>
      <c r="G741" s="56"/>
      <c r="H741" s="50"/>
      <c r="I741" s="54"/>
      <c r="J741" s="54"/>
      <c r="K741" s="54"/>
      <c r="L741" s="54"/>
      <c r="M741" s="54"/>
      <c r="N741" s="54"/>
      <c r="O741" s="54"/>
      <c r="P741" s="54"/>
      <c r="Q741" s="54"/>
      <c r="R741" s="54"/>
      <c r="S741" s="54"/>
      <c r="T741" s="54"/>
      <c r="U741" s="54"/>
      <c r="V741" s="54"/>
      <c r="W741" s="54"/>
      <c r="X741" s="54"/>
      <c r="Y741" s="54"/>
      <c r="Z741" s="54"/>
      <c r="AA741" s="54"/>
      <c r="AB741" s="54"/>
    </row>
    <row r="742">
      <c r="A742" s="57"/>
      <c r="B742" s="10" t="str">
        <f>IFERROR(VLOOKUP(C742,'Employees List'!$B$1:$G$999,4,0),"")</f>
        <v/>
      </c>
      <c r="C742" s="9"/>
      <c r="D742" s="9"/>
      <c r="E742" s="56"/>
      <c r="F742" s="56"/>
      <c r="G742" s="56"/>
      <c r="H742" s="50"/>
      <c r="I742" s="54"/>
      <c r="J742" s="54"/>
      <c r="K742" s="54"/>
      <c r="L742" s="54"/>
      <c r="M742" s="54"/>
      <c r="N742" s="54"/>
      <c r="O742" s="54"/>
      <c r="P742" s="54"/>
      <c r="Q742" s="54"/>
      <c r="R742" s="54"/>
      <c r="S742" s="54"/>
      <c r="T742" s="54"/>
      <c r="U742" s="54"/>
      <c r="V742" s="54"/>
      <c r="W742" s="54"/>
      <c r="X742" s="54"/>
      <c r="Y742" s="54"/>
      <c r="Z742" s="54"/>
      <c r="AA742" s="54"/>
      <c r="AB742" s="54"/>
    </row>
    <row r="743">
      <c r="A743" s="57"/>
      <c r="B743" s="10" t="str">
        <f>IFERROR(VLOOKUP(C743,'Employees List'!$B$1:$G$999,4,0),"")</f>
        <v/>
      </c>
      <c r="C743" s="9"/>
      <c r="D743" s="9"/>
      <c r="E743" s="56"/>
      <c r="F743" s="56"/>
      <c r="G743" s="56"/>
      <c r="H743" s="50"/>
      <c r="I743" s="54"/>
      <c r="J743" s="54"/>
      <c r="K743" s="54"/>
      <c r="L743" s="54"/>
      <c r="M743" s="54"/>
      <c r="N743" s="54"/>
      <c r="O743" s="54"/>
      <c r="P743" s="54"/>
      <c r="Q743" s="54"/>
      <c r="R743" s="54"/>
      <c r="S743" s="54"/>
      <c r="T743" s="54"/>
      <c r="U743" s="54"/>
      <c r="V743" s="54"/>
      <c r="W743" s="54"/>
      <c r="X743" s="54"/>
      <c r="Y743" s="54"/>
      <c r="Z743" s="54"/>
      <c r="AA743" s="54"/>
      <c r="AB743" s="54"/>
    </row>
    <row r="744">
      <c r="A744" s="57"/>
      <c r="B744" s="10" t="str">
        <f>IFERROR(VLOOKUP(C744,'Employees List'!$B$1:$G$999,4,0),"")</f>
        <v/>
      </c>
      <c r="C744" s="9"/>
      <c r="D744" s="9"/>
      <c r="E744" s="56"/>
      <c r="F744" s="56"/>
      <c r="G744" s="56"/>
      <c r="H744" s="50"/>
      <c r="I744" s="54"/>
      <c r="J744" s="54"/>
      <c r="K744" s="54"/>
      <c r="L744" s="54"/>
      <c r="M744" s="54"/>
      <c r="N744" s="54"/>
      <c r="O744" s="54"/>
      <c r="P744" s="54"/>
      <c r="Q744" s="54"/>
      <c r="R744" s="54"/>
      <c r="S744" s="54"/>
      <c r="T744" s="54"/>
      <c r="U744" s="54"/>
      <c r="V744" s="54"/>
      <c r="W744" s="54"/>
      <c r="X744" s="54"/>
      <c r="Y744" s="54"/>
      <c r="Z744" s="54"/>
      <c r="AA744" s="54"/>
      <c r="AB744" s="54"/>
    </row>
    <row r="745">
      <c r="A745" s="57"/>
      <c r="B745" s="10" t="str">
        <f>IFERROR(VLOOKUP(C745,'Employees List'!$B$1:$G$999,4,0),"")</f>
        <v/>
      </c>
      <c r="C745" s="9"/>
      <c r="D745" s="9"/>
      <c r="E745" s="56"/>
      <c r="F745" s="56"/>
      <c r="G745" s="56"/>
      <c r="H745" s="50"/>
      <c r="I745" s="54"/>
      <c r="J745" s="54"/>
      <c r="K745" s="54"/>
      <c r="L745" s="54"/>
      <c r="M745" s="54"/>
      <c r="N745" s="54"/>
      <c r="O745" s="54"/>
      <c r="P745" s="54"/>
      <c r="Q745" s="54"/>
      <c r="R745" s="54"/>
      <c r="S745" s="54"/>
      <c r="T745" s="54"/>
      <c r="U745" s="54"/>
      <c r="V745" s="54"/>
      <c r="W745" s="54"/>
      <c r="X745" s="54"/>
      <c r="Y745" s="54"/>
      <c r="Z745" s="54"/>
      <c r="AA745" s="54"/>
      <c r="AB745" s="54"/>
    </row>
    <row r="746">
      <c r="A746" s="57"/>
      <c r="B746" s="10" t="str">
        <f>IFERROR(VLOOKUP(C746,'Employees List'!$B$1:$G$999,4,0),"")</f>
        <v/>
      </c>
      <c r="C746" s="9"/>
      <c r="D746" s="9"/>
      <c r="E746" s="56"/>
      <c r="F746" s="56"/>
      <c r="G746" s="56"/>
      <c r="H746" s="50"/>
      <c r="I746" s="54"/>
      <c r="J746" s="54"/>
      <c r="K746" s="54"/>
      <c r="L746" s="54"/>
      <c r="M746" s="54"/>
      <c r="N746" s="54"/>
      <c r="O746" s="54"/>
      <c r="P746" s="54"/>
      <c r="Q746" s="54"/>
      <c r="R746" s="54"/>
      <c r="S746" s="54"/>
      <c r="T746" s="54"/>
      <c r="U746" s="54"/>
      <c r="V746" s="54"/>
      <c r="W746" s="54"/>
      <c r="X746" s="54"/>
      <c r="Y746" s="54"/>
      <c r="Z746" s="54"/>
      <c r="AA746" s="54"/>
      <c r="AB746" s="54"/>
    </row>
    <row r="747">
      <c r="A747" s="57"/>
      <c r="B747" s="10" t="str">
        <f>IFERROR(VLOOKUP(C747,'Employees List'!$B$1:$G$999,4,0),"")</f>
        <v/>
      </c>
      <c r="C747" s="9"/>
      <c r="D747" s="9"/>
      <c r="E747" s="56"/>
      <c r="F747" s="56"/>
      <c r="G747" s="56"/>
      <c r="H747" s="50"/>
      <c r="I747" s="54"/>
      <c r="J747" s="54"/>
      <c r="K747" s="54"/>
      <c r="L747" s="54"/>
      <c r="M747" s="54"/>
      <c r="N747" s="54"/>
      <c r="O747" s="54"/>
      <c r="P747" s="54"/>
      <c r="Q747" s="54"/>
      <c r="R747" s="54"/>
      <c r="S747" s="54"/>
      <c r="T747" s="54"/>
      <c r="U747" s="54"/>
      <c r="V747" s="54"/>
      <c r="W747" s="54"/>
      <c r="X747" s="54"/>
      <c r="Y747" s="54"/>
      <c r="Z747" s="54"/>
      <c r="AA747" s="54"/>
      <c r="AB747" s="54"/>
    </row>
    <row r="748">
      <c r="A748" s="57"/>
      <c r="B748" s="10" t="str">
        <f>IFERROR(VLOOKUP(C748,'Employees List'!$B$1:$G$999,4,0),"")</f>
        <v/>
      </c>
      <c r="C748" s="9"/>
      <c r="D748" s="9"/>
      <c r="E748" s="56"/>
      <c r="F748" s="56"/>
      <c r="G748" s="56"/>
      <c r="H748" s="50"/>
      <c r="I748" s="54"/>
      <c r="J748" s="54"/>
      <c r="K748" s="54"/>
      <c r="L748" s="54"/>
      <c r="M748" s="54"/>
      <c r="N748" s="54"/>
      <c r="O748" s="54"/>
      <c r="P748" s="54"/>
      <c r="Q748" s="54"/>
      <c r="R748" s="54"/>
      <c r="S748" s="54"/>
      <c r="T748" s="54"/>
      <c r="U748" s="54"/>
      <c r="V748" s="54"/>
      <c r="W748" s="54"/>
      <c r="X748" s="54"/>
      <c r="Y748" s="54"/>
      <c r="Z748" s="54"/>
      <c r="AA748" s="54"/>
      <c r="AB748" s="54"/>
    </row>
    <row r="749">
      <c r="A749" s="57"/>
      <c r="B749" s="10" t="str">
        <f>IFERROR(VLOOKUP(C749,'Employees List'!$B$1:$G$999,4,0),"")</f>
        <v/>
      </c>
      <c r="C749" s="9"/>
      <c r="D749" s="9"/>
      <c r="E749" s="56"/>
      <c r="F749" s="56"/>
      <c r="G749" s="56"/>
      <c r="H749" s="50"/>
      <c r="I749" s="54"/>
      <c r="J749" s="54"/>
      <c r="K749" s="54"/>
      <c r="L749" s="54"/>
      <c r="M749" s="54"/>
      <c r="N749" s="54"/>
      <c r="O749" s="54"/>
      <c r="P749" s="54"/>
      <c r="Q749" s="54"/>
      <c r="R749" s="54"/>
      <c r="S749" s="54"/>
      <c r="T749" s="54"/>
      <c r="U749" s="54"/>
      <c r="V749" s="54"/>
      <c r="W749" s="54"/>
      <c r="X749" s="54"/>
      <c r="Y749" s="54"/>
      <c r="Z749" s="54"/>
      <c r="AA749" s="54"/>
      <c r="AB749" s="54"/>
    </row>
    <row r="750">
      <c r="A750" s="57"/>
      <c r="B750" s="10" t="str">
        <f>IFERROR(VLOOKUP(C750,'Employees List'!$B$1:$G$999,4,0),"")</f>
        <v/>
      </c>
      <c r="C750" s="9"/>
      <c r="D750" s="9"/>
      <c r="E750" s="56"/>
      <c r="F750" s="56"/>
      <c r="G750" s="56"/>
      <c r="H750" s="50"/>
      <c r="I750" s="54"/>
      <c r="J750" s="54"/>
      <c r="K750" s="54"/>
      <c r="L750" s="54"/>
      <c r="M750" s="54"/>
      <c r="N750" s="54"/>
      <c r="O750" s="54"/>
      <c r="P750" s="54"/>
      <c r="Q750" s="54"/>
      <c r="R750" s="54"/>
      <c r="S750" s="54"/>
      <c r="T750" s="54"/>
      <c r="U750" s="54"/>
      <c r="V750" s="54"/>
      <c r="W750" s="54"/>
      <c r="X750" s="54"/>
      <c r="Y750" s="54"/>
      <c r="Z750" s="54"/>
      <c r="AA750" s="54"/>
      <c r="AB750" s="54"/>
    </row>
    <row r="751">
      <c r="A751" s="57"/>
      <c r="B751" s="10" t="str">
        <f>IFERROR(VLOOKUP(C751,'Employees List'!$B$1:$G$999,4,0),"")</f>
        <v/>
      </c>
      <c r="C751" s="9"/>
      <c r="D751" s="9"/>
      <c r="E751" s="56"/>
      <c r="F751" s="56"/>
      <c r="G751" s="56"/>
      <c r="H751" s="50"/>
      <c r="I751" s="54"/>
      <c r="J751" s="54"/>
      <c r="K751" s="54"/>
      <c r="L751" s="54"/>
      <c r="M751" s="54"/>
      <c r="N751" s="54"/>
      <c r="O751" s="54"/>
      <c r="P751" s="54"/>
      <c r="Q751" s="54"/>
      <c r="R751" s="54"/>
      <c r="S751" s="54"/>
      <c r="T751" s="54"/>
      <c r="U751" s="54"/>
      <c r="V751" s="54"/>
      <c r="W751" s="54"/>
      <c r="X751" s="54"/>
      <c r="Y751" s="54"/>
      <c r="Z751" s="54"/>
      <c r="AA751" s="54"/>
      <c r="AB751" s="54"/>
    </row>
    <row r="752">
      <c r="A752" s="57"/>
      <c r="B752" s="10" t="str">
        <f>IFERROR(VLOOKUP(C752,'Employees List'!$B$1:$G$999,4,0),"")</f>
        <v/>
      </c>
      <c r="C752" s="9"/>
      <c r="D752" s="9"/>
      <c r="E752" s="56"/>
      <c r="F752" s="56"/>
      <c r="G752" s="56"/>
      <c r="H752" s="50"/>
      <c r="I752" s="54"/>
      <c r="J752" s="54"/>
      <c r="K752" s="54"/>
      <c r="L752" s="54"/>
      <c r="M752" s="54"/>
      <c r="N752" s="54"/>
      <c r="O752" s="54"/>
      <c r="P752" s="54"/>
      <c r="Q752" s="54"/>
      <c r="R752" s="54"/>
      <c r="S752" s="54"/>
      <c r="T752" s="54"/>
      <c r="U752" s="54"/>
      <c r="V752" s="54"/>
      <c r="W752" s="54"/>
      <c r="X752" s="54"/>
      <c r="Y752" s="54"/>
      <c r="Z752" s="54"/>
      <c r="AA752" s="54"/>
      <c r="AB752" s="54"/>
    </row>
    <row r="753">
      <c r="A753" s="57"/>
      <c r="B753" s="10" t="str">
        <f>IFERROR(VLOOKUP(C753,'Employees List'!$B$1:$G$999,4,0),"")</f>
        <v/>
      </c>
      <c r="C753" s="9"/>
      <c r="D753" s="9"/>
      <c r="E753" s="56"/>
      <c r="F753" s="56"/>
      <c r="G753" s="56"/>
      <c r="H753" s="50"/>
      <c r="I753" s="54"/>
      <c r="J753" s="54"/>
      <c r="K753" s="54"/>
      <c r="L753" s="54"/>
      <c r="M753" s="54"/>
      <c r="N753" s="54"/>
      <c r="O753" s="54"/>
      <c r="P753" s="54"/>
      <c r="Q753" s="54"/>
      <c r="R753" s="54"/>
      <c r="S753" s="54"/>
      <c r="T753" s="54"/>
      <c r="U753" s="54"/>
      <c r="V753" s="54"/>
      <c r="W753" s="54"/>
      <c r="X753" s="54"/>
      <c r="Y753" s="54"/>
      <c r="Z753" s="54"/>
      <c r="AA753" s="54"/>
      <c r="AB753" s="54"/>
    </row>
    <row r="754">
      <c r="A754" s="57"/>
      <c r="B754" s="10" t="str">
        <f>IFERROR(VLOOKUP(C754,'Employees List'!$B$1:$G$999,4,0),"")</f>
        <v/>
      </c>
      <c r="C754" s="9"/>
      <c r="D754" s="9"/>
      <c r="E754" s="56"/>
      <c r="F754" s="56"/>
      <c r="G754" s="56"/>
      <c r="H754" s="50"/>
      <c r="I754" s="54"/>
      <c r="J754" s="54"/>
      <c r="K754" s="54"/>
      <c r="L754" s="54"/>
      <c r="M754" s="54"/>
      <c r="N754" s="54"/>
      <c r="O754" s="54"/>
      <c r="P754" s="54"/>
      <c r="Q754" s="54"/>
      <c r="R754" s="54"/>
      <c r="S754" s="54"/>
      <c r="T754" s="54"/>
      <c r="U754" s="54"/>
      <c r="V754" s="54"/>
      <c r="W754" s="54"/>
      <c r="X754" s="54"/>
      <c r="Y754" s="54"/>
      <c r="Z754" s="54"/>
      <c r="AA754" s="54"/>
      <c r="AB754" s="54"/>
    </row>
    <row r="755">
      <c r="A755" s="57"/>
      <c r="B755" s="10" t="str">
        <f>IFERROR(VLOOKUP(C755,'Employees List'!$B$1:$G$999,4,0),"")</f>
        <v/>
      </c>
      <c r="C755" s="9"/>
      <c r="D755" s="9"/>
      <c r="E755" s="56"/>
      <c r="F755" s="56"/>
      <c r="G755" s="56"/>
      <c r="H755" s="50"/>
      <c r="I755" s="54"/>
      <c r="J755" s="54"/>
      <c r="K755" s="54"/>
      <c r="L755" s="54"/>
      <c r="M755" s="54"/>
      <c r="N755" s="54"/>
      <c r="O755" s="54"/>
      <c r="P755" s="54"/>
      <c r="Q755" s="54"/>
      <c r="R755" s="54"/>
      <c r="S755" s="54"/>
      <c r="T755" s="54"/>
      <c r="U755" s="54"/>
      <c r="V755" s="54"/>
      <c r="W755" s="54"/>
      <c r="X755" s="54"/>
      <c r="Y755" s="54"/>
      <c r="Z755" s="54"/>
      <c r="AA755" s="54"/>
      <c r="AB755" s="54"/>
    </row>
    <row r="756">
      <c r="A756" s="57"/>
      <c r="B756" s="10" t="str">
        <f>IFERROR(VLOOKUP(C756,'Employees List'!$B$1:$G$999,4,0),"")</f>
        <v/>
      </c>
      <c r="C756" s="9"/>
      <c r="D756" s="9"/>
      <c r="E756" s="56"/>
      <c r="F756" s="56"/>
      <c r="G756" s="56"/>
      <c r="H756" s="50"/>
      <c r="I756" s="54"/>
      <c r="J756" s="54"/>
      <c r="K756" s="54"/>
      <c r="L756" s="54"/>
      <c r="M756" s="54"/>
      <c r="N756" s="54"/>
      <c r="O756" s="54"/>
      <c r="P756" s="54"/>
      <c r="Q756" s="54"/>
      <c r="R756" s="54"/>
      <c r="S756" s="54"/>
      <c r="T756" s="54"/>
      <c r="U756" s="54"/>
      <c r="V756" s="54"/>
      <c r="W756" s="54"/>
      <c r="X756" s="54"/>
      <c r="Y756" s="54"/>
      <c r="Z756" s="54"/>
      <c r="AA756" s="54"/>
      <c r="AB756" s="54"/>
    </row>
    <row r="757">
      <c r="A757" s="57"/>
      <c r="B757" s="10" t="str">
        <f>IFERROR(VLOOKUP(C757,'Employees List'!$B$1:$G$999,4,0),"")</f>
        <v/>
      </c>
      <c r="C757" s="9"/>
      <c r="D757" s="9"/>
      <c r="E757" s="56"/>
      <c r="F757" s="56"/>
      <c r="G757" s="56"/>
      <c r="H757" s="50"/>
      <c r="I757" s="54"/>
      <c r="J757" s="54"/>
      <c r="K757" s="54"/>
      <c r="L757" s="54"/>
      <c r="M757" s="54"/>
      <c r="N757" s="54"/>
      <c r="O757" s="54"/>
      <c r="P757" s="54"/>
      <c r="Q757" s="54"/>
      <c r="R757" s="54"/>
      <c r="S757" s="54"/>
      <c r="T757" s="54"/>
      <c r="U757" s="54"/>
      <c r="V757" s="54"/>
      <c r="W757" s="54"/>
      <c r="X757" s="54"/>
      <c r="Y757" s="54"/>
      <c r="Z757" s="54"/>
      <c r="AA757" s="54"/>
      <c r="AB757" s="54"/>
    </row>
    <row r="758">
      <c r="A758" s="57"/>
      <c r="B758" s="10" t="str">
        <f>IFERROR(VLOOKUP(C758,'Employees List'!$B$1:$G$999,4,0),"")</f>
        <v/>
      </c>
      <c r="C758" s="9"/>
      <c r="D758" s="9"/>
      <c r="E758" s="56"/>
      <c r="F758" s="56"/>
      <c r="G758" s="56"/>
      <c r="H758" s="50"/>
      <c r="I758" s="54"/>
      <c r="J758" s="54"/>
      <c r="K758" s="54"/>
      <c r="L758" s="54"/>
      <c r="M758" s="54"/>
      <c r="N758" s="54"/>
      <c r="O758" s="54"/>
      <c r="P758" s="54"/>
      <c r="Q758" s="54"/>
      <c r="R758" s="54"/>
      <c r="S758" s="54"/>
      <c r="T758" s="54"/>
      <c r="U758" s="54"/>
      <c r="V758" s="54"/>
      <c r="W758" s="54"/>
      <c r="X758" s="54"/>
      <c r="Y758" s="54"/>
      <c r="Z758" s="54"/>
      <c r="AA758" s="54"/>
      <c r="AB758" s="54"/>
    </row>
    <row r="759">
      <c r="A759" s="57"/>
      <c r="B759" s="10" t="str">
        <f>IFERROR(VLOOKUP(C759,'Employees List'!$B$1:$G$999,4,0),"")</f>
        <v/>
      </c>
      <c r="C759" s="9"/>
      <c r="D759" s="9"/>
      <c r="E759" s="56"/>
      <c r="F759" s="56"/>
      <c r="G759" s="56"/>
      <c r="H759" s="50"/>
      <c r="I759" s="54"/>
      <c r="J759" s="54"/>
      <c r="K759" s="54"/>
      <c r="L759" s="54"/>
      <c r="M759" s="54"/>
      <c r="N759" s="54"/>
      <c r="O759" s="54"/>
      <c r="P759" s="54"/>
      <c r="Q759" s="54"/>
      <c r="R759" s="54"/>
      <c r="S759" s="54"/>
      <c r="T759" s="54"/>
      <c r="U759" s="54"/>
      <c r="V759" s="54"/>
      <c r="W759" s="54"/>
      <c r="X759" s="54"/>
      <c r="Y759" s="54"/>
      <c r="Z759" s="54"/>
      <c r="AA759" s="54"/>
      <c r="AB759" s="54"/>
    </row>
    <row r="760">
      <c r="A760" s="57"/>
      <c r="B760" s="10" t="str">
        <f>IFERROR(VLOOKUP(C760,'Employees List'!$B$1:$G$999,4,0),"")</f>
        <v/>
      </c>
      <c r="C760" s="9"/>
      <c r="D760" s="9"/>
      <c r="E760" s="56"/>
      <c r="F760" s="56"/>
      <c r="G760" s="56"/>
      <c r="H760" s="50"/>
      <c r="I760" s="54"/>
      <c r="J760" s="54"/>
      <c r="K760" s="54"/>
      <c r="L760" s="54"/>
      <c r="M760" s="54"/>
      <c r="N760" s="54"/>
      <c r="O760" s="54"/>
      <c r="P760" s="54"/>
      <c r="Q760" s="54"/>
      <c r="R760" s="54"/>
      <c r="S760" s="54"/>
      <c r="T760" s="54"/>
      <c r="U760" s="54"/>
      <c r="V760" s="54"/>
      <c r="W760" s="54"/>
      <c r="X760" s="54"/>
      <c r="Y760" s="54"/>
      <c r="Z760" s="54"/>
      <c r="AA760" s="54"/>
      <c r="AB760" s="54"/>
    </row>
    <row r="761">
      <c r="A761" s="57"/>
      <c r="B761" s="10" t="str">
        <f>IFERROR(VLOOKUP(C761,'Employees List'!$B$1:$G$999,4,0),"")</f>
        <v/>
      </c>
      <c r="C761" s="9"/>
      <c r="D761" s="9"/>
      <c r="E761" s="56"/>
      <c r="F761" s="56"/>
      <c r="G761" s="56"/>
      <c r="H761" s="50"/>
      <c r="I761" s="54"/>
      <c r="J761" s="54"/>
      <c r="K761" s="54"/>
      <c r="L761" s="54"/>
      <c r="M761" s="54"/>
      <c r="N761" s="54"/>
      <c r="O761" s="54"/>
      <c r="P761" s="54"/>
      <c r="Q761" s="54"/>
      <c r="R761" s="54"/>
      <c r="S761" s="54"/>
      <c r="T761" s="54"/>
      <c r="U761" s="54"/>
      <c r="V761" s="54"/>
      <c r="W761" s="54"/>
      <c r="X761" s="54"/>
      <c r="Y761" s="54"/>
      <c r="Z761" s="54"/>
      <c r="AA761" s="54"/>
      <c r="AB761" s="54"/>
    </row>
    <row r="762">
      <c r="A762" s="57"/>
      <c r="B762" s="10" t="str">
        <f>IFERROR(VLOOKUP(C762,'Employees List'!$B$1:$G$999,4,0),"")</f>
        <v/>
      </c>
      <c r="C762" s="9"/>
      <c r="D762" s="9"/>
      <c r="E762" s="56"/>
      <c r="F762" s="56"/>
      <c r="G762" s="56"/>
      <c r="H762" s="50"/>
      <c r="I762" s="54"/>
      <c r="J762" s="54"/>
      <c r="K762" s="54"/>
      <c r="L762" s="54"/>
      <c r="M762" s="54"/>
      <c r="N762" s="54"/>
      <c r="O762" s="54"/>
      <c r="P762" s="54"/>
      <c r="Q762" s="54"/>
      <c r="R762" s="54"/>
      <c r="S762" s="54"/>
      <c r="T762" s="54"/>
      <c r="U762" s="54"/>
      <c r="V762" s="54"/>
      <c r="W762" s="54"/>
      <c r="X762" s="54"/>
      <c r="Y762" s="54"/>
      <c r="Z762" s="54"/>
      <c r="AA762" s="54"/>
      <c r="AB762" s="54"/>
    </row>
    <row r="763">
      <c r="A763" s="57"/>
      <c r="B763" s="10" t="str">
        <f>IFERROR(VLOOKUP(C763,'Employees List'!$B$1:$G$999,4,0),"")</f>
        <v/>
      </c>
      <c r="C763" s="9"/>
      <c r="D763" s="9"/>
      <c r="E763" s="56"/>
      <c r="F763" s="56"/>
      <c r="G763" s="56"/>
      <c r="H763" s="50"/>
      <c r="I763" s="54"/>
      <c r="J763" s="54"/>
      <c r="K763" s="54"/>
      <c r="L763" s="54"/>
      <c r="M763" s="54"/>
      <c r="N763" s="54"/>
      <c r="O763" s="54"/>
      <c r="P763" s="54"/>
      <c r="Q763" s="54"/>
      <c r="R763" s="54"/>
      <c r="S763" s="54"/>
      <c r="T763" s="54"/>
      <c r="U763" s="54"/>
      <c r="V763" s="54"/>
      <c r="W763" s="54"/>
      <c r="X763" s="54"/>
      <c r="Y763" s="54"/>
      <c r="Z763" s="54"/>
      <c r="AA763" s="54"/>
      <c r="AB763" s="54"/>
    </row>
    <row r="764">
      <c r="A764" s="57"/>
      <c r="B764" s="10" t="str">
        <f>IFERROR(VLOOKUP(C764,'Employees List'!$B$1:$G$999,4,0),"")</f>
        <v/>
      </c>
      <c r="C764" s="9"/>
      <c r="D764" s="9"/>
      <c r="E764" s="56"/>
      <c r="F764" s="56"/>
      <c r="G764" s="56"/>
      <c r="H764" s="50"/>
      <c r="I764" s="54"/>
      <c r="J764" s="54"/>
      <c r="K764" s="54"/>
      <c r="L764" s="54"/>
      <c r="M764" s="54"/>
      <c r="N764" s="54"/>
      <c r="O764" s="54"/>
      <c r="P764" s="54"/>
      <c r="Q764" s="54"/>
      <c r="R764" s="54"/>
      <c r="S764" s="54"/>
      <c r="T764" s="54"/>
      <c r="U764" s="54"/>
      <c r="V764" s="54"/>
      <c r="W764" s="54"/>
      <c r="X764" s="54"/>
      <c r="Y764" s="54"/>
      <c r="Z764" s="54"/>
      <c r="AA764" s="54"/>
      <c r="AB764" s="54"/>
    </row>
    <row r="765">
      <c r="A765" s="57"/>
      <c r="B765" s="10" t="str">
        <f>IFERROR(VLOOKUP(C765,'Employees List'!$B$1:$G$999,4,0),"")</f>
        <v/>
      </c>
      <c r="C765" s="9"/>
      <c r="D765" s="9"/>
      <c r="E765" s="56"/>
      <c r="F765" s="56"/>
      <c r="G765" s="56"/>
      <c r="H765" s="50"/>
      <c r="I765" s="54"/>
      <c r="J765" s="54"/>
      <c r="K765" s="54"/>
      <c r="L765" s="54"/>
      <c r="M765" s="54"/>
      <c r="N765" s="54"/>
      <c r="O765" s="54"/>
      <c r="P765" s="54"/>
      <c r="Q765" s="54"/>
      <c r="R765" s="54"/>
      <c r="S765" s="54"/>
      <c r="T765" s="54"/>
      <c r="U765" s="54"/>
      <c r="V765" s="54"/>
      <c r="W765" s="54"/>
      <c r="X765" s="54"/>
      <c r="Y765" s="54"/>
      <c r="Z765" s="54"/>
      <c r="AA765" s="54"/>
      <c r="AB765" s="54"/>
    </row>
    <row r="766">
      <c r="A766" s="57"/>
      <c r="B766" s="10" t="str">
        <f>IFERROR(VLOOKUP(C766,'Employees List'!$B$1:$G$999,4,0),"")</f>
        <v/>
      </c>
      <c r="C766" s="9"/>
      <c r="D766" s="9"/>
      <c r="E766" s="56"/>
      <c r="F766" s="56"/>
      <c r="G766" s="56"/>
      <c r="H766" s="50"/>
      <c r="I766" s="54"/>
      <c r="J766" s="54"/>
      <c r="K766" s="54"/>
      <c r="L766" s="54"/>
      <c r="M766" s="54"/>
      <c r="N766" s="54"/>
      <c r="O766" s="54"/>
      <c r="P766" s="54"/>
      <c r="Q766" s="54"/>
      <c r="R766" s="54"/>
      <c r="S766" s="54"/>
      <c r="T766" s="54"/>
      <c r="U766" s="54"/>
      <c r="V766" s="54"/>
      <c r="W766" s="54"/>
      <c r="X766" s="54"/>
      <c r="Y766" s="54"/>
      <c r="Z766" s="54"/>
      <c r="AA766" s="54"/>
      <c r="AB766" s="54"/>
    </row>
    <row r="767">
      <c r="A767" s="57"/>
      <c r="B767" s="10" t="str">
        <f>IFERROR(VLOOKUP(C767,'Employees List'!$B$1:$G$999,4,0),"")</f>
        <v/>
      </c>
      <c r="C767" s="9"/>
      <c r="D767" s="9"/>
      <c r="E767" s="56"/>
      <c r="F767" s="56"/>
      <c r="G767" s="56"/>
      <c r="H767" s="50"/>
      <c r="I767" s="54"/>
      <c r="J767" s="54"/>
      <c r="K767" s="54"/>
      <c r="L767" s="54"/>
      <c r="M767" s="54"/>
      <c r="N767" s="54"/>
      <c r="O767" s="54"/>
      <c r="P767" s="54"/>
      <c r="Q767" s="54"/>
      <c r="R767" s="54"/>
      <c r="S767" s="54"/>
      <c r="T767" s="54"/>
      <c r="U767" s="54"/>
      <c r="V767" s="54"/>
      <c r="W767" s="54"/>
      <c r="X767" s="54"/>
      <c r="Y767" s="54"/>
      <c r="Z767" s="54"/>
      <c r="AA767" s="54"/>
      <c r="AB767" s="54"/>
    </row>
    <row r="768">
      <c r="A768" s="57"/>
      <c r="B768" s="10" t="str">
        <f>IFERROR(VLOOKUP(C768,'Employees List'!$B$1:$G$999,4,0),"")</f>
        <v/>
      </c>
      <c r="C768" s="9"/>
      <c r="D768" s="9"/>
      <c r="E768" s="56"/>
      <c r="F768" s="56"/>
      <c r="G768" s="56"/>
      <c r="H768" s="50"/>
      <c r="I768" s="54"/>
      <c r="J768" s="54"/>
      <c r="K768" s="54"/>
      <c r="L768" s="54"/>
      <c r="M768" s="54"/>
      <c r="N768" s="54"/>
      <c r="O768" s="54"/>
      <c r="P768" s="54"/>
      <c r="Q768" s="54"/>
      <c r="R768" s="54"/>
      <c r="S768" s="54"/>
      <c r="T768" s="54"/>
      <c r="U768" s="54"/>
      <c r="V768" s="54"/>
      <c r="W768" s="54"/>
      <c r="X768" s="54"/>
      <c r="Y768" s="54"/>
      <c r="Z768" s="54"/>
      <c r="AA768" s="54"/>
      <c r="AB768" s="54"/>
    </row>
    <row r="769">
      <c r="A769" s="57"/>
      <c r="B769" s="10" t="str">
        <f>IFERROR(VLOOKUP(C769,'Employees List'!$B$1:$G$999,4,0),"")</f>
        <v/>
      </c>
      <c r="C769" s="9"/>
      <c r="D769" s="9"/>
      <c r="E769" s="56"/>
      <c r="F769" s="56"/>
      <c r="G769" s="56"/>
      <c r="H769" s="50"/>
      <c r="I769" s="54"/>
      <c r="J769" s="54"/>
      <c r="K769" s="54"/>
      <c r="L769" s="54"/>
      <c r="M769" s="54"/>
      <c r="N769" s="54"/>
      <c r="O769" s="54"/>
      <c r="P769" s="54"/>
      <c r="Q769" s="54"/>
      <c r="R769" s="54"/>
      <c r="S769" s="54"/>
      <c r="T769" s="54"/>
      <c r="U769" s="54"/>
      <c r="V769" s="54"/>
      <c r="W769" s="54"/>
      <c r="X769" s="54"/>
      <c r="Y769" s="54"/>
      <c r="Z769" s="54"/>
      <c r="AA769" s="54"/>
      <c r="AB769" s="54"/>
    </row>
    <row r="770">
      <c r="A770" s="57"/>
      <c r="B770" s="10" t="str">
        <f>IFERROR(VLOOKUP(C770,'Employees List'!$B$1:$G$999,4,0),"")</f>
        <v/>
      </c>
      <c r="C770" s="9"/>
      <c r="D770" s="9"/>
      <c r="E770" s="56"/>
      <c r="F770" s="56"/>
      <c r="G770" s="56"/>
      <c r="H770" s="50"/>
      <c r="I770" s="54"/>
      <c r="J770" s="54"/>
      <c r="K770" s="54"/>
      <c r="L770" s="54"/>
      <c r="M770" s="54"/>
      <c r="N770" s="54"/>
      <c r="O770" s="54"/>
      <c r="P770" s="54"/>
      <c r="Q770" s="54"/>
      <c r="R770" s="54"/>
      <c r="S770" s="54"/>
      <c r="T770" s="54"/>
      <c r="U770" s="54"/>
      <c r="V770" s="54"/>
      <c r="W770" s="54"/>
      <c r="X770" s="54"/>
      <c r="Y770" s="54"/>
      <c r="Z770" s="54"/>
      <c r="AA770" s="54"/>
      <c r="AB770" s="54"/>
    </row>
    <row r="771">
      <c r="A771" s="57"/>
      <c r="B771" s="10" t="str">
        <f>IFERROR(VLOOKUP(C771,'Employees List'!$B$1:$G$999,4,0),"")</f>
        <v/>
      </c>
      <c r="C771" s="9"/>
      <c r="D771" s="9"/>
      <c r="E771" s="56"/>
      <c r="F771" s="56"/>
      <c r="G771" s="56"/>
      <c r="H771" s="50"/>
      <c r="I771" s="54"/>
      <c r="J771" s="54"/>
      <c r="K771" s="54"/>
      <c r="L771" s="54"/>
      <c r="M771" s="54"/>
      <c r="N771" s="54"/>
      <c r="O771" s="54"/>
      <c r="P771" s="54"/>
      <c r="Q771" s="54"/>
      <c r="R771" s="54"/>
      <c r="S771" s="54"/>
      <c r="T771" s="54"/>
      <c r="U771" s="54"/>
      <c r="V771" s="54"/>
      <c r="W771" s="54"/>
      <c r="X771" s="54"/>
      <c r="Y771" s="54"/>
      <c r="Z771" s="54"/>
      <c r="AA771" s="54"/>
      <c r="AB771" s="54"/>
    </row>
    <row r="772">
      <c r="A772" s="57"/>
      <c r="B772" s="10" t="str">
        <f>IFERROR(VLOOKUP(C772,'Employees List'!$B$1:$G$999,4,0),"")</f>
        <v/>
      </c>
      <c r="C772" s="9"/>
      <c r="D772" s="9"/>
      <c r="E772" s="56"/>
      <c r="F772" s="56"/>
      <c r="G772" s="56"/>
      <c r="H772" s="50"/>
      <c r="I772" s="54"/>
      <c r="J772" s="54"/>
      <c r="K772" s="54"/>
      <c r="L772" s="54"/>
      <c r="M772" s="54"/>
      <c r="N772" s="54"/>
      <c r="O772" s="54"/>
      <c r="P772" s="54"/>
      <c r="Q772" s="54"/>
      <c r="R772" s="54"/>
      <c r="S772" s="54"/>
      <c r="T772" s="54"/>
      <c r="U772" s="54"/>
      <c r="V772" s="54"/>
      <c r="W772" s="54"/>
      <c r="X772" s="54"/>
      <c r="Y772" s="54"/>
      <c r="Z772" s="54"/>
      <c r="AA772" s="54"/>
      <c r="AB772" s="54"/>
    </row>
    <row r="773">
      <c r="A773" s="57"/>
      <c r="B773" s="10" t="str">
        <f>IFERROR(VLOOKUP(C773,'Employees List'!$B$1:$G$999,4,0),"")</f>
        <v/>
      </c>
      <c r="C773" s="9"/>
      <c r="D773" s="9"/>
      <c r="E773" s="56"/>
      <c r="F773" s="56"/>
      <c r="G773" s="56"/>
      <c r="H773" s="50"/>
      <c r="I773" s="54"/>
      <c r="J773" s="54"/>
      <c r="K773" s="54"/>
      <c r="L773" s="54"/>
      <c r="M773" s="54"/>
      <c r="N773" s="54"/>
      <c r="O773" s="54"/>
      <c r="P773" s="54"/>
      <c r="Q773" s="54"/>
      <c r="R773" s="54"/>
      <c r="S773" s="54"/>
      <c r="T773" s="54"/>
      <c r="U773" s="54"/>
      <c r="V773" s="54"/>
      <c r="W773" s="54"/>
      <c r="X773" s="54"/>
      <c r="Y773" s="54"/>
      <c r="Z773" s="54"/>
      <c r="AA773" s="54"/>
      <c r="AB773" s="54"/>
    </row>
    <row r="774">
      <c r="A774" s="57"/>
      <c r="B774" s="10" t="str">
        <f>IFERROR(VLOOKUP(C774,'Employees List'!$B$1:$G$999,4,0),"")</f>
        <v/>
      </c>
      <c r="C774" s="9"/>
      <c r="D774" s="9"/>
      <c r="E774" s="56"/>
      <c r="F774" s="56"/>
      <c r="G774" s="56"/>
      <c r="H774" s="50"/>
      <c r="I774" s="54"/>
      <c r="J774" s="54"/>
      <c r="K774" s="54"/>
      <c r="L774" s="54"/>
      <c r="M774" s="54"/>
      <c r="N774" s="54"/>
      <c r="O774" s="54"/>
      <c r="P774" s="54"/>
      <c r="Q774" s="54"/>
      <c r="R774" s="54"/>
      <c r="S774" s="54"/>
      <c r="T774" s="54"/>
      <c r="U774" s="54"/>
      <c r="V774" s="54"/>
      <c r="W774" s="54"/>
      <c r="X774" s="54"/>
      <c r="Y774" s="54"/>
      <c r="Z774" s="54"/>
      <c r="AA774" s="54"/>
      <c r="AB774" s="54"/>
    </row>
    <row r="775">
      <c r="A775" s="57"/>
      <c r="B775" s="10" t="str">
        <f>IFERROR(VLOOKUP(C775,'Employees List'!$B$1:$G$999,4,0),"")</f>
        <v/>
      </c>
      <c r="C775" s="9"/>
      <c r="D775" s="9"/>
      <c r="E775" s="56"/>
      <c r="F775" s="56"/>
      <c r="G775" s="56"/>
      <c r="H775" s="50"/>
      <c r="I775" s="54"/>
      <c r="J775" s="54"/>
      <c r="K775" s="54"/>
      <c r="L775" s="54"/>
      <c r="M775" s="54"/>
      <c r="N775" s="54"/>
      <c r="O775" s="54"/>
      <c r="P775" s="54"/>
      <c r="Q775" s="54"/>
      <c r="R775" s="54"/>
      <c r="S775" s="54"/>
      <c r="T775" s="54"/>
      <c r="U775" s="54"/>
      <c r="V775" s="54"/>
      <c r="W775" s="54"/>
      <c r="X775" s="54"/>
      <c r="Y775" s="54"/>
      <c r="Z775" s="54"/>
      <c r="AA775" s="54"/>
      <c r="AB775" s="54"/>
    </row>
    <row r="776">
      <c r="A776" s="57"/>
      <c r="B776" s="10" t="str">
        <f>IFERROR(VLOOKUP(C776,'Employees List'!$B$1:$G$999,4,0),"")</f>
        <v/>
      </c>
      <c r="C776" s="9"/>
      <c r="D776" s="9"/>
      <c r="E776" s="56"/>
      <c r="F776" s="56"/>
      <c r="G776" s="56"/>
      <c r="H776" s="50"/>
      <c r="I776" s="54"/>
      <c r="J776" s="54"/>
      <c r="K776" s="54"/>
      <c r="L776" s="54"/>
      <c r="M776" s="54"/>
      <c r="N776" s="54"/>
      <c r="O776" s="54"/>
      <c r="P776" s="54"/>
      <c r="Q776" s="54"/>
      <c r="R776" s="54"/>
      <c r="S776" s="54"/>
      <c r="T776" s="54"/>
      <c r="U776" s="54"/>
      <c r="V776" s="54"/>
      <c r="W776" s="54"/>
      <c r="X776" s="54"/>
      <c r="Y776" s="54"/>
      <c r="Z776" s="54"/>
      <c r="AA776" s="54"/>
      <c r="AB776" s="54"/>
    </row>
    <row r="777">
      <c r="A777" s="57"/>
      <c r="B777" s="10" t="str">
        <f>IFERROR(VLOOKUP(C777,'Employees List'!$B$1:$G$999,4,0),"")</f>
        <v/>
      </c>
      <c r="C777" s="9"/>
      <c r="D777" s="9"/>
      <c r="E777" s="56"/>
      <c r="F777" s="56"/>
      <c r="G777" s="56"/>
      <c r="H777" s="50"/>
      <c r="I777" s="54"/>
      <c r="J777" s="54"/>
      <c r="K777" s="54"/>
      <c r="L777" s="54"/>
      <c r="M777" s="54"/>
      <c r="N777" s="54"/>
      <c r="O777" s="54"/>
      <c r="P777" s="54"/>
      <c r="Q777" s="54"/>
      <c r="R777" s="54"/>
      <c r="S777" s="54"/>
      <c r="T777" s="54"/>
      <c r="U777" s="54"/>
      <c r="V777" s="54"/>
      <c r="W777" s="54"/>
      <c r="X777" s="54"/>
      <c r="Y777" s="54"/>
      <c r="Z777" s="54"/>
      <c r="AA777" s="54"/>
      <c r="AB777" s="54"/>
    </row>
    <row r="778">
      <c r="A778" s="57"/>
      <c r="B778" s="10" t="str">
        <f>IFERROR(VLOOKUP(C778,'Employees List'!$B$1:$G$999,4,0),"")</f>
        <v/>
      </c>
      <c r="C778" s="9"/>
      <c r="D778" s="9"/>
      <c r="E778" s="56"/>
      <c r="F778" s="56"/>
      <c r="G778" s="56"/>
      <c r="H778" s="50"/>
      <c r="I778" s="54"/>
      <c r="J778" s="54"/>
      <c r="K778" s="54"/>
      <c r="L778" s="54"/>
      <c r="M778" s="54"/>
      <c r="N778" s="54"/>
      <c r="O778" s="54"/>
      <c r="P778" s="54"/>
      <c r="Q778" s="54"/>
      <c r="R778" s="54"/>
      <c r="S778" s="54"/>
      <c r="T778" s="54"/>
      <c r="U778" s="54"/>
      <c r="V778" s="54"/>
      <c r="W778" s="54"/>
      <c r="X778" s="54"/>
      <c r="Y778" s="54"/>
      <c r="Z778" s="54"/>
      <c r="AA778" s="54"/>
      <c r="AB778" s="54"/>
    </row>
    <row r="779">
      <c r="A779" s="57"/>
      <c r="B779" s="10" t="str">
        <f>IFERROR(VLOOKUP(C779,'Employees List'!$B$1:$G$999,4,0),"")</f>
        <v/>
      </c>
      <c r="C779" s="9"/>
      <c r="D779" s="9"/>
      <c r="E779" s="56"/>
      <c r="F779" s="56"/>
      <c r="G779" s="56"/>
      <c r="H779" s="50"/>
      <c r="I779" s="54"/>
      <c r="J779" s="54"/>
      <c r="K779" s="54"/>
      <c r="L779" s="54"/>
      <c r="M779" s="54"/>
      <c r="N779" s="54"/>
      <c r="O779" s="54"/>
      <c r="P779" s="54"/>
      <c r="Q779" s="54"/>
      <c r="R779" s="54"/>
      <c r="S779" s="54"/>
      <c r="T779" s="54"/>
      <c r="U779" s="54"/>
      <c r="V779" s="54"/>
      <c r="W779" s="54"/>
      <c r="X779" s="54"/>
      <c r="Y779" s="54"/>
      <c r="Z779" s="54"/>
      <c r="AA779" s="54"/>
      <c r="AB779" s="54"/>
    </row>
    <row r="780">
      <c r="A780" s="57"/>
      <c r="B780" s="10" t="str">
        <f>IFERROR(VLOOKUP(C780,'Employees List'!$B$1:$G$999,4,0),"")</f>
        <v/>
      </c>
      <c r="C780" s="9"/>
      <c r="D780" s="9"/>
      <c r="E780" s="56"/>
      <c r="F780" s="56"/>
      <c r="G780" s="56"/>
      <c r="H780" s="50"/>
      <c r="I780" s="54"/>
      <c r="J780" s="54"/>
      <c r="K780" s="54"/>
      <c r="L780" s="54"/>
      <c r="M780" s="54"/>
      <c r="N780" s="54"/>
      <c r="O780" s="54"/>
      <c r="P780" s="54"/>
      <c r="Q780" s="54"/>
      <c r="R780" s="54"/>
      <c r="S780" s="54"/>
      <c r="T780" s="54"/>
      <c r="U780" s="54"/>
      <c r="V780" s="54"/>
      <c r="W780" s="54"/>
      <c r="X780" s="54"/>
      <c r="Y780" s="54"/>
      <c r="Z780" s="54"/>
      <c r="AA780" s="54"/>
      <c r="AB780" s="54"/>
    </row>
    <row r="781">
      <c r="A781" s="57"/>
      <c r="B781" s="10" t="str">
        <f>IFERROR(VLOOKUP(C781,'Employees List'!$B$1:$G$999,4,0),"")</f>
        <v/>
      </c>
      <c r="C781" s="9"/>
      <c r="D781" s="9"/>
      <c r="E781" s="56"/>
      <c r="F781" s="56"/>
      <c r="G781" s="56"/>
      <c r="H781" s="50"/>
      <c r="I781" s="54"/>
      <c r="J781" s="54"/>
      <c r="K781" s="54"/>
      <c r="L781" s="54"/>
      <c r="M781" s="54"/>
      <c r="N781" s="54"/>
      <c r="O781" s="54"/>
      <c r="P781" s="54"/>
      <c r="Q781" s="54"/>
      <c r="R781" s="54"/>
      <c r="S781" s="54"/>
      <c r="T781" s="54"/>
      <c r="U781" s="54"/>
      <c r="V781" s="54"/>
      <c r="W781" s="54"/>
      <c r="X781" s="54"/>
      <c r="Y781" s="54"/>
      <c r="Z781" s="54"/>
      <c r="AA781" s="54"/>
      <c r="AB781" s="54"/>
    </row>
    <row r="782">
      <c r="A782" s="57"/>
      <c r="B782" s="10" t="str">
        <f>IFERROR(VLOOKUP(C782,'Employees List'!$B$1:$G$999,4,0),"")</f>
        <v/>
      </c>
      <c r="C782" s="9"/>
      <c r="D782" s="9"/>
      <c r="E782" s="56"/>
      <c r="F782" s="56"/>
      <c r="G782" s="56"/>
      <c r="H782" s="50"/>
      <c r="I782" s="54"/>
      <c r="J782" s="54"/>
      <c r="K782" s="54"/>
      <c r="L782" s="54"/>
      <c r="M782" s="54"/>
      <c r="N782" s="54"/>
      <c r="O782" s="54"/>
      <c r="P782" s="54"/>
      <c r="Q782" s="54"/>
      <c r="R782" s="54"/>
      <c r="S782" s="54"/>
      <c r="T782" s="54"/>
      <c r="U782" s="54"/>
      <c r="V782" s="54"/>
      <c r="W782" s="54"/>
      <c r="X782" s="54"/>
      <c r="Y782" s="54"/>
      <c r="Z782" s="54"/>
      <c r="AA782" s="54"/>
      <c r="AB782" s="54"/>
    </row>
    <row r="783">
      <c r="A783" s="57"/>
      <c r="B783" s="10" t="str">
        <f>IFERROR(VLOOKUP(C783,'Employees List'!$B$1:$G$999,4,0),"")</f>
        <v/>
      </c>
      <c r="C783" s="9"/>
      <c r="D783" s="9"/>
      <c r="E783" s="56"/>
      <c r="F783" s="56"/>
      <c r="G783" s="56"/>
      <c r="H783" s="50"/>
      <c r="I783" s="54"/>
      <c r="J783" s="54"/>
      <c r="K783" s="54"/>
      <c r="L783" s="54"/>
      <c r="M783" s="54"/>
      <c r="N783" s="54"/>
      <c r="O783" s="54"/>
      <c r="P783" s="54"/>
      <c r="Q783" s="54"/>
      <c r="R783" s="54"/>
      <c r="S783" s="54"/>
      <c r="T783" s="54"/>
      <c r="U783" s="54"/>
      <c r="V783" s="54"/>
      <c r="W783" s="54"/>
      <c r="X783" s="54"/>
      <c r="Y783" s="54"/>
      <c r="Z783" s="54"/>
      <c r="AA783" s="54"/>
      <c r="AB783" s="54"/>
    </row>
    <row r="784">
      <c r="A784" s="57"/>
      <c r="B784" s="10" t="str">
        <f>IFERROR(VLOOKUP(C784,'Employees List'!$B$1:$G$999,4,0),"")</f>
        <v/>
      </c>
      <c r="C784" s="9"/>
      <c r="D784" s="9"/>
      <c r="E784" s="56"/>
      <c r="F784" s="56"/>
      <c r="G784" s="56"/>
      <c r="H784" s="50"/>
      <c r="I784" s="54"/>
      <c r="J784" s="54"/>
      <c r="K784" s="54"/>
      <c r="L784" s="54"/>
      <c r="M784" s="54"/>
      <c r="N784" s="54"/>
      <c r="O784" s="54"/>
      <c r="P784" s="54"/>
      <c r="Q784" s="54"/>
      <c r="R784" s="54"/>
      <c r="S784" s="54"/>
      <c r="T784" s="54"/>
      <c r="U784" s="54"/>
      <c r="V784" s="54"/>
      <c r="W784" s="54"/>
      <c r="X784" s="54"/>
      <c r="Y784" s="54"/>
      <c r="Z784" s="54"/>
      <c r="AA784" s="54"/>
      <c r="AB784" s="54"/>
    </row>
    <row r="785">
      <c r="A785" s="57"/>
      <c r="B785" s="10" t="str">
        <f>IFERROR(VLOOKUP(C785,'Employees List'!$B$1:$G$999,4,0),"")</f>
        <v/>
      </c>
      <c r="C785" s="9"/>
      <c r="D785" s="9"/>
      <c r="E785" s="56"/>
      <c r="F785" s="56"/>
      <c r="G785" s="56"/>
      <c r="H785" s="50"/>
      <c r="I785" s="54"/>
      <c r="J785" s="54"/>
      <c r="K785" s="54"/>
      <c r="L785" s="54"/>
      <c r="M785" s="54"/>
      <c r="N785" s="54"/>
      <c r="O785" s="54"/>
      <c r="P785" s="54"/>
      <c r="Q785" s="54"/>
      <c r="R785" s="54"/>
      <c r="S785" s="54"/>
      <c r="T785" s="54"/>
      <c r="U785" s="54"/>
      <c r="V785" s="54"/>
      <c r="W785" s="54"/>
      <c r="X785" s="54"/>
      <c r="Y785" s="54"/>
      <c r="Z785" s="54"/>
      <c r="AA785" s="54"/>
      <c r="AB785" s="54"/>
    </row>
    <row r="786">
      <c r="A786" s="57"/>
      <c r="B786" s="10" t="str">
        <f>IFERROR(VLOOKUP(C786,'Employees List'!$B$1:$G$999,4,0),"")</f>
        <v/>
      </c>
      <c r="C786" s="9"/>
      <c r="D786" s="9"/>
      <c r="E786" s="56"/>
      <c r="F786" s="56"/>
      <c r="G786" s="56"/>
      <c r="H786" s="50"/>
      <c r="I786" s="54"/>
      <c r="J786" s="54"/>
      <c r="K786" s="54"/>
      <c r="L786" s="54"/>
      <c r="M786" s="54"/>
      <c r="N786" s="54"/>
      <c r="O786" s="54"/>
      <c r="P786" s="54"/>
      <c r="Q786" s="54"/>
      <c r="R786" s="54"/>
      <c r="S786" s="54"/>
      <c r="T786" s="54"/>
      <c r="U786" s="54"/>
      <c r="V786" s="54"/>
      <c r="W786" s="54"/>
      <c r="X786" s="54"/>
      <c r="Y786" s="54"/>
      <c r="Z786" s="54"/>
      <c r="AA786" s="54"/>
      <c r="AB786" s="54"/>
    </row>
    <row r="787">
      <c r="A787" s="57"/>
      <c r="B787" s="10" t="str">
        <f>IFERROR(VLOOKUP(C787,'Employees List'!$B$1:$G$999,4,0),"")</f>
        <v/>
      </c>
      <c r="C787" s="9"/>
      <c r="D787" s="9"/>
      <c r="E787" s="56"/>
      <c r="F787" s="56"/>
      <c r="G787" s="56"/>
      <c r="H787" s="50"/>
      <c r="I787" s="54"/>
      <c r="J787" s="54"/>
      <c r="K787" s="54"/>
      <c r="L787" s="54"/>
      <c r="M787" s="54"/>
      <c r="N787" s="54"/>
      <c r="O787" s="54"/>
      <c r="P787" s="54"/>
      <c r="Q787" s="54"/>
      <c r="R787" s="54"/>
      <c r="S787" s="54"/>
      <c r="T787" s="54"/>
      <c r="U787" s="54"/>
      <c r="V787" s="54"/>
      <c r="W787" s="54"/>
      <c r="X787" s="54"/>
      <c r="Y787" s="54"/>
      <c r="Z787" s="54"/>
      <c r="AA787" s="54"/>
      <c r="AB787" s="54"/>
    </row>
    <row r="788">
      <c r="A788" s="57"/>
      <c r="B788" s="10" t="str">
        <f>IFERROR(VLOOKUP(C788,'Employees List'!$B$1:$G$999,4,0),"")</f>
        <v/>
      </c>
      <c r="C788" s="9"/>
      <c r="D788" s="9"/>
      <c r="E788" s="56"/>
      <c r="F788" s="56"/>
      <c r="G788" s="56"/>
      <c r="H788" s="50"/>
      <c r="I788" s="54"/>
      <c r="J788" s="54"/>
      <c r="K788" s="54"/>
      <c r="L788" s="54"/>
      <c r="M788" s="54"/>
      <c r="N788" s="54"/>
      <c r="O788" s="54"/>
      <c r="P788" s="54"/>
      <c r="Q788" s="54"/>
      <c r="R788" s="54"/>
      <c r="S788" s="54"/>
      <c r="T788" s="54"/>
      <c r="U788" s="54"/>
      <c r="V788" s="54"/>
      <c r="W788" s="54"/>
      <c r="X788" s="54"/>
      <c r="Y788" s="54"/>
      <c r="Z788" s="54"/>
      <c r="AA788" s="54"/>
      <c r="AB788" s="54"/>
    </row>
    <row r="789">
      <c r="A789" s="57"/>
      <c r="B789" s="10" t="str">
        <f>IFERROR(VLOOKUP(C789,'Employees List'!$B$1:$G$999,4,0),"")</f>
        <v/>
      </c>
      <c r="C789" s="9"/>
      <c r="D789" s="9"/>
      <c r="E789" s="56"/>
      <c r="F789" s="56"/>
      <c r="G789" s="56"/>
      <c r="H789" s="50"/>
      <c r="I789" s="54"/>
      <c r="J789" s="54"/>
      <c r="K789" s="54"/>
      <c r="L789" s="54"/>
      <c r="M789" s="54"/>
      <c r="N789" s="54"/>
      <c r="O789" s="54"/>
      <c r="P789" s="54"/>
      <c r="Q789" s="54"/>
      <c r="R789" s="54"/>
      <c r="S789" s="54"/>
      <c r="T789" s="54"/>
      <c r="U789" s="54"/>
      <c r="V789" s="54"/>
      <c r="W789" s="54"/>
      <c r="X789" s="54"/>
      <c r="Y789" s="54"/>
      <c r="Z789" s="54"/>
      <c r="AA789" s="54"/>
      <c r="AB789" s="54"/>
    </row>
    <row r="790">
      <c r="A790" s="57"/>
      <c r="B790" s="10" t="str">
        <f>IFERROR(VLOOKUP(C790,'Employees List'!$B$1:$G$999,4,0),"")</f>
        <v/>
      </c>
      <c r="C790" s="9"/>
      <c r="D790" s="9"/>
      <c r="E790" s="56"/>
      <c r="F790" s="56"/>
      <c r="G790" s="56"/>
      <c r="H790" s="50"/>
      <c r="I790" s="54"/>
      <c r="J790" s="54"/>
      <c r="K790" s="54"/>
      <c r="L790" s="54"/>
      <c r="M790" s="54"/>
      <c r="N790" s="54"/>
      <c r="O790" s="54"/>
      <c r="P790" s="54"/>
      <c r="Q790" s="54"/>
      <c r="R790" s="54"/>
      <c r="S790" s="54"/>
      <c r="T790" s="54"/>
      <c r="U790" s="54"/>
      <c r="V790" s="54"/>
      <c r="W790" s="54"/>
      <c r="X790" s="54"/>
      <c r="Y790" s="54"/>
      <c r="Z790" s="54"/>
      <c r="AA790" s="54"/>
      <c r="AB790" s="54"/>
    </row>
    <row r="791">
      <c r="A791" s="57"/>
      <c r="B791" s="10" t="str">
        <f>IFERROR(VLOOKUP(C791,'Employees List'!$B$1:$G$999,4,0),"")</f>
        <v/>
      </c>
      <c r="C791" s="9"/>
      <c r="D791" s="9"/>
      <c r="E791" s="56"/>
      <c r="F791" s="56"/>
      <c r="G791" s="56"/>
      <c r="H791" s="50"/>
      <c r="I791" s="54"/>
      <c r="J791" s="54"/>
      <c r="K791" s="54"/>
      <c r="L791" s="54"/>
      <c r="M791" s="54"/>
      <c r="N791" s="54"/>
      <c r="O791" s="54"/>
      <c r="P791" s="54"/>
      <c r="Q791" s="54"/>
      <c r="R791" s="54"/>
      <c r="S791" s="54"/>
      <c r="T791" s="54"/>
      <c r="U791" s="54"/>
      <c r="V791" s="54"/>
      <c r="W791" s="54"/>
      <c r="X791" s="54"/>
      <c r="Y791" s="54"/>
      <c r="Z791" s="54"/>
      <c r="AA791" s="54"/>
      <c r="AB791" s="54"/>
    </row>
    <row r="792">
      <c r="A792" s="57"/>
      <c r="B792" s="10" t="str">
        <f>IFERROR(VLOOKUP(C792,'Employees List'!$B$1:$G$999,4,0),"")</f>
        <v/>
      </c>
      <c r="C792" s="9"/>
      <c r="D792" s="9"/>
      <c r="E792" s="56"/>
      <c r="F792" s="56"/>
      <c r="G792" s="56"/>
      <c r="H792" s="50"/>
      <c r="I792" s="54"/>
      <c r="J792" s="54"/>
      <c r="K792" s="54"/>
      <c r="L792" s="54"/>
      <c r="M792" s="54"/>
      <c r="N792" s="54"/>
      <c r="O792" s="54"/>
      <c r="P792" s="54"/>
      <c r="Q792" s="54"/>
      <c r="R792" s="54"/>
      <c r="S792" s="54"/>
      <c r="T792" s="54"/>
      <c r="U792" s="54"/>
      <c r="V792" s="54"/>
      <c r="W792" s="54"/>
      <c r="X792" s="54"/>
      <c r="Y792" s="54"/>
      <c r="Z792" s="54"/>
      <c r="AA792" s="54"/>
      <c r="AB792" s="54"/>
    </row>
    <row r="793">
      <c r="A793" s="57"/>
      <c r="B793" s="10" t="str">
        <f>IFERROR(VLOOKUP(C793,'Employees List'!$B$1:$G$999,4,0),"")</f>
        <v/>
      </c>
      <c r="C793" s="9"/>
      <c r="D793" s="9"/>
      <c r="E793" s="56"/>
      <c r="F793" s="56"/>
      <c r="G793" s="56"/>
      <c r="H793" s="50"/>
      <c r="I793" s="54"/>
      <c r="J793" s="54"/>
      <c r="K793" s="54"/>
      <c r="L793" s="54"/>
      <c r="M793" s="54"/>
      <c r="N793" s="54"/>
      <c r="O793" s="54"/>
      <c r="P793" s="54"/>
      <c r="Q793" s="54"/>
      <c r="R793" s="54"/>
      <c r="S793" s="54"/>
      <c r="T793" s="54"/>
      <c r="U793" s="54"/>
      <c r="V793" s="54"/>
      <c r="W793" s="54"/>
      <c r="X793" s="54"/>
      <c r="Y793" s="54"/>
      <c r="Z793" s="54"/>
      <c r="AA793" s="54"/>
      <c r="AB793" s="54"/>
    </row>
    <row r="794">
      <c r="A794" s="57"/>
      <c r="B794" s="10" t="str">
        <f>IFERROR(VLOOKUP(C794,'Employees List'!$B$1:$G$999,4,0),"")</f>
        <v/>
      </c>
      <c r="C794" s="9"/>
      <c r="D794" s="9"/>
      <c r="E794" s="56"/>
      <c r="F794" s="56"/>
      <c r="G794" s="56"/>
      <c r="H794" s="50"/>
      <c r="I794" s="54"/>
      <c r="J794" s="54"/>
      <c r="K794" s="54"/>
      <c r="L794" s="54"/>
      <c r="M794" s="54"/>
      <c r="N794" s="54"/>
      <c r="O794" s="54"/>
      <c r="P794" s="54"/>
      <c r="Q794" s="54"/>
      <c r="R794" s="54"/>
      <c r="S794" s="54"/>
      <c r="T794" s="54"/>
      <c r="U794" s="54"/>
      <c r="V794" s="54"/>
      <c r="W794" s="54"/>
      <c r="X794" s="54"/>
      <c r="Y794" s="54"/>
      <c r="Z794" s="54"/>
      <c r="AA794" s="54"/>
      <c r="AB794" s="54"/>
    </row>
    <row r="795">
      <c r="A795" s="57"/>
      <c r="B795" s="10" t="str">
        <f>IFERROR(VLOOKUP(C795,'Employees List'!$B$1:$G$999,4,0),"")</f>
        <v/>
      </c>
      <c r="C795" s="9"/>
      <c r="D795" s="9"/>
      <c r="E795" s="56"/>
      <c r="F795" s="56"/>
      <c r="G795" s="56"/>
      <c r="H795" s="50"/>
      <c r="I795" s="54"/>
      <c r="J795" s="54"/>
      <c r="K795" s="54"/>
      <c r="L795" s="54"/>
      <c r="M795" s="54"/>
      <c r="N795" s="54"/>
      <c r="O795" s="54"/>
      <c r="P795" s="54"/>
      <c r="Q795" s="54"/>
      <c r="R795" s="54"/>
      <c r="S795" s="54"/>
      <c r="T795" s="54"/>
      <c r="U795" s="54"/>
      <c r="V795" s="54"/>
      <c r="W795" s="54"/>
      <c r="X795" s="54"/>
      <c r="Y795" s="54"/>
      <c r="Z795" s="54"/>
      <c r="AA795" s="54"/>
      <c r="AB795" s="54"/>
    </row>
    <row r="796">
      <c r="A796" s="57"/>
      <c r="B796" s="10" t="str">
        <f>IFERROR(VLOOKUP(C796,'Employees List'!$B$1:$G$999,4,0),"")</f>
        <v/>
      </c>
      <c r="C796" s="9"/>
      <c r="D796" s="9"/>
      <c r="E796" s="56"/>
      <c r="F796" s="56"/>
      <c r="G796" s="56"/>
      <c r="H796" s="50"/>
      <c r="I796" s="54"/>
      <c r="J796" s="54"/>
      <c r="K796" s="54"/>
      <c r="L796" s="54"/>
      <c r="M796" s="54"/>
      <c r="N796" s="54"/>
      <c r="O796" s="54"/>
      <c r="P796" s="54"/>
      <c r="Q796" s="54"/>
      <c r="R796" s="54"/>
      <c r="S796" s="54"/>
      <c r="T796" s="54"/>
      <c r="U796" s="54"/>
      <c r="V796" s="54"/>
      <c r="W796" s="54"/>
      <c r="X796" s="54"/>
      <c r="Y796" s="54"/>
      <c r="Z796" s="54"/>
      <c r="AA796" s="54"/>
      <c r="AB796" s="54"/>
    </row>
    <row r="797">
      <c r="A797" s="57"/>
      <c r="B797" s="10" t="str">
        <f>IFERROR(VLOOKUP(C797,'Employees List'!$B$1:$G$999,4,0),"")</f>
        <v/>
      </c>
      <c r="C797" s="9"/>
      <c r="D797" s="9"/>
      <c r="E797" s="56"/>
      <c r="F797" s="56"/>
      <c r="G797" s="56"/>
      <c r="H797" s="50"/>
      <c r="I797" s="54"/>
      <c r="J797" s="54"/>
      <c r="K797" s="54"/>
      <c r="L797" s="54"/>
      <c r="M797" s="54"/>
      <c r="N797" s="54"/>
      <c r="O797" s="54"/>
      <c r="P797" s="54"/>
      <c r="Q797" s="54"/>
      <c r="R797" s="54"/>
      <c r="S797" s="54"/>
      <c r="T797" s="54"/>
      <c r="U797" s="54"/>
      <c r="V797" s="54"/>
      <c r="W797" s="54"/>
      <c r="X797" s="54"/>
      <c r="Y797" s="54"/>
      <c r="Z797" s="54"/>
      <c r="AA797" s="54"/>
      <c r="AB797" s="54"/>
    </row>
    <row r="798">
      <c r="A798" s="57"/>
      <c r="B798" s="10" t="str">
        <f>IFERROR(VLOOKUP(C798,'Employees List'!$B$1:$G$999,4,0),"")</f>
        <v/>
      </c>
      <c r="C798" s="9"/>
      <c r="D798" s="9"/>
      <c r="E798" s="56"/>
      <c r="F798" s="56"/>
      <c r="G798" s="56"/>
      <c r="H798" s="50"/>
      <c r="I798" s="54"/>
      <c r="J798" s="54"/>
      <c r="K798" s="54"/>
      <c r="L798" s="54"/>
      <c r="M798" s="54"/>
      <c r="N798" s="54"/>
      <c r="O798" s="54"/>
      <c r="P798" s="54"/>
      <c r="Q798" s="54"/>
      <c r="R798" s="54"/>
      <c r="S798" s="54"/>
      <c r="T798" s="54"/>
      <c r="U798" s="54"/>
      <c r="V798" s="54"/>
      <c r="W798" s="54"/>
      <c r="X798" s="54"/>
      <c r="Y798" s="54"/>
      <c r="Z798" s="54"/>
      <c r="AA798" s="54"/>
      <c r="AB798" s="54"/>
    </row>
    <row r="799">
      <c r="A799" s="57"/>
      <c r="B799" s="10" t="str">
        <f>IFERROR(VLOOKUP(C799,'Employees List'!$B$1:$G$999,4,0),"")</f>
        <v/>
      </c>
      <c r="C799" s="9"/>
      <c r="D799" s="9"/>
      <c r="E799" s="56"/>
      <c r="F799" s="56"/>
      <c r="G799" s="56"/>
      <c r="H799" s="50"/>
      <c r="I799" s="54"/>
      <c r="J799" s="54"/>
      <c r="K799" s="54"/>
      <c r="L799" s="54"/>
      <c r="M799" s="54"/>
      <c r="N799" s="54"/>
      <c r="O799" s="54"/>
      <c r="P799" s="54"/>
      <c r="Q799" s="54"/>
      <c r="R799" s="54"/>
      <c r="S799" s="54"/>
      <c r="T799" s="54"/>
      <c r="U799" s="54"/>
      <c r="V799" s="54"/>
      <c r="W799" s="54"/>
      <c r="X799" s="54"/>
      <c r="Y799" s="54"/>
      <c r="Z799" s="54"/>
      <c r="AA799" s="54"/>
      <c r="AB799" s="54"/>
    </row>
    <row r="800">
      <c r="A800" s="57"/>
      <c r="B800" s="10" t="str">
        <f>IFERROR(VLOOKUP(C800,'Employees List'!$B$1:$G$999,4,0),"")</f>
        <v/>
      </c>
      <c r="C800" s="9"/>
      <c r="D800" s="9"/>
      <c r="E800" s="56"/>
      <c r="F800" s="56"/>
      <c r="G800" s="56"/>
      <c r="H800" s="50"/>
      <c r="I800" s="54"/>
      <c r="J800" s="54"/>
      <c r="K800" s="54"/>
      <c r="L800" s="54"/>
      <c r="M800" s="54"/>
      <c r="N800" s="54"/>
      <c r="O800" s="54"/>
      <c r="P800" s="54"/>
      <c r="Q800" s="54"/>
      <c r="R800" s="54"/>
      <c r="S800" s="54"/>
      <c r="T800" s="54"/>
      <c r="U800" s="54"/>
      <c r="V800" s="54"/>
      <c r="W800" s="54"/>
      <c r="X800" s="54"/>
      <c r="Y800" s="54"/>
      <c r="Z800" s="54"/>
      <c r="AA800" s="54"/>
      <c r="AB800" s="54"/>
    </row>
    <row r="801">
      <c r="A801" s="57"/>
      <c r="B801" s="10" t="str">
        <f>IFERROR(VLOOKUP(C801,'Employees List'!$B$1:$G$999,4,0),"")</f>
        <v/>
      </c>
      <c r="C801" s="9"/>
      <c r="D801" s="9"/>
      <c r="E801" s="56"/>
      <c r="F801" s="56"/>
      <c r="G801" s="56"/>
      <c r="H801" s="50"/>
      <c r="I801" s="54"/>
      <c r="J801" s="54"/>
      <c r="K801" s="54"/>
      <c r="L801" s="54"/>
      <c r="M801" s="54"/>
      <c r="N801" s="54"/>
      <c r="O801" s="54"/>
      <c r="P801" s="54"/>
      <c r="Q801" s="54"/>
      <c r="R801" s="54"/>
      <c r="S801" s="54"/>
      <c r="T801" s="54"/>
      <c r="U801" s="54"/>
      <c r="V801" s="54"/>
      <c r="W801" s="54"/>
      <c r="X801" s="54"/>
      <c r="Y801" s="54"/>
      <c r="Z801" s="54"/>
      <c r="AA801" s="54"/>
      <c r="AB801" s="54"/>
    </row>
    <row r="802">
      <c r="A802" s="57"/>
      <c r="B802" s="10" t="str">
        <f>IFERROR(VLOOKUP(C802,'Employees List'!$B$1:$G$999,4,0),"")</f>
        <v/>
      </c>
      <c r="C802" s="9"/>
      <c r="D802" s="9"/>
      <c r="E802" s="56"/>
      <c r="F802" s="56"/>
      <c r="G802" s="56"/>
      <c r="H802" s="50"/>
      <c r="I802" s="54"/>
      <c r="J802" s="54"/>
      <c r="K802" s="54"/>
      <c r="L802" s="54"/>
      <c r="M802" s="54"/>
      <c r="N802" s="54"/>
      <c r="O802" s="54"/>
      <c r="P802" s="54"/>
      <c r="Q802" s="54"/>
      <c r="R802" s="54"/>
      <c r="S802" s="54"/>
      <c r="T802" s="54"/>
      <c r="U802" s="54"/>
      <c r="V802" s="54"/>
      <c r="W802" s="54"/>
      <c r="X802" s="54"/>
      <c r="Y802" s="54"/>
      <c r="Z802" s="54"/>
      <c r="AA802" s="54"/>
      <c r="AB802" s="54"/>
    </row>
    <row r="803">
      <c r="A803" s="57"/>
      <c r="B803" s="10" t="str">
        <f>IFERROR(VLOOKUP(C803,'Employees List'!$B$1:$G$999,4,0),"")</f>
        <v/>
      </c>
      <c r="C803" s="9"/>
      <c r="D803" s="9"/>
      <c r="E803" s="56"/>
      <c r="F803" s="56"/>
      <c r="G803" s="56"/>
      <c r="H803" s="50"/>
      <c r="I803" s="54"/>
      <c r="J803" s="54"/>
      <c r="K803" s="54"/>
      <c r="L803" s="54"/>
      <c r="M803" s="54"/>
      <c r="N803" s="54"/>
      <c r="O803" s="54"/>
      <c r="P803" s="54"/>
      <c r="Q803" s="54"/>
      <c r="R803" s="54"/>
      <c r="S803" s="54"/>
      <c r="T803" s="54"/>
      <c r="U803" s="54"/>
      <c r="V803" s="54"/>
      <c r="W803" s="54"/>
      <c r="X803" s="54"/>
      <c r="Y803" s="54"/>
      <c r="Z803" s="54"/>
      <c r="AA803" s="54"/>
      <c r="AB803" s="54"/>
    </row>
    <row r="804">
      <c r="A804" s="57"/>
      <c r="B804" s="10" t="str">
        <f>IFERROR(VLOOKUP(C804,'Employees List'!$B$1:$G$999,4,0),"")</f>
        <v/>
      </c>
      <c r="C804" s="9"/>
      <c r="D804" s="9"/>
      <c r="E804" s="56"/>
      <c r="F804" s="56"/>
      <c r="G804" s="56"/>
      <c r="H804" s="50"/>
      <c r="I804" s="54"/>
      <c r="J804" s="54"/>
      <c r="K804" s="54"/>
      <c r="L804" s="54"/>
      <c r="M804" s="54"/>
      <c r="N804" s="54"/>
      <c r="O804" s="54"/>
      <c r="P804" s="54"/>
      <c r="Q804" s="54"/>
      <c r="R804" s="54"/>
      <c r="S804" s="54"/>
      <c r="T804" s="54"/>
      <c r="U804" s="54"/>
      <c r="V804" s="54"/>
      <c r="W804" s="54"/>
      <c r="X804" s="54"/>
      <c r="Y804" s="54"/>
      <c r="Z804" s="54"/>
      <c r="AA804" s="54"/>
      <c r="AB804" s="54"/>
    </row>
    <row r="805">
      <c r="A805" s="57"/>
      <c r="B805" s="10" t="str">
        <f>IFERROR(VLOOKUP(C805,'Employees List'!$B$1:$G$999,4,0),"")</f>
        <v/>
      </c>
      <c r="C805" s="9"/>
      <c r="D805" s="9"/>
      <c r="E805" s="56"/>
      <c r="F805" s="56"/>
      <c r="G805" s="56"/>
      <c r="H805" s="50"/>
      <c r="I805" s="54"/>
      <c r="J805" s="54"/>
      <c r="K805" s="54"/>
      <c r="L805" s="54"/>
      <c r="M805" s="54"/>
      <c r="N805" s="54"/>
      <c r="O805" s="54"/>
      <c r="P805" s="54"/>
      <c r="Q805" s="54"/>
      <c r="R805" s="54"/>
      <c r="S805" s="54"/>
      <c r="T805" s="54"/>
      <c r="U805" s="54"/>
      <c r="V805" s="54"/>
      <c r="W805" s="54"/>
      <c r="X805" s="54"/>
      <c r="Y805" s="54"/>
      <c r="Z805" s="54"/>
      <c r="AA805" s="54"/>
      <c r="AB805" s="54"/>
    </row>
    <row r="806">
      <c r="A806" s="57"/>
      <c r="B806" s="10" t="str">
        <f>IFERROR(VLOOKUP(C806,'Employees List'!$B$1:$G$999,4,0),"")</f>
        <v/>
      </c>
      <c r="C806" s="9"/>
      <c r="D806" s="9"/>
      <c r="E806" s="56"/>
      <c r="F806" s="56"/>
      <c r="G806" s="56"/>
      <c r="H806" s="50"/>
      <c r="I806" s="54"/>
      <c r="J806" s="54"/>
      <c r="K806" s="54"/>
      <c r="L806" s="54"/>
      <c r="M806" s="54"/>
      <c r="N806" s="54"/>
      <c r="O806" s="54"/>
      <c r="P806" s="54"/>
      <c r="Q806" s="54"/>
      <c r="R806" s="54"/>
      <c r="S806" s="54"/>
      <c r="T806" s="54"/>
      <c r="U806" s="54"/>
      <c r="V806" s="54"/>
      <c r="W806" s="54"/>
      <c r="X806" s="54"/>
      <c r="Y806" s="54"/>
      <c r="Z806" s="54"/>
      <c r="AA806" s="54"/>
      <c r="AB806" s="54"/>
    </row>
    <row r="807">
      <c r="A807" s="57"/>
      <c r="B807" s="10" t="str">
        <f>IFERROR(VLOOKUP(C807,'Employees List'!$B$1:$G$999,4,0),"")</f>
        <v/>
      </c>
      <c r="C807" s="9"/>
      <c r="D807" s="9"/>
      <c r="E807" s="56"/>
      <c r="F807" s="56"/>
      <c r="G807" s="56"/>
      <c r="H807" s="50"/>
      <c r="I807" s="54"/>
      <c r="J807" s="54"/>
      <c r="K807" s="54"/>
      <c r="L807" s="54"/>
      <c r="M807" s="54"/>
      <c r="N807" s="54"/>
      <c r="O807" s="54"/>
      <c r="P807" s="54"/>
      <c r="Q807" s="54"/>
      <c r="R807" s="54"/>
      <c r="S807" s="54"/>
      <c r="T807" s="54"/>
      <c r="U807" s="54"/>
      <c r="V807" s="54"/>
      <c r="W807" s="54"/>
      <c r="X807" s="54"/>
      <c r="Y807" s="54"/>
      <c r="Z807" s="54"/>
      <c r="AA807" s="54"/>
      <c r="AB807" s="54"/>
    </row>
    <row r="808">
      <c r="A808" s="57"/>
      <c r="B808" s="10" t="str">
        <f>IFERROR(VLOOKUP(C808,'Employees List'!$B$1:$G$999,4,0),"")</f>
        <v/>
      </c>
      <c r="C808" s="9"/>
      <c r="D808" s="9"/>
      <c r="E808" s="56"/>
      <c r="F808" s="56"/>
      <c r="G808" s="56"/>
      <c r="H808" s="50"/>
      <c r="I808" s="54"/>
      <c r="J808" s="54"/>
      <c r="K808" s="54"/>
      <c r="L808" s="54"/>
      <c r="M808" s="54"/>
      <c r="N808" s="54"/>
      <c r="O808" s="54"/>
      <c r="P808" s="54"/>
      <c r="Q808" s="54"/>
      <c r="R808" s="54"/>
      <c r="S808" s="54"/>
      <c r="T808" s="54"/>
      <c r="U808" s="54"/>
      <c r="V808" s="54"/>
      <c r="W808" s="54"/>
      <c r="X808" s="54"/>
      <c r="Y808" s="54"/>
      <c r="Z808" s="54"/>
      <c r="AA808" s="54"/>
      <c r="AB808" s="54"/>
    </row>
    <row r="809">
      <c r="A809" s="57"/>
      <c r="B809" s="10" t="str">
        <f>IFERROR(VLOOKUP(C809,'Employees List'!$B$1:$G$999,4,0),"")</f>
        <v/>
      </c>
      <c r="C809" s="9"/>
      <c r="D809" s="9"/>
      <c r="E809" s="56"/>
      <c r="F809" s="56"/>
      <c r="G809" s="56"/>
      <c r="H809" s="50"/>
      <c r="I809" s="54"/>
      <c r="J809" s="54"/>
      <c r="K809" s="54"/>
      <c r="L809" s="54"/>
      <c r="M809" s="54"/>
      <c r="N809" s="54"/>
      <c r="O809" s="54"/>
      <c r="P809" s="54"/>
      <c r="Q809" s="54"/>
      <c r="R809" s="54"/>
      <c r="S809" s="54"/>
      <c r="T809" s="54"/>
      <c r="U809" s="54"/>
      <c r="V809" s="54"/>
      <c r="W809" s="54"/>
      <c r="X809" s="54"/>
      <c r="Y809" s="54"/>
      <c r="Z809" s="54"/>
      <c r="AA809" s="54"/>
      <c r="AB809" s="54"/>
    </row>
    <row r="810">
      <c r="A810" s="57"/>
      <c r="B810" s="10" t="str">
        <f>IFERROR(VLOOKUP(C810,'Employees List'!$B$1:$G$999,4,0),"")</f>
        <v/>
      </c>
      <c r="C810" s="9"/>
      <c r="D810" s="9"/>
      <c r="E810" s="56"/>
      <c r="F810" s="56"/>
      <c r="G810" s="56"/>
      <c r="H810" s="50"/>
      <c r="I810" s="54"/>
      <c r="J810" s="54"/>
      <c r="K810" s="54"/>
      <c r="L810" s="54"/>
      <c r="M810" s="54"/>
      <c r="N810" s="54"/>
      <c r="O810" s="54"/>
      <c r="P810" s="54"/>
      <c r="Q810" s="54"/>
      <c r="R810" s="54"/>
      <c r="S810" s="54"/>
      <c r="T810" s="54"/>
      <c r="U810" s="54"/>
      <c r="V810" s="54"/>
      <c r="W810" s="54"/>
      <c r="X810" s="54"/>
      <c r="Y810" s="54"/>
      <c r="Z810" s="54"/>
      <c r="AA810" s="54"/>
      <c r="AB810" s="54"/>
    </row>
    <row r="811">
      <c r="A811" s="57"/>
      <c r="B811" s="10" t="str">
        <f>IFERROR(VLOOKUP(C811,'Employees List'!$B$1:$G$999,4,0),"")</f>
        <v/>
      </c>
      <c r="C811" s="9"/>
      <c r="D811" s="9"/>
      <c r="E811" s="56"/>
      <c r="F811" s="56"/>
      <c r="G811" s="56"/>
      <c r="H811" s="50"/>
      <c r="I811" s="54"/>
      <c r="J811" s="54"/>
      <c r="K811" s="54"/>
      <c r="L811" s="54"/>
      <c r="M811" s="54"/>
      <c r="N811" s="54"/>
      <c r="O811" s="54"/>
      <c r="P811" s="54"/>
      <c r="Q811" s="54"/>
      <c r="R811" s="54"/>
      <c r="S811" s="54"/>
      <c r="T811" s="54"/>
      <c r="U811" s="54"/>
      <c r="V811" s="54"/>
      <c r="W811" s="54"/>
      <c r="X811" s="54"/>
      <c r="Y811" s="54"/>
      <c r="Z811" s="54"/>
      <c r="AA811" s="54"/>
      <c r="AB811" s="54"/>
    </row>
    <row r="812">
      <c r="A812" s="57"/>
      <c r="B812" s="10" t="str">
        <f>IFERROR(VLOOKUP(C812,'Employees List'!$B$1:$G$999,4,0),"")</f>
        <v/>
      </c>
      <c r="C812" s="9"/>
      <c r="D812" s="9"/>
      <c r="E812" s="56"/>
      <c r="F812" s="56"/>
      <c r="G812" s="56"/>
      <c r="H812" s="50"/>
      <c r="I812" s="54"/>
      <c r="J812" s="54"/>
      <c r="K812" s="54"/>
      <c r="L812" s="54"/>
      <c r="M812" s="54"/>
      <c r="N812" s="54"/>
      <c r="O812" s="54"/>
      <c r="P812" s="54"/>
      <c r="Q812" s="54"/>
      <c r="R812" s="54"/>
      <c r="S812" s="54"/>
      <c r="T812" s="54"/>
      <c r="U812" s="54"/>
      <c r="V812" s="54"/>
      <c r="W812" s="54"/>
      <c r="X812" s="54"/>
      <c r="Y812" s="54"/>
      <c r="Z812" s="54"/>
      <c r="AA812" s="54"/>
      <c r="AB812" s="54"/>
    </row>
    <row r="813">
      <c r="A813" s="57"/>
      <c r="B813" s="10" t="str">
        <f>IFERROR(VLOOKUP(C813,'Employees List'!$B$1:$G$999,4,0),"")</f>
        <v/>
      </c>
      <c r="C813" s="9"/>
      <c r="D813" s="9"/>
      <c r="E813" s="56"/>
      <c r="F813" s="56"/>
      <c r="G813" s="56"/>
      <c r="H813" s="50"/>
      <c r="I813" s="54"/>
      <c r="J813" s="54"/>
      <c r="K813" s="54"/>
      <c r="L813" s="54"/>
      <c r="M813" s="54"/>
      <c r="N813" s="54"/>
      <c r="O813" s="54"/>
      <c r="P813" s="54"/>
      <c r="Q813" s="54"/>
      <c r="R813" s="54"/>
      <c r="S813" s="54"/>
      <c r="T813" s="54"/>
      <c r="U813" s="54"/>
      <c r="V813" s="54"/>
      <c r="W813" s="54"/>
      <c r="X813" s="54"/>
      <c r="Y813" s="54"/>
      <c r="Z813" s="54"/>
      <c r="AA813" s="54"/>
      <c r="AB813" s="54"/>
    </row>
    <row r="814">
      <c r="A814" s="57"/>
      <c r="B814" s="10" t="str">
        <f>IFERROR(VLOOKUP(C814,'Employees List'!$B$1:$G$999,4,0),"")</f>
        <v/>
      </c>
      <c r="C814" s="9"/>
      <c r="D814" s="9"/>
      <c r="E814" s="56"/>
      <c r="F814" s="56"/>
      <c r="G814" s="56"/>
      <c r="H814" s="50"/>
      <c r="I814" s="54"/>
      <c r="J814" s="54"/>
      <c r="K814" s="54"/>
      <c r="L814" s="54"/>
      <c r="M814" s="54"/>
      <c r="N814" s="54"/>
      <c r="O814" s="54"/>
      <c r="P814" s="54"/>
      <c r="Q814" s="54"/>
      <c r="R814" s="54"/>
      <c r="S814" s="54"/>
      <c r="T814" s="54"/>
      <c r="U814" s="54"/>
      <c r="V814" s="54"/>
      <c r="W814" s="54"/>
      <c r="X814" s="54"/>
      <c r="Y814" s="54"/>
      <c r="Z814" s="54"/>
      <c r="AA814" s="54"/>
      <c r="AB814" s="54"/>
    </row>
    <row r="815">
      <c r="A815" s="57"/>
      <c r="B815" s="10" t="str">
        <f>IFERROR(VLOOKUP(C815,'Employees List'!$B$1:$G$999,4,0),"")</f>
        <v/>
      </c>
      <c r="C815" s="9"/>
      <c r="D815" s="9"/>
      <c r="E815" s="56"/>
      <c r="F815" s="56"/>
      <c r="G815" s="56"/>
      <c r="H815" s="50"/>
      <c r="I815" s="54"/>
      <c r="J815" s="54"/>
      <c r="K815" s="54"/>
      <c r="L815" s="54"/>
      <c r="M815" s="54"/>
      <c r="N815" s="54"/>
      <c r="O815" s="54"/>
      <c r="P815" s="54"/>
      <c r="Q815" s="54"/>
      <c r="R815" s="54"/>
      <c r="S815" s="54"/>
      <c r="T815" s="54"/>
      <c r="U815" s="54"/>
      <c r="V815" s="54"/>
      <c r="W815" s="54"/>
      <c r="X815" s="54"/>
      <c r="Y815" s="54"/>
      <c r="Z815" s="54"/>
      <c r="AA815" s="54"/>
      <c r="AB815" s="54"/>
    </row>
    <row r="816">
      <c r="A816" s="57"/>
      <c r="B816" s="10" t="str">
        <f>IFERROR(VLOOKUP(C816,'Employees List'!$B$1:$G$999,4,0),"")</f>
        <v/>
      </c>
      <c r="C816" s="9"/>
      <c r="D816" s="9"/>
      <c r="E816" s="56"/>
      <c r="F816" s="56"/>
      <c r="G816" s="56"/>
      <c r="H816" s="50"/>
      <c r="I816" s="54"/>
      <c r="J816" s="54"/>
      <c r="K816" s="54"/>
      <c r="L816" s="54"/>
      <c r="M816" s="54"/>
      <c r="N816" s="54"/>
      <c r="O816" s="54"/>
      <c r="P816" s="54"/>
      <c r="Q816" s="54"/>
      <c r="R816" s="54"/>
      <c r="S816" s="54"/>
      <c r="T816" s="54"/>
      <c r="U816" s="54"/>
      <c r="V816" s="54"/>
      <c r="W816" s="54"/>
      <c r="X816" s="54"/>
      <c r="Y816" s="54"/>
      <c r="Z816" s="54"/>
      <c r="AA816" s="54"/>
      <c r="AB816" s="54"/>
    </row>
    <row r="817">
      <c r="A817" s="57"/>
      <c r="B817" s="10" t="str">
        <f>IFERROR(VLOOKUP(C817,'Employees List'!$B$1:$G$999,4,0),"")</f>
        <v/>
      </c>
      <c r="C817" s="9"/>
      <c r="D817" s="9"/>
      <c r="E817" s="56"/>
      <c r="F817" s="56"/>
      <c r="G817" s="56"/>
      <c r="H817" s="50"/>
      <c r="I817" s="54"/>
      <c r="J817" s="54"/>
      <c r="K817" s="54"/>
      <c r="L817" s="54"/>
      <c r="M817" s="54"/>
      <c r="N817" s="54"/>
      <c r="O817" s="54"/>
      <c r="P817" s="54"/>
      <c r="Q817" s="54"/>
      <c r="R817" s="54"/>
      <c r="S817" s="54"/>
      <c r="T817" s="54"/>
      <c r="U817" s="54"/>
      <c r="V817" s="54"/>
      <c r="W817" s="54"/>
      <c r="X817" s="54"/>
      <c r="Y817" s="54"/>
      <c r="Z817" s="54"/>
      <c r="AA817" s="54"/>
      <c r="AB817" s="54"/>
    </row>
    <row r="818">
      <c r="A818" s="57"/>
      <c r="B818" s="10" t="str">
        <f>IFERROR(VLOOKUP(C818,'Employees List'!$B$1:$G$999,4,0),"")</f>
        <v/>
      </c>
      <c r="C818" s="9"/>
      <c r="D818" s="9"/>
      <c r="E818" s="56"/>
      <c r="F818" s="56"/>
      <c r="G818" s="56"/>
      <c r="H818" s="50"/>
      <c r="I818" s="54"/>
      <c r="J818" s="54"/>
      <c r="K818" s="54"/>
      <c r="L818" s="54"/>
      <c r="M818" s="54"/>
      <c r="N818" s="54"/>
      <c r="O818" s="54"/>
      <c r="P818" s="54"/>
      <c r="Q818" s="54"/>
      <c r="R818" s="54"/>
      <c r="S818" s="54"/>
      <c r="T818" s="54"/>
      <c r="U818" s="54"/>
      <c r="V818" s="54"/>
      <c r="W818" s="54"/>
      <c r="X818" s="54"/>
      <c r="Y818" s="54"/>
      <c r="Z818" s="54"/>
      <c r="AA818" s="54"/>
      <c r="AB818" s="54"/>
    </row>
    <row r="819">
      <c r="A819" s="57"/>
      <c r="B819" s="10" t="str">
        <f>IFERROR(VLOOKUP(C819,'Employees List'!$B$1:$G$999,4,0),"")</f>
        <v/>
      </c>
      <c r="C819" s="9"/>
      <c r="D819" s="9"/>
      <c r="E819" s="56"/>
      <c r="F819" s="56"/>
      <c r="G819" s="56"/>
      <c r="H819" s="50"/>
      <c r="I819" s="54"/>
      <c r="J819" s="54"/>
      <c r="K819" s="54"/>
      <c r="L819" s="54"/>
      <c r="M819" s="54"/>
      <c r="N819" s="54"/>
      <c r="O819" s="54"/>
      <c r="P819" s="54"/>
      <c r="Q819" s="54"/>
      <c r="R819" s="54"/>
      <c r="S819" s="54"/>
      <c r="T819" s="54"/>
      <c r="U819" s="54"/>
      <c r="V819" s="54"/>
      <c r="W819" s="54"/>
      <c r="X819" s="54"/>
      <c r="Y819" s="54"/>
      <c r="Z819" s="54"/>
      <c r="AA819" s="54"/>
      <c r="AB819" s="54"/>
    </row>
    <row r="820">
      <c r="A820" s="57"/>
      <c r="B820" s="10" t="str">
        <f>IFERROR(VLOOKUP(C820,'Employees List'!$B$1:$G$999,4,0),"")</f>
        <v/>
      </c>
      <c r="C820" s="9"/>
      <c r="D820" s="9"/>
      <c r="E820" s="56"/>
      <c r="F820" s="56"/>
      <c r="G820" s="56"/>
      <c r="H820" s="50"/>
      <c r="I820" s="54"/>
      <c r="J820" s="54"/>
      <c r="K820" s="54"/>
      <c r="L820" s="54"/>
      <c r="M820" s="54"/>
      <c r="N820" s="54"/>
      <c r="O820" s="54"/>
      <c r="P820" s="54"/>
      <c r="Q820" s="54"/>
      <c r="R820" s="54"/>
      <c r="S820" s="54"/>
      <c r="T820" s="54"/>
      <c r="U820" s="54"/>
      <c r="V820" s="54"/>
      <c r="W820" s="54"/>
      <c r="X820" s="54"/>
      <c r="Y820" s="54"/>
      <c r="Z820" s="54"/>
      <c r="AA820" s="54"/>
      <c r="AB820" s="54"/>
    </row>
    <row r="821">
      <c r="A821" s="57"/>
      <c r="B821" s="10" t="str">
        <f>IFERROR(VLOOKUP(C821,'Employees List'!$B$1:$G$999,4,0),"")</f>
        <v/>
      </c>
      <c r="C821" s="9"/>
      <c r="D821" s="9"/>
      <c r="E821" s="56"/>
      <c r="F821" s="56"/>
      <c r="G821" s="56"/>
      <c r="H821" s="50"/>
      <c r="I821" s="54"/>
      <c r="J821" s="54"/>
      <c r="K821" s="54"/>
      <c r="L821" s="54"/>
      <c r="M821" s="54"/>
      <c r="N821" s="54"/>
      <c r="O821" s="54"/>
      <c r="P821" s="54"/>
      <c r="Q821" s="54"/>
      <c r="R821" s="54"/>
      <c r="S821" s="54"/>
      <c r="T821" s="54"/>
      <c r="U821" s="54"/>
      <c r="V821" s="54"/>
      <c r="W821" s="54"/>
      <c r="X821" s="54"/>
      <c r="Y821" s="54"/>
      <c r="Z821" s="54"/>
      <c r="AA821" s="54"/>
      <c r="AB821" s="54"/>
    </row>
    <row r="822">
      <c r="A822" s="57"/>
      <c r="B822" s="10" t="str">
        <f>IFERROR(VLOOKUP(C822,'Employees List'!$B$1:$G$999,4,0),"")</f>
        <v/>
      </c>
      <c r="C822" s="9"/>
      <c r="D822" s="9"/>
      <c r="E822" s="56"/>
      <c r="F822" s="56"/>
      <c r="G822" s="56"/>
      <c r="H822" s="50"/>
      <c r="I822" s="54"/>
      <c r="J822" s="54"/>
      <c r="K822" s="54"/>
      <c r="L822" s="54"/>
      <c r="M822" s="54"/>
      <c r="N822" s="54"/>
      <c r="O822" s="54"/>
      <c r="P822" s="54"/>
      <c r="Q822" s="54"/>
      <c r="R822" s="54"/>
      <c r="S822" s="54"/>
      <c r="T822" s="54"/>
      <c r="U822" s="54"/>
      <c r="V822" s="54"/>
      <c r="W822" s="54"/>
      <c r="X822" s="54"/>
      <c r="Y822" s="54"/>
      <c r="Z822" s="54"/>
      <c r="AA822" s="54"/>
      <c r="AB822" s="54"/>
    </row>
    <row r="823">
      <c r="A823" s="57"/>
      <c r="B823" s="10" t="str">
        <f>IFERROR(VLOOKUP(C823,'Employees List'!$B$1:$G$999,4,0),"")</f>
        <v/>
      </c>
      <c r="C823" s="9"/>
      <c r="D823" s="9"/>
      <c r="E823" s="56"/>
      <c r="F823" s="56"/>
      <c r="G823" s="56"/>
      <c r="H823" s="50"/>
      <c r="I823" s="54"/>
      <c r="J823" s="54"/>
      <c r="K823" s="54"/>
      <c r="L823" s="54"/>
      <c r="M823" s="54"/>
      <c r="N823" s="54"/>
      <c r="O823" s="54"/>
      <c r="P823" s="54"/>
      <c r="Q823" s="54"/>
      <c r="R823" s="54"/>
      <c r="S823" s="54"/>
      <c r="T823" s="54"/>
      <c r="U823" s="54"/>
      <c r="V823" s="54"/>
      <c r="W823" s="54"/>
      <c r="X823" s="54"/>
      <c r="Y823" s="54"/>
      <c r="Z823" s="54"/>
      <c r="AA823" s="54"/>
      <c r="AB823" s="54"/>
    </row>
    <row r="824">
      <c r="A824" s="57"/>
      <c r="B824" s="10" t="str">
        <f>IFERROR(VLOOKUP(C824,'Employees List'!$B$1:$G$999,4,0),"")</f>
        <v/>
      </c>
      <c r="C824" s="9"/>
      <c r="D824" s="9"/>
      <c r="E824" s="56"/>
      <c r="F824" s="56"/>
      <c r="G824" s="56"/>
      <c r="H824" s="50"/>
      <c r="I824" s="54"/>
      <c r="J824" s="54"/>
      <c r="K824" s="54"/>
      <c r="L824" s="54"/>
      <c r="M824" s="54"/>
      <c r="N824" s="54"/>
      <c r="O824" s="54"/>
      <c r="P824" s="54"/>
      <c r="Q824" s="54"/>
      <c r="R824" s="54"/>
      <c r="S824" s="54"/>
      <c r="T824" s="54"/>
      <c r="U824" s="54"/>
      <c r="V824" s="54"/>
      <c r="W824" s="54"/>
      <c r="X824" s="54"/>
      <c r="Y824" s="54"/>
      <c r="Z824" s="54"/>
      <c r="AA824" s="54"/>
      <c r="AB824" s="54"/>
    </row>
    <row r="825">
      <c r="A825" s="57"/>
      <c r="B825" s="10" t="str">
        <f>IFERROR(VLOOKUP(C825,'Employees List'!$B$1:$G$999,4,0),"")</f>
        <v/>
      </c>
      <c r="C825" s="9"/>
      <c r="D825" s="9"/>
      <c r="E825" s="56"/>
      <c r="F825" s="56"/>
      <c r="G825" s="56"/>
      <c r="H825" s="50"/>
      <c r="I825" s="54"/>
      <c r="J825" s="54"/>
      <c r="K825" s="54"/>
      <c r="L825" s="54"/>
      <c r="M825" s="54"/>
      <c r="N825" s="54"/>
      <c r="O825" s="54"/>
      <c r="P825" s="54"/>
      <c r="Q825" s="54"/>
      <c r="R825" s="54"/>
      <c r="S825" s="54"/>
      <c r="T825" s="54"/>
      <c r="U825" s="54"/>
      <c r="V825" s="54"/>
      <c r="W825" s="54"/>
      <c r="X825" s="54"/>
      <c r="Y825" s="54"/>
      <c r="Z825" s="54"/>
      <c r="AA825" s="54"/>
      <c r="AB825" s="54"/>
    </row>
    <row r="826">
      <c r="A826" s="57"/>
      <c r="B826" s="10" t="str">
        <f>IFERROR(VLOOKUP(C826,'Employees List'!$B$1:$G$999,4,0),"")</f>
        <v/>
      </c>
      <c r="C826" s="9"/>
      <c r="D826" s="9"/>
      <c r="E826" s="56"/>
      <c r="F826" s="56"/>
      <c r="G826" s="56"/>
      <c r="H826" s="50"/>
      <c r="I826" s="54"/>
      <c r="J826" s="54"/>
      <c r="K826" s="54"/>
      <c r="L826" s="54"/>
      <c r="M826" s="54"/>
      <c r="N826" s="54"/>
      <c r="O826" s="54"/>
      <c r="P826" s="54"/>
      <c r="Q826" s="54"/>
      <c r="R826" s="54"/>
      <c r="S826" s="54"/>
      <c r="T826" s="54"/>
      <c r="U826" s="54"/>
      <c r="V826" s="54"/>
      <c r="W826" s="54"/>
      <c r="X826" s="54"/>
      <c r="Y826" s="54"/>
      <c r="Z826" s="54"/>
      <c r="AA826" s="54"/>
      <c r="AB826" s="54"/>
    </row>
    <row r="827">
      <c r="A827" s="57"/>
      <c r="B827" s="10" t="str">
        <f>IFERROR(VLOOKUP(C827,'Employees List'!$B$1:$G$999,4,0),"")</f>
        <v/>
      </c>
      <c r="C827" s="9"/>
      <c r="D827" s="9"/>
      <c r="E827" s="56"/>
      <c r="F827" s="56"/>
      <c r="G827" s="56"/>
      <c r="H827" s="50"/>
      <c r="I827" s="54"/>
      <c r="J827" s="54"/>
      <c r="K827" s="54"/>
      <c r="L827" s="54"/>
      <c r="M827" s="54"/>
      <c r="N827" s="54"/>
      <c r="O827" s="54"/>
      <c r="P827" s="54"/>
      <c r="Q827" s="54"/>
      <c r="R827" s="54"/>
      <c r="S827" s="54"/>
      <c r="T827" s="54"/>
      <c r="U827" s="54"/>
      <c r="V827" s="54"/>
      <c r="W827" s="54"/>
      <c r="X827" s="54"/>
      <c r="Y827" s="54"/>
      <c r="Z827" s="54"/>
      <c r="AA827" s="54"/>
      <c r="AB827" s="54"/>
    </row>
    <row r="828">
      <c r="A828" s="57"/>
      <c r="B828" s="10" t="str">
        <f>IFERROR(VLOOKUP(C828,'Employees List'!$B$1:$G$999,4,0),"")</f>
        <v/>
      </c>
      <c r="C828" s="9"/>
      <c r="D828" s="9"/>
      <c r="E828" s="56"/>
      <c r="F828" s="56"/>
      <c r="G828" s="56"/>
      <c r="H828" s="50"/>
      <c r="I828" s="54"/>
      <c r="J828" s="54"/>
      <c r="K828" s="54"/>
      <c r="L828" s="54"/>
      <c r="M828" s="54"/>
      <c r="N828" s="54"/>
      <c r="O828" s="54"/>
      <c r="P828" s="54"/>
      <c r="Q828" s="54"/>
      <c r="R828" s="54"/>
      <c r="S828" s="54"/>
      <c r="T828" s="54"/>
      <c r="U828" s="54"/>
      <c r="V828" s="54"/>
      <c r="W828" s="54"/>
      <c r="X828" s="54"/>
      <c r="Y828" s="54"/>
      <c r="Z828" s="54"/>
      <c r="AA828" s="54"/>
      <c r="AB828" s="54"/>
    </row>
    <row r="829">
      <c r="A829" s="57"/>
      <c r="B829" s="10" t="str">
        <f>IFERROR(VLOOKUP(C829,'Employees List'!$B$1:$G$999,4,0),"")</f>
        <v/>
      </c>
      <c r="C829" s="9"/>
      <c r="D829" s="9"/>
      <c r="E829" s="56"/>
      <c r="F829" s="56"/>
      <c r="G829" s="56"/>
      <c r="H829" s="50"/>
      <c r="I829" s="54"/>
      <c r="J829" s="54"/>
      <c r="K829" s="54"/>
      <c r="L829" s="54"/>
      <c r="M829" s="54"/>
      <c r="N829" s="54"/>
      <c r="O829" s="54"/>
      <c r="P829" s="54"/>
      <c r="Q829" s="54"/>
      <c r="R829" s="54"/>
      <c r="S829" s="54"/>
      <c r="T829" s="54"/>
      <c r="U829" s="54"/>
      <c r="V829" s="54"/>
      <c r="W829" s="54"/>
      <c r="X829" s="54"/>
      <c r="Y829" s="54"/>
      <c r="Z829" s="54"/>
      <c r="AA829" s="54"/>
      <c r="AB829" s="54"/>
    </row>
    <row r="830">
      <c r="A830" s="57"/>
      <c r="B830" s="10" t="str">
        <f>IFERROR(VLOOKUP(C830,'Employees List'!$B$1:$G$999,4,0),"")</f>
        <v/>
      </c>
      <c r="C830" s="9"/>
      <c r="D830" s="9"/>
      <c r="E830" s="56"/>
      <c r="F830" s="56"/>
      <c r="G830" s="56"/>
      <c r="H830" s="50"/>
      <c r="I830" s="54"/>
      <c r="J830" s="54"/>
      <c r="K830" s="54"/>
      <c r="L830" s="54"/>
      <c r="M830" s="54"/>
      <c r="N830" s="54"/>
      <c r="O830" s="54"/>
      <c r="P830" s="54"/>
      <c r="Q830" s="54"/>
      <c r="R830" s="54"/>
      <c r="S830" s="54"/>
      <c r="T830" s="54"/>
      <c r="U830" s="54"/>
      <c r="V830" s="54"/>
      <c r="W830" s="54"/>
      <c r="X830" s="54"/>
      <c r="Y830" s="54"/>
      <c r="Z830" s="54"/>
      <c r="AA830" s="54"/>
      <c r="AB830" s="54"/>
    </row>
    <row r="831">
      <c r="A831" s="57"/>
      <c r="B831" s="10" t="str">
        <f>IFERROR(VLOOKUP(C831,'Employees List'!$B$1:$G$999,4,0),"")</f>
        <v/>
      </c>
      <c r="C831" s="9"/>
      <c r="D831" s="9"/>
      <c r="E831" s="56"/>
      <c r="F831" s="56"/>
      <c r="G831" s="56"/>
      <c r="H831" s="50"/>
      <c r="I831" s="54"/>
      <c r="J831" s="54"/>
      <c r="K831" s="54"/>
      <c r="L831" s="54"/>
      <c r="M831" s="54"/>
      <c r="N831" s="54"/>
      <c r="O831" s="54"/>
      <c r="P831" s="54"/>
      <c r="Q831" s="54"/>
      <c r="R831" s="54"/>
      <c r="S831" s="54"/>
      <c r="T831" s="54"/>
      <c r="U831" s="54"/>
      <c r="V831" s="54"/>
      <c r="W831" s="54"/>
      <c r="X831" s="54"/>
      <c r="Y831" s="54"/>
      <c r="Z831" s="54"/>
      <c r="AA831" s="54"/>
      <c r="AB831" s="54"/>
    </row>
    <row r="832">
      <c r="A832" s="57"/>
      <c r="B832" s="10" t="str">
        <f>IFERROR(VLOOKUP(C832,'Employees List'!$B$1:$G$999,4,0),"")</f>
        <v/>
      </c>
      <c r="C832" s="9"/>
      <c r="D832" s="9"/>
      <c r="E832" s="56"/>
      <c r="F832" s="56"/>
      <c r="G832" s="56"/>
      <c r="H832" s="50"/>
      <c r="I832" s="54"/>
      <c r="J832" s="54"/>
      <c r="K832" s="54"/>
      <c r="L832" s="54"/>
      <c r="M832" s="54"/>
      <c r="N832" s="54"/>
      <c r="O832" s="54"/>
      <c r="P832" s="54"/>
      <c r="Q832" s="54"/>
      <c r="R832" s="54"/>
      <c r="S832" s="54"/>
      <c r="T832" s="54"/>
      <c r="U832" s="54"/>
      <c r="V832" s="54"/>
      <c r="W832" s="54"/>
      <c r="X832" s="54"/>
      <c r="Y832" s="54"/>
      <c r="Z832" s="54"/>
      <c r="AA832" s="54"/>
      <c r="AB832" s="54"/>
    </row>
    <row r="833">
      <c r="A833" s="57"/>
      <c r="B833" s="10" t="str">
        <f>IFERROR(VLOOKUP(C833,'Employees List'!$B$1:$G$999,4,0),"")</f>
        <v/>
      </c>
      <c r="C833" s="9"/>
      <c r="D833" s="9"/>
      <c r="E833" s="56"/>
      <c r="F833" s="56"/>
      <c r="G833" s="56"/>
      <c r="H833" s="50"/>
      <c r="I833" s="54"/>
      <c r="J833" s="54"/>
      <c r="K833" s="54"/>
      <c r="L833" s="54"/>
      <c r="M833" s="54"/>
      <c r="N833" s="54"/>
      <c r="O833" s="54"/>
      <c r="P833" s="54"/>
      <c r="Q833" s="54"/>
      <c r="R833" s="54"/>
      <c r="S833" s="54"/>
      <c r="T833" s="54"/>
      <c r="U833" s="54"/>
      <c r="V833" s="54"/>
      <c r="W833" s="54"/>
      <c r="X833" s="54"/>
      <c r="Y833" s="54"/>
      <c r="Z833" s="54"/>
      <c r="AA833" s="54"/>
      <c r="AB833" s="54"/>
    </row>
    <row r="834">
      <c r="A834" s="57"/>
      <c r="B834" s="10" t="str">
        <f>IFERROR(VLOOKUP(C834,'Employees List'!$B$1:$G$999,4,0),"")</f>
        <v/>
      </c>
      <c r="C834" s="9"/>
      <c r="D834" s="9"/>
      <c r="E834" s="56"/>
      <c r="F834" s="56"/>
      <c r="G834" s="56"/>
      <c r="H834" s="50"/>
      <c r="I834" s="54"/>
      <c r="J834" s="54"/>
      <c r="K834" s="54"/>
      <c r="L834" s="54"/>
      <c r="M834" s="54"/>
      <c r="N834" s="54"/>
      <c r="O834" s="54"/>
      <c r="P834" s="54"/>
      <c r="Q834" s="54"/>
      <c r="R834" s="54"/>
      <c r="S834" s="54"/>
      <c r="T834" s="54"/>
      <c r="U834" s="54"/>
      <c r="V834" s="54"/>
      <c r="W834" s="54"/>
      <c r="X834" s="54"/>
      <c r="Y834" s="54"/>
      <c r="Z834" s="54"/>
      <c r="AA834" s="54"/>
      <c r="AB834" s="54"/>
    </row>
    <row r="835">
      <c r="A835" s="57"/>
      <c r="B835" s="10" t="str">
        <f>IFERROR(VLOOKUP(C835,'Employees List'!$B$1:$G$999,4,0),"")</f>
        <v/>
      </c>
      <c r="C835" s="9"/>
      <c r="D835" s="9"/>
      <c r="E835" s="56"/>
      <c r="F835" s="56"/>
      <c r="G835" s="56"/>
      <c r="H835" s="50"/>
      <c r="I835" s="54"/>
      <c r="J835" s="54"/>
      <c r="K835" s="54"/>
      <c r="L835" s="54"/>
      <c r="M835" s="54"/>
      <c r="N835" s="54"/>
      <c r="O835" s="54"/>
      <c r="P835" s="54"/>
      <c r="Q835" s="54"/>
      <c r="R835" s="54"/>
      <c r="S835" s="54"/>
      <c r="T835" s="54"/>
      <c r="U835" s="54"/>
      <c r="V835" s="54"/>
      <c r="W835" s="54"/>
      <c r="X835" s="54"/>
      <c r="Y835" s="54"/>
      <c r="Z835" s="54"/>
      <c r="AA835" s="54"/>
      <c r="AB835" s="54"/>
    </row>
    <row r="836">
      <c r="A836" s="57"/>
      <c r="B836" s="10" t="str">
        <f>IFERROR(VLOOKUP(C836,'Employees List'!$B$1:$G$999,4,0),"")</f>
        <v/>
      </c>
      <c r="C836" s="9"/>
      <c r="D836" s="9"/>
      <c r="E836" s="56"/>
      <c r="F836" s="56"/>
      <c r="G836" s="56"/>
      <c r="H836" s="50"/>
      <c r="I836" s="54"/>
      <c r="J836" s="54"/>
      <c r="K836" s="54"/>
      <c r="L836" s="54"/>
      <c r="M836" s="54"/>
      <c r="N836" s="54"/>
      <c r="O836" s="54"/>
      <c r="P836" s="54"/>
      <c r="Q836" s="54"/>
      <c r="R836" s="54"/>
      <c r="S836" s="54"/>
      <c r="T836" s="54"/>
      <c r="U836" s="54"/>
      <c r="V836" s="54"/>
      <c r="W836" s="54"/>
      <c r="X836" s="54"/>
      <c r="Y836" s="54"/>
      <c r="Z836" s="54"/>
      <c r="AA836" s="54"/>
      <c r="AB836" s="54"/>
    </row>
    <row r="837">
      <c r="A837" s="57"/>
      <c r="B837" s="10" t="str">
        <f>IFERROR(VLOOKUP(C837,'Employees List'!$B$1:$G$999,4,0),"")</f>
        <v/>
      </c>
      <c r="C837" s="9"/>
      <c r="D837" s="9"/>
      <c r="E837" s="56"/>
      <c r="F837" s="56"/>
      <c r="G837" s="56"/>
      <c r="H837" s="50"/>
      <c r="I837" s="54"/>
      <c r="J837" s="54"/>
      <c r="K837" s="54"/>
      <c r="L837" s="54"/>
      <c r="M837" s="54"/>
      <c r="N837" s="54"/>
      <c r="O837" s="54"/>
      <c r="P837" s="54"/>
      <c r="Q837" s="54"/>
      <c r="R837" s="54"/>
      <c r="S837" s="54"/>
      <c r="T837" s="54"/>
      <c r="U837" s="54"/>
      <c r="V837" s="54"/>
      <c r="W837" s="54"/>
      <c r="X837" s="54"/>
      <c r="Y837" s="54"/>
      <c r="Z837" s="54"/>
      <c r="AA837" s="54"/>
      <c r="AB837" s="54"/>
    </row>
    <row r="838">
      <c r="A838" s="57"/>
      <c r="B838" s="10" t="str">
        <f>IFERROR(VLOOKUP(C838,'Employees List'!$B$1:$G$999,4,0),"")</f>
        <v/>
      </c>
      <c r="C838" s="9"/>
      <c r="D838" s="9"/>
      <c r="E838" s="56"/>
      <c r="F838" s="56"/>
      <c r="G838" s="56"/>
      <c r="H838" s="50"/>
      <c r="I838" s="54"/>
      <c r="J838" s="54"/>
      <c r="K838" s="54"/>
      <c r="L838" s="54"/>
      <c r="M838" s="54"/>
      <c r="N838" s="54"/>
      <c r="O838" s="54"/>
      <c r="P838" s="54"/>
      <c r="Q838" s="54"/>
      <c r="R838" s="54"/>
      <c r="S838" s="54"/>
      <c r="T838" s="54"/>
      <c r="U838" s="54"/>
      <c r="V838" s="54"/>
      <c r="W838" s="54"/>
      <c r="X838" s="54"/>
      <c r="Y838" s="54"/>
      <c r="Z838" s="54"/>
      <c r="AA838" s="54"/>
      <c r="AB838" s="54"/>
    </row>
    <row r="839">
      <c r="A839" s="57"/>
      <c r="B839" s="10" t="str">
        <f>IFERROR(VLOOKUP(C839,'Employees List'!$B$1:$G$999,4,0),"")</f>
        <v/>
      </c>
      <c r="C839" s="9"/>
      <c r="D839" s="9"/>
      <c r="E839" s="56"/>
      <c r="F839" s="56"/>
      <c r="G839" s="56"/>
      <c r="H839" s="50"/>
      <c r="I839" s="54"/>
      <c r="J839" s="54"/>
      <c r="K839" s="54"/>
      <c r="L839" s="54"/>
      <c r="M839" s="54"/>
      <c r="N839" s="54"/>
      <c r="O839" s="54"/>
      <c r="P839" s="54"/>
      <c r="Q839" s="54"/>
      <c r="R839" s="54"/>
      <c r="S839" s="54"/>
      <c r="T839" s="54"/>
      <c r="U839" s="54"/>
      <c r="V839" s="54"/>
      <c r="W839" s="54"/>
      <c r="X839" s="54"/>
      <c r="Y839" s="54"/>
      <c r="Z839" s="54"/>
      <c r="AA839" s="54"/>
      <c r="AB839" s="54"/>
    </row>
    <row r="840">
      <c r="A840" s="57"/>
      <c r="B840" s="10" t="str">
        <f>IFERROR(VLOOKUP(C840,'Employees List'!$B$1:$G$999,4,0),"")</f>
        <v/>
      </c>
      <c r="C840" s="9"/>
      <c r="D840" s="9"/>
      <c r="E840" s="56"/>
      <c r="F840" s="56"/>
      <c r="G840" s="56"/>
      <c r="H840" s="50"/>
      <c r="I840" s="54"/>
      <c r="J840" s="54"/>
      <c r="K840" s="54"/>
      <c r="L840" s="54"/>
      <c r="M840" s="54"/>
      <c r="N840" s="54"/>
      <c r="O840" s="54"/>
      <c r="P840" s="54"/>
      <c r="Q840" s="54"/>
      <c r="R840" s="54"/>
      <c r="S840" s="54"/>
      <c r="T840" s="54"/>
      <c r="U840" s="54"/>
      <c r="V840" s="54"/>
      <c r="W840" s="54"/>
      <c r="X840" s="54"/>
      <c r="Y840" s="54"/>
      <c r="Z840" s="54"/>
      <c r="AA840" s="54"/>
      <c r="AB840" s="54"/>
    </row>
    <row r="841">
      <c r="A841" s="57"/>
      <c r="B841" s="10" t="str">
        <f>IFERROR(VLOOKUP(C841,'Employees List'!$B$1:$G$999,4,0),"")</f>
        <v/>
      </c>
      <c r="C841" s="9"/>
      <c r="D841" s="9"/>
      <c r="E841" s="56"/>
      <c r="F841" s="56"/>
      <c r="G841" s="56"/>
      <c r="H841" s="50"/>
      <c r="I841" s="54"/>
      <c r="J841" s="54"/>
      <c r="K841" s="54"/>
      <c r="L841" s="54"/>
      <c r="M841" s="54"/>
      <c r="N841" s="54"/>
      <c r="O841" s="54"/>
      <c r="P841" s="54"/>
      <c r="Q841" s="54"/>
      <c r="R841" s="54"/>
      <c r="S841" s="54"/>
      <c r="T841" s="54"/>
      <c r="U841" s="54"/>
      <c r="V841" s="54"/>
      <c r="W841" s="54"/>
      <c r="X841" s="54"/>
      <c r="Y841" s="54"/>
      <c r="Z841" s="54"/>
      <c r="AA841" s="54"/>
      <c r="AB841" s="54"/>
    </row>
    <row r="842">
      <c r="A842" s="57"/>
      <c r="B842" s="10" t="str">
        <f>IFERROR(VLOOKUP(C842,'Employees List'!$B$1:$G$999,4,0),"")</f>
        <v/>
      </c>
      <c r="C842" s="9"/>
      <c r="D842" s="9"/>
      <c r="E842" s="56"/>
      <c r="F842" s="56"/>
      <c r="G842" s="56"/>
      <c r="H842" s="50"/>
      <c r="I842" s="54"/>
      <c r="J842" s="54"/>
      <c r="K842" s="54"/>
      <c r="L842" s="54"/>
      <c r="M842" s="54"/>
      <c r="N842" s="54"/>
      <c r="O842" s="54"/>
      <c r="P842" s="54"/>
      <c r="Q842" s="54"/>
      <c r="R842" s="54"/>
      <c r="S842" s="54"/>
      <c r="T842" s="54"/>
      <c r="U842" s="54"/>
      <c r="V842" s="54"/>
      <c r="W842" s="54"/>
      <c r="X842" s="54"/>
      <c r="Y842" s="54"/>
      <c r="Z842" s="54"/>
      <c r="AA842" s="54"/>
      <c r="AB842" s="54"/>
    </row>
    <row r="843">
      <c r="A843" s="57"/>
      <c r="B843" s="10" t="str">
        <f>IFERROR(VLOOKUP(C843,'Employees List'!$B$1:$G$999,4,0),"")</f>
        <v/>
      </c>
      <c r="C843" s="9"/>
      <c r="D843" s="9"/>
      <c r="E843" s="56"/>
      <c r="F843" s="56"/>
      <c r="G843" s="56"/>
      <c r="H843" s="50"/>
      <c r="I843" s="54"/>
      <c r="J843" s="54"/>
      <c r="K843" s="54"/>
      <c r="L843" s="54"/>
      <c r="M843" s="54"/>
      <c r="N843" s="54"/>
      <c r="O843" s="54"/>
      <c r="P843" s="54"/>
      <c r="Q843" s="54"/>
      <c r="R843" s="54"/>
      <c r="S843" s="54"/>
      <c r="T843" s="54"/>
      <c r="U843" s="54"/>
      <c r="V843" s="54"/>
      <c r="W843" s="54"/>
      <c r="X843" s="54"/>
      <c r="Y843" s="54"/>
      <c r="Z843" s="54"/>
      <c r="AA843" s="54"/>
      <c r="AB843" s="54"/>
    </row>
    <row r="844">
      <c r="A844" s="57"/>
      <c r="B844" s="10" t="str">
        <f>IFERROR(VLOOKUP(C844,'Employees List'!$B$1:$G$999,4,0),"")</f>
        <v/>
      </c>
      <c r="C844" s="9"/>
      <c r="D844" s="9"/>
      <c r="E844" s="56"/>
      <c r="F844" s="56"/>
      <c r="G844" s="56"/>
      <c r="H844" s="50"/>
      <c r="I844" s="54"/>
      <c r="J844" s="54"/>
      <c r="K844" s="54"/>
      <c r="L844" s="54"/>
      <c r="M844" s="54"/>
      <c r="N844" s="54"/>
      <c r="O844" s="54"/>
      <c r="P844" s="54"/>
      <c r="Q844" s="54"/>
      <c r="R844" s="54"/>
      <c r="S844" s="54"/>
      <c r="T844" s="54"/>
      <c r="U844" s="54"/>
      <c r="V844" s="54"/>
      <c r="W844" s="54"/>
      <c r="X844" s="54"/>
      <c r="Y844" s="54"/>
      <c r="Z844" s="54"/>
      <c r="AA844" s="54"/>
      <c r="AB844" s="54"/>
    </row>
    <row r="845">
      <c r="A845" s="57"/>
      <c r="B845" s="10" t="str">
        <f>IFERROR(VLOOKUP(C845,'Employees List'!$B$1:$G$999,4,0),"")</f>
        <v/>
      </c>
      <c r="C845" s="9"/>
      <c r="D845" s="9"/>
      <c r="E845" s="56"/>
      <c r="F845" s="56"/>
      <c r="G845" s="56"/>
      <c r="H845" s="50"/>
      <c r="I845" s="54"/>
      <c r="J845" s="54"/>
      <c r="K845" s="54"/>
      <c r="L845" s="54"/>
      <c r="M845" s="54"/>
      <c r="N845" s="54"/>
      <c r="O845" s="54"/>
      <c r="P845" s="54"/>
      <c r="Q845" s="54"/>
      <c r="R845" s="54"/>
      <c r="S845" s="54"/>
      <c r="T845" s="54"/>
      <c r="U845" s="54"/>
      <c r="V845" s="54"/>
      <c r="W845" s="54"/>
      <c r="X845" s="54"/>
      <c r="Y845" s="54"/>
      <c r="Z845" s="54"/>
      <c r="AA845" s="54"/>
      <c r="AB845" s="54"/>
    </row>
    <row r="846">
      <c r="A846" s="57"/>
      <c r="B846" s="10" t="str">
        <f>IFERROR(VLOOKUP(C846,'Employees List'!$B$1:$G$999,4,0),"")</f>
        <v/>
      </c>
      <c r="C846" s="9"/>
      <c r="D846" s="9"/>
      <c r="E846" s="56"/>
      <c r="F846" s="56"/>
      <c r="G846" s="56"/>
      <c r="H846" s="50"/>
      <c r="I846" s="54"/>
      <c r="J846" s="54"/>
      <c r="K846" s="54"/>
      <c r="L846" s="54"/>
      <c r="M846" s="54"/>
      <c r="N846" s="54"/>
      <c r="O846" s="54"/>
      <c r="P846" s="54"/>
      <c r="Q846" s="54"/>
      <c r="R846" s="54"/>
      <c r="S846" s="54"/>
      <c r="T846" s="54"/>
      <c r="U846" s="54"/>
      <c r="V846" s="54"/>
      <c r="W846" s="54"/>
      <c r="X846" s="54"/>
      <c r="Y846" s="54"/>
      <c r="Z846" s="54"/>
      <c r="AA846" s="54"/>
      <c r="AB846" s="54"/>
    </row>
    <row r="847">
      <c r="A847" s="57"/>
      <c r="B847" s="10" t="str">
        <f>IFERROR(VLOOKUP(C847,'Employees List'!$B$1:$G$999,4,0),"")</f>
        <v/>
      </c>
      <c r="C847" s="9"/>
      <c r="D847" s="9"/>
      <c r="E847" s="56"/>
      <c r="F847" s="56"/>
      <c r="G847" s="56"/>
      <c r="H847" s="50"/>
      <c r="I847" s="54"/>
      <c r="J847" s="54"/>
      <c r="K847" s="54"/>
      <c r="L847" s="54"/>
      <c r="M847" s="54"/>
      <c r="N847" s="54"/>
      <c r="O847" s="54"/>
      <c r="P847" s="54"/>
      <c r="Q847" s="54"/>
      <c r="R847" s="54"/>
      <c r="S847" s="54"/>
      <c r="T847" s="54"/>
      <c r="U847" s="54"/>
      <c r="V847" s="54"/>
      <c r="W847" s="54"/>
      <c r="X847" s="54"/>
      <c r="Y847" s="54"/>
      <c r="Z847" s="54"/>
      <c r="AA847" s="54"/>
      <c r="AB847" s="54"/>
    </row>
    <row r="848">
      <c r="A848" s="57"/>
      <c r="B848" s="10" t="str">
        <f>IFERROR(VLOOKUP(C848,'Employees List'!$B$1:$G$999,4,0),"")</f>
        <v/>
      </c>
      <c r="C848" s="9"/>
      <c r="D848" s="9"/>
      <c r="E848" s="56"/>
      <c r="F848" s="56"/>
      <c r="G848" s="56"/>
      <c r="H848" s="50"/>
      <c r="I848" s="54"/>
      <c r="J848" s="54"/>
      <c r="K848" s="54"/>
      <c r="L848" s="54"/>
      <c r="M848" s="54"/>
      <c r="N848" s="54"/>
      <c r="O848" s="54"/>
      <c r="P848" s="54"/>
      <c r="Q848" s="54"/>
      <c r="R848" s="54"/>
      <c r="S848" s="54"/>
      <c r="T848" s="54"/>
      <c r="U848" s="54"/>
      <c r="V848" s="54"/>
      <c r="W848" s="54"/>
      <c r="X848" s="54"/>
      <c r="Y848" s="54"/>
      <c r="Z848" s="54"/>
      <c r="AA848" s="54"/>
      <c r="AB848" s="54"/>
    </row>
    <row r="849">
      <c r="A849" s="57"/>
      <c r="B849" s="10" t="str">
        <f>IFERROR(VLOOKUP(C849,'Employees List'!$B$1:$G$999,4,0),"")</f>
        <v/>
      </c>
      <c r="C849" s="9"/>
      <c r="D849" s="9"/>
      <c r="E849" s="56"/>
      <c r="F849" s="56"/>
      <c r="G849" s="56"/>
      <c r="H849" s="50"/>
      <c r="I849" s="54"/>
      <c r="J849" s="54"/>
      <c r="K849" s="54"/>
      <c r="L849" s="54"/>
      <c r="M849" s="54"/>
      <c r="N849" s="54"/>
      <c r="O849" s="54"/>
      <c r="P849" s="54"/>
      <c r="Q849" s="54"/>
      <c r="R849" s="54"/>
      <c r="S849" s="54"/>
      <c r="T849" s="54"/>
      <c r="U849" s="54"/>
      <c r="V849" s="54"/>
      <c r="W849" s="54"/>
      <c r="X849" s="54"/>
      <c r="Y849" s="54"/>
      <c r="Z849" s="54"/>
      <c r="AA849" s="54"/>
      <c r="AB849" s="54"/>
    </row>
    <row r="850">
      <c r="A850" s="57"/>
      <c r="B850" s="10" t="str">
        <f>IFERROR(VLOOKUP(C850,'Employees List'!$B$1:$G$999,4,0),"")</f>
        <v/>
      </c>
      <c r="C850" s="9"/>
      <c r="D850" s="9"/>
      <c r="E850" s="56"/>
      <c r="F850" s="56"/>
      <c r="G850" s="56"/>
      <c r="H850" s="50"/>
      <c r="I850" s="54"/>
      <c r="J850" s="54"/>
      <c r="K850" s="54"/>
      <c r="L850" s="54"/>
      <c r="M850" s="54"/>
      <c r="N850" s="54"/>
      <c r="O850" s="54"/>
      <c r="P850" s="54"/>
      <c r="Q850" s="54"/>
      <c r="R850" s="54"/>
      <c r="S850" s="54"/>
      <c r="T850" s="54"/>
      <c r="U850" s="54"/>
      <c r="V850" s="54"/>
      <c r="W850" s="54"/>
      <c r="X850" s="54"/>
      <c r="Y850" s="54"/>
      <c r="Z850" s="54"/>
      <c r="AA850" s="54"/>
      <c r="AB850" s="54"/>
    </row>
    <row r="851">
      <c r="A851" s="57"/>
      <c r="B851" s="10" t="str">
        <f>IFERROR(VLOOKUP(C851,'Employees List'!$B$1:$G$999,4,0),"")</f>
        <v/>
      </c>
      <c r="C851" s="9"/>
      <c r="D851" s="9"/>
      <c r="E851" s="56"/>
      <c r="F851" s="56"/>
      <c r="G851" s="56"/>
      <c r="H851" s="50"/>
      <c r="I851" s="54"/>
      <c r="J851" s="54"/>
      <c r="K851" s="54"/>
      <c r="L851" s="54"/>
      <c r="M851" s="54"/>
      <c r="N851" s="54"/>
      <c r="O851" s="54"/>
      <c r="P851" s="54"/>
      <c r="Q851" s="54"/>
      <c r="R851" s="54"/>
      <c r="S851" s="54"/>
      <c r="T851" s="54"/>
      <c r="U851" s="54"/>
      <c r="V851" s="54"/>
      <c r="W851" s="54"/>
      <c r="X851" s="54"/>
      <c r="Y851" s="54"/>
      <c r="Z851" s="54"/>
      <c r="AA851" s="54"/>
      <c r="AB851" s="54"/>
    </row>
    <row r="852">
      <c r="A852" s="57"/>
      <c r="B852" s="10" t="str">
        <f>IFERROR(VLOOKUP(C852,'Employees List'!$B$1:$G$999,4,0),"")</f>
        <v/>
      </c>
      <c r="C852" s="9"/>
      <c r="D852" s="9"/>
      <c r="E852" s="56"/>
      <c r="F852" s="56"/>
      <c r="G852" s="56"/>
      <c r="H852" s="50"/>
      <c r="I852" s="54"/>
      <c r="J852" s="54"/>
      <c r="K852" s="54"/>
      <c r="L852" s="54"/>
      <c r="M852" s="54"/>
      <c r="N852" s="54"/>
      <c r="O852" s="54"/>
      <c r="P852" s="54"/>
      <c r="Q852" s="54"/>
      <c r="R852" s="54"/>
      <c r="S852" s="54"/>
      <c r="T852" s="54"/>
      <c r="U852" s="54"/>
      <c r="V852" s="54"/>
      <c r="W852" s="54"/>
      <c r="X852" s="54"/>
      <c r="Y852" s="54"/>
      <c r="Z852" s="54"/>
      <c r="AA852" s="54"/>
      <c r="AB852" s="54"/>
    </row>
    <row r="853">
      <c r="A853" s="57"/>
      <c r="B853" s="10" t="str">
        <f>IFERROR(VLOOKUP(C853,'Employees List'!$B$1:$G$999,4,0),"")</f>
        <v/>
      </c>
      <c r="C853" s="9"/>
      <c r="D853" s="9"/>
      <c r="E853" s="56"/>
      <c r="F853" s="56"/>
      <c r="G853" s="56"/>
      <c r="H853" s="50"/>
      <c r="I853" s="54"/>
      <c r="J853" s="54"/>
      <c r="K853" s="54"/>
      <c r="L853" s="54"/>
      <c r="M853" s="54"/>
      <c r="N853" s="54"/>
      <c r="O853" s="54"/>
      <c r="P853" s="54"/>
      <c r="Q853" s="54"/>
      <c r="R853" s="54"/>
      <c r="S853" s="54"/>
      <c r="T853" s="54"/>
      <c r="U853" s="54"/>
      <c r="V853" s="54"/>
      <c r="W853" s="54"/>
      <c r="X853" s="54"/>
      <c r="Y853" s="54"/>
      <c r="Z853" s="54"/>
      <c r="AA853" s="54"/>
      <c r="AB853" s="54"/>
    </row>
    <row r="854">
      <c r="A854" s="57"/>
      <c r="B854" s="10" t="str">
        <f>IFERROR(VLOOKUP(C854,'Employees List'!$B$1:$G$999,4,0),"")</f>
        <v/>
      </c>
      <c r="C854" s="9"/>
      <c r="D854" s="9"/>
      <c r="E854" s="56"/>
      <c r="F854" s="56"/>
      <c r="G854" s="56"/>
      <c r="H854" s="50"/>
      <c r="I854" s="54"/>
      <c r="J854" s="54"/>
      <c r="K854" s="54"/>
      <c r="L854" s="54"/>
      <c r="M854" s="54"/>
      <c r="N854" s="54"/>
      <c r="O854" s="54"/>
      <c r="P854" s="54"/>
      <c r="Q854" s="54"/>
      <c r="R854" s="54"/>
      <c r="S854" s="54"/>
      <c r="T854" s="54"/>
      <c r="U854" s="54"/>
      <c r="V854" s="54"/>
      <c r="W854" s="54"/>
      <c r="X854" s="54"/>
      <c r="Y854" s="54"/>
      <c r="Z854" s="54"/>
      <c r="AA854" s="54"/>
      <c r="AB854" s="54"/>
    </row>
    <row r="855">
      <c r="A855" s="57"/>
      <c r="B855" s="10" t="str">
        <f>IFERROR(VLOOKUP(C855,'Employees List'!$B$1:$G$999,4,0),"")</f>
        <v/>
      </c>
      <c r="C855" s="9"/>
      <c r="D855" s="9"/>
      <c r="E855" s="56"/>
      <c r="F855" s="56"/>
      <c r="G855" s="56"/>
      <c r="H855" s="50"/>
      <c r="I855" s="54"/>
      <c r="J855" s="54"/>
      <c r="K855" s="54"/>
      <c r="L855" s="54"/>
      <c r="M855" s="54"/>
      <c r="N855" s="54"/>
      <c r="O855" s="54"/>
      <c r="P855" s="54"/>
      <c r="Q855" s="54"/>
      <c r="R855" s="54"/>
      <c r="S855" s="54"/>
      <c r="T855" s="54"/>
      <c r="U855" s="54"/>
      <c r="V855" s="54"/>
      <c r="W855" s="54"/>
      <c r="X855" s="54"/>
      <c r="Y855" s="54"/>
      <c r="Z855" s="54"/>
      <c r="AA855" s="54"/>
      <c r="AB855" s="54"/>
    </row>
    <row r="856">
      <c r="A856" s="57"/>
      <c r="B856" s="10" t="str">
        <f>IFERROR(VLOOKUP(C856,'Employees List'!$B$1:$G$999,4,0),"")</f>
        <v/>
      </c>
      <c r="C856" s="9"/>
      <c r="D856" s="9"/>
      <c r="E856" s="56"/>
      <c r="F856" s="56"/>
      <c r="G856" s="56"/>
      <c r="H856" s="50"/>
      <c r="I856" s="54"/>
      <c r="J856" s="54"/>
      <c r="K856" s="54"/>
      <c r="L856" s="54"/>
      <c r="M856" s="54"/>
      <c r="N856" s="54"/>
      <c r="O856" s="54"/>
      <c r="P856" s="54"/>
      <c r="Q856" s="54"/>
      <c r="R856" s="54"/>
      <c r="S856" s="54"/>
      <c r="T856" s="54"/>
      <c r="U856" s="54"/>
      <c r="V856" s="54"/>
      <c r="W856" s="54"/>
      <c r="X856" s="54"/>
      <c r="Y856" s="54"/>
      <c r="Z856" s="54"/>
      <c r="AA856" s="54"/>
      <c r="AB856" s="54"/>
    </row>
    <row r="857">
      <c r="A857" s="57"/>
      <c r="B857" s="10" t="str">
        <f>IFERROR(VLOOKUP(C857,'Employees List'!$B$1:$G$999,4,0),"")</f>
        <v/>
      </c>
      <c r="C857" s="9"/>
      <c r="D857" s="9"/>
      <c r="E857" s="56"/>
      <c r="F857" s="56"/>
      <c r="G857" s="56"/>
      <c r="H857" s="50"/>
      <c r="I857" s="54"/>
      <c r="J857" s="54"/>
      <c r="K857" s="54"/>
      <c r="L857" s="54"/>
      <c r="M857" s="54"/>
      <c r="N857" s="54"/>
      <c r="O857" s="54"/>
      <c r="P857" s="54"/>
      <c r="Q857" s="54"/>
      <c r="R857" s="54"/>
      <c r="S857" s="54"/>
      <c r="T857" s="54"/>
      <c r="U857" s="54"/>
      <c r="V857" s="54"/>
      <c r="W857" s="54"/>
      <c r="X857" s="54"/>
      <c r="Y857" s="54"/>
      <c r="Z857" s="54"/>
      <c r="AA857" s="54"/>
      <c r="AB857" s="54"/>
    </row>
    <row r="858">
      <c r="A858" s="57"/>
      <c r="B858" s="10" t="str">
        <f>IFERROR(VLOOKUP(C858,'Employees List'!$B$1:$G$999,4,0),"")</f>
        <v/>
      </c>
      <c r="C858" s="9"/>
      <c r="D858" s="9"/>
      <c r="E858" s="56"/>
      <c r="F858" s="56"/>
      <c r="G858" s="56"/>
      <c r="H858" s="50"/>
      <c r="I858" s="54"/>
      <c r="J858" s="54"/>
      <c r="K858" s="54"/>
      <c r="L858" s="54"/>
      <c r="M858" s="54"/>
      <c r="N858" s="54"/>
      <c r="O858" s="54"/>
      <c r="P858" s="54"/>
      <c r="Q858" s="54"/>
      <c r="R858" s="54"/>
      <c r="S858" s="54"/>
      <c r="T858" s="54"/>
      <c r="U858" s="54"/>
      <c r="V858" s="54"/>
      <c r="W858" s="54"/>
      <c r="X858" s="54"/>
      <c r="Y858" s="54"/>
      <c r="Z858" s="54"/>
      <c r="AA858" s="54"/>
      <c r="AB858" s="54"/>
    </row>
    <row r="859">
      <c r="A859" s="57"/>
      <c r="B859" s="10" t="str">
        <f>IFERROR(VLOOKUP(C859,'Employees List'!$B$1:$G$999,4,0),"")</f>
        <v/>
      </c>
      <c r="C859" s="9"/>
      <c r="D859" s="9"/>
      <c r="E859" s="56"/>
      <c r="F859" s="56"/>
      <c r="G859" s="56"/>
      <c r="H859" s="50"/>
      <c r="I859" s="54"/>
      <c r="J859" s="54"/>
      <c r="K859" s="54"/>
      <c r="L859" s="54"/>
      <c r="M859" s="54"/>
      <c r="N859" s="54"/>
      <c r="O859" s="54"/>
      <c r="P859" s="54"/>
      <c r="Q859" s="54"/>
      <c r="R859" s="54"/>
      <c r="S859" s="54"/>
      <c r="T859" s="54"/>
      <c r="U859" s="54"/>
      <c r="V859" s="54"/>
      <c r="W859" s="54"/>
      <c r="X859" s="54"/>
      <c r="Y859" s="54"/>
      <c r="Z859" s="54"/>
      <c r="AA859" s="54"/>
      <c r="AB859" s="54"/>
    </row>
    <row r="860">
      <c r="A860" s="57"/>
      <c r="B860" s="10" t="str">
        <f>IFERROR(VLOOKUP(C860,'Employees List'!$B$1:$G$999,4,0),"")</f>
        <v/>
      </c>
      <c r="C860" s="9"/>
      <c r="D860" s="9"/>
      <c r="E860" s="56"/>
      <c r="F860" s="56"/>
      <c r="G860" s="56"/>
      <c r="H860" s="50"/>
      <c r="I860" s="54"/>
      <c r="J860" s="54"/>
      <c r="K860" s="54"/>
      <c r="L860" s="54"/>
      <c r="M860" s="54"/>
      <c r="N860" s="54"/>
      <c r="O860" s="54"/>
      <c r="P860" s="54"/>
      <c r="Q860" s="54"/>
      <c r="R860" s="54"/>
      <c r="S860" s="54"/>
      <c r="T860" s="54"/>
      <c r="U860" s="54"/>
      <c r="V860" s="54"/>
      <c r="W860" s="54"/>
      <c r="X860" s="54"/>
      <c r="Y860" s="54"/>
      <c r="Z860" s="54"/>
      <c r="AA860" s="54"/>
      <c r="AB860" s="54"/>
    </row>
    <row r="861">
      <c r="A861" s="57"/>
      <c r="B861" s="10" t="str">
        <f>IFERROR(VLOOKUP(C861,'Employees List'!$B$1:$G$999,4,0),"")</f>
        <v/>
      </c>
      <c r="C861" s="9"/>
      <c r="D861" s="9"/>
      <c r="E861" s="56"/>
      <c r="F861" s="56"/>
      <c r="G861" s="56"/>
      <c r="H861" s="50"/>
      <c r="I861" s="54"/>
      <c r="J861" s="54"/>
      <c r="K861" s="54"/>
      <c r="L861" s="54"/>
      <c r="M861" s="54"/>
      <c r="N861" s="54"/>
      <c r="O861" s="54"/>
      <c r="P861" s="54"/>
      <c r="Q861" s="54"/>
      <c r="R861" s="54"/>
      <c r="S861" s="54"/>
      <c r="T861" s="54"/>
      <c r="U861" s="54"/>
      <c r="V861" s="54"/>
      <c r="W861" s="54"/>
      <c r="X861" s="54"/>
      <c r="Y861" s="54"/>
      <c r="Z861" s="54"/>
      <c r="AA861" s="54"/>
      <c r="AB861" s="54"/>
    </row>
    <row r="862">
      <c r="A862" s="57"/>
      <c r="B862" s="10" t="str">
        <f>IFERROR(VLOOKUP(C862,'Employees List'!$B$1:$G$999,4,0),"")</f>
        <v/>
      </c>
      <c r="C862" s="9"/>
      <c r="D862" s="9"/>
      <c r="E862" s="56"/>
      <c r="F862" s="56"/>
      <c r="G862" s="56"/>
      <c r="H862" s="50"/>
      <c r="I862" s="54"/>
      <c r="J862" s="54"/>
      <c r="K862" s="54"/>
      <c r="L862" s="54"/>
      <c r="M862" s="54"/>
      <c r="N862" s="54"/>
      <c r="O862" s="54"/>
      <c r="P862" s="54"/>
      <c r="Q862" s="54"/>
      <c r="R862" s="54"/>
      <c r="S862" s="54"/>
      <c r="T862" s="54"/>
      <c r="U862" s="54"/>
      <c r="V862" s="54"/>
      <c r="W862" s="54"/>
      <c r="X862" s="54"/>
      <c r="Y862" s="54"/>
      <c r="Z862" s="54"/>
      <c r="AA862" s="54"/>
      <c r="AB862" s="54"/>
    </row>
    <row r="863">
      <c r="A863" s="57"/>
      <c r="B863" s="10" t="str">
        <f>IFERROR(VLOOKUP(C863,'Employees List'!$B$1:$G$999,4,0),"")</f>
        <v/>
      </c>
      <c r="C863" s="9"/>
      <c r="D863" s="9"/>
      <c r="E863" s="56"/>
      <c r="F863" s="56"/>
      <c r="G863" s="56"/>
      <c r="H863" s="50"/>
      <c r="I863" s="54"/>
      <c r="J863" s="54"/>
      <c r="K863" s="54"/>
      <c r="L863" s="54"/>
      <c r="M863" s="54"/>
      <c r="N863" s="54"/>
      <c r="O863" s="54"/>
      <c r="P863" s="54"/>
      <c r="Q863" s="54"/>
      <c r="R863" s="54"/>
      <c r="S863" s="54"/>
      <c r="T863" s="54"/>
      <c r="U863" s="54"/>
      <c r="V863" s="54"/>
      <c r="W863" s="54"/>
      <c r="X863" s="54"/>
      <c r="Y863" s="54"/>
      <c r="Z863" s="54"/>
      <c r="AA863" s="54"/>
      <c r="AB863" s="54"/>
    </row>
    <row r="864">
      <c r="A864" s="57"/>
      <c r="B864" s="10" t="str">
        <f>IFERROR(VLOOKUP(C864,'Employees List'!$B$1:$G$999,4,0),"")</f>
        <v/>
      </c>
      <c r="C864" s="9"/>
      <c r="D864" s="9"/>
      <c r="E864" s="56"/>
      <c r="F864" s="56"/>
      <c r="G864" s="56"/>
      <c r="H864" s="50"/>
      <c r="I864" s="54"/>
      <c r="J864" s="54"/>
      <c r="K864" s="54"/>
      <c r="L864" s="54"/>
      <c r="M864" s="54"/>
      <c r="N864" s="54"/>
      <c r="O864" s="54"/>
      <c r="P864" s="54"/>
      <c r="Q864" s="54"/>
      <c r="R864" s="54"/>
      <c r="S864" s="54"/>
      <c r="T864" s="54"/>
      <c r="U864" s="54"/>
      <c r="V864" s="54"/>
      <c r="W864" s="54"/>
      <c r="X864" s="54"/>
      <c r="Y864" s="54"/>
      <c r="Z864" s="54"/>
      <c r="AA864" s="54"/>
      <c r="AB864" s="54"/>
    </row>
    <row r="865">
      <c r="A865" s="57"/>
      <c r="B865" s="10" t="str">
        <f>IFERROR(VLOOKUP(C865,'Employees List'!$B$1:$G$999,4,0),"")</f>
        <v/>
      </c>
      <c r="C865" s="9"/>
      <c r="D865" s="9"/>
      <c r="E865" s="56"/>
      <c r="F865" s="56"/>
      <c r="G865" s="56"/>
      <c r="H865" s="50"/>
      <c r="I865" s="54"/>
      <c r="J865" s="54"/>
      <c r="K865" s="54"/>
      <c r="L865" s="54"/>
      <c r="M865" s="54"/>
      <c r="N865" s="54"/>
      <c r="O865" s="54"/>
      <c r="P865" s="54"/>
      <c r="Q865" s="54"/>
      <c r="R865" s="54"/>
      <c r="S865" s="54"/>
      <c r="T865" s="54"/>
      <c r="U865" s="54"/>
      <c r="V865" s="54"/>
      <c r="W865" s="54"/>
      <c r="X865" s="54"/>
      <c r="Y865" s="54"/>
      <c r="Z865" s="54"/>
      <c r="AA865" s="54"/>
      <c r="AB865" s="54"/>
    </row>
    <row r="866">
      <c r="A866" s="57"/>
      <c r="B866" s="10" t="str">
        <f>IFERROR(VLOOKUP(C866,'Employees List'!$B$1:$G$999,4,0),"")</f>
        <v/>
      </c>
      <c r="C866" s="9"/>
      <c r="D866" s="9"/>
      <c r="E866" s="56"/>
      <c r="F866" s="56"/>
      <c r="G866" s="56"/>
      <c r="H866" s="50"/>
      <c r="I866" s="54"/>
      <c r="J866" s="54"/>
      <c r="K866" s="54"/>
      <c r="L866" s="54"/>
      <c r="M866" s="54"/>
      <c r="N866" s="54"/>
      <c r="O866" s="54"/>
      <c r="P866" s="54"/>
      <c r="Q866" s="54"/>
      <c r="R866" s="54"/>
      <c r="S866" s="54"/>
      <c r="T866" s="54"/>
      <c r="U866" s="54"/>
      <c r="V866" s="54"/>
      <c r="W866" s="54"/>
      <c r="X866" s="54"/>
      <c r="Y866" s="54"/>
      <c r="Z866" s="54"/>
      <c r="AA866" s="54"/>
      <c r="AB866" s="54"/>
    </row>
    <row r="867">
      <c r="A867" s="57"/>
      <c r="B867" s="10" t="str">
        <f>IFERROR(VLOOKUP(C867,'Employees List'!$B$1:$G$999,4,0),"")</f>
        <v/>
      </c>
      <c r="C867" s="9"/>
      <c r="D867" s="9"/>
      <c r="E867" s="56"/>
      <c r="F867" s="56"/>
      <c r="G867" s="56"/>
      <c r="H867" s="50"/>
      <c r="I867" s="54"/>
      <c r="J867" s="54"/>
      <c r="K867" s="54"/>
      <c r="L867" s="54"/>
      <c r="M867" s="54"/>
      <c r="N867" s="54"/>
      <c r="O867" s="54"/>
      <c r="P867" s="54"/>
      <c r="Q867" s="54"/>
      <c r="R867" s="54"/>
      <c r="S867" s="54"/>
      <c r="T867" s="54"/>
      <c r="U867" s="54"/>
      <c r="V867" s="54"/>
      <c r="W867" s="54"/>
      <c r="X867" s="54"/>
      <c r="Y867" s="54"/>
      <c r="Z867" s="54"/>
      <c r="AA867" s="54"/>
      <c r="AB867" s="54"/>
    </row>
    <row r="868">
      <c r="A868" s="57"/>
      <c r="B868" s="10" t="str">
        <f>IFERROR(VLOOKUP(C868,'Employees List'!$B$1:$G$999,4,0),"")</f>
        <v/>
      </c>
      <c r="C868" s="9"/>
      <c r="D868" s="9"/>
      <c r="E868" s="56"/>
      <c r="F868" s="56"/>
      <c r="G868" s="56"/>
      <c r="H868" s="50"/>
      <c r="I868" s="54"/>
      <c r="J868" s="54"/>
      <c r="K868" s="54"/>
      <c r="L868" s="54"/>
      <c r="M868" s="54"/>
      <c r="N868" s="54"/>
      <c r="O868" s="54"/>
      <c r="P868" s="54"/>
      <c r="Q868" s="54"/>
      <c r="R868" s="54"/>
      <c r="S868" s="54"/>
      <c r="T868" s="54"/>
      <c r="U868" s="54"/>
      <c r="V868" s="54"/>
      <c r="W868" s="54"/>
      <c r="X868" s="54"/>
      <c r="Y868" s="54"/>
      <c r="Z868" s="54"/>
      <c r="AA868" s="54"/>
      <c r="AB868" s="54"/>
    </row>
    <row r="869">
      <c r="A869" s="57"/>
      <c r="B869" s="10" t="str">
        <f>IFERROR(VLOOKUP(C869,'Employees List'!$B$1:$G$999,4,0),"")</f>
        <v/>
      </c>
      <c r="C869" s="9"/>
      <c r="D869" s="9"/>
      <c r="E869" s="56"/>
      <c r="F869" s="56"/>
      <c r="G869" s="56"/>
      <c r="H869" s="50"/>
      <c r="I869" s="54"/>
      <c r="J869" s="54"/>
      <c r="K869" s="54"/>
      <c r="L869" s="54"/>
      <c r="M869" s="54"/>
      <c r="N869" s="54"/>
      <c r="O869" s="54"/>
      <c r="P869" s="54"/>
      <c r="Q869" s="54"/>
      <c r="R869" s="54"/>
      <c r="S869" s="54"/>
      <c r="T869" s="54"/>
      <c r="U869" s="54"/>
      <c r="V869" s="54"/>
      <c r="W869" s="54"/>
      <c r="X869" s="54"/>
      <c r="Y869" s="54"/>
      <c r="Z869" s="54"/>
      <c r="AA869" s="54"/>
      <c r="AB869" s="54"/>
    </row>
    <row r="870">
      <c r="A870" s="57"/>
      <c r="B870" s="10" t="str">
        <f>IFERROR(VLOOKUP(C870,'Employees List'!$B$1:$G$999,4,0),"")</f>
        <v/>
      </c>
      <c r="C870" s="9"/>
      <c r="D870" s="9"/>
      <c r="E870" s="56"/>
      <c r="F870" s="56"/>
      <c r="G870" s="56"/>
      <c r="H870" s="50"/>
      <c r="I870" s="54"/>
      <c r="J870" s="54"/>
      <c r="K870" s="54"/>
      <c r="L870" s="54"/>
      <c r="M870" s="54"/>
      <c r="N870" s="54"/>
      <c r="O870" s="54"/>
      <c r="P870" s="54"/>
      <c r="Q870" s="54"/>
      <c r="R870" s="54"/>
      <c r="S870" s="54"/>
      <c r="T870" s="54"/>
      <c r="U870" s="54"/>
      <c r="V870" s="54"/>
      <c r="W870" s="54"/>
      <c r="X870" s="54"/>
      <c r="Y870" s="54"/>
      <c r="Z870" s="54"/>
      <c r="AA870" s="54"/>
      <c r="AB870" s="54"/>
    </row>
    <row r="871">
      <c r="A871" s="57"/>
      <c r="B871" s="10" t="str">
        <f>IFERROR(VLOOKUP(C871,'Employees List'!$B$1:$G$999,4,0),"")</f>
        <v/>
      </c>
      <c r="C871" s="9"/>
      <c r="D871" s="9"/>
      <c r="E871" s="56"/>
      <c r="F871" s="56"/>
      <c r="G871" s="56"/>
      <c r="H871" s="50"/>
      <c r="I871" s="54"/>
      <c r="J871" s="54"/>
      <c r="K871" s="54"/>
      <c r="L871" s="54"/>
      <c r="M871" s="54"/>
      <c r="N871" s="54"/>
      <c r="O871" s="54"/>
      <c r="P871" s="54"/>
      <c r="Q871" s="54"/>
      <c r="R871" s="54"/>
      <c r="S871" s="54"/>
      <c r="T871" s="54"/>
      <c r="U871" s="54"/>
      <c r="V871" s="54"/>
      <c r="W871" s="54"/>
      <c r="X871" s="54"/>
      <c r="Y871" s="54"/>
      <c r="Z871" s="54"/>
      <c r="AA871" s="54"/>
      <c r="AB871" s="54"/>
    </row>
    <row r="872">
      <c r="A872" s="57"/>
      <c r="B872" s="10" t="str">
        <f>IFERROR(VLOOKUP(C872,'Employees List'!$B$1:$G$999,4,0),"")</f>
        <v/>
      </c>
      <c r="C872" s="9"/>
      <c r="D872" s="9"/>
      <c r="E872" s="56"/>
      <c r="F872" s="56"/>
      <c r="G872" s="56"/>
      <c r="H872" s="50"/>
      <c r="I872" s="54"/>
      <c r="J872" s="54"/>
      <c r="K872" s="54"/>
      <c r="L872" s="54"/>
      <c r="M872" s="54"/>
      <c r="N872" s="54"/>
      <c r="O872" s="54"/>
      <c r="P872" s="54"/>
      <c r="Q872" s="54"/>
      <c r="R872" s="54"/>
      <c r="S872" s="54"/>
      <c r="T872" s="54"/>
      <c r="U872" s="54"/>
      <c r="V872" s="54"/>
      <c r="W872" s="54"/>
      <c r="X872" s="54"/>
      <c r="Y872" s="54"/>
      <c r="Z872" s="54"/>
      <c r="AA872" s="54"/>
      <c r="AB872" s="54"/>
    </row>
    <row r="873">
      <c r="A873" s="57"/>
      <c r="B873" s="10" t="str">
        <f>IFERROR(VLOOKUP(C873,'Employees List'!$B$1:$G$999,4,0),"")</f>
        <v/>
      </c>
      <c r="C873" s="9"/>
      <c r="D873" s="9"/>
      <c r="E873" s="56"/>
      <c r="F873" s="56"/>
      <c r="G873" s="56"/>
      <c r="H873" s="50"/>
      <c r="I873" s="54"/>
      <c r="J873" s="54"/>
      <c r="K873" s="54"/>
      <c r="L873" s="54"/>
      <c r="M873" s="54"/>
      <c r="N873" s="54"/>
      <c r="O873" s="54"/>
      <c r="P873" s="54"/>
      <c r="Q873" s="54"/>
      <c r="R873" s="54"/>
      <c r="S873" s="54"/>
      <c r="T873" s="54"/>
      <c r="U873" s="54"/>
      <c r="V873" s="54"/>
      <c r="W873" s="54"/>
      <c r="X873" s="54"/>
      <c r="Y873" s="54"/>
      <c r="Z873" s="54"/>
      <c r="AA873" s="54"/>
      <c r="AB873" s="54"/>
    </row>
    <row r="874">
      <c r="A874" s="57"/>
      <c r="B874" s="10" t="str">
        <f>IFERROR(VLOOKUP(C874,'Employees List'!$B$1:$G$999,4,0),"")</f>
        <v/>
      </c>
      <c r="C874" s="9"/>
      <c r="D874" s="9"/>
      <c r="E874" s="56"/>
      <c r="F874" s="56"/>
      <c r="G874" s="56"/>
      <c r="H874" s="50"/>
      <c r="I874" s="54"/>
      <c r="J874" s="54"/>
      <c r="K874" s="54"/>
      <c r="L874" s="54"/>
      <c r="M874" s="54"/>
      <c r="N874" s="54"/>
      <c r="O874" s="54"/>
      <c r="P874" s="54"/>
      <c r="Q874" s="54"/>
      <c r="R874" s="54"/>
      <c r="S874" s="54"/>
      <c r="T874" s="54"/>
      <c r="U874" s="54"/>
      <c r="V874" s="54"/>
      <c r="W874" s="54"/>
      <c r="X874" s="54"/>
      <c r="Y874" s="54"/>
      <c r="Z874" s="54"/>
      <c r="AA874" s="54"/>
      <c r="AB874" s="54"/>
    </row>
    <row r="875">
      <c r="A875" s="57"/>
      <c r="B875" s="10" t="str">
        <f>IFERROR(VLOOKUP(C875,'Employees List'!$B$1:$G$999,4,0),"")</f>
        <v/>
      </c>
      <c r="C875" s="9"/>
      <c r="D875" s="9"/>
      <c r="E875" s="56"/>
      <c r="F875" s="56"/>
      <c r="G875" s="56"/>
      <c r="H875" s="50"/>
      <c r="I875" s="54"/>
      <c r="J875" s="54"/>
      <c r="K875" s="54"/>
      <c r="L875" s="54"/>
      <c r="M875" s="54"/>
      <c r="N875" s="54"/>
      <c r="O875" s="54"/>
      <c r="P875" s="54"/>
      <c r="Q875" s="54"/>
      <c r="R875" s="54"/>
      <c r="S875" s="54"/>
      <c r="T875" s="54"/>
      <c r="U875" s="54"/>
      <c r="V875" s="54"/>
      <c r="W875" s="54"/>
      <c r="X875" s="54"/>
      <c r="Y875" s="54"/>
      <c r="Z875" s="54"/>
      <c r="AA875" s="54"/>
      <c r="AB875" s="54"/>
    </row>
    <row r="876">
      <c r="A876" s="57"/>
      <c r="B876" s="10" t="str">
        <f>IFERROR(VLOOKUP(C876,'Employees List'!$B$1:$G$999,4,0),"")</f>
        <v/>
      </c>
      <c r="C876" s="9"/>
      <c r="D876" s="9"/>
      <c r="E876" s="56"/>
      <c r="F876" s="56"/>
      <c r="G876" s="56"/>
      <c r="H876" s="50"/>
      <c r="I876" s="54"/>
      <c r="J876" s="54"/>
      <c r="K876" s="54"/>
      <c r="L876" s="54"/>
      <c r="M876" s="54"/>
      <c r="N876" s="54"/>
      <c r="O876" s="54"/>
      <c r="P876" s="54"/>
      <c r="Q876" s="54"/>
      <c r="R876" s="54"/>
      <c r="S876" s="54"/>
      <c r="T876" s="54"/>
      <c r="U876" s="54"/>
      <c r="V876" s="54"/>
      <c r="W876" s="54"/>
      <c r="X876" s="54"/>
      <c r="Y876" s="54"/>
      <c r="Z876" s="54"/>
      <c r="AA876" s="54"/>
      <c r="AB876" s="54"/>
    </row>
    <row r="877">
      <c r="A877" s="57"/>
      <c r="B877" s="10" t="str">
        <f>IFERROR(VLOOKUP(C877,'Employees List'!$B$1:$G$999,4,0),"")</f>
        <v/>
      </c>
      <c r="C877" s="9"/>
      <c r="D877" s="9"/>
      <c r="E877" s="56"/>
      <c r="F877" s="56"/>
      <c r="G877" s="56"/>
      <c r="H877" s="50"/>
      <c r="I877" s="54"/>
      <c r="J877" s="54"/>
      <c r="K877" s="54"/>
      <c r="L877" s="54"/>
      <c r="M877" s="54"/>
      <c r="N877" s="54"/>
      <c r="O877" s="54"/>
      <c r="P877" s="54"/>
      <c r="Q877" s="54"/>
      <c r="R877" s="54"/>
      <c r="S877" s="54"/>
      <c r="T877" s="54"/>
      <c r="U877" s="54"/>
      <c r="V877" s="54"/>
      <c r="W877" s="54"/>
      <c r="X877" s="54"/>
      <c r="Y877" s="54"/>
      <c r="Z877" s="54"/>
      <c r="AA877" s="54"/>
      <c r="AB877" s="54"/>
    </row>
    <row r="878">
      <c r="A878" s="57"/>
      <c r="B878" s="10" t="str">
        <f>IFERROR(VLOOKUP(C878,'Employees List'!$B$1:$G$999,4,0),"")</f>
        <v/>
      </c>
      <c r="C878" s="9"/>
      <c r="D878" s="9"/>
      <c r="E878" s="56"/>
      <c r="F878" s="56"/>
      <c r="G878" s="56"/>
      <c r="H878" s="50"/>
      <c r="I878" s="54"/>
      <c r="J878" s="54"/>
      <c r="K878" s="54"/>
      <c r="L878" s="54"/>
      <c r="M878" s="54"/>
      <c r="N878" s="54"/>
      <c r="O878" s="54"/>
      <c r="P878" s="54"/>
      <c r="Q878" s="54"/>
      <c r="R878" s="54"/>
      <c r="S878" s="54"/>
      <c r="T878" s="54"/>
      <c r="U878" s="54"/>
      <c r="V878" s="54"/>
      <c r="W878" s="54"/>
      <c r="X878" s="54"/>
      <c r="Y878" s="54"/>
      <c r="Z878" s="54"/>
      <c r="AA878" s="54"/>
      <c r="AB878" s="54"/>
    </row>
    <row r="879">
      <c r="A879" s="57"/>
      <c r="B879" s="10" t="str">
        <f>IFERROR(VLOOKUP(C879,'Employees List'!$B$1:$G$999,4,0),"")</f>
        <v/>
      </c>
      <c r="C879" s="9"/>
      <c r="D879" s="9"/>
      <c r="E879" s="56"/>
      <c r="F879" s="56"/>
      <c r="G879" s="56"/>
      <c r="H879" s="50"/>
      <c r="I879" s="54"/>
      <c r="J879" s="54"/>
      <c r="K879" s="54"/>
      <c r="L879" s="54"/>
      <c r="M879" s="54"/>
      <c r="N879" s="54"/>
      <c r="O879" s="54"/>
      <c r="P879" s="54"/>
      <c r="Q879" s="54"/>
      <c r="R879" s="54"/>
      <c r="S879" s="54"/>
      <c r="T879" s="54"/>
      <c r="U879" s="54"/>
      <c r="V879" s="54"/>
      <c r="W879" s="54"/>
      <c r="X879" s="54"/>
      <c r="Y879" s="54"/>
      <c r="Z879" s="54"/>
      <c r="AA879" s="54"/>
      <c r="AB879" s="54"/>
    </row>
    <row r="880">
      <c r="A880" s="57"/>
      <c r="B880" s="10" t="str">
        <f>IFERROR(VLOOKUP(C880,'Employees List'!$B$1:$G$999,4,0),"")</f>
        <v/>
      </c>
      <c r="C880" s="9"/>
      <c r="D880" s="9"/>
      <c r="E880" s="56"/>
      <c r="F880" s="56"/>
      <c r="G880" s="56"/>
      <c r="H880" s="50"/>
      <c r="I880" s="54"/>
      <c r="J880" s="54"/>
      <c r="K880" s="54"/>
      <c r="L880" s="54"/>
      <c r="M880" s="54"/>
      <c r="N880" s="54"/>
      <c r="O880" s="54"/>
      <c r="P880" s="54"/>
      <c r="Q880" s="54"/>
      <c r="R880" s="54"/>
      <c r="S880" s="54"/>
      <c r="T880" s="54"/>
      <c r="U880" s="54"/>
      <c r="V880" s="54"/>
      <c r="W880" s="54"/>
      <c r="X880" s="54"/>
      <c r="Y880" s="54"/>
      <c r="Z880" s="54"/>
      <c r="AA880" s="54"/>
      <c r="AB880" s="54"/>
    </row>
    <row r="881">
      <c r="A881" s="57"/>
      <c r="B881" s="10" t="str">
        <f>IFERROR(VLOOKUP(C881,'Employees List'!$B$1:$G$999,4,0),"")</f>
        <v/>
      </c>
      <c r="C881" s="9"/>
      <c r="D881" s="9"/>
      <c r="E881" s="56"/>
      <c r="F881" s="56"/>
      <c r="G881" s="56"/>
      <c r="H881" s="50"/>
      <c r="I881" s="54"/>
      <c r="J881" s="54"/>
      <c r="K881" s="54"/>
      <c r="L881" s="54"/>
      <c r="M881" s="54"/>
      <c r="N881" s="54"/>
      <c r="O881" s="54"/>
      <c r="P881" s="54"/>
      <c r="Q881" s="54"/>
      <c r="R881" s="54"/>
      <c r="S881" s="54"/>
      <c r="T881" s="54"/>
      <c r="U881" s="54"/>
      <c r="V881" s="54"/>
      <c r="W881" s="54"/>
      <c r="X881" s="54"/>
      <c r="Y881" s="54"/>
      <c r="Z881" s="54"/>
      <c r="AA881" s="54"/>
      <c r="AB881" s="54"/>
    </row>
    <row r="882">
      <c r="A882" s="57"/>
      <c r="B882" s="10" t="str">
        <f>IFERROR(VLOOKUP(C882,'Employees List'!$B$1:$G$999,4,0),"")</f>
        <v/>
      </c>
      <c r="C882" s="9"/>
      <c r="D882" s="9"/>
      <c r="E882" s="56"/>
      <c r="F882" s="56"/>
      <c r="G882" s="56"/>
      <c r="H882" s="50"/>
      <c r="I882" s="54"/>
      <c r="J882" s="54"/>
      <c r="K882" s="54"/>
      <c r="L882" s="54"/>
      <c r="M882" s="54"/>
      <c r="N882" s="54"/>
      <c r="O882" s="54"/>
      <c r="P882" s="54"/>
      <c r="Q882" s="54"/>
      <c r="R882" s="54"/>
      <c r="S882" s="54"/>
      <c r="T882" s="54"/>
      <c r="U882" s="54"/>
      <c r="V882" s="54"/>
      <c r="W882" s="54"/>
      <c r="X882" s="54"/>
      <c r="Y882" s="54"/>
      <c r="Z882" s="54"/>
      <c r="AA882" s="54"/>
      <c r="AB882" s="54"/>
    </row>
    <row r="883">
      <c r="A883" s="57"/>
      <c r="B883" s="10" t="str">
        <f>IFERROR(VLOOKUP(C883,'Employees List'!$B$1:$G$999,4,0),"")</f>
        <v/>
      </c>
      <c r="C883" s="9"/>
      <c r="D883" s="9"/>
      <c r="E883" s="56"/>
      <c r="F883" s="56"/>
      <c r="G883" s="56"/>
      <c r="H883" s="50"/>
      <c r="I883" s="54"/>
      <c r="J883" s="54"/>
      <c r="K883" s="54"/>
      <c r="L883" s="54"/>
      <c r="M883" s="54"/>
      <c r="N883" s="54"/>
      <c r="O883" s="54"/>
      <c r="P883" s="54"/>
      <c r="Q883" s="54"/>
      <c r="R883" s="54"/>
      <c r="S883" s="54"/>
      <c r="T883" s="54"/>
      <c r="U883" s="54"/>
      <c r="V883" s="54"/>
      <c r="W883" s="54"/>
      <c r="X883" s="54"/>
      <c r="Y883" s="54"/>
      <c r="Z883" s="54"/>
      <c r="AA883" s="54"/>
      <c r="AB883" s="54"/>
    </row>
    <row r="884">
      <c r="A884" s="57"/>
      <c r="B884" s="10" t="str">
        <f>IFERROR(VLOOKUP(C884,'Employees List'!$B$1:$G$999,4,0),"")</f>
        <v/>
      </c>
      <c r="C884" s="9"/>
      <c r="D884" s="9"/>
      <c r="E884" s="56"/>
      <c r="F884" s="56"/>
      <c r="G884" s="56"/>
      <c r="H884" s="50"/>
      <c r="I884" s="54"/>
      <c r="J884" s="54"/>
      <c r="K884" s="54"/>
      <c r="L884" s="54"/>
      <c r="M884" s="54"/>
      <c r="N884" s="54"/>
      <c r="O884" s="54"/>
      <c r="P884" s="54"/>
      <c r="Q884" s="54"/>
      <c r="R884" s="54"/>
      <c r="S884" s="54"/>
      <c r="T884" s="54"/>
      <c r="U884" s="54"/>
      <c r="V884" s="54"/>
      <c r="W884" s="54"/>
      <c r="X884" s="54"/>
      <c r="Y884" s="54"/>
      <c r="Z884" s="54"/>
      <c r="AA884" s="54"/>
      <c r="AB884" s="54"/>
    </row>
    <row r="885">
      <c r="A885" s="57"/>
      <c r="B885" s="10" t="str">
        <f>IFERROR(VLOOKUP(C885,'Employees List'!$B$1:$G$999,4,0),"")</f>
        <v/>
      </c>
      <c r="C885" s="9"/>
      <c r="D885" s="9"/>
      <c r="E885" s="56"/>
      <c r="F885" s="56"/>
      <c r="G885" s="56"/>
      <c r="H885" s="50"/>
      <c r="I885" s="54"/>
      <c r="J885" s="54"/>
      <c r="K885" s="54"/>
      <c r="L885" s="54"/>
      <c r="M885" s="54"/>
      <c r="N885" s="54"/>
      <c r="O885" s="54"/>
      <c r="P885" s="54"/>
      <c r="Q885" s="54"/>
      <c r="R885" s="54"/>
      <c r="S885" s="54"/>
      <c r="T885" s="54"/>
      <c r="U885" s="54"/>
      <c r="V885" s="54"/>
      <c r="W885" s="54"/>
      <c r="X885" s="54"/>
      <c r="Y885" s="54"/>
      <c r="Z885" s="54"/>
      <c r="AA885" s="54"/>
      <c r="AB885" s="54"/>
    </row>
    <row r="886">
      <c r="A886" s="57"/>
      <c r="B886" s="10" t="str">
        <f>IFERROR(VLOOKUP(C886,'Employees List'!$B$1:$G$999,4,0),"")</f>
        <v/>
      </c>
      <c r="C886" s="9"/>
      <c r="D886" s="9"/>
      <c r="E886" s="56"/>
      <c r="F886" s="56"/>
      <c r="G886" s="56"/>
      <c r="H886" s="50"/>
      <c r="I886" s="54"/>
      <c r="J886" s="54"/>
      <c r="K886" s="54"/>
      <c r="L886" s="54"/>
      <c r="M886" s="54"/>
      <c r="N886" s="54"/>
      <c r="O886" s="54"/>
      <c r="P886" s="54"/>
      <c r="Q886" s="54"/>
      <c r="R886" s="54"/>
      <c r="S886" s="54"/>
      <c r="T886" s="54"/>
      <c r="U886" s="54"/>
      <c r="V886" s="54"/>
      <c r="W886" s="54"/>
      <c r="X886" s="54"/>
      <c r="Y886" s="54"/>
      <c r="Z886" s="54"/>
      <c r="AA886" s="54"/>
      <c r="AB886" s="54"/>
    </row>
    <row r="887">
      <c r="A887" s="57"/>
      <c r="B887" s="10" t="str">
        <f>IFERROR(VLOOKUP(C887,'Employees List'!$B$1:$G$999,4,0),"")</f>
        <v/>
      </c>
      <c r="C887" s="9"/>
      <c r="D887" s="9"/>
      <c r="E887" s="56"/>
      <c r="F887" s="56"/>
      <c r="G887" s="56"/>
      <c r="H887" s="50"/>
      <c r="I887" s="54"/>
      <c r="J887" s="54"/>
      <c r="K887" s="54"/>
      <c r="L887" s="54"/>
      <c r="M887" s="54"/>
      <c r="N887" s="54"/>
      <c r="O887" s="54"/>
      <c r="P887" s="54"/>
      <c r="Q887" s="54"/>
      <c r="R887" s="54"/>
      <c r="S887" s="54"/>
      <c r="T887" s="54"/>
      <c r="U887" s="54"/>
      <c r="V887" s="54"/>
      <c r="W887" s="54"/>
      <c r="X887" s="54"/>
      <c r="Y887" s="54"/>
      <c r="Z887" s="54"/>
      <c r="AA887" s="54"/>
      <c r="AB887" s="54"/>
    </row>
    <row r="888">
      <c r="A888" s="57"/>
      <c r="B888" s="10" t="str">
        <f>IFERROR(VLOOKUP(C888,'Employees List'!$B$1:$G$999,4,0),"")</f>
        <v/>
      </c>
      <c r="C888" s="9"/>
      <c r="D888" s="9"/>
      <c r="E888" s="56"/>
      <c r="F888" s="56"/>
      <c r="G888" s="56"/>
      <c r="H888" s="50"/>
      <c r="I888" s="54"/>
      <c r="J888" s="54"/>
      <c r="K888" s="54"/>
      <c r="L888" s="54"/>
      <c r="M888" s="54"/>
      <c r="N888" s="54"/>
      <c r="O888" s="54"/>
      <c r="P888" s="54"/>
      <c r="Q888" s="54"/>
      <c r="R888" s="54"/>
      <c r="S888" s="54"/>
      <c r="T888" s="54"/>
      <c r="U888" s="54"/>
      <c r="V888" s="54"/>
      <c r="W888" s="54"/>
      <c r="X888" s="54"/>
      <c r="Y888" s="54"/>
      <c r="Z888" s="54"/>
      <c r="AA888" s="54"/>
      <c r="AB888" s="54"/>
    </row>
    <row r="889">
      <c r="A889" s="57"/>
      <c r="B889" s="10" t="str">
        <f>IFERROR(VLOOKUP(C889,'Employees List'!$B$1:$G$999,4,0),"")</f>
        <v/>
      </c>
      <c r="C889" s="9"/>
      <c r="D889" s="9"/>
      <c r="E889" s="56"/>
      <c r="F889" s="56"/>
      <c r="G889" s="56"/>
      <c r="H889" s="50"/>
      <c r="I889" s="54"/>
      <c r="J889" s="54"/>
      <c r="K889" s="54"/>
      <c r="L889" s="54"/>
      <c r="M889" s="54"/>
      <c r="N889" s="54"/>
      <c r="O889" s="54"/>
      <c r="P889" s="54"/>
      <c r="Q889" s="54"/>
      <c r="R889" s="54"/>
      <c r="S889" s="54"/>
      <c r="T889" s="54"/>
      <c r="U889" s="54"/>
      <c r="V889" s="54"/>
      <c r="W889" s="54"/>
      <c r="X889" s="54"/>
      <c r="Y889" s="54"/>
      <c r="Z889" s="54"/>
      <c r="AA889" s="54"/>
      <c r="AB889" s="54"/>
    </row>
    <row r="890">
      <c r="A890" s="57"/>
      <c r="B890" s="10" t="str">
        <f>IFERROR(VLOOKUP(C890,'Employees List'!$B$1:$G$999,4,0),"")</f>
        <v/>
      </c>
      <c r="C890" s="9"/>
      <c r="D890" s="9"/>
      <c r="E890" s="56"/>
      <c r="F890" s="56"/>
      <c r="G890" s="56"/>
      <c r="H890" s="50"/>
      <c r="I890" s="54"/>
      <c r="J890" s="54"/>
      <c r="K890" s="54"/>
      <c r="L890" s="54"/>
      <c r="M890" s="54"/>
      <c r="N890" s="54"/>
      <c r="O890" s="54"/>
      <c r="P890" s="54"/>
      <c r="Q890" s="54"/>
      <c r="R890" s="54"/>
      <c r="S890" s="54"/>
      <c r="T890" s="54"/>
      <c r="U890" s="54"/>
      <c r="V890" s="54"/>
      <c r="W890" s="54"/>
      <c r="X890" s="54"/>
      <c r="Y890" s="54"/>
      <c r="Z890" s="54"/>
      <c r="AA890" s="54"/>
      <c r="AB890" s="54"/>
    </row>
    <row r="891">
      <c r="A891" s="57"/>
      <c r="B891" s="10" t="str">
        <f>IFERROR(VLOOKUP(C891,'Employees List'!$B$1:$G$999,4,0),"")</f>
        <v/>
      </c>
      <c r="C891" s="9"/>
      <c r="D891" s="9"/>
      <c r="E891" s="56"/>
      <c r="F891" s="56"/>
      <c r="G891" s="56"/>
      <c r="H891" s="50"/>
      <c r="I891" s="54"/>
      <c r="J891" s="54"/>
      <c r="K891" s="54"/>
      <c r="L891" s="54"/>
      <c r="M891" s="54"/>
      <c r="N891" s="54"/>
      <c r="O891" s="54"/>
      <c r="P891" s="54"/>
      <c r="Q891" s="54"/>
      <c r="R891" s="54"/>
      <c r="S891" s="54"/>
      <c r="T891" s="54"/>
      <c r="U891" s="54"/>
      <c r="V891" s="54"/>
      <c r="W891" s="54"/>
      <c r="X891" s="54"/>
      <c r="Y891" s="54"/>
      <c r="Z891" s="54"/>
      <c r="AA891" s="54"/>
      <c r="AB891" s="54"/>
    </row>
    <row r="892">
      <c r="A892" s="57"/>
      <c r="B892" s="10" t="str">
        <f>IFERROR(VLOOKUP(C892,'Employees List'!$B$1:$G$999,4,0),"")</f>
        <v/>
      </c>
      <c r="C892" s="9"/>
      <c r="D892" s="9"/>
      <c r="E892" s="56"/>
      <c r="F892" s="56"/>
      <c r="G892" s="56"/>
      <c r="H892" s="50"/>
      <c r="I892" s="54"/>
      <c r="J892" s="54"/>
      <c r="K892" s="54"/>
      <c r="L892" s="54"/>
      <c r="M892" s="54"/>
      <c r="N892" s="54"/>
      <c r="O892" s="54"/>
      <c r="P892" s="54"/>
      <c r="Q892" s="54"/>
      <c r="R892" s="54"/>
      <c r="S892" s="54"/>
      <c r="T892" s="54"/>
      <c r="U892" s="54"/>
      <c r="V892" s="54"/>
      <c r="W892" s="54"/>
      <c r="X892" s="54"/>
      <c r="Y892" s="54"/>
      <c r="Z892" s="54"/>
      <c r="AA892" s="54"/>
      <c r="AB892" s="54"/>
    </row>
    <row r="893">
      <c r="A893" s="57"/>
      <c r="B893" s="10" t="str">
        <f>IFERROR(VLOOKUP(C893,'Employees List'!$B$1:$G$999,4,0),"")</f>
        <v/>
      </c>
      <c r="C893" s="9"/>
      <c r="D893" s="9"/>
      <c r="E893" s="56"/>
      <c r="F893" s="56"/>
      <c r="G893" s="56"/>
      <c r="H893" s="50"/>
      <c r="I893" s="54"/>
      <c r="J893" s="54"/>
      <c r="K893" s="54"/>
      <c r="L893" s="54"/>
      <c r="M893" s="54"/>
      <c r="N893" s="54"/>
      <c r="O893" s="54"/>
      <c r="P893" s="54"/>
      <c r="Q893" s="54"/>
      <c r="R893" s="54"/>
      <c r="S893" s="54"/>
      <c r="T893" s="54"/>
      <c r="U893" s="54"/>
      <c r="V893" s="54"/>
      <c r="W893" s="54"/>
      <c r="X893" s="54"/>
      <c r="Y893" s="54"/>
      <c r="Z893" s="54"/>
      <c r="AA893" s="54"/>
      <c r="AB893" s="54"/>
    </row>
    <row r="894">
      <c r="A894" s="57"/>
      <c r="B894" s="10" t="str">
        <f>IFERROR(VLOOKUP(C894,'Employees List'!$B$1:$G$999,4,0),"")</f>
        <v/>
      </c>
      <c r="C894" s="9"/>
      <c r="D894" s="9"/>
      <c r="E894" s="56"/>
      <c r="F894" s="56"/>
      <c r="G894" s="56"/>
      <c r="H894" s="50"/>
      <c r="I894" s="54"/>
      <c r="J894" s="54"/>
      <c r="K894" s="54"/>
      <c r="L894" s="54"/>
      <c r="M894" s="54"/>
      <c r="N894" s="54"/>
      <c r="O894" s="54"/>
      <c r="P894" s="54"/>
      <c r="Q894" s="54"/>
      <c r="R894" s="54"/>
      <c r="S894" s="54"/>
      <c r="T894" s="54"/>
      <c r="U894" s="54"/>
      <c r="V894" s="54"/>
      <c r="W894" s="54"/>
      <c r="X894" s="54"/>
      <c r="Y894" s="54"/>
      <c r="Z894" s="54"/>
      <c r="AA894" s="54"/>
      <c r="AB894" s="54"/>
    </row>
    <row r="895">
      <c r="A895" s="57"/>
      <c r="B895" s="10" t="str">
        <f>IFERROR(VLOOKUP(C895,'Employees List'!$B$1:$G$999,4,0),"")</f>
        <v/>
      </c>
      <c r="C895" s="9"/>
      <c r="D895" s="9"/>
      <c r="E895" s="56"/>
      <c r="F895" s="56"/>
      <c r="G895" s="56"/>
      <c r="H895" s="50"/>
      <c r="I895" s="54"/>
      <c r="J895" s="54"/>
      <c r="K895" s="54"/>
      <c r="L895" s="54"/>
      <c r="M895" s="54"/>
      <c r="N895" s="54"/>
      <c r="O895" s="54"/>
      <c r="P895" s="54"/>
      <c r="Q895" s="54"/>
      <c r="R895" s="54"/>
      <c r="S895" s="54"/>
      <c r="T895" s="54"/>
      <c r="U895" s="54"/>
      <c r="V895" s="54"/>
      <c r="W895" s="54"/>
      <c r="X895" s="54"/>
      <c r="Y895" s="54"/>
      <c r="Z895" s="54"/>
      <c r="AA895" s="54"/>
      <c r="AB895" s="54"/>
    </row>
    <row r="896">
      <c r="A896" s="57"/>
      <c r="B896" s="10" t="str">
        <f>IFERROR(VLOOKUP(C896,'Employees List'!$B$1:$G$999,4,0),"")</f>
        <v/>
      </c>
      <c r="C896" s="9"/>
      <c r="D896" s="9"/>
      <c r="E896" s="56"/>
      <c r="F896" s="56"/>
      <c r="G896" s="56"/>
      <c r="H896" s="50"/>
      <c r="I896" s="54"/>
      <c r="J896" s="54"/>
      <c r="K896" s="54"/>
      <c r="L896" s="54"/>
      <c r="M896" s="54"/>
      <c r="N896" s="54"/>
      <c r="O896" s="54"/>
      <c r="P896" s="54"/>
      <c r="Q896" s="54"/>
      <c r="R896" s="54"/>
      <c r="S896" s="54"/>
      <c r="T896" s="54"/>
      <c r="U896" s="54"/>
      <c r="V896" s="54"/>
      <c r="W896" s="54"/>
      <c r="X896" s="54"/>
      <c r="Y896" s="54"/>
      <c r="Z896" s="54"/>
      <c r="AA896" s="54"/>
      <c r="AB896" s="54"/>
    </row>
    <row r="897">
      <c r="A897" s="57"/>
      <c r="B897" s="10" t="str">
        <f>IFERROR(VLOOKUP(C897,'Employees List'!$B$1:$G$999,4,0),"")</f>
        <v/>
      </c>
      <c r="C897" s="9"/>
      <c r="D897" s="9"/>
      <c r="E897" s="56"/>
      <c r="F897" s="56"/>
      <c r="G897" s="56"/>
      <c r="H897" s="50"/>
      <c r="I897" s="54"/>
      <c r="J897" s="54"/>
      <c r="K897" s="54"/>
      <c r="L897" s="54"/>
      <c r="M897" s="54"/>
      <c r="N897" s="54"/>
      <c r="O897" s="54"/>
      <c r="P897" s="54"/>
      <c r="Q897" s="54"/>
      <c r="R897" s="54"/>
      <c r="S897" s="54"/>
      <c r="T897" s="54"/>
      <c r="U897" s="54"/>
      <c r="V897" s="54"/>
      <c r="W897" s="54"/>
      <c r="X897" s="54"/>
      <c r="Y897" s="54"/>
      <c r="Z897" s="54"/>
      <c r="AA897" s="54"/>
      <c r="AB897" s="54"/>
    </row>
    <row r="898">
      <c r="A898" s="57"/>
      <c r="B898" s="10" t="str">
        <f>IFERROR(VLOOKUP(C898,'Employees List'!$B$1:$G$999,4,0),"")</f>
        <v/>
      </c>
      <c r="C898" s="9"/>
      <c r="D898" s="9"/>
      <c r="E898" s="56"/>
      <c r="F898" s="56"/>
      <c r="G898" s="56"/>
      <c r="H898" s="50"/>
      <c r="I898" s="54"/>
      <c r="J898" s="54"/>
      <c r="K898" s="54"/>
      <c r="L898" s="54"/>
      <c r="M898" s="54"/>
      <c r="N898" s="54"/>
      <c r="O898" s="54"/>
      <c r="P898" s="54"/>
      <c r="Q898" s="54"/>
      <c r="R898" s="54"/>
      <c r="S898" s="54"/>
      <c r="T898" s="54"/>
      <c r="U898" s="54"/>
      <c r="V898" s="54"/>
      <c r="W898" s="54"/>
      <c r="X898" s="54"/>
      <c r="Y898" s="54"/>
      <c r="Z898" s="54"/>
      <c r="AA898" s="54"/>
      <c r="AB898" s="54"/>
    </row>
    <row r="899">
      <c r="A899" s="57"/>
      <c r="B899" s="10" t="str">
        <f>IFERROR(VLOOKUP(C899,'Employees List'!$B$1:$G$999,4,0),"")</f>
        <v/>
      </c>
      <c r="C899" s="9"/>
      <c r="D899" s="9"/>
      <c r="E899" s="56"/>
      <c r="F899" s="56"/>
      <c r="G899" s="56"/>
      <c r="H899" s="50"/>
      <c r="I899" s="54"/>
      <c r="J899" s="54"/>
      <c r="K899" s="54"/>
      <c r="L899" s="54"/>
      <c r="M899" s="54"/>
      <c r="N899" s="54"/>
      <c r="O899" s="54"/>
      <c r="P899" s="54"/>
      <c r="Q899" s="54"/>
      <c r="R899" s="54"/>
      <c r="S899" s="54"/>
      <c r="T899" s="54"/>
      <c r="U899" s="54"/>
      <c r="V899" s="54"/>
      <c r="W899" s="54"/>
      <c r="X899" s="54"/>
      <c r="Y899" s="54"/>
      <c r="Z899" s="54"/>
      <c r="AA899" s="54"/>
      <c r="AB899" s="54"/>
    </row>
    <row r="900">
      <c r="A900" s="57"/>
      <c r="B900" s="10" t="str">
        <f>IFERROR(VLOOKUP(C900,'Employees List'!$B$1:$G$999,4,0),"")</f>
        <v/>
      </c>
      <c r="C900" s="9"/>
      <c r="D900" s="9"/>
      <c r="E900" s="56"/>
      <c r="F900" s="56"/>
      <c r="G900" s="56"/>
      <c r="H900" s="50"/>
      <c r="I900" s="54"/>
      <c r="J900" s="54"/>
      <c r="K900" s="54"/>
      <c r="L900" s="54"/>
      <c r="M900" s="54"/>
      <c r="N900" s="54"/>
      <c r="O900" s="54"/>
      <c r="P900" s="54"/>
      <c r="Q900" s="54"/>
      <c r="R900" s="54"/>
      <c r="S900" s="54"/>
      <c r="T900" s="54"/>
      <c r="U900" s="54"/>
      <c r="V900" s="54"/>
      <c r="W900" s="54"/>
      <c r="X900" s="54"/>
      <c r="Y900" s="54"/>
      <c r="Z900" s="54"/>
      <c r="AA900" s="54"/>
      <c r="AB900" s="54"/>
    </row>
    <row r="901">
      <c r="A901" s="57"/>
      <c r="B901" s="10" t="str">
        <f>IFERROR(VLOOKUP(C901,'Employees List'!$B$1:$G$999,4,0),"")</f>
        <v/>
      </c>
      <c r="C901" s="9"/>
      <c r="D901" s="9"/>
      <c r="E901" s="56"/>
      <c r="F901" s="56"/>
      <c r="G901" s="56"/>
      <c r="H901" s="50"/>
      <c r="I901" s="54"/>
      <c r="J901" s="54"/>
      <c r="K901" s="54"/>
      <c r="L901" s="54"/>
      <c r="M901" s="54"/>
      <c r="N901" s="54"/>
      <c r="O901" s="54"/>
      <c r="P901" s="54"/>
      <c r="Q901" s="54"/>
      <c r="R901" s="54"/>
      <c r="S901" s="54"/>
      <c r="T901" s="54"/>
      <c r="U901" s="54"/>
      <c r="V901" s="54"/>
      <c r="W901" s="54"/>
      <c r="X901" s="54"/>
      <c r="Y901" s="54"/>
      <c r="Z901" s="54"/>
      <c r="AA901" s="54"/>
      <c r="AB901" s="54"/>
    </row>
    <row r="902">
      <c r="A902" s="57"/>
      <c r="B902" s="10" t="str">
        <f>IFERROR(VLOOKUP(C902,'Employees List'!$B$1:$G$999,4,0),"")</f>
        <v/>
      </c>
      <c r="C902" s="9"/>
      <c r="D902" s="9"/>
      <c r="E902" s="56"/>
      <c r="F902" s="56"/>
      <c r="G902" s="56"/>
      <c r="H902" s="50"/>
      <c r="I902" s="54"/>
      <c r="J902" s="54"/>
      <c r="K902" s="54"/>
      <c r="L902" s="54"/>
      <c r="M902" s="54"/>
      <c r="N902" s="54"/>
      <c r="O902" s="54"/>
      <c r="P902" s="54"/>
      <c r="Q902" s="54"/>
      <c r="R902" s="54"/>
      <c r="S902" s="54"/>
      <c r="T902" s="54"/>
      <c r="U902" s="54"/>
      <c r="V902" s="54"/>
      <c r="W902" s="54"/>
      <c r="X902" s="54"/>
      <c r="Y902" s="54"/>
      <c r="Z902" s="54"/>
      <c r="AA902" s="54"/>
      <c r="AB902" s="54"/>
    </row>
    <row r="903">
      <c r="A903" s="57"/>
      <c r="B903" s="10" t="str">
        <f>IFERROR(VLOOKUP(C903,'Employees List'!$B$1:$G$999,4,0),"")</f>
        <v/>
      </c>
      <c r="C903" s="9"/>
      <c r="D903" s="9"/>
      <c r="E903" s="56"/>
      <c r="F903" s="56"/>
      <c r="G903" s="56"/>
      <c r="H903" s="50"/>
      <c r="I903" s="54"/>
      <c r="J903" s="54"/>
      <c r="K903" s="54"/>
      <c r="L903" s="54"/>
      <c r="M903" s="54"/>
      <c r="N903" s="54"/>
      <c r="O903" s="54"/>
      <c r="P903" s="54"/>
      <c r="Q903" s="54"/>
      <c r="R903" s="54"/>
      <c r="S903" s="54"/>
      <c r="T903" s="54"/>
      <c r="U903" s="54"/>
      <c r="V903" s="54"/>
      <c r="W903" s="54"/>
      <c r="X903" s="54"/>
      <c r="Y903" s="54"/>
      <c r="Z903" s="54"/>
      <c r="AA903" s="54"/>
      <c r="AB903" s="54"/>
    </row>
    <row r="904">
      <c r="A904" s="57"/>
      <c r="B904" s="10" t="str">
        <f>IFERROR(VLOOKUP(C904,'Employees List'!$B$1:$G$999,4,0),"")</f>
        <v/>
      </c>
      <c r="C904" s="9"/>
      <c r="D904" s="9"/>
      <c r="E904" s="56"/>
      <c r="F904" s="56"/>
      <c r="G904" s="56"/>
      <c r="H904" s="50"/>
      <c r="I904" s="54"/>
      <c r="J904" s="54"/>
      <c r="K904" s="54"/>
      <c r="L904" s="54"/>
      <c r="M904" s="54"/>
      <c r="N904" s="54"/>
      <c r="O904" s="54"/>
      <c r="P904" s="54"/>
      <c r="Q904" s="54"/>
      <c r="R904" s="54"/>
      <c r="S904" s="54"/>
      <c r="T904" s="54"/>
      <c r="U904" s="54"/>
      <c r="V904" s="54"/>
      <c r="W904" s="54"/>
      <c r="X904" s="54"/>
      <c r="Y904" s="54"/>
      <c r="Z904" s="54"/>
      <c r="AA904" s="54"/>
      <c r="AB904" s="54"/>
    </row>
    <row r="905">
      <c r="A905" s="57"/>
      <c r="B905" s="10" t="str">
        <f>IFERROR(VLOOKUP(C905,'Employees List'!$B$1:$G$999,4,0),"")</f>
        <v/>
      </c>
      <c r="C905" s="9"/>
      <c r="D905" s="9"/>
      <c r="E905" s="56"/>
      <c r="F905" s="56"/>
      <c r="G905" s="56"/>
      <c r="H905" s="50"/>
      <c r="I905" s="54"/>
      <c r="J905" s="54"/>
      <c r="K905" s="54"/>
      <c r="L905" s="54"/>
      <c r="M905" s="54"/>
      <c r="N905" s="54"/>
      <c r="O905" s="54"/>
      <c r="P905" s="54"/>
      <c r="Q905" s="54"/>
      <c r="R905" s="54"/>
      <c r="S905" s="54"/>
      <c r="T905" s="54"/>
      <c r="U905" s="54"/>
      <c r="V905" s="54"/>
      <c r="W905" s="54"/>
      <c r="X905" s="54"/>
      <c r="Y905" s="54"/>
      <c r="Z905" s="54"/>
      <c r="AA905" s="54"/>
      <c r="AB905" s="54"/>
    </row>
    <row r="906">
      <c r="A906" s="57"/>
      <c r="B906" s="10" t="str">
        <f>IFERROR(VLOOKUP(C906,'Employees List'!$B$1:$G$999,4,0),"")</f>
        <v/>
      </c>
      <c r="C906" s="9"/>
      <c r="D906" s="9"/>
      <c r="E906" s="56"/>
      <c r="F906" s="56"/>
      <c r="G906" s="56"/>
      <c r="H906" s="50"/>
      <c r="I906" s="54"/>
      <c r="J906" s="54"/>
      <c r="K906" s="54"/>
      <c r="L906" s="54"/>
      <c r="M906" s="54"/>
      <c r="N906" s="54"/>
      <c r="O906" s="54"/>
      <c r="P906" s="54"/>
      <c r="Q906" s="54"/>
      <c r="R906" s="54"/>
      <c r="S906" s="54"/>
      <c r="T906" s="54"/>
      <c r="U906" s="54"/>
      <c r="V906" s="54"/>
      <c r="W906" s="54"/>
      <c r="X906" s="54"/>
      <c r="Y906" s="54"/>
      <c r="Z906" s="54"/>
      <c r="AA906" s="54"/>
      <c r="AB906" s="54"/>
    </row>
    <row r="907">
      <c r="A907" s="57"/>
      <c r="B907" s="10" t="str">
        <f>IFERROR(VLOOKUP(C907,'Employees List'!$B$1:$G$999,4,0),"")</f>
        <v/>
      </c>
      <c r="C907" s="9"/>
      <c r="D907" s="9"/>
      <c r="E907" s="56"/>
      <c r="F907" s="56"/>
      <c r="G907" s="56"/>
      <c r="H907" s="50"/>
      <c r="I907" s="54"/>
      <c r="J907" s="54"/>
      <c r="K907" s="54"/>
      <c r="L907" s="54"/>
      <c r="M907" s="54"/>
      <c r="N907" s="54"/>
      <c r="O907" s="54"/>
      <c r="P907" s="54"/>
      <c r="Q907" s="54"/>
      <c r="R907" s="54"/>
      <c r="S907" s="54"/>
      <c r="T907" s="54"/>
      <c r="U907" s="54"/>
      <c r="V907" s="54"/>
      <c r="W907" s="54"/>
      <c r="X907" s="54"/>
      <c r="Y907" s="54"/>
      <c r="Z907" s="54"/>
      <c r="AA907" s="54"/>
      <c r="AB907" s="54"/>
    </row>
    <row r="908">
      <c r="A908" s="57"/>
      <c r="B908" s="10" t="str">
        <f>IFERROR(VLOOKUP(C908,'Employees List'!$B$1:$G$999,4,0),"")</f>
        <v/>
      </c>
      <c r="C908" s="9"/>
      <c r="D908" s="9"/>
      <c r="E908" s="56"/>
      <c r="F908" s="56"/>
      <c r="G908" s="56"/>
      <c r="H908" s="50"/>
      <c r="I908" s="54"/>
      <c r="J908" s="54"/>
      <c r="K908" s="54"/>
      <c r="L908" s="54"/>
      <c r="M908" s="54"/>
      <c r="N908" s="54"/>
      <c r="O908" s="54"/>
      <c r="P908" s="54"/>
      <c r="Q908" s="54"/>
      <c r="R908" s="54"/>
      <c r="S908" s="54"/>
      <c r="T908" s="54"/>
      <c r="U908" s="54"/>
      <c r="V908" s="54"/>
      <c r="W908" s="54"/>
      <c r="X908" s="54"/>
      <c r="Y908" s="54"/>
      <c r="Z908" s="54"/>
      <c r="AA908" s="54"/>
      <c r="AB908" s="54"/>
    </row>
    <row r="909">
      <c r="A909" s="57"/>
      <c r="B909" s="10" t="str">
        <f>IFERROR(VLOOKUP(C909,'Employees List'!$B$1:$G$999,4,0),"")</f>
        <v/>
      </c>
      <c r="C909" s="9"/>
      <c r="D909" s="9"/>
      <c r="E909" s="56"/>
      <c r="F909" s="56"/>
      <c r="G909" s="56"/>
      <c r="H909" s="50"/>
      <c r="I909" s="54"/>
      <c r="J909" s="54"/>
      <c r="K909" s="54"/>
      <c r="L909" s="54"/>
      <c r="M909" s="54"/>
      <c r="N909" s="54"/>
      <c r="O909" s="54"/>
      <c r="P909" s="54"/>
      <c r="Q909" s="54"/>
      <c r="R909" s="54"/>
      <c r="S909" s="54"/>
      <c r="T909" s="54"/>
      <c r="U909" s="54"/>
      <c r="V909" s="54"/>
      <c r="W909" s="54"/>
      <c r="X909" s="54"/>
      <c r="Y909" s="54"/>
      <c r="Z909" s="54"/>
      <c r="AA909" s="54"/>
      <c r="AB909" s="54"/>
    </row>
    <row r="910">
      <c r="A910" s="57"/>
      <c r="B910" s="10" t="str">
        <f>IFERROR(VLOOKUP(C910,'Employees List'!$B$1:$G$999,4,0),"")</f>
        <v/>
      </c>
      <c r="C910" s="9"/>
      <c r="D910" s="9"/>
      <c r="E910" s="56"/>
      <c r="F910" s="56"/>
      <c r="G910" s="56"/>
      <c r="H910" s="50"/>
      <c r="I910" s="54"/>
      <c r="J910" s="54"/>
      <c r="K910" s="54"/>
      <c r="L910" s="54"/>
      <c r="M910" s="54"/>
      <c r="N910" s="54"/>
      <c r="O910" s="54"/>
      <c r="P910" s="54"/>
      <c r="Q910" s="54"/>
      <c r="R910" s="54"/>
      <c r="S910" s="54"/>
      <c r="T910" s="54"/>
      <c r="U910" s="54"/>
      <c r="V910" s="54"/>
      <c r="W910" s="54"/>
      <c r="X910" s="54"/>
      <c r="Y910" s="54"/>
      <c r="Z910" s="54"/>
      <c r="AA910" s="54"/>
      <c r="AB910" s="54"/>
    </row>
    <row r="911">
      <c r="A911" s="57"/>
      <c r="B911" s="10" t="str">
        <f>IFERROR(VLOOKUP(C911,'Employees List'!$B$1:$G$999,4,0),"")</f>
        <v/>
      </c>
      <c r="C911" s="9"/>
      <c r="D911" s="9"/>
      <c r="E911" s="56"/>
      <c r="F911" s="56"/>
      <c r="G911" s="56"/>
      <c r="H911" s="50"/>
      <c r="I911" s="54"/>
      <c r="J911" s="54"/>
      <c r="K911" s="54"/>
      <c r="L911" s="54"/>
      <c r="M911" s="54"/>
      <c r="N911" s="54"/>
      <c r="O911" s="54"/>
      <c r="P911" s="54"/>
      <c r="Q911" s="54"/>
      <c r="R911" s="54"/>
      <c r="S911" s="54"/>
      <c r="T911" s="54"/>
      <c r="U911" s="54"/>
      <c r="V911" s="54"/>
      <c r="W911" s="54"/>
      <c r="X911" s="54"/>
      <c r="Y911" s="54"/>
      <c r="Z911" s="54"/>
      <c r="AA911" s="54"/>
      <c r="AB911" s="54"/>
    </row>
    <row r="912">
      <c r="A912" s="57"/>
      <c r="B912" s="10" t="str">
        <f>IFERROR(VLOOKUP(C912,'Employees List'!$B$1:$G$999,4,0),"")</f>
        <v/>
      </c>
      <c r="C912" s="9"/>
      <c r="D912" s="9"/>
      <c r="E912" s="56"/>
      <c r="F912" s="56"/>
      <c r="G912" s="56"/>
      <c r="H912" s="50"/>
      <c r="I912" s="54"/>
      <c r="J912" s="54"/>
      <c r="K912" s="54"/>
      <c r="L912" s="54"/>
      <c r="M912" s="54"/>
      <c r="N912" s="54"/>
      <c r="O912" s="54"/>
      <c r="P912" s="54"/>
      <c r="Q912" s="54"/>
      <c r="R912" s="54"/>
      <c r="S912" s="54"/>
      <c r="T912" s="54"/>
      <c r="U912" s="54"/>
      <c r="V912" s="54"/>
      <c r="W912" s="54"/>
      <c r="X912" s="54"/>
      <c r="Y912" s="54"/>
      <c r="Z912" s="54"/>
      <c r="AA912" s="54"/>
      <c r="AB912" s="54"/>
    </row>
    <row r="913">
      <c r="A913" s="57"/>
      <c r="B913" s="10" t="str">
        <f>IFERROR(VLOOKUP(C913,'Employees List'!$B$1:$G$999,4,0),"")</f>
        <v/>
      </c>
      <c r="C913" s="9"/>
      <c r="D913" s="9"/>
      <c r="E913" s="56"/>
      <c r="F913" s="56"/>
      <c r="G913" s="56"/>
      <c r="H913" s="50"/>
      <c r="I913" s="54"/>
      <c r="J913" s="54"/>
      <c r="K913" s="54"/>
      <c r="L913" s="54"/>
      <c r="M913" s="54"/>
      <c r="N913" s="54"/>
      <c r="O913" s="54"/>
      <c r="P913" s="54"/>
      <c r="Q913" s="54"/>
      <c r="R913" s="54"/>
      <c r="S913" s="54"/>
      <c r="T913" s="54"/>
      <c r="U913" s="54"/>
      <c r="V913" s="54"/>
      <c r="W913" s="54"/>
      <c r="X913" s="54"/>
      <c r="Y913" s="54"/>
      <c r="Z913" s="54"/>
      <c r="AA913" s="54"/>
      <c r="AB913" s="54"/>
    </row>
    <row r="914">
      <c r="A914" s="57"/>
      <c r="B914" s="10" t="str">
        <f>IFERROR(VLOOKUP(C914,'Employees List'!$B$1:$G$999,4,0),"")</f>
        <v/>
      </c>
      <c r="C914" s="9"/>
      <c r="D914" s="9"/>
      <c r="E914" s="56"/>
      <c r="F914" s="56"/>
      <c r="G914" s="56"/>
      <c r="H914" s="50"/>
      <c r="I914" s="54"/>
      <c r="J914" s="54"/>
      <c r="K914" s="54"/>
      <c r="L914" s="54"/>
      <c r="M914" s="54"/>
      <c r="N914" s="54"/>
      <c r="O914" s="54"/>
      <c r="P914" s="54"/>
      <c r="Q914" s="54"/>
      <c r="R914" s="54"/>
      <c r="S914" s="54"/>
      <c r="T914" s="54"/>
      <c r="U914" s="54"/>
      <c r="V914" s="54"/>
      <c r="W914" s="54"/>
      <c r="X914" s="54"/>
      <c r="Y914" s="54"/>
      <c r="Z914" s="54"/>
      <c r="AA914" s="54"/>
      <c r="AB914" s="54"/>
    </row>
    <row r="915">
      <c r="A915" s="57"/>
      <c r="B915" s="10" t="str">
        <f>IFERROR(VLOOKUP(C915,'Employees List'!$B$1:$G$999,4,0),"")</f>
        <v/>
      </c>
      <c r="C915" s="9"/>
      <c r="D915" s="9"/>
      <c r="E915" s="56"/>
      <c r="F915" s="56"/>
      <c r="G915" s="56"/>
      <c r="H915" s="50"/>
      <c r="I915" s="54"/>
      <c r="J915" s="54"/>
      <c r="K915" s="54"/>
      <c r="L915" s="54"/>
      <c r="M915" s="54"/>
      <c r="N915" s="54"/>
      <c r="O915" s="54"/>
      <c r="P915" s="54"/>
      <c r="Q915" s="54"/>
      <c r="R915" s="54"/>
      <c r="S915" s="54"/>
      <c r="T915" s="54"/>
      <c r="U915" s="54"/>
      <c r="V915" s="54"/>
      <c r="W915" s="54"/>
      <c r="X915" s="54"/>
      <c r="Y915" s="54"/>
      <c r="Z915" s="54"/>
      <c r="AA915" s="54"/>
      <c r="AB915" s="54"/>
    </row>
    <row r="916">
      <c r="A916" s="57"/>
      <c r="B916" s="10" t="str">
        <f>IFERROR(VLOOKUP(C916,'Employees List'!$B$1:$G$999,4,0),"")</f>
        <v/>
      </c>
      <c r="C916" s="9"/>
      <c r="D916" s="9"/>
      <c r="E916" s="56"/>
      <c r="F916" s="56"/>
      <c r="G916" s="56"/>
      <c r="H916" s="50"/>
      <c r="I916" s="54"/>
      <c r="J916" s="54"/>
      <c r="K916" s="54"/>
      <c r="L916" s="54"/>
      <c r="M916" s="54"/>
      <c r="N916" s="54"/>
      <c r="O916" s="54"/>
      <c r="P916" s="54"/>
      <c r="Q916" s="54"/>
      <c r="R916" s="54"/>
      <c r="S916" s="54"/>
      <c r="T916" s="54"/>
      <c r="U916" s="54"/>
      <c r="V916" s="54"/>
      <c r="W916" s="54"/>
      <c r="X916" s="54"/>
      <c r="Y916" s="54"/>
      <c r="Z916" s="54"/>
      <c r="AA916" s="54"/>
      <c r="AB916" s="54"/>
    </row>
    <row r="917">
      <c r="A917" s="57"/>
      <c r="B917" s="10" t="str">
        <f>IFERROR(VLOOKUP(C917,'Employees List'!$B$1:$G$999,4,0),"")</f>
        <v/>
      </c>
      <c r="C917" s="9"/>
      <c r="D917" s="9"/>
      <c r="E917" s="56"/>
      <c r="F917" s="56"/>
      <c r="G917" s="56"/>
      <c r="H917" s="50"/>
      <c r="I917" s="54"/>
      <c r="J917" s="54"/>
      <c r="K917" s="54"/>
      <c r="L917" s="54"/>
      <c r="M917" s="54"/>
      <c r="N917" s="54"/>
      <c r="O917" s="54"/>
      <c r="P917" s="54"/>
      <c r="Q917" s="54"/>
      <c r="R917" s="54"/>
      <c r="S917" s="54"/>
      <c r="T917" s="54"/>
      <c r="U917" s="54"/>
      <c r="V917" s="54"/>
      <c r="W917" s="54"/>
      <c r="X917" s="54"/>
      <c r="Y917" s="54"/>
      <c r="Z917" s="54"/>
      <c r="AA917" s="54"/>
      <c r="AB917" s="54"/>
    </row>
    <row r="918">
      <c r="A918" s="57"/>
      <c r="B918" s="10" t="str">
        <f>IFERROR(VLOOKUP(C918,'Employees List'!$B$1:$G$999,4,0),"")</f>
        <v/>
      </c>
      <c r="C918" s="9"/>
      <c r="D918" s="9"/>
      <c r="E918" s="56"/>
      <c r="F918" s="56"/>
      <c r="G918" s="56"/>
      <c r="H918" s="50"/>
      <c r="I918" s="54"/>
      <c r="J918" s="54"/>
      <c r="K918" s="54"/>
      <c r="L918" s="54"/>
      <c r="M918" s="54"/>
      <c r="N918" s="54"/>
      <c r="O918" s="54"/>
      <c r="P918" s="54"/>
      <c r="Q918" s="54"/>
      <c r="R918" s="54"/>
      <c r="S918" s="54"/>
      <c r="T918" s="54"/>
      <c r="U918" s="54"/>
      <c r="V918" s="54"/>
      <c r="W918" s="54"/>
      <c r="X918" s="54"/>
      <c r="Y918" s="54"/>
      <c r="Z918" s="54"/>
      <c r="AA918" s="54"/>
      <c r="AB918" s="54"/>
    </row>
    <row r="919">
      <c r="A919" s="57"/>
      <c r="B919" s="10" t="str">
        <f>IFERROR(VLOOKUP(C919,'Employees List'!$B$1:$G$999,4,0),"")</f>
        <v/>
      </c>
      <c r="C919" s="9"/>
      <c r="D919" s="9"/>
      <c r="E919" s="56"/>
      <c r="F919" s="56"/>
      <c r="G919" s="56"/>
      <c r="H919" s="50"/>
      <c r="I919" s="54"/>
      <c r="J919" s="54"/>
      <c r="K919" s="54"/>
      <c r="L919" s="54"/>
      <c r="M919" s="54"/>
      <c r="N919" s="54"/>
      <c r="O919" s="54"/>
      <c r="P919" s="54"/>
      <c r="Q919" s="54"/>
      <c r="R919" s="54"/>
      <c r="S919" s="54"/>
      <c r="T919" s="54"/>
      <c r="U919" s="54"/>
      <c r="V919" s="54"/>
      <c r="W919" s="54"/>
      <c r="X919" s="54"/>
      <c r="Y919" s="54"/>
      <c r="Z919" s="54"/>
      <c r="AA919" s="54"/>
      <c r="AB919" s="54"/>
    </row>
    <row r="920">
      <c r="A920" s="57"/>
      <c r="B920" s="10" t="str">
        <f>IFERROR(VLOOKUP(C920,'Employees List'!$B$1:$G$999,4,0),"")</f>
        <v/>
      </c>
      <c r="C920" s="9"/>
      <c r="D920" s="9"/>
      <c r="E920" s="56"/>
      <c r="F920" s="56"/>
      <c r="G920" s="56"/>
      <c r="H920" s="50"/>
      <c r="I920" s="54"/>
      <c r="J920" s="54"/>
      <c r="K920" s="54"/>
      <c r="L920" s="54"/>
      <c r="M920" s="54"/>
      <c r="N920" s="54"/>
      <c r="O920" s="54"/>
      <c r="P920" s="54"/>
      <c r="Q920" s="54"/>
      <c r="R920" s="54"/>
      <c r="S920" s="54"/>
      <c r="T920" s="54"/>
      <c r="U920" s="54"/>
      <c r="V920" s="54"/>
      <c r="W920" s="54"/>
      <c r="X920" s="54"/>
      <c r="Y920" s="54"/>
      <c r="Z920" s="54"/>
      <c r="AA920" s="54"/>
      <c r="AB920" s="54"/>
    </row>
    <row r="921">
      <c r="A921" s="57"/>
      <c r="B921" s="10" t="str">
        <f>IFERROR(VLOOKUP(C921,'Employees List'!$B$1:$G$999,4,0),"")</f>
        <v/>
      </c>
      <c r="C921" s="9"/>
      <c r="D921" s="9"/>
      <c r="E921" s="56"/>
      <c r="F921" s="56"/>
      <c r="G921" s="56"/>
      <c r="H921" s="50"/>
      <c r="I921" s="54"/>
      <c r="J921" s="54"/>
      <c r="K921" s="54"/>
      <c r="L921" s="54"/>
      <c r="M921" s="54"/>
      <c r="N921" s="54"/>
      <c r="O921" s="54"/>
      <c r="P921" s="54"/>
      <c r="Q921" s="54"/>
      <c r="R921" s="54"/>
      <c r="S921" s="54"/>
      <c r="T921" s="54"/>
      <c r="U921" s="54"/>
      <c r="V921" s="54"/>
      <c r="W921" s="54"/>
      <c r="X921" s="54"/>
      <c r="Y921" s="54"/>
      <c r="Z921" s="54"/>
      <c r="AA921" s="54"/>
      <c r="AB921" s="54"/>
    </row>
    <row r="922">
      <c r="A922" s="57"/>
      <c r="B922" s="10" t="str">
        <f>IFERROR(VLOOKUP(C922,'Employees List'!$B$1:$G$999,4,0),"")</f>
        <v/>
      </c>
      <c r="C922" s="9"/>
      <c r="D922" s="9"/>
      <c r="E922" s="56"/>
      <c r="F922" s="56"/>
      <c r="G922" s="56"/>
      <c r="H922" s="50"/>
      <c r="I922" s="54"/>
      <c r="J922" s="54"/>
      <c r="K922" s="54"/>
      <c r="L922" s="54"/>
      <c r="M922" s="54"/>
      <c r="N922" s="54"/>
      <c r="O922" s="54"/>
      <c r="P922" s="54"/>
      <c r="Q922" s="54"/>
      <c r="R922" s="54"/>
      <c r="S922" s="54"/>
      <c r="T922" s="54"/>
      <c r="U922" s="54"/>
      <c r="V922" s="54"/>
      <c r="W922" s="54"/>
      <c r="X922" s="54"/>
      <c r="Y922" s="54"/>
      <c r="Z922" s="54"/>
      <c r="AA922" s="54"/>
      <c r="AB922" s="54"/>
    </row>
    <row r="923">
      <c r="A923" s="57"/>
      <c r="B923" s="10" t="str">
        <f>IFERROR(VLOOKUP(C923,'Employees List'!$B$1:$G$999,4,0),"")</f>
        <v/>
      </c>
      <c r="C923" s="9"/>
      <c r="D923" s="9"/>
      <c r="E923" s="56"/>
      <c r="F923" s="56"/>
      <c r="G923" s="56"/>
      <c r="H923" s="50"/>
      <c r="I923" s="54"/>
      <c r="J923" s="54"/>
      <c r="K923" s="54"/>
      <c r="L923" s="54"/>
      <c r="M923" s="54"/>
      <c r="N923" s="54"/>
      <c r="O923" s="54"/>
      <c r="P923" s="54"/>
      <c r="Q923" s="54"/>
      <c r="R923" s="54"/>
      <c r="S923" s="54"/>
      <c r="T923" s="54"/>
      <c r="U923" s="54"/>
      <c r="V923" s="54"/>
      <c r="W923" s="54"/>
      <c r="X923" s="54"/>
      <c r="Y923" s="54"/>
      <c r="Z923" s="54"/>
      <c r="AA923" s="54"/>
      <c r="AB923" s="54"/>
    </row>
    <row r="924">
      <c r="A924" s="57"/>
      <c r="B924" s="10" t="str">
        <f>IFERROR(VLOOKUP(C924,'Employees List'!$B$1:$G$999,4,0),"")</f>
        <v/>
      </c>
      <c r="C924" s="9"/>
      <c r="D924" s="9"/>
      <c r="E924" s="56"/>
      <c r="F924" s="56"/>
      <c r="G924" s="56"/>
      <c r="H924" s="50"/>
      <c r="I924" s="54"/>
      <c r="J924" s="54"/>
      <c r="K924" s="54"/>
      <c r="L924" s="54"/>
      <c r="M924" s="54"/>
      <c r="N924" s="54"/>
      <c r="O924" s="54"/>
      <c r="P924" s="54"/>
      <c r="Q924" s="54"/>
      <c r="R924" s="54"/>
      <c r="S924" s="54"/>
      <c r="T924" s="54"/>
      <c r="U924" s="54"/>
      <c r="V924" s="54"/>
      <c r="W924" s="54"/>
      <c r="X924" s="54"/>
      <c r="Y924" s="54"/>
      <c r="Z924" s="54"/>
      <c r="AA924" s="54"/>
      <c r="AB924" s="54"/>
    </row>
    <row r="925">
      <c r="A925" s="57"/>
      <c r="B925" s="10" t="str">
        <f>IFERROR(VLOOKUP(C925,'Employees List'!$B$1:$G$999,4,0),"")</f>
        <v/>
      </c>
      <c r="C925" s="9"/>
      <c r="D925" s="9"/>
      <c r="E925" s="56"/>
      <c r="F925" s="56"/>
      <c r="G925" s="56"/>
      <c r="H925" s="50"/>
      <c r="I925" s="54"/>
      <c r="J925" s="54"/>
      <c r="K925" s="54"/>
      <c r="L925" s="54"/>
      <c r="M925" s="54"/>
      <c r="N925" s="54"/>
      <c r="O925" s="54"/>
      <c r="P925" s="54"/>
      <c r="Q925" s="54"/>
      <c r="R925" s="54"/>
      <c r="S925" s="54"/>
      <c r="T925" s="54"/>
      <c r="U925" s="54"/>
      <c r="V925" s="54"/>
      <c r="W925" s="54"/>
      <c r="X925" s="54"/>
      <c r="Y925" s="54"/>
      <c r="Z925" s="54"/>
      <c r="AA925" s="54"/>
      <c r="AB925" s="54"/>
    </row>
    <row r="926">
      <c r="A926" s="57"/>
      <c r="B926" s="10" t="str">
        <f>IFERROR(VLOOKUP(C926,'Employees List'!$B$1:$G$999,4,0),"")</f>
        <v/>
      </c>
      <c r="C926" s="9"/>
      <c r="D926" s="9"/>
      <c r="E926" s="56"/>
      <c r="F926" s="56"/>
      <c r="G926" s="56"/>
      <c r="H926" s="50"/>
      <c r="I926" s="54"/>
      <c r="J926" s="54"/>
      <c r="K926" s="54"/>
      <c r="L926" s="54"/>
      <c r="M926" s="54"/>
      <c r="N926" s="54"/>
      <c r="O926" s="54"/>
      <c r="P926" s="54"/>
      <c r="Q926" s="54"/>
      <c r="R926" s="54"/>
      <c r="S926" s="54"/>
      <c r="T926" s="54"/>
      <c r="U926" s="54"/>
      <c r="V926" s="54"/>
      <c r="W926" s="54"/>
      <c r="X926" s="54"/>
      <c r="Y926" s="54"/>
      <c r="Z926" s="54"/>
      <c r="AA926" s="54"/>
      <c r="AB926" s="54"/>
    </row>
    <row r="927">
      <c r="A927" s="57"/>
      <c r="B927" s="10" t="str">
        <f>IFERROR(VLOOKUP(C927,'Employees List'!$B$1:$G$999,4,0),"")</f>
        <v/>
      </c>
      <c r="C927" s="9"/>
      <c r="D927" s="9"/>
      <c r="E927" s="56"/>
      <c r="F927" s="56"/>
      <c r="G927" s="56"/>
      <c r="H927" s="50"/>
      <c r="I927" s="54"/>
      <c r="J927" s="54"/>
      <c r="K927" s="54"/>
      <c r="L927" s="54"/>
      <c r="M927" s="54"/>
      <c r="N927" s="54"/>
      <c r="O927" s="54"/>
      <c r="P927" s="54"/>
      <c r="Q927" s="54"/>
      <c r="R927" s="54"/>
      <c r="S927" s="54"/>
      <c r="T927" s="54"/>
      <c r="U927" s="54"/>
      <c r="V927" s="54"/>
      <c r="W927" s="54"/>
      <c r="X927" s="54"/>
      <c r="Y927" s="54"/>
      <c r="Z927" s="54"/>
      <c r="AA927" s="54"/>
      <c r="AB927" s="54"/>
    </row>
    <row r="928">
      <c r="A928" s="57"/>
      <c r="B928" s="10" t="str">
        <f>IFERROR(VLOOKUP(C928,'Employees List'!$B$1:$G$999,4,0),"")</f>
        <v/>
      </c>
      <c r="C928" s="9"/>
      <c r="D928" s="9"/>
      <c r="E928" s="56"/>
      <c r="F928" s="56"/>
      <c r="G928" s="56"/>
      <c r="H928" s="50"/>
      <c r="I928" s="54"/>
      <c r="J928" s="54"/>
      <c r="K928" s="54"/>
      <c r="L928" s="54"/>
      <c r="M928" s="54"/>
      <c r="N928" s="54"/>
      <c r="O928" s="54"/>
      <c r="P928" s="54"/>
      <c r="Q928" s="54"/>
      <c r="R928" s="54"/>
      <c r="S928" s="54"/>
      <c r="T928" s="54"/>
      <c r="U928" s="54"/>
      <c r="V928" s="54"/>
      <c r="W928" s="54"/>
      <c r="X928" s="54"/>
      <c r="Y928" s="54"/>
      <c r="Z928" s="54"/>
      <c r="AA928" s="54"/>
      <c r="AB928" s="54"/>
    </row>
    <row r="929">
      <c r="A929" s="57"/>
      <c r="B929" s="10" t="str">
        <f>IFERROR(VLOOKUP(C929,'Employees List'!$B$1:$G$999,4,0),"")</f>
        <v/>
      </c>
      <c r="C929" s="9"/>
      <c r="D929" s="9"/>
      <c r="E929" s="56"/>
      <c r="F929" s="56"/>
      <c r="G929" s="56"/>
      <c r="H929" s="50"/>
      <c r="I929" s="54"/>
      <c r="J929" s="54"/>
      <c r="K929" s="54"/>
      <c r="L929" s="54"/>
      <c r="M929" s="54"/>
      <c r="N929" s="54"/>
      <c r="O929" s="54"/>
      <c r="P929" s="54"/>
      <c r="Q929" s="54"/>
      <c r="R929" s="54"/>
      <c r="S929" s="54"/>
      <c r="T929" s="54"/>
      <c r="U929" s="54"/>
      <c r="V929" s="54"/>
      <c r="W929" s="54"/>
      <c r="X929" s="54"/>
      <c r="Y929" s="54"/>
      <c r="Z929" s="54"/>
      <c r="AA929" s="54"/>
      <c r="AB929" s="54"/>
    </row>
    <row r="930">
      <c r="A930" s="57"/>
      <c r="B930" s="10" t="str">
        <f>IFERROR(VLOOKUP(C930,'Employees List'!$B$1:$G$999,4,0),"")</f>
        <v/>
      </c>
      <c r="C930" s="9"/>
      <c r="D930" s="9"/>
      <c r="E930" s="56"/>
      <c r="F930" s="56"/>
      <c r="G930" s="56"/>
      <c r="H930" s="50"/>
      <c r="I930" s="54"/>
      <c r="J930" s="54"/>
      <c r="K930" s="54"/>
      <c r="L930" s="54"/>
      <c r="M930" s="54"/>
      <c r="N930" s="54"/>
      <c r="O930" s="54"/>
      <c r="P930" s="54"/>
      <c r="Q930" s="54"/>
      <c r="R930" s="54"/>
      <c r="S930" s="54"/>
      <c r="T930" s="54"/>
      <c r="U930" s="54"/>
      <c r="V930" s="54"/>
      <c r="W930" s="54"/>
      <c r="X930" s="54"/>
      <c r="Y930" s="54"/>
      <c r="Z930" s="54"/>
      <c r="AA930" s="54"/>
      <c r="AB930" s="54"/>
    </row>
    <row r="931">
      <c r="A931" s="57"/>
      <c r="B931" s="10" t="str">
        <f>IFERROR(VLOOKUP(C931,'Employees List'!$B$1:$G$999,4,0),"")</f>
        <v/>
      </c>
      <c r="C931" s="9"/>
      <c r="D931" s="9"/>
      <c r="E931" s="56"/>
      <c r="F931" s="56"/>
      <c r="G931" s="56"/>
      <c r="H931" s="50"/>
      <c r="I931" s="54"/>
      <c r="J931" s="54"/>
      <c r="K931" s="54"/>
      <c r="L931" s="54"/>
      <c r="M931" s="54"/>
      <c r="N931" s="54"/>
      <c r="O931" s="54"/>
      <c r="P931" s="54"/>
      <c r="Q931" s="54"/>
      <c r="R931" s="54"/>
      <c r="S931" s="54"/>
      <c r="T931" s="54"/>
      <c r="U931" s="54"/>
      <c r="V931" s="54"/>
      <c r="W931" s="54"/>
      <c r="X931" s="54"/>
      <c r="Y931" s="54"/>
      <c r="Z931" s="54"/>
      <c r="AA931" s="54"/>
      <c r="AB931" s="54"/>
    </row>
    <row r="932">
      <c r="A932" s="57"/>
      <c r="B932" s="10" t="str">
        <f>IFERROR(VLOOKUP(C932,'Employees List'!$B$1:$G$999,4,0),"")</f>
        <v/>
      </c>
      <c r="C932" s="9"/>
      <c r="D932" s="9"/>
      <c r="E932" s="56"/>
      <c r="F932" s="56"/>
      <c r="G932" s="56"/>
      <c r="H932" s="50"/>
      <c r="I932" s="54"/>
      <c r="J932" s="54"/>
      <c r="K932" s="54"/>
      <c r="L932" s="54"/>
      <c r="M932" s="54"/>
      <c r="N932" s="54"/>
      <c r="O932" s="54"/>
      <c r="P932" s="54"/>
      <c r="Q932" s="54"/>
      <c r="R932" s="54"/>
      <c r="S932" s="54"/>
      <c r="T932" s="54"/>
      <c r="U932" s="54"/>
      <c r="V932" s="54"/>
      <c r="W932" s="54"/>
      <c r="X932" s="54"/>
      <c r="Y932" s="54"/>
      <c r="Z932" s="54"/>
      <c r="AA932" s="54"/>
      <c r="AB932" s="54"/>
    </row>
    <row r="933">
      <c r="A933" s="57"/>
      <c r="B933" s="10" t="str">
        <f>IFERROR(VLOOKUP(C933,'Employees List'!$B$1:$G$999,4,0),"")</f>
        <v/>
      </c>
      <c r="C933" s="9"/>
      <c r="D933" s="9"/>
      <c r="E933" s="56"/>
      <c r="F933" s="56"/>
      <c r="G933" s="56"/>
      <c r="H933" s="50"/>
      <c r="I933" s="54"/>
      <c r="J933" s="54"/>
      <c r="K933" s="54"/>
      <c r="L933" s="54"/>
      <c r="M933" s="54"/>
      <c r="N933" s="54"/>
      <c r="O933" s="54"/>
      <c r="P933" s="54"/>
      <c r="Q933" s="54"/>
      <c r="R933" s="54"/>
      <c r="S933" s="54"/>
      <c r="T933" s="54"/>
      <c r="U933" s="54"/>
      <c r="V933" s="54"/>
      <c r="W933" s="54"/>
      <c r="X933" s="54"/>
      <c r="Y933" s="54"/>
      <c r="Z933" s="54"/>
      <c r="AA933" s="54"/>
      <c r="AB933" s="54"/>
    </row>
    <row r="934">
      <c r="A934" s="57"/>
      <c r="B934" s="10" t="str">
        <f>IFERROR(VLOOKUP(C934,'Employees List'!$B$1:$G$999,4,0),"")</f>
        <v/>
      </c>
      <c r="C934" s="9"/>
      <c r="D934" s="9"/>
      <c r="E934" s="56"/>
      <c r="F934" s="56"/>
      <c r="G934" s="56"/>
      <c r="H934" s="50"/>
      <c r="I934" s="54"/>
      <c r="J934" s="54"/>
      <c r="K934" s="54"/>
      <c r="L934" s="54"/>
      <c r="M934" s="54"/>
      <c r="N934" s="54"/>
      <c r="O934" s="54"/>
      <c r="P934" s="54"/>
      <c r="Q934" s="54"/>
      <c r="R934" s="54"/>
      <c r="S934" s="54"/>
      <c r="T934" s="54"/>
      <c r="U934" s="54"/>
      <c r="V934" s="54"/>
      <c r="W934" s="54"/>
      <c r="X934" s="54"/>
      <c r="Y934" s="54"/>
      <c r="Z934" s="54"/>
      <c r="AA934" s="54"/>
      <c r="AB934" s="54"/>
    </row>
    <row r="935">
      <c r="A935" s="57"/>
      <c r="B935" s="10" t="str">
        <f>IFERROR(VLOOKUP(C935,'Employees List'!$B$1:$G$999,4,0),"")</f>
        <v/>
      </c>
      <c r="C935" s="9"/>
      <c r="D935" s="9"/>
      <c r="E935" s="56"/>
      <c r="F935" s="56"/>
      <c r="G935" s="56"/>
      <c r="H935" s="50"/>
      <c r="I935" s="54"/>
      <c r="J935" s="54"/>
      <c r="K935" s="54"/>
      <c r="L935" s="54"/>
      <c r="M935" s="54"/>
      <c r="N935" s="54"/>
      <c r="O935" s="54"/>
      <c r="P935" s="54"/>
      <c r="Q935" s="54"/>
      <c r="R935" s="54"/>
      <c r="S935" s="54"/>
      <c r="T935" s="54"/>
      <c r="U935" s="54"/>
      <c r="V935" s="54"/>
      <c r="W935" s="54"/>
      <c r="X935" s="54"/>
      <c r="Y935" s="54"/>
      <c r="Z935" s="54"/>
      <c r="AA935" s="54"/>
      <c r="AB935" s="54"/>
    </row>
    <row r="936">
      <c r="A936" s="57"/>
      <c r="B936" s="10" t="str">
        <f>IFERROR(VLOOKUP(C936,'Employees List'!$B$1:$G$999,4,0),"")</f>
        <v/>
      </c>
      <c r="C936" s="9"/>
      <c r="D936" s="9"/>
      <c r="E936" s="56"/>
      <c r="F936" s="56"/>
      <c r="G936" s="56"/>
      <c r="H936" s="50"/>
      <c r="I936" s="54"/>
      <c r="J936" s="54"/>
      <c r="K936" s="54"/>
      <c r="L936" s="54"/>
      <c r="M936" s="54"/>
      <c r="N936" s="54"/>
      <c r="O936" s="54"/>
      <c r="P936" s="54"/>
      <c r="Q936" s="54"/>
      <c r="R936" s="54"/>
      <c r="S936" s="54"/>
      <c r="T936" s="54"/>
      <c r="U936" s="54"/>
      <c r="V936" s="54"/>
      <c r="W936" s="54"/>
      <c r="X936" s="54"/>
      <c r="Y936" s="54"/>
      <c r="Z936" s="54"/>
      <c r="AA936" s="54"/>
      <c r="AB936" s="54"/>
    </row>
    <row r="937">
      <c r="A937" s="57"/>
      <c r="B937" s="10" t="str">
        <f>IFERROR(VLOOKUP(C937,'Employees List'!$B$1:$G$999,4,0),"")</f>
        <v/>
      </c>
      <c r="C937" s="9"/>
      <c r="D937" s="9"/>
      <c r="E937" s="56"/>
      <c r="F937" s="56"/>
      <c r="G937" s="56"/>
      <c r="H937" s="50"/>
      <c r="I937" s="54"/>
      <c r="J937" s="54"/>
      <c r="K937" s="54"/>
      <c r="L937" s="54"/>
      <c r="M937" s="54"/>
      <c r="N937" s="54"/>
      <c r="O937" s="54"/>
      <c r="P937" s="54"/>
      <c r="Q937" s="54"/>
      <c r="R937" s="54"/>
      <c r="S937" s="54"/>
      <c r="T937" s="54"/>
      <c r="U937" s="54"/>
      <c r="V937" s="54"/>
      <c r="W937" s="54"/>
      <c r="X937" s="54"/>
      <c r="Y937" s="54"/>
      <c r="Z937" s="54"/>
      <c r="AA937" s="54"/>
      <c r="AB937" s="54"/>
    </row>
    <row r="938">
      <c r="A938" s="57"/>
      <c r="B938" s="10" t="str">
        <f>IFERROR(VLOOKUP(C938,'Employees List'!$B$1:$G$999,4,0),"")</f>
        <v/>
      </c>
      <c r="C938" s="9"/>
      <c r="D938" s="9"/>
      <c r="E938" s="56"/>
      <c r="F938" s="56"/>
      <c r="G938" s="56"/>
      <c r="H938" s="50"/>
      <c r="I938" s="54"/>
      <c r="J938" s="54"/>
      <c r="K938" s="54"/>
      <c r="L938" s="54"/>
      <c r="M938" s="54"/>
      <c r="N938" s="54"/>
      <c r="O938" s="54"/>
      <c r="P938" s="54"/>
      <c r="Q938" s="54"/>
      <c r="R938" s="54"/>
      <c r="S938" s="54"/>
      <c r="T938" s="54"/>
      <c r="U938" s="54"/>
      <c r="V938" s="54"/>
      <c r="W938" s="54"/>
      <c r="X938" s="54"/>
      <c r="Y938" s="54"/>
      <c r="Z938" s="54"/>
      <c r="AA938" s="54"/>
      <c r="AB938" s="54"/>
    </row>
    <row r="939">
      <c r="A939" s="57"/>
      <c r="B939" s="10" t="str">
        <f>IFERROR(VLOOKUP(C939,'Employees List'!$B$1:$G$999,4,0),"")</f>
        <v/>
      </c>
      <c r="C939" s="9"/>
      <c r="D939" s="9"/>
      <c r="E939" s="56"/>
      <c r="F939" s="56"/>
      <c r="G939" s="56"/>
      <c r="H939" s="50"/>
      <c r="I939" s="54"/>
      <c r="J939" s="54"/>
      <c r="K939" s="54"/>
      <c r="L939" s="54"/>
      <c r="M939" s="54"/>
      <c r="N939" s="54"/>
      <c r="O939" s="54"/>
      <c r="P939" s="54"/>
      <c r="Q939" s="54"/>
      <c r="R939" s="54"/>
      <c r="S939" s="54"/>
      <c r="T939" s="54"/>
      <c r="U939" s="54"/>
      <c r="V939" s="54"/>
      <c r="W939" s="54"/>
      <c r="X939" s="54"/>
      <c r="Y939" s="54"/>
      <c r="Z939" s="54"/>
      <c r="AA939" s="54"/>
      <c r="AB939" s="54"/>
    </row>
    <row r="940">
      <c r="A940" s="57"/>
      <c r="B940" s="10" t="str">
        <f>IFERROR(VLOOKUP(C940,'Employees List'!$B$1:$G$999,4,0),"")</f>
        <v/>
      </c>
      <c r="C940" s="9"/>
      <c r="D940" s="9"/>
      <c r="E940" s="56"/>
      <c r="F940" s="56"/>
      <c r="G940" s="56"/>
      <c r="H940" s="50"/>
      <c r="I940" s="54"/>
      <c r="J940" s="54"/>
      <c r="K940" s="54"/>
      <c r="L940" s="54"/>
      <c r="M940" s="54"/>
      <c r="N940" s="54"/>
      <c r="O940" s="54"/>
      <c r="P940" s="54"/>
      <c r="Q940" s="54"/>
      <c r="R940" s="54"/>
      <c r="S940" s="54"/>
      <c r="T940" s="54"/>
      <c r="U940" s="54"/>
      <c r="V940" s="54"/>
      <c r="W940" s="54"/>
      <c r="X940" s="54"/>
      <c r="Y940" s="54"/>
      <c r="Z940" s="54"/>
      <c r="AA940" s="54"/>
      <c r="AB940" s="54"/>
    </row>
    <row r="941">
      <c r="A941" s="57"/>
      <c r="B941" s="10" t="str">
        <f>IFERROR(VLOOKUP(C941,'Employees List'!$B$1:$G$999,4,0),"")</f>
        <v/>
      </c>
      <c r="C941" s="9"/>
      <c r="D941" s="9"/>
      <c r="E941" s="56"/>
      <c r="F941" s="56"/>
      <c r="G941" s="56"/>
      <c r="H941" s="50"/>
      <c r="I941" s="54"/>
      <c r="J941" s="54"/>
      <c r="K941" s="54"/>
      <c r="L941" s="54"/>
      <c r="M941" s="54"/>
      <c r="N941" s="54"/>
      <c r="O941" s="54"/>
      <c r="P941" s="54"/>
      <c r="Q941" s="54"/>
      <c r="R941" s="54"/>
      <c r="S941" s="54"/>
      <c r="T941" s="54"/>
      <c r="U941" s="54"/>
      <c r="V941" s="54"/>
      <c r="W941" s="54"/>
      <c r="X941" s="54"/>
      <c r="Y941" s="54"/>
      <c r="Z941" s="54"/>
      <c r="AA941" s="54"/>
      <c r="AB941" s="54"/>
    </row>
    <row r="942">
      <c r="A942" s="57"/>
      <c r="B942" s="10" t="str">
        <f>IFERROR(VLOOKUP(C942,'Employees List'!$B$1:$G$999,4,0),"")</f>
        <v/>
      </c>
      <c r="C942" s="9"/>
      <c r="D942" s="9"/>
      <c r="E942" s="56"/>
      <c r="F942" s="56"/>
      <c r="G942" s="56"/>
      <c r="H942" s="50"/>
      <c r="I942" s="54"/>
      <c r="J942" s="54"/>
      <c r="K942" s="54"/>
      <c r="L942" s="54"/>
      <c r="M942" s="54"/>
      <c r="N942" s="54"/>
      <c r="O942" s="54"/>
      <c r="P942" s="54"/>
      <c r="Q942" s="54"/>
      <c r="R942" s="54"/>
      <c r="S942" s="54"/>
      <c r="T942" s="54"/>
      <c r="U942" s="54"/>
      <c r="V942" s="54"/>
      <c r="W942" s="54"/>
      <c r="X942" s="54"/>
      <c r="Y942" s="54"/>
      <c r="Z942" s="54"/>
      <c r="AA942" s="54"/>
      <c r="AB942" s="54"/>
    </row>
    <row r="943">
      <c r="A943" s="57"/>
      <c r="B943" s="10" t="str">
        <f>IFERROR(VLOOKUP(C943,'Employees List'!$B$1:$G$999,4,0),"")</f>
        <v/>
      </c>
      <c r="C943" s="9"/>
      <c r="D943" s="9"/>
      <c r="E943" s="56"/>
      <c r="F943" s="56"/>
      <c r="G943" s="56"/>
      <c r="H943" s="50"/>
      <c r="I943" s="54"/>
      <c r="J943" s="54"/>
      <c r="K943" s="54"/>
      <c r="L943" s="54"/>
      <c r="M943" s="54"/>
      <c r="N943" s="54"/>
      <c r="O943" s="54"/>
      <c r="P943" s="54"/>
      <c r="Q943" s="54"/>
      <c r="R943" s="54"/>
      <c r="S943" s="54"/>
      <c r="T943" s="54"/>
      <c r="U943" s="54"/>
      <c r="V943" s="54"/>
      <c r="W943" s="54"/>
      <c r="X943" s="54"/>
      <c r="Y943" s="54"/>
      <c r="Z943" s="54"/>
      <c r="AA943" s="54"/>
      <c r="AB943" s="54"/>
    </row>
    <row r="944">
      <c r="A944" s="57"/>
      <c r="B944" s="10" t="str">
        <f>IFERROR(VLOOKUP(C944,'Employees List'!$B$1:$G$999,4,0),"")</f>
        <v/>
      </c>
      <c r="C944" s="9"/>
      <c r="D944" s="9"/>
      <c r="E944" s="56"/>
      <c r="F944" s="56"/>
      <c r="G944" s="56"/>
      <c r="H944" s="50"/>
      <c r="I944" s="54"/>
      <c r="J944" s="54"/>
      <c r="K944" s="54"/>
      <c r="L944" s="54"/>
      <c r="M944" s="54"/>
      <c r="N944" s="54"/>
      <c r="O944" s="54"/>
      <c r="P944" s="54"/>
      <c r="Q944" s="54"/>
      <c r="R944" s="54"/>
      <c r="S944" s="54"/>
      <c r="T944" s="54"/>
      <c r="U944" s="54"/>
      <c r="V944" s="54"/>
      <c r="W944" s="54"/>
      <c r="X944" s="54"/>
      <c r="Y944" s="54"/>
      <c r="Z944" s="54"/>
      <c r="AA944" s="54"/>
      <c r="AB944" s="54"/>
    </row>
    <row r="945">
      <c r="A945" s="57"/>
      <c r="B945" s="10" t="str">
        <f>IFERROR(VLOOKUP(C945,'Employees List'!$B$1:$G$999,4,0),"")</f>
        <v/>
      </c>
      <c r="C945" s="9"/>
      <c r="D945" s="9"/>
      <c r="E945" s="56"/>
      <c r="F945" s="56"/>
      <c r="G945" s="56"/>
      <c r="H945" s="50"/>
      <c r="I945" s="54"/>
      <c r="J945" s="54"/>
      <c r="K945" s="54"/>
      <c r="L945" s="54"/>
      <c r="M945" s="54"/>
      <c r="N945" s="54"/>
      <c r="O945" s="54"/>
      <c r="P945" s="54"/>
      <c r="Q945" s="54"/>
      <c r="R945" s="54"/>
      <c r="S945" s="54"/>
      <c r="T945" s="54"/>
      <c r="U945" s="54"/>
      <c r="V945" s="54"/>
      <c r="W945" s="54"/>
      <c r="X945" s="54"/>
      <c r="Y945" s="54"/>
      <c r="Z945" s="54"/>
      <c r="AA945" s="54"/>
      <c r="AB945" s="54"/>
    </row>
    <row r="946">
      <c r="A946" s="57"/>
      <c r="B946" s="10" t="str">
        <f>IFERROR(VLOOKUP(C946,'Employees List'!$B$1:$G$999,4,0),"")</f>
        <v/>
      </c>
      <c r="C946" s="9"/>
      <c r="D946" s="9"/>
      <c r="E946" s="56"/>
      <c r="F946" s="56"/>
      <c r="G946" s="56"/>
      <c r="H946" s="50"/>
      <c r="I946" s="54"/>
      <c r="J946" s="54"/>
      <c r="K946" s="54"/>
      <c r="L946" s="54"/>
      <c r="M946" s="54"/>
      <c r="N946" s="54"/>
      <c r="O946" s="54"/>
      <c r="P946" s="54"/>
      <c r="Q946" s="54"/>
      <c r="R946" s="54"/>
      <c r="S946" s="54"/>
      <c r="T946" s="54"/>
      <c r="U946" s="54"/>
      <c r="V946" s="54"/>
      <c r="W946" s="54"/>
      <c r="X946" s="54"/>
      <c r="Y946" s="54"/>
      <c r="Z946" s="54"/>
      <c r="AA946" s="54"/>
      <c r="AB946" s="54"/>
    </row>
    <row r="947">
      <c r="A947" s="57"/>
      <c r="B947" s="10" t="str">
        <f>IFERROR(VLOOKUP(C947,'Employees List'!$B$1:$G$999,4,0),"")</f>
        <v/>
      </c>
      <c r="C947" s="9"/>
      <c r="D947" s="9"/>
      <c r="E947" s="56"/>
      <c r="F947" s="56"/>
      <c r="G947" s="56"/>
      <c r="H947" s="50"/>
      <c r="I947" s="54"/>
      <c r="J947" s="54"/>
      <c r="K947" s="54"/>
      <c r="L947" s="54"/>
      <c r="M947" s="54"/>
      <c r="N947" s="54"/>
      <c r="O947" s="54"/>
      <c r="P947" s="54"/>
      <c r="Q947" s="54"/>
      <c r="R947" s="54"/>
      <c r="S947" s="54"/>
      <c r="T947" s="54"/>
      <c r="U947" s="54"/>
      <c r="V947" s="54"/>
      <c r="W947" s="54"/>
      <c r="X947" s="54"/>
      <c r="Y947" s="54"/>
      <c r="Z947" s="54"/>
      <c r="AA947" s="54"/>
      <c r="AB947" s="54"/>
    </row>
    <row r="948">
      <c r="A948" s="57"/>
      <c r="B948" s="10" t="str">
        <f>IFERROR(VLOOKUP(C948,'Employees List'!$B$1:$G$999,4,0),"")</f>
        <v/>
      </c>
      <c r="C948" s="9"/>
      <c r="D948" s="9"/>
      <c r="E948" s="56"/>
      <c r="F948" s="56"/>
      <c r="G948" s="56"/>
      <c r="H948" s="50"/>
      <c r="I948" s="54"/>
      <c r="J948" s="54"/>
      <c r="K948" s="54"/>
      <c r="L948" s="54"/>
      <c r="M948" s="54"/>
      <c r="N948" s="54"/>
      <c r="O948" s="54"/>
      <c r="P948" s="54"/>
      <c r="Q948" s="54"/>
      <c r="R948" s="54"/>
      <c r="S948" s="54"/>
      <c r="T948" s="54"/>
      <c r="U948" s="54"/>
      <c r="V948" s="54"/>
      <c r="W948" s="54"/>
      <c r="X948" s="54"/>
      <c r="Y948" s="54"/>
      <c r="Z948" s="54"/>
      <c r="AA948" s="54"/>
      <c r="AB948" s="54"/>
    </row>
    <row r="949">
      <c r="A949" s="57"/>
      <c r="B949" s="10" t="str">
        <f>IFERROR(VLOOKUP(C949,'Employees List'!$B$1:$G$999,4,0),"")</f>
        <v/>
      </c>
      <c r="C949" s="9"/>
      <c r="D949" s="9"/>
      <c r="E949" s="56"/>
      <c r="F949" s="56"/>
      <c r="G949" s="56"/>
      <c r="H949" s="50"/>
      <c r="I949" s="54"/>
      <c r="J949" s="54"/>
      <c r="K949" s="54"/>
      <c r="L949" s="54"/>
      <c r="M949" s="54"/>
      <c r="N949" s="54"/>
      <c r="O949" s="54"/>
      <c r="P949" s="54"/>
      <c r="Q949" s="54"/>
      <c r="R949" s="54"/>
      <c r="S949" s="54"/>
      <c r="T949" s="54"/>
      <c r="U949" s="54"/>
      <c r="V949" s="54"/>
      <c r="W949" s="54"/>
      <c r="X949" s="54"/>
      <c r="Y949" s="54"/>
      <c r="Z949" s="54"/>
      <c r="AA949" s="54"/>
      <c r="AB949" s="54"/>
    </row>
    <row r="950">
      <c r="A950" s="57"/>
      <c r="B950" s="10" t="str">
        <f>IFERROR(VLOOKUP(C950,'Employees List'!$B$1:$G$999,4,0),"")</f>
        <v/>
      </c>
      <c r="C950" s="9"/>
      <c r="D950" s="9"/>
      <c r="E950" s="56"/>
      <c r="F950" s="56"/>
      <c r="G950" s="56"/>
      <c r="H950" s="50"/>
      <c r="I950" s="54"/>
      <c r="J950" s="54"/>
      <c r="K950" s="54"/>
      <c r="L950" s="54"/>
      <c r="M950" s="54"/>
      <c r="N950" s="54"/>
      <c r="O950" s="54"/>
      <c r="P950" s="54"/>
      <c r="Q950" s="54"/>
      <c r="R950" s="54"/>
      <c r="S950" s="54"/>
      <c r="T950" s="54"/>
      <c r="U950" s="54"/>
      <c r="V950" s="54"/>
      <c r="W950" s="54"/>
      <c r="X950" s="54"/>
      <c r="Y950" s="54"/>
      <c r="Z950" s="54"/>
      <c r="AA950" s="54"/>
      <c r="AB950" s="54"/>
    </row>
    <row r="951">
      <c r="A951" s="57"/>
      <c r="B951" s="10" t="str">
        <f>IFERROR(VLOOKUP(C951,'Employees List'!$B$1:$G$999,4,0),"")</f>
        <v/>
      </c>
      <c r="C951" s="9"/>
      <c r="D951" s="9"/>
      <c r="E951" s="56"/>
      <c r="F951" s="56"/>
      <c r="G951" s="56"/>
      <c r="H951" s="50"/>
      <c r="I951" s="54"/>
      <c r="J951" s="54"/>
      <c r="K951" s="54"/>
      <c r="L951" s="54"/>
      <c r="M951" s="54"/>
      <c r="N951" s="54"/>
      <c r="O951" s="54"/>
      <c r="P951" s="54"/>
      <c r="Q951" s="54"/>
      <c r="R951" s="54"/>
      <c r="S951" s="54"/>
      <c r="T951" s="54"/>
      <c r="U951" s="54"/>
      <c r="V951" s="54"/>
      <c r="W951" s="54"/>
      <c r="X951" s="54"/>
      <c r="Y951" s="54"/>
      <c r="Z951" s="54"/>
      <c r="AA951" s="54"/>
      <c r="AB951" s="54"/>
    </row>
    <row r="952">
      <c r="A952" s="57"/>
      <c r="B952" s="10" t="str">
        <f>IFERROR(VLOOKUP(C952,'Employees List'!$B$1:$G$999,4,0),"")</f>
        <v/>
      </c>
      <c r="C952" s="9"/>
      <c r="D952" s="9"/>
      <c r="E952" s="56"/>
      <c r="F952" s="56"/>
      <c r="G952" s="56"/>
      <c r="H952" s="50"/>
      <c r="I952" s="54"/>
      <c r="J952" s="54"/>
      <c r="K952" s="54"/>
      <c r="L952" s="54"/>
      <c r="M952" s="54"/>
      <c r="N952" s="54"/>
      <c r="O952" s="54"/>
      <c r="P952" s="54"/>
      <c r="Q952" s="54"/>
      <c r="R952" s="54"/>
      <c r="S952" s="54"/>
      <c r="T952" s="54"/>
      <c r="U952" s="54"/>
      <c r="V952" s="54"/>
      <c r="W952" s="54"/>
      <c r="X952" s="54"/>
      <c r="Y952" s="54"/>
      <c r="Z952" s="54"/>
      <c r="AA952" s="54"/>
      <c r="AB952" s="54"/>
    </row>
    <row r="953">
      <c r="A953" s="57"/>
      <c r="B953" s="10" t="str">
        <f>IFERROR(VLOOKUP(C953,'Employees List'!$B$1:$G$999,4,0),"")</f>
        <v/>
      </c>
      <c r="C953" s="9"/>
      <c r="D953" s="9"/>
      <c r="E953" s="56"/>
      <c r="F953" s="56"/>
      <c r="G953" s="56"/>
      <c r="H953" s="50"/>
      <c r="I953" s="54"/>
      <c r="J953" s="54"/>
      <c r="K953" s="54"/>
      <c r="L953" s="54"/>
      <c r="M953" s="54"/>
      <c r="N953" s="54"/>
      <c r="O953" s="54"/>
      <c r="P953" s="54"/>
      <c r="Q953" s="54"/>
      <c r="R953" s="54"/>
      <c r="S953" s="54"/>
      <c r="T953" s="54"/>
      <c r="U953" s="54"/>
      <c r="V953" s="54"/>
      <c r="W953" s="54"/>
      <c r="X953" s="54"/>
      <c r="Y953" s="54"/>
      <c r="Z953" s="54"/>
      <c r="AA953" s="54"/>
      <c r="AB953" s="54"/>
    </row>
    <row r="954">
      <c r="A954" s="57"/>
      <c r="B954" s="10" t="str">
        <f>IFERROR(VLOOKUP(C954,'Employees List'!$B$1:$G$999,4,0),"")</f>
        <v/>
      </c>
      <c r="C954" s="9"/>
      <c r="D954" s="9"/>
      <c r="E954" s="56"/>
      <c r="F954" s="56"/>
      <c r="G954" s="56"/>
      <c r="H954" s="50"/>
      <c r="I954" s="54"/>
      <c r="J954" s="54"/>
      <c r="K954" s="54"/>
      <c r="L954" s="54"/>
      <c r="M954" s="54"/>
      <c r="N954" s="54"/>
      <c r="O954" s="54"/>
      <c r="P954" s="54"/>
      <c r="Q954" s="54"/>
      <c r="R954" s="54"/>
      <c r="S954" s="54"/>
      <c r="T954" s="54"/>
      <c r="U954" s="54"/>
      <c r="V954" s="54"/>
      <c r="W954" s="54"/>
      <c r="X954" s="54"/>
      <c r="Y954" s="54"/>
      <c r="Z954" s="54"/>
      <c r="AA954" s="54"/>
      <c r="AB954" s="54"/>
    </row>
    <row r="955">
      <c r="A955" s="57"/>
      <c r="B955" s="10" t="str">
        <f>IFERROR(VLOOKUP(C955,'Employees List'!$B$1:$G$999,4,0),"")</f>
        <v/>
      </c>
      <c r="C955" s="9"/>
      <c r="D955" s="9"/>
      <c r="E955" s="56"/>
      <c r="F955" s="56"/>
      <c r="G955" s="56"/>
      <c r="H955" s="50"/>
      <c r="I955" s="54"/>
      <c r="J955" s="54"/>
      <c r="K955" s="54"/>
      <c r="L955" s="54"/>
      <c r="M955" s="54"/>
      <c r="N955" s="54"/>
      <c r="O955" s="54"/>
      <c r="P955" s="54"/>
      <c r="Q955" s="54"/>
      <c r="R955" s="54"/>
      <c r="S955" s="54"/>
      <c r="T955" s="54"/>
      <c r="U955" s="54"/>
      <c r="V955" s="54"/>
      <c r="W955" s="54"/>
      <c r="X955" s="54"/>
      <c r="Y955" s="54"/>
      <c r="Z955" s="54"/>
      <c r="AA955" s="54"/>
      <c r="AB955" s="54"/>
    </row>
    <row r="956">
      <c r="A956" s="57"/>
      <c r="B956" s="10" t="str">
        <f>IFERROR(VLOOKUP(C956,'Employees List'!$B$1:$G$999,4,0),"")</f>
        <v/>
      </c>
      <c r="C956" s="9"/>
      <c r="D956" s="9"/>
      <c r="E956" s="56"/>
      <c r="F956" s="56"/>
      <c r="G956" s="56"/>
      <c r="H956" s="50"/>
      <c r="I956" s="54"/>
      <c r="J956" s="54"/>
      <c r="K956" s="54"/>
      <c r="L956" s="54"/>
      <c r="M956" s="54"/>
      <c r="N956" s="54"/>
      <c r="O956" s="54"/>
      <c r="P956" s="54"/>
      <c r="Q956" s="54"/>
      <c r="R956" s="54"/>
      <c r="S956" s="54"/>
      <c r="T956" s="54"/>
      <c r="U956" s="54"/>
      <c r="V956" s="54"/>
      <c r="W956" s="54"/>
      <c r="X956" s="54"/>
      <c r="Y956" s="54"/>
      <c r="Z956" s="54"/>
      <c r="AA956" s="54"/>
      <c r="AB956" s="54"/>
    </row>
    <row r="957">
      <c r="A957" s="57"/>
      <c r="B957" s="10" t="str">
        <f>IFERROR(VLOOKUP(C957,'Employees List'!$B$1:$G$999,4,0),"")</f>
        <v/>
      </c>
      <c r="C957" s="9"/>
      <c r="D957" s="9"/>
      <c r="E957" s="56"/>
      <c r="F957" s="56"/>
      <c r="G957" s="56"/>
      <c r="H957" s="50"/>
      <c r="I957" s="54"/>
      <c r="J957" s="54"/>
      <c r="K957" s="54"/>
      <c r="L957" s="54"/>
      <c r="M957" s="54"/>
      <c r="N957" s="54"/>
      <c r="O957" s="54"/>
      <c r="P957" s="54"/>
      <c r="Q957" s="54"/>
      <c r="R957" s="54"/>
      <c r="S957" s="54"/>
      <c r="T957" s="54"/>
      <c r="U957" s="54"/>
      <c r="V957" s="54"/>
      <c r="W957" s="54"/>
      <c r="X957" s="54"/>
      <c r="Y957" s="54"/>
      <c r="Z957" s="54"/>
      <c r="AA957" s="54"/>
      <c r="AB957" s="54"/>
    </row>
    <row r="958">
      <c r="A958" s="57"/>
      <c r="B958" s="10" t="str">
        <f>IFERROR(VLOOKUP(C958,'Employees List'!$B$1:$G$999,4,0),"")</f>
        <v/>
      </c>
      <c r="C958" s="9"/>
      <c r="D958" s="9"/>
      <c r="E958" s="56"/>
      <c r="F958" s="56"/>
      <c r="G958" s="56"/>
      <c r="H958" s="50"/>
      <c r="I958" s="54"/>
      <c r="J958" s="54"/>
      <c r="K958" s="54"/>
      <c r="L958" s="54"/>
      <c r="M958" s="54"/>
      <c r="N958" s="54"/>
      <c r="O958" s="54"/>
      <c r="P958" s="54"/>
      <c r="Q958" s="54"/>
      <c r="R958" s="54"/>
      <c r="S958" s="54"/>
      <c r="T958" s="54"/>
      <c r="U958" s="54"/>
      <c r="V958" s="54"/>
      <c r="W958" s="54"/>
      <c r="X958" s="54"/>
      <c r="Y958" s="54"/>
      <c r="Z958" s="54"/>
      <c r="AA958" s="54"/>
      <c r="AB958" s="54"/>
    </row>
    <row r="959">
      <c r="A959" s="57"/>
      <c r="B959" s="10" t="str">
        <f>IFERROR(VLOOKUP(C959,'Employees List'!$B$1:$G$999,4,0),"")</f>
        <v/>
      </c>
      <c r="C959" s="9"/>
      <c r="D959" s="9"/>
      <c r="E959" s="56"/>
      <c r="F959" s="56"/>
      <c r="G959" s="56"/>
      <c r="H959" s="50"/>
      <c r="I959" s="54"/>
      <c r="J959" s="54"/>
      <c r="K959" s="54"/>
      <c r="L959" s="54"/>
      <c r="M959" s="54"/>
      <c r="N959" s="54"/>
      <c r="O959" s="54"/>
      <c r="P959" s="54"/>
      <c r="Q959" s="54"/>
      <c r="R959" s="54"/>
      <c r="S959" s="54"/>
      <c r="T959" s="54"/>
      <c r="U959" s="54"/>
      <c r="V959" s="54"/>
      <c r="W959" s="54"/>
      <c r="X959" s="54"/>
      <c r="Y959" s="54"/>
      <c r="Z959" s="54"/>
      <c r="AA959" s="54"/>
      <c r="AB959" s="54"/>
    </row>
    <row r="960">
      <c r="A960" s="57"/>
      <c r="B960" s="10" t="str">
        <f>IFERROR(VLOOKUP(C960,'Employees List'!$B$1:$G$999,4,0),"")</f>
        <v/>
      </c>
      <c r="C960" s="9"/>
      <c r="D960" s="9"/>
      <c r="E960" s="56"/>
      <c r="F960" s="56"/>
      <c r="G960" s="56"/>
      <c r="H960" s="50"/>
      <c r="I960" s="54"/>
      <c r="J960" s="54"/>
      <c r="K960" s="54"/>
      <c r="L960" s="54"/>
      <c r="M960" s="54"/>
      <c r="N960" s="54"/>
      <c r="O960" s="54"/>
      <c r="P960" s="54"/>
      <c r="Q960" s="54"/>
      <c r="R960" s="54"/>
      <c r="S960" s="54"/>
      <c r="T960" s="54"/>
      <c r="U960" s="54"/>
      <c r="V960" s="54"/>
      <c r="W960" s="54"/>
      <c r="X960" s="54"/>
      <c r="Y960" s="54"/>
      <c r="Z960" s="54"/>
      <c r="AA960" s="54"/>
      <c r="AB960" s="54"/>
    </row>
    <row r="961">
      <c r="A961" s="57"/>
      <c r="B961" s="10" t="str">
        <f>IFERROR(VLOOKUP(C961,'Employees List'!$B$1:$G$999,4,0),"")</f>
        <v/>
      </c>
      <c r="C961" s="9"/>
      <c r="D961" s="9"/>
      <c r="E961" s="56"/>
      <c r="F961" s="56"/>
      <c r="G961" s="56"/>
      <c r="H961" s="50"/>
      <c r="I961" s="54"/>
      <c r="J961" s="54"/>
      <c r="K961" s="54"/>
      <c r="L961" s="54"/>
      <c r="M961" s="54"/>
      <c r="N961" s="54"/>
      <c r="O961" s="54"/>
      <c r="P961" s="54"/>
      <c r="Q961" s="54"/>
      <c r="R961" s="54"/>
      <c r="S961" s="54"/>
      <c r="T961" s="54"/>
      <c r="U961" s="54"/>
      <c r="V961" s="54"/>
      <c r="W961" s="54"/>
      <c r="X961" s="54"/>
      <c r="Y961" s="54"/>
      <c r="Z961" s="54"/>
      <c r="AA961" s="54"/>
      <c r="AB961" s="54"/>
    </row>
    <row r="962">
      <c r="A962" s="57"/>
      <c r="B962" s="10" t="str">
        <f>IFERROR(VLOOKUP(C962,'Employees List'!$B$1:$G$999,4,0),"")</f>
        <v/>
      </c>
      <c r="C962" s="9"/>
      <c r="D962" s="9"/>
      <c r="E962" s="56"/>
      <c r="F962" s="56"/>
      <c r="G962" s="56"/>
      <c r="H962" s="50"/>
      <c r="I962" s="54"/>
      <c r="J962" s="54"/>
      <c r="K962" s="54"/>
      <c r="L962" s="54"/>
      <c r="M962" s="54"/>
      <c r="N962" s="54"/>
      <c r="O962" s="54"/>
      <c r="P962" s="54"/>
      <c r="Q962" s="54"/>
      <c r="R962" s="54"/>
      <c r="S962" s="54"/>
      <c r="T962" s="54"/>
      <c r="U962" s="54"/>
      <c r="V962" s="54"/>
      <c r="W962" s="54"/>
      <c r="X962" s="54"/>
      <c r="Y962" s="54"/>
      <c r="Z962" s="54"/>
      <c r="AA962" s="54"/>
      <c r="AB962" s="54"/>
    </row>
    <row r="963">
      <c r="A963" s="57"/>
      <c r="B963" s="10" t="str">
        <f>IFERROR(VLOOKUP(C963,'Employees List'!$B$1:$G$999,4,0),"")</f>
        <v/>
      </c>
      <c r="C963" s="9"/>
      <c r="D963" s="9"/>
      <c r="E963" s="56"/>
      <c r="F963" s="56"/>
      <c r="G963" s="56"/>
      <c r="H963" s="50"/>
      <c r="I963" s="54"/>
      <c r="J963" s="54"/>
      <c r="K963" s="54"/>
      <c r="L963" s="54"/>
      <c r="M963" s="54"/>
      <c r="N963" s="54"/>
      <c r="O963" s="54"/>
      <c r="P963" s="54"/>
      <c r="Q963" s="54"/>
      <c r="R963" s="54"/>
      <c r="S963" s="54"/>
      <c r="T963" s="54"/>
      <c r="U963" s="54"/>
      <c r="V963" s="54"/>
      <c r="W963" s="54"/>
      <c r="X963" s="54"/>
      <c r="Y963" s="54"/>
      <c r="Z963" s="54"/>
      <c r="AA963" s="54"/>
      <c r="AB963" s="54"/>
    </row>
    <row r="964">
      <c r="A964" s="57"/>
      <c r="B964" s="10" t="str">
        <f>IFERROR(VLOOKUP(C964,'Employees List'!$B$1:$G$999,4,0),"")</f>
        <v/>
      </c>
      <c r="C964" s="9"/>
      <c r="D964" s="9"/>
      <c r="E964" s="56"/>
      <c r="F964" s="56"/>
      <c r="G964" s="56"/>
      <c r="H964" s="50"/>
      <c r="I964" s="54"/>
      <c r="J964" s="54"/>
      <c r="K964" s="54"/>
      <c r="L964" s="54"/>
      <c r="M964" s="54"/>
      <c r="N964" s="54"/>
      <c r="O964" s="54"/>
      <c r="P964" s="54"/>
      <c r="Q964" s="54"/>
      <c r="R964" s="54"/>
      <c r="S964" s="54"/>
      <c r="T964" s="54"/>
      <c r="U964" s="54"/>
      <c r="V964" s="54"/>
      <c r="W964" s="54"/>
      <c r="X964" s="54"/>
      <c r="Y964" s="54"/>
      <c r="Z964" s="54"/>
      <c r="AA964" s="54"/>
      <c r="AB964" s="54"/>
    </row>
    <row r="965">
      <c r="A965" s="57"/>
      <c r="B965" s="10" t="str">
        <f>IFERROR(VLOOKUP(C965,'Employees List'!$B$1:$G$999,4,0),"")</f>
        <v/>
      </c>
      <c r="C965" s="9"/>
      <c r="D965" s="9"/>
      <c r="E965" s="56"/>
      <c r="F965" s="56"/>
      <c r="G965" s="56"/>
      <c r="H965" s="50"/>
      <c r="I965" s="54"/>
      <c r="J965" s="54"/>
      <c r="K965" s="54"/>
      <c r="L965" s="54"/>
      <c r="M965" s="54"/>
      <c r="N965" s="54"/>
      <c r="O965" s="54"/>
      <c r="P965" s="54"/>
      <c r="Q965" s="54"/>
      <c r="R965" s="54"/>
      <c r="S965" s="54"/>
      <c r="T965" s="54"/>
      <c r="U965" s="54"/>
      <c r="V965" s="54"/>
      <c r="W965" s="54"/>
      <c r="X965" s="54"/>
      <c r="Y965" s="54"/>
      <c r="Z965" s="54"/>
      <c r="AA965" s="54"/>
      <c r="AB965" s="54"/>
    </row>
    <row r="966">
      <c r="A966" s="57"/>
      <c r="B966" s="10" t="str">
        <f>IFERROR(VLOOKUP(C966,'Employees List'!$B$1:$G$999,4,0),"")</f>
        <v/>
      </c>
      <c r="C966" s="9"/>
      <c r="D966" s="9"/>
      <c r="E966" s="56"/>
      <c r="F966" s="56"/>
      <c r="G966" s="56"/>
      <c r="H966" s="50"/>
      <c r="I966" s="54"/>
      <c r="J966" s="54"/>
      <c r="K966" s="54"/>
      <c r="L966" s="54"/>
      <c r="M966" s="54"/>
      <c r="N966" s="54"/>
      <c r="O966" s="54"/>
      <c r="P966" s="54"/>
      <c r="Q966" s="54"/>
      <c r="R966" s="54"/>
      <c r="S966" s="54"/>
      <c r="T966" s="54"/>
      <c r="U966" s="54"/>
      <c r="V966" s="54"/>
      <c r="W966" s="54"/>
      <c r="X966" s="54"/>
      <c r="Y966" s="54"/>
      <c r="Z966" s="54"/>
      <c r="AA966" s="54"/>
      <c r="AB966" s="54"/>
    </row>
    <row r="967">
      <c r="A967" s="57"/>
      <c r="B967" s="10" t="str">
        <f>IFERROR(VLOOKUP(C967,'Employees List'!$B$1:$G$999,4,0),"")</f>
        <v/>
      </c>
      <c r="C967" s="9"/>
      <c r="D967" s="9"/>
      <c r="E967" s="56"/>
      <c r="F967" s="56"/>
      <c r="G967" s="56"/>
      <c r="H967" s="50"/>
      <c r="I967" s="54"/>
      <c r="J967" s="54"/>
      <c r="K967" s="54"/>
      <c r="L967" s="54"/>
      <c r="M967" s="54"/>
      <c r="N967" s="54"/>
      <c r="O967" s="54"/>
      <c r="P967" s="54"/>
      <c r="Q967" s="54"/>
      <c r="R967" s="54"/>
      <c r="S967" s="54"/>
      <c r="T967" s="54"/>
      <c r="U967" s="54"/>
      <c r="V967" s="54"/>
      <c r="W967" s="54"/>
      <c r="X967" s="54"/>
      <c r="Y967" s="54"/>
      <c r="Z967" s="54"/>
      <c r="AA967" s="54"/>
      <c r="AB967" s="54"/>
    </row>
    <row r="968">
      <c r="A968" s="57"/>
      <c r="B968" s="10" t="str">
        <f>IFERROR(VLOOKUP(C968,'Employees List'!$B$1:$G$999,4,0),"")</f>
        <v/>
      </c>
      <c r="C968" s="9"/>
      <c r="D968" s="9"/>
      <c r="E968" s="56"/>
      <c r="F968" s="56"/>
      <c r="G968" s="56"/>
      <c r="H968" s="50"/>
      <c r="I968" s="54"/>
      <c r="J968" s="54"/>
      <c r="K968" s="54"/>
      <c r="L968" s="54"/>
      <c r="M968" s="54"/>
      <c r="N968" s="54"/>
      <c r="O968" s="54"/>
      <c r="P968" s="54"/>
      <c r="Q968" s="54"/>
      <c r="R968" s="54"/>
      <c r="S968" s="54"/>
      <c r="T968" s="54"/>
      <c r="U968" s="54"/>
      <c r="V968" s="54"/>
      <c r="W968" s="54"/>
      <c r="X968" s="54"/>
      <c r="Y968" s="54"/>
      <c r="Z968" s="54"/>
      <c r="AA968" s="54"/>
      <c r="AB968" s="54"/>
    </row>
    <row r="969">
      <c r="A969" s="57"/>
      <c r="B969" s="10" t="str">
        <f>IFERROR(VLOOKUP(C969,'Employees List'!$B$1:$G$999,4,0),"")</f>
        <v/>
      </c>
      <c r="C969" s="9"/>
      <c r="D969" s="9"/>
      <c r="E969" s="56"/>
      <c r="F969" s="56"/>
      <c r="G969" s="56"/>
      <c r="H969" s="50"/>
      <c r="I969" s="54"/>
      <c r="J969" s="54"/>
      <c r="K969" s="54"/>
      <c r="L969" s="54"/>
      <c r="M969" s="54"/>
      <c r="N969" s="54"/>
      <c r="O969" s="54"/>
      <c r="P969" s="54"/>
      <c r="Q969" s="54"/>
      <c r="R969" s="54"/>
      <c r="S969" s="54"/>
      <c r="T969" s="54"/>
      <c r="U969" s="54"/>
      <c r="V969" s="54"/>
      <c r="W969" s="54"/>
      <c r="X969" s="54"/>
      <c r="Y969" s="54"/>
      <c r="Z969" s="54"/>
      <c r="AA969" s="54"/>
      <c r="AB969" s="54"/>
    </row>
    <row r="970">
      <c r="A970" s="57"/>
      <c r="B970" s="10" t="str">
        <f>IFERROR(VLOOKUP(C970,'Employees List'!$B$1:$G$999,4,0),"")</f>
        <v/>
      </c>
      <c r="C970" s="9"/>
      <c r="D970" s="9"/>
      <c r="E970" s="56"/>
      <c r="F970" s="56"/>
      <c r="G970" s="56"/>
      <c r="H970" s="50"/>
      <c r="I970" s="54"/>
      <c r="J970" s="54"/>
      <c r="K970" s="54"/>
      <c r="L970" s="54"/>
      <c r="M970" s="54"/>
      <c r="N970" s="54"/>
      <c r="O970" s="54"/>
      <c r="P970" s="54"/>
      <c r="Q970" s="54"/>
      <c r="R970" s="54"/>
      <c r="S970" s="54"/>
      <c r="T970" s="54"/>
      <c r="U970" s="54"/>
      <c r="V970" s="54"/>
      <c r="W970" s="54"/>
      <c r="X970" s="54"/>
      <c r="Y970" s="54"/>
      <c r="Z970" s="54"/>
      <c r="AA970" s="54"/>
      <c r="AB970" s="54"/>
    </row>
    <row r="971">
      <c r="A971" s="57"/>
      <c r="B971" s="10" t="str">
        <f>IFERROR(VLOOKUP(C971,'Employees List'!$B$1:$G$999,4,0),"")</f>
        <v/>
      </c>
      <c r="C971" s="9"/>
      <c r="D971" s="9"/>
      <c r="E971" s="56"/>
      <c r="F971" s="56"/>
      <c r="G971" s="56"/>
      <c r="H971" s="50"/>
      <c r="I971" s="54"/>
      <c r="J971" s="54"/>
      <c r="K971" s="54"/>
      <c r="L971" s="54"/>
      <c r="M971" s="54"/>
      <c r="N971" s="54"/>
      <c r="O971" s="54"/>
      <c r="P971" s="54"/>
      <c r="Q971" s="54"/>
      <c r="R971" s="54"/>
      <c r="S971" s="54"/>
      <c r="T971" s="54"/>
      <c r="U971" s="54"/>
      <c r="V971" s="54"/>
      <c r="W971" s="54"/>
      <c r="X971" s="54"/>
      <c r="Y971" s="54"/>
      <c r="Z971" s="54"/>
      <c r="AA971" s="54"/>
      <c r="AB971" s="54"/>
    </row>
    <row r="972">
      <c r="A972" s="57"/>
      <c r="B972" s="10" t="str">
        <f>IFERROR(VLOOKUP(C972,'Employees List'!$B$1:$G$999,4,0),"")</f>
        <v/>
      </c>
      <c r="C972" s="9"/>
      <c r="D972" s="9"/>
      <c r="E972" s="56"/>
      <c r="F972" s="56"/>
      <c r="G972" s="56"/>
      <c r="H972" s="50"/>
      <c r="I972" s="54"/>
      <c r="J972" s="54"/>
      <c r="K972" s="54"/>
      <c r="L972" s="54"/>
      <c r="M972" s="54"/>
      <c r="N972" s="54"/>
      <c r="O972" s="54"/>
      <c r="P972" s="54"/>
      <c r="Q972" s="54"/>
      <c r="R972" s="54"/>
      <c r="S972" s="54"/>
      <c r="T972" s="54"/>
      <c r="U972" s="54"/>
      <c r="V972" s="54"/>
      <c r="W972" s="54"/>
      <c r="X972" s="54"/>
      <c r="Y972" s="54"/>
      <c r="Z972" s="54"/>
      <c r="AA972" s="54"/>
      <c r="AB972" s="54"/>
    </row>
    <row r="973">
      <c r="A973" s="57"/>
      <c r="B973" s="10" t="str">
        <f>IFERROR(VLOOKUP(C973,'Employees List'!$B$1:$G$999,4,0),"")</f>
        <v/>
      </c>
      <c r="C973" s="9"/>
      <c r="D973" s="9"/>
      <c r="E973" s="56"/>
      <c r="F973" s="56"/>
      <c r="G973" s="56"/>
      <c r="H973" s="50"/>
      <c r="I973" s="54"/>
      <c r="J973" s="54"/>
      <c r="K973" s="54"/>
      <c r="L973" s="54"/>
      <c r="M973" s="54"/>
      <c r="N973" s="54"/>
      <c r="O973" s="54"/>
      <c r="P973" s="54"/>
      <c r="Q973" s="54"/>
      <c r="R973" s="54"/>
      <c r="S973" s="54"/>
      <c r="T973" s="54"/>
      <c r="U973" s="54"/>
      <c r="V973" s="54"/>
      <c r="W973" s="54"/>
      <c r="X973" s="54"/>
      <c r="Y973" s="54"/>
      <c r="Z973" s="54"/>
      <c r="AA973" s="54"/>
      <c r="AB973" s="54"/>
    </row>
    <row r="974">
      <c r="A974" s="57"/>
      <c r="B974" s="10" t="str">
        <f>IFERROR(VLOOKUP(C974,'Employees List'!$B$1:$G$999,4,0),"")</f>
        <v/>
      </c>
      <c r="C974" s="9"/>
      <c r="D974" s="9"/>
      <c r="E974" s="56"/>
      <c r="F974" s="56"/>
      <c r="G974" s="56"/>
      <c r="H974" s="50"/>
      <c r="I974" s="54"/>
      <c r="J974" s="54"/>
      <c r="K974" s="54"/>
      <c r="L974" s="54"/>
      <c r="M974" s="54"/>
      <c r="N974" s="54"/>
      <c r="O974" s="54"/>
      <c r="P974" s="54"/>
      <c r="Q974" s="54"/>
      <c r="R974" s="54"/>
      <c r="S974" s="54"/>
      <c r="T974" s="54"/>
      <c r="U974" s="54"/>
      <c r="V974" s="54"/>
      <c r="W974" s="54"/>
      <c r="X974" s="54"/>
      <c r="Y974" s="54"/>
      <c r="Z974" s="54"/>
      <c r="AA974" s="54"/>
      <c r="AB974" s="54"/>
    </row>
    <row r="975">
      <c r="A975" s="57"/>
      <c r="B975" s="10" t="str">
        <f>IFERROR(VLOOKUP(C975,'Employees List'!$B$1:$G$999,4,0),"")</f>
        <v/>
      </c>
      <c r="C975" s="9"/>
      <c r="D975" s="9"/>
      <c r="E975" s="56"/>
      <c r="F975" s="56"/>
      <c r="G975" s="56"/>
      <c r="H975" s="50"/>
      <c r="I975" s="54"/>
      <c r="J975" s="54"/>
      <c r="K975" s="54"/>
      <c r="L975" s="54"/>
      <c r="M975" s="54"/>
      <c r="N975" s="54"/>
      <c r="O975" s="54"/>
      <c r="P975" s="54"/>
      <c r="Q975" s="54"/>
      <c r="R975" s="54"/>
      <c r="S975" s="54"/>
      <c r="T975" s="54"/>
      <c r="U975" s="54"/>
      <c r="V975" s="54"/>
      <c r="W975" s="54"/>
      <c r="X975" s="54"/>
      <c r="Y975" s="54"/>
      <c r="Z975" s="54"/>
      <c r="AA975" s="54"/>
      <c r="AB975" s="54"/>
    </row>
    <row r="976">
      <c r="A976" s="57"/>
      <c r="B976" s="10" t="str">
        <f>IFERROR(VLOOKUP(C976,'Employees List'!$B$1:$G$999,4,0),"")</f>
        <v/>
      </c>
      <c r="C976" s="9"/>
      <c r="D976" s="9"/>
      <c r="E976" s="56"/>
      <c r="F976" s="56"/>
      <c r="G976" s="56"/>
      <c r="H976" s="50"/>
      <c r="I976" s="54"/>
      <c r="J976" s="54"/>
      <c r="K976" s="54"/>
      <c r="L976" s="54"/>
      <c r="M976" s="54"/>
      <c r="N976" s="54"/>
      <c r="O976" s="54"/>
      <c r="P976" s="54"/>
      <c r="Q976" s="54"/>
      <c r="R976" s="54"/>
      <c r="S976" s="54"/>
      <c r="T976" s="54"/>
      <c r="U976" s="54"/>
      <c r="V976" s="54"/>
      <c r="W976" s="54"/>
      <c r="X976" s="54"/>
      <c r="Y976" s="54"/>
      <c r="Z976" s="54"/>
      <c r="AA976" s="54"/>
      <c r="AB976" s="54"/>
    </row>
    <row r="977">
      <c r="A977" s="57"/>
      <c r="B977" s="10" t="str">
        <f>IFERROR(VLOOKUP(C977,'Employees List'!$B$1:$G$999,4,0),"")</f>
        <v/>
      </c>
      <c r="C977" s="9"/>
      <c r="D977" s="9"/>
      <c r="E977" s="56"/>
      <c r="F977" s="56"/>
      <c r="G977" s="56"/>
      <c r="H977" s="50"/>
      <c r="I977" s="54"/>
      <c r="J977" s="54"/>
      <c r="K977" s="54"/>
      <c r="L977" s="54"/>
      <c r="M977" s="54"/>
      <c r="N977" s="54"/>
      <c r="O977" s="54"/>
      <c r="P977" s="54"/>
      <c r="Q977" s="54"/>
      <c r="R977" s="54"/>
      <c r="S977" s="54"/>
      <c r="T977" s="54"/>
      <c r="U977" s="54"/>
      <c r="V977" s="54"/>
      <c r="W977" s="54"/>
      <c r="X977" s="54"/>
      <c r="Y977" s="54"/>
      <c r="Z977" s="54"/>
      <c r="AA977" s="54"/>
      <c r="AB977" s="54"/>
    </row>
    <row r="978">
      <c r="A978" s="57"/>
      <c r="B978" s="10" t="str">
        <f>IFERROR(VLOOKUP(C978,'Employees List'!$B$1:$G$999,4,0),"")</f>
        <v/>
      </c>
      <c r="C978" s="9"/>
      <c r="D978" s="9"/>
      <c r="E978" s="56"/>
      <c r="F978" s="56"/>
      <c r="G978" s="56"/>
      <c r="H978" s="50"/>
      <c r="I978" s="54"/>
      <c r="J978" s="54"/>
      <c r="K978" s="54"/>
      <c r="L978" s="54"/>
      <c r="M978" s="54"/>
      <c r="N978" s="54"/>
      <c r="O978" s="54"/>
      <c r="P978" s="54"/>
      <c r="Q978" s="54"/>
      <c r="R978" s="54"/>
      <c r="S978" s="54"/>
      <c r="T978" s="54"/>
      <c r="U978" s="54"/>
      <c r="V978" s="54"/>
      <c r="W978" s="54"/>
      <c r="X978" s="54"/>
      <c r="Y978" s="54"/>
      <c r="Z978" s="54"/>
      <c r="AA978" s="54"/>
      <c r="AB978" s="54"/>
    </row>
    <row r="979">
      <c r="A979" s="57"/>
      <c r="B979" s="10" t="str">
        <f>IFERROR(VLOOKUP(C979,'Employees List'!$B$1:$G$999,4,0),"")</f>
        <v/>
      </c>
      <c r="C979" s="9"/>
      <c r="D979" s="9"/>
      <c r="E979" s="56"/>
      <c r="F979" s="56"/>
      <c r="G979" s="56"/>
      <c r="H979" s="50"/>
      <c r="I979" s="54"/>
      <c r="J979" s="54"/>
      <c r="K979" s="54"/>
      <c r="L979" s="54"/>
      <c r="M979" s="54"/>
      <c r="N979" s="54"/>
      <c r="O979" s="54"/>
      <c r="P979" s="54"/>
      <c r="Q979" s="54"/>
      <c r="R979" s="54"/>
      <c r="S979" s="54"/>
      <c r="T979" s="54"/>
      <c r="U979" s="54"/>
      <c r="V979" s="54"/>
      <c r="W979" s="54"/>
      <c r="X979" s="54"/>
      <c r="Y979" s="54"/>
      <c r="Z979" s="54"/>
      <c r="AA979" s="54"/>
      <c r="AB979" s="54"/>
    </row>
    <row r="980">
      <c r="A980" s="57"/>
      <c r="B980" s="10" t="str">
        <f>IFERROR(VLOOKUP(C980,'Employees List'!$B$1:$G$999,4,0),"")</f>
        <v/>
      </c>
      <c r="C980" s="9"/>
      <c r="D980" s="9"/>
      <c r="E980" s="56"/>
      <c r="F980" s="56"/>
      <c r="G980" s="56"/>
      <c r="H980" s="50"/>
      <c r="I980" s="54"/>
      <c r="J980" s="54"/>
      <c r="K980" s="54"/>
      <c r="L980" s="54"/>
      <c r="M980" s="54"/>
      <c r="N980" s="54"/>
      <c r="O980" s="54"/>
      <c r="P980" s="54"/>
      <c r="Q980" s="54"/>
      <c r="R980" s="54"/>
      <c r="S980" s="54"/>
      <c r="T980" s="54"/>
      <c r="U980" s="54"/>
      <c r="V980" s="54"/>
      <c r="W980" s="54"/>
      <c r="X980" s="54"/>
      <c r="Y980" s="54"/>
      <c r="Z980" s="54"/>
      <c r="AA980" s="54"/>
      <c r="AB980" s="54"/>
    </row>
    <row r="981">
      <c r="A981" s="57"/>
      <c r="B981" s="10" t="str">
        <f>IFERROR(VLOOKUP(C981,'Employees List'!$B$1:$G$999,4,0),"")</f>
        <v/>
      </c>
      <c r="C981" s="9"/>
      <c r="D981" s="9"/>
      <c r="E981" s="56"/>
      <c r="F981" s="56"/>
      <c r="G981" s="56"/>
      <c r="H981" s="50"/>
      <c r="I981" s="54"/>
      <c r="J981" s="54"/>
      <c r="K981" s="54"/>
      <c r="L981" s="54"/>
      <c r="M981" s="54"/>
      <c r="N981" s="54"/>
      <c r="O981" s="54"/>
      <c r="P981" s="54"/>
      <c r="Q981" s="54"/>
      <c r="R981" s="54"/>
      <c r="S981" s="54"/>
      <c r="T981" s="54"/>
      <c r="U981" s="54"/>
      <c r="V981" s="54"/>
      <c r="W981" s="54"/>
      <c r="X981" s="54"/>
      <c r="Y981" s="54"/>
      <c r="Z981" s="54"/>
      <c r="AA981" s="54"/>
      <c r="AB981" s="54"/>
    </row>
    <row r="982">
      <c r="A982" s="57"/>
      <c r="B982" s="10" t="str">
        <f>IFERROR(VLOOKUP(C982,'Employees List'!$B$1:$G$999,4,0),"")</f>
        <v/>
      </c>
      <c r="C982" s="9"/>
      <c r="D982" s="9"/>
      <c r="E982" s="56"/>
      <c r="F982" s="56"/>
      <c r="G982" s="56"/>
      <c r="H982" s="50"/>
      <c r="I982" s="54"/>
      <c r="J982" s="54"/>
      <c r="K982" s="54"/>
      <c r="L982" s="54"/>
      <c r="M982" s="54"/>
      <c r="N982" s="54"/>
      <c r="O982" s="54"/>
      <c r="P982" s="54"/>
      <c r="Q982" s="54"/>
      <c r="R982" s="54"/>
      <c r="S982" s="54"/>
      <c r="T982" s="54"/>
      <c r="U982" s="54"/>
      <c r="V982" s="54"/>
      <c r="W982" s="54"/>
      <c r="X982" s="54"/>
      <c r="Y982" s="54"/>
      <c r="Z982" s="54"/>
      <c r="AA982" s="54"/>
      <c r="AB982" s="54"/>
    </row>
    <row r="983">
      <c r="A983" s="57"/>
      <c r="B983" s="10" t="str">
        <f>IFERROR(VLOOKUP(C983,'Employees List'!$B$1:$G$999,4,0),"")</f>
        <v/>
      </c>
      <c r="C983" s="9"/>
      <c r="D983" s="9"/>
      <c r="E983" s="56"/>
      <c r="F983" s="56"/>
      <c r="G983" s="56"/>
      <c r="H983" s="50"/>
      <c r="I983" s="54"/>
      <c r="J983" s="54"/>
      <c r="K983" s="54"/>
      <c r="L983" s="54"/>
      <c r="M983" s="54"/>
      <c r="N983" s="54"/>
      <c r="O983" s="54"/>
      <c r="P983" s="54"/>
      <c r="Q983" s="54"/>
      <c r="R983" s="54"/>
      <c r="S983" s="54"/>
      <c r="T983" s="54"/>
      <c r="U983" s="54"/>
      <c r="V983" s="54"/>
      <c r="W983" s="54"/>
      <c r="X983" s="54"/>
      <c r="Y983" s="54"/>
      <c r="Z983" s="54"/>
      <c r="AA983" s="54"/>
      <c r="AB983" s="54"/>
    </row>
    <row r="984">
      <c r="A984" s="57"/>
      <c r="B984" s="10" t="str">
        <f>IFERROR(VLOOKUP(C984,'Employees List'!$B$1:$G$999,4,0),"")</f>
        <v/>
      </c>
      <c r="C984" s="9"/>
      <c r="D984" s="9"/>
      <c r="E984" s="56"/>
      <c r="F984" s="56"/>
      <c r="G984" s="56"/>
      <c r="H984" s="50"/>
      <c r="I984" s="54"/>
      <c r="J984" s="54"/>
      <c r="K984" s="54"/>
      <c r="L984" s="54"/>
      <c r="M984" s="54"/>
      <c r="N984" s="54"/>
      <c r="O984" s="54"/>
      <c r="P984" s="54"/>
      <c r="Q984" s="54"/>
      <c r="R984" s="54"/>
      <c r="S984" s="54"/>
      <c r="T984" s="54"/>
      <c r="U984" s="54"/>
      <c r="V984" s="54"/>
      <c r="W984" s="54"/>
      <c r="X984" s="54"/>
      <c r="Y984" s="54"/>
      <c r="Z984" s="54"/>
      <c r="AA984" s="54"/>
      <c r="AB984" s="54"/>
    </row>
    <row r="985">
      <c r="A985" s="57"/>
      <c r="B985" s="10" t="str">
        <f>IFERROR(VLOOKUP(C985,'Employees List'!$B$1:$G$999,4,0),"")</f>
        <v/>
      </c>
      <c r="C985" s="9"/>
      <c r="D985" s="9"/>
      <c r="E985" s="56"/>
      <c r="F985" s="56"/>
      <c r="G985" s="56"/>
      <c r="H985" s="50"/>
      <c r="I985" s="54"/>
      <c r="J985" s="54"/>
      <c r="K985" s="54"/>
      <c r="L985" s="54"/>
      <c r="M985" s="54"/>
      <c r="N985" s="54"/>
      <c r="O985" s="54"/>
      <c r="P985" s="54"/>
      <c r="Q985" s="54"/>
      <c r="R985" s="54"/>
      <c r="S985" s="54"/>
      <c r="T985" s="54"/>
      <c r="U985" s="54"/>
      <c r="V985" s="54"/>
      <c r="W985" s="54"/>
      <c r="X985" s="54"/>
      <c r="Y985" s="54"/>
      <c r="Z985" s="54"/>
      <c r="AA985" s="54"/>
      <c r="AB985" s="54"/>
    </row>
    <row r="986">
      <c r="A986" s="57"/>
      <c r="B986" s="10" t="str">
        <f>IFERROR(VLOOKUP(C986,'Employees List'!$B$1:$G$999,4,0),"")</f>
        <v/>
      </c>
      <c r="C986" s="9"/>
      <c r="D986" s="9"/>
      <c r="E986" s="56"/>
      <c r="F986" s="56"/>
      <c r="G986" s="56"/>
      <c r="H986" s="50"/>
      <c r="I986" s="54"/>
      <c r="J986" s="54"/>
      <c r="K986" s="54"/>
      <c r="L986" s="54"/>
      <c r="M986" s="54"/>
      <c r="N986" s="54"/>
      <c r="O986" s="54"/>
      <c r="P986" s="54"/>
      <c r="Q986" s="54"/>
      <c r="R986" s="54"/>
      <c r="S986" s="54"/>
      <c r="T986" s="54"/>
      <c r="U986" s="54"/>
      <c r="V986" s="54"/>
      <c r="W986" s="54"/>
      <c r="X986" s="54"/>
      <c r="Y986" s="54"/>
      <c r="Z986" s="54"/>
      <c r="AA986" s="54"/>
      <c r="AB986" s="54"/>
    </row>
    <row r="987">
      <c r="A987" s="57"/>
      <c r="B987" s="10" t="str">
        <f>IFERROR(VLOOKUP(C987,'Employees List'!$B$1:$G$999,4,0),"")</f>
        <v/>
      </c>
      <c r="C987" s="9"/>
      <c r="D987" s="9"/>
      <c r="E987" s="56"/>
      <c r="F987" s="56"/>
      <c r="G987" s="56"/>
      <c r="H987" s="50"/>
      <c r="I987" s="54"/>
      <c r="J987" s="54"/>
      <c r="K987" s="54"/>
      <c r="L987" s="54"/>
      <c r="M987" s="54"/>
      <c r="N987" s="54"/>
      <c r="O987" s="54"/>
      <c r="P987" s="54"/>
      <c r="Q987" s="54"/>
      <c r="R987" s="54"/>
      <c r="S987" s="54"/>
      <c r="T987" s="54"/>
      <c r="U987" s="54"/>
      <c r="V987" s="54"/>
      <c r="W987" s="54"/>
      <c r="X987" s="54"/>
      <c r="Y987" s="54"/>
      <c r="Z987" s="54"/>
      <c r="AA987" s="54"/>
      <c r="AB987" s="54"/>
    </row>
    <row r="988">
      <c r="A988" s="57"/>
      <c r="B988" s="10" t="str">
        <f>IFERROR(VLOOKUP(C988,'Employees List'!$B$1:$G$999,4,0),"")</f>
        <v/>
      </c>
      <c r="C988" s="9"/>
      <c r="D988" s="9"/>
      <c r="E988" s="56"/>
      <c r="F988" s="56"/>
      <c r="G988" s="56"/>
      <c r="H988" s="50"/>
      <c r="I988" s="54"/>
      <c r="J988" s="54"/>
      <c r="K988" s="54"/>
      <c r="L988" s="54"/>
      <c r="M988" s="54"/>
      <c r="N988" s="54"/>
      <c r="O988" s="54"/>
      <c r="P988" s="54"/>
      <c r="Q988" s="54"/>
      <c r="R988" s="54"/>
      <c r="S988" s="54"/>
      <c r="T988" s="54"/>
      <c r="U988" s="54"/>
      <c r="V988" s="54"/>
      <c r="W988" s="54"/>
      <c r="X988" s="54"/>
      <c r="Y988" s="54"/>
      <c r="Z988" s="54"/>
      <c r="AA988" s="54"/>
      <c r="AB988" s="54"/>
    </row>
    <row r="989">
      <c r="A989" s="57"/>
      <c r="B989" s="10" t="str">
        <f>IFERROR(VLOOKUP(C989,'Employees List'!$B$1:$G$999,4,0),"")</f>
        <v/>
      </c>
      <c r="C989" s="9"/>
      <c r="D989" s="9"/>
      <c r="E989" s="56"/>
      <c r="F989" s="56"/>
      <c r="G989" s="56"/>
      <c r="H989" s="50"/>
      <c r="I989" s="54"/>
      <c r="J989" s="54"/>
      <c r="K989" s="54"/>
      <c r="L989" s="54"/>
      <c r="M989" s="54"/>
      <c r="N989" s="54"/>
      <c r="O989" s="54"/>
      <c r="P989" s="54"/>
      <c r="Q989" s="54"/>
      <c r="R989" s="54"/>
      <c r="S989" s="54"/>
      <c r="T989" s="54"/>
      <c r="U989" s="54"/>
      <c r="V989" s="54"/>
      <c r="W989" s="54"/>
      <c r="X989" s="54"/>
      <c r="Y989" s="54"/>
      <c r="Z989" s="54"/>
      <c r="AA989" s="54"/>
      <c r="AB989" s="54"/>
    </row>
    <row r="990">
      <c r="A990" s="57"/>
      <c r="B990" s="10" t="str">
        <f>IFERROR(VLOOKUP(C990,'Employees List'!$B$1:$G$999,4,0),"")</f>
        <v/>
      </c>
      <c r="C990" s="9"/>
      <c r="D990" s="9"/>
      <c r="E990" s="56"/>
      <c r="F990" s="56"/>
      <c r="G990" s="56"/>
      <c r="H990" s="50"/>
      <c r="I990" s="54"/>
      <c r="J990" s="54"/>
      <c r="K990" s="54"/>
      <c r="L990" s="54"/>
      <c r="M990" s="54"/>
      <c r="N990" s="54"/>
      <c r="O990" s="54"/>
      <c r="P990" s="54"/>
      <c r="Q990" s="54"/>
      <c r="R990" s="54"/>
      <c r="S990" s="54"/>
      <c r="T990" s="54"/>
      <c r="U990" s="54"/>
      <c r="V990" s="54"/>
      <c r="W990" s="54"/>
      <c r="X990" s="54"/>
      <c r="Y990" s="54"/>
      <c r="Z990" s="54"/>
      <c r="AA990" s="54"/>
      <c r="AB990" s="54"/>
    </row>
    <row r="991">
      <c r="A991" s="57"/>
      <c r="B991" s="10" t="str">
        <f>IFERROR(VLOOKUP(C991,'Employees List'!$B$1:$G$999,4,0),"")</f>
        <v/>
      </c>
      <c r="C991" s="9"/>
      <c r="D991" s="9"/>
      <c r="E991" s="56"/>
      <c r="F991" s="56"/>
      <c r="G991" s="56"/>
      <c r="H991" s="50"/>
      <c r="I991" s="54"/>
      <c r="J991" s="54"/>
      <c r="K991" s="54"/>
      <c r="L991" s="54"/>
      <c r="M991" s="54"/>
      <c r="N991" s="54"/>
      <c r="O991" s="54"/>
      <c r="P991" s="54"/>
      <c r="Q991" s="54"/>
      <c r="R991" s="54"/>
      <c r="S991" s="54"/>
      <c r="T991" s="54"/>
      <c r="U991" s="54"/>
      <c r="V991" s="54"/>
      <c r="W991" s="54"/>
      <c r="X991" s="54"/>
      <c r="Y991" s="54"/>
      <c r="Z991" s="54"/>
      <c r="AA991" s="54"/>
      <c r="AB991" s="54"/>
    </row>
    <row r="992">
      <c r="A992" s="57"/>
      <c r="B992" s="10" t="str">
        <f>IFERROR(VLOOKUP(C992,'Employees List'!$B$1:$G$999,4,0),"")</f>
        <v/>
      </c>
      <c r="C992" s="9"/>
      <c r="D992" s="9"/>
      <c r="E992" s="56"/>
      <c r="F992" s="56"/>
      <c r="G992" s="56"/>
      <c r="H992" s="50"/>
      <c r="I992" s="54"/>
      <c r="J992" s="54"/>
      <c r="K992" s="54"/>
      <c r="L992" s="54"/>
      <c r="M992" s="54"/>
      <c r="N992" s="54"/>
      <c r="O992" s="54"/>
      <c r="P992" s="54"/>
      <c r="Q992" s="54"/>
      <c r="R992" s="54"/>
      <c r="S992" s="54"/>
      <c r="T992" s="54"/>
      <c r="U992" s="54"/>
      <c r="V992" s="54"/>
      <c r="W992" s="54"/>
      <c r="X992" s="54"/>
      <c r="Y992" s="54"/>
      <c r="Z992" s="54"/>
      <c r="AA992" s="54"/>
      <c r="AB992" s="54"/>
    </row>
    <row r="993">
      <c r="A993" s="57"/>
      <c r="B993" s="10" t="str">
        <f>IFERROR(VLOOKUP(C993,'Employees List'!$B$1:$G$999,4,0),"")</f>
        <v/>
      </c>
      <c r="C993" s="9"/>
      <c r="D993" s="9"/>
      <c r="E993" s="56"/>
      <c r="F993" s="56"/>
      <c r="G993" s="56"/>
      <c r="H993" s="50"/>
      <c r="I993" s="54"/>
      <c r="J993" s="54"/>
      <c r="K993" s="54"/>
      <c r="L993" s="54"/>
      <c r="M993" s="54"/>
      <c r="N993" s="54"/>
      <c r="O993" s="54"/>
      <c r="P993" s="54"/>
      <c r="Q993" s="54"/>
      <c r="R993" s="54"/>
      <c r="S993" s="54"/>
      <c r="T993" s="54"/>
      <c r="U993" s="54"/>
      <c r="V993" s="54"/>
      <c r="W993" s="54"/>
      <c r="X993" s="54"/>
      <c r="Y993" s="54"/>
      <c r="Z993" s="54"/>
      <c r="AA993" s="54"/>
      <c r="AB993" s="54"/>
    </row>
    <row r="994">
      <c r="A994" s="57"/>
      <c r="B994" s="10" t="str">
        <f>IFERROR(VLOOKUP(C994,'Employees List'!$B$1:$G$999,4,0),"")</f>
        <v/>
      </c>
      <c r="C994" s="9"/>
      <c r="D994" s="9"/>
      <c r="E994" s="56"/>
      <c r="F994" s="56"/>
      <c r="G994" s="56"/>
      <c r="H994" s="50"/>
      <c r="I994" s="54"/>
      <c r="J994" s="54"/>
      <c r="K994" s="54"/>
      <c r="L994" s="54"/>
      <c r="M994" s="54"/>
      <c r="N994" s="54"/>
      <c r="O994" s="54"/>
      <c r="P994" s="54"/>
      <c r="Q994" s="54"/>
      <c r="R994" s="54"/>
      <c r="S994" s="54"/>
      <c r="T994" s="54"/>
      <c r="U994" s="54"/>
      <c r="V994" s="54"/>
      <c r="W994" s="54"/>
      <c r="X994" s="54"/>
      <c r="Y994" s="54"/>
      <c r="Z994" s="54"/>
      <c r="AA994" s="54"/>
      <c r="AB994" s="54"/>
    </row>
    <row r="995">
      <c r="A995" s="57"/>
      <c r="B995" s="10" t="str">
        <f>IFERROR(VLOOKUP(C995,'Employees List'!$B$1:$G$999,4,0),"")</f>
        <v/>
      </c>
      <c r="C995" s="9"/>
      <c r="D995" s="9"/>
      <c r="E995" s="56"/>
      <c r="F995" s="56"/>
      <c r="G995" s="56"/>
      <c r="H995" s="50"/>
      <c r="I995" s="54"/>
      <c r="J995" s="54"/>
      <c r="K995" s="54"/>
      <c r="L995" s="54"/>
      <c r="M995" s="54"/>
      <c r="N995" s="54"/>
      <c r="O995" s="54"/>
      <c r="P995" s="54"/>
      <c r="Q995" s="54"/>
      <c r="R995" s="54"/>
      <c r="S995" s="54"/>
      <c r="T995" s="54"/>
      <c r="U995" s="54"/>
      <c r="V995" s="54"/>
      <c r="W995" s="54"/>
      <c r="X995" s="54"/>
      <c r="Y995" s="54"/>
      <c r="Z995" s="54"/>
      <c r="AA995" s="54"/>
      <c r="AB995" s="54"/>
    </row>
    <row r="996">
      <c r="A996" s="57"/>
      <c r="B996" s="10" t="str">
        <f>IFERROR(VLOOKUP(C996,'Employees List'!$B$1:$G$999,4,0),"")</f>
        <v/>
      </c>
      <c r="C996" s="9"/>
      <c r="D996" s="9"/>
      <c r="E996" s="56"/>
      <c r="F996" s="56"/>
      <c r="G996" s="56"/>
      <c r="H996" s="50"/>
      <c r="I996" s="54"/>
      <c r="J996" s="54"/>
      <c r="K996" s="54"/>
      <c r="L996" s="54"/>
      <c r="M996" s="54"/>
      <c r="N996" s="54"/>
      <c r="O996" s="54"/>
      <c r="P996" s="54"/>
      <c r="Q996" s="54"/>
      <c r="R996" s="54"/>
      <c r="S996" s="54"/>
      <c r="T996" s="54"/>
      <c r="U996" s="54"/>
      <c r="V996" s="54"/>
      <c r="W996" s="54"/>
      <c r="X996" s="54"/>
      <c r="Y996" s="54"/>
      <c r="Z996" s="54"/>
      <c r="AA996" s="54"/>
      <c r="AB996" s="54"/>
    </row>
    <row r="997">
      <c r="A997" s="57"/>
      <c r="B997" s="10" t="str">
        <f>IFERROR(VLOOKUP(C997,'Employees List'!$B$1:$G$999,4,0),"")</f>
        <v/>
      </c>
      <c r="C997" s="9"/>
      <c r="D997" s="9"/>
      <c r="E997" s="56"/>
      <c r="F997" s="56"/>
      <c r="G997" s="56"/>
      <c r="H997" s="50"/>
      <c r="I997" s="54"/>
      <c r="J997" s="54"/>
      <c r="K997" s="54"/>
      <c r="L997" s="54"/>
      <c r="M997" s="54"/>
      <c r="N997" s="54"/>
      <c r="O997" s="54"/>
      <c r="P997" s="54"/>
      <c r="Q997" s="54"/>
      <c r="R997" s="54"/>
      <c r="S997" s="54"/>
      <c r="T997" s="54"/>
      <c r="U997" s="54"/>
      <c r="V997" s="54"/>
      <c r="W997" s="54"/>
      <c r="X997" s="54"/>
      <c r="Y997" s="54"/>
      <c r="Z997" s="54"/>
      <c r="AA997" s="54"/>
      <c r="AB997" s="54"/>
    </row>
    <row r="998">
      <c r="A998" s="57"/>
      <c r="B998" s="10" t="str">
        <f>IFERROR(VLOOKUP(C998,'Employees List'!$B$1:$G$999,4,0),"")</f>
        <v/>
      </c>
      <c r="C998" s="9"/>
      <c r="D998" s="9"/>
      <c r="E998" s="56"/>
      <c r="F998" s="56"/>
      <c r="G998" s="56"/>
      <c r="H998" s="50"/>
      <c r="I998" s="54"/>
      <c r="J998" s="54"/>
      <c r="K998" s="54"/>
      <c r="L998" s="54"/>
      <c r="M998" s="54"/>
      <c r="N998" s="54"/>
      <c r="O998" s="54"/>
      <c r="P998" s="54"/>
      <c r="Q998" s="54"/>
      <c r="R998" s="54"/>
      <c r="S998" s="54"/>
      <c r="T998" s="54"/>
      <c r="U998" s="54"/>
      <c r="V998" s="54"/>
      <c r="W998" s="54"/>
      <c r="X998" s="54"/>
      <c r="Y998" s="54"/>
      <c r="Z998" s="54"/>
      <c r="AA998" s="54"/>
      <c r="AB998" s="54"/>
    </row>
    <row r="999">
      <c r="A999" s="57"/>
      <c r="B999" s="10" t="str">
        <f>IFERROR(VLOOKUP(C999,'Employees List'!$B$1:$G$999,4,0),"")</f>
        <v/>
      </c>
      <c r="C999" s="9"/>
      <c r="D999" s="9"/>
      <c r="E999" s="56"/>
      <c r="F999" s="56"/>
      <c r="G999" s="56"/>
      <c r="H999" s="50"/>
      <c r="I999" s="54"/>
      <c r="J999" s="54"/>
      <c r="K999" s="54"/>
      <c r="L999" s="54"/>
      <c r="M999" s="54"/>
      <c r="N999" s="54"/>
      <c r="O999" s="54"/>
      <c r="P999" s="54"/>
      <c r="Q999" s="54"/>
      <c r="R999" s="54"/>
      <c r="S999" s="54"/>
      <c r="T999" s="54"/>
      <c r="U999" s="54"/>
      <c r="V999" s="54"/>
      <c r="W999" s="54"/>
      <c r="X999" s="54"/>
      <c r="Y999" s="54"/>
      <c r="Z999" s="54"/>
      <c r="AA999" s="54"/>
      <c r="AB999" s="54"/>
    </row>
    <row r="1000">
      <c r="A1000" s="57"/>
      <c r="B1000" s="10" t="str">
        <f>IFERROR(VLOOKUP(C1000,'Employees List'!$B$1:$G$999,4,0),"")</f>
        <v/>
      </c>
      <c r="C1000" s="9"/>
      <c r="D1000" s="9"/>
      <c r="E1000" s="56"/>
      <c r="F1000" s="56"/>
      <c r="G1000" s="56"/>
      <c r="H1000" s="50"/>
      <c r="I1000" s="54"/>
      <c r="J1000" s="54"/>
      <c r="K1000" s="54"/>
      <c r="L1000" s="54"/>
      <c r="M1000" s="54"/>
      <c r="N1000" s="54"/>
      <c r="O1000" s="54"/>
      <c r="P1000" s="54"/>
      <c r="Q1000" s="54"/>
      <c r="R1000" s="54"/>
      <c r="S1000" s="54"/>
      <c r="T1000" s="54"/>
      <c r="U1000" s="54"/>
      <c r="V1000" s="54"/>
      <c r="W1000" s="54"/>
      <c r="X1000" s="54"/>
      <c r="Y1000" s="54"/>
      <c r="Z1000" s="54"/>
      <c r="AA1000" s="54"/>
      <c r="AB1000" s="54"/>
    </row>
    <row r="1001">
      <c r="A1001" s="57"/>
      <c r="B1001" s="10" t="str">
        <f>IFERROR(VLOOKUP(C1001,'Employees List'!$B$1:$G$999,4,0),"")</f>
        <v/>
      </c>
      <c r="C1001" s="9"/>
      <c r="D1001" s="9"/>
      <c r="E1001" s="56"/>
      <c r="F1001" s="56"/>
      <c r="G1001" s="56"/>
      <c r="H1001" s="50"/>
      <c r="I1001" s="54"/>
      <c r="J1001" s="54"/>
      <c r="K1001" s="54"/>
      <c r="L1001" s="54"/>
      <c r="M1001" s="54"/>
      <c r="N1001" s="54"/>
      <c r="O1001" s="54"/>
      <c r="P1001" s="54"/>
      <c r="Q1001" s="54"/>
      <c r="R1001" s="54"/>
      <c r="S1001" s="54"/>
      <c r="T1001" s="54"/>
      <c r="U1001" s="54"/>
      <c r="V1001" s="54"/>
      <c r="W1001" s="54"/>
      <c r="X1001" s="54"/>
      <c r="Y1001" s="54"/>
      <c r="Z1001" s="54"/>
      <c r="AA1001" s="54"/>
      <c r="AB1001" s="54"/>
    </row>
  </sheetData>
  <autoFilter ref="$A$1:$I$1001"/>
  <mergeCells count="1">
    <mergeCell ref="L12:M12"/>
  </mergeCells>
  <conditionalFormatting sqref="B2:D1001">
    <cfRule type="expression" dxfId="3" priority="1">
      <formula>"#DIV/"</formula>
    </cfRule>
  </conditionalFormatting>
  <dataValidations>
    <dataValidation type="list" allowBlank="1" showErrorMessage="1" sqref="D2:D1001">
      <formula1>'Employees List'!$A$2:$A$991</formula1>
    </dataValidation>
    <dataValidation type="list" allowBlank="1" showErrorMessage="1" sqref="I2:I1001">
      <formula1>"Paid,Not Paid,On Process,On Hold,Rejected,Request Apply,Received"</formula1>
    </dataValidation>
    <dataValidation type="custom" allowBlank="1" showDropDown="1" showErrorMessage="1" sqref="A2:A1001">
      <formula1>OR(NOT(ISERROR(DATEVALUE(A2))), AND(ISNUMBER(A2), LEFT(CELL("format", A2))="D"))</formula1>
    </dataValidation>
    <dataValidation type="list" allowBlank="1" showErrorMessage="1" sqref="C2:C1001">
      <formula1>'Employees List'!$B$2:$B$991</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1.75"/>
    <col customWidth="1" min="6" max="6" width="14.13"/>
    <col customWidth="1" min="10" max="10" width="27.5"/>
    <col customWidth="1" hidden="1" min="11" max="11" width="27.5"/>
    <col customWidth="1" min="17" max="17" width="20.38"/>
    <col customWidth="1" min="20" max="20" width="24.0"/>
  </cols>
  <sheetData>
    <row r="1">
      <c r="A1" s="50"/>
      <c r="B1" s="50"/>
      <c r="C1" s="50"/>
      <c r="D1" s="50"/>
      <c r="E1" s="50"/>
      <c r="F1" s="50"/>
      <c r="G1" s="50"/>
      <c r="H1" s="50"/>
      <c r="I1" s="50"/>
      <c r="J1" s="50"/>
      <c r="K1" s="50"/>
      <c r="L1" s="50"/>
      <c r="M1" s="58"/>
      <c r="N1" s="50"/>
      <c r="O1" s="50"/>
      <c r="P1" s="50"/>
      <c r="Q1" s="50"/>
      <c r="R1" s="50"/>
      <c r="S1" s="50"/>
      <c r="T1" s="50"/>
      <c r="U1" s="50"/>
      <c r="V1" s="50"/>
      <c r="W1" s="50"/>
      <c r="X1" s="50"/>
      <c r="Y1" s="50"/>
      <c r="Z1" s="50"/>
      <c r="AA1" s="50"/>
    </row>
    <row r="2">
      <c r="A2" s="59" t="s">
        <v>199</v>
      </c>
      <c r="B2" s="60" t="s">
        <v>23</v>
      </c>
      <c r="D2" s="50"/>
      <c r="E2" s="50"/>
      <c r="F2" s="50"/>
      <c r="G2" s="50"/>
      <c r="H2" s="50"/>
      <c r="I2" s="50"/>
      <c r="J2" s="61"/>
      <c r="K2" s="61" t="str">
        <f>IF(B2="All","","and B = '"&amp;B2&amp;"'")</f>
        <v>and B = 'GANESH'</v>
      </c>
      <c r="L2" s="50"/>
      <c r="M2" s="50"/>
      <c r="N2" s="50"/>
      <c r="O2" s="50"/>
      <c r="P2" s="50"/>
      <c r="Q2" s="50"/>
      <c r="R2" s="50"/>
      <c r="S2" s="50"/>
      <c r="T2" s="50"/>
      <c r="U2" s="50"/>
      <c r="V2" s="50"/>
      <c r="W2" s="50"/>
      <c r="X2" s="50"/>
      <c r="Y2" s="50"/>
      <c r="Z2" s="50"/>
      <c r="AA2" s="50"/>
    </row>
    <row r="3">
      <c r="A3" s="59" t="s">
        <v>200</v>
      </c>
      <c r="B3" s="60" t="s">
        <v>57</v>
      </c>
      <c r="D3" s="50"/>
      <c r="E3" s="50"/>
      <c r="F3" s="50"/>
      <c r="G3" s="50"/>
      <c r="H3" s="50"/>
      <c r="I3" s="50"/>
      <c r="J3" s="61"/>
      <c r="K3" s="61" t="str">
        <f>IF(B3="All","","and C = '"&amp;B3&amp;"'")</f>
        <v/>
      </c>
      <c r="L3" s="50"/>
      <c r="M3" s="50"/>
      <c r="N3" s="50"/>
      <c r="O3" s="50"/>
      <c r="P3" s="50"/>
      <c r="Q3" s="50"/>
      <c r="R3" s="50"/>
      <c r="S3" s="50"/>
      <c r="T3" s="50"/>
      <c r="U3" s="50"/>
      <c r="V3" s="50"/>
      <c r="W3" s="50"/>
      <c r="X3" s="50"/>
      <c r="Y3" s="50"/>
      <c r="Z3" s="50"/>
      <c r="AA3" s="50"/>
    </row>
    <row r="4">
      <c r="A4" s="62" t="s">
        <v>201</v>
      </c>
      <c r="B4" s="63">
        <f>F1000-G1000</f>
        <v>21200</v>
      </c>
      <c r="D4" s="50"/>
      <c r="E4" s="50"/>
      <c r="F4" s="50"/>
      <c r="G4" s="50"/>
      <c r="H4" s="50"/>
      <c r="I4" s="50"/>
      <c r="J4" s="61"/>
      <c r="K4" s="61" t="str">
        <f>CONCATENATE("select * where 1=1",K2,K3)</f>
        <v>select * where 1=1and B = 'GANESH'</v>
      </c>
      <c r="L4" s="50"/>
      <c r="M4" s="50"/>
      <c r="N4" s="50"/>
      <c r="O4" s="50"/>
      <c r="P4" s="50"/>
      <c r="Q4" s="50"/>
      <c r="R4" s="50"/>
      <c r="S4" s="50"/>
      <c r="T4" s="50"/>
      <c r="U4" s="50"/>
      <c r="V4" s="50"/>
      <c r="W4" s="50"/>
      <c r="X4" s="50"/>
      <c r="Y4" s="50"/>
      <c r="Z4" s="50"/>
      <c r="AA4" s="50"/>
    </row>
    <row r="5">
      <c r="A5" s="50"/>
      <c r="B5" s="50"/>
      <c r="C5" s="50"/>
      <c r="D5" s="50"/>
      <c r="E5" s="50"/>
      <c r="F5" s="50"/>
      <c r="G5" s="50"/>
      <c r="H5" s="50"/>
      <c r="I5" s="50"/>
      <c r="J5" s="50"/>
      <c r="K5" s="50"/>
      <c r="L5" s="50"/>
      <c r="M5" s="50"/>
      <c r="N5" s="50"/>
      <c r="O5" s="50"/>
      <c r="P5" s="50"/>
      <c r="Q5" s="50"/>
      <c r="R5" s="50"/>
      <c r="S5" s="50"/>
      <c r="T5" s="50"/>
      <c r="U5" s="50"/>
      <c r="V5" s="50"/>
      <c r="W5" s="50"/>
      <c r="X5" s="50"/>
      <c r="Y5" s="50"/>
      <c r="Z5" s="50"/>
      <c r="AA5" s="50"/>
    </row>
    <row r="6">
      <c r="A6" s="64"/>
      <c r="B6" s="64"/>
      <c r="C6" s="64"/>
      <c r="D6" s="64"/>
      <c r="E6" s="64"/>
      <c r="F6" s="64"/>
      <c r="G6" s="64"/>
      <c r="H6" s="64"/>
      <c r="I6" s="64"/>
      <c r="J6" s="64"/>
      <c r="K6" s="64"/>
      <c r="L6" s="52"/>
      <c r="M6" s="52"/>
      <c r="N6" s="64"/>
      <c r="O6" s="64"/>
      <c r="P6" s="64"/>
      <c r="Q6" s="64"/>
      <c r="R6" s="64"/>
      <c r="S6" s="64"/>
      <c r="T6" s="64"/>
      <c r="U6" s="64"/>
      <c r="V6" s="64"/>
      <c r="W6" s="64"/>
      <c r="X6" s="64"/>
      <c r="Y6" s="64"/>
      <c r="Z6" s="64"/>
      <c r="AA6" s="64"/>
    </row>
    <row r="7">
      <c r="A7" s="65" t="str">
        <f>IFERROR(__xludf.DUMMYFUNCTION("QUERY('Advance Sheet'!A1:I1000,K4)"),"Date")</f>
        <v>Date</v>
      </c>
      <c r="B7" s="65" t="str">
        <f>IFERROR(__xludf.DUMMYFUNCTION("""COMPUTED_VALUE"""),"Name")</f>
        <v>Name</v>
      </c>
      <c r="C7" s="65" t="str">
        <f>IFERROR(__xludf.DUMMYFUNCTION("""COMPUTED_VALUE"""),"Emp id")</f>
        <v>Emp id</v>
      </c>
      <c r="D7" s="65" t="str">
        <f>IFERROR(__xludf.DUMMYFUNCTION("""COMPUTED_VALUE"""),"Month")</f>
        <v>Month</v>
      </c>
      <c r="E7" s="65" t="str">
        <f>IFERROR(__xludf.DUMMYFUNCTION("""COMPUTED_VALUE"""),"Advance Requested")</f>
        <v>Advance Requested</v>
      </c>
      <c r="F7" s="65" t="str">
        <f>IFERROR(__xludf.DUMMYFUNCTION("""COMPUTED_VALUE"""),"Advance Provided")</f>
        <v>Advance Provided</v>
      </c>
      <c r="G7" s="65" t="str">
        <f>IFERROR(__xludf.DUMMYFUNCTION("""COMPUTED_VALUE"""),"Advance Deducted")</f>
        <v>Advance Deducted</v>
      </c>
      <c r="H7" s="65" t="str">
        <f>IFERROR(__xludf.DUMMYFUNCTION("""COMPUTED_VALUE"""),"Reason")</f>
        <v>Reason</v>
      </c>
      <c r="I7" s="65" t="str">
        <f>IFERROR(__xludf.DUMMYFUNCTION("""COMPUTED_VALUE"""),"Status")</f>
        <v>Status</v>
      </c>
      <c r="J7" s="65"/>
      <c r="K7" s="50"/>
      <c r="L7" s="66"/>
      <c r="M7" s="66"/>
      <c r="N7" s="50"/>
      <c r="O7" s="50"/>
      <c r="P7" s="50"/>
      <c r="Q7" s="50"/>
      <c r="R7" s="50"/>
      <c r="S7" s="50"/>
      <c r="T7" s="50"/>
      <c r="U7" s="50"/>
      <c r="V7" s="50"/>
      <c r="W7" s="50"/>
      <c r="X7" s="50"/>
      <c r="Y7" s="50"/>
      <c r="Z7" s="50"/>
      <c r="AA7" s="50"/>
    </row>
    <row r="8">
      <c r="A8" s="67">
        <f>IFERROR(__xludf.DUMMYFUNCTION("""COMPUTED_VALUE"""),45889.0)</f>
        <v>45889</v>
      </c>
      <c r="B8" s="50" t="str">
        <f>IFERROR(__xludf.DUMMYFUNCTION("""COMPUTED_VALUE"""),"GANESH")</f>
        <v>GANESH</v>
      </c>
      <c r="C8" s="50" t="str">
        <f>IFERROR(__xludf.DUMMYFUNCTION("""COMPUTED_VALUE"""),"PR 02")</f>
        <v>PR 02</v>
      </c>
      <c r="D8" s="50" t="str">
        <f>IFERROR(__xludf.DUMMYFUNCTION("""COMPUTED_VALUE"""),"August")</f>
        <v>August</v>
      </c>
      <c r="E8" s="68"/>
      <c r="F8" s="68">
        <f>IFERROR(__xludf.DUMMYFUNCTION("""COMPUTED_VALUE"""),40500.0)</f>
        <v>40500</v>
      </c>
      <c r="G8" s="68"/>
      <c r="H8" s="50" t="str">
        <f>IFERROR(__xludf.DUMMYFUNCTION("""COMPUTED_VALUE"""),"Opening Balance")</f>
        <v>Opening Balance</v>
      </c>
      <c r="I8" s="50" t="str">
        <f>IFERROR(__xludf.DUMMYFUNCTION("""COMPUTED_VALUE"""),"Paid")</f>
        <v>Paid</v>
      </c>
      <c r="J8" s="50"/>
      <c r="K8" s="50"/>
      <c r="L8" s="50"/>
      <c r="M8" s="50"/>
      <c r="N8" s="50"/>
      <c r="O8" s="50"/>
      <c r="P8" s="50"/>
      <c r="Q8" s="50"/>
      <c r="R8" s="50"/>
      <c r="S8" s="50"/>
      <c r="T8" s="50"/>
      <c r="U8" s="50"/>
      <c r="V8" s="50"/>
      <c r="W8" s="50"/>
      <c r="X8" s="50"/>
      <c r="Y8" s="50"/>
      <c r="Z8" s="50"/>
      <c r="AA8" s="50"/>
    </row>
    <row r="9">
      <c r="A9" s="67">
        <f>IFERROR(__xludf.DUMMYFUNCTION("""COMPUTED_VALUE"""),45904.0)</f>
        <v>45904</v>
      </c>
      <c r="B9" s="50" t="str">
        <f>IFERROR(__xludf.DUMMYFUNCTION("""COMPUTED_VALUE"""),"GANESH")</f>
        <v>GANESH</v>
      </c>
      <c r="C9" s="50" t="str">
        <f>IFERROR(__xludf.DUMMYFUNCTION("""COMPUTED_VALUE"""),"PR 02")</f>
        <v>PR 02</v>
      </c>
      <c r="D9" s="50" t="str">
        <f>IFERROR(__xludf.DUMMYFUNCTION("""COMPUTED_VALUE"""),"September")</f>
        <v>September</v>
      </c>
      <c r="E9" s="68">
        <f>IFERROR(__xludf.DUMMYFUNCTION("""COMPUTED_VALUE"""),500.0)</f>
        <v>500</v>
      </c>
      <c r="F9" s="68">
        <f>IFERROR(__xludf.DUMMYFUNCTION("""COMPUTED_VALUE"""),500.0)</f>
        <v>500</v>
      </c>
      <c r="G9" s="68">
        <f>IFERROR(__xludf.DUMMYFUNCTION("""COMPUTED_VALUE"""),5000.0)</f>
        <v>5000</v>
      </c>
      <c r="H9" s="50" t="str">
        <f>IFERROR(__xludf.DUMMYFUNCTION("""COMPUTED_VALUE"""),"Gift purpose")</f>
        <v>Gift purpose</v>
      </c>
      <c r="I9" s="50" t="str">
        <f>IFERROR(__xludf.DUMMYFUNCTION("""COMPUTED_VALUE"""),"Paid")</f>
        <v>Paid</v>
      </c>
      <c r="J9" s="50"/>
      <c r="K9" s="50"/>
      <c r="L9" s="50"/>
      <c r="M9" s="50"/>
      <c r="N9" s="50"/>
      <c r="O9" s="50"/>
      <c r="P9" s="50"/>
      <c r="Q9" s="50"/>
      <c r="R9" s="50"/>
      <c r="S9" s="50"/>
      <c r="T9" s="50"/>
      <c r="U9" s="50"/>
      <c r="V9" s="50"/>
      <c r="W9" s="50"/>
      <c r="X9" s="50"/>
      <c r="Y9" s="50"/>
      <c r="Z9" s="50"/>
      <c r="AA9" s="50"/>
    </row>
    <row r="10">
      <c r="A10" s="67">
        <f>IFERROR(__xludf.DUMMYFUNCTION("""COMPUTED_VALUE"""),45929.0)</f>
        <v>45929</v>
      </c>
      <c r="B10" s="50" t="str">
        <f>IFERROR(__xludf.DUMMYFUNCTION("""COMPUTED_VALUE"""),"GANESH")</f>
        <v>GANESH</v>
      </c>
      <c r="C10" s="50" t="str">
        <f>IFERROR(__xludf.DUMMYFUNCTION("""COMPUTED_VALUE"""),"PR 02")</f>
        <v>PR 02</v>
      </c>
      <c r="D10" s="50" t="str">
        <f>IFERROR(__xludf.DUMMYFUNCTION("""COMPUTED_VALUE"""),"September")</f>
        <v>September</v>
      </c>
      <c r="E10" s="68">
        <f>IFERROR(__xludf.DUMMYFUNCTION("""COMPUTED_VALUE"""),500.0)</f>
        <v>500</v>
      </c>
      <c r="F10" s="68"/>
      <c r="G10" s="68">
        <f>IFERROR(__xludf.DUMMYFUNCTION("""COMPUTED_VALUE"""),2000.0)</f>
        <v>2000</v>
      </c>
      <c r="H10" s="50" t="str">
        <f>IFERROR(__xludf.DUMMYFUNCTION("""COMPUTED_VALUE"""),"Personal")</f>
        <v>Personal</v>
      </c>
      <c r="I10" s="50" t="str">
        <f>IFERROR(__xludf.DUMMYFUNCTION("""COMPUTED_VALUE"""),"Not Paid")</f>
        <v>Not Paid</v>
      </c>
      <c r="J10" s="50"/>
      <c r="K10" s="50"/>
      <c r="L10" s="50"/>
      <c r="M10" s="50"/>
      <c r="N10" s="50"/>
      <c r="O10" s="50"/>
      <c r="P10" s="50"/>
      <c r="Q10" s="50"/>
      <c r="R10" s="50"/>
      <c r="S10" s="50"/>
      <c r="T10" s="50"/>
      <c r="U10" s="50"/>
      <c r="V10" s="50"/>
      <c r="W10" s="50"/>
      <c r="X10" s="50"/>
      <c r="Y10" s="50"/>
      <c r="Z10" s="50"/>
      <c r="AA10" s="50"/>
    </row>
    <row r="11">
      <c r="A11" s="67">
        <f>IFERROR(__xludf.DUMMYFUNCTION("""COMPUTED_VALUE"""),45990.0)</f>
        <v>45990</v>
      </c>
      <c r="B11" s="50" t="str">
        <f>IFERROR(__xludf.DUMMYFUNCTION("""COMPUTED_VALUE"""),"GANESH")</f>
        <v>GANESH</v>
      </c>
      <c r="C11" s="50" t="str">
        <f>IFERROR(__xludf.DUMMYFUNCTION("""COMPUTED_VALUE"""),"PR 02")</f>
        <v>PR 02</v>
      </c>
      <c r="D11" s="50" t="str">
        <f>IFERROR(__xludf.DUMMYFUNCTION("""COMPUTED_VALUE"""),"November")</f>
        <v>November</v>
      </c>
      <c r="E11" s="68">
        <f>IFERROR(__xludf.DUMMYFUNCTION("""COMPUTED_VALUE"""),800.0)</f>
        <v>800</v>
      </c>
      <c r="F11" s="68">
        <f>IFERROR(__xludf.DUMMYFUNCTION("""COMPUTED_VALUE"""),800.0)</f>
        <v>800</v>
      </c>
      <c r="G11" s="68">
        <f>IFERROR(__xludf.DUMMYFUNCTION("""COMPUTED_VALUE"""),1800.0)</f>
        <v>1800</v>
      </c>
      <c r="H11" s="50" t="str">
        <f>IFERROR(__xludf.DUMMYFUNCTION("""COMPUTED_VALUE"""),"Personal")</f>
        <v>Personal</v>
      </c>
      <c r="I11" s="50" t="str">
        <f>IFERROR(__xludf.DUMMYFUNCTION("""COMPUTED_VALUE"""),"Paid")</f>
        <v>Paid</v>
      </c>
      <c r="J11" s="50"/>
      <c r="K11" s="50"/>
      <c r="L11" s="50"/>
      <c r="M11" s="50"/>
      <c r="N11" s="50"/>
      <c r="O11" s="50"/>
      <c r="P11" s="50"/>
      <c r="Q11" s="50"/>
      <c r="R11" s="50"/>
      <c r="S11" s="50"/>
      <c r="T11" s="50"/>
      <c r="U11" s="50"/>
      <c r="V11" s="50"/>
      <c r="W11" s="50"/>
      <c r="X11" s="50"/>
      <c r="Y11" s="50"/>
      <c r="Z11" s="50"/>
      <c r="AA11" s="50"/>
    </row>
    <row r="12">
      <c r="A12" s="67">
        <f>IFERROR(__xludf.DUMMYFUNCTION("""COMPUTED_VALUE"""),46053.0)</f>
        <v>46053</v>
      </c>
      <c r="B12" s="50" t="str">
        <f>IFERROR(__xludf.DUMMYFUNCTION("""COMPUTED_VALUE"""),"GANESH")</f>
        <v>GANESH</v>
      </c>
      <c r="C12" s="50" t="str">
        <f>IFERROR(__xludf.DUMMYFUNCTION("""COMPUTED_VALUE"""),"PR 02")</f>
        <v>PR 02</v>
      </c>
      <c r="D12" s="50" t="str">
        <f>IFERROR(__xludf.DUMMYFUNCTION("""COMPUTED_VALUE"""),"December")</f>
        <v>December</v>
      </c>
      <c r="E12" s="68">
        <f>IFERROR(__xludf.DUMMYFUNCTION("""COMPUTED_VALUE"""),500.0)</f>
        <v>500</v>
      </c>
      <c r="F12" s="68">
        <f>IFERROR(__xludf.DUMMYFUNCTION("""COMPUTED_VALUE"""),500.0)</f>
        <v>500</v>
      </c>
      <c r="G12" s="68">
        <f>IFERROR(__xludf.DUMMYFUNCTION("""COMPUTED_VALUE"""),2500.0)</f>
        <v>2500</v>
      </c>
      <c r="H12" s="50" t="str">
        <f>IFERROR(__xludf.DUMMYFUNCTION("""COMPUTED_VALUE"""),"Personal")</f>
        <v>Personal</v>
      </c>
      <c r="I12" s="50" t="str">
        <f>IFERROR(__xludf.DUMMYFUNCTION("""COMPUTED_VALUE"""),"Request Apply")</f>
        <v>Request Apply</v>
      </c>
      <c r="J12" s="50"/>
      <c r="K12" s="50"/>
      <c r="L12" s="50"/>
      <c r="M12" s="50"/>
      <c r="N12" s="50"/>
      <c r="O12" s="50"/>
      <c r="P12" s="50"/>
      <c r="Q12" s="50"/>
      <c r="R12" s="50"/>
      <c r="S12" s="50"/>
      <c r="T12" s="50"/>
      <c r="U12" s="50"/>
      <c r="V12" s="50"/>
      <c r="W12" s="50"/>
      <c r="X12" s="50"/>
      <c r="Y12" s="50"/>
      <c r="Z12" s="50"/>
      <c r="AA12" s="50"/>
    </row>
    <row r="13">
      <c r="A13" s="67">
        <f>IFERROR(__xludf.DUMMYFUNCTION("""COMPUTED_VALUE"""),46056.0)</f>
        <v>46056</v>
      </c>
      <c r="B13" s="50" t="str">
        <f>IFERROR(__xludf.DUMMYFUNCTION("""COMPUTED_VALUE"""),"GANESH")</f>
        <v>GANESH</v>
      </c>
      <c r="C13" s="50" t="str">
        <f>IFERROR(__xludf.DUMMYFUNCTION("""COMPUTED_VALUE"""),"PR 02")</f>
        <v>PR 02</v>
      </c>
      <c r="D13" s="50" t="str">
        <f>IFERROR(__xludf.DUMMYFUNCTION("""COMPUTED_VALUE"""),"February")</f>
        <v>February</v>
      </c>
      <c r="E13" s="68">
        <f>IFERROR(__xludf.DUMMYFUNCTION("""COMPUTED_VALUE"""),200.0)</f>
        <v>200</v>
      </c>
      <c r="F13" s="68">
        <f>IFERROR(__xludf.DUMMYFUNCTION("""COMPUTED_VALUE"""),200.0)</f>
        <v>200</v>
      </c>
      <c r="G13" s="68">
        <f>IFERROR(__xludf.DUMMYFUNCTION("""COMPUTED_VALUE"""),10000.0)</f>
        <v>10000</v>
      </c>
      <c r="H13" s="50"/>
      <c r="I13" s="50"/>
      <c r="J13" s="50"/>
      <c r="K13" s="50"/>
      <c r="L13" s="50"/>
      <c r="M13" s="50"/>
      <c r="N13" s="50"/>
      <c r="O13" s="50"/>
      <c r="P13" s="50"/>
      <c r="Q13" s="50"/>
      <c r="R13" s="50"/>
      <c r="S13" s="50"/>
      <c r="T13" s="50"/>
      <c r="U13" s="50"/>
      <c r="V13" s="50"/>
      <c r="W13" s="50"/>
      <c r="X13" s="50"/>
      <c r="Y13" s="50"/>
      <c r="Z13" s="50"/>
      <c r="AA13" s="50"/>
    </row>
    <row r="14">
      <c r="A14" s="50"/>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row>
    <row r="15">
      <c r="A15" s="50"/>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row>
    <row r="16">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row>
    <row r="17">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row>
    <row r="18">
      <c r="A18" s="50"/>
      <c r="B18" s="50"/>
      <c r="C18" s="50"/>
      <c r="D18" s="50"/>
      <c r="E18" s="50"/>
      <c r="F18" s="50"/>
      <c r="G18" s="50"/>
      <c r="H18" s="50"/>
      <c r="I18" s="50"/>
      <c r="J18" s="50"/>
      <c r="K18" s="50"/>
      <c r="L18" s="50"/>
      <c r="M18" s="50"/>
      <c r="N18" s="50"/>
      <c r="O18" s="50"/>
      <c r="P18" s="50"/>
      <c r="Q18" s="50"/>
      <c r="R18" s="50"/>
      <c r="S18" s="50"/>
      <c r="T18" s="50"/>
      <c r="U18" s="50"/>
      <c r="V18" s="50"/>
      <c r="W18" s="50"/>
      <c r="X18" s="50"/>
      <c r="Y18" s="50"/>
      <c r="Z18" s="50"/>
      <c r="AA18" s="50"/>
    </row>
    <row r="19">
      <c r="A19" s="50"/>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row>
    <row r="20">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row>
    <row r="2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row>
    <row r="22">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row>
    <row r="23">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row>
    <row r="24">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row>
    <row r="1000">
      <c r="A1000" s="50"/>
      <c r="B1000" s="50"/>
      <c r="C1000" s="50"/>
      <c r="D1000" s="50"/>
      <c r="E1000" s="50"/>
      <c r="F1000" s="68">
        <f t="shared" ref="F1000:G1000" si="1">SUM(F8:F999)</f>
        <v>42500</v>
      </c>
      <c r="G1000" s="68">
        <f t="shared" si="1"/>
        <v>21300</v>
      </c>
      <c r="H1000" s="50"/>
      <c r="I1000" s="50"/>
      <c r="J1000" s="50"/>
      <c r="K1000" s="50"/>
      <c r="L1000" s="50"/>
      <c r="M1000" s="50"/>
      <c r="N1000" s="50"/>
      <c r="O1000" s="50"/>
      <c r="P1000" s="50"/>
      <c r="Q1000" s="50"/>
      <c r="R1000" s="50"/>
      <c r="S1000" s="50"/>
      <c r="T1000" s="50"/>
      <c r="U1000" s="50"/>
      <c r="V1000" s="50"/>
      <c r="W1000" s="50"/>
      <c r="X1000" s="50"/>
      <c r="Y1000" s="50"/>
      <c r="Z1000" s="50"/>
      <c r="AA1000" s="50"/>
    </row>
  </sheetData>
  <mergeCells count="3">
    <mergeCell ref="B2:C2"/>
    <mergeCell ref="B3:C3"/>
    <mergeCell ref="B4:C4"/>
  </mergeCells>
  <conditionalFormatting sqref="B4:C4">
    <cfRule type="cellIs" dxfId="5" priority="1" operator="greaterThanOrEqual">
      <formula>2000</formula>
    </cfRule>
  </conditionalFormatting>
  <conditionalFormatting sqref="B4:C4">
    <cfRule type="cellIs" dxfId="6" priority="2" operator="equal">
      <formula>2000</formula>
    </cfRule>
  </conditionalFormatting>
  <conditionalFormatting sqref="B2:C3">
    <cfRule type="notContainsBlanks" dxfId="0" priority="3">
      <formula>LEN(TRIM(B2))&gt;0</formula>
    </cfRule>
  </conditionalFormatting>
  <dataValidations>
    <dataValidation type="list" allowBlank="1" showErrorMessage="1" sqref="B3">
      <formula1>'Employees List'!$A$2:$A$14</formula1>
    </dataValidation>
    <dataValidation type="list" allowBlank="1" showErrorMessage="1" sqref="B2">
      <formula1>'Employees List'!$E$2:$E1000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outlineLevelRow="1"/>
  <cols>
    <col customWidth="1" min="2" max="2" width="16.63"/>
    <col customWidth="1" min="3" max="3" width="12.13"/>
    <col customWidth="1" hidden="1" min="4" max="5" width="20.25"/>
    <col customWidth="1" min="6" max="6" width="20.25"/>
    <col customWidth="1" min="8" max="8" width="18.13"/>
    <col customWidth="1" min="9" max="9" width="15.38"/>
    <col customWidth="1" min="12" max="12" width="10.75"/>
    <col customWidth="1" min="13" max="14" width="10.63"/>
    <col customWidth="1" min="15" max="17" width="11.38"/>
  </cols>
  <sheetData>
    <row r="1" collapsed="1">
      <c r="A1" s="69" t="s">
        <v>202</v>
      </c>
      <c r="B1" s="69" t="s">
        <v>175</v>
      </c>
      <c r="C1" s="69" t="s">
        <v>1</v>
      </c>
      <c r="D1" s="69" t="s">
        <v>203</v>
      </c>
      <c r="E1" s="69" t="s">
        <v>204</v>
      </c>
      <c r="F1" s="69" t="s">
        <v>4</v>
      </c>
      <c r="G1" s="69" t="s">
        <v>205</v>
      </c>
      <c r="H1" s="69" t="s">
        <v>7</v>
      </c>
      <c r="I1" s="69" t="s">
        <v>206</v>
      </c>
      <c r="J1" s="69" t="s">
        <v>207</v>
      </c>
      <c r="K1" s="69" t="s">
        <v>208</v>
      </c>
      <c r="L1" s="69" t="s">
        <v>209</v>
      </c>
      <c r="M1" s="69" t="s">
        <v>210</v>
      </c>
      <c r="N1" s="69" t="s">
        <v>211</v>
      </c>
      <c r="O1" s="69" t="s">
        <v>212</v>
      </c>
      <c r="P1" s="69" t="s">
        <v>213</v>
      </c>
      <c r="Q1" s="69" t="s">
        <v>214</v>
      </c>
      <c r="R1" s="69" t="s">
        <v>215</v>
      </c>
      <c r="S1" s="69" t="s">
        <v>216</v>
      </c>
      <c r="T1" s="69" t="s">
        <v>217</v>
      </c>
      <c r="U1" s="69" t="s">
        <v>218</v>
      </c>
      <c r="V1" s="10"/>
      <c r="W1" s="10"/>
      <c r="X1" s="10"/>
      <c r="Y1" s="10"/>
      <c r="Z1" s="10"/>
      <c r="AA1" s="10"/>
      <c r="AB1" s="10"/>
      <c r="AC1" s="10"/>
      <c r="AD1" s="10"/>
      <c r="AE1" s="10"/>
      <c r="AF1" s="10"/>
    </row>
    <row r="2" hidden="1" outlineLevel="1">
      <c r="A2" s="9" t="s">
        <v>219</v>
      </c>
      <c r="B2" s="70" t="s">
        <v>12</v>
      </c>
      <c r="C2" s="9" t="s">
        <v>13</v>
      </c>
      <c r="D2" s="9" t="str">
        <f t="shared" ref="D2:D999" si="1">B2&amp;F2</f>
        <v>AprilBHUVANESHWARAN.V</v>
      </c>
      <c r="E2" s="10" t="str">
        <f t="shared" ref="E2:E999" si="2">D2&amp;$N$1</f>
        <v>AprilBHUVANESHWARAN.VOT Hours</v>
      </c>
      <c r="F2" s="10" t="str">
        <f>IFERROR(VLOOKUP(C2,'Employees List'!$B$1:$I$999,4,0),"")</f>
        <v>BHUVANESHWARAN.V</v>
      </c>
      <c r="G2" s="71">
        <f>S2</f>
        <v>66900</v>
      </c>
      <c r="H2" s="72">
        <f>IFERROR(VLOOKUP(C2,'Employees List'!$B$2:$I$991,7,0),"")</f>
        <v>500101011548924</v>
      </c>
      <c r="I2" s="73">
        <f>IFERROR(VLOOKUP(F2,'Employees List'!$E$1:$AE$991,6,0),"")</f>
        <v>66000</v>
      </c>
      <c r="J2" s="71">
        <f t="shared" ref="J2:J999" si="3">I2*70%</f>
        <v>46200</v>
      </c>
      <c r="K2" s="71">
        <f t="shared" ref="K2:K999" si="4">I2*30%</f>
        <v>19800</v>
      </c>
      <c r="L2" s="10">
        <f>IFERROR(VLOOKUP(B2,'Employees List'!$A$2:$K$991,11,0),"")</f>
        <v>30</v>
      </c>
      <c r="M2" s="74">
        <f>IFERROR(VLOOKUP(D2,'Daily Attendance 25-26'!$A$4:BP999,5,0),"")</f>
        <v>30</v>
      </c>
      <c r="N2" s="10">
        <f>IFERROR(VLOOKUP(E2,'Daily Attendance 25-26'!$A$1:$BO$1741,5,0),"")</f>
        <v>0</v>
      </c>
      <c r="O2" s="75">
        <v>900.0</v>
      </c>
      <c r="P2" s="76"/>
      <c r="Q2" s="71">
        <f t="shared" ref="Q2:Q999" si="5">I2/L2*M2</f>
        <v>66000</v>
      </c>
      <c r="R2" s="77">
        <f t="shared" ref="R2:R999" si="6">I2/L2/8*1.5*N2</f>
        <v>0</v>
      </c>
      <c r="S2" s="77">
        <f t="shared" ref="S2:S80" si="7">Q2+R2-P2+O2</f>
        <v>66900</v>
      </c>
      <c r="T2" s="78">
        <v>0.0</v>
      </c>
      <c r="U2" s="77">
        <f t="shared" ref="U2:U999" si="8">Q2+R2+O2</f>
        <v>66900</v>
      </c>
      <c r="V2" s="79"/>
      <c r="W2" s="10"/>
      <c r="X2" s="10"/>
      <c r="Y2" s="10"/>
      <c r="Z2" s="10"/>
      <c r="AA2" s="10"/>
      <c r="AB2" s="10"/>
      <c r="AC2" s="10"/>
      <c r="AD2" s="10"/>
      <c r="AE2" s="10"/>
      <c r="AF2" s="10"/>
    </row>
    <row r="3" hidden="1" outlineLevel="1">
      <c r="A3" s="9" t="s">
        <v>220</v>
      </c>
      <c r="B3" s="70" t="s">
        <v>12</v>
      </c>
      <c r="C3" s="9" t="s">
        <v>71</v>
      </c>
      <c r="D3" s="9" t="str">
        <f t="shared" si="1"/>
        <v>AprilTHIRIPURA SUNDARI.R</v>
      </c>
      <c r="E3" s="10" t="str">
        <f t="shared" si="2"/>
        <v>AprilTHIRIPURA SUNDARI.ROT Hours</v>
      </c>
      <c r="F3" s="10" t="str">
        <f>IFERROR(VLOOKUP(C3,'Employees List'!$B$1:$I$999,4,0),"")</f>
        <v>THIRIPURA SUNDARI.R</v>
      </c>
      <c r="G3" s="71">
        <f t="shared" ref="G3:G15" si="9">S3-T3</f>
        <v>23075.625</v>
      </c>
      <c r="H3" s="72" t="str">
        <f>IFERROR(VLOOKUP(C3,'Employees List'!$B$2:$I$991,7,0),"")</f>
        <v>8131010000016977</v>
      </c>
      <c r="I3" s="73">
        <f>IFERROR(VLOOKUP(F3,'Employees List'!$E$1:$AE$991,6,0),"")</f>
        <v>21000</v>
      </c>
      <c r="J3" s="71">
        <f t="shared" si="3"/>
        <v>14700</v>
      </c>
      <c r="K3" s="71">
        <f t="shared" si="4"/>
        <v>6300</v>
      </c>
      <c r="L3" s="10">
        <f>IFERROR(VLOOKUP(B3,'Employees List'!$A$2:$K$991,11,0),"")</f>
        <v>30</v>
      </c>
      <c r="M3" s="74">
        <f>IFERROR(VLOOKUP(D3,'Daily Attendance 25-26'!$A$4:BP999,5,0),"")</f>
        <v>30</v>
      </c>
      <c r="N3" s="10">
        <f>IFERROR(VLOOKUP(E3,'Daily Attendance 25-26'!$A$1:$BO$1741,5,0),"")</f>
        <v>8</v>
      </c>
      <c r="O3" s="75">
        <v>1200.0</v>
      </c>
      <c r="P3" s="80"/>
      <c r="Q3" s="71">
        <f t="shared" si="5"/>
        <v>21000</v>
      </c>
      <c r="R3" s="77">
        <f t="shared" si="6"/>
        <v>1050</v>
      </c>
      <c r="S3" s="77">
        <f t="shared" si="7"/>
        <v>23250</v>
      </c>
      <c r="T3" s="77">
        <f t="shared" ref="T3:T27" si="10">U3*0.75%</f>
        <v>174.375</v>
      </c>
      <c r="U3" s="77">
        <f t="shared" si="8"/>
        <v>23250</v>
      </c>
      <c r="V3" s="79"/>
      <c r="W3" s="10"/>
      <c r="X3" s="10"/>
      <c r="Y3" s="10"/>
      <c r="Z3" s="10"/>
      <c r="AA3" s="10"/>
      <c r="AB3" s="10"/>
      <c r="AC3" s="10"/>
      <c r="AD3" s="10"/>
      <c r="AE3" s="10"/>
      <c r="AF3" s="10"/>
    </row>
    <row r="4" hidden="1" outlineLevel="1">
      <c r="A4" s="9" t="s">
        <v>221</v>
      </c>
      <c r="B4" s="70" t="s">
        <v>12</v>
      </c>
      <c r="C4" s="9" t="s">
        <v>22</v>
      </c>
      <c r="D4" s="9" t="str">
        <f t="shared" si="1"/>
        <v>AprilGANESH</v>
      </c>
      <c r="E4" s="10" t="str">
        <f t="shared" si="2"/>
        <v>AprilGANESHOT Hours</v>
      </c>
      <c r="F4" s="10" t="str">
        <f>IFERROR(VLOOKUP(C4,'Employees List'!$B$1:$I$999,4,0),"")</f>
        <v>GANESH</v>
      </c>
      <c r="G4" s="71">
        <f t="shared" si="9"/>
        <v>13436.21354</v>
      </c>
      <c r="H4" s="72" t="str">
        <f>IFERROR(VLOOKUP(C4,'Employees List'!$B$2:$I$991,7,0),"")</f>
        <v>8811010012054879</v>
      </c>
      <c r="I4" s="73">
        <f>IFERROR(VLOOKUP(F4,'Employees List'!$E$1:$AE$991,6,0),"")</f>
        <v>18500</v>
      </c>
      <c r="J4" s="71">
        <f t="shared" si="3"/>
        <v>12950</v>
      </c>
      <c r="K4" s="71">
        <f t="shared" si="4"/>
        <v>5550</v>
      </c>
      <c r="L4" s="10">
        <f>IFERROR(VLOOKUP(B4,'Employees List'!$A$2:$K$991,11,0),"")</f>
        <v>30</v>
      </c>
      <c r="M4" s="74">
        <f>IFERROR(VLOOKUP(D4,'Daily Attendance 25-26'!$A$4:BP999,5,0),"")</f>
        <v>22</v>
      </c>
      <c r="N4" s="10">
        <f>IFERROR(VLOOKUP(E4,'Daily Attendance 25-26'!$A$1:$BO$1741,5,0),"")</f>
        <v>22</v>
      </c>
      <c r="O4" s="9">
        <v>450.0</v>
      </c>
      <c r="P4" s="9">
        <v>3000.0</v>
      </c>
      <c r="Q4" s="71">
        <f t="shared" si="5"/>
        <v>13566.66667</v>
      </c>
      <c r="R4" s="77">
        <f t="shared" si="6"/>
        <v>2543.75</v>
      </c>
      <c r="S4" s="77">
        <f t="shared" si="7"/>
        <v>13560.41667</v>
      </c>
      <c r="T4" s="71">
        <f t="shared" si="10"/>
        <v>124.203125</v>
      </c>
      <c r="U4" s="71">
        <f t="shared" si="8"/>
        <v>16560.41667</v>
      </c>
      <c r="V4" s="10"/>
      <c r="W4" s="10"/>
      <c r="X4" s="10"/>
      <c r="Y4" s="9"/>
      <c r="Z4" s="10"/>
      <c r="AA4" s="10"/>
      <c r="AB4" s="10"/>
      <c r="AC4" s="10"/>
      <c r="AD4" s="10"/>
      <c r="AE4" s="10"/>
      <c r="AF4" s="10"/>
    </row>
    <row r="5" hidden="1" outlineLevel="1">
      <c r="A5" s="9" t="s">
        <v>222</v>
      </c>
      <c r="B5" s="70" t="s">
        <v>12</v>
      </c>
      <c r="C5" s="9" t="s">
        <v>77</v>
      </c>
      <c r="D5" s="9" t="str">
        <f t="shared" si="1"/>
        <v>AprilILAMATHIVANAN.S</v>
      </c>
      <c r="E5" s="10" t="str">
        <f t="shared" si="2"/>
        <v>AprilILAMATHIVANAN.SOT Hours</v>
      </c>
      <c r="F5" s="10" t="str">
        <f>IFERROR(VLOOKUP(C5,'Employees List'!$B$1:$I$999,4,0),"")</f>
        <v>ILAMATHIVANAN.S</v>
      </c>
      <c r="G5" s="71">
        <f t="shared" si="9"/>
        <v>16766.76563</v>
      </c>
      <c r="H5" s="72" t="str">
        <f>IFERROR(VLOOKUP(C5,'Employees List'!$B$2:$I$991,7,0),"")</f>
        <v>8131010000016986</v>
      </c>
      <c r="I5" s="73">
        <f>IFERROR(VLOOKUP(F5,'Employees List'!$E$1:$AE$991,6,0),"")</f>
        <v>21000</v>
      </c>
      <c r="J5" s="71">
        <f t="shared" si="3"/>
        <v>14700</v>
      </c>
      <c r="K5" s="71">
        <f t="shared" si="4"/>
        <v>6300</v>
      </c>
      <c r="L5" s="10">
        <f>IFERROR(VLOOKUP(B5,'Employees List'!$A$2:$K$991,11,0),"")</f>
        <v>30</v>
      </c>
      <c r="M5" s="74">
        <f>IFERROR(VLOOKUP(D5,'Daily Attendance 25-26'!$A$4:BP999,5,0),"")</f>
        <v>23</v>
      </c>
      <c r="N5" s="10">
        <f>IFERROR(VLOOKUP(E5,'Daily Attendance 25-26'!$A$1:$BO$1741,5,0),"")</f>
        <v>41</v>
      </c>
      <c r="O5" s="9">
        <v>450.0</v>
      </c>
      <c r="P5" s="9">
        <v>5000.0</v>
      </c>
      <c r="Q5" s="71">
        <f t="shared" si="5"/>
        <v>16100</v>
      </c>
      <c r="R5" s="77">
        <f t="shared" si="6"/>
        <v>5381.25</v>
      </c>
      <c r="S5" s="77">
        <f t="shared" si="7"/>
        <v>16931.25</v>
      </c>
      <c r="T5" s="71">
        <f t="shared" si="10"/>
        <v>164.484375</v>
      </c>
      <c r="U5" s="71">
        <f t="shared" si="8"/>
        <v>21931.25</v>
      </c>
      <c r="V5" s="9"/>
      <c r="W5" s="9"/>
      <c r="X5" s="9"/>
      <c r="Y5" s="9"/>
      <c r="Z5" s="9"/>
      <c r="AA5" s="9"/>
      <c r="AB5" s="10"/>
      <c r="AC5" s="10"/>
      <c r="AD5" s="10"/>
      <c r="AE5" s="10"/>
      <c r="AF5" s="10"/>
    </row>
    <row r="6" hidden="1" outlineLevel="1">
      <c r="A6" s="9" t="s">
        <v>223</v>
      </c>
      <c r="B6" s="70" t="s">
        <v>12</v>
      </c>
      <c r="C6" s="9" t="s">
        <v>42</v>
      </c>
      <c r="D6" s="9" t="str">
        <f t="shared" si="1"/>
        <v>AprilAMMU.S</v>
      </c>
      <c r="E6" s="10" t="str">
        <f t="shared" si="2"/>
        <v>AprilAMMU.SOT Hours</v>
      </c>
      <c r="F6" s="10" t="str">
        <f>IFERROR(VLOOKUP(C6,'Employees List'!$B$1:$I$999,4,0),"")</f>
        <v>AMMU.S</v>
      </c>
      <c r="G6" s="71">
        <f t="shared" si="9"/>
        <v>12030.96094</v>
      </c>
      <c r="H6" s="72">
        <f>IFERROR(VLOOKUP(C6,'Employees List'!$B$2:$I$991,7,0),"")</f>
        <v>65801000040238</v>
      </c>
      <c r="I6" s="73">
        <f>IFERROR(VLOOKUP(F6,'Employees List'!$E$1:$AE$991,6,0),"")</f>
        <v>10500</v>
      </c>
      <c r="J6" s="71">
        <f t="shared" si="3"/>
        <v>7350</v>
      </c>
      <c r="K6" s="71">
        <f t="shared" si="4"/>
        <v>3150</v>
      </c>
      <c r="L6" s="10">
        <f>IFERROR(VLOOKUP(B6,'Employees List'!$A$2:$K$991,11,0),"")</f>
        <v>30</v>
      </c>
      <c r="M6" s="74">
        <f>IFERROR(VLOOKUP(D6,'Daily Attendance 25-26'!$A$4:BP999,5,0),"")</f>
        <v>30</v>
      </c>
      <c r="N6" s="10">
        <f>IFERROR(VLOOKUP(E6,'Daily Attendance 25-26'!$A$1:$BO$1741,5,0),"")</f>
        <v>11</v>
      </c>
      <c r="O6" s="9">
        <v>900.0</v>
      </c>
      <c r="P6" s="10"/>
      <c r="Q6" s="71">
        <f t="shared" si="5"/>
        <v>10500</v>
      </c>
      <c r="R6" s="77">
        <f t="shared" si="6"/>
        <v>721.875</v>
      </c>
      <c r="S6" s="77">
        <f t="shared" si="7"/>
        <v>12121.875</v>
      </c>
      <c r="T6" s="71">
        <f t="shared" si="10"/>
        <v>90.9140625</v>
      </c>
      <c r="U6" s="71">
        <f t="shared" si="8"/>
        <v>12121.875</v>
      </c>
      <c r="V6" s="9"/>
      <c r="W6" s="9"/>
      <c r="X6" s="9"/>
      <c r="Y6" s="9"/>
      <c r="Z6" s="9"/>
      <c r="AA6" s="9"/>
      <c r="AB6" s="10"/>
      <c r="AC6" s="10"/>
      <c r="AD6" s="10"/>
      <c r="AE6" s="10"/>
      <c r="AF6" s="10"/>
    </row>
    <row r="7" hidden="1" outlineLevel="1">
      <c r="A7" s="9" t="s">
        <v>224</v>
      </c>
      <c r="B7" s="70" t="s">
        <v>12</v>
      </c>
      <c r="C7" s="9" t="s">
        <v>46</v>
      </c>
      <c r="D7" s="9" t="str">
        <f t="shared" si="1"/>
        <v>AprilREVATHI.S</v>
      </c>
      <c r="E7" s="10" t="str">
        <f t="shared" si="2"/>
        <v>AprilREVATHI.SOT Hours</v>
      </c>
      <c r="F7" s="10" t="str">
        <f>IFERROR(VLOOKUP(C7,'Employees List'!$B$1:$I$999,4,0),"")</f>
        <v>REVATHI.S</v>
      </c>
      <c r="G7" s="71">
        <f t="shared" si="9"/>
        <v>9606.695313</v>
      </c>
      <c r="H7" s="72" t="str">
        <f>IFERROR(VLOOKUP(C7,'Employees List'!$B$2:$I$991,7,0),"")</f>
        <v>8131010000016995</v>
      </c>
      <c r="I7" s="73">
        <f>IFERROR(VLOOKUP(F7,'Employees List'!$E$1:$AE$991,6,0),"")</f>
        <v>10500</v>
      </c>
      <c r="J7" s="71">
        <f t="shared" si="3"/>
        <v>7350</v>
      </c>
      <c r="K7" s="71">
        <f t="shared" si="4"/>
        <v>3150</v>
      </c>
      <c r="L7" s="10">
        <f>IFERROR(VLOOKUP(B7,'Employees List'!$A$2:$K$991,11,0),"")</f>
        <v>30</v>
      </c>
      <c r="M7" s="74">
        <f>IFERROR(VLOOKUP(D7,'Daily Attendance 25-26'!$A$4:BP999,5,0),"")</f>
        <v>29</v>
      </c>
      <c r="N7" s="10">
        <f>IFERROR(VLOOKUP(E7,'Daily Attendance 25-26'!$A$1:$BO$1741,5,0),"")</f>
        <v>9</v>
      </c>
      <c r="O7" s="9">
        <v>450.0</v>
      </c>
      <c r="P7" s="9">
        <v>1500.0</v>
      </c>
      <c r="Q7" s="71">
        <f t="shared" si="5"/>
        <v>10150</v>
      </c>
      <c r="R7" s="77">
        <f t="shared" si="6"/>
        <v>590.625</v>
      </c>
      <c r="S7" s="77">
        <f t="shared" si="7"/>
        <v>9690.625</v>
      </c>
      <c r="T7" s="71">
        <f t="shared" si="10"/>
        <v>83.9296875</v>
      </c>
      <c r="U7" s="71">
        <f t="shared" si="8"/>
        <v>11190.625</v>
      </c>
      <c r="V7" s="10"/>
      <c r="W7" s="10"/>
      <c r="X7" s="10"/>
      <c r="Y7" s="10"/>
      <c r="Z7" s="10"/>
      <c r="AA7" s="10"/>
      <c r="AB7" s="10"/>
      <c r="AC7" s="10"/>
      <c r="AD7" s="10"/>
      <c r="AE7" s="10"/>
      <c r="AF7" s="10"/>
    </row>
    <row r="8" hidden="1" outlineLevel="1">
      <c r="A8" s="9" t="s">
        <v>225</v>
      </c>
      <c r="B8" s="70" t="s">
        <v>12</v>
      </c>
      <c r="C8" s="9" t="s">
        <v>74</v>
      </c>
      <c r="D8" s="9" t="str">
        <f t="shared" si="1"/>
        <v>AprilLEELAVATHI.M</v>
      </c>
      <c r="E8" s="10" t="str">
        <f t="shared" si="2"/>
        <v>AprilLEELAVATHI.MOT Hours</v>
      </c>
      <c r="F8" s="10" t="str">
        <f>IFERROR(VLOOKUP(C8,'Employees List'!$B$1:$I$999,4,0),"")</f>
        <v>LEELAVATHI.M</v>
      </c>
      <c r="G8" s="71">
        <f t="shared" si="9"/>
        <v>15048.78125</v>
      </c>
      <c r="H8" s="72" t="str">
        <f>IFERROR(VLOOKUP(C8,'Employees List'!$B$2:$I$991,7,0),"")</f>
        <v>8387010000017745</v>
      </c>
      <c r="I8" s="73">
        <f>IFERROR(VLOOKUP(F8,'Employees List'!$E$1:$AE$991,6,0),"")</f>
        <v>14000</v>
      </c>
      <c r="J8" s="71">
        <f t="shared" si="3"/>
        <v>9800</v>
      </c>
      <c r="K8" s="71">
        <f t="shared" si="4"/>
        <v>4200</v>
      </c>
      <c r="L8" s="10">
        <f>IFERROR(VLOOKUP(B8,'Employees List'!$A$2:$K$991,11,0),"")</f>
        <v>30</v>
      </c>
      <c r="M8" s="74">
        <f>IFERROR(VLOOKUP(D8,'Daily Attendance 25-26'!$A$4:BP999,5,0),"")</f>
        <v>30</v>
      </c>
      <c r="N8" s="10">
        <f>IFERROR(VLOOKUP(E8,'Daily Attendance 25-26'!$A$1:$BO$1741,5,0),"")</f>
        <v>3</v>
      </c>
      <c r="O8" s="9">
        <v>900.0</v>
      </c>
      <c r="P8" s="10"/>
      <c r="Q8" s="71">
        <f t="shared" si="5"/>
        <v>14000</v>
      </c>
      <c r="R8" s="77">
        <f t="shared" si="6"/>
        <v>262.5</v>
      </c>
      <c r="S8" s="77">
        <f t="shared" si="7"/>
        <v>15162.5</v>
      </c>
      <c r="T8" s="71">
        <f t="shared" si="10"/>
        <v>113.71875</v>
      </c>
      <c r="U8" s="71">
        <f t="shared" si="8"/>
        <v>15162.5</v>
      </c>
      <c r="V8" s="10"/>
      <c r="W8" s="10"/>
      <c r="X8" s="10"/>
      <c r="Y8" s="10"/>
      <c r="Z8" s="10"/>
      <c r="AA8" s="10"/>
      <c r="AB8" s="10"/>
      <c r="AC8" s="10"/>
      <c r="AD8" s="10"/>
      <c r="AE8" s="10"/>
      <c r="AF8" s="10"/>
    </row>
    <row r="9" hidden="1" outlineLevel="1">
      <c r="A9" s="9" t="s">
        <v>226</v>
      </c>
      <c r="B9" s="70" t="s">
        <v>12</v>
      </c>
      <c r="C9" s="9" t="s">
        <v>96</v>
      </c>
      <c r="D9" s="9" t="str">
        <f t="shared" si="1"/>
        <v>AprilPARSHU BAGH</v>
      </c>
      <c r="E9" s="10" t="str">
        <f t="shared" si="2"/>
        <v>AprilPARSHU BAGHOT Hours</v>
      </c>
      <c r="F9" s="10" t="str">
        <f>IFERROR(VLOOKUP(C9,'Employees List'!$B$1:$I$999,4,0),"")</f>
        <v>PARSHU BAGH</v>
      </c>
      <c r="G9" s="71">
        <f t="shared" si="9"/>
        <v>4032.03125</v>
      </c>
      <c r="H9" s="72">
        <f>IFERROR(VLOOKUP(C9,'Employees List'!$B$2:$I$991,7,0),"")</f>
        <v>40653547928</v>
      </c>
      <c r="I9" s="73">
        <f>IFERROR(VLOOKUP(F9,'Employees List'!$E$1:$AE$991,6,0),"")</f>
        <v>13000</v>
      </c>
      <c r="J9" s="71">
        <f t="shared" si="3"/>
        <v>9100</v>
      </c>
      <c r="K9" s="71">
        <f t="shared" si="4"/>
        <v>3900</v>
      </c>
      <c r="L9" s="10">
        <f>IFERROR(VLOOKUP(B9,'Employees List'!$A$2:$K$991,11,0),"")</f>
        <v>30</v>
      </c>
      <c r="M9" s="74">
        <f>IFERROR(VLOOKUP(D9,'Daily Attendance 25-26'!$A$4:BP999,5,0),"")</f>
        <v>9</v>
      </c>
      <c r="N9" s="10">
        <f>IFERROR(VLOOKUP(E9,'Daily Attendance 25-26'!$A$1:$BO$1741,5,0),"")</f>
        <v>2</v>
      </c>
      <c r="O9" s="9"/>
      <c r="P9" s="10"/>
      <c r="Q9" s="71">
        <f t="shared" si="5"/>
        <v>3900</v>
      </c>
      <c r="R9" s="77">
        <f t="shared" si="6"/>
        <v>162.5</v>
      </c>
      <c r="S9" s="77">
        <f t="shared" si="7"/>
        <v>4062.5</v>
      </c>
      <c r="T9" s="71">
        <f t="shared" si="10"/>
        <v>30.46875</v>
      </c>
      <c r="U9" s="71">
        <f t="shared" si="8"/>
        <v>4062.5</v>
      </c>
      <c r="V9" s="10"/>
      <c r="W9" s="10"/>
      <c r="X9" s="10"/>
      <c r="Y9" s="10"/>
      <c r="Z9" s="10"/>
      <c r="AA9" s="10"/>
      <c r="AB9" s="10"/>
      <c r="AC9" s="10"/>
      <c r="AD9" s="10"/>
      <c r="AE9" s="10"/>
      <c r="AF9" s="10"/>
    </row>
    <row r="10" hidden="1" outlineLevel="1">
      <c r="A10" s="9" t="s">
        <v>227</v>
      </c>
      <c r="B10" s="70" t="s">
        <v>12</v>
      </c>
      <c r="C10" s="9" t="s">
        <v>58</v>
      </c>
      <c r="D10" s="9" t="str">
        <f t="shared" si="1"/>
        <v>AprilPINU </v>
      </c>
      <c r="E10" s="10" t="str">
        <f t="shared" si="2"/>
        <v>AprilPINU OT Hours</v>
      </c>
      <c r="F10" s="10" t="str">
        <f>IFERROR(VLOOKUP(C10,'Employees List'!$B$1:$I$999,4,0),"")</f>
        <v>PINU </v>
      </c>
      <c r="G10" s="71">
        <f t="shared" si="9"/>
        <v>4298.765625</v>
      </c>
      <c r="H10" s="72" t="str">
        <f>IFERROR(VLOOKUP(C10,'Employees List'!$B$2:$I$991,7,0),"")</f>
        <v>8131010000018814</v>
      </c>
      <c r="I10" s="73">
        <f>IFERROR(VLOOKUP(F10,'Employees List'!$E$1:$AE$991,6,0),"")</f>
        <v>11000</v>
      </c>
      <c r="J10" s="71">
        <f t="shared" si="3"/>
        <v>7700</v>
      </c>
      <c r="K10" s="71">
        <f t="shared" si="4"/>
        <v>3300</v>
      </c>
      <c r="L10" s="10">
        <f>IFERROR(VLOOKUP(B10,'Employees List'!$A$2:$K$991,11,0),"")</f>
        <v>30</v>
      </c>
      <c r="M10" s="74">
        <f>IFERROR(VLOOKUP(D10,'Daily Attendance 25-26'!$A$4:BP999,5,0),"")</f>
        <v>9</v>
      </c>
      <c r="N10" s="10">
        <f>IFERROR(VLOOKUP(E10,'Daily Attendance 25-26'!$A$1:$BO$1741,5,0),"")</f>
        <v>15</v>
      </c>
      <c r="O10" s="9"/>
      <c r="P10" s="10"/>
      <c r="Q10" s="71">
        <f t="shared" si="5"/>
        <v>3300</v>
      </c>
      <c r="R10" s="77">
        <f t="shared" si="6"/>
        <v>1031.25</v>
      </c>
      <c r="S10" s="77">
        <f t="shared" si="7"/>
        <v>4331.25</v>
      </c>
      <c r="T10" s="71">
        <f t="shared" si="10"/>
        <v>32.484375</v>
      </c>
      <c r="U10" s="71">
        <f t="shared" si="8"/>
        <v>4331.25</v>
      </c>
      <c r="V10" s="10"/>
      <c r="W10" s="10"/>
      <c r="X10" s="10"/>
      <c r="Y10" s="10"/>
      <c r="Z10" s="10"/>
      <c r="AA10" s="10"/>
      <c r="AB10" s="10"/>
      <c r="AC10" s="10"/>
      <c r="AD10" s="10"/>
      <c r="AE10" s="10"/>
      <c r="AF10" s="10"/>
    </row>
    <row r="11" hidden="1" outlineLevel="1">
      <c r="A11" s="9" t="s">
        <v>228</v>
      </c>
      <c r="B11" s="70" t="s">
        <v>12</v>
      </c>
      <c r="C11" s="9" t="s">
        <v>34</v>
      </c>
      <c r="D11" s="9" t="str">
        <f t="shared" si="1"/>
        <v>AprilSANJAY BAGARTTI.K</v>
      </c>
      <c r="E11" s="10" t="str">
        <f t="shared" si="2"/>
        <v>AprilSANJAY BAGARTTI.KOT Hours</v>
      </c>
      <c r="F11" s="10" t="str">
        <f>IFERROR(VLOOKUP(C11,'Employees List'!$B$1:$I$999,4,0),"")</f>
        <v>SANJAY BAGARTTI.K</v>
      </c>
      <c r="G11" s="71">
        <f t="shared" si="9"/>
        <v>20811.48438</v>
      </c>
      <c r="H11" s="72" t="str">
        <f>IFERROR(VLOOKUP(C11,'Employees List'!$B$2:$I$991,7,0),"")</f>
        <v>8131010000021225</v>
      </c>
      <c r="I11" s="73">
        <f>IFERROR(VLOOKUP(F11,'Employees List'!$E$1:$AE$991,6,0),"")</f>
        <v>13000</v>
      </c>
      <c r="J11" s="71">
        <f t="shared" si="3"/>
        <v>9100</v>
      </c>
      <c r="K11" s="71">
        <f t="shared" si="4"/>
        <v>3900</v>
      </c>
      <c r="L11" s="10">
        <f>IFERROR(VLOOKUP(B11,'Employees List'!$A$2:$K$991,11,0),"")</f>
        <v>30</v>
      </c>
      <c r="M11" s="74">
        <f>IFERROR(VLOOKUP(D11,'Daily Attendance 25-26'!$A$4:BP999,5,0),"")</f>
        <v>30</v>
      </c>
      <c r="N11" s="10">
        <f>IFERROR(VLOOKUP(E11,'Daily Attendance 25-26'!$A$1:$BO$1741,5,0),"")</f>
        <v>87</v>
      </c>
      <c r="O11" s="9">
        <v>900.0</v>
      </c>
      <c r="P11" s="9"/>
      <c r="Q11" s="71">
        <f t="shared" si="5"/>
        <v>13000</v>
      </c>
      <c r="R11" s="77">
        <f t="shared" si="6"/>
        <v>7068.75</v>
      </c>
      <c r="S11" s="71">
        <f t="shared" si="7"/>
        <v>20968.75</v>
      </c>
      <c r="T11" s="71">
        <f t="shared" si="10"/>
        <v>157.265625</v>
      </c>
      <c r="U11" s="71">
        <f t="shared" si="8"/>
        <v>20968.75</v>
      </c>
      <c r="V11" s="10"/>
      <c r="W11" s="10"/>
      <c r="X11" s="10"/>
      <c r="Y11" s="10"/>
      <c r="Z11" s="10"/>
      <c r="AA11" s="10"/>
      <c r="AB11" s="10"/>
      <c r="AC11" s="10"/>
      <c r="AD11" s="10"/>
      <c r="AE11" s="10"/>
      <c r="AF11" s="10"/>
    </row>
    <row r="12" hidden="1" outlineLevel="1">
      <c r="A12" s="9" t="s">
        <v>229</v>
      </c>
      <c r="B12" s="70" t="s">
        <v>12</v>
      </c>
      <c r="C12" s="9" t="s">
        <v>26</v>
      </c>
      <c r="D12" s="9" t="str">
        <f t="shared" si="1"/>
        <v>AprilADHIKARI BALIA.A</v>
      </c>
      <c r="E12" s="10" t="str">
        <f t="shared" si="2"/>
        <v>AprilADHIKARI BALIA.AOT Hours</v>
      </c>
      <c r="F12" s="10" t="str">
        <f>IFERROR(VLOOKUP(C12,'Employees List'!$B$1:$I$999,4,0),"")</f>
        <v>ADHIKARI BALIA.A</v>
      </c>
      <c r="G12" s="71">
        <f t="shared" si="9"/>
        <v>1542.614583</v>
      </c>
      <c r="H12" s="72" t="str">
        <f>IFERROR(VLOOKUP(C12,'Employees List'!$B$2:$I$991,7,0),"")</f>
        <v>8131010000018948</v>
      </c>
      <c r="I12" s="73">
        <f>IFERROR(VLOOKUP(F12,'Employees List'!$E$1:$AE$991,6,0),"")</f>
        <v>13000</v>
      </c>
      <c r="J12" s="71">
        <f t="shared" si="3"/>
        <v>9100</v>
      </c>
      <c r="K12" s="71">
        <f t="shared" si="4"/>
        <v>3900</v>
      </c>
      <c r="L12" s="10">
        <f>IFERROR(VLOOKUP(B12,'Employees List'!$A$2:$K$991,11,0),"")</f>
        <v>30</v>
      </c>
      <c r="M12" s="74">
        <f>IFERROR(VLOOKUP(D12,'Daily Attendance 25-26'!$A$4:BP999,5,0),"")</f>
        <v>10</v>
      </c>
      <c r="N12" s="10">
        <f>IFERROR(VLOOKUP(E12,'Daily Attendance 25-26'!$A$1:$BO$1741,5,0),"")</f>
        <v>34</v>
      </c>
      <c r="O12" s="9"/>
      <c r="P12" s="9">
        <v>5500.0</v>
      </c>
      <c r="Q12" s="71">
        <f t="shared" si="5"/>
        <v>4333.333333</v>
      </c>
      <c r="R12" s="77">
        <f t="shared" si="6"/>
        <v>2762.5</v>
      </c>
      <c r="S12" s="71">
        <f t="shared" si="7"/>
        <v>1595.833333</v>
      </c>
      <c r="T12" s="71">
        <f t="shared" si="10"/>
        <v>53.21875</v>
      </c>
      <c r="U12" s="71">
        <f t="shared" si="8"/>
        <v>7095.833333</v>
      </c>
      <c r="V12" s="10"/>
      <c r="W12" s="10"/>
      <c r="X12" s="10"/>
      <c r="Y12" s="10"/>
      <c r="Z12" s="10"/>
      <c r="AA12" s="10"/>
      <c r="AB12" s="10"/>
      <c r="AC12" s="10"/>
      <c r="AD12" s="10"/>
      <c r="AE12" s="10"/>
      <c r="AF12" s="10"/>
    </row>
    <row r="13" hidden="1" outlineLevel="1">
      <c r="A13" s="9" t="s">
        <v>230</v>
      </c>
      <c r="B13" s="70" t="s">
        <v>12</v>
      </c>
      <c r="C13" s="9" t="s">
        <v>30</v>
      </c>
      <c r="D13" s="9" t="str">
        <f t="shared" si="1"/>
        <v>AprilRUPESH KISAN</v>
      </c>
      <c r="E13" s="10" t="str">
        <f t="shared" si="2"/>
        <v>AprilRUPESH KISANOT Hours</v>
      </c>
      <c r="F13" s="10" t="str">
        <f>IFERROR(VLOOKUP(C13,'Employees List'!$B$1:$I$999,4,0),"")</f>
        <v>RUPESH KISAN</v>
      </c>
      <c r="G13" s="71">
        <f t="shared" si="9"/>
        <v>4236.208333</v>
      </c>
      <c r="H13" s="72">
        <f>IFERROR(VLOOKUP(C13,'Employees List'!$B$2:$I$991,7,0),"")</f>
        <v>411002010024591</v>
      </c>
      <c r="I13" s="73">
        <f>IFERROR(VLOOKUP(F13,'Employees List'!$E$1:$AE$991,6,0),"")</f>
        <v>13000</v>
      </c>
      <c r="J13" s="71">
        <f t="shared" si="3"/>
        <v>9100</v>
      </c>
      <c r="K13" s="71">
        <f t="shared" si="4"/>
        <v>3900</v>
      </c>
      <c r="L13" s="10">
        <f>IFERROR(VLOOKUP(B13,'Employees List'!$A$2:$K$991,11,0),"")</f>
        <v>30</v>
      </c>
      <c r="M13" s="74">
        <f>IFERROR(VLOOKUP(D13,'Daily Attendance 25-26'!$A$4:BP999,5,0),"")</f>
        <v>10</v>
      </c>
      <c r="N13" s="10">
        <f>IFERROR(VLOOKUP(E13,'Daily Attendance 25-26'!$A$1:$BO$1741,5,0),"")</f>
        <v>24</v>
      </c>
      <c r="O13" s="9"/>
      <c r="P13" s="9">
        <v>2000.0</v>
      </c>
      <c r="Q13" s="71">
        <f t="shared" si="5"/>
        <v>4333.333333</v>
      </c>
      <c r="R13" s="71">
        <f t="shared" si="6"/>
        <v>1950</v>
      </c>
      <c r="S13" s="71">
        <f t="shared" si="7"/>
        <v>4283.333333</v>
      </c>
      <c r="T13" s="71">
        <f t="shared" si="10"/>
        <v>47.125</v>
      </c>
      <c r="U13" s="71">
        <f t="shared" si="8"/>
        <v>6283.333333</v>
      </c>
      <c r="V13" s="10"/>
      <c r="W13" s="10"/>
      <c r="X13" s="10"/>
      <c r="Y13" s="10"/>
      <c r="Z13" s="10"/>
      <c r="AA13" s="10"/>
      <c r="AB13" s="10"/>
      <c r="AC13" s="10"/>
      <c r="AD13" s="10"/>
      <c r="AE13" s="10"/>
      <c r="AF13" s="10"/>
    </row>
    <row r="14" hidden="1" outlineLevel="1">
      <c r="A14" s="9" t="s">
        <v>231</v>
      </c>
      <c r="B14" s="70" t="s">
        <v>12</v>
      </c>
      <c r="C14" s="9" t="s">
        <v>87</v>
      </c>
      <c r="D14" s="9" t="str">
        <f t="shared" si="1"/>
        <v>AprilLIPAN</v>
      </c>
      <c r="E14" s="10" t="str">
        <f t="shared" si="2"/>
        <v>AprilLIPANOT Hours</v>
      </c>
      <c r="F14" s="10" t="str">
        <f>IFERROR(VLOOKUP(C14,'Employees List'!$B$1:$I$999,4,0),"")</f>
        <v>LIPAN</v>
      </c>
      <c r="G14" s="71">
        <f t="shared" si="9"/>
        <v>365.1770833</v>
      </c>
      <c r="H14" s="72" t="str">
        <f>IFERROR(VLOOKUP(C14,'Employees List'!$B$2:$I$991,7,0),"")</f>
        <v>8131010000018957</v>
      </c>
      <c r="I14" s="73">
        <f>IFERROR(VLOOKUP(F14,'Employees List'!$E$1:$AE$991,6,0),"")</f>
        <v>13000</v>
      </c>
      <c r="J14" s="71">
        <f t="shared" si="3"/>
        <v>9100</v>
      </c>
      <c r="K14" s="71">
        <f t="shared" si="4"/>
        <v>3900</v>
      </c>
      <c r="L14" s="10">
        <f>IFERROR(VLOOKUP(B14,'Employees List'!$A$2:$K$991,11,0),"")</f>
        <v>30</v>
      </c>
      <c r="M14" s="74">
        <f>IFERROR(VLOOKUP(D14,'Daily Attendance 25-26'!$A$4:BP999,5,0),"")</f>
        <v>10</v>
      </c>
      <c r="N14" s="10">
        <f>IFERROR(VLOOKUP(E14,'Daily Attendance 25-26'!$A$1:$BO$1741,5,0),"")</f>
        <v>38</v>
      </c>
      <c r="O14" s="9"/>
      <c r="P14" s="9">
        <v>7000.0</v>
      </c>
      <c r="Q14" s="71">
        <f t="shared" si="5"/>
        <v>4333.333333</v>
      </c>
      <c r="R14" s="71">
        <f t="shared" si="6"/>
        <v>3087.5</v>
      </c>
      <c r="S14" s="71">
        <f t="shared" si="7"/>
        <v>420.8333333</v>
      </c>
      <c r="T14" s="71">
        <f t="shared" si="10"/>
        <v>55.65625</v>
      </c>
      <c r="U14" s="71">
        <f t="shared" si="8"/>
        <v>7420.833333</v>
      </c>
      <c r="V14" s="10"/>
      <c r="W14" s="10"/>
      <c r="X14" s="10"/>
      <c r="Y14" s="10"/>
      <c r="Z14" s="10"/>
      <c r="AA14" s="10"/>
      <c r="AB14" s="10"/>
      <c r="AC14" s="10"/>
      <c r="AD14" s="10"/>
      <c r="AE14" s="10"/>
      <c r="AF14" s="10"/>
    </row>
    <row r="15" hidden="1" outlineLevel="1">
      <c r="A15" s="9" t="s">
        <v>232</v>
      </c>
      <c r="B15" s="70" t="s">
        <v>12</v>
      </c>
      <c r="C15" s="9" t="s">
        <v>92</v>
      </c>
      <c r="D15" s="9" t="str">
        <f t="shared" si="1"/>
        <v>AprilNILAMANI KISAN.B</v>
      </c>
      <c r="E15" s="10" t="str">
        <f t="shared" si="2"/>
        <v>AprilNILAMANI KISAN.BOT Hours</v>
      </c>
      <c r="F15" s="10" t="str">
        <f>IFERROR(VLOOKUP(C15,'Employees List'!$B$1:$I$999,4,0),"")</f>
        <v>NILAMANI KISAN.B</v>
      </c>
      <c r="G15" s="71">
        <f t="shared" si="9"/>
        <v>14143.125</v>
      </c>
      <c r="H15" s="72">
        <f>IFERROR(VLOOKUP(C15,'Employees List'!$B$2:$I$991,7,0),"")</f>
        <v>38254473147</v>
      </c>
      <c r="I15" s="73">
        <f>IFERROR(VLOOKUP(F15,'Employees List'!$E$1:$AE$991,6,0),"")</f>
        <v>12000</v>
      </c>
      <c r="J15" s="71">
        <f t="shared" si="3"/>
        <v>8400</v>
      </c>
      <c r="K15" s="71">
        <f t="shared" si="4"/>
        <v>3600</v>
      </c>
      <c r="L15" s="10">
        <f>IFERROR(VLOOKUP(B15,'Employees List'!$A$2:$K$991,11,0),"")</f>
        <v>30</v>
      </c>
      <c r="M15" s="74">
        <f>IFERROR(VLOOKUP(D15,'Daily Attendance 25-26'!$A$4:BP999,5,0),"")</f>
        <v>27</v>
      </c>
      <c r="N15" s="10">
        <f>IFERROR(VLOOKUP(E15,'Daily Attendance 25-26'!$A$1:$BO$1741,5,0),"")</f>
        <v>40</v>
      </c>
      <c r="O15" s="9">
        <v>450.0</v>
      </c>
      <c r="P15" s="10"/>
      <c r="Q15" s="71">
        <f t="shared" si="5"/>
        <v>10800</v>
      </c>
      <c r="R15" s="71">
        <f t="shared" si="6"/>
        <v>3000</v>
      </c>
      <c r="S15" s="71">
        <f t="shared" si="7"/>
        <v>14250</v>
      </c>
      <c r="T15" s="71">
        <f t="shared" si="10"/>
        <v>106.875</v>
      </c>
      <c r="U15" s="71">
        <f t="shared" si="8"/>
        <v>14250</v>
      </c>
      <c r="V15" s="10"/>
      <c r="W15" s="10"/>
      <c r="X15" s="10"/>
      <c r="Y15" s="10"/>
      <c r="Z15" s="10"/>
      <c r="AA15" s="10"/>
      <c r="AB15" s="10"/>
      <c r="AC15" s="10"/>
      <c r="AD15" s="10"/>
      <c r="AE15" s="10"/>
      <c r="AF15" s="10"/>
    </row>
    <row r="16" hidden="1" outlineLevel="1">
      <c r="A16" s="9" t="s">
        <v>233</v>
      </c>
      <c r="B16" s="70" t="s">
        <v>16</v>
      </c>
      <c r="C16" s="9" t="s">
        <v>13</v>
      </c>
      <c r="D16" s="9" t="str">
        <f t="shared" si="1"/>
        <v>MayBHUVANESHWARAN.V</v>
      </c>
      <c r="E16" s="10" t="str">
        <f t="shared" si="2"/>
        <v>MayBHUVANESHWARAN.VOT Hours</v>
      </c>
      <c r="F16" s="10" t="str">
        <f>IFERROR(VLOOKUP(C16,'Employees List'!$B$1:$I$999,4,0),"")</f>
        <v>BHUVANESHWARAN.V</v>
      </c>
      <c r="G16" s="71">
        <f>S16</f>
        <v>66900</v>
      </c>
      <c r="H16" s="72">
        <f>IFERROR(VLOOKUP(C16,'Employees List'!$B$2:$I$991,7,0),"")</f>
        <v>500101011548924</v>
      </c>
      <c r="I16" s="73">
        <f>IFERROR(VLOOKUP(F16,'Employees List'!$E$1:$AE$991,6,0),"")</f>
        <v>66000</v>
      </c>
      <c r="J16" s="71">
        <f t="shared" si="3"/>
        <v>46200</v>
      </c>
      <c r="K16" s="71">
        <f t="shared" si="4"/>
        <v>19800</v>
      </c>
      <c r="L16" s="10">
        <f>IFERROR(VLOOKUP(B16,'Employees List'!$A$2:$K$991,11,0),"")</f>
        <v>31</v>
      </c>
      <c r="M16" s="74">
        <f>IFERROR(VLOOKUP(D16,'Daily Attendance 25-26'!$A$4:BP999,5,0),"")</f>
        <v>31</v>
      </c>
      <c r="N16" s="10">
        <f>IFERROR(VLOOKUP(E16,'Daily Attendance 25-26'!$A$1:$BO$1741,5,0),"")</f>
        <v>0</v>
      </c>
      <c r="O16" s="9">
        <v>900.0</v>
      </c>
      <c r="P16" s="10"/>
      <c r="Q16" s="71">
        <f t="shared" si="5"/>
        <v>66000</v>
      </c>
      <c r="R16" s="71">
        <f t="shared" si="6"/>
        <v>0</v>
      </c>
      <c r="S16" s="71">
        <f t="shared" si="7"/>
        <v>66900</v>
      </c>
      <c r="T16" s="71">
        <f t="shared" si="10"/>
        <v>501.75</v>
      </c>
      <c r="U16" s="71">
        <f t="shared" si="8"/>
        <v>66900</v>
      </c>
      <c r="V16" s="10"/>
      <c r="W16" s="10"/>
      <c r="X16" s="10"/>
      <c r="Y16" s="10"/>
      <c r="Z16" s="10"/>
      <c r="AA16" s="10"/>
      <c r="AB16" s="10"/>
      <c r="AC16" s="10"/>
      <c r="AD16" s="10"/>
      <c r="AE16" s="10"/>
      <c r="AF16" s="10"/>
    </row>
    <row r="17" hidden="1" outlineLevel="1">
      <c r="A17" s="9" t="s">
        <v>234</v>
      </c>
      <c r="B17" s="70" t="s">
        <v>16</v>
      </c>
      <c r="C17" s="9" t="s">
        <v>71</v>
      </c>
      <c r="D17" s="9" t="str">
        <f t="shared" si="1"/>
        <v>MayTHIRIPURA SUNDARI.R</v>
      </c>
      <c r="E17" s="10" t="str">
        <f t="shared" si="2"/>
        <v>MayTHIRIPURA SUNDARI.ROT Hours</v>
      </c>
      <c r="F17" s="10" t="str">
        <f>IFERROR(VLOOKUP(C17,'Employees List'!$B$1:$I$999,4,0),"")</f>
        <v>THIRIPURA SUNDARI.R</v>
      </c>
      <c r="G17" s="71">
        <f t="shared" ref="G17:G27" si="11">S17-T17</f>
        <v>23294.13508</v>
      </c>
      <c r="H17" s="72" t="str">
        <f>IFERROR(VLOOKUP(C17,'Employees List'!$B$2:$I$991,7,0),"")</f>
        <v>8131010000016977</v>
      </c>
      <c r="I17" s="73">
        <f>IFERROR(VLOOKUP(F17,'Employees List'!$E$1:$AE$991,6,0),"")</f>
        <v>21000</v>
      </c>
      <c r="J17" s="71">
        <f t="shared" si="3"/>
        <v>14700</v>
      </c>
      <c r="K17" s="71">
        <f t="shared" si="4"/>
        <v>6300</v>
      </c>
      <c r="L17" s="10">
        <f>IFERROR(VLOOKUP(B17,'Employees List'!$A$2:$K$991,11,0),"")</f>
        <v>31</v>
      </c>
      <c r="M17" s="74">
        <f>IFERROR(VLOOKUP(D17,'Daily Attendance 25-26'!$A$4:BP999,5,0),"")</f>
        <v>31</v>
      </c>
      <c r="N17" s="10">
        <f>IFERROR(VLOOKUP(E17,'Daily Attendance 25-26'!$A$1:$BO$1741,5,0),"")</f>
        <v>10</v>
      </c>
      <c r="O17" s="9">
        <v>1200.0</v>
      </c>
      <c r="P17" s="10"/>
      <c r="Q17" s="71">
        <f t="shared" si="5"/>
        <v>21000</v>
      </c>
      <c r="R17" s="71">
        <f t="shared" si="6"/>
        <v>1270.16129</v>
      </c>
      <c r="S17" s="71">
        <f t="shared" si="7"/>
        <v>23470.16129</v>
      </c>
      <c r="T17" s="71">
        <f t="shared" si="10"/>
        <v>176.0262097</v>
      </c>
      <c r="U17" s="71">
        <f t="shared" si="8"/>
        <v>23470.16129</v>
      </c>
      <c r="V17" s="10"/>
      <c r="W17" s="10"/>
      <c r="X17" s="10"/>
      <c r="Y17" s="10"/>
      <c r="Z17" s="10"/>
      <c r="AA17" s="10"/>
      <c r="AB17" s="10"/>
      <c r="AC17" s="10"/>
      <c r="AD17" s="10"/>
      <c r="AE17" s="10"/>
      <c r="AF17" s="10"/>
    </row>
    <row r="18" hidden="1" outlineLevel="1">
      <c r="A18" s="9" t="s">
        <v>235</v>
      </c>
      <c r="B18" s="70" t="s">
        <v>16</v>
      </c>
      <c r="C18" s="9" t="s">
        <v>22</v>
      </c>
      <c r="D18" s="9" t="str">
        <f t="shared" si="1"/>
        <v>MayGANESH</v>
      </c>
      <c r="E18" s="10" t="str">
        <f t="shared" si="2"/>
        <v>MayGANESHOT Hours</v>
      </c>
      <c r="F18" s="10" t="str">
        <f>IFERROR(VLOOKUP(C18,'Employees List'!$B$1:$I$999,4,0),"")</f>
        <v>GANESH</v>
      </c>
      <c r="G18" s="71">
        <f t="shared" si="11"/>
        <v>19955.45313</v>
      </c>
      <c r="H18" s="72" t="str">
        <f>IFERROR(VLOOKUP(C18,'Employees List'!$B$2:$I$991,7,0),"")</f>
        <v>8811010012054879</v>
      </c>
      <c r="I18" s="73">
        <f>IFERROR(VLOOKUP(F18,'Employees List'!$E$1:$AE$991,6,0),"")</f>
        <v>18500</v>
      </c>
      <c r="J18" s="71">
        <f t="shared" si="3"/>
        <v>12950</v>
      </c>
      <c r="K18" s="71">
        <f t="shared" si="4"/>
        <v>5550</v>
      </c>
      <c r="L18" s="10">
        <f>IFERROR(VLOOKUP(B18,'Employees List'!$A$2:$K$991,11,0),"")</f>
        <v>31</v>
      </c>
      <c r="M18" s="74">
        <f>IFERROR(VLOOKUP(D18,'Daily Attendance 25-26'!$A$4:BP999,5,0),"")</f>
        <v>24.5</v>
      </c>
      <c r="N18" s="10">
        <f>IFERROR(VLOOKUP(E18,'Daily Attendance 25-26'!$A$1:$BO$1741,5,0),"")</f>
        <v>45</v>
      </c>
      <c r="O18" s="9">
        <v>450.0</v>
      </c>
      <c r="P18" s="10"/>
      <c r="Q18" s="71">
        <f t="shared" si="5"/>
        <v>14620.96774</v>
      </c>
      <c r="R18" s="71">
        <f t="shared" si="6"/>
        <v>5035.282258</v>
      </c>
      <c r="S18" s="71">
        <f t="shared" si="7"/>
        <v>20106.25</v>
      </c>
      <c r="T18" s="71">
        <f t="shared" si="10"/>
        <v>150.796875</v>
      </c>
      <c r="U18" s="71">
        <f t="shared" si="8"/>
        <v>20106.25</v>
      </c>
      <c r="V18" s="10"/>
      <c r="W18" s="10"/>
      <c r="X18" s="10"/>
      <c r="Y18" s="10"/>
      <c r="Z18" s="10"/>
      <c r="AA18" s="10"/>
      <c r="AB18" s="10"/>
      <c r="AC18" s="10"/>
      <c r="AD18" s="10"/>
      <c r="AE18" s="10"/>
      <c r="AF18" s="10"/>
    </row>
    <row r="19" hidden="1" outlineLevel="1">
      <c r="A19" s="9" t="s">
        <v>236</v>
      </c>
      <c r="B19" s="70" t="s">
        <v>16</v>
      </c>
      <c r="C19" s="9" t="s">
        <v>77</v>
      </c>
      <c r="D19" s="9" t="str">
        <f t="shared" si="1"/>
        <v>MayILAMATHIVANAN.S</v>
      </c>
      <c r="E19" s="10" t="str">
        <f t="shared" si="2"/>
        <v>MayILAMATHIVANAN.SOT Hours</v>
      </c>
      <c r="F19" s="10" t="str">
        <f>IFERROR(VLOOKUP(C19,'Employees List'!$B$1:$I$999,4,0),"")</f>
        <v>ILAMATHIVANAN.S</v>
      </c>
      <c r="G19" s="71">
        <f t="shared" si="11"/>
        <v>29189.10484</v>
      </c>
      <c r="H19" s="72" t="str">
        <f>IFERROR(VLOOKUP(C19,'Employees List'!$B$2:$I$991,7,0),"")</f>
        <v>8131010000016986</v>
      </c>
      <c r="I19" s="73">
        <f>IFERROR(VLOOKUP(F19,'Employees List'!$E$1:$AE$991,6,0),"")</f>
        <v>21000</v>
      </c>
      <c r="J19" s="71">
        <f t="shared" si="3"/>
        <v>14700</v>
      </c>
      <c r="K19" s="71">
        <f t="shared" si="4"/>
        <v>6300</v>
      </c>
      <c r="L19" s="10">
        <f>IFERROR(VLOOKUP(B19,'Employees List'!$A$2:$K$991,11,0),"")</f>
        <v>31</v>
      </c>
      <c r="M19" s="74">
        <f>IFERROR(VLOOKUP(D19,'Daily Attendance 25-26'!$A$4:BP999,5,0),"")</f>
        <v>28.5</v>
      </c>
      <c r="N19" s="10">
        <f>IFERROR(VLOOKUP(E19,'Daily Attendance 25-26'!$A$1:$BO$1741,5,0),"")</f>
        <v>76</v>
      </c>
      <c r="O19" s="9">
        <v>450.0</v>
      </c>
      <c r="P19" s="10"/>
      <c r="Q19" s="71">
        <f t="shared" si="5"/>
        <v>19306.45161</v>
      </c>
      <c r="R19" s="71">
        <f t="shared" si="6"/>
        <v>9653.225806</v>
      </c>
      <c r="S19" s="71">
        <f t="shared" si="7"/>
        <v>29409.67742</v>
      </c>
      <c r="T19" s="71">
        <f t="shared" si="10"/>
        <v>220.5725806</v>
      </c>
      <c r="U19" s="71">
        <f t="shared" si="8"/>
        <v>29409.67742</v>
      </c>
      <c r="V19" s="10"/>
      <c r="W19" s="10"/>
      <c r="X19" s="10"/>
      <c r="Y19" s="10"/>
      <c r="Z19" s="10"/>
      <c r="AA19" s="10"/>
      <c r="AB19" s="10"/>
      <c r="AC19" s="10"/>
      <c r="AD19" s="10"/>
      <c r="AE19" s="10"/>
      <c r="AF19" s="10"/>
    </row>
    <row r="20" hidden="1" outlineLevel="1">
      <c r="A20" s="9" t="s">
        <v>237</v>
      </c>
      <c r="B20" s="70" t="s">
        <v>16</v>
      </c>
      <c r="C20" s="9" t="s">
        <v>26</v>
      </c>
      <c r="D20" s="9" t="str">
        <f t="shared" si="1"/>
        <v>MayADHIKARI BALIA.A</v>
      </c>
      <c r="E20" s="10" t="str">
        <f t="shared" si="2"/>
        <v>MayADHIKARI BALIA.AOT Hours</v>
      </c>
      <c r="F20" s="10" t="str">
        <f>IFERROR(VLOOKUP(C20,'Employees List'!$B$1:$I$999,4,0),"")</f>
        <v>ADHIKARI BALIA.A</v>
      </c>
      <c r="G20" s="71">
        <f t="shared" si="11"/>
        <v>19440.86089</v>
      </c>
      <c r="H20" s="72" t="str">
        <f>IFERROR(VLOOKUP(C20,'Employees List'!$B$2:$I$991,7,0),"")</f>
        <v>8131010000018948</v>
      </c>
      <c r="I20" s="73">
        <f>IFERROR(VLOOKUP(F20,'Employees List'!$E$1:$AE$991,6,0),"")</f>
        <v>13000</v>
      </c>
      <c r="J20" s="71">
        <f t="shared" si="3"/>
        <v>9100</v>
      </c>
      <c r="K20" s="71">
        <f t="shared" si="4"/>
        <v>3900</v>
      </c>
      <c r="L20" s="10">
        <f>IFERROR(VLOOKUP(B20,'Employees List'!$A$2:$K$991,11,0),"")</f>
        <v>31</v>
      </c>
      <c r="M20" s="74">
        <f>IFERROR(VLOOKUP(D20,'Daily Attendance 25-26'!$A$4:BP999,5,0),"")</f>
        <v>31</v>
      </c>
      <c r="N20" s="10">
        <f>IFERROR(VLOOKUP(E20,'Daily Attendance 25-26'!$A$1:$BO$1741,5,0),"")</f>
        <v>130</v>
      </c>
      <c r="O20" s="9">
        <v>900.0</v>
      </c>
      <c r="P20" s="9">
        <v>4500.0</v>
      </c>
      <c r="Q20" s="71">
        <f t="shared" si="5"/>
        <v>13000</v>
      </c>
      <c r="R20" s="71">
        <f t="shared" si="6"/>
        <v>10221.77419</v>
      </c>
      <c r="S20" s="71">
        <f t="shared" si="7"/>
        <v>19621.77419</v>
      </c>
      <c r="T20" s="71">
        <f t="shared" si="10"/>
        <v>180.9133065</v>
      </c>
      <c r="U20" s="71">
        <f t="shared" si="8"/>
        <v>24121.77419</v>
      </c>
      <c r="V20" s="10"/>
      <c r="W20" s="10"/>
      <c r="X20" s="10"/>
      <c r="Y20" s="10"/>
      <c r="Z20" s="10"/>
      <c r="AA20" s="10"/>
      <c r="AB20" s="10"/>
      <c r="AC20" s="10"/>
      <c r="AD20" s="10"/>
      <c r="AE20" s="10"/>
      <c r="AF20" s="10"/>
    </row>
    <row r="21" hidden="1" outlineLevel="1">
      <c r="A21" s="9" t="s">
        <v>238</v>
      </c>
      <c r="B21" s="70" t="s">
        <v>16</v>
      </c>
      <c r="C21" s="9" t="s">
        <v>30</v>
      </c>
      <c r="D21" s="9" t="str">
        <f t="shared" si="1"/>
        <v>MayRUPESH KISAN</v>
      </c>
      <c r="E21" s="10" t="str">
        <f t="shared" si="2"/>
        <v>MayRUPESH KISANOT Hours</v>
      </c>
      <c r="F21" s="10" t="str">
        <f>IFERROR(VLOOKUP(C21,'Employees List'!$B$1:$I$999,4,0),"")</f>
        <v>RUPESH KISAN</v>
      </c>
      <c r="G21" s="71">
        <f t="shared" si="11"/>
        <v>21018.9002</v>
      </c>
      <c r="H21" s="72">
        <f>IFERROR(VLOOKUP(C21,'Employees List'!$B$2:$I$991,7,0),"")</f>
        <v>411002010024591</v>
      </c>
      <c r="I21" s="73">
        <f>IFERROR(VLOOKUP(F21,'Employees List'!$E$1:$AE$991,6,0),"")</f>
        <v>13000</v>
      </c>
      <c r="J21" s="71">
        <f t="shared" si="3"/>
        <v>9100</v>
      </c>
      <c r="K21" s="71">
        <f t="shared" si="4"/>
        <v>3900</v>
      </c>
      <c r="L21" s="10">
        <f>IFERROR(VLOOKUP(B21,'Employees List'!$A$2:$K$991,11,0),"")</f>
        <v>31</v>
      </c>
      <c r="M21" s="74">
        <f>IFERROR(VLOOKUP(D21,'Daily Attendance 25-26'!$A$4:BP999,5,0),"")</f>
        <v>31</v>
      </c>
      <c r="N21" s="10">
        <f>IFERROR(VLOOKUP(E21,'Daily Attendance 25-26'!$A$1:$BO$1741,5,0),"")</f>
        <v>131</v>
      </c>
      <c r="O21" s="9">
        <v>900.0</v>
      </c>
      <c r="P21" s="9">
        <v>3000.0</v>
      </c>
      <c r="Q21" s="71">
        <f t="shared" si="5"/>
        <v>13000</v>
      </c>
      <c r="R21" s="71">
        <f t="shared" si="6"/>
        <v>10300.40323</v>
      </c>
      <c r="S21" s="71">
        <f t="shared" si="7"/>
        <v>21200.40323</v>
      </c>
      <c r="T21" s="71">
        <f t="shared" si="10"/>
        <v>181.5030242</v>
      </c>
      <c r="U21" s="71">
        <f t="shared" si="8"/>
        <v>24200.40323</v>
      </c>
      <c r="V21" s="10"/>
      <c r="W21" s="10"/>
      <c r="X21" s="10"/>
      <c r="Y21" s="10"/>
      <c r="Z21" s="10"/>
      <c r="AA21" s="10"/>
      <c r="AB21" s="10"/>
      <c r="AC21" s="10"/>
      <c r="AD21" s="10"/>
      <c r="AE21" s="10"/>
      <c r="AF21" s="10"/>
    </row>
    <row r="22" hidden="1" outlineLevel="1">
      <c r="A22" s="9" t="s">
        <v>239</v>
      </c>
      <c r="B22" s="70" t="s">
        <v>16</v>
      </c>
      <c r="C22" s="9" t="s">
        <v>34</v>
      </c>
      <c r="D22" s="9" t="str">
        <f t="shared" si="1"/>
        <v>MaySANJAY BAGARTTI.K</v>
      </c>
      <c r="E22" s="10" t="str">
        <f t="shared" si="2"/>
        <v>MaySANJAY BAGARTTI.KOT Hours</v>
      </c>
      <c r="F22" s="10" t="str">
        <f>IFERROR(VLOOKUP(C22,'Employees List'!$B$1:$I$999,4,0),"")</f>
        <v>SANJAY BAGARTTI.K</v>
      </c>
      <c r="G22" s="71">
        <f t="shared" si="11"/>
        <v>25501.64718</v>
      </c>
      <c r="H22" s="72" t="str">
        <f>IFERROR(VLOOKUP(C22,'Employees List'!$B$2:$I$991,7,0),"")</f>
        <v>8131010000021225</v>
      </c>
      <c r="I22" s="73">
        <f>IFERROR(VLOOKUP(F22,'Employees List'!$E$1:$AE$991,6,0),"")</f>
        <v>13000</v>
      </c>
      <c r="J22" s="71">
        <f t="shared" si="3"/>
        <v>9100</v>
      </c>
      <c r="K22" s="71">
        <f t="shared" si="4"/>
        <v>3900</v>
      </c>
      <c r="L22" s="10">
        <f>IFERROR(VLOOKUP(B22,'Employees List'!$A$2:$K$991,11,0),"")</f>
        <v>31</v>
      </c>
      <c r="M22" s="74">
        <f>IFERROR(VLOOKUP(D22,'Daily Attendance 25-26'!$A$4:BP999,5,0),"")</f>
        <v>31</v>
      </c>
      <c r="N22" s="10">
        <f>IFERROR(VLOOKUP(E22,'Daily Attendance 25-26'!$A$1:$BO$1741,5,0),"")</f>
        <v>150</v>
      </c>
      <c r="O22" s="9">
        <v>900.0</v>
      </c>
      <c r="P22" s="10"/>
      <c r="Q22" s="71">
        <f t="shared" si="5"/>
        <v>13000</v>
      </c>
      <c r="R22" s="71">
        <f t="shared" si="6"/>
        <v>11794.35484</v>
      </c>
      <c r="S22" s="71">
        <f t="shared" si="7"/>
        <v>25694.35484</v>
      </c>
      <c r="T22" s="71">
        <f t="shared" si="10"/>
        <v>192.7076613</v>
      </c>
      <c r="U22" s="71">
        <f t="shared" si="8"/>
        <v>25694.35484</v>
      </c>
      <c r="V22" s="10"/>
      <c r="W22" s="10"/>
      <c r="X22" s="10"/>
      <c r="Y22" s="10"/>
      <c r="Z22" s="10"/>
      <c r="AA22" s="10"/>
      <c r="AB22" s="10"/>
      <c r="AC22" s="10"/>
      <c r="AD22" s="10"/>
      <c r="AE22" s="10"/>
      <c r="AF22" s="10"/>
    </row>
    <row r="23" hidden="1" outlineLevel="1">
      <c r="A23" s="9" t="s">
        <v>240</v>
      </c>
      <c r="B23" s="70" t="s">
        <v>16</v>
      </c>
      <c r="C23" s="9" t="s">
        <v>87</v>
      </c>
      <c r="D23" s="9" t="str">
        <f t="shared" si="1"/>
        <v>MayLIPAN</v>
      </c>
      <c r="E23" s="10" t="str">
        <f t="shared" si="2"/>
        <v>MayLIPANOT Hours</v>
      </c>
      <c r="F23" s="10" t="str">
        <f>IFERROR(VLOOKUP(C23,'Employees List'!$B$1:$I$999,4,0),"")</f>
        <v>LIPAN</v>
      </c>
      <c r="G23" s="71">
        <f t="shared" si="11"/>
        <v>20468.22278</v>
      </c>
      <c r="H23" s="72" t="str">
        <f>IFERROR(VLOOKUP(C23,'Employees List'!$B$2:$I$991,7,0),"")</f>
        <v>8131010000018957</v>
      </c>
      <c r="I23" s="73">
        <f>IFERROR(VLOOKUP(F23,'Employees List'!$E$1:$AE$991,6,0),"")</f>
        <v>13000</v>
      </c>
      <c r="J23" s="71">
        <f t="shared" si="3"/>
        <v>9100</v>
      </c>
      <c r="K23" s="71">
        <f t="shared" si="4"/>
        <v>3900</v>
      </c>
      <c r="L23" s="10">
        <f>IFERROR(VLOOKUP(B23,'Employees List'!$A$2:$K$991,11,0),"")</f>
        <v>31</v>
      </c>
      <c r="M23" s="74">
        <f>IFERROR(VLOOKUP(D23,'Daily Attendance 25-26'!$A$4:BP999,5,0),"")</f>
        <v>30</v>
      </c>
      <c r="N23" s="10">
        <f>IFERROR(VLOOKUP(E23,'Daily Attendance 25-26'!$A$1:$BO$1741,5,0),"")</f>
        <v>135</v>
      </c>
      <c r="O23" s="9">
        <v>450.0</v>
      </c>
      <c r="P23" s="9">
        <v>3000.0</v>
      </c>
      <c r="Q23" s="71">
        <f t="shared" si="5"/>
        <v>12580.64516</v>
      </c>
      <c r="R23" s="71">
        <f t="shared" si="6"/>
        <v>10614.91935</v>
      </c>
      <c r="S23" s="71">
        <f t="shared" si="7"/>
        <v>20645.56452</v>
      </c>
      <c r="T23" s="71">
        <f t="shared" si="10"/>
        <v>177.3417339</v>
      </c>
      <c r="U23" s="71">
        <f t="shared" si="8"/>
        <v>23645.56452</v>
      </c>
      <c r="V23" s="10"/>
      <c r="W23" s="10"/>
      <c r="X23" s="10"/>
      <c r="Y23" s="10"/>
      <c r="Z23" s="10"/>
      <c r="AA23" s="10"/>
      <c r="AB23" s="10"/>
      <c r="AC23" s="10"/>
      <c r="AD23" s="10"/>
      <c r="AE23" s="10"/>
      <c r="AF23" s="10"/>
    </row>
    <row r="24" hidden="1" outlineLevel="1">
      <c r="A24" s="9" t="s">
        <v>241</v>
      </c>
      <c r="B24" s="70" t="s">
        <v>16</v>
      </c>
      <c r="C24" s="9" t="s">
        <v>42</v>
      </c>
      <c r="D24" s="9" t="str">
        <f t="shared" si="1"/>
        <v>MayAMMU.S</v>
      </c>
      <c r="E24" s="10" t="str">
        <f t="shared" si="2"/>
        <v>MayAMMU.SOT Hours</v>
      </c>
      <c r="F24" s="10" t="str">
        <f>IFERROR(VLOOKUP(C24,'Employees List'!$B$1:$I$999,4,0),"")</f>
        <v>AMMU.S</v>
      </c>
      <c r="G24" s="71">
        <f t="shared" si="11"/>
        <v>11603.24546</v>
      </c>
      <c r="H24" s="72">
        <f>IFERROR(VLOOKUP(C24,'Employees List'!$B$2:$I$991,7,0),"")</f>
        <v>65801000040238</v>
      </c>
      <c r="I24" s="73">
        <f>IFERROR(VLOOKUP(F24,'Employees List'!$E$1:$AE$991,6,0),"")</f>
        <v>10500</v>
      </c>
      <c r="J24" s="71">
        <f t="shared" si="3"/>
        <v>7350</v>
      </c>
      <c r="K24" s="71">
        <f t="shared" si="4"/>
        <v>3150</v>
      </c>
      <c r="L24" s="10">
        <f>IFERROR(VLOOKUP(B24,'Employees List'!$A$2:$K$991,11,0),"")</f>
        <v>31</v>
      </c>
      <c r="M24" s="74">
        <f>IFERROR(VLOOKUP(D24,'Daily Attendance 25-26'!$A$4:BP999,5,0),"")</f>
        <v>27</v>
      </c>
      <c r="N24" s="10">
        <f>IFERROR(VLOOKUP(E24,'Daily Attendance 25-26'!$A$1:$BO$1741,5,0),"")</f>
        <v>33</v>
      </c>
      <c r="O24" s="9">
        <v>450.0</v>
      </c>
      <c r="P24" s="10"/>
      <c r="Q24" s="71">
        <f t="shared" si="5"/>
        <v>9145.16129</v>
      </c>
      <c r="R24" s="71">
        <f t="shared" si="6"/>
        <v>2095.766129</v>
      </c>
      <c r="S24" s="71">
        <f t="shared" si="7"/>
        <v>11690.92742</v>
      </c>
      <c r="T24" s="71">
        <f t="shared" si="10"/>
        <v>87.68195565</v>
      </c>
      <c r="U24" s="71">
        <f t="shared" si="8"/>
        <v>11690.92742</v>
      </c>
      <c r="V24" s="10"/>
      <c r="W24" s="10"/>
      <c r="X24" s="10"/>
      <c r="Y24" s="10"/>
      <c r="Z24" s="10"/>
      <c r="AA24" s="10"/>
      <c r="AB24" s="10"/>
      <c r="AC24" s="10"/>
      <c r="AD24" s="10"/>
      <c r="AE24" s="10"/>
      <c r="AF24" s="10"/>
    </row>
    <row r="25" hidden="1" outlineLevel="1">
      <c r="A25" s="9" t="s">
        <v>242</v>
      </c>
      <c r="B25" s="70" t="s">
        <v>16</v>
      </c>
      <c r="C25" s="9" t="s">
        <v>46</v>
      </c>
      <c r="D25" s="9" t="str">
        <f t="shared" si="1"/>
        <v>MayREVATHI.S</v>
      </c>
      <c r="E25" s="10" t="str">
        <f t="shared" si="2"/>
        <v>MayREVATHI.SOT Hours</v>
      </c>
      <c r="F25" s="10" t="str">
        <f>IFERROR(VLOOKUP(C25,'Employees List'!$B$1:$I$999,4,0),"")</f>
        <v>REVATHI.S</v>
      </c>
      <c r="G25" s="71">
        <f t="shared" si="11"/>
        <v>11289.94405</v>
      </c>
      <c r="H25" s="72" t="str">
        <f>IFERROR(VLOOKUP(C25,'Employees List'!$B$2:$I$991,7,0),"")</f>
        <v>8131010000016995</v>
      </c>
      <c r="I25" s="73">
        <f>IFERROR(VLOOKUP(F25,'Employees List'!$E$1:$AE$991,6,0),"")</f>
        <v>10500</v>
      </c>
      <c r="J25" s="71">
        <f t="shared" si="3"/>
        <v>7350</v>
      </c>
      <c r="K25" s="71">
        <f t="shared" si="4"/>
        <v>3150</v>
      </c>
      <c r="L25" s="10">
        <f>IFERROR(VLOOKUP(B25,'Employees List'!$A$2:$K$991,11,0),"")</f>
        <v>31</v>
      </c>
      <c r="M25" s="74">
        <f>IFERROR(VLOOKUP(D25,'Daily Attendance 25-26'!$A$4:BP999,5,0),"")</f>
        <v>30</v>
      </c>
      <c r="N25" s="10">
        <f>IFERROR(VLOOKUP(E25,'Daily Attendance 25-26'!$A$1:$BO$1741,5,0),"")</f>
        <v>39</v>
      </c>
      <c r="O25" s="9">
        <v>450.0</v>
      </c>
      <c r="P25" s="9">
        <v>1700.0</v>
      </c>
      <c r="Q25" s="71">
        <f t="shared" si="5"/>
        <v>10161.29032</v>
      </c>
      <c r="R25" s="71">
        <f t="shared" si="6"/>
        <v>2476.814516</v>
      </c>
      <c r="S25" s="71">
        <f t="shared" si="7"/>
        <v>11388.10484</v>
      </c>
      <c r="T25" s="71">
        <f t="shared" si="10"/>
        <v>98.16078629</v>
      </c>
      <c r="U25" s="71">
        <f t="shared" si="8"/>
        <v>13088.10484</v>
      </c>
      <c r="V25" s="10"/>
      <c r="W25" s="10"/>
      <c r="X25" s="10"/>
      <c r="Y25" s="10"/>
      <c r="Z25" s="10"/>
      <c r="AA25" s="10"/>
      <c r="AB25" s="10"/>
      <c r="AC25" s="10"/>
      <c r="AD25" s="10"/>
      <c r="AE25" s="10"/>
      <c r="AF25" s="10"/>
    </row>
    <row r="26" hidden="1" outlineLevel="1">
      <c r="A26" s="9" t="s">
        <v>243</v>
      </c>
      <c r="B26" s="70" t="s">
        <v>16</v>
      </c>
      <c r="C26" s="9" t="s">
        <v>74</v>
      </c>
      <c r="D26" s="9" t="str">
        <f t="shared" si="1"/>
        <v>MayLEELAVATHI.M</v>
      </c>
      <c r="E26" s="10" t="str">
        <f t="shared" si="2"/>
        <v>MayLEELAVATHI.MOT Hours</v>
      </c>
      <c r="F26" s="10" t="str">
        <f>IFERROR(VLOOKUP(C26,'Employees List'!$B$1:$I$999,4,0),"")</f>
        <v>LEELAVATHI.M</v>
      </c>
      <c r="G26" s="71">
        <f t="shared" si="11"/>
        <v>13865.38508</v>
      </c>
      <c r="H26" s="72" t="str">
        <f>IFERROR(VLOOKUP(C26,'Employees List'!$B$2:$I$991,7,0),"")</f>
        <v>8387010000017745</v>
      </c>
      <c r="I26" s="73">
        <f>IFERROR(VLOOKUP(F26,'Employees List'!$E$1:$AE$991,6,0),"")</f>
        <v>14000</v>
      </c>
      <c r="J26" s="71">
        <f t="shared" si="3"/>
        <v>9800</v>
      </c>
      <c r="K26" s="71">
        <f t="shared" si="4"/>
        <v>4200</v>
      </c>
      <c r="L26" s="10">
        <f>IFERROR(VLOOKUP(B26,'Employees List'!$A$2:$K$991,11,0),"")</f>
        <v>31</v>
      </c>
      <c r="M26" s="74">
        <f>IFERROR(VLOOKUP(D26,'Daily Attendance 25-26'!$A$4:BP999,5,0),"")</f>
        <v>29</v>
      </c>
      <c r="N26" s="10">
        <f>IFERROR(VLOOKUP(E26,'Daily Attendance 25-26'!$A$1:$BO$1741,5,0),"")</f>
        <v>5</v>
      </c>
      <c r="O26" s="9">
        <v>450.0</v>
      </c>
      <c r="P26" s="10"/>
      <c r="Q26" s="71">
        <f t="shared" si="5"/>
        <v>13096.77419</v>
      </c>
      <c r="R26" s="71">
        <f t="shared" si="6"/>
        <v>423.3870968</v>
      </c>
      <c r="S26" s="71">
        <f t="shared" si="7"/>
        <v>13970.16129</v>
      </c>
      <c r="T26" s="71">
        <f t="shared" si="10"/>
        <v>104.7762097</v>
      </c>
      <c r="U26" s="71">
        <f t="shared" si="8"/>
        <v>13970.16129</v>
      </c>
      <c r="V26" s="10"/>
      <c r="W26" s="10"/>
      <c r="X26" s="10"/>
      <c r="Y26" s="10"/>
      <c r="Z26" s="10"/>
      <c r="AA26" s="10"/>
      <c r="AB26" s="10"/>
      <c r="AC26" s="10"/>
      <c r="AD26" s="10"/>
      <c r="AE26" s="10"/>
      <c r="AF26" s="10"/>
    </row>
    <row r="27" hidden="1" outlineLevel="1">
      <c r="A27" s="9" t="s">
        <v>244</v>
      </c>
      <c r="B27" s="70" t="s">
        <v>16</v>
      </c>
      <c r="C27" s="9" t="s">
        <v>92</v>
      </c>
      <c r="D27" s="9" t="str">
        <f t="shared" si="1"/>
        <v>MayNILAMANI KISAN.B</v>
      </c>
      <c r="E27" s="10" t="str">
        <f t="shared" si="2"/>
        <v>MayNILAMANI KISAN.BOT Hours</v>
      </c>
      <c r="F27" s="10" t="str">
        <f>IFERROR(VLOOKUP(C27,'Employees List'!$B$1:$I$999,4,0),"")</f>
        <v>NILAMANI KISAN.B</v>
      </c>
      <c r="G27" s="71">
        <f t="shared" si="11"/>
        <v>18863.90323</v>
      </c>
      <c r="H27" s="72">
        <f>IFERROR(VLOOKUP(C27,'Employees List'!$B$2:$I$991,7,0),"")</f>
        <v>38254473147</v>
      </c>
      <c r="I27" s="73">
        <f>IFERROR(VLOOKUP(F27,'Employees List'!$E$1:$AE$991,6,0),"")</f>
        <v>12000</v>
      </c>
      <c r="J27" s="71">
        <f t="shared" si="3"/>
        <v>8400</v>
      </c>
      <c r="K27" s="71">
        <f t="shared" si="4"/>
        <v>3600</v>
      </c>
      <c r="L27" s="10">
        <f>IFERROR(VLOOKUP(B27,'Employees List'!$A$2:$K$991,11,0),"")</f>
        <v>31</v>
      </c>
      <c r="M27" s="74">
        <f>IFERROR(VLOOKUP(D27,'Daily Attendance 25-26'!$A$4:BP999,5,0),"")</f>
        <v>29</v>
      </c>
      <c r="N27" s="10">
        <f>IFERROR(VLOOKUP(E27,'Daily Attendance 25-26'!$A$1:$BO$1741,5,0),"")</f>
        <v>101</v>
      </c>
      <c r="O27" s="9">
        <v>450.0</v>
      </c>
      <c r="P27" s="10"/>
      <c r="Q27" s="71">
        <f t="shared" si="5"/>
        <v>11225.80645</v>
      </c>
      <c r="R27" s="71">
        <f t="shared" si="6"/>
        <v>7330.645161</v>
      </c>
      <c r="S27" s="71">
        <f t="shared" si="7"/>
        <v>19006.45161</v>
      </c>
      <c r="T27" s="71">
        <f t="shared" si="10"/>
        <v>142.5483871</v>
      </c>
      <c r="U27" s="71">
        <f t="shared" si="8"/>
        <v>19006.45161</v>
      </c>
      <c r="V27" s="10"/>
      <c r="W27" s="10"/>
      <c r="X27" s="10"/>
      <c r="Y27" s="10"/>
      <c r="Z27" s="10"/>
      <c r="AA27" s="10"/>
      <c r="AB27" s="10"/>
      <c r="AC27" s="10"/>
      <c r="AD27" s="10"/>
      <c r="AE27" s="10"/>
      <c r="AF27" s="10"/>
    </row>
    <row r="28" hidden="1">
      <c r="A28" s="9" t="s">
        <v>245</v>
      </c>
      <c r="B28" s="70" t="s">
        <v>21</v>
      </c>
      <c r="C28" s="9" t="s">
        <v>13</v>
      </c>
      <c r="D28" s="9" t="str">
        <f t="shared" si="1"/>
        <v>JuneBHUVANESHWARAN.V</v>
      </c>
      <c r="E28" s="10" t="str">
        <f t="shared" si="2"/>
        <v>JuneBHUVANESHWARAN.VOT Hours</v>
      </c>
      <c r="F28" s="10" t="str">
        <f>IFERROR(VLOOKUP(C28,'Employees List'!$B$1:$I$999,4,0),"")</f>
        <v>BHUVANESHWARAN.V</v>
      </c>
      <c r="G28" s="71">
        <f>S28</f>
        <v>66900</v>
      </c>
      <c r="H28" s="72">
        <f>IFERROR(VLOOKUP(C28,'Employees List'!$B$2:$I$991,7,0),"")</f>
        <v>500101011548924</v>
      </c>
      <c r="I28" s="73">
        <f>IFERROR(VLOOKUP(F28,'Employees List'!$E$1:$AE$991,6,0),"")</f>
        <v>66000</v>
      </c>
      <c r="J28" s="71">
        <f t="shared" si="3"/>
        <v>46200</v>
      </c>
      <c r="K28" s="71">
        <f t="shared" si="4"/>
        <v>19800</v>
      </c>
      <c r="L28" s="10">
        <f>IFERROR(VLOOKUP(B28,'Employees List'!$A$2:$K$991,11,0),"")</f>
        <v>30</v>
      </c>
      <c r="M28" s="74">
        <f>IFERROR(VLOOKUP(D28,'Daily Attendance 25-26'!$A$4:BP999,5,0),"")</f>
        <v>30</v>
      </c>
      <c r="N28" s="10">
        <f>IFERROR(VLOOKUP(E28,'Daily Attendance 25-26'!$A$1:$BO$1741,5,0),"")</f>
        <v>0</v>
      </c>
      <c r="O28" s="9">
        <v>900.0</v>
      </c>
      <c r="P28" s="10"/>
      <c r="Q28" s="71">
        <f t="shared" si="5"/>
        <v>66000</v>
      </c>
      <c r="R28" s="71">
        <f t="shared" si="6"/>
        <v>0</v>
      </c>
      <c r="S28" s="71">
        <f t="shared" si="7"/>
        <v>66900</v>
      </c>
      <c r="T28" s="9">
        <v>0.0</v>
      </c>
      <c r="U28" s="71">
        <f t="shared" si="8"/>
        <v>66900</v>
      </c>
      <c r="V28" s="10"/>
      <c r="W28" s="10"/>
      <c r="X28" s="10"/>
      <c r="Y28" s="10"/>
      <c r="Z28" s="10"/>
      <c r="AA28" s="10"/>
      <c r="AB28" s="10"/>
      <c r="AC28" s="10"/>
      <c r="AD28" s="10"/>
      <c r="AE28" s="10"/>
      <c r="AF28" s="10"/>
    </row>
    <row r="29" hidden="1">
      <c r="A29" s="9" t="s">
        <v>246</v>
      </c>
      <c r="B29" s="70" t="s">
        <v>21</v>
      </c>
      <c r="C29" s="9" t="s">
        <v>71</v>
      </c>
      <c r="D29" s="9" t="str">
        <f t="shared" si="1"/>
        <v>JuneTHIRIPURA SUNDARI.R</v>
      </c>
      <c r="E29" s="10" t="str">
        <f t="shared" si="2"/>
        <v>JuneTHIRIPURA SUNDARI.ROT Hours</v>
      </c>
      <c r="F29" s="10" t="str">
        <f>IFERROR(VLOOKUP(C29,'Employees List'!$B$1:$I$999,4,0),"")</f>
        <v>THIRIPURA SUNDARI.R</v>
      </c>
      <c r="G29" s="71">
        <f t="shared" ref="G29:G117" si="12">S29-T29</f>
        <v>22815.09375</v>
      </c>
      <c r="H29" s="72" t="str">
        <f>IFERROR(VLOOKUP(C29,'Employees List'!$B$2:$I$991,7,0),"")</f>
        <v>8131010000016977</v>
      </c>
      <c r="I29" s="73">
        <f>IFERROR(VLOOKUP(F29,'Employees List'!$E$1:$AE$991,6,0),"")</f>
        <v>21000</v>
      </c>
      <c r="J29" s="71">
        <f t="shared" si="3"/>
        <v>14700</v>
      </c>
      <c r="K29" s="71">
        <f t="shared" si="4"/>
        <v>6300</v>
      </c>
      <c r="L29" s="10">
        <f>IFERROR(VLOOKUP(B29,'Employees List'!$A$2:$K$991,11,0),"")</f>
        <v>30</v>
      </c>
      <c r="M29" s="74">
        <f>IFERROR(VLOOKUP(D29,'Daily Attendance 25-26'!$A$4:BP999,5,0),"")</f>
        <v>30</v>
      </c>
      <c r="N29" s="10">
        <f>IFERROR(VLOOKUP(E29,'Daily Attendance 25-26'!$A$1:$BO$1741,5,0),"")</f>
        <v>6</v>
      </c>
      <c r="O29" s="9">
        <v>1200.0</v>
      </c>
      <c r="P29" s="81"/>
      <c r="Q29" s="71">
        <f t="shared" si="5"/>
        <v>21000</v>
      </c>
      <c r="R29" s="71">
        <f t="shared" si="6"/>
        <v>787.5</v>
      </c>
      <c r="S29" s="71">
        <f t="shared" si="7"/>
        <v>22987.5</v>
      </c>
      <c r="T29" s="71">
        <f t="shared" ref="T29:T40" si="13">U29*0.75%</f>
        <v>172.40625</v>
      </c>
      <c r="U29" s="71">
        <f t="shared" si="8"/>
        <v>22987.5</v>
      </c>
      <c r="V29" s="10"/>
      <c r="W29" s="10"/>
      <c r="X29" s="10"/>
      <c r="Y29" s="10"/>
      <c r="Z29" s="10"/>
      <c r="AA29" s="10"/>
      <c r="AB29" s="10"/>
      <c r="AC29" s="10"/>
      <c r="AD29" s="10"/>
      <c r="AE29" s="10"/>
      <c r="AF29" s="10"/>
    </row>
    <row r="30" hidden="1">
      <c r="A30" s="9" t="s">
        <v>247</v>
      </c>
      <c r="B30" s="70" t="s">
        <v>21</v>
      </c>
      <c r="C30" s="9" t="s">
        <v>22</v>
      </c>
      <c r="D30" s="9" t="str">
        <f t="shared" si="1"/>
        <v>JuneGANESH</v>
      </c>
      <c r="E30" s="10" t="str">
        <f t="shared" si="2"/>
        <v>JuneGANESHOT Hours</v>
      </c>
      <c r="F30" s="10" t="str">
        <f>IFERROR(VLOOKUP(C30,'Employees List'!$B$1:$I$999,4,0),"")</f>
        <v>GANESH</v>
      </c>
      <c r="G30" s="71">
        <f t="shared" si="12"/>
        <v>16190.40104</v>
      </c>
      <c r="H30" s="72" t="str">
        <f>IFERROR(VLOOKUP(C30,'Employees List'!$B$2:$I$991,7,0),"")</f>
        <v>8811010012054879</v>
      </c>
      <c r="I30" s="73">
        <f>IFERROR(VLOOKUP(F30,'Employees List'!$E$1:$AE$991,6,0),"")</f>
        <v>18500</v>
      </c>
      <c r="J30" s="71">
        <f t="shared" si="3"/>
        <v>12950</v>
      </c>
      <c r="K30" s="71">
        <f t="shared" si="4"/>
        <v>5550</v>
      </c>
      <c r="L30" s="10">
        <f>IFERROR(VLOOKUP(B30,'Employees List'!$A$2:$K$991,11,0),"")</f>
        <v>30</v>
      </c>
      <c r="M30" s="74">
        <f>IFERROR(VLOOKUP(D30,'Daily Attendance 25-26'!$A$4:BP999,5,0),"")</f>
        <v>25</v>
      </c>
      <c r="N30" s="10">
        <f>IFERROR(VLOOKUP(E30,'Daily Attendance 25-26'!$A$1:$BO$1741,5,0),"")</f>
        <v>30</v>
      </c>
      <c r="O30" s="9">
        <v>450.0</v>
      </c>
      <c r="P30" s="82">
        <v>3000.0</v>
      </c>
      <c r="Q30" s="71">
        <f t="shared" si="5"/>
        <v>15416.66667</v>
      </c>
      <c r="R30" s="71">
        <f t="shared" si="6"/>
        <v>3468.75</v>
      </c>
      <c r="S30" s="71">
        <f t="shared" si="7"/>
        <v>16335.41667</v>
      </c>
      <c r="T30" s="71">
        <f t="shared" si="13"/>
        <v>145.015625</v>
      </c>
      <c r="U30" s="71">
        <f t="shared" si="8"/>
        <v>19335.41667</v>
      </c>
      <c r="V30" s="10"/>
      <c r="W30" s="10"/>
      <c r="X30" s="10"/>
      <c r="Y30" s="10"/>
      <c r="Z30" s="10"/>
      <c r="AA30" s="10"/>
      <c r="AB30" s="10"/>
      <c r="AC30" s="10"/>
      <c r="AD30" s="10"/>
      <c r="AE30" s="10"/>
      <c r="AF30" s="10"/>
    </row>
    <row r="31" hidden="1">
      <c r="A31" s="9" t="s">
        <v>248</v>
      </c>
      <c r="B31" s="70" t="s">
        <v>21</v>
      </c>
      <c r="C31" s="9" t="s">
        <v>17</v>
      </c>
      <c r="D31" s="9" t="str">
        <f t="shared" si="1"/>
        <v>JuneVASANTHA.E</v>
      </c>
      <c r="E31" s="10" t="str">
        <f t="shared" si="2"/>
        <v>JuneVASANTHA.EOT Hours</v>
      </c>
      <c r="F31" s="10" t="str">
        <f>IFERROR(VLOOKUP(C31,'Employees List'!$B$1:$I$999,4,0),"")</f>
        <v>VASANTHA.E</v>
      </c>
      <c r="G31" s="71">
        <f t="shared" si="12"/>
        <v>18522.53125</v>
      </c>
      <c r="H31" s="72" t="str">
        <f>IFERROR(VLOOKUP(C31,'Employees List'!$B$2:$I$991,7,0),"")</f>
        <v>8131010000016959</v>
      </c>
      <c r="I31" s="73">
        <f>IFERROR(VLOOKUP(F31,'Employees List'!$E$1:$AE$991,6,0),"")</f>
        <v>14500</v>
      </c>
      <c r="J31" s="71">
        <f t="shared" si="3"/>
        <v>10150</v>
      </c>
      <c r="K31" s="71">
        <f t="shared" si="4"/>
        <v>4350</v>
      </c>
      <c r="L31" s="10">
        <f>IFERROR(VLOOKUP(B31,'Employees List'!$A$2:$K$991,11,0),"")</f>
        <v>30</v>
      </c>
      <c r="M31" s="74">
        <f>IFERROR(VLOOKUP(D31,'Daily Attendance 25-26'!$A$4:BP999,5,0),"")</f>
        <v>30</v>
      </c>
      <c r="N31" s="10">
        <f>IFERROR(VLOOKUP(E31,'Daily Attendance 25-26'!$A$1:$BO$1741,5,0),"")</f>
        <v>36</v>
      </c>
      <c r="O31" s="9">
        <v>900.0</v>
      </c>
      <c r="P31" s="82"/>
      <c r="Q31" s="71">
        <f t="shared" si="5"/>
        <v>14500</v>
      </c>
      <c r="R31" s="71">
        <f t="shared" si="6"/>
        <v>3262.5</v>
      </c>
      <c r="S31" s="71">
        <f t="shared" si="7"/>
        <v>18662.5</v>
      </c>
      <c r="T31" s="71">
        <f t="shared" si="13"/>
        <v>139.96875</v>
      </c>
      <c r="U31" s="71">
        <f t="shared" si="8"/>
        <v>18662.5</v>
      </c>
      <c r="V31" s="10"/>
      <c r="W31" s="10"/>
      <c r="X31" s="10"/>
      <c r="Y31" s="10"/>
      <c r="Z31" s="10"/>
      <c r="AA31" s="10"/>
      <c r="AB31" s="10"/>
      <c r="AC31" s="10"/>
      <c r="AD31" s="10"/>
      <c r="AE31" s="10"/>
      <c r="AF31" s="10"/>
    </row>
    <row r="32" hidden="1">
      <c r="A32" s="9" t="s">
        <v>249</v>
      </c>
      <c r="B32" s="70" t="s">
        <v>21</v>
      </c>
      <c r="C32" s="9" t="s">
        <v>77</v>
      </c>
      <c r="D32" s="9" t="str">
        <f t="shared" si="1"/>
        <v>JuneILAMATHIVANAN.S</v>
      </c>
      <c r="E32" s="10" t="str">
        <f t="shared" si="2"/>
        <v>JuneILAMATHIVANAN.SOT Hours</v>
      </c>
      <c r="F32" s="10" t="str">
        <f>IFERROR(VLOOKUP(C32,'Employees List'!$B$1:$I$999,4,0),"")</f>
        <v>ILAMATHIVANAN.S</v>
      </c>
      <c r="G32" s="71">
        <f t="shared" si="12"/>
        <v>13550.95313</v>
      </c>
      <c r="H32" s="72" t="str">
        <f>IFERROR(VLOOKUP(C32,'Employees List'!$B$2:$I$991,7,0),"")</f>
        <v>8131010000016986</v>
      </c>
      <c r="I32" s="73">
        <f>IFERROR(VLOOKUP(F32,'Employees List'!$E$1:$AE$991,6,0),"")</f>
        <v>21000</v>
      </c>
      <c r="J32" s="71">
        <f t="shared" si="3"/>
        <v>14700</v>
      </c>
      <c r="K32" s="71">
        <f t="shared" si="4"/>
        <v>6300</v>
      </c>
      <c r="L32" s="10">
        <f>IFERROR(VLOOKUP(B32,'Employees List'!$A$2:$K$991,11,0),"")</f>
        <v>30</v>
      </c>
      <c r="M32" s="74">
        <f>IFERROR(VLOOKUP(D32,'Daily Attendance 25-26'!$A$4:BP999,5,0),"")</f>
        <v>22</v>
      </c>
      <c r="N32" s="10">
        <f>IFERROR(VLOOKUP(E32,'Daily Attendance 25-26'!$A$1:$BO$1741,5,0),"")</f>
        <v>37</v>
      </c>
      <c r="O32" s="9">
        <v>450.0</v>
      </c>
      <c r="P32" s="82">
        <v>7000.0</v>
      </c>
      <c r="Q32" s="71">
        <f t="shared" si="5"/>
        <v>15400</v>
      </c>
      <c r="R32" s="71">
        <f t="shared" si="6"/>
        <v>4856.25</v>
      </c>
      <c r="S32" s="71">
        <f t="shared" si="7"/>
        <v>13706.25</v>
      </c>
      <c r="T32" s="71">
        <f t="shared" si="13"/>
        <v>155.296875</v>
      </c>
      <c r="U32" s="71">
        <f t="shared" si="8"/>
        <v>20706.25</v>
      </c>
      <c r="V32" s="10"/>
      <c r="W32" s="10"/>
      <c r="X32" s="10"/>
      <c r="Y32" s="10"/>
      <c r="Z32" s="10"/>
      <c r="AA32" s="10"/>
      <c r="AB32" s="10"/>
      <c r="AC32" s="10"/>
      <c r="AD32" s="10"/>
      <c r="AE32" s="10"/>
      <c r="AF32" s="10"/>
    </row>
    <row r="33" hidden="1">
      <c r="A33" s="9" t="s">
        <v>250</v>
      </c>
      <c r="B33" s="70" t="s">
        <v>21</v>
      </c>
      <c r="C33" s="9" t="s">
        <v>26</v>
      </c>
      <c r="D33" s="9" t="str">
        <f t="shared" si="1"/>
        <v>JuneADHIKARI BALIA.A</v>
      </c>
      <c r="E33" s="10" t="str">
        <f t="shared" si="2"/>
        <v>JuneADHIKARI BALIA.AOT Hours</v>
      </c>
      <c r="F33" s="10" t="str">
        <f>IFERROR(VLOOKUP(C33,'Employees List'!$B$1:$I$999,4,0),"")</f>
        <v>ADHIKARI BALIA.A</v>
      </c>
      <c r="G33" s="71">
        <f t="shared" si="12"/>
        <v>19515.41667</v>
      </c>
      <c r="H33" s="72" t="str">
        <f>IFERROR(VLOOKUP(C33,'Employees List'!$B$2:$I$991,7,0),"")</f>
        <v>8131010000018948</v>
      </c>
      <c r="I33" s="73">
        <f>IFERROR(VLOOKUP(F33,'Employees List'!$E$1:$AE$991,6,0),"")</f>
        <v>13000</v>
      </c>
      <c r="J33" s="71">
        <f t="shared" si="3"/>
        <v>9100</v>
      </c>
      <c r="K33" s="71">
        <f t="shared" si="4"/>
        <v>3900</v>
      </c>
      <c r="L33" s="10">
        <f>IFERROR(VLOOKUP(B33,'Employees List'!$A$2:$K$991,11,0),"")</f>
        <v>30</v>
      </c>
      <c r="M33" s="74">
        <f>IFERROR(VLOOKUP(D33,'Daily Attendance 25-26'!$A$4:BP999,5,0),"")</f>
        <v>29</v>
      </c>
      <c r="N33" s="10">
        <f>IFERROR(VLOOKUP(E33,'Daily Attendance 25-26'!$A$1:$BO$1741,5,0),"")</f>
        <v>88</v>
      </c>
      <c r="O33" s="9">
        <v>450.0</v>
      </c>
      <c r="P33" s="82">
        <v>500.0</v>
      </c>
      <c r="Q33" s="71">
        <f t="shared" si="5"/>
        <v>12566.66667</v>
      </c>
      <c r="R33" s="71">
        <f t="shared" si="6"/>
        <v>7150</v>
      </c>
      <c r="S33" s="71">
        <f t="shared" si="7"/>
        <v>19666.66667</v>
      </c>
      <c r="T33" s="71">
        <f t="shared" si="13"/>
        <v>151.25</v>
      </c>
      <c r="U33" s="71">
        <f t="shared" si="8"/>
        <v>20166.66667</v>
      </c>
      <c r="V33" s="10"/>
      <c r="W33" s="10"/>
      <c r="X33" s="10"/>
      <c r="Y33" s="10"/>
      <c r="Z33" s="10"/>
      <c r="AA33" s="10"/>
      <c r="AB33" s="10"/>
      <c r="AC33" s="10"/>
      <c r="AD33" s="10"/>
      <c r="AE33" s="10"/>
      <c r="AF33" s="10"/>
    </row>
    <row r="34" hidden="1">
      <c r="A34" s="9" t="s">
        <v>251</v>
      </c>
      <c r="B34" s="70" t="s">
        <v>21</v>
      </c>
      <c r="C34" s="9" t="s">
        <v>30</v>
      </c>
      <c r="D34" s="9" t="str">
        <f t="shared" si="1"/>
        <v>JuneRUPESH KISAN</v>
      </c>
      <c r="E34" s="10" t="str">
        <f t="shared" si="2"/>
        <v>JuneRUPESH KISANOT Hours</v>
      </c>
      <c r="F34" s="10" t="str">
        <f>IFERROR(VLOOKUP(C34,'Employees List'!$B$1:$I$999,4,0),"")</f>
        <v>RUPESH KISAN</v>
      </c>
      <c r="G34" s="71">
        <f t="shared" si="12"/>
        <v>19370.29167</v>
      </c>
      <c r="H34" s="72">
        <f>IFERROR(VLOOKUP(C34,'Employees List'!$B$2:$I$991,7,0),"")</f>
        <v>411002010024591</v>
      </c>
      <c r="I34" s="73">
        <f>IFERROR(VLOOKUP(F34,'Employees List'!$E$1:$AE$991,6,0),"")</f>
        <v>13000</v>
      </c>
      <c r="J34" s="71">
        <f t="shared" si="3"/>
        <v>9100</v>
      </c>
      <c r="K34" s="71">
        <f t="shared" si="4"/>
        <v>3900</v>
      </c>
      <c r="L34" s="10">
        <f>IFERROR(VLOOKUP(B34,'Employees List'!$A$2:$K$991,11,0),"")</f>
        <v>30</v>
      </c>
      <c r="M34" s="74">
        <f>IFERROR(VLOOKUP(D34,'Daily Attendance 25-26'!$A$4:BP999,5,0),"")</f>
        <v>29</v>
      </c>
      <c r="N34" s="10">
        <f>IFERROR(VLOOKUP(E34,'Daily Attendance 25-26'!$A$1:$BO$1741,5,0),"")</f>
        <v>80</v>
      </c>
      <c r="O34" s="9">
        <v>450.0</v>
      </c>
      <c r="P34" s="82"/>
      <c r="Q34" s="71">
        <f t="shared" si="5"/>
        <v>12566.66667</v>
      </c>
      <c r="R34" s="71">
        <f t="shared" si="6"/>
        <v>6500</v>
      </c>
      <c r="S34" s="71">
        <f t="shared" si="7"/>
        <v>19516.66667</v>
      </c>
      <c r="T34" s="71">
        <f t="shared" si="13"/>
        <v>146.375</v>
      </c>
      <c r="U34" s="71">
        <f t="shared" si="8"/>
        <v>19516.66667</v>
      </c>
      <c r="V34" s="10"/>
      <c r="W34" s="10"/>
      <c r="X34" s="10"/>
      <c r="Y34" s="10"/>
      <c r="Z34" s="10"/>
      <c r="AA34" s="10"/>
      <c r="AB34" s="10"/>
      <c r="AC34" s="10"/>
      <c r="AD34" s="10"/>
      <c r="AE34" s="10"/>
      <c r="AF34" s="10"/>
    </row>
    <row r="35" hidden="1">
      <c r="A35" s="9" t="s">
        <v>252</v>
      </c>
      <c r="B35" s="70" t="s">
        <v>21</v>
      </c>
      <c r="C35" s="9" t="s">
        <v>34</v>
      </c>
      <c r="D35" s="9" t="str">
        <f t="shared" si="1"/>
        <v>JuneSANJAY BAGARTTI.K</v>
      </c>
      <c r="E35" s="10" t="str">
        <f t="shared" si="2"/>
        <v>JuneSANJAY BAGARTTI.KOT Hours</v>
      </c>
      <c r="F35" s="10" t="str">
        <f>IFERROR(VLOOKUP(C35,'Employees List'!$B$1:$I$999,4,0),"")</f>
        <v>SANJAY BAGARTTI.K</v>
      </c>
      <c r="G35" s="71">
        <f t="shared" si="12"/>
        <v>20821.82292</v>
      </c>
      <c r="H35" s="72" t="str">
        <f>IFERROR(VLOOKUP(C35,'Employees List'!$B$2:$I$991,7,0),"")</f>
        <v>8131010000021225</v>
      </c>
      <c r="I35" s="73">
        <f>IFERROR(VLOOKUP(F35,'Employees List'!$E$1:$AE$991,6,0),"")</f>
        <v>13000</v>
      </c>
      <c r="J35" s="71">
        <f t="shared" si="3"/>
        <v>9100</v>
      </c>
      <c r="K35" s="71">
        <f t="shared" si="4"/>
        <v>3900</v>
      </c>
      <c r="L35" s="10">
        <f>IFERROR(VLOOKUP(B35,'Employees List'!$A$2:$K$991,11,0),"")</f>
        <v>30</v>
      </c>
      <c r="M35" s="74">
        <f>IFERROR(VLOOKUP(D35,'Daily Attendance 25-26'!$A$4:BP999,5,0),"")</f>
        <v>29</v>
      </c>
      <c r="N35" s="10">
        <f>IFERROR(VLOOKUP(E35,'Daily Attendance 25-26'!$A$1:$BO$1741,5,0),"")</f>
        <v>98</v>
      </c>
      <c r="O35" s="9">
        <v>450.0</v>
      </c>
      <c r="P35" s="81"/>
      <c r="Q35" s="71">
        <f t="shared" si="5"/>
        <v>12566.66667</v>
      </c>
      <c r="R35" s="71">
        <f t="shared" si="6"/>
        <v>7962.5</v>
      </c>
      <c r="S35" s="71">
        <f t="shared" si="7"/>
        <v>20979.16667</v>
      </c>
      <c r="T35" s="71">
        <f t="shared" si="13"/>
        <v>157.34375</v>
      </c>
      <c r="U35" s="71">
        <f t="shared" si="8"/>
        <v>20979.16667</v>
      </c>
      <c r="V35" s="10"/>
      <c r="W35" s="10"/>
      <c r="X35" s="10"/>
      <c r="Y35" s="10"/>
      <c r="Z35" s="10"/>
      <c r="AA35" s="10"/>
      <c r="AB35" s="10"/>
      <c r="AC35" s="10"/>
      <c r="AD35" s="10"/>
      <c r="AE35" s="10"/>
      <c r="AF35" s="10"/>
    </row>
    <row r="36" hidden="1">
      <c r="A36" s="9" t="s">
        <v>253</v>
      </c>
      <c r="B36" s="70" t="s">
        <v>21</v>
      </c>
      <c r="C36" s="9" t="s">
        <v>87</v>
      </c>
      <c r="D36" s="9" t="str">
        <f t="shared" si="1"/>
        <v>JuneLIPAN</v>
      </c>
      <c r="E36" s="10" t="str">
        <f t="shared" si="2"/>
        <v>JuneLIPANOT Hours</v>
      </c>
      <c r="F36" s="10" t="str">
        <f>IFERROR(VLOOKUP(C36,'Employees List'!$B$1:$I$999,4,0),"")</f>
        <v>LIPAN</v>
      </c>
      <c r="G36" s="71">
        <f t="shared" si="12"/>
        <v>21456.60938</v>
      </c>
      <c r="H36" s="72" t="str">
        <f>IFERROR(VLOOKUP(C36,'Employees List'!$B$2:$I$991,7,0),"")</f>
        <v>8131010000018957</v>
      </c>
      <c r="I36" s="73">
        <f>IFERROR(VLOOKUP(F36,'Employees List'!$E$1:$AE$991,6,0),"")</f>
        <v>13000</v>
      </c>
      <c r="J36" s="71">
        <f t="shared" si="3"/>
        <v>9100</v>
      </c>
      <c r="K36" s="71">
        <f t="shared" si="4"/>
        <v>3900</v>
      </c>
      <c r="L36" s="10">
        <f>IFERROR(VLOOKUP(B36,'Employees List'!$A$2:$K$991,11,0),"")</f>
        <v>30</v>
      </c>
      <c r="M36" s="74">
        <f>IFERROR(VLOOKUP(D36,'Daily Attendance 25-26'!$A$4:BP999,5,0),"")</f>
        <v>30</v>
      </c>
      <c r="N36" s="10">
        <f>IFERROR(VLOOKUP(E36,'Daily Attendance 25-26'!$A$1:$BO$1741,5,0),"")</f>
        <v>95</v>
      </c>
      <c r="O36" s="9">
        <v>900.0</v>
      </c>
      <c r="P36" s="81"/>
      <c r="Q36" s="71">
        <f t="shared" si="5"/>
        <v>13000</v>
      </c>
      <c r="R36" s="71">
        <f t="shared" si="6"/>
        <v>7718.75</v>
      </c>
      <c r="S36" s="71">
        <f t="shared" si="7"/>
        <v>21618.75</v>
      </c>
      <c r="T36" s="71">
        <f t="shared" si="13"/>
        <v>162.140625</v>
      </c>
      <c r="U36" s="71">
        <f t="shared" si="8"/>
        <v>21618.75</v>
      </c>
      <c r="V36" s="10"/>
      <c r="W36" s="10"/>
      <c r="X36" s="10"/>
      <c r="Y36" s="10"/>
      <c r="Z36" s="10"/>
      <c r="AA36" s="10"/>
      <c r="AB36" s="10"/>
      <c r="AC36" s="10"/>
      <c r="AD36" s="10"/>
      <c r="AE36" s="10"/>
      <c r="AF36" s="10"/>
    </row>
    <row r="37" hidden="1">
      <c r="A37" s="9" t="s">
        <v>254</v>
      </c>
      <c r="B37" s="70" t="s">
        <v>21</v>
      </c>
      <c r="C37" s="9" t="s">
        <v>92</v>
      </c>
      <c r="D37" s="9" t="str">
        <f t="shared" si="1"/>
        <v>JuneNILAMANI KISAN.B</v>
      </c>
      <c r="E37" s="10" t="str">
        <f t="shared" si="2"/>
        <v>JuneNILAMANI KISAN.BOT Hours</v>
      </c>
      <c r="F37" s="10" t="str">
        <f>IFERROR(VLOOKUP(C37,'Employees List'!$B$1:$I$999,4,0),"")</f>
        <v>NILAMANI KISAN.B</v>
      </c>
      <c r="G37" s="71">
        <f t="shared" si="12"/>
        <v>9528</v>
      </c>
      <c r="H37" s="72">
        <f>IFERROR(VLOOKUP(C37,'Employees List'!$B$2:$I$991,7,0),"")</f>
        <v>38254473147</v>
      </c>
      <c r="I37" s="73">
        <f>IFERROR(VLOOKUP(F37,'Employees List'!$E$1:$AE$991,6,0),"")</f>
        <v>12000</v>
      </c>
      <c r="J37" s="71">
        <f t="shared" si="3"/>
        <v>8400</v>
      </c>
      <c r="K37" s="71">
        <f t="shared" si="4"/>
        <v>3600</v>
      </c>
      <c r="L37" s="10">
        <f>IFERROR(VLOOKUP(B37,'Employees List'!$A$2:$K$991,11,0),"")</f>
        <v>30</v>
      </c>
      <c r="M37" s="74">
        <f>IFERROR(VLOOKUP(D37,'Daily Attendance 25-26'!$A$4:BP999,5,0),"")</f>
        <v>15</v>
      </c>
      <c r="N37" s="10">
        <f>IFERROR(VLOOKUP(E37,'Daily Attendance 25-26'!$A$1:$BO$1741,5,0),"")</f>
        <v>42</v>
      </c>
      <c r="O37" s="9">
        <v>450.0</v>
      </c>
      <c r="P37" s="82"/>
      <c r="Q37" s="71">
        <f t="shared" si="5"/>
        <v>6000</v>
      </c>
      <c r="R37" s="71">
        <f t="shared" si="6"/>
        <v>3150</v>
      </c>
      <c r="S37" s="71">
        <f t="shared" si="7"/>
        <v>9600</v>
      </c>
      <c r="T37" s="71">
        <f t="shared" si="13"/>
        <v>72</v>
      </c>
      <c r="U37" s="71">
        <f t="shared" si="8"/>
        <v>9600</v>
      </c>
      <c r="V37" s="10"/>
      <c r="W37" s="10"/>
      <c r="X37" s="10"/>
      <c r="Y37" s="10"/>
      <c r="Z37" s="10"/>
      <c r="AA37" s="10"/>
      <c r="AB37" s="10"/>
      <c r="AC37" s="10"/>
      <c r="AD37" s="10"/>
      <c r="AE37" s="10"/>
      <c r="AF37" s="10"/>
    </row>
    <row r="38" hidden="1">
      <c r="A38" s="9" t="s">
        <v>255</v>
      </c>
      <c r="B38" s="70" t="s">
        <v>21</v>
      </c>
      <c r="C38" s="9" t="s">
        <v>42</v>
      </c>
      <c r="D38" s="9" t="str">
        <f t="shared" si="1"/>
        <v>JuneAMMU.S</v>
      </c>
      <c r="E38" s="10" t="str">
        <f t="shared" si="2"/>
        <v>JuneAMMU.SOT Hours</v>
      </c>
      <c r="F38" s="10" t="str">
        <f>IFERROR(VLOOKUP(C38,'Employees List'!$B$1:$I$999,4,0),"")</f>
        <v>AMMU.S</v>
      </c>
      <c r="G38" s="71">
        <f t="shared" si="12"/>
        <v>12648.17188</v>
      </c>
      <c r="H38" s="72">
        <f>IFERROR(VLOOKUP(C38,'Employees List'!$B$2:$I$991,7,0),"")</f>
        <v>65801000040238</v>
      </c>
      <c r="I38" s="73">
        <f>IFERROR(VLOOKUP(F38,'Employees List'!$E$1:$AE$991,6,0),"")</f>
        <v>10500</v>
      </c>
      <c r="J38" s="71">
        <f t="shared" si="3"/>
        <v>7350</v>
      </c>
      <c r="K38" s="71">
        <f t="shared" si="4"/>
        <v>3150</v>
      </c>
      <c r="L38" s="10">
        <f>IFERROR(VLOOKUP(B38,'Employees List'!$A$2:$K$991,11,0),"")</f>
        <v>30</v>
      </c>
      <c r="M38" s="74">
        <f>IFERROR(VLOOKUP(D38,'Daily Attendance 25-26'!$A$4:BP999,5,0),"")</f>
        <v>28</v>
      </c>
      <c r="N38" s="10">
        <f>IFERROR(VLOOKUP(E38,'Daily Attendance 25-26'!$A$1:$BO$1741,5,0),"")</f>
        <v>38</v>
      </c>
      <c r="O38" s="9">
        <v>450.0</v>
      </c>
      <c r="P38" s="82"/>
      <c r="Q38" s="71">
        <f t="shared" si="5"/>
        <v>9800</v>
      </c>
      <c r="R38" s="71">
        <f t="shared" si="6"/>
        <v>2493.75</v>
      </c>
      <c r="S38" s="71">
        <f t="shared" si="7"/>
        <v>12743.75</v>
      </c>
      <c r="T38" s="71">
        <f t="shared" si="13"/>
        <v>95.578125</v>
      </c>
      <c r="U38" s="71">
        <f t="shared" si="8"/>
        <v>12743.75</v>
      </c>
      <c r="V38" s="10"/>
      <c r="W38" s="10"/>
      <c r="X38" s="10"/>
      <c r="Y38" s="10"/>
      <c r="Z38" s="10"/>
      <c r="AA38" s="10"/>
      <c r="AB38" s="10"/>
      <c r="AC38" s="10"/>
      <c r="AD38" s="10"/>
      <c r="AE38" s="10"/>
      <c r="AF38" s="10"/>
    </row>
    <row r="39" hidden="1">
      <c r="A39" s="9" t="s">
        <v>256</v>
      </c>
      <c r="B39" s="70" t="s">
        <v>21</v>
      </c>
      <c r="C39" s="9" t="s">
        <v>46</v>
      </c>
      <c r="D39" s="9" t="str">
        <f t="shared" si="1"/>
        <v>JuneREVATHI.S</v>
      </c>
      <c r="E39" s="10" t="str">
        <f t="shared" si="2"/>
        <v>JuneREVATHI.SOT Hours</v>
      </c>
      <c r="F39" s="10" t="str">
        <f>IFERROR(VLOOKUP(C39,'Employees List'!$B$1:$I$999,4,0),"")</f>
        <v>REVATHI.S</v>
      </c>
      <c r="G39" s="71">
        <f t="shared" si="12"/>
        <v>10995.54688</v>
      </c>
      <c r="H39" s="72" t="str">
        <f>IFERROR(VLOOKUP(C39,'Employees List'!$B$2:$I$991,7,0),"")</f>
        <v>8131010000016995</v>
      </c>
      <c r="I39" s="73">
        <f>IFERROR(VLOOKUP(F39,'Employees List'!$E$1:$AE$991,6,0),"")</f>
        <v>10500</v>
      </c>
      <c r="J39" s="71">
        <f t="shared" si="3"/>
        <v>7350</v>
      </c>
      <c r="K39" s="71">
        <f t="shared" si="4"/>
        <v>3150</v>
      </c>
      <c r="L39" s="10">
        <f>IFERROR(VLOOKUP(B39,'Employees List'!$A$2:$K$991,11,0),"")</f>
        <v>30</v>
      </c>
      <c r="M39" s="74">
        <f>IFERROR(VLOOKUP(D39,'Daily Attendance 25-26'!$A$4:BP999,5,0),"")</f>
        <v>29</v>
      </c>
      <c r="N39" s="10">
        <f>IFERROR(VLOOKUP(E39,'Daily Attendance 25-26'!$A$1:$BO$1741,5,0),"")</f>
        <v>38</v>
      </c>
      <c r="O39" s="9">
        <v>450.0</v>
      </c>
      <c r="P39" s="82">
        <v>2000.0</v>
      </c>
      <c r="Q39" s="71">
        <f t="shared" si="5"/>
        <v>10150</v>
      </c>
      <c r="R39" s="71">
        <f t="shared" si="6"/>
        <v>2493.75</v>
      </c>
      <c r="S39" s="71">
        <f t="shared" si="7"/>
        <v>11093.75</v>
      </c>
      <c r="T39" s="71">
        <f t="shared" si="13"/>
        <v>98.203125</v>
      </c>
      <c r="U39" s="71">
        <f t="shared" si="8"/>
        <v>13093.75</v>
      </c>
      <c r="V39" s="10"/>
      <c r="W39" s="10"/>
      <c r="X39" s="10"/>
      <c r="Y39" s="10"/>
      <c r="Z39" s="10"/>
      <c r="AA39" s="10"/>
      <c r="AB39" s="10"/>
      <c r="AC39" s="10"/>
      <c r="AD39" s="10"/>
      <c r="AE39" s="10"/>
      <c r="AF39" s="10"/>
    </row>
    <row r="40" hidden="1">
      <c r="A40" s="9" t="s">
        <v>257</v>
      </c>
      <c r="B40" s="70" t="s">
        <v>21</v>
      </c>
      <c r="C40" s="9" t="s">
        <v>74</v>
      </c>
      <c r="D40" s="9" t="str">
        <f t="shared" si="1"/>
        <v>JuneLEELAVATHI.M</v>
      </c>
      <c r="E40" s="10" t="str">
        <f t="shared" si="2"/>
        <v>JuneLEELAVATHI.MOT Hours</v>
      </c>
      <c r="F40" s="10" t="str">
        <f>IFERROR(VLOOKUP(C40,'Employees List'!$B$1:$I$999,4,0),"")</f>
        <v>LEELAVATHI.M</v>
      </c>
      <c r="G40" s="71">
        <f t="shared" si="12"/>
        <v>14138.98958</v>
      </c>
      <c r="H40" s="72" t="str">
        <f>IFERROR(VLOOKUP(C40,'Employees List'!$B$2:$I$991,7,0),"")</f>
        <v>8387010000017745</v>
      </c>
      <c r="I40" s="73">
        <f>IFERROR(VLOOKUP(F40,'Employees List'!$E$1:$AE$991,6,0),"")</f>
        <v>14000</v>
      </c>
      <c r="J40" s="71">
        <f t="shared" si="3"/>
        <v>9800</v>
      </c>
      <c r="K40" s="71">
        <f t="shared" si="4"/>
        <v>4200</v>
      </c>
      <c r="L40" s="10">
        <f>IFERROR(VLOOKUP(B40,'Employees List'!$A$2:$K$991,11,0),"")</f>
        <v>30</v>
      </c>
      <c r="M40" s="74">
        <f>IFERROR(VLOOKUP(D40,'Daily Attendance 25-26'!$A$4:BP999,5,0),"")</f>
        <v>29</v>
      </c>
      <c r="N40" s="10">
        <f>IFERROR(VLOOKUP(E40,'Daily Attendance 25-26'!$A$1:$BO$1741,5,0),"")</f>
        <v>3</v>
      </c>
      <c r="O40" s="9">
        <v>450.0</v>
      </c>
      <c r="P40" s="82"/>
      <c r="Q40" s="71">
        <f t="shared" si="5"/>
        <v>13533.33333</v>
      </c>
      <c r="R40" s="71">
        <f t="shared" si="6"/>
        <v>262.5</v>
      </c>
      <c r="S40" s="71">
        <f t="shared" si="7"/>
        <v>14245.83333</v>
      </c>
      <c r="T40" s="71">
        <f t="shared" si="13"/>
        <v>106.84375</v>
      </c>
      <c r="U40" s="71">
        <f t="shared" si="8"/>
        <v>14245.83333</v>
      </c>
      <c r="V40" s="10"/>
      <c r="W40" s="10"/>
      <c r="X40" s="10"/>
      <c r="Y40" s="10"/>
      <c r="Z40" s="10"/>
      <c r="AA40" s="10"/>
      <c r="AB40" s="10"/>
      <c r="AC40" s="10"/>
      <c r="AD40" s="10"/>
      <c r="AE40" s="10"/>
      <c r="AF40" s="10"/>
    </row>
    <row r="41" hidden="1">
      <c r="A41" s="9" t="s">
        <v>258</v>
      </c>
      <c r="B41" s="70" t="s">
        <v>25</v>
      </c>
      <c r="C41" s="9" t="s">
        <v>13</v>
      </c>
      <c r="D41" s="9" t="str">
        <f t="shared" si="1"/>
        <v>JulyBHUVANESHWARAN.V</v>
      </c>
      <c r="E41" s="10" t="str">
        <f t="shared" si="2"/>
        <v>JulyBHUVANESHWARAN.VOT Hours</v>
      </c>
      <c r="F41" s="10" t="str">
        <f>IFERROR(VLOOKUP(C41,'Employees List'!$B$1:$I$999,4,0),"")</f>
        <v>BHUVANESHWARAN.V</v>
      </c>
      <c r="G41" s="71">
        <f t="shared" si="12"/>
        <v>66900</v>
      </c>
      <c r="H41" s="72">
        <f>IFERROR(VLOOKUP(C41,'Employees List'!$B$2:$I$991,7,0),"")</f>
        <v>500101011548924</v>
      </c>
      <c r="I41" s="73">
        <f>IFERROR(VLOOKUP(F41,'Employees List'!$E$1:$AE$991,6,0),"")</f>
        <v>66000</v>
      </c>
      <c r="J41" s="71">
        <f t="shared" si="3"/>
        <v>46200</v>
      </c>
      <c r="K41" s="71">
        <f t="shared" si="4"/>
        <v>19800</v>
      </c>
      <c r="L41" s="10">
        <f>IFERROR(VLOOKUP(B41,'Employees List'!$A$2:$K$991,11,0),"")</f>
        <v>31</v>
      </c>
      <c r="M41" s="74">
        <f>IFERROR(VLOOKUP(D41,'Daily Attendance 25-26'!$A$4:BP999,5,0),"")</f>
        <v>31</v>
      </c>
      <c r="N41" s="10">
        <f>IFERROR(VLOOKUP(E41,'Daily Attendance 25-26'!$A$1:$BO$1741,5,0),"")</f>
        <v>0</v>
      </c>
      <c r="O41" s="83">
        <v>900.0</v>
      </c>
      <c r="P41" s="10"/>
      <c r="Q41" s="71">
        <f t="shared" si="5"/>
        <v>66000</v>
      </c>
      <c r="R41" s="71">
        <f t="shared" si="6"/>
        <v>0</v>
      </c>
      <c r="S41" s="71">
        <f t="shared" si="7"/>
        <v>66900</v>
      </c>
      <c r="T41" s="10"/>
      <c r="U41" s="71">
        <f t="shared" si="8"/>
        <v>66900</v>
      </c>
      <c r="V41" s="10"/>
      <c r="W41" s="10"/>
      <c r="X41" s="10"/>
      <c r="Y41" s="10"/>
      <c r="Z41" s="10"/>
      <c r="AA41" s="10"/>
      <c r="AB41" s="10"/>
      <c r="AC41" s="10"/>
      <c r="AD41" s="10"/>
      <c r="AE41" s="10"/>
      <c r="AF41" s="10"/>
    </row>
    <row r="42" hidden="1">
      <c r="A42" s="9" t="s">
        <v>259</v>
      </c>
      <c r="B42" s="70" t="s">
        <v>25</v>
      </c>
      <c r="C42" s="9" t="s">
        <v>71</v>
      </c>
      <c r="D42" s="9" t="str">
        <f t="shared" si="1"/>
        <v>JulyTHIRIPURA SUNDARI.R</v>
      </c>
      <c r="E42" s="10" t="str">
        <f t="shared" si="2"/>
        <v>JulyTHIRIPURA SUNDARI.ROT Hours</v>
      </c>
      <c r="F42" s="10" t="str">
        <f>IFERROR(VLOOKUP(C42,'Employees List'!$B$1:$I$999,4,0),"")</f>
        <v>THIRIPURA SUNDARI.R</v>
      </c>
      <c r="G42" s="71">
        <f t="shared" si="12"/>
        <v>18503.72177</v>
      </c>
      <c r="H42" s="72" t="str">
        <f>IFERROR(VLOOKUP(C42,'Employees List'!$B$2:$I$991,7,0),"")</f>
        <v>8131010000016977</v>
      </c>
      <c r="I42" s="73">
        <f>IFERROR(VLOOKUP(F42,'Employees List'!$E$1:$AE$991,6,0),"")</f>
        <v>21000</v>
      </c>
      <c r="J42" s="71">
        <f t="shared" si="3"/>
        <v>14700</v>
      </c>
      <c r="K42" s="71">
        <f t="shared" si="4"/>
        <v>6300</v>
      </c>
      <c r="L42" s="10">
        <f>IFERROR(VLOOKUP(B42,'Employees List'!$A$2:$K$991,11,0),"")</f>
        <v>31</v>
      </c>
      <c r="M42" s="74">
        <f>IFERROR(VLOOKUP(D42,'Daily Attendance 25-26'!$A$4:BP999,5,0),"")</f>
        <v>25</v>
      </c>
      <c r="N42" s="10">
        <f>IFERROR(VLOOKUP(E42,'Daily Attendance 25-26'!$A$1:$BO$1741,5,0),"")</f>
        <v>4</v>
      </c>
      <c r="O42" s="83">
        <v>1200.0</v>
      </c>
      <c r="P42" s="10"/>
      <c r="Q42" s="71">
        <f t="shared" si="5"/>
        <v>16935.48387</v>
      </c>
      <c r="R42" s="71">
        <f t="shared" si="6"/>
        <v>508.0645161</v>
      </c>
      <c r="S42" s="71">
        <f t="shared" si="7"/>
        <v>18643.54839</v>
      </c>
      <c r="T42" s="71">
        <f t="shared" ref="T42:T53" si="14">U42*0.75%</f>
        <v>139.8266129</v>
      </c>
      <c r="U42" s="71">
        <f t="shared" si="8"/>
        <v>18643.54839</v>
      </c>
      <c r="V42" s="10"/>
      <c r="W42" s="10"/>
      <c r="X42" s="10"/>
      <c r="Y42" s="10"/>
      <c r="Z42" s="10"/>
      <c r="AA42" s="10"/>
      <c r="AB42" s="10"/>
      <c r="AC42" s="10"/>
      <c r="AD42" s="10"/>
      <c r="AE42" s="10"/>
      <c r="AF42" s="10"/>
    </row>
    <row r="43" hidden="1">
      <c r="A43" s="9" t="s">
        <v>260</v>
      </c>
      <c r="B43" s="70" t="s">
        <v>25</v>
      </c>
      <c r="C43" s="9" t="s">
        <v>22</v>
      </c>
      <c r="D43" s="9" t="str">
        <f t="shared" si="1"/>
        <v>JulyGANESH</v>
      </c>
      <c r="E43" s="10" t="str">
        <f t="shared" si="2"/>
        <v>JulyGANESHOT Hours</v>
      </c>
      <c r="F43" s="10" t="str">
        <f>IFERROR(VLOOKUP(C43,'Employees List'!$B$1:$I$999,4,0),"")</f>
        <v>GANESH</v>
      </c>
      <c r="G43" s="71">
        <f t="shared" si="12"/>
        <v>13754.08468</v>
      </c>
      <c r="H43" s="72" t="str">
        <f>IFERROR(VLOOKUP(C43,'Employees List'!$B$2:$I$991,7,0),"")</f>
        <v>8811010012054879</v>
      </c>
      <c r="I43" s="73">
        <f>IFERROR(VLOOKUP(F43,'Employees List'!$E$1:$AE$991,6,0),"")</f>
        <v>18500</v>
      </c>
      <c r="J43" s="71">
        <f t="shared" si="3"/>
        <v>12950</v>
      </c>
      <c r="K43" s="71">
        <f t="shared" si="4"/>
        <v>5550</v>
      </c>
      <c r="L43" s="10">
        <f>IFERROR(VLOOKUP(B43,'Employees List'!$A$2:$K$991,11,0),"")</f>
        <v>31</v>
      </c>
      <c r="M43" s="74">
        <f>IFERROR(VLOOKUP(D43,'Daily Attendance 25-26'!$A$4:BP999,5,0),"")</f>
        <v>22</v>
      </c>
      <c r="N43" s="10">
        <f>IFERROR(VLOOKUP(E43,'Daily Attendance 25-26'!$A$1:$BO$1741,5,0),"")</f>
        <v>16</v>
      </c>
      <c r="O43" s="83">
        <v>450.0</v>
      </c>
      <c r="P43" s="9">
        <v>1500.0</v>
      </c>
      <c r="Q43" s="71">
        <f t="shared" si="5"/>
        <v>13129.03226</v>
      </c>
      <c r="R43" s="71">
        <f t="shared" si="6"/>
        <v>1790.322581</v>
      </c>
      <c r="S43" s="71">
        <f t="shared" si="7"/>
        <v>13869.35484</v>
      </c>
      <c r="T43" s="71">
        <f t="shared" si="14"/>
        <v>115.2701613</v>
      </c>
      <c r="U43" s="71">
        <f t="shared" si="8"/>
        <v>15369.35484</v>
      </c>
      <c r="V43" s="10"/>
      <c r="W43" s="10"/>
      <c r="X43" s="10"/>
      <c r="Y43" s="10"/>
      <c r="Z43" s="10"/>
      <c r="AA43" s="10"/>
      <c r="AB43" s="10"/>
      <c r="AC43" s="10"/>
      <c r="AD43" s="10"/>
      <c r="AE43" s="10"/>
      <c r="AF43" s="10"/>
    </row>
    <row r="44" hidden="1">
      <c r="A44" s="9" t="s">
        <v>261</v>
      </c>
      <c r="B44" s="70" t="s">
        <v>25</v>
      </c>
      <c r="C44" s="9" t="s">
        <v>17</v>
      </c>
      <c r="D44" s="9" t="str">
        <f t="shared" si="1"/>
        <v>JulyVASANTHA.E</v>
      </c>
      <c r="E44" s="10" t="str">
        <f t="shared" si="2"/>
        <v>JulyVASANTHA.EOT Hours</v>
      </c>
      <c r="F44" s="10" t="str">
        <f>IFERROR(VLOOKUP(C44,'Employees List'!$B$1:$I$999,4,0),"")</f>
        <v>VASANTHA.E</v>
      </c>
      <c r="G44" s="71">
        <f t="shared" si="12"/>
        <v>15244.07964</v>
      </c>
      <c r="H44" s="72" t="str">
        <f>IFERROR(VLOOKUP(C44,'Employees List'!$B$2:$I$991,7,0),"")</f>
        <v>8131010000016959</v>
      </c>
      <c r="I44" s="73">
        <f>IFERROR(VLOOKUP(F44,'Employees List'!$E$1:$AE$991,6,0),"")</f>
        <v>14500</v>
      </c>
      <c r="J44" s="71">
        <f t="shared" si="3"/>
        <v>10150</v>
      </c>
      <c r="K44" s="71">
        <f t="shared" si="4"/>
        <v>4350</v>
      </c>
      <c r="L44" s="10">
        <f>IFERROR(VLOOKUP(B44,'Employees List'!$A$2:$K$991,11,0),"")</f>
        <v>31</v>
      </c>
      <c r="M44" s="74">
        <f>IFERROR(VLOOKUP(D44,'Daily Attendance 25-26'!$A$4:BP999,5,0),"")</f>
        <v>27</v>
      </c>
      <c r="N44" s="10">
        <f>IFERROR(VLOOKUP(E44,'Daily Attendance 25-26'!$A$1:$BO$1741,5,0),"")</f>
        <v>26</v>
      </c>
      <c r="O44" s="83">
        <v>450.0</v>
      </c>
      <c r="P44" s="9"/>
      <c r="Q44" s="71">
        <f t="shared" si="5"/>
        <v>12629.03226</v>
      </c>
      <c r="R44" s="71">
        <f t="shared" si="6"/>
        <v>2280.241935</v>
      </c>
      <c r="S44" s="71">
        <f t="shared" si="7"/>
        <v>15359.27419</v>
      </c>
      <c r="T44" s="71">
        <f t="shared" si="14"/>
        <v>115.1945565</v>
      </c>
      <c r="U44" s="71">
        <f t="shared" si="8"/>
        <v>15359.27419</v>
      </c>
      <c r="V44" s="10"/>
      <c r="W44" s="10"/>
      <c r="X44" s="10"/>
      <c r="Y44" s="10"/>
      <c r="Z44" s="10"/>
      <c r="AA44" s="10"/>
      <c r="AB44" s="10"/>
      <c r="AC44" s="10"/>
      <c r="AD44" s="10"/>
      <c r="AE44" s="10"/>
      <c r="AF44" s="10"/>
    </row>
    <row r="45" hidden="1">
      <c r="A45" s="9" t="s">
        <v>262</v>
      </c>
      <c r="B45" s="70" t="s">
        <v>25</v>
      </c>
      <c r="C45" s="9" t="s">
        <v>77</v>
      </c>
      <c r="D45" s="9" t="str">
        <f t="shared" si="1"/>
        <v>JulyILAMATHIVANAN.S</v>
      </c>
      <c r="E45" s="10" t="str">
        <f t="shared" si="2"/>
        <v>JulyILAMATHIVANAN.SOT Hours</v>
      </c>
      <c r="F45" s="10" t="str">
        <f>IFERROR(VLOOKUP(C45,'Employees List'!$B$1:$I$999,4,0),"")</f>
        <v>ILAMATHIVANAN.S</v>
      </c>
      <c r="G45" s="71">
        <f t="shared" si="12"/>
        <v>4118.074597</v>
      </c>
      <c r="H45" s="72" t="str">
        <f>IFERROR(VLOOKUP(C45,'Employees List'!$B$2:$I$991,7,0),"")</f>
        <v>8131010000016986</v>
      </c>
      <c r="I45" s="73">
        <f>IFERROR(VLOOKUP(F45,'Employees List'!$E$1:$AE$991,6,0),"")</f>
        <v>21000</v>
      </c>
      <c r="J45" s="71">
        <f t="shared" si="3"/>
        <v>14700</v>
      </c>
      <c r="K45" s="71">
        <f t="shared" si="4"/>
        <v>6300</v>
      </c>
      <c r="L45" s="10">
        <f>IFERROR(VLOOKUP(B45,'Employees List'!$A$2:$K$991,11,0),"")</f>
        <v>31</v>
      </c>
      <c r="M45" s="74">
        <f>IFERROR(VLOOKUP(D45,'Daily Attendance 25-26'!$A$4:BP999,5,0),"")</f>
        <v>5</v>
      </c>
      <c r="N45" s="10">
        <f>IFERROR(VLOOKUP(E45,'Daily Attendance 25-26'!$A$1:$BO$1741,5,0),"")</f>
        <v>6</v>
      </c>
      <c r="O45" s="83"/>
      <c r="P45" s="9"/>
      <c r="Q45" s="71">
        <f t="shared" si="5"/>
        <v>3387.096774</v>
      </c>
      <c r="R45" s="71">
        <f t="shared" si="6"/>
        <v>762.0967742</v>
      </c>
      <c r="S45" s="71">
        <f t="shared" si="7"/>
        <v>4149.193548</v>
      </c>
      <c r="T45" s="71">
        <f t="shared" si="14"/>
        <v>31.11895161</v>
      </c>
      <c r="U45" s="71">
        <f t="shared" si="8"/>
        <v>4149.193548</v>
      </c>
      <c r="V45" s="10"/>
      <c r="W45" s="10"/>
      <c r="X45" s="10"/>
      <c r="Y45" s="10"/>
      <c r="Z45" s="10"/>
      <c r="AA45" s="10"/>
      <c r="AB45" s="10"/>
      <c r="AC45" s="10"/>
      <c r="AD45" s="10"/>
      <c r="AE45" s="10"/>
      <c r="AF45" s="10"/>
    </row>
    <row r="46" hidden="1">
      <c r="A46" s="9" t="s">
        <v>263</v>
      </c>
      <c r="B46" s="70" t="s">
        <v>25</v>
      </c>
      <c r="C46" s="9" t="s">
        <v>30</v>
      </c>
      <c r="D46" s="9" t="str">
        <f t="shared" si="1"/>
        <v>JulyRUPESH KISAN</v>
      </c>
      <c r="E46" s="10" t="str">
        <f t="shared" si="2"/>
        <v>JulyRUPESH KISANOT Hours</v>
      </c>
      <c r="F46" s="10" t="str">
        <f>IFERROR(VLOOKUP(C46,'Employees List'!$B$1:$I$999,4,0),"")</f>
        <v>RUPESH KISAN</v>
      </c>
      <c r="G46" s="71">
        <f t="shared" si="12"/>
        <v>19648.69859</v>
      </c>
      <c r="H46" s="72">
        <f>IFERROR(VLOOKUP(C46,'Employees List'!$B$2:$I$991,7,0),"")</f>
        <v>411002010024591</v>
      </c>
      <c r="I46" s="73">
        <f>IFERROR(VLOOKUP(F46,'Employees List'!$E$1:$AE$991,6,0),"")</f>
        <v>13000</v>
      </c>
      <c r="J46" s="71">
        <f t="shared" si="3"/>
        <v>9100</v>
      </c>
      <c r="K46" s="71">
        <f t="shared" si="4"/>
        <v>3900</v>
      </c>
      <c r="L46" s="10">
        <f>IFERROR(VLOOKUP(B46,'Employees List'!$A$2:$K$991,11,0),"")</f>
        <v>31</v>
      </c>
      <c r="M46" s="74">
        <f>IFERROR(VLOOKUP(D46,'Daily Attendance 25-26'!$A$4:BP999,5,0),"")</f>
        <v>31</v>
      </c>
      <c r="N46" s="10">
        <f>IFERROR(VLOOKUP(E46,'Daily Attendance 25-26'!$A$1:$BO$1741,5,0),"")</f>
        <v>75</v>
      </c>
      <c r="O46" s="83">
        <v>900.0</v>
      </c>
      <c r="P46" s="10"/>
      <c r="Q46" s="71">
        <f t="shared" si="5"/>
        <v>13000</v>
      </c>
      <c r="R46" s="71">
        <f t="shared" si="6"/>
        <v>5897.177419</v>
      </c>
      <c r="S46" s="71">
        <f t="shared" si="7"/>
        <v>19797.17742</v>
      </c>
      <c r="T46" s="71">
        <f t="shared" si="14"/>
        <v>148.4788306</v>
      </c>
      <c r="U46" s="71">
        <f t="shared" si="8"/>
        <v>19797.17742</v>
      </c>
      <c r="V46" s="10"/>
      <c r="W46" s="10"/>
      <c r="X46" s="10"/>
      <c r="Y46" s="10"/>
      <c r="Z46" s="10"/>
      <c r="AA46" s="10"/>
      <c r="AB46" s="10"/>
      <c r="AC46" s="10"/>
      <c r="AD46" s="10"/>
      <c r="AE46" s="10"/>
      <c r="AF46" s="10"/>
    </row>
    <row r="47" hidden="1">
      <c r="A47" s="9" t="s">
        <v>264</v>
      </c>
      <c r="B47" s="70" t="s">
        <v>25</v>
      </c>
      <c r="C47" s="9" t="s">
        <v>34</v>
      </c>
      <c r="D47" s="9" t="str">
        <f t="shared" si="1"/>
        <v>JulySANJAY BAGARTTI.K</v>
      </c>
      <c r="E47" s="10" t="str">
        <f t="shared" si="2"/>
        <v>JulySANJAY BAGARTTI.KOT Hours</v>
      </c>
      <c r="F47" s="10" t="str">
        <f>IFERROR(VLOOKUP(C47,'Employees List'!$B$1:$I$999,4,0),"")</f>
        <v>SANJAY BAGARTTI.K</v>
      </c>
      <c r="G47" s="71">
        <f t="shared" si="12"/>
        <v>21599.68145</v>
      </c>
      <c r="H47" s="72" t="str">
        <f>IFERROR(VLOOKUP(C47,'Employees List'!$B$2:$I$991,7,0),"")</f>
        <v>8131010000021225</v>
      </c>
      <c r="I47" s="73">
        <f>IFERROR(VLOOKUP(F47,'Employees List'!$E$1:$AE$991,6,0),"")</f>
        <v>13000</v>
      </c>
      <c r="J47" s="71">
        <f t="shared" si="3"/>
        <v>9100</v>
      </c>
      <c r="K47" s="71">
        <f t="shared" si="4"/>
        <v>3900</v>
      </c>
      <c r="L47" s="10">
        <f>IFERROR(VLOOKUP(B47,'Employees List'!$A$2:$K$991,11,0),"")</f>
        <v>31</v>
      </c>
      <c r="M47" s="74">
        <f>IFERROR(VLOOKUP(D47,'Daily Attendance 25-26'!$A$4:BP999,5,0),"")</f>
        <v>31</v>
      </c>
      <c r="N47" s="10">
        <f>IFERROR(VLOOKUP(E47,'Daily Attendance 25-26'!$A$1:$BO$1741,5,0),"")</f>
        <v>100</v>
      </c>
      <c r="O47" s="83">
        <v>900.0</v>
      </c>
      <c r="P47" s="10"/>
      <c r="Q47" s="71">
        <f t="shared" si="5"/>
        <v>13000</v>
      </c>
      <c r="R47" s="71">
        <f t="shared" si="6"/>
        <v>7862.903226</v>
      </c>
      <c r="S47" s="71">
        <f t="shared" si="7"/>
        <v>21762.90323</v>
      </c>
      <c r="T47" s="71">
        <f t="shared" si="14"/>
        <v>163.2217742</v>
      </c>
      <c r="U47" s="71">
        <f t="shared" si="8"/>
        <v>21762.90323</v>
      </c>
      <c r="V47" s="10"/>
      <c r="W47" s="10"/>
      <c r="X47" s="10"/>
      <c r="Y47" s="10"/>
      <c r="Z47" s="10"/>
      <c r="AA47" s="10"/>
      <c r="AB47" s="10"/>
      <c r="AC47" s="10"/>
      <c r="AD47" s="10"/>
      <c r="AE47" s="10"/>
      <c r="AF47" s="10"/>
    </row>
    <row r="48" hidden="1">
      <c r="A48" s="9" t="s">
        <v>265</v>
      </c>
      <c r="B48" s="70" t="s">
        <v>25</v>
      </c>
      <c r="C48" s="9" t="s">
        <v>87</v>
      </c>
      <c r="D48" s="9" t="str">
        <f t="shared" si="1"/>
        <v>JulyLIPAN</v>
      </c>
      <c r="E48" s="10" t="str">
        <f t="shared" si="2"/>
        <v>JulyLIPANOT Hours</v>
      </c>
      <c r="F48" s="10" t="str">
        <f>IFERROR(VLOOKUP(C48,'Employees List'!$B$1:$I$999,4,0),"")</f>
        <v>LIPAN</v>
      </c>
      <c r="G48" s="71">
        <f t="shared" si="12"/>
        <v>20897.32762</v>
      </c>
      <c r="H48" s="72" t="str">
        <f>IFERROR(VLOOKUP(C48,'Employees List'!$B$2:$I$991,7,0),"")</f>
        <v>8131010000018957</v>
      </c>
      <c r="I48" s="73">
        <f>IFERROR(VLOOKUP(F48,'Employees List'!$E$1:$AE$991,6,0),"")</f>
        <v>13000</v>
      </c>
      <c r="J48" s="71">
        <f t="shared" si="3"/>
        <v>9100</v>
      </c>
      <c r="K48" s="71">
        <f t="shared" si="4"/>
        <v>3900</v>
      </c>
      <c r="L48" s="10">
        <f>IFERROR(VLOOKUP(B48,'Employees List'!$A$2:$K$991,11,0),"")</f>
        <v>31</v>
      </c>
      <c r="M48" s="74">
        <f>IFERROR(VLOOKUP(D48,'Daily Attendance 25-26'!$A$4:BP999,5,0),"")</f>
        <v>31</v>
      </c>
      <c r="N48" s="10">
        <f>IFERROR(VLOOKUP(E48,'Daily Attendance 25-26'!$A$1:$BO$1741,5,0),"")</f>
        <v>91</v>
      </c>
      <c r="O48" s="83">
        <v>900.0</v>
      </c>
      <c r="P48" s="10"/>
      <c r="Q48" s="71">
        <f t="shared" si="5"/>
        <v>13000</v>
      </c>
      <c r="R48" s="71">
        <f t="shared" si="6"/>
        <v>7155.241935</v>
      </c>
      <c r="S48" s="71">
        <f t="shared" si="7"/>
        <v>21055.24194</v>
      </c>
      <c r="T48" s="71">
        <f t="shared" si="14"/>
        <v>157.9143145</v>
      </c>
      <c r="U48" s="71">
        <f t="shared" si="8"/>
        <v>21055.24194</v>
      </c>
      <c r="V48" s="10"/>
      <c r="W48" s="10"/>
      <c r="X48" s="10"/>
      <c r="Y48" s="10"/>
      <c r="Z48" s="10"/>
      <c r="AA48" s="10"/>
      <c r="AB48" s="10"/>
      <c r="AC48" s="10"/>
      <c r="AD48" s="10"/>
      <c r="AE48" s="10"/>
      <c r="AF48" s="10"/>
    </row>
    <row r="49" hidden="1">
      <c r="A49" s="9" t="s">
        <v>266</v>
      </c>
      <c r="B49" s="70" t="s">
        <v>25</v>
      </c>
      <c r="C49" s="9" t="s">
        <v>42</v>
      </c>
      <c r="D49" s="9" t="str">
        <f t="shared" si="1"/>
        <v>JulyAMMU.S</v>
      </c>
      <c r="E49" s="10" t="str">
        <f t="shared" si="2"/>
        <v>JulyAMMU.SOT Hours</v>
      </c>
      <c r="F49" s="10" t="str">
        <f>IFERROR(VLOOKUP(C49,'Employees List'!$B$1:$I$999,4,0),"")</f>
        <v>AMMU.S</v>
      </c>
      <c r="G49" s="71">
        <f t="shared" si="12"/>
        <v>9187.028226</v>
      </c>
      <c r="H49" s="72">
        <f>IFERROR(VLOOKUP(C49,'Employees List'!$B$2:$I$991,7,0),"")</f>
        <v>65801000040238</v>
      </c>
      <c r="I49" s="73">
        <f>IFERROR(VLOOKUP(F49,'Employees List'!$E$1:$AE$991,6,0),"")</f>
        <v>10500</v>
      </c>
      <c r="J49" s="71">
        <f t="shared" si="3"/>
        <v>7350</v>
      </c>
      <c r="K49" s="71">
        <f t="shared" si="4"/>
        <v>3150</v>
      </c>
      <c r="L49" s="10">
        <f>IFERROR(VLOOKUP(B49,'Employees List'!$A$2:$K$991,11,0),"")</f>
        <v>31</v>
      </c>
      <c r="M49" s="74">
        <f>IFERROR(VLOOKUP(D49,'Daily Attendance 25-26'!$A$4:BP999,5,0),"")</f>
        <v>23</v>
      </c>
      <c r="N49" s="10">
        <f>IFERROR(VLOOKUP(E49,'Daily Attendance 25-26'!$A$1:$BO$1741,5,0),"")</f>
        <v>16</v>
      </c>
      <c r="O49" s="83">
        <v>450.0</v>
      </c>
      <c r="P49" s="10"/>
      <c r="Q49" s="71">
        <f t="shared" si="5"/>
        <v>7790.322581</v>
      </c>
      <c r="R49" s="71">
        <f t="shared" si="6"/>
        <v>1016.129032</v>
      </c>
      <c r="S49" s="71">
        <f t="shared" si="7"/>
        <v>9256.451613</v>
      </c>
      <c r="T49" s="71">
        <f t="shared" si="14"/>
        <v>69.4233871</v>
      </c>
      <c r="U49" s="71">
        <f t="shared" si="8"/>
        <v>9256.451613</v>
      </c>
      <c r="V49" s="10"/>
      <c r="W49" s="10"/>
      <c r="X49" s="10"/>
      <c r="Y49" s="10"/>
      <c r="Z49" s="10"/>
      <c r="AA49" s="10"/>
      <c r="AB49" s="10"/>
      <c r="AC49" s="10"/>
      <c r="AD49" s="10"/>
      <c r="AE49" s="10"/>
      <c r="AF49" s="10"/>
    </row>
    <row r="50" hidden="1">
      <c r="A50" s="9" t="s">
        <v>267</v>
      </c>
      <c r="B50" s="70" t="s">
        <v>25</v>
      </c>
      <c r="C50" s="9" t="s">
        <v>46</v>
      </c>
      <c r="D50" s="9" t="str">
        <f t="shared" si="1"/>
        <v>JulyREVATHI.S</v>
      </c>
      <c r="E50" s="10" t="str">
        <f t="shared" si="2"/>
        <v>JulyREVATHI.SOT Hours</v>
      </c>
      <c r="F50" s="10" t="str">
        <f>IFERROR(VLOOKUP(C50,'Employees List'!$B$1:$I$999,4,0),"")</f>
        <v>REVATHI.S</v>
      </c>
      <c r="G50" s="71">
        <f t="shared" si="12"/>
        <v>10448.72177</v>
      </c>
      <c r="H50" s="72" t="str">
        <f>IFERROR(VLOOKUP(C50,'Employees List'!$B$2:$I$991,7,0),"")</f>
        <v>8131010000016995</v>
      </c>
      <c r="I50" s="73">
        <f>IFERROR(VLOOKUP(F50,'Employees List'!$E$1:$AE$991,6,0),"")</f>
        <v>10500</v>
      </c>
      <c r="J50" s="71">
        <f t="shared" si="3"/>
        <v>7350</v>
      </c>
      <c r="K50" s="71">
        <f t="shared" si="4"/>
        <v>3150</v>
      </c>
      <c r="L50" s="10">
        <f>IFERROR(VLOOKUP(B50,'Employees List'!$A$2:$K$991,11,0),"")</f>
        <v>31</v>
      </c>
      <c r="M50" s="74">
        <f>IFERROR(VLOOKUP(D50,'Daily Attendance 25-26'!$A$4:BP999,5,0),"")</f>
        <v>30</v>
      </c>
      <c r="N50" s="10">
        <f>IFERROR(VLOOKUP(E50,'Daily Attendance 25-26'!$A$1:$BO$1741,5,0),"")</f>
        <v>32</v>
      </c>
      <c r="O50" s="83">
        <v>450.0</v>
      </c>
      <c r="P50" s="9">
        <v>2100.0</v>
      </c>
      <c r="Q50" s="71">
        <f t="shared" si="5"/>
        <v>10161.29032</v>
      </c>
      <c r="R50" s="71">
        <f t="shared" si="6"/>
        <v>2032.258065</v>
      </c>
      <c r="S50" s="71">
        <f t="shared" si="7"/>
        <v>10543.54839</v>
      </c>
      <c r="T50" s="71">
        <f t="shared" si="14"/>
        <v>94.8266129</v>
      </c>
      <c r="U50" s="71">
        <f t="shared" si="8"/>
        <v>12643.54839</v>
      </c>
      <c r="V50" s="10"/>
      <c r="W50" s="10"/>
      <c r="X50" s="10"/>
      <c r="Y50" s="10"/>
      <c r="Z50" s="10"/>
      <c r="AA50" s="10"/>
      <c r="AB50" s="10"/>
      <c r="AC50" s="10"/>
      <c r="AD50" s="10"/>
      <c r="AE50" s="10"/>
      <c r="AF50" s="10"/>
    </row>
    <row r="51" hidden="1">
      <c r="A51" s="9" t="s">
        <v>268</v>
      </c>
      <c r="B51" s="70" t="s">
        <v>25</v>
      </c>
      <c r="C51" s="9" t="s">
        <v>74</v>
      </c>
      <c r="D51" s="9" t="str">
        <f t="shared" si="1"/>
        <v>JulyLEELAVATHI.M</v>
      </c>
      <c r="E51" s="10" t="str">
        <f t="shared" si="2"/>
        <v>JulyLEELAVATHI.MOT Hours</v>
      </c>
      <c r="F51" s="10" t="str">
        <f>IFERROR(VLOOKUP(C51,'Employees List'!$B$1:$I$999,4,0),"")</f>
        <v>LEELAVATHI.M</v>
      </c>
      <c r="G51" s="71">
        <f t="shared" si="12"/>
        <v>14733.82258</v>
      </c>
      <c r="H51" s="72" t="str">
        <f>IFERROR(VLOOKUP(C51,'Employees List'!$B$2:$I$991,7,0),"")</f>
        <v>8387010000017745</v>
      </c>
      <c r="I51" s="73">
        <f>IFERROR(VLOOKUP(F51,'Employees List'!$E$1:$AE$991,6,0),"")</f>
        <v>14000</v>
      </c>
      <c r="J51" s="71">
        <f t="shared" si="3"/>
        <v>9800</v>
      </c>
      <c r="K51" s="71">
        <f t="shared" si="4"/>
        <v>4200</v>
      </c>
      <c r="L51" s="10">
        <f>IFERROR(VLOOKUP(B51,'Employees List'!$A$2:$K$991,11,0),"")</f>
        <v>31</v>
      </c>
      <c r="M51" s="74">
        <f>IFERROR(VLOOKUP(D51,'Daily Attendance 25-26'!$A$4:BP999,5,0),"")</f>
        <v>30</v>
      </c>
      <c r="N51" s="10">
        <f>IFERROR(VLOOKUP(E51,'Daily Attendance 25-26'!$A$1:$BO$1741,5,0),"")</f>
        <v>10</v>
      </c>
      <c r="O51" s="83">
        <v>450.0</v>
      </c>
      <c r="P51" s="10"/>
      <c r="Q51" s="71">
        <f t="shared" si="5"/>
        <v>13548.3871</v>
      </c>
      <c r="R51" s="71">
        <f t="shared" si="6"/>
        <v>846.7741935</v>
      </c>
      <c r="S51" s="71">
        <f t="shared" si="7"/>
        <v>14845.16129</v>
      </c>
      <c r="T51" s="71">
        <f t="shared" si="14"/>
        <v>111.3387097</v>
      </c>
      <c r="U51" s="71">
        <f t="shared" si="8"/>
        <v>14845.16129</v>
      </c>
      <c r="V51" s="10"/>
      <c r="W51" s="10"/>
      <c r="X51" s="10"/>
      <c r="Y51" s="10"/>
      <c r="Z51" s="10"/>
      <c r="AA51" s="10"/>
      <c r="AB51" s="10"/>
      <c r="AC51" s="10"/>
      <c r="AD51" s="10"/>
      <c r="AE51" s="10"/>
      <c r="AF51" s="10"/>
    </row>
    <row r="52" hidden="1">
      <c r="A52" s="9" t="s">
        <v>269</v>
      </c>
      <c r="B52" s="70" t="s">
        <v>25</v>
      </c>
      <c r="C52" s="9" t="s">
        <v>26</v>
      </c>
      <c r="D52" s="9" t="str">
        <f t="shared" si="1"/>
        <v>JulyADHIKARI BALIA.A</v>
      </c>
      <c r="E52" s="10" t="str">
        <f t="shared" si="2"/>
        <v>JulyADHIKARI BALIA.AOT Hours</v>
      </c>
      <c r="F52" s="10" t="str">
        <f>IFERROR(VLOOKUP(C52,'Employees List'!$B$1:$I$999,4,0),"")</f>
        <v>ADHIKARI BALIA.A</v>
      </c>
      <c r="G52" s="71">
        <f t="shared" si="12"/>
        <v>16239.58871</v>
      </c>
      <c r="H52" s="72" t="str">
        <f>IFERROR(VLOOKUP(C52,'Employees List'!$B$2:$I$991,7,0),"")</f>
        <v>8131010000018948</v>
      </c>
      <c r="I52" s="73">
        <f>IFERROR(VLOOKUP(F52,'Employees List'!$E$1:$AE$991,6,0),"")</f>
        <v>13000</v>
      </c>
      <c r="J52" s="71">
        <f t="shared" si="3"/>
        <v>9100</v>
      </c>
      <c r="K52" s="71">
        <f t="shared" si="4"/>
        <v>3900</v>
      </c>
      <c r="L52" s="10">
        <f>IFERROR(VLOOKUP(B52,'Employees List'!$A$2:$K$991,11,0),"")</f>
        <v>31</v>
      </c>
      <c r="M52" s="74">
        <f>IFERROR(VLOOKUP(D52,'Daily Attendance 25-26'!$A$4:BP999,5,0),"")</f>
        <v>30</v>
      </c>
      <c r="N52" s="10">
        <f>IFERROR(VLOOKUP(E52,'Daily Attendance 25-26'!$A$1:$BO$1741,5,0),"")</f>
        <v>68</v>
      </c>
      <c r="O52" s="83">
        <v>450.0</v>
      </c>
      <c r="P52" s="9">
        <v>2000.0</v>
      </c>
      <c r="Q52" s="71">
        <f t="shared" si="5"/>
        <v>12580.64516</v>
      </c>
      <c r="R52" s="71">
        <f t="shared" si="6"/>
        <v>5346.774194</v>
      </c>
      <c r="S52" s="71">
        <f t="shared" si="7"/>
        <v>16377.41935</v>
      </c>
      <c r="T52" s="71">
        <f t="shared" si="14"/>
        <v>137.8306452</v>
      </c>
      <c r="U52" s="71">
        <f t="shared" si="8"/>
        <v>18377.41935</v>
      </c>
      <c r="V52" s="10"/>
      <c r="W52" s="10"/>
      <c r="X52" s="10"/>
      <c r="Y52" s="10"/>
      <c r="Z52" s="10"/>
      <c r="AA52" s="10"/>
      <c r="AB52" s="10"/>
      <c r="AC52" s="10"/>
      <c r="AD52" s="10"/>
      <c r="AE52" s="10"/>
      <c r="AF52" s="10"/>
    </row>
    <row r="53" hidden="1">
      <c r="A53" s="9" t="s">
        <v>270</v>
      </c>
      <c r="B53" s="70" t="s">
        <v>25</v>
      </c>
      <c r="C53" s="9" t="s">
        <v>96</v>
      </c>
      <c r="D53" s="9" t="str">
        <f t="shared" si="1"/>
        <v>JulyPARSHU BAGH</v>
      </c>
      <c r="E53" s="10" t="str">
        <f t="shared" si="2"/>
        <v>JulyPARSHU BAGHOT Hours</v>
      </c>
      <c r="F53" s="10" t="str">
        <f>IFERROR(VLOOKUP(C53,'Employees List'!$B$1:$I$999,4,0),"")</f>
        <v>PARSHU BAGH</v>
      </c>
      <c r="G53" s="71">
        <f t="shared" si="12"/>
        <v>13196.05544</v>
      </c>
      <c r="H53" s="72">
        <f>IFERROR(VLOOKUP(C53,'Employees List'!$B$2:$I$991,7,0),"")</f>
        <v>40653547928</v>
      </c>
      <c r="I53" s="73">
        <f>IFERROR(VLOOKUP(F53,'Employees List'!$E$1:$AE$991,6,0),"")</f>
        <v>13000</v>
      </c>
      <c r="J53" s="71">
        <f t="shared" si="3"/>
        <v>9100</v>
      </c>
      <c r="K53" s="71">
        <f t="shared" si="4"/>
        <v>3900</v>
      </c>
      <c r="L53" s="10">
        <f>IFERROR(VLOOKUP(B53,'Employees List'!$A$2:$K$991,11,0),"")</f>
        <v>31</v>
      </c>
      <c r="M53" s="74">
        <f>IFERROR(VLOOKUP(D53,'Daily Attendance 25-26'!$A$4:BP999,5,0),"")</f>
        <v>24</v>
      </c>
      <c r="N53" s="10">
        <f>IFERROR(VLOOKUP(E53,'Daily Attendance 25-26'!$A$1:$BO$1741,5,0),"")</f>
        <v>61</v>
      </c>
      <c r="O53" s="83">
        <v>450.0</v>
      </c>
      <c r="P53" s="9">
        <v>2000.0</v>
      </c>
      <c r="Q53" s="71">
        <f t="shared" si="5"/>
        <v>10064.51613</v>
      </c>
      <c r="R53" s="71">
        <f t="shared" si="6"/>
        <v>4796.370968</v>
      </c>
      <c r="S53" s="71">
        <f t="shared" si="7"/>
        <v>13310.8871</v>
      </c>
      <c r="T53" s="71">
        <f t="shared" si="14"/>
        <v>114.8316532</v>
      </c>
      <c r="U53" s="71">
        <f t="shared" si="8"/>
        <v>15310.8871</v>
      </c>
      <c r="V53" s="9"/>
      <c r="W53" s="10"/>
      <c r="X53" s="10"/>
      <c r="Y53" s="10"/>
      <c r="Z53" s="10"/>
      <c r="AA53" s="10"/>
      <c r="AB53" s="10"/>
      <c r="AC53" s="10"/>
      <c r="AD53" s="10"/>
      <c r="AE53" s="10"/>
      <c r="AF53" s="10"/>
    </row>
    <row r="54" hidden="1">
      <c r="A54" s="9" t="s">
        <v>271</v>
      </c>
      <c r="B54" s="70" t="s">
        <v>29</v>
      </c>
      <c r="C54" s="9" t="s">
        <v>13</v>
      </c>
      <c r="D54" s="9" t="str">
        <f t="shared" si="1"/>
        <v>AugustBHUVANESHWARAN.V</v>
      </c>
      <c r="E54" s="10" t="str">
        <f t="shared" si="2"/>
        <v>AugustBHUVANESHWARAN.VOT Hours</v>
      </c>
      <c r="F54" s="10" t="str">
        <f>IFERROR(VLOOKUP(C54,'Employees List'!$B$1:$I$999,4,0),"")</f>
        <v>BHUVANESHWARAN.V</v>
      </c>
      <c r="G54" s="71">
        <f t="shared" si="12"/>
        <v>66900</v>
      </c>
      <c r="H54" s="72">
        <f>IFERROR(VLOOKUP(C54,'Employees List'!$B$2:$I$991,7,0),"")</f>
        <v>500101011548924</v>
      </c>
      <c r="I54" s="73">
        <f>IFERROR(VLOOKUP(F54,'Employees List'!$E$1:$AE$991,6,0),"")</f>
        <v>66000</v>
      </c>
      <c r="J54" s="71">
        <f t="shared" si="3"/>
        <v>46200</v>
      </c>
      <c r="K54" s="71">
        <f t="shared" si="4"/>
        <v>19800</v>
      </c>
      <c r="L54" s="10">
        <f>IFERROR(VLOOKUP(B54,'Employees List'!$A$2:$K$991,11,0),"")</f>
        <v>31</v>
      </c>
      <c r="M54" s="74">
        <f>IFERROR(VLOOKUP(D54,'Daily Attendance 25-26'!$A$4:BP999,5,0),"")</f>
        <v>31</v>
      </c>
      <c r="N54" s="10">
        <f>IFERROR(VLOOKUP(E54,'Daily Attendance 25-26'!$A$1:$BO$1741,5,0),"")</f>
        <v>0</v>
      </c>
      <c r="O54" s="83">
        <v>900.0</v>
      </c>
      <c r="P54" s="10"/>
      <c r="Q54" s="71">
        <f t="shared" si="5"/>
        <v>66000</v>
      </c>
      <c r="R54" s="71">
        <f t="shared" si="6"/>
        <v>0</v>
      </c>
      <c r="S54" s="71">
        <f t="shared" si="7"/>
        <v>66900</v>
      </c>
      <c r="T54" s="9">
        <v>0.0</v>
      </c>
      <c r="U54" s="71">
        <f t="shared" si="8"/>
        <v>66900</v>
      </c>
      <c r="V54" s="10"/>
      <c r="W54" s="10"/>
      <c r="X54" s="10"/>
      <c r="Y54" s="10"/>
      <c r="Z54" s="10"/>
      <c r="AA54" s="10"/>
      <c r="AB54" s="10"/>
      <c r="AC54" s="10"/>
      <c r="AD54" s="10"/>
      <c r="AE54" s="10"/>
      <c r="AF54" s="10"/>
    </row>
    <row r="55" hidden="1">
      <c r="A55" s="9" t="s">
        <v>272</v>
      </c>
      <c r="B55" s="70" t="s">
        <v>29</v>
      </c>
      <c r="C55" s="9" t="s">
        <v>71</v>
      </c>
      <c r="D55" s="9" t="str">
        <f t="shared" si="1"/>
        <v>AugustTHIRIPURA SUNDARI.R</v>
      </c>
      <c r="E55" s="10" t="str">
        <f t="shared" si="2"/>
        <v>AugustTHIRIPURA SUNDARI.ROT Hours</v>
      </c>
      <c r="F55" s="10" t="str">
        <f>IFERROR(VLOOKUP(C55,'Employees List'!$B$1:$I$999,4,0),"")</f>
        <v>THIRIPURA SUNDARI.R</v>
      </c>
      <c r="G55" s="71">
        <f t="shared" si="12"/>
        <v>22201.58468</v>
      </c>
      <c r="H55" s="72" t="str">
        <f>IFERROR(VLOOKUP(C55,'Employees List'!$B$2:$I$991,7,0),"")</f>
        <v>8131010000016977</v>
      </c>
      <c r="I55" s="73">
        <f>IFERROR(VLOOKUP(F55,'Employees List'!$E$1:$AE$991,6,0),"")</f>
        <v>21000</v>
      </c>
      <c r="J55" s="71">
        <f t="shared" si="3"/>
        <v>14700</v>
      </c>
      <c r="K55" s="71">
        <f t="shared" si="4"/>
        <v>6300</v>
      </c>
      <c r="L55" s="10">
        <f>IFERROR(VLOOKUP(B55,'Employees List'!$A$2:$K$991,11,0),"")</f>
        <v>31</v>
      </c>
      <c r="M55" s="74">
        <f>IFERROR(VLOOKUP(D55,'Daily Attendance 25-26'!$A$4:BP999,5,0),"")</f>
        <v>29</v>
      </c>
      <c r="N55" s="10">
        <f>IFERROR(VLOOKUP(E55,'Daily Attendance 25-26'!$A$1:$BO$1741,5,0),"")</f>
        <v>12</v>
      </c>
      <c r="O55" s="83">
        <v>1200.0</v>
      </c>
      <c r="P55" s="9"/>
      <c r="Q55" s="71">
        <f t="shared" si="5"/>
        <v>19645.16129</v>
      </c>
      <c r="R55" s="71">
        <f t="shared" si="6"/>
        <v>1524.193548</v>
      </c>
      <c r="S55" s="71">
        <f t="shared" si="7"/>
        <v>22369.35484</v>
      </c>
      <c r="T55" s="71">
        <f t="shared" ref="T55:T65" si="15">U55*0.75%</f>
        <v>167.7701613</v>
      </c>
      <c r="U55" s="71">
        <f t="shared" si="8"/>
        <v>22369.35484</v>
      </c>
      <c r="V55" s="10"/>
      <c r="W55" s="10"/>
      <c r="X55" s="10"/>
      <c r="Y55" s="10"/>
      <c r="Z55" s="10"/>
      <c r="AA55" s="10"/>
      <c r="AB55" s="10"/>
      <c r="AC55" s="10"/>
      <c r="AD55" s="10"/>
      <c r="AE55" s="10"/>
      <c r="AF55" s="10"/>
    </row>
    <row r="56" hidden="1">
      <c r="A56" s="9" t="s">
        <v>273</v>
      </c>
      <c r="B56" s="70" t="s">
        <v>29</v>
      </c>
      <c r="C56" s="9" t="s">
        <v>22</v>
      </c>
      <c r="D56" s="9" t="str">
        <f t="shared" si="1"/>
        <v>AugustGANESH</v>
      </c>
      <c r="E56" s="10" t="str">
        <f t="shared" si="2"/>
        <v>AugustGANESHOT Hours</v>
      </c>
      <c r="F56" s="10" t="str">
        <f>IFERROR(VLOOKUP(C56,'Employees List'!$B$1:$I$999,4,0),"")</f>
        <v>GANESH</v>
      </c>
      <c r="G56" s="71">
        <f t="shared" si="12"/>
        <v>20397.19456</v>
      </c>
      <c r="H56" s="72" t="str">
        <f>IFERROR(VLOOKUP(C56,'Employees List'!$B$2:$I$991,7,0),"")</f>
        <v>8811010012054879</v>
      </c>
      <c r="I56" s="73">
        <f>IFERROR(VLOOKUP(F56,'Employees List'!$E$1:$AE$991,6,0),"")</f>
        <v>18500</v>
      </c>
      <c r="J56" s="71">
        <f t="shared" si="3"/>
        <v>12950</v>
      </c>
      <c r="K56" s="71">
        <f t="shared" si="4"/>
        <v>5550</v>
      </c>
      <c r="L56" s="10">
        <f>IFERROR(VLOOKUP(B56,'Employees List'!$A$2:$K$991,11,0),"")</f>
        <v>31</v>
      </c>
      <c r="M56" s="74">
        <f>IFERROR(VLOOKUP(D56,'Daily Attendance 25-26'!$A$4:BP999,5,0),"")</f>
        <v>29</v>
      </c>
      <c r="N56" s="10">
        <f>IFERROR(VLOOKUP(E56,'Daily Attendance 25-26'!$A$1:$BO$1741,5,0),"")</f>
        <v>70</v>
      </c>
      <c r="O56" s="83">
        <v>450.0</v>
      </c>
      <c r="P56" s="9">
        <v>5000.0</v>
      </c>
      <c r="Q56" s="71">
        <f t="shared" si="5"/>
        <v>17306.45161</v>
      </c>
      <c r="R56" s="71">
        <f t="shared" si="6"/>
        <v>7832.66129</v>
      </c>
      <c r="S56" s="71">
        <f t="shared" si="7"/>
        <v>20589.1129</v>
      </c>
      <c r="T56" s="71">
        <f t="shared" si="15"/>
        <v>191.9183468</v>
      </c>
      <c r="U56" s="71">
        <f t="shared" si="8"/>
        <v>25589.1129</v>
      </c>
      <c r="V56" s="10"/>
      <c r="W56" s="10"/>
      <c r="X56" s="10"/>
      <c r="Y56" s="10"/>
      <c r="Z56" s="10"/>
      <c r="AA56" s="10"/>
      <c r="AB56" s="10"/>
      <c r="AC56" s="10"/>
      <c r="AD56" s="10"/>
      <c r="AE56" s="10"/>
      <c r="AF56" s="10"/>
    </row>
    <row r="57" hidden="1">
      <c r="A57" s="9" t="s">
        <v>274</v>
      </c>
      <c r="B57" s="70" t="s">
        <v>29</v>
      </c>
      <c r="C57" s="9" t="s">
        <v>17</v>
      </c>
      <c r="D57" s="9" t="str">
        <f t="shared" si="1"/>
        <v>AugustVASANTHA.E</v>
      </c>
      <c r="E57" s="10" t="str">
        <f t="shared" si="2"/>
        <v>AugustVASANTHA.EOT Hours</v>
      </c>
      <c r="F57" s="10" t="str">
        <f>IFERROR(VLOOKUP(C57,'Employees List'!$B$1:$I$999,4,0),"")</f>
        <v>VASANTHA.E</v>
      </c>
      <c r="G57" s="71">
        <f t="shared" si="12"/>
        <v>19462.60484</v>
      </c>
      <c r="H57" s="72" t="str">
        <f>IFERROR(VLOOKUP(C57,'Employees List'!$B$2:$I$991,7,0),"")</f>
        <v>8131010000016959</v>
      </c>
      <c r="I57" s="73">
        <f>IFERROR(VLOOKUP(F57,'Employees List'!$E$1:$AE$991,6,0),"")</f>
        <v>14500</v>
      </c>
      <c r="J57" s="71">
        <f t="shared" si="3"/>
        <v>10150</v>
      </c>
      <c r="K57" s="71">
        <f t="shared" si="4"/>
        <v>4350</v>
      </c>
      <c r="L57" s="10">
        <f>IFERROR(VLOOKUP(B57,'Employees List'!$A$2:$K$991,11,0),"")</f>
        <v>31</v>
      </c>
      <c r="M57" s="74">
        <f>IFERROR(VLOOKUP(D57,'Daily Attendance 25-26'!$A$4:BP999,5,0),"")</f>
        <v>31</v>
      </c>
      <c r="N57" s="10">
        <f>IFERROR(VLOOKUP(E57,'Daily Attendance 25-26'!$A$1:$BO$1741,5,0),"")</f>
        <v>48</v>
      </c>
      <c r="O57" s="83">
        <v>900.0</v>
      </c>
      <c r="P57" s="10"/>
      <c r="Q57" s="71">
        <f t="shared" si="5"/>
        <v>14500</v>
      </c>
      <c r="R57" s="71">
        <f t="shared" si="6"/>
        <v>4209.677419</v>
      </c>
      <c r="S57" s="71">
        <f t="shared" si="7"/>
        <v>19609.67742</v>
      </c>
      <c r="T57" s="71">
        <f t="shared" si="15"/>
        <v>147.0725806</v>
      </c>
      <c r="U57" s="71">
        <f t="shared" si="8"/>
        <v>19609.67742</v>
      </c>
      <c r="V57" s="10"/>
      <c r="W57" s="10"/>
      <c r="X57" s="10"/>
      <c r="Y57" s="10"/>
      <c r="Z57" s="10"/>
      <c r="AA57" s="10"/>
      <c r="AB57" s="10"/>
      <c r="AC57" s="10"/>
      <c r="AD57" s="10"/>
      <c r="AE57" s="10"/>
      <c r="AF57" s="10"/>
    </row>
    <row r="58" hidden="1">
      <c r="A58" s="9" t="s">
        <v>275</v>
      </c>
      <c r="B58" s="70" t="s">
        <v>29</v>
      </c>
      <c r="C58" s="9" t="s">
        <v>26</v>
      </c>
      <c r="D58" s="9" t="str">
        <f t="shared" si="1"/>
        <v>AugustADHIKARI BALIA.A</v>
      </c>
      <c r="E58" s="10" t="str">
        <f t="shared" si="2"/>
        <v>AugustADHIKARI BALIA.AOT Hours</v>
      </c>
      <c r="F58" s="10" t="str">
        <f>IFERROR(VLOOKUP(C58,'Employees List'!$B$1:$I$999,4,0),"")</f>
        <v>ADHIKARI BALIA.A</v>
      </c>
      <c r="G58" s="71">
        <f t="shared" si="12"/>
        <v>15843.90827</v>
      </c>
      <c r="H58" s="72" t="str">
        <f>IFERROR(VLOOKUP(C58,'Employees List'!$B$2:$I$991,7,0),"")</f>
        <v>8131010000018948</v>
      </c>
      <c r="I58" s="73">
        <f>IFERROR(VLOOKUP(F58,'Employees List'!$E$1:$AE$991,6,0),"")</f>
        <v>13000</v>
      </c>
      <c r="J58" s="71">
        <f t="shared" si="3"/>
        <v>9100</v>
      </c>
      <c r="K58" s="71">
        <f t="shared" si="4"/>
        <v>3900</v>
      </c>
      <c r="L58" s="10">
        <f>IFERROR(VLOOKUP(B58,'Employees List'!$A$2:$K$991,11,0),"")</f>
        <v>31</v>
      </c>
      <c r="M58" s="74">
        <f>IFERROR(VLOOKUP(D58,'Daily Attendance 25-26'!$A$4:BP999,5,0),"")</f>
        <v>30</v>
      </c>
      <c r="N58" s="10">
        <f>IFERROR(VLOOKUP(E58,'Daily Attendance 25-26'!$A$1:$BO$1741,5,0),"")</f>
        <v>127</v>
      </c>
      <c r="O58" s="83">
        <v>450.0</v>
      </c>
      <c r="P58" s="9">
        <v>7000.0</v>
      </c>
      <c r="Q58" s="71">
        <f t="shared" si="5"/>
        <v>12580.64516</v>
      </c>
      <c r="R58" s="71">
        <f t="shared" si="6"/>
        <v>9985.887097</v>
      </c>
      <c r="S58" s="71">
        <f t="shared" si="7"/>
        <v>16016.53226</v>
      </c>
      <c r="T58" s="71">
        <f t="shared" si="15"/>
        <v>172.6239919</v>
      </c>
      <c r="U58" s="71">
        <f t="shared" si="8"/>
        <v>23016.53226</v>
      </c>
      <c r="V58" s="10"/>
      <c r="W58" s="10"/>
      <c r="X58" s="10"/>
      <c r="Y58" s="10"/>
      <c r="Z58" s="10"/>
      <c r="AA58" s="10"/>
      <c r="AB58" s="10"/>
      <c r="AC58" s="10"/>
      <c r="AD58" s="10"/>
      <c r="AE58" s="10"/>
      <c r="AF58" s="10"/>
    </row>
    <row r="59" hidden="1">
      <c r="A59" s="9" t="s">
        <v>276</v>
      </c>
      <c r="B59" s="70" t="s">
        <v>29</v>
      </c>
      <c r="C59" s="9" t="s">
        <v>30</v>
      </c>
      <c r="D59" s="9" t="str">
        <f t="shared" si="1"/>
        <v>AugustRUPESH KISAN</v>
      </c>
      <c r="E59" s="10" t="str">
        <f t="shared" si="2"/>
        <v>AugustRUPESH KISANOT Hours</v>
      </c>
      <c r="F59" s="10" t="str">
        <f>IFERROR(VLOOKUP(C59,'Employees List'!$B$1:$I$999,4,0),"")</f>
        <v>RUPESH KISAN</v>
      </c>
      <c r="G59" s="71">
        <f t="shared" si="12"/>
        <v>15687.82964</v>
      </c>
      <c r="H59" s="72">
        <f>IFERROR(VLOOKUP(C59,'Employees List'!$B$2:$I$991,7,0),"")</f>
        <v>411002010024591</v>
      </c>
      <c r="I59" s="73">
        <f>IFERROR(VLOOKUP(F59,'Employees List'!$E$1:$AE$991,6,0),"")</f>
        <v>13000</v>
      </c>
      <c r="J59" s="71">
        <f t="shared" si="3"/>
        <v>9100</v>
      </c>
      <c r="K59" s="71">
        <f t="shared" si="4"/>
        <v>3900</v>
      </c>
      <c r="L59" s="10">
        <f>IFERROR(VLOOKUP(B59,'Employees List'!$A$2:$K$991,11,0),"")</f>
        <v>31</v>
      </c>
      <c r="M59" s="74">
        <f>IFERROR(VLOOKUP(D59,'Daily Attendance 25-26'!$A$4:BP999,5,0),"")</f>
        <v>30</v>
      </c>
      <c r="N59" s="10">
        <f>IFERROR(VLOOKUP(E59,'Daily Attendance 25-26'!$A$1:$BO$1741,5,0),"")</f>
        <v>125</v>
      </c>
      <c r="O59" s="83">
        <v>450.0</v>
      </c>
      <c r="P59" s="9">
        <v>7000.0</v>
      </c>
      <c r="Q59" s="71">
        <f t="shared" si="5"/>
        <v>12580.64516</v>
      </c>
      <c r="R59" s="71">
        <f t="shared" si="6"/>
        <v>9828.629032</v>
      </c>
      <c r="S59" s="71">
        <f t="shared" si="7"/>
        <v>15859.27419</v>
      </c>
      <c r="T59" s="71">
        <f t="shared" si="15"/>
        <v>171.4445565</v>
      </c>
      <c r="U59" s="71">
        <f t="shared" si="8"/>
        <v>22859.27419</v>
      </c>
      <c r="V59" s="10"/>
      <c r="W59" s="10"/>
      <c r="X59" s="10"/>
      <c r="Y59" s="10"/>
      <c r="Z59" s="10"/>
      <c r="AA59" s="10"/>
      <c r="AB59" s="10"/>
      <c r="AC59" s="10"/>
      <c r="AD59" s="10"/>
      <c r="AE59" s="10"/>
      <c r="AF59" s="10"/>
    </row>
    <row r="60" hidden="1">
      <c r="A60" s="9" t="s">
        <v>277</v>
      </c>
      <c r="B60" s="70" t="s">
        <v>29</v>
      </c>
      <c r="C60" s="9" t="s">
        <v>34</v>
      </c>
      <c r="D60" s="9" t="str">
        <f t="shared" si="1"/>
        <v>AugustSANJAY BAGARTTI.K</v>
      </c>
      <c r="E60" s="10" t="str">
        <f t="shared" si="2"/>
        <v>AugustSANJAY BAGARTTI.KOT Hours</v>
      </c>
      <c r="F60" s="10" t="str">
        <f>IFERROR(VLOOKUP(C60,'Employees List'!$B$1:$I$999,4,0),"")</f>
        <v>SANJAY BAGARTTI.K</v>
      </c>
      <c r="G60" s="71">
        <f t="shared" si="12"/>
        <v>20736.84677</v>
      </c>
      <c r="H60" s="72" t="str">
        <f>IFERROR(VLOOKUP(C60,'Employees List'!$B$2:$I$991,7,0),"")</f>
        <v>8131010000021225</v>
      </c>
      <c r="I60" s="73">
        <f>IFERROR(VLOOKUP(F60,'Employees List'!$E$1:$AE$991,6,0),"")</f>
        <v>13000</v>
      </c>
      <c r="J60" s="71">
        <f t="shared" si="3"/>
        <v>9100</v>
      </c>
      <c r="K60" s="71">
        <f t="shared" si="4"/>
        <v>3900</v>
      </c>
      <c r="L60" s="10">
        <f>IFERROR(VLOOKUP(B60,'Employees List'!$A$2:$K$991,11,0),"")</f>
        <v>31</v>
      </c>
      <c r="M60" s="74">
        <f>IFERROR(VLOOKUP(D60,'Daily Attendance 25-26'!$A$4:BP999,5,0),"")</f>
        <v>30</v>
      </c>
      <c r="N60" s="10">
        <f>IFERROR(VLOOKUP(E60,'Daily Attendance 25-26'!$A$1:$BO$1741,5,0),"")</f>
        <v>100</v>
      </c>
      <c r="O60" s="83">
        <v>450.0</v>
      </c>
      <c r="P60" s="10"/>
      <c r="Q60" s="71">
        <f t="shared" si="5"/>
        <v>12580.64516</v>
      </c>
      <c r="R60" s="71">
        <f t="shared" si="6"/>
        <v>7862.903226</v>
      </c>
      <c r="S60" s="71">
        <f t="shared" si="7"/>
        <v>20893.54839</v>
      </c>
      <c r="T60" s="71">
        <f t="shared" si="15"/>
        <v>156.7016129</v>
      </c>
      <c r="U60" s="71">
        <f t="shared" si="8"/>
        <v>20893.54839</v>
      </c>
      <c r="V60" s="10"/>
      <c r="W60" s="10"/>
      <c r="X60" s="10"/>
      <c r="Y60" s="10"/>
      <c r="Z60" s="10"/>
      <c r="AA60" s="10"/>
      <c r="AB60" s="10"/>
      <c r="AC60" s="10"/>
      <c r="AD60" s="10"/>
      <c r="AE60" s="10"/>
      <c r="AF60" s="10"/>
    </row>
    <row r="61" hidden="1">
      <c r="A61" s="9" t="s">
        <v>278</v>
      </c>
      <c r="B61" s="70" t="s">
        <v>29</v>
      </c>
      <c r="C61" s="9" t="s">
        <v>42</v>
      </c>
      <c r="D61" s="9" t="str">
        <f t="shared" si="1"/>
        <v>AugustAMMU.S</v>
      </c>
      <c r="E61" s="10" t="str">
        <f t="shared" si="2"/>
        <v>AugustAMMU.SOT Hours</v>
      </c>
      <c r="F61" s="10" t="str">
        <f>IFERROR(VLOOKUP(C61,'Employees List'!$B$1:$I$999,4,0),"")</f>
        <v>AMMU.S</v>
      </c>
      <c r="G61" s="71">
        <f t="shared" si="12"/>
        <v>14276.99244</v>
      </c>
      <c r="H61" s="72">
        <f>IFERROR(VLOOKUP(C61,'Employees List'!$B$2:$I$991,7,0),"")</f>
        <v>65801000040238</v>
      </c>
      <c r="I61" s="73">
        <f>IFERROR(VLOOKUP(F61,'Employees List'!$E$1:$AE$991,6,0),"")</f>
        <v>10500</v>
      </c>
      <c r="J61" s="71">
        <f t="shared" si="3"/>
        <v>7350</v>
      </c>
      <c r="K61" s="71">
        <f t="shared" si="4"/>
        <v>3150</v>
      </c>
      <c r="L61" s="10">
        <f>IFERROR(VLOOKUP(B61,'Employees List'!$A$2:$K$991,11,0),"")</f>
        <v>31</v>
      </c>
      <c r="M61" s="74">
        <f>IFERROR(VLOOKUP(D61,'Daily Attendance 25-26'!$A$4:BP999,5,0),"")</f>
        <v>31</v>
      </c>
      <c r="N61" s="10">
        <f>IFERROR(VLOOKUP(E61,'Daily Attendance 25-26'!$A$1:$BO$1741,5,0),"")</f>
        <v>47</v>
      </c>
      <c r="O61" s="83">
        <v>900.0</v>
      </c>
      <c r="P61" s="9"/>
      <c r="Q61" s="71">
        <f t="shared" si="5"/>
        <v>10500</v>
      </c>
      <c r="R61" s="71">
        <f t="shared" si="6"/>
        <v>2984.879032</v>
      </c>
      <c r="S61" s="71">
        <f t="shared" si="7"/>
        <v>14384.87903</v>
      </c>
      <c r="T61" s="71">
        <f t="shared" si="15"/>
        <v>107.8865927</v>
      </c>
      <c r="U61" s="71">
        <f t="shared" si="8"/>
        <v>14384.87903</v>
      </c>
      <c r="V61" s="10"/>
      <c r="W61" s="10"/>
      <c r="X61" s="10"/>
      <c r="Y61" s="10"/>
      <c r="Z61" s="10"/>
      <c r="AA61" s="10"/>
      <c r="AB61" s="10"/>
      <c r="AC61" s="10"/>
      <c r="AD61" s="10"/>
      <c r="AE61" s="10"/>
      <c r="AF61" s="10"/>
    </row>
    <row r="62" hidden="1">
      <c r="A62" s="9" t="s">
        <v>279</v>
      </c>
      <c r="B62" s="70" t="s">
        <v>29</v>
      </c>
      <c r="C62" s="9" t="s">
        <v>46</v>
      </c>
      <c r="D62" s="9" t="str">
        <f t="shared" si="1"/>
        <v>AugustREVATHI.S</v>
      </c>
      <c r="E62" s="10" t="str">
        <f t="shared" si="2"/>
        <v>AugustREVATHI.SOT Hours</v>
      </c>
      <c r="F62" s="10" t="str">
        <f>IFERROR(VLOOKUP(C62,'Employees List'!$B$1:$I$999,4,0),"")</f>
        <v>REVATHI.S</v>
      </c>
      <c r="G62" s="71">
        <f t="shared" si="12"/>
        <v>9779.838206</v>
      </c>
      <c r="H62" s="72" t="str">
        <f>IFERROR(VLOOKUP(C62,'Employees List'!$B$2:$I$991,7,0),"")</f>
        <v>8131010000016995</v>
      </c>
      <c r="I62" s="73">
        <f>IFERROR(VLOOKUP(F62,'Employees List'!$E$1:$AE$991,6,0),"")</f>
        <v>10500</v>
      </c>
      <c r="J62" s="71">
        <f t="shared" si="3"/>
        <v>7350</v>
      </c>
      <c r="K62" s="71">
        <f t="shared" si="4"/>
        <v>3150</v>
      </c>
      <c r="L62" s="10">
        <f>IFERROR(VLOOKUP(B62,'Employees List'!$A$2:$K$991,11,0),"")</f>
        <v>31</v>
      </c>
      <c r="M62" s="74">
        <f>IFERROR(VLOOKUP(D62,'Daily Attendance 25-26'!$A$4:BP999,5,0),"")</f>
        <v>29</v>
      </c>
      <c r="N62" s="10">
        <f>IFERROR(VLOOKUP(E62,'Daily Attendance 25-26'!$A$1:$BO$1741,5,0),"")</f>
        <v>41</v>
      </c>
      <c r="O62" s="83">
        <v>450.0</v>
      </c>
      <c r="P62" s="9">
        <v>3000.0</v>
      </c>
      <c r="Q62" s="71">
        <f t="shared" si="5"/>
        <v>9822.580645</v>
      </c>
      <c r="R62" s="71">
        <f t="shared" si="6"/>
        <v>2603.830645</v>
      </c>
      <c r="S62" s="71">
        <f t="shared" si="7"/>
        <v>9876.41129</v>
      </c>
      <c r="T62" s="71">
        <f t="shared" si="15"/>
        <v>96.57308468</v>
      </c>
      <c r="U62" s="71">
        <f t="shared" si="8"/>
        <v>12876.41129</v>
      </c>
      <c r="V62" s="10"/>
      <c r="W62" s="10"/>
      <c r="X62" s="10"/>
      <c r="Y62" s="10"/>
      <c r="Z62" s="10"/>
      <c r="AA62" s="10"/>
      <c r="AB62" s="10"/>
      <c r="AC62" s="10"/>
      <c r="AD62" s="10"/>
      <c r="AE62" s="10"/>
      <c r="AF62" s="10"/>
    </row>
    <row r="63" hidden="1">
      <c r="A63" s="9" t="s">
        <v>280</v>
      </c>
      <c r="B63" s="70" t="s">
        <v>29</v>
      </c>
      <c r="C63" s="9" t="s">
        <v>74</v>
      </c>
      <c r="D63" s="9" t="str">
        <f t="shared" si="1"/>
        <v>AugustLEELAVATHI.M</v>
      </c>
      <c r="E63" s="10" t="str">
        <f t="shared" si="2"/>
        <v>AugustLEELAVATHI.MOT Hours</v>
      </c>
      <c r="F63" s="10" t="str">
        <f>IFERROR(VLOOKUP(C63,'Employees List'!$B$1:$I$999,4,0),"")</f>
        <v>LEELAVATHI.M</v>
      </c>
      <c r="G63" s="71">
        <f t="shared" si="12"/>
        <v>14313.61089</v>
      </c>
      <c r="H63" s="72" t="str">
        <f>IFERROR(VLOOKUP(C63,'Employees List'!$B$2:$I$991,7,0),"")</f>
        <v>8387010000017745</v>
      </c>
      <c r="I63" s="73">
        <f>IFERROR(VLOOKUP(F63,'Employees List'!$E$1:$AE$991,6,0),"")</f>
        <v>14000</v>
      </c>
      <c r="J63" s="71">
        <f t="shared" si="3"/>
        <v>9800</v>
      </c>
      <c r="K63" s="71">
        <f t="shared" si="4"/>
        <v>4200</v>
      </c>
      <c r="L63" s="10">
        <f>IFERROR(VLOOKUP(B63,'Employees List'!$A$2:$K$991,11,0),"")</f>
        <v>31</v>
      </c>
      <c r="M63" s="74">
        <f>IFERROR(VLOOKUP(D63,'Daily Attendance 25-26'!$A$4:BP999,5,0),"")</f>
        <v>30</v>
      </c>
      <c r="N63" s="10">
        <f>IFERROR(VLOOKUP(E63,'Daily Attendance 25-26'!$A$1:$BO$1741,5,0),"")</f>
        <v>5</v>
      </c>
      <c r="O63" s="83">
        <v>450.0</v>
      </c>
      <c r="P63" s="9"/>
      <c r="Q63" s="71">
        <f t="shared" si="5"/>
        <v>13548.3871</v>
      </c>
      <c r="R63" s="71">
        <f t="shared" si="6"/>
        <v>423.3870968</v>
      </c>
      <c r="S63" s="71">
        <f t="shared" si="7"/>
        <v>14421.77419</v>
      </c>
      <c r="T63" s="71">
        <f t="shared" si="15"/>
        <v>108.1633065</v>
      </c>
      <c r="U63" s="71">
        <f t="shared" si="8"/>
        <v>14421.77419</v>
      </c>
      <c r="V63" s="10"/>
      <c r="W63" s="10"/>
      <c r="X63" s="10"/>
      <c r="Y63" s="10"/>
      <c r="Z63" s="10"/>
      <c r="AA63" s="10"/>
      <c r="AB63" s="10"/>
      <c r="AC63" s="10"/>
      <c r="AD63" s="10"/>
      <c r="AE63" s="10"/>
      <c r="AF63" s="10"/>
    </row>
    <row r="64" hidden="1">
      <c r="A64" s="9" t="s">
        <v>281</v>
      </c>
      <c r="B64" s="70" t="s">
        <v>29</v>
      </c>
      <c r="C64" s="9" t="s">
        <v>87</v>
      </c>
      <c r="D64" s="9" t="str">
        <f t="shared" si="1"/>
        <v>AugustLIPAN</v>
      </c>
      <c r="E64" s="10" t="str">
        <f t="shared" si="2"/>
        <v>AugustLIPANOT Hours</v>
      </c>
      <c r="F64" s="10" t="str">
        <f>IFERROR(VLOOKUP(C64,'Employees List'!$B$1:$I$999,4,0),"")</f>
        <v>LIPAN</v>
      </c>
      <c r="G64" s="71">
        <f t="shared" si="12"/>
        <v>16209.48488</v>
      </c>
      <c r="H64" s="72" t="str">
        <f>IFERROR(VLOOKUP(C64,'Employees List'!$B$2:$I$991,7,0),"")</f>
        <v>8131010000018957</v>
      </c>
      <c r="I64" s="73">
        <f>IFERROR(VLOOKUP(F64,'Employees List'!$E$1:$AE$991,6,0),"")</f>
        <v>13000</v>
      </c>
      <c r="J64" s="71">
        <f t="shared" si="3"/>
        <v>9100</v>
      </c>
      <c r="K64" s="71">
        <f t="shared" si="4"/>
        <v>3900</v>
      </c>
      <c r="L64" s="10">
        <f>IFERROR(VLOOKUP(B64,'Employees List'!$A$2:$K$991,11,0),"")</f>
        <v>31</v>
      </c>
      <c r="M64" s="74">
        <f>IFERROR(VLOOKUP(D64,'Daily Attendance 25-26'!$A$4:BP999,5,0),"")</f>
        <v>31</v>
      </c>
      <c r="N64" s="10">
        <f>IFERROR(VLOOKUP(E64,'Daily Attendance 25-26'!$A$1:$BO$1741,5,0),"")</f>
        <v>95</v>
      </c>
      <c r="O64" s="83">
        <v>900.0</v>
      </c>
      <c r="P64" s="9">
        <v>5000.0</v>
      </c>
      <c r="Q64" s="71">
        <f t="shared" si="5"/>
        <v>13000</v>
      </c>
      <c r="R64" s="71">
        <f t="shared" si="6"/>
        <v>7469.758065</v>
      </c>
      <c r="S64" s="71">
        <f t="shared" si="7"/>
        <v>16369.75806</v>
      </c>
      <c r="T64" s="71">
        <f t="shared" si="15"/>
        <v>160.2731855</v>
      </c>
      <c r="U64" s="71">
        <f t="shared" si="8"/>
        <v>21369.75806</v>
      </c>
      <c r="V64" s="10"/>
      <c r="W64" s="10"/>
      <c r="X64" s="10"/>
      <c r="Y64" s="10"/>
      <c r="Z64" s="10"/>
      <c r="AA64" s="10"/>
      <c r="AB64" s="10"/>
      <c r="AC64" s="10"/>
      <c r="AD64" s="10"/>
      <c r="AE64" s="10"/>
      <c r="AF64" s="10"/>
    </row>
    <row r="65" hidden="1">
      <c r="A65" s="9" t="s">
        <v>282</v>
      </c>
      <c r="B65" s="70" t="s">
        <v>29</v>
      </c>
      <c r="C65" s="9" t="s">
        <v>96</v>
      </c>
      <c r="D65" s="9" t="str">
        <f t="shared" si="1"/>
        <v>AugustPARSHU BAGH</v>
      </c>
      <c r="E65" s="10" t="str">
        <f t="shared" si="2"/>
        <v>AugustPARSHU BAGHOT Hours</v>
      </c>
      <c r="F65" s="10" t="str">
        <f>IFERROR(VLOOKUP(C65,'Employees List'!$B$1:$I$999,4,0),"")</f>
        <v>PARSHU BAGH</v>
      </c>
      <c r="G65" s="71">
        <f t="shared" si="12"/>
        <v>2965.493952</v>
      </c>
      <c r="H65" s="72">
        <f>IFERROR(VLOOKUP(C65,'Employees List'!$B$2:$I$991,7,0),"")</f>
        <v>40653547928</v>
      </c>
      <c r="I65" s="73">
        <f>IFERROR(VLOOKUP(F65,'Employees List'!$E$1:$AE$991,6,0),"")</f>
        <v>13000</v>
      </c>
      <c r="J65" s="71">
        <f t="shared" si="3"/>
        <v>9100</v>
      </c>
      <c r="K65" s="71">
        <f t="shared" si="4"/>
        <v>3900</v>
      </c>
      <c r="L65" s="10">
        <f>IFERROR(VLOOKUP(B65,'Employees List'!$A$2:$K$991,11,0),"")</f>
        <v>31</v>
      </c>
      <c r="M65" s="74">
        <f>IFERROR(VLOOKUP(D65,'Daily Attendance 25-26'!$A$4:BP999,5,0),"")</f>
        <v>4.5</v>
      </c>
      <c r="N65" s="10">
        <f>IFERROR(VLOOKUP(E65,'Daily Attendance 25-26'!$A$1:$BO$1741,5,0),"")</f>
        <v>14</v>
      </c>
      <c r="O65" s="83"/>
      <c r="P65" s="9"/>
      <c r="Q65" s="71">
        <f t="shared" si="5"/>
        <v>1887.096774</v>
      </c>
      <c r="R65" s="71">
        <f t="shared" si="6"/>
        <v>1100.806452</v>
      </c>
      <c r="S65" s="71">
        <f t="shared" si="7"/>
        <v>2987.903226</v>
      </c>
      <c r="T65" s="71">
        <f t="shared" si="15"/>
        <v>22.40927419</v>
      </c>
      <c r="U65" s="71">
        <f t="shared" si="8"/>
        <v>2987.903226</v>
      </c>
      <c r="V65" s="10"/>
      <c r="W65" s="10"/>
      <c r="X65" s="10"/>
      <c r="Y65" s="10"/>
      <c r="Z65" s="10"/>
      <c r="AA65" s="10"/>
      <c r="AB65" s="10"/>
      <c r="AC65" s="10"/>
      <c r="AD65" s="10"/>
      <c r="AE65" s="10"/>
      <c r="AF65" s="10"/>
    </row>
    <row r="66" hidden="1">
      <c r="A66" s="9" t="s">
        <v>283</v>
      </c>
      <c r="B66" s="70" t="s">
        <v>41</v>
      </c>
      <c r="C66" s="9" t="s">
        <v>13</v>
      </c>
      <c r="D66" s="9" t="str">
        <f t="shared" si="1"/>
        <v>NovemberBHUVANESHWARAN.V</v>
      </c>
      <c r="E66" s="10" t="str">
        <f t="shared" si="2"/>
        <v>NovemberBHUVANESHWARAN.VOT Hours</v>
      </c>
      <c r="F66" s="10" t="str">
        <f>IFERROR(VLOOKUP(C66,'Employees List'!$B$1:$I$999,4,0),"")</f>
        <v>BHUVANESHWARAN.V</v>
      </c>
      <c r="G66" s="71">
        <f t="shared" si="12"/>
        <v>66900</v>
      </c>
      <c r="H66" s="72">
        <f>IFERROR(VLOOKUP(C66,'Employees List'!$B$2:$I$991,7,0),"")</f>
        <v>500101011548924</v>
      </c>
      <c r="I66" s="73">
        <f>IFERROR(VLOOKUP(F66,'Employees List'!$E$1:$AE$991,6,0),"")</f>
        <v>66000</v>
      </c>
      <c r="J66" s="71">
        <f t="shared" si="3"/>
        <v>46200</v>
      </c>
      <c r="K66" s="71">
        <f t="shared" si="4"/>
        <v>19800</v>
      </c>
      <c r="L66" s="10">
        <f>IFERROR(VLOOKUP(B66,'Employees List'!$A$2:$K$991,11,0),"")</f>
        <v>30</v>
      </c>
      <c r="M66" s="74">
        <f>IFERROR(VLOOKUP(D66,'Daily Attendance 25-26'!$A$4:BP999,5,0),"")</f>
        <v>30</v>
      </c>
      <c r="N66" s="10">
        <f>IFERROR(VLOOKUP(E66,'Daily Attendance 25-26'!$A$1:$BO$1741,5,0),"")</f>
        <v>0</v>
      </c>
      <c r="O66" s="83">
        <v>900.0</v>
      </c>
      <c r="P66" s="10"/>
      <c r="Q66" s="71">
        <f t="shared" si="5"/>
        <v>66000</v>
      </c>
      <c r="R66" s="71">
        <f t="shared" si="6"/>
        <v>0</v>
      </c>
      <c r="S66" s="71">
        <f t="shared" si="7"/>
        <v>66900</v>
      </c>
      <c r="T66" s="9">
        <v>0.0</v>
      </c>
      <c r="U66" s="71">
        <f t="shared" si="8"/>
        <v>66900</v>
      </c>
      <c r="V66" s="10"/>
      <c r="W66" s="10"/>
      <c r="X66" s="10"/>
      <c r="Y66" s="10"/>
      <c r="Z66" s="10"/>
      <c r="AA66" s="10"/>
      <c r="AB66" s="10"/>
      <c r="AC66" s="10"/>
      <c r="AD66" s="10"/>
      <c r="AE66" s="10"/>
      <c r="AF66" s="10"/>
    </row>
    <row r="67" hidden="1">
      <c r="A67" s="9" t="s">
        <v>284</v>
      </c>
      <c r="B67" s="70" t="s">
        <v>41</v>
      </c>
      <c r="C67" s="9" t="s">
        <v>71</v>
      </c>
      <c r="D67" s="9" t="str">
        <f t="shared" si="1"/>
        <v>NovemberTHIRIPURA SUNDARI.R</v>
      </c>
      <c r="E67" s="10" t="str">
        <f t="shared" si="2"/>
        <v>NovemberTHIRIPURA SUNDARI.ROT Hours</v>
      </c>
      <c r="F67" s="10" t="str">
        <f>IFERROR(VLOOKUP(C67,'Employees List'!$B$1:$I$999,4,0),"")</f>
        <v>THIRIPURA SUNDARI.R</v>
      </c>
      <c r="G67" s="71">
        <f t="shared" si="12"/>
        <v>22684.82813</v>
      </c>
      <c r="H67" s="72" t="str">
        <f>IFERROR(VLOOKUP(C67,'Employees List'!$B$2:$I$991,7,0),"")</f>
        <v>8131010000016977</v>
      </c>
      <c r="I67" s="73">
        <f>IFERROR(VLOOKUP(F67,'Employees List'!$E$1:$AE$991,6,0),"")</f>
        <v>21000</v>
      </c>
      <c r="J67" s="71">
        <f t="shared" si="3"/>
        <v>14700</v>
      </c>
      <c r="K67" s="71">
        <f t="shared" si="4"/>
        <v>6300</v>
      </c>
      <c r="L67" s="10">
        <f>IFERROR(VLOOKUP(B67,'Employees List'!$A$2:$K$991,11,0),"")</f>
        <v>30</v>
      </c>
      <c r="M67" s="74">
        <f>IFERROR(VLOOKUP(D67,'Daily Attendance 25-26'!$A$4:BP999,5,0),"")</f>
        <v>30</v>
      </c>
      <c r="N67" s="10">
        <f>IFERROR(VLOOKUP(E67,'Daily Attendance 25-26'!$A$1:$BO$1741,5,0),"")</f>
        <v>5</v>
      </c>
      <c r="O67" s="83">
        <v>1200.0</v>
      </c>
      <c r="P67" s="10"/>
      <c r="Q67" s="71">
        <f t="shared" si="5"/>
        <v>21000</v>
      </c>
      <c r="R67" s="71">
        <f t="shared" si="6"/>
        <v>656.25</v>
      </c>
      <c r="S67" s="71">
        <f t="shared" si="7"/>
        <v>22856.25</v>
      </c>
      <c r="T67" s="71">
        <f t="shared" ref="T67:T73" si="16">U67*0.75%</f>
        <v>171.421875</v>
      </c>
      <c r="U67" s="71">
        <f t="shared" si="8"/>
        <v>22856.25</v>
      </c>
      <c r="V67" s="10"/>
      <c r="W67" s="10"/>
      <c r="X67" s="10"/>
      <c r="Y67" s="10"/>
      <c r="Z67" s="10"/>
      <c r="AA67" s="10"/>
      <c r="AB67" s="10"/>
      <c r="AC67" s="10"/>
      <c r="AD67" s="10"/>
      <c r="AE67" s="10"/>
      <c r="AF67" s="10"/>
    </row>
    <row r="68" hidden="1">
      <c r="A68" s="9" t="s">
        <v>285</v>
      </c>
      <c r="B68" s="70" t="s">
        <v>41</v>
      </c>
      <c r="C68" s="9" t="s">
        <v>22</v>
      </c>
      <c r="D68" s="9" t="str">
        <f t="shared" si="1"/>
        <v>NovemberGANESH</v>
      </c>
      <c r="E68" s="10" t="str">
        <f t="shared" si="2"/>
        <v>NovemberGANESHOT Hours</v>
      </c>
      <c r="F68" s="10" t="str">
        <f>IFERROR(VLOOKUP(C68,'Employees List'!$B$1:$I$999,4,0),"")</f>
        <v>GANESH</v>
      </c>
      <c r="G68" s="71">
        <f t="shared" si="12"/>
        <v>21139.15625</v>
      </c>
      <c r="H68" s="72" t="str">
        <f>IFERROR(VLOOKUP(C68,'Employees List'!$B$2:$I$991,7,0),"")</f>
        <v>8811010012054879</v>
      </c>
      <c r="I68" s="73">
        <f>IFERROR(VLOOKUP(F68,'Employees List'!$E$1:$AE$991,6,0),"")</f>
        <v>18500</v>
      </c>
      <c r="J68" s="71">
        <f t="shared" si="3"/>
        <v>12950</v>
      </c>
      <c r="K68" s="71">
        <f t="shared" si="4"/>
        <v>5550</v>
      </c>
      <c r="L68" s="10">
        <f>IFERROR(VLOOKUP(B68,'Employees List'!$A$2:$K$991,11,0),"")</f>
        <v>30</v>
      </c>
      <c r="M68" s="74">
        <f>IFERROR(VLOOKUP(D68,'Daily Attendance 25-26'!$A$4:BP999,5,0),"")</f>
        <v>24</v>
      </c>
      <c r="N68" s="10">
        <f>IFERROR(VLOOKUP(E68,'Daily Attendance 25-26'!$A$1:$BO$1741,5,0),"")</f>
        <v>68</v>
      </c>
      <c r="O68" s="83">
        <v>450.0</v>
      </c>
      <c r="P68" s="9">
        <v>1800.0</v>
      </c>
      <c r="Q68" s="71">
        <f t="shared" si="5"/>
        <v>14800</v>
      </c>
      <c r="R68" s="71">
        <f t="shared" si="6"/>
        <v>7862.5</v>
      </c>
      <c r="S68" s="71">
        <f t="shared" si="7"/>
        <v>21312.5</v>
      </c>
      <c r="T68" s="71">
        <f t="shared" si="16"/>
        <v>173.34375</v>
      </c>
      <c r="U68" s="71">
        <f t="shared" si="8"/>
        <v>23112.5</v>
      </c>
      <c r="V68" s="10"/>
      <c r="W68" s="10"/>
      <c r="X68" s="10"/>
      <c r="Y68" s="10"/>
      <c r="Z68" s="10"/>
      <c r="AA68" s="10"/>
      <c r="AB68" s="10"/>
      <c r="AC68" s="10"/>
      <c r="AD68" s="10"/>
      <c r="AE68" s="10"/>
      <c r="AF68" s="10"/>
    </row>
    <row r="69" hidden="1">
      <c r="A69" s="9" t="s">
        <v>286</v>
      </c>
      <c r="B69" s="70" t="s">
        <v>41</v>
      </c>
      <c r="C69" s="9" t="s">
        <v>17</v>
      </c>
      <c r="D69" s="9" t="str">
        <f t="shared" si="1"/>
        <v>NovemberVASANTHA.E</v>
      </c>
      <c r="E69" s="10" t="str">
        <f t="shared" si="2"/>
        <v>NovemberVASANTHA.EOT Hours</v>
      </c>
      <c r="F69" s="10" t="str">
        <f>IFERROR(VLOOKUP(C69,'Employees List'!$B$1:$I$999,4,0),"")</f>
        <v>VASANTHA.E</v>
      </c>
      <c r="G69" s="71">
        <f t="shared" si="12"/>
        <v>18585.59635</v>
      </c>
      <c r="H69" s="72" t="str">
        <f>IFERROR(VLOOKUP(C69,'Employees List'!$B$2:$I$991,7,0),"")</f>
        <v>8131010000016959</v>
      </c>
      <c r="I69" s="73">
        <f>IFERROR(VLOOKUP(F69,'Employees List'!$E$1:$AE$991,6,0),"")</f>
        <v>14500</v>
      </c>
      <c r="J69" s="71">
        <f t="shared" si="3"/>
        <v>10150</v>
      </c>
      <c r="K69" s="71">
        <f t="shared" si="4"/>
        <v>4350</v>
      </c>
      <c r="L69" s="10">
        <f>IFERROR(VLOOKUP(B69,'Employees List'!$A$2:$K$991,11,0),"")</f>
        <v>30</v>
      </c>
      <c r="M69" s="74">
        <f>IFERROR(VLOOKUP(D69,'Daily Attendance 25-26'!$A$4:BP999,5,0),"")</f>
        <v>29</v>
      </c>
      <c r="N69" s="10">
        <f>IFERROR(VLOOKUP(E69,'Daily Attendance 25-26'!$A$1:$BO$1741,5,0),"")</f>
        <v>47</v>
      </c>
      <c r="O69" s="83">
        <v>450.0</v>
      </c>
      <c r="P69" s="9"/>
      <c r="Q69" s="71">
        <f t="shared" si="5"/>
        <v>14016.66667</v>
      </c>
      <c r="R69" s="71">
        <f t="shared" si="6"/>
        <v>4259.375</v>
      </c>
      <c r="S69" s="71">
        <f t="shared" si="7"/>
        <v>18726.04167</v>
      </c>
      <c r="T69" s="71">
        <f t="shared" si="16"/>
        <v>140.4453125</v>
      </c>
      <c r="U69" s="71">
        <f t="shared" si="8"/>
        <v>18726.04167</v>
      </c>
      <c r="V69" s="10"/>
      <c r="W69" s="10"/>
      <c r="X69" s="10"/>
      <c r="Y69" s="10"/>
      <c r="Z69" s="10"/>
      <c r="AA69" s="10"/>
      <c r="AB69" s="10"/>
      <c r="AC69" s="10"/>
      <c r="AD69" s="10"/>
      <c r="AE69" s="10"/>
      <c r="AF69" s="10"/>
    </row>
    <row r="70" hidden="1">
      <c r="A70" s="9" t="s">
        <v>287</v>
      </c>
      <c r="B70" s="70" t="s">
        <v>41</v>
      </c>
      <c r="C70" s="9" t="s">
        <v>34</v>
      </c>
      <c r="D70" s="9" t="str">
        <f t="shared" si="1"/>
        <v>NovemberSANJAY BAGARTTI.K</v>
      </c>
      <c r="E70" s="10" t="str">
        <f t="shared" si="2"/>
        <v>NovemberSANJAY BAGARTTI.KOT Hours</v>
      </c>
      <c r="F70" s="10" t="str">
        <f>IFERROR(VLOOKUP(C70,'Employees List'!$B$1:$I$999,4,0),"")</f>
        <v>SANJAY BAGARTTI.K</v>
      </c>
      <c r="G70" s="71">
        <f t="shared" si="12"/>
        <v>21171.26563</v>
      </c>
      <c r="H70" s="72" t="str">
        <f>IFERROR(VLOOKUP(C70,'Employees List'!$B$2:$I$991,7,0),"")</f>
        <v>8131010000021225</v>
      </c>
      <c r="I70" s="73">
        <f>IFERROR(VLOOKUP(F70,'Employees List'!$E$1:$AE$991,6,0),"")</f>
        <v>13000</v>
      </c>
      <c r="J70" s="71">
        <f t="shared" si="3"/>
        <v>9100</v>
      </c>
      <c r="K70" s="71">
        <f t="shared" si="4"/>
        <v>3900</v>
      </c>
      <c r="L70" s="10">
        <f>IFERROR(VLOOKUP(B70,'Employees List'!$A$2:$K$991,11,0),"")</f>
        <v>30</v>
      </c>
      <c r="M70" s="74">
        <f>IFERROR(VLOOKUP(D70,'Daily Attendance 25-26'!$A$4:BP999,5,0),"")</f>
        <v>30</v>
      </c>
      <c r="N70" s="10">
        <f>IFERROR(VLOOKUP(E70,'Daily Attendance 25-26'!$A$1:$BO$1741,5,0),"")</f>
        <v>97</v>
      </c>
      <c r="O70" s="83">
        <v>450.0</v>
      </c>
      <c r="P70" s="9"/>
      <c r="Q70" s="71">
        <f t="shared" si="5"/>
        <v>13000</v>
      </c>
      <c r="R70" s="71">
        <f t="shared" si="6"/>
        <v>7881.25</v>
      </c>
      <c r="S70" s="71">
        <f t="shared" si="7"/>
        <v>21331.25</v>
      </c>
      <c r="T70" s="71">
        <f t="shared" si="16"/>
        <v>159.984375</v>
      </c>
      <c r="U70" s="71">
        <f t="shared" si="8"/>
        <v>21331.25</v>
      </c>
      <c r="V70" s="10"/>
      <c r="W70" s="10"/>
      <c r="X70" s="10"/>
      <c r="Y70" s="10"/>
      <c r="Z70" s="10"/>
      <c r="AA70" s="10"/>
      <c r="AB70" s="10"/>
      <c r="AC70" s="10"/>
      <c r="AD70" s="10"/>
      <c r="AE70" s="10"/>
      <c r="AF70" s="10"/>
    </row>
    <row r="71" hidden="1">
      <c r="A71" s="9" t="s">
        <v>288</v>
      </c>
      <c r="B71" s="70" t="s">
        <v>41</v>
      </c>
      <c r="C71" s="9" t="s">
        <v>42</v>
      </c>
      <c r="D71" s="9" t="str">
        <f t="shared" si="1"/>
        <v>NovemberAMMU.S</v>
      </c>
      <c r="E71" s="10" t="str">
        <f t="shared" si="2"/>
        <v>NovemberAMMU.SOT Hours</v>
      </c>
      <c r="F71" s="10" t="str">
        <f>IFERROR(VLOOKUP(C71,'Employees List'!$B$1:$I$999,4,0),"")</f>
        <v>AMMU.S</v>
      </c>
      <c r="G71" s="71">
        <f t="shared" si="12"/>
        <v>12778.4375</v>
      </c>
      <c r="H71" s="72">
        <f>IFERROR(VLOOKUP(C71,'Employees List'!$B$2:$I$991,7,0),"")</f>
        <v>65801000040238</v>
      </c>
      <c r="I71" s="73">
        <f>IFERROR(VLOOKUP(F71,'Employees List'!$E$1:$AE$991,6,0),"")</f>
        <v>10500</v>
      </c>
      <c r="J71" s="71">
        <f t="shared" si="3"/>
        <v>7350</v>
      </c>
      <c r="K71" s="71">
        <f t="shared" si="4"/>
        <v>3150</v>
      </c>
      <c r="L71" s="10">
        <f>IFERROR(VLOOKUP(B71,'Employees List'!$A$2:$K$991,11,0),"")</f>
        <v>30</v>
      </c>
      <c r="M71" s="74">
        <f>IFERROR(VLOOKUP(D71,'Daily Attendance 25-26'!$A$4:BP999,5,0),"")</f>
        <v>28</v>
      </c>
      <c r="N71" s="10">
        <f>IFERROR(VLOOKUP(E71,'Daily Attendance 25-26'!$A$1:$BO$1741,5,0),"")</f>
        <v>40</v>
      </c>
      <c r="O71" s="83">
        <v>450.0</v>
      </c>
      <c r="P71" s="9"/>
      <c r="Q71" s="71">
        <f t="shared" si="5"/>
        <v>9800</v>
      </c>
      <c r="R71" s="71">
        <f t="shared" si="6"/>
        <v>2625</v>
      </c>
      <c r="S71" s="71">
        <f t="shared" si="7"/>
        <v>12875</v>
      </c>
      <c r="T71" s="71">
        <f t="shared" si="16"/>
        <v>96.5625</v>
      </c>
      <c r="U71" s="71">
        <f t="shared" si="8"/>
        <v>12875</v>
      </c>
      <c r="V71" s="10"/>
      <c r="W71" s="10"/>
      <c r="X71" s="10"/>
      <c r="Y71" s="10"/>
      <c r="Z71" s="10"/>
      <c r="AA71" s="10"/>
      <c r="AB71" s="10"/>
      <c r="AC71" s="10"/>
      <c r="AD71" s="10"/>
      <c r="AE71" s="10"/>
      <c r="AF71" s="10"/>
    </row>
    <row r="72" hidden="1">
      <c r="A72" s="9" t="s">
        <v>289</v>
      </c>
      <c r="B72" s="70" t="s">
        <v>41</v>
      </c>
      <c r="C72" s="9" t="s">
        <v>46</v>
      </c>
      <c r="D72" s="9" t="str">
        <f t="shared" si="1"/>
        <v>NovemberREVATHI.S</v>
      </c>
      <c r="E72" s="10" t="str">
        <f t="shared" si="2"/>
        <v>NovemberREVATHI.SOT Hours</v>
      </c>
      <c r="F72" s="10" t="str">
        <f>IFERROR(VLOOKUP(C72,'Employees List'!$B$1:$I$999,4,0),"")</f>
        <v>REVATHI.S</v>
      </c>
      <c r="G72" s="71">
        <f t="shared" si="12"/>
        <v>11126.46094</v>
      </c>
      <c r="H72" s="72" t="str">
        <f>IFERROR(VLOOKUP(C72,'Employees List'!$B$2:$I$991,7,0),"")</f>
        <v>8131010000016995</v>
      </c>
      <c r="I72" s="73">
        <f>IFERROR(VLOOKUP(F72,'Employees List'!$E$1:$AE$991,6,0),"")</f>
        <v>10500</v>
      </c>
      <c r="J72" s="71">
        <f t="shared" si="3"/>
        <v>7350</v>
      </c>
      <c r="K72" s="71">
        <f t="shared" si="4"/>
        <v>3150</v>
      </c>
      <c r="L72" s="10">
        <f>IFERROR(VLOOKUP(B72,'Employees List'!$A$2:$K$991,11,0),"")</f>
        <v>30</v>
      </c>
      <c r="M72" s="74">
        <f>IFERROR(VLOOKUP(D72,'Daily Attendance 25-26'!$A$4:BP999,5,0),"")</f>
        <v>27</v>
      </c>
      <c r="N72" s="10">
        <f>IFERROR(VLOOKUP(E72,'Daily Attendance 25-26'!$A$1:$BO$1741,5,0),"")</f>
        <v>43</v>
      </c>
      <c r="O72" s="83">
        <v>450.0</v>
      </c>
      <c r="P72" s="9">
        <v>1500.0</v>
      </c>
      <c r="Q72" s="71">
        <f t="shared" si="5"/>
        <v>9450</v>
      </c>
      <c r="R72" s="71">
        <f t="shared" si="6"/>
        <v>2821.875</v>
      </c>
      <c r="S72" s="71">
        <f t="shared" si="7"/>
        <v>11221.875</v>
      </c>
      <c r="T72" s="71">
        <f t="shared" si="16"/>
        <v>95.4140625</v>
      </c>
      <c r="U72" s="71">
        <f t="shared" si="8"/>
        <v>12721.875</v>
      </c>
      <c r="V72" s="10"/>
      <c r="W72" s="10"/>
      <c r="X72" s="10"/>
      <c r="Y72" s="10"/>
      <c r="Z72" s="10"/>
      <c r="AA72" s="10"/>
      <c r="AB72" s="10"/>
      <c r="AC72" s="10"/>
      <c r="AD72" s="10"/>
      <c r="AE72" s="10"/>
      <c r="AF72" s="10"/>
    </row>
    <row r="73" hidden="1">
      <c r="A73" s="9" t="s">
        <v>290</v>
      </c>
      <c r="B73" s="70" t="s">
        <v>41</v>
      </c>
      <c r="C73" s="9" t="s">
        <v>74</v>
      </c>
      <c r="D73" s="9" t="str">
        <f t="shared" si="1"/>
        <v>NovemberLEELAVATHI.M</v>
      </c>
      <c r="E73" s="10" t="str">
        <f t="shared" si="2"/>
        <v>NovemberLEELAVATHI.MOT Hours</v>
      </c>
      <c r="F73" s="10" t="str">
        <f>IFERROR(VLOOKUP(C73,'Employees List'!$B$1:$I$999,4,0),"")</f>
        <v>LEELAVATHI.M</v>
      </c>
      <c r="G73" s="71">
        <f t="shared" si="12"/>
        <v>18299.21875</v>
      </c>
      <c r="H73" s="72" t="str">
        <f>IFERROR(VLOOKUP(C73,'Employees List'!$B$2:$I$991,7,0),"")</f>
        <v>8387010000017745</v>
      </c>
      <c r="I73" s="73">
        <f>IFERROR(VLOOKUP(F73,'Employees List'!$E$1:$AE$991,6,0),"")</f>
        <v>14000</v>
      </c>
      <c r="J73" s="71">
        <f t="shared" si="3"/>
        <v>9800</v>
      </c>
      <c r="K73" s="71">
        <f t="shared" si="4"/>
        <v>4200</v>
      </c>
      <c r="L73" s="10">
        <f>IFERROR(VLOOKUP(B73,'Employees List'!$A$2:$K$991,11,0),"")</f>
        <v>30</v>
      </c>
      <c r="M73" s="74">
        <f>IFERROR(VLOOKUP(D73,'Daily Attendance 25-26'!$A$4:BP999,5,0),"")</f>
        <v>30</v>
      </c>
      <c r="N73" s="10">
        <f>IFERROR(VLOOKUP(E73,'Daily Attendance 25-26'!$A$1:$BO$1741,5,0),"")</f>
        <v>29</v>
      </c>
      <c r="O73" s="83">
        <f>900+1000</f>
        <v>1900</v>
      </c>
      <c r="P73" s="83"/>
      <c r="Q73" s="71">
        <f t="shared" si="5"/>
        <v>14000</v>
      </c>
      <c r="R73" s="71">
        <f t="shared" si="6"/>
        <v>2537.5</v>
      </c>
      <c r="S73" s="71">
        <f t="shared" si="7"/>
        <v>18437.5</v>
      </c>
      <c r="T73" s="71">
        <f t="shared" si="16"/>
        <v>138.28125</v>
      </c>
      <c r="U73" s="71">
        <f t="shared" si="8"/>
        <v>18437.5</v>
      </c>
      <c r="V73" s="10"/>
      <c r="W73" s="10"/>
      <c r="X73" s="10"/>
      <c r="Y73" s="10"/>
      <c r="Z73" s="10"/>
      <c r="AA73" s="10"/>
      <c r="AB73" s="10"/>
      <c r="AC73" s="10"/>
      <c r="AD73" s="10"/>
      <c r="AE73" s="10"/>
      <c r="AF73" s="10"/>
    </row>
    <row r="74" hidden="1">
      <c r="A74" s="9" t="s">
        <v>291</v>
      </c>
      <c r="B74" s="70" t="s">
        <v>45</v>
      </c>
      <c r="C74" s="9" t="s">
        <v>13</v>
      </c>
      <c r="D74" s="9" t="str">
        <f t="shared" si="1"/>
        <v>DecemberBHUVANESHWARAN.V</v>
      </c>
      <c r="E74" s="10" t="str">
        <f t="shared" si="2"/>
        <v>DecemberBHUVANESHWARAN.VOT Hours</v>
      </c>
      <c r="F74" s="10" t="str">
        <f>IFERROR(VLOOKUP(C74,'Employees List'!$B$1:$I$999,4,0),"")</f>
        <v>BHUVANESHWARAN.V</v>
      </c>
      <c r="G74" s="71">
        <f t="shared" si="12"/>
        <v>66900</v>
      </c>
      <c r="H74" s="72">
        <f>IFERROR(VLOOKUP(C74,'Employees List'!$B$2:$I$991,7,0),"")</f>
        <v>500101011548924</v>
      </c>
      <c r="I74" s="73">
        <f>IFERROR(VLOOKUP(F74,'Employees List'!$E$1:$AE$991,6,0),"")</f>
        <v>66000</v>
      </c>
      <c r="J74" s="71">
        <f t="shared" si="3"/>
        <v>46200</v>
      </c>
      <c r="K74" s="71">
        <f t="shared" si="4"/>
        <v>19800</v>
      </c>
      <c r="L74" s="10">
        <f>IFERROR(VLOOKUP(B74,'Employees List'!$A$2:$K$991,11,0),"")</f>
        <v>31</v>
      </c>
      <c r="M74" s="74">
        <f>IFERROR(VLOOKUP(D74,'Daily Attendance 25-26'!$A$4:BP999,5,0),"")</f>
        <v>31</v>
      </c>
      <c r="N74" s="10">
        <f>IFERROR(VLOOKUP(E74,'Daily Attendance 25-26'!$A$1:$BO$1741,5,0),"")</f>
        <v>0</v>
      </c>
      <c r="O74" s="83">
        <v>900.0</v>
      </c>
      <c r="P74" s="83"/>
      <c r="Q74" s="71">
        <f t="shared" si="5"/>
        <v>66000</v>
      </c>
      <c r="R74" s="71">
        <f t="shared" si="6"/>
        <v>0</v>
      </c>
      <c r="S74" s="71">
        <f t="shared" si="7"/>
        <v>66900</v>
      </c>
      <c r="T74" s="9">
        <v>0.0</v>
      </c>
      <c r="U74" s="71">
        <f t="shared" si="8"/>
        <v>66900</v>
      </c>
      <c r="V74" s="10"/>
      <c r="W74" s="10"/>
      <c r="X74" s="10"/>
      <c r="Y74" s="10"/>
      <c r="Z74" s="10"/>
      <c r="AA74" s="10"/>
      <c r="AB74" s="10"/>
      <c r="AC74" s="10"/>
      <c r="AD74" s="10"/>
      <c r="AE74" s="10"/>
      <c r="AF74" s="10"/>
    </row>
    <row r="75" hidden="1">
      <c r="A75" s="9" t="s">
        <v>292</v>
      </c>
      <c r="B75" s="70" t="s">
        <v>45</v>
      </c>
      <c r="C75" s="9" t="s">
        <v>71</v>
      </c>
      <c r="D75" s="9" t="str">
        <f t="shared" si="1"/>
        <v>DecemberTHIRIPURA SUNDARI.R</v>
      </c>
      <c r="E75" s="10" t="str">
        <f t="shared" si="2"/>
        <v>DecemberTHIRIPURA SUNDARI.ROT Hours</v>
      </c>
      <c r="F75" s="10" t="str">
        <f>IFERROR(VLOOKUP(C75,'Employees List'!$B$1:$I$999,4,0),"")</f>
        <v>THIRIPURA SUNDARI.R</v>
      </c>
      <c r="G75" s="71">
        <f t="shared" si="12"/>
        <v>22033.5</v>
      </c>
      <c r="H75" s="72" t="str">
        <f>IFERROR(VLOOKUP(C75,'Employees List'!$B$2:$I$991,7,0),"")</f>
        <v>8131010000016977</v>
      </c>
      <c r="I75" s="73">
        <f>IFERROR(VLOOKUP(F75,'Employees List'!$E$1:$AE$991,6,0),"")</f>
        <v>21000</v>
      </c>
      <c r="J75" s="71">
        <f t="shared" si="3"/>
        <v>14700</v>
      </c>
      <c r="K75" s="71">
        <f t="shared" si="4"/>
        <v>6300</v>
      </c>
      <c r="L75" s="10">
        <f>IFERROR(VLOOKUP(B75,'Employees List'!$A$2:$K$991,11,0),"")</f>
        <v>31</v>
      </c>
      <c r="M75" s="74">
        <f>IFERROR(VLOOKUP(D75,'Daily Attendance 25-26'!$A$4:BP999,5,0),"")</f>
        <v>31</v>
      </c>
      <c r="N75" s="10">
        <f>IFERROR(VLOOKUP(E75,'Daily Attendance 25-26'!$A$1:$BO$1741,5,0),"")</f>
        <v>0</v>
      </c>
      <c r="O75" s="83">
        <v>1200.0</v>
      </c>
      <c r="P75" s="83"/>
      <c r="Q75" s="71">
        <f t="shared" si="5"/>
        <v>21000</v>
      </c>
      <c r="R75" s="71">
        <f t="shared" si="6"/>
        <v>0</v>
      </c>
      <c r="S75" s="71">
        <f t="shared" si="7"/>
        <v>22200</v>
      </c>
      <c r="T75" s="71">
        <f t="shared" ref="T75:T82" si="17">U75*0.75%</f>
        <v>166.5</v>
      </c>
      <c r="U75" s="71">
        <f t="shared" si="8"/>
        <v>22200</v>
      </c>
      <c r="V75" s="10"/>
      <c r="W75" s="10"/>
      <c r="X75" s="10"/>
      <c r="Y75" s="10"/>
      <c r="Z75" s="10"/>
      <c r="AA75" s="10"/>
      <c r="AB75" s="10"/>
      <c r="AC75" s="10"/>
      <c r="AD75" s="10"/>
      <c r="AE75" s="10"/>
      <c r="AF75" s="10"/>
    </row>
    <row r="76" hidden="1">
      <c r="A76" s="9" t="s">
        <v>293</v>
      </c>
      <c r="B76" s="70" t="s">
        <v>45</v>
      </c>
      <c r="C76" s="9" t="s">
        <v>22</v>
      </c>
      <c r="D76" s="9" t="str">
        <f t="shared" si="1"/>
        <v>DecemberGANESH</v>
      </c>
      <c r="E76" s="10" t="str">
        <f t="shared" si="2"/>
        <v>DecemberGANESHOT Hours</v>
      </c>
      <c r="F76" s="10" t="str">
        <f>IFERROR(VLOOKUP(C76,'Employees List'!$B$1:$I$999,4,0),"")</f>
        <v>GANESH</v>
      </c>
      <c r="G76" s="71">
        <f t="shared" si="12"/>
        <v>16122.78175</v>
      </c>
      <c r="H76" s="72" t="str">
        <f>IFERROR(VLOOKUP(C76,'Employees List'!$B$2:$I$991,7,0),"")</f>
        <v>8811010012054879</v>
      </c>
      <c r="I76" s="73">
        <f>IFERROR(VLOOKUP(F76,'Employees List'!$E$1:$AE$991,6,0),"")</f>
        <v>18500</v>
      </c>
      <c r="J76" s="71">
        <f t="shared" si="3"/>
        <v>12950</v>
      </c>
      <c r="K76" s="71">
        <f t="shared" si="4"/>
        <v>5550</v>
      </c>
      <c r="L76" s="10">
        <f>IFERROR(VLOOKUP(B76,'Employees List'!$A$2:$K$991,11,0),"")</f>
        <v>31</v>
      </c>
      <c r="M76" s="74">
        <f>IFERROR(VLOOKUP(D76,'Daily Attendance 25-26'!$A$4:BP999,5,0),"")</f>
        <v>26</v>
      </c>
      <c r="N76" s="10">
        <f>IFERROR(VLOOKUP(E76,'Daily Attendance 25-26'!$A$1:$BO$1741,5,0),"")</f>
        <v>25</v>
      </c>
      <c r="O76" s="83">
        <v>450.0</v>
      </c>
      <c r="P76" s="83">
        <v>2500.0</v>
      </c>
      <c r="Q76" s="71">
        <f t="shared" si="5"/>
        <v>15516.12903</v>
      </c>
      <c r="R76" s="71">
        <f t="shared" si="6"/>
        <v>2797.379032</v>
      </c>
      <c r="S76" s="71">
        <f t="shared" si="7"/>
        <v>16263.50806</v>
      </c>
      <c r="T76" s="71">
        <f t="shared" si="17"/>
        <v>140.7263105</v>
      </c>
      <c r="U76" s="71">
        <f t="shared" si="8"/>
        <v>18763.50806</v>
      </c>
      <c r="V76" s="10"/>
      <c r="W76" s="10"/>
      <c r="X76" s="10"/>
      <c r="Y76" s="10"/>
      <c r="Z76" s="10"/>
      <c r="AA76" s="10"/>
      <c r="AB76" s="10"/>
      <c r="AC76" s="10"/>
      <c r="AD76" s="10"/>
      <c r="AE76" s="10"/>
      <c r="AF76" s="10"/>
    </row>
    <row r="77" hidden="1">
      <c r="A77" s="9" t="s">
        <v>294</v>
      </c>
      <c r="B77" s="70" t="s">
        <v>45</v>
      </c>
      <c r="C77" s="9" t="s">
        <v>17</v>
      </c>
      <c r="D77" s="9" t="str">
        <f t="shared" si="1"/>
        <v>DecemberVASANTHA.E</v>
      </c>
      <c r="E77" s="10" t="str">
        <f t="shared" si="2"/>
        <v>DecemberVASANTHA.EOT Hours</v>
      </c>
      <c r="F77" s="10" t="str">
        <f>IFERROR(VLOOKUP(C77,'Employees List'!$B$1:$I$999,4,0),"")</f>
        <v>VASANTHA.E</v>
      </c>
      <c r="G77" s="71">
        <f t="shared" si="12"/>
        <v>17942.43901</v>
      </c>
      <c r="H77" s="72" t="str">
        <f>IFERROR(VLOOKUP(C77,'Employees List'!$B$2:$I$991,7,0),"")</f>
        <v>8131010000016959</v>
      </c>
      <c r="I77" s="73">
        <f>IFERROR(VLOOKUP(F77,'Employees List'!$E$1:$AE$991,6,0),"")</f>
        <v>14500</v>
      </c>
      <c r="J77" s="71">
        <f t="shared" si="3"/>
        <v>10150</v>
      </c>
      <c r="K77" s="71">
        <f t="shared" si="4"/>
        <v>4350</v>
      </c>
      <c r="L77" s="10">
        <f>IFERROR(VLOOKUP(B77,'Employees List'!$A$2:$K$991,11,0),"")</f>
        <v>31</v>
      </c>
      <c r="M77" s="74">
        <f>IFERROR(VLOOKUP(D77,'Daily Attendance 25-26'!$A$4:BP999,5,0),"")</f>
        <v>30</v>
      </c>
      <c r="N77" s="10">
        <f>IFERROR(VLOOKUP(E77,'Daily Attendance 25-26'!$A$1:$BO$1741,5,0),"")</f>
        <v>41</v>
      </c>
      <c r="O77" s="83">
        <v>450.0</v>
      </c>
      <c r="P77" s="83"/>
      <c r="Q77" s="71">
        <f t="shared" si="5"/>
        <v>14032.25806</v>
      </c>
      <c r="R77" s="71">
        <f t="shared" si="6"/>
        <v>3595.766129</v>
      </c>
      <c r="S77" s="71">
        <f t="shared" si="7"/>
        <v>18078.02419</v>
      </c>
      <c r="T77" s="71">
        <f t="shared" si="17"/>
        <v>135.5851815</v>
      </c>
      <c r="U77" s="71">
        <f t="shared" si="8"/>
        <v>18078.02419</v>
      </c>
      <c r="V77" s="10"/>
      <c r="W77" s="10"/>
      <c r="X77" s="10"/>
      <c r="Y77" s="10"/>
      <c r="Z77" s="10"/>
      <c r="AA77" s="10"/>
      <c r="AB77" s="10"/>
      <c r="AC77" s="10"/>
      <c r="AD77" s="10"/>
      <c r="AE77" s="10"/>
      <c r="AF77" s="10"/>
    </row>
    <row r="78" hidden="1">
      <c r="A78" s="9" t="s">
        <v>295</v>
      </c>
      <c r="B78" s="70" t="s">
        <v>45</v>
      </c>
      <c r="C78" s="9" t="s">
        <v>34</v>
      </c>
      <c r="D78" s="9" t="str">
        <f t="shared" si="1"/>
        <v>DecemberSANJAY BAGARTTI.K</v>
      </c>
      <c r="E78" s="10" t="str">
        <f t="shared" si="2"/>
        <v>DecemberSANJAY BAGARTTI.KOT Hours</v>
      </c>
      <c r="F78" s="10" t="str">
        <f>IFERROR(VLOOKUP(C78,'Employees List'!$B$1:$I$999,4,0),"")</f>
        <v>SANJAY BAGARTTI.K</v>
      </c>
      <c r="G78" s="71">
        <f t="shared" si="12"/>
        <v>5539.709677</v>
      </c>
      <c r="H78" s="72" t="str">
        <f>IFERROR(VLOOKUP(C78,'Employees List'!$B$2:$I$991,7,0),"")</f>
        <v>8131010000021225</v>
      </c>
      <c r="I78" s="73">
        <f>IFERROR(VLOOKUP(F78,'Employees List'!$E$1:$AE$991,6,0),"")</f>
        <v>13000</v>
      </c>
      <c r="J78" s="71">
        <f t="shared" si="3"/>
        <v>9100</v>
      </c>
      <c r="K78" s="71">
        <f t="shared" si="4"/>
        <v>3900</v>
      </c>
      <c r="L78" s="10">
        <f>IFERROR(VLOOKUP(B78,'Employees List'!$A$2:$K$991,11,0),"")</f>
        <v>31</v>
      </c>
      <c r="M78" s="74">
        <f>IFERROR(VLOOKUP(D78,'Daily Attendance 25-26'!$A$4:BP999,5,0),"")</f>
        <v>19</v>
      </c>
      <c r="N78" s="10">
        <f>IFERROR(VLOOKUP(E78,'Daily Attendance 25-26'!$A$1:$BO$1741,5,0),"")</f>
        <v>28</v>
      </c>
      <c r="O78" s="83">
        <v>450.0</v>
      </c>
      <c r="P78" s="9">
        <v>5000.0</v>
      </c>
      <c r="Q78" s="71">
        <f t="shared" si="5"/>
        <v>7967.741935</v>
      </c>
      <c r="R78" s="71">
        <f t="shared" si="6"/>
        <v>2201.612903</v>
      </c>
      <c r="S78" s="71">
        <f t="shared" si="7"/>
        <v>5619.354839</v>
      </c>
      <c r="T78" s="71">
        <f t="shared" si="17"/>
        <v>79.64516129</v>
      </c>
      <c r="U78" s="71">
        <f t="shared" si="8"/>
        <v>10619.35484</v>
      </c>
      <c r="V78" s="10"/>
      <c r="W78" s="10"/>
      <c r="X78" s="10"/>
      <c r="Y78" s="10"/>
      <c r="Z78" s="10"/>
      <c r="AA78" s="10"/>
      <c r="AB78" s="10"/>
      <c r="AC78" s="10"/>
      <c r="AD78" s="10"/>
      <c r="AE78" s="10"/>
      <c r="AF78" s="10"/>
    </row>
    <row r="79" hidden="1">
      <c r="A79" s="9" t="s">
        <v>296</v>
      </c>
      <c r="B79" s="70" t="s">
        <v>45</v>
      </c>
      <c r="C79" s="9" t="s">
        <v>42</v>
      </c>
      <c r="D79" s="9" t="str">
        <f t="shared" si="1"/>
        <v>DecemberAMMU.S</v>
      </c>
      <c r="E79" s="10" t="str">
        <f t="shared" si="2"/>
        <v>DecemberAMMU.SOT Hours</v>
      </c>
      <c r="F79" s="10" t="str">
        <f>IFERROR(VLOOKUP(C79,'Employees List'!$B$1:$I$999,4,0),"")</f>
        <v>AMMU.S</v>
      </c>
      <c r="G79" s="71">
        <f t="shared" si="12"/>
        <v>12023.45716</v>
      </c>
      <c r="H79" s="72">
        <f>IFERROR(VLOOKUP(C79,'Employees List'!$B$2:$I$991,7,0),"")</f>
        <v>65801000040238</v>
      </c>
      <c r="I79" s="73">
        <f>IFERROR(VLOOKUP(F79,'Employees List'!$E$1:$AE$991,6,0),"")</f>
        <v>10500</v>
      </c>
      <c r="J79" s="71">
        <f t="shared" si="3"/>
        <v>7350</v>
      </c>
      <c r="K79" s="71">
        <f t="shared" si="4"/>
        <v>3150</v>
      </c>
      <c r="L79" s="10">
        <f>IFERROR(VLOOKUP(B79,'Employees List'!$A$2:$K$991,11,0),"")</f>
        <v>31</v>
      </c>
      <c r="M79" s="74">
        <f>IFERROR(VLOOKUP(D79,'Daily Attendance 25-26'!$A$4:BP999,5,0),"")</f>
        <v>29</v>
      </c>
      <c r="N79" s="10">
        <f>IFERROR(VLOOKUP(E79,'Daily Attendance 25-26'!$A$1:$BO$1741,5,0),"")</f>
        <v>29</v>
      </c>
      <c r="O79" s="83">
        <v>450.0</v>
      </c>
      <c r="P79" s="9"/>
      <c r="Q79" s="71">
        <f t="shared" si="5"/>
        <v>9822.580645</v>
      </c>
      <c r="R79" s="71">
        <f t="shared" si="6"/>
        <v>1841.733871</v>
      </c>
      <c r="S79" s="71">
        <f t="shared" si="7"/>
        <v>12114.31452</v>
      </c>
      <c r="T79" s="71">
        <f t="shared" si="17"/>
        <v>90.85735887</v>
      </c>
      <c r="U79" s="71">
        <f t="shared" si="8"/>
        <v>12114.31452</v>
      </c>
      <c r="V79" s="10"/>
      <c r="W79" s="10"/>
      <c r="X79" s="10"/>
      <c r="Y79" s="10"/>
      <c r="Z79" s="10"/>
      <c r="AA79" s="10"/>
      <c r="AB79" s="10"/>
      <c r="AC79" s="10"/>
      <c r="AD79" s="10"/>
      <c r="AE79" s="10"/>
      <c r="AF79" s="10"/>
    </row>
    <row r="80" hidden="1">
      <c r="A80" s="9" t="s">
        <v>297</v>
      </c>
      <c r="B80" s="70" t="s">
        <v>45</v>
      </c>
      <c r="C80" s="9" t="s">
        <v>46</v>
      </c>
      <c r="D80" s="9" t="str">
        <f t="shared" si="1"/>
        <v>DecemberREVATHI.S</v>
      </c>
      <c r="E80" s="10" t="str">
        <f t="shared" si="2"/>
        <v>DecemberREVATHI.SOT Hours</v>
      </c>
      <c r="F80" s="10" t="str">
        <f>IFERROR(VLOOKUP(C80,'Employees List'!$B$1:$I$999,4,0),"")</f>
        <v>REVATHI.S</v>
      </c>
      <c r="G80" s="71">
        <f t="shared" si="12"/>
        <v>11107.4995</v>
      </c>
      <c r="H80" s="72" t="str">
        <f>IFERROR(VLOOKUP(C80,'Employees List'!$B$2:$I$991,7,0),"")</f>
        <v>8131010000016995</v>
      </c>
      <c r="I80" s="73">
        <f>IFERROR(VLOOKUP(F80,'Employees List'!$E$1:$AE$991,6,0),"")</f>
        <v>10500</v>
      </c>
      <c r="J80" s="71">
        <f t="shared" si="3"/>
        <v>7350</v>
      </c>
      <c r="K80" s="71">
        <f t="shared" si="4"/>
        <v>3150</v>
      </c>
      <c r="L80" s="10">
        <f>IFERROR(VLOOKUP(B80,'Employees List'!$A$2:$K$991,11,0),"")</f>
        <v>31</v>
      </c>
      <c r="M80" s="74">
        <f>IFERROR(VLOOKUP(D80,'Daily Attendance 25-26'!$A$4:BP999,5,0),"")</f>
        <v>30</v>
      </c>
      <c r="N80" s="10">
        <f>IFERROR(VLOOKUP(E80,'Daily Attendance 25-26'!$A$1:$BO$1741,5,0),"")</f>
        <v>25</v>
      </c>
      <c r="O80" s="83">
        <v>450.0</v>
      </c>
      <c r="P80" s="9">
        <v>1000.0</v>
      </c>
      <c r="Q80" s="71">
        <f t="shared" si="5"/>
        <v>10161.29032</v>
      </c>
      <c r="R80" s="71">
        <f t="shared" si="6"/>
        <v>1587.701613</v>
      </c>
      <c r="S80" s="71">
        <f t="shared" si="7"/>
        <v>11198.99194</v>
      </c>
      <c r="T80" s="71">
        <f t="shared" si="17"/>
        <v>91.49243952</v>
      </c>
      <c r="U80" s="71">
        <f t="shared" si="8"/>
        <v>12198.99194</v>
      </c>
      <c r="V80" s="10"/>
      <c r="W80" s="10"/>
      <c r="X80" s="10"/>
      <c r="Y80" s="10"/>
      <c r="Z80" s="10"/>
      <c r="AA80" s="10"/>
      <c r="AB80" s="10"/>
      <c r="AC80" s="10"/>
      <c r="AD80" s="10"/>
      <c r="AE80" s="10"/>
      <c r="AF80" s="10"/>
    </row>
    <row r="81" hidden="1">
      <c r="A81" s="9" t="s">
        <v>298</v>
      </c>
      <c r="B81" s="70" t="s">
        <v>45</v>
      </c>
      <c r="C81" s="9" t="s">
        <v>74</v>
      </c>
      <c r="D81" s="9" t="str">
        <f t="shared" si="1"/>
        <v>DecemberLEELAVATHI.M</v>
      </c>
      <c r="E81" s="10" t="str">
        <f t="shared" si="2"/>
        <v>DecemberLEELAVATHI.MOT Hours</v>
      </c>
      <c r="F81" s="10" t="str">
        <f>IFERROR(VLOOKUP(C81,'Employees List'!$B$1:$I$999,4,0),"")</f>
        <v>LEELAVATHI.M</v>
      </c>
      <c r="G81" s="71">
        <f t="shared" si="12"/>
        <v>17099.01411</v>
      </c>
      <c r="H81" s="72" t="str">
        <f>IFERROR(VLOOKUP(C81,'Employees List'!$B$2:$I$991,7,0),"")</f>
        <v>8387010000017745</v>
      </c>
      <c r="I81" s="73">
        <f>IFERROR(VLOOKUP(F81,'Employees List'!$E$1:$AE$991,6,0),"")</f>
        <v>14000</v>
      </c>
      <c r="J81" s="71">
        <f t="shared" si="3"/>
        <v>9800</v>
      </c>
      <c r="K81" s="71">
        <f t="shared" si="4"/>
        <v>4200</v>
      </c>
      <c r="L81" s="10">
        <f>IFERROR(VLOOKUP(B81,'Employees List'!$A$2:$K$991,11,0),"")</f>
        <v>31</v>
      </c>
      <c r="M81" s="74">
        <f>IFERROR(VLOOKUP(D81,'Daily Attendance 25-26'!$A$4:BP999,5,0),"")</f>
        <v>31</v>
      </c>
      <c r="N81" s="10">
        <f>IFERROR(VLOOKUP(E81,'Daily Attendance 25-26'!$A$1:$BO$1741,5,0),"")</f>
        <v>21</v>
      </c>
      <c r="O81" s="83">
        <v>1450.0</v>
      </c>
      <c r="Q81" s="71">
        <f t="shared" si="5"/>
        <v>14000</v>
      </c>
      <c r="R81" s="71">
        <f t="shared" si="6"/>
        <v>1778.225806</v>
      </c>
      <c r="S81" s="71">
        <f>Q81+R81-P83+O81</f>
        <v>17228.22581</v>
      </c>
      <c r="T81" s="71">
        <f t="shared" si="17"/>
        <v>129.2116935</v>
      </c>
      <c r="U81" s="71">
        <f t="shared" si="8"/>
        <v>17228.22581</v>
      </c>
      <c r="V81" s="10"/>
      <c r="W81" s="10"/>
      <c r="X81" s="10"/>
      <c r="Y81" s="10"/>
      <c r="Z81" s="10"/>
      <c r="AA81" s="10"/>
      <c r="AB81" s="10"/>
      <c r="AC81" s="10"/>
      <c r="AD81" s="10"/>
      <c r="AE81" s="10"/>
      <c r="AF81" s="10"/>
    </row>
    <row r="82" hidden="1">
      <c r="A82" s="9" t="s">
        <v>299</v>
      </c>
      <c r="B82" s="70" t="s">
        <v>45</v>
      </c>
      <c r="C82" s="9" t="s">
        <v>92</v>
      </c>
      <c r="D82" s="9" t="str">
        <f t="shared" si="1"/>
        <v>DecemberNILAMANI KISAN.B</v>
      </c>
      <c r="E82" s="10" t="str">
        <f t="shared" si="2"/>
        <v>DecemberNILAMANI KISAN.BOT Hours</v>
      </c>
      <c r="F82" s="10" t="str">
        <f>IFERROR(VLOOKUP(C82,'Employees List'!$B$1:$I$999,4,0),"")</f>
        <v>NILAMANI KISAN.B</v>
      </c>
      <c r="G82" s="71">
        <f t="shared" si="12"/>
        <v>10934.42742</v>
      </c>
      <c r="H82" s="72">
        <f>IFERROR(VLOOKUP(C82,'Employees List'!$B$2:$I$991,7,0),"")</f>
        <v>38254473147</v>
      </c>
      <c r="I82" s="73">
        <f>IFERROR(VLOOKUP(F82,'Employees List'!$E$1:$AE$991,6,0),"")</f>
        <v>12000</v>
      </c>
      <c r="J82" s="71">
        <f t="shared" si="3"/>
        <v>8400</v>
      </c>
      <c r="K82" s="71">
        <f t="shared" si="4"/>
        <v>3600</v>
      </c>
      <c r="L82" s="10">
        <f>IFERROR(VLOOKUP(B82,'Employees List'!$A$2:$K$991,11,0),"")</f>
        <v>31</v>
      </c>
      <c r="M82" s="74">
        <f>IFERROR(VLOOKUP(D82,'Daily Attendance 25-26'!$A$4:BP999,5,0),"")</f>
        <v>27</v>
      </c>
      <c r="N82" s="10">
        <f>IFERROR(VLOOKUP(E82,'Daily Attendance 25-26'!$A$1:$BO$1741,5,0),"")</f>
        <v>71</v>
      </c>
      <c r="O82" s="83">
        <v>450.0</v>
      </c>
      <c r="P82" s="9">
        <v>5000.0</v>
      </c>
      <c r="Q82" s="71">
        <f t="shared" si="5"/>
        <v>10451.6129</v>
      </c>
      <c r="R82" s="71">
        <f t="shared" si="6"/>
        <v>5153.225806</v>
      </c>
      <c r="S82" s="71">
        <f t="shared" ref="S82:S201" si="18">Q82+R82-P82+O82</f>
        <v>11054.83871</v>
      </c>
      <c r="T82" s="71">
        <f t="shared" si="17"/>
        <v>120.4112903</v>
      </c>
      <c r="U82" s="71">
        <f t="shared" si="8"/>
        <v>16054.83871</v>
      </c>
      <c r="V82" s="10"/>
      <c r="W82" s="10"/>
      <c r="X82" s="10"/>
      <c r="Y82" s="10"/>
      <c r="Z82" s="10"/>
      <c r="AA82" s="10"/>
      <c r="AB82" s="10"/>
      <c r="AC82" s="10"/>
      <c r="AD82" s="10"/>
      <c r="AE82" s="10"/>
      <c r="AF82" s="10"/>
    </row>
    <row r="83" hidden="1">
      <c r="A83" s="9" t="s">
        <v>300</v>
      </c>
      <c r="B83" s="70" t="s">
        <v>49</v>
      </c>
      <c r="C83" s="9" t="s">
        <v>13</v>
      </c>
      <c r="D83" s="9" t="str">
        <f t="shared" si="1"/>
        <v>JanuaryBHUVANESHWARAN.V</v>
      </c>
      <c r="E83" s="10" t="str">
        <f t="shared" si="2"/>
        <v>JanuaryBHUVANESHWARAN.VOT Hours</v>
      </c>
      <c r="F83" s="10" t="str">
        <f>IFERROR(VLOOKUP(C83,'Employees List'!$B$1:$I$999,4,0),"")</f>
        <v>BHUVANESHWARAN.V</v>
      </c>
      <c r="G83" s="71">
        <f t="shared" si="12"/>
        <v>66900</v>
      </c>
      <c r="H83" s="72">
        <f>IFERROR(VLOOKUP(C83,'Employees List'!$B$2:$I$991,7,0),"")</f>
        <v>500101011548924</v>
      </c>
      <c r="I83" s="73">
        <f>IFERROR(VLOOKUP(F83,'Employees List'!$E$1:$AE$991,6,0),"")</f>
        <v>66000</v>
      </c>
      <c r="J83" s="71">
        <f t="shared" si="3"/>
        <v>46200</v>
      </c>
      <c r="K83" s="71">
        <f t="shared" si="4"/>
        <v>19800</v>
      </c>
      <c r="L83" s="10">
        <f>IFERROR(VLOOKUP(B83,'Employees List'!$A$2:$K$991,11,0),"")</f>
        <v>31</v>
      </c>
      <c r="M83" s="74">
        <f>IFERROR(VLOOKUP(D83,'Daily Attendance 25-26'!$A$4:BP999,5,0),"")</f>
        <v>31</v>
      </c>
      <c r="N83" s="10">
        <f>IFERROR(VLOOKUP(E83,'Daily Attendance 25-26'!$A$1:$BO$1741,5,0),"")</f>
        <v>0</v>
      </c>
      <c r="O83" s="83">
        <v>900.0</v>
      </c>
      <c r="P83" s="10"/>
      <c r="Q83" s="71">
        <f t="shared" si="5"/>
        <v>66000</v>
      </c>
      <c r="R83" s="71">
        <f t="shared" si="6"/>
        <v>0</v>
      </c>
      <c r="S83" s="71">
        <f t="shared" si="18"/>
        <v>66900</v>
      </c>
      <c r="T83" s="10">
        <f>0</f>
        <v>0</v>
      </c>
      <c r="U83" s="71">
        <f t="shared" si="8"/>
        <v>66900</v>
      </c>
      <c r="V83" s="10"/>
      <c r="W83" s="10"/>
      <c r="X83" s="10"/>
      <c r="Y83" s="10"/>
      <c r="Z83" s="10"/>
      <c r="AA83" s="10"/>
      <c r="AB83" s="10"/>
      <c r="AC83" s="10"/>
      <c r="AD83" s="10"/>
      <c r="AE83" s="10"/>
      <c r="AF83" s="10"/>
    </row>
    <row r="84" hidden="1">
      <c r="A84" s="9" t="s">
        <v>301</v>
      </c>
      <c r="B84" s="70" t="s">
        <v>49</v>
      </c>
      <c r="C84" s="9" t="s">
        <v>71</v>
      </c>
      <c r="D84" s="9" t="str">
        <f t="shared" si="1"/>
        <v>JanuaryTHIRIPURA SUNDARI.R</v>
      </c>
      <c r="E84" s="10" t="str">
        <f t="shared" si="2"/>
        <v>JanuaryTHIRIPURA SUNDARI.ROT Hours</v>
      </c>
      <c r="F84" s="10" t="str">
        <f>IFERROR(VLOOKUP(C84,'Employees List'!$B$1:$I$999,4,0),"")</f>
        <v>THIRIPURA SUNDARI.R</v>
      </c>
      <c r="G84" s="71">
        <f t="shared" si="12"/>
        <v>22033.5</v>
      </c>
      <c r="H84" s="72" t="str">
        <f>IFERROR(VLOOKUP(C84,'Employees List'!$B$2:$I$991,7,0),"")</f>
        <v>8131010000016977</v>
      </c>
      <c r="I84" s="73">
        <f>IFERROR(VLOOKUP(F84,'Employees List'!$E$1:$AE$991,6,0),"")</f>
        <v>21000</v>
      </c>
      <c r="J84" s="71">
        <f t="shared" si="3"/>
        <v>14700</v>
      </c>
      <c r="K84" s="71">
        <f t="shared" si="4"/>
        <v>6300</v>
      </c>
      <c r="L84" s="10">
        <f>IFERROR(VLOOKUP(B84,'Employees List'!$A$2:$K$991,11,0),"")</f>
        <v>31</v>
      </c>
      <c r="M84" s="74">
        <f>IFERROR(VLOOKUP(D84,'Daily Attendance 25-26'!$A$4:BP999,5,0),"")</f>
        <v>31</v>
      </c>
      <c r="N84" s="10">
        <f>IFERROR(VLOOKUP(E84,'Daily Attendance 25-26'!$A$1:$BO$1741,5,0),"")</f>
        <v>0</v>
      </c>
      <c r="O84" s="83">
        <v>1200.0</v>
      </c>
      <c r="P84" s="83"/>
      <c r="Q84" s="71">
        <f t="shared" si="5"/>
        <v>21000</v>
      </c>
      <c r="R84" s="71">
        <f t="shared" si="6"/>
        <v>0</v>
      </c>
      <c r="S84" s="71">
        <f t="shared" si="18"/>
        <v>22200</v>
      </c>
      <c r="T84" s="71">
        <f t="shared" ref="T84:T93" si="19">U84*0.75%</f>
        <v>166.5</v>
      </c>
      <c r="U84" s="71">
        <f t="shared" si="8"/>
        <v>22200</v>
      </c>
      <c r="V84" s="10"/>
      <c r="W84" s="10"/>
      <c r="X84" s="10"/>
      <c r="Y84" s="10"/>
      <c r="Z84" s="10"/>
      <c r="AA84" s="10"/>
      <c r="AB84" s="10"/>
      <c r="AC84" s="10"/>
      <c r="AD84" s="10"/>
      <c r="AE84" s="10"/>
      <c r="AF84" s="10"/>
    </row>
    <row r="85" hidden="1">
      <c r="A85" s="9" t="s">
        <v>302</v>
      </c>
      <c r="B85" s="70" t="s">
        <v>49</v>
      </c>
      <c r="C85" s="9" t="s">
        <v>22</v>
      </c>
      <c r="D85" s="9" t="str">
        <f t="shared" si="1"/>
        <v>JanuaryGANESH</v>
      </c>
      <c r="E85" s="10" t="str">
        <f t="shared" si="2"/>
        <v>JanuaryGANESHOT Hours</v>
      </c>
      <c r="F85" s="10" t="str">
        <f>IFERROR(VLOOKUP(C85,'Employees List'!$B$1:$I$999,4,0),"")</f>
        <v>GANESH</v>
      </c>
      <c r="G85" s="71">
        <f t="shared" si="12"/>
        <v>5587.25252</v>
      </c>
      <c r="H85" s="72" t="str">
        <f>IFERROR(VLOOKUP(C85,'Employees List'!$B$2:$I$991,7,0),"")</f>
        <v>8811010012054879</v>
      </c>
      <c r="I85" s="73">
        <f>IFERROR(VLOOKUP(F85,'Employees List'!$E$1:$AE$991,6,0),"")</f>
        <v>18500</v>
      </c>
      <c r="J85" s="71">
        <f t="shared" si="3"/>
        <v>12950</v>
      </c>
      <c r="K85" s="71">
        <f t="shared" si="4"/>
        <v>5550</v>
      </c>
      <c r="L85" s="10">
        <f>IFERROR(VLOOKUP(B85,'Employees List'!$A$2:$K$991,11,0),"")</f>
        <v>31</v>
      </c>
      <c r="M85" s="74">
        <f>IFERROR(VLOOKUP(D85,'Daily Attendance 25-26'!$A$4:BP999,5,0),"")</f>
        <v>25</v>
      </c>
      <c r="N85" s="10">
        <f>IFERROR(VLOOKUP(E85,'Daily Attendance 25-26'!$A$1:$BO$1741,5,0),"")</f>
        <v>3</v>
      </c>
      <c r="O85" s="83">
        <v>450.0</v>
      </c>
      <c r="P85" s="83">
        <v>10000.0</v>
      </c>
      <c r="Q85" s="71">
        <f t="shared" si="5"/>
        <v>14919.35484</v>
      </c>
      <c r="R85" s="71">
        <f t="shared" si="6"/>
        <v>335.6854839</v>
      </c>
      <c r="S85" s="71">
        <f t="shared" si="18"/>
        <v>5705.040323</v>
      </c>
      <c r="T85" s="71">
        <f t="shared" si="19"/>
        <v>117.7878024</v>
      </c>
      <c r="U85" s="71">
        <f t="shared" si="8"/>
        <v>15705.04032</v>
      </c>
      <c r="V85" s="10"/>
      <c r="W85" s="10"/>
      <c r="X85" s="10"/>
      <c r="Y85" s="10"/>
      <c r="Z85" s="10"/>
      <c r="AA85" s="10"/>
      <c r="AB85" s="10"/>
      <c r="AC85" s="10"/>
      <c r="AD85" s="10"/>
      <c r="AE85" s="10"/>
      <c r="AF85" s="10"/>
    </row>
    <row r="86" hidden="1">
      <c r="A86" s="9" t="s">
        <v>303</v>
      </c>
      <c r="B86" s="70" t="s">
        <v>49</v>
      </c>
      <c r="C86" s="9" t="s">
        <v>17</v>
      </c>
      <c r="D86" s="9" t="str">
        <f t="shared" si="1"/>
        <v>JanuaryVASANTHA.E</v>
      </c>
      <c r="E86" s="10" t="str">
        <f t="shared" si="2"/>
        <v>JanuaryVASANTHA.EOT Hours</v>
      </c>
      <c r="F86" s="10" t="str">
        <f>IFERROR(VLOOKUP(C86,'Employees List'!$B$1:$I$999,4,0),"")</f>
        <v>VASANTHA.E</v>
      </c>
      <c r="G86" s="71">
        <f t="shared" si="12"/>
        <v>14721.81653</v>
      </c>
      <c r="H86" s="72" t="str">
        <f>IFERROR(VLOOKUP(C86,'Employees List'!$B$2:$I$991,7,0),"")</f>
        <v>8131010000016959</v>
      </c>
      <c r="I86" s="73">
        <f>IFERROR(VLOOKUP(F86,'Employees List'!$E$1:$AE$991,6,0),"")</f>
        <v>14500</v>
      </c>
      <c r="J86" s="71">
        <f t="shared" si="3"/>
        <v>10150</v>
      </c>
      <c r="K86" s="71">
        <f t="shared" si="4"/>
        <v>4350</v>
      </c>
      <c r="L86" s="10">
        <f>IFERROR(VLOOKUP(B86,'Employees List'!$A$2:$K$991,11,0),"")</f>
        <v>31</v>
      </c>
      <c r="M86" s="74">
        <f>IFERROR(VLOOKUP(D86,'Daily Attendance 25-26'!$A$4:BP999,5,0),"")</f>
        <v>28.5</v>
      </c>
      <c r="N86" s="10">
        <f>IFERROR(VLOOKUP(E86,'Daily Attendance 25-26'!$A$1:$BO$1741,5,0),"")</f>
        <v>12</v>
      </c>
      <c r="O86" s="83">
        <v>450.0</v>
      </c>
      <c r="P86" s="83"/>
      <c r="Q86" s="71">
        <f t="shared" si="5"/>
        <v>13330.64516</v>
      </c>
      <c r="R86" s="71">
        <f t="shared" si="6"/>
        <v>1052.419355</v>
      </c>
      <c r="S86" s="71">
        <f t="shared" si="18"/>
        <v>14833.06452</v>
      </c>
      <c r="T86" s="71">
        <f t="shared" si="19"/>
        <v>111.2479839</v>
      </c>
      <c r="U86" s="71">
        <f t="shared" si="8"/>
        <v>14833.06452</v>
      </c>
      <c r="V86" s="10"/>
      <c r="W86" s="10"/>
      <c r="X86" s="10"/>
      <c r="Y86" s="10"/>
      <c r="Z86" s="10"/>
      <c r="AA86" s="10"/>
      <c r="AB86" s="10"/>
      <c r="AC86" s="10"/>
      <c r="AD86" s="10"/>
      <c r="AE86" s="10"/>
      <c r="AF86" s="10"/>
    </row>
    <row r="87" hidden="1">
      <c r="A87" s="9" t="s">
        <v>304</v>
      </c>
      <c r="B87" s="70" t="s">
        <v>49</v>
      </c>
      <c r="C87" s="9" t="s">
        <v>34</v>
      </c>
      <c r="D87" s="9" t="str">
        <f t="shared" si="1"/>
        <v>JanuarySANJAY BAGARTTI.K</v>
      </c>
      <c r="E87" s="10" t="str">
        <f t="shared" si="2"/>
        <v>JanuarySANJAY BAGARTTI.KOT Hours</v>
      </c>
      <c r="F87" s="10" t="str">
        <f>IFERROR(VLOOKUP(C87,'Employees List'!$B$1:$I$999,4,0),"")</f>
        <v>SANJAY BAGARTTI.K</v>
      </c>
      <c r="G87" s="71">
        <f t="shared" si="12"/>
        <v>11814.35181</v>
      </c>
      <c r="H87" s="72" t="str">
        <f>IFERROR(VLOOKUP(C87,'Employees List'!$B$2:$I$991,7,0),"")</f>
        <v>8131010000021225</v>
      </c>
      <c r="I87" s="73">
        <f>IFERROR(VLOOKUP(F87,'Employees List'!$E$1:$AE$991,6,0),"")</f>
        <v>13000</v>
      </c>
      <c r="J87" s="71">
        <f t="shared" si="3"/>
        <v>9100</v>
      </c>
      <c r="K87" s="71">
        <f t="shared" si="4"/>
        <v>3900</v>
      </c>
      <c r="L87" s="10">
        <f>IFERROR(VLOOKUP(B87,'Employees List'!$A$2:$K$991,11,0),"")</f>
        <v>31</v>
      </c>
      <c r="M87" s="74">
        <f>IFERROR(VLOOKUP(D87,'Daily Attendance 25-26'!$A$4:BP999,5,0),"")</f>
        <v>26</v>
      </c>
      <c r="N87" s="10">
        <f>IFERROR(VLOOKUP(E87,'Daily Attendance 25-26'!$A$1:$BO$1741,5,0),"")</f>
        <v>7</v>
      </c>
      <c r="O87" s="83">
        <v>450.0</v>
      </c>
      <c r="P87" s="83"/>
      <c r="Q87" s="71">
        <f t="shared" si="5"/>
        <v>10903.22581</v>
      </c>
      <c r="R87" s="71">
        <f t="shared" si="6"/>
        <v>550.4032258</v>
      </c>
      <c r="S87" s="71">
        <f t="shared" si="18"/>
        <v>11903.62903</v>
      </c>
      <c r="T87" s="71">
        <f t="shared" si="19"/>
        <v>89.27721774</v>
      </c>
      <c r="U87" s="71">
        <f t="shared" si="8"/>
        <v>11903.62903</v>
      </c>
      <c r="V87" s="10"/>
      <c r="W87" s="10"/>
      <c r="X87" s="10"/>
      <c r="Y87" s="10"/>
      <c r="Z87" s="10"/>
      <c r="AA87" s="10"/>
      <c r="AB87" s="10"/>
      <c r="AC87" s="10"/>
      <c r="AD87" s="10"/>
      <c r="AE87" s="10"/>
      <c r="AF87" s="10"/>
    </row>
    <row r="88" hidden="1">
      <c r="A88" s="9" t="s">
        <v>305</v>
      </c>
      <c r="B88" s="70" t="s">
        <v>49</v>
      </c>
      <c r="C88" s="9" t="s">
        <v>42</v>
      </c>
      <c r="D88" s="9" t="str">
        <f t="shared" si="1"/>
        <v>JanuaryAMMU.S</v>
      </c>
      <c r="E88" s="10" t="str">
        <f t="shared" si="2"/>
        <v>JanuaryAMMU.SOT Hours</v>
      </c>
      <c r="F88" s="10" t="str">
        <f>IFERROR(VLOOKUP(C88,'Employees List'!$B$1:$I$999,4,0),"")</f>
        <v>AMMU.S</v>
      </c>
      <c r="G88" s="71">
        <f t="shared" si="12"/>
        <v>10111.49395</v>
      </c>
      <c r="H88" s="72">
        <f>IFERROR(VLOOKUP(C88,'Employees List'!$B$2:$I$991,7,0),"")</f>
        <v>65801000040238</v>
      </c>
      <c r="I88" s="73">
        <f>IFERROR(VLOOKUP(F88,'Employees List'!$E$1:$AE$991,6,0),"")</f>
        <v>10500</v>
      </c>
      <c r="J88" s="71">
        <f t="shared" si="3"/>
        <v>7350</v>
      </c>
      <c r="K88" s="71">
        <f t="shared" si="4"/>
        <v>3150</v>
      </c>
      <c r="L88" s="10">
        <f>IFERROR(VLOOKUP(B88,'Employees List'!$A$2:$K$991,11,0),"")</f>
        <v>31</v>
      </c>
      <c r="M88" s="74">
        <f>IFERROR(VLOOKUP(D88,'Daily Attendance 25-26'!$A$4:BP999,5,0),"")</f>
        <v>28</v>
      </c>
      <c r="N88" s="10">
        <f>IFERROR(VLOOKUP(E88,'Daily Attendance 25-26'!$A$1:$BO$1741,5,0),"")</f>
        <v>4</v>
      </c>
      <c r="O88" s="83">
        <v>450.0</v>
      </c>
      <c r="P88" s="10"/>
      <c r="Q88" s="71">
        <f t="shared" si="5"/>
        <v>9483.870968</v>
      </c>
      <c r="R88" s="71">
        <f t="shared" si="6"/>
        <v>254.0322581</v>
      </c>
      <c r="S88" s="71">
        <f t="shared" si="18"/>
        <v>10187.90323</v>
      </c>
      <c r="T88" s="71">
        <f t="shared" si="19"/>
        <v>76.40927419</v>
      </c>
      <c r="U88" s="71">
        <f t="shared" si="8"/>
        <v>10187.90323</v>
      </c>
      <c r="V88" s="10"/>
      <c r="W88" s="10"/>
      <c r="X88" s="10"/>
      <c r="Y88" s="10"/>
      <c r="Z88" s="10"/>
      <c r="AA88" s="10"/>
      <c r="AB88" s="10"/>
      <c r="AC88" s="10"/>
      <c r="AD88" s="10"/>
      <c r="AE88" s="10"/>
      <c r="AF88" s="10"/>
    </row>
    <row r="89" hidden="1">
      <c r="A89" s="9" t="s">
        <v>306</v>
      </c>
      <c r="B89" s="70" t="s">
        <v>49</v>
      </c>
      <c r="C89" s="9" t="s">
        <v>46</v>
      </c>
      <c r="D89" s="9" t="str">
        <f t="shared" si="1"/>
        <v>JanuaryREVATHI.S</v>
      </c>
      <c r="E89" s="10" t="str">
        <f t="shared" si="2"/>
        <v>JanuaryREVATHI.SOT Hours</v>
      </c>
      <c r="F89" s="10" t="str">
        <f>IFERROR(VLOOKUP(C89,'Employees List'!$B$1:$I$999,4,0),"")</f>
        <v>REVATHI.S</v>
      </c>
      <c r="G89" s="71">
        <f t="shared" si="12"/>
        <v>9250.05998</v>
      </c>
      <c r="H89" s="72" t="str">
        <f>IFERROR(VLOOKUP(C89,'Employees List'!$B$2:$I$991,7,0),"")</f>
        <v>8131010000016995</v>
      </c>
      <c r="I89" s="73">
        <f>IFERROR(VLOOKUP(F89,'Employees List'!$E$1:$AE$991,6,0),"")</f>
        <v>10500</v>
      </c>
      <c r="J89" s="71">
        <f t="shared" si="3"/>
        <v>7350</v>
      </c>
      <c r="K89" s="71">
        <f t="shared" si="4"/>
        <v>3150</v>
      </c>
      <c r="L89" s="10">
        <f>IFERROR(VLOOKUP(B89,'Employees List'!$A$2:$K$991,11,0),"")</f>
        <v>31</v>
      </c>
      <c r="M89" s="74">
        <f>IFERROR(VLOOKUP(D89,'Daily Attendance 25-26'!$A$4:BP999,5,0),"")</f>
        <v>26</v>
      </c>
      <c r="N89" s="10">
        <f>IFERROR(VLOOKUP(E89,'Daily Attendance 25-26'!$A$1:$BO$1741,5,0),"")</f>
        <v>1</v>
      </c>
      <c r="O89" s="83">
        <v>450.0</v>
      </c>
      <c r="P89" s="9"/>
      <c r="Q89" s="71">
        <f t="shared" si="5"/>
        <v>8806.451613</v>
      </c>
      <c r="R89" s="71">
        <f t="shared" si="6"/>
        <v>63.50806452</v>
      </c>
      <c r="S89" s="71">
        <f t="shared" si="18"/>
        <v>9319.959677</v>
      </c>
      <c r="T89" s="71">
        <f t="shared" si="19"/>
        <v>69.89969758</v>
      </c>
      <c r="U89" s="71">
        <f t="shared" si="8"/>
        <v>9319.959677</v>
      </c>
      <c r="V89" s="10"/>
      <c r="W89" s="10"/>
      <c r="X89" s="10"/>
      <c r="Y89" s="10"/>
      <c r="Z89" s="10"/>
      <c r="AA89" s="10"/>
      <c r="AB89" s="10"/>
      <c r="AC89" s="10"/>
      <c r="AD89" s="10"/>
      <c r="AE89" s="10"/>
      <c r="AF89" s="10"/>
    </row>
    <row r="90" hidden="1">
      <c r="A90" s="9" t="s">
        <v>307</v>
      </c>
      <c r="B90" s="70" t="s">
        <v>49</v>
      </c>
      <c r="C90" s="9" t="s">
        <v>74</v>
      </c>
      <c r="D90" s="9" t="str">
        <f t="shared" si="1"/>
        <v>JanuaryLEELAVATHI.M</v>
      </c>
      <c r="E90" s="10" t="str">
        <f t="shared" si="2"/>
        <v>JanuaryLEELAVATHI.MOT Hours</v>
      </c>
      <c r="F90" s="10" t="str">
        <f>IFERROR(VLOOKUP(C90,'Employees List'!$B$1:$I$999,4,0),"")</f>
        <v>LEELAVATHI.M</v>
      </c>
      <c r="G90" s="71">
        <f t="shared" si="12"/>
        <v>16032.87702</v>
      </c>
      <c r="H90" s="72" t="str">
        <f>IFERROR(VLOOKUP(C90,'Employees List'!$B$2:$I$991,7,0),"")</f>
        <v>8387010000017745</v>
      </c>
      <c r="I90" s="73">
        <f>IFERROR(VLOOKUP(F90,'Employees List'!$E$1:$AE$991,6,0),"")</f>
        <v>14000</v>
      </c>
      <c r="J90" s="71">
        <f t="shared" si="3"/>
        <v>9800</v>
      </c>
      <c r="K90" s="71">
        <f t="shared" si="4"/>
        <v>4200</v>
      </c>
      <c r="L90" s="10">
        <f>IFERROR(VLOOKUP(B90,'Employees List'!$A$2:$K$991,11,0),"")</f>
        <v>31</v>
      </c>
      <c r="M90" s="74">
        <f>IFERROR(VLOOKUP(D90,'Daily Attendance 25-26'!$A$4:BP999,5,0),"")</f>
        <v>31</v>
      </c>
      <c r="N90" s="10">
        <f>IFERROR(VLOOKUP(E90,'Daily Attendance 25-26'!$A$1:$BO$1741,5,0),"")</f>
        <v>3</v>
      </c>
      <c r="O90" s="83">
        <v>1900.0</v>
      </c>
      <c r="P90" s="10"/>
      <c r="Q90" s="71">
        <f t="shared" si="5"/>
        <v>14000</v>
      </c>
      <c r="R90" s="71">
        <f t="shared" si="6"/>
        <v>254.0322581</v>
      </c>
      <c r="S90" s="71">
        <f t="shared" si="18"/>
        <v>16154.03226</v>
      </c>
      <c r="T90" s="71">
        <f t="shared" si="19"/>
        <v>121.1552419</v>
      </c>
      <c r="U90" s="71">
        <f t="shared" si="8"/>
        <v>16154.03226</v>
      </c>
      <c r="V90" s="10"/>
      <c r="W90" s="10"/>
      <c r="X90" s="10"/>
      <c r="Y90" s="10"/>
      <c r="Z90" s="10"/>
      <c r="AA90" s="10"/>
      <c r="AB90" s="10"/>
      <c r="AC90" s="10"/>
      <c r="AD90" s="10"/>
      <c r="AE90" s="10"/>
      <c r="AF90" s="10"/>
    </row>
    <row r="91" hidden="1">
      <c r="A91" s="9" t="s">
        <v>308</v>
      </c>
      <c r="B91" s="70" t="s">
        <v>49</v>
      </c>
      <c r="C91" s="9" t="s">
        <v>26</v>
      </c>
      <c r="D91" s="9" t="str">
        <f t="shared" si="1"/>
        <v>JanuaryADHIKARI BALIA.A</v>
      </c>
      <c r="E91" s="10" t="str">
        <f t="shared" si="2"/>
        <v>JanuaryADHIKARI BALIA.AOT Hours</v>
      </c>
      <c r="F91" s="10" t="str">
        <f>IFERROR(VLOOKUP(C91,'Employees List'!$B$1:$I$999,4,0),"")</f>
        <v>ADHIKARI BALIA.A</v>
      </c>
      <c r="G91" s="71">
        <f t="shared" si="12"/>
        <v>6906.902218</v>
      </c>
      <c r="H91" s="72" t="str">
        <f>IFERROR(VLOOKUP(C91,'Employees List'!$B$2:$I$991,7,0),"")</f>
        <v>8131010000018948</v>
      </c>
      <c r="I91" s="73">
        <f>IFERROR(VLOOKUP(F91,'Employees List'!$E$1:$AE$991,6,0),"")</f>
        <v>13000</v>
      </c>
      <c r="J91" s="71">
        <f t="shared" si="3"/>
        <v>9100</v>
      </c>
      <c r="K91" s="71">
        <f t="shared" si="4"/>
        <v>3900</v>
      </c>
      <c r="L91" s="10">
        <f>IFERROR(VLOOKUP(B91,'Employees List'!$A$2:$K$991,11,0),"")</f>
        <v>31</v>
      </c>
      <c r="M91" s="74">
        <f>IFERROR(VLOOKUP(D91,'Daily Attendance 25-26'!$A$4:BP999,5,0),"")</f>
        <v>26</v>
      </c>
      <c r="N91" s="10">
        <f>IFERROR(VLOOKUP(E91,'Daily Attendance 25-26'!$A$1:$BO$1741,5,0),"")</f>
        <v>21</v>
      </c>
      <c r="O91" s="83">
        <v>450.0</v>
      </c>
      <c r="P91" s="9">
        <v>6000.0</v>
      </c>
      <c r="Q91" s="71">
        <f t="shared" si="5"/>
        <v>10903.22581</v>
      </c>
      <c r="R91" s="71">
        <f t="shared" si="6"/>
        <v>1651.209677</v>
      </c>
      <c r="S91" s="71">
        <f t="shared" si="18"/>
        <v>7004.435484</v>
      </c>
      <c r="T91" s="71">
        <f t="shared" si="19"/>
        <v>97.53326613</v>
      </c>
      <c r="U91" s="71">
        <f t="shared" si="8"/>
        <v>13004.43548</v>
      </c>
      <c r="V91" s="10"/>
      <c r="W91" s="10"/>
      <c r="X91" s="10"/>
      <c r="Y91" s="10"/>
      <c r="Z91" s="10"/>
      <c r="AA91" s="10"/>
      <c r="AB91" s="10"/>
      <c r="AC91" s="10"/>
      <c r="AD91" s="10"/>
      <c r="AE91" s="10"/>
      <c r="AF91" s="10"/>
    </row>
    <row r="92" hidden="1">
      <c r="A92" s="9" t="s">
        <v>309</v>
      </c>
      <c r="B92" s="70" t="s">
        <v>49</v>
      </c>
      <c r="C92" s="9" t="s">
        <v>96</v>
      </c>
      <c r="D92" s="9" t="str">
        <f t="shared" si="1"/>
        <v>JanuaryPARSHU BAGH</v>
      </c>
      <c r="E92" s="10" t="str">
        <f t="shared" si="2"/>
        <v>JanuaryPARSHU BAGHOT Hours</v>
      </c>
      <c r="F92" s="10" t="str">
        <f>IFERROR(VLOOKUP(C92,'Employees List'!$B$1:$I$999,4,0),"")</f>
        <v>PARSHU BAGH</v>
      </c>
      <c r="G92" s="71">
        <f t="shared" si="12"/>
        <v>10204.54839</v>
      </c>
      <c r="H92" s="72">
        <f>IFERROR(VLOOKUP(C92,'Employees List'!$B$2:$I$991,7,0),"")</f>
        <v>40653547928</v>
      </c>
      <c r="I92" s="73">
        <f>IFERROR(VLOOKUP(F92,'Employees List'!$E$1:$AE$991,6,0),"")</f>
        <v>13000</v>
      </c>
      <c r="J92" s="71">
        <f t="shared" si="3"/>
        <v>9100</v>
      </c>
      <c r="K92" s="71">
        <f t="shared" si="4"/>
        <v>3900</v>
      </c>
      <c r="L92" s="10">
        <f>IFERROR(VLOOKUP(B92,'Employees List'!$A$2:$K$991,11,0),"")</f>
        <v>31</v>
      </c>
      <c r="M92" s="74">
        <f>IFERROR(VLOOKUP(D92,'Daily Attendance 25-26'!$A$4:BP999,5,0),"")</f>
        <v>26</v>
      </c>
      <c r="N92" s="10">
        <f>IFERROR(VLOOKUP(E92,'Daily Attendance 25-26'!$A$1:$BO$1741,5,0),"")</f>
        <v>12</v>
      </c>
      <c r="O92" s="83">
        <v>450.0</v>
      </c>
      <c r="P92" s="9">
        <v>2000.0</v>
      </c>
      <c r="Q92" s="71">
        <f t="shared" si="5"/>
        <v>10903.22581</v>
      </c>
      <c r="R92" s="71">
        <f t="shared" si="6"/>
        <v>943.5483871</v>
      </c>
      <c r="S92" s="71">
        <f t="shared" si="18"/>
        <v>10296.77419</v>
      </c>
      <c r="T92" s="71">
        <f t="shared" si="19"/>
        <v>92.22580645</v>
      </c>
      <c r="U92" s="71">
        <f t="shared" si="8"/>
        <v>12296.77419</v>
      </c>
      <c r="V92" s="10"/>
      <c r="W92" s="10"/>
      <c r="X92" s="10"/>
      <c r="Y92" s="10"/>
      <c r="Z92" s="10"/>
      <c r="AA92" s="10"/>
      <c r="AB92" s="10"/>
      <c r="AC92" s="10"/>
      <c r="AD92" s="10"/>
      <c r="AE92" s="10"/>
      <c r="AF92" s="10"/>
    </row>
    <row r="93" hidden="1">
      <c r="A93" s="9" t="s">
        <v>310</v>
      </c>
      <c r="B93" s="70" t="s">
        <v>49</v>
      </c>
      <c r="C93" s="9" t="s">
        <v>92</v>
      </c>
      <c r="D93" s="9" t="str">
        <f t="shared" si="1"/>
        <v>JanuaryNILAMANI KISAN.B</v>
      </c>
      <c r="E93" s="10" t="str">
        <f t="shared" si="2"/>
        <v>JanuaryNILAMANI KISAN.BOT Hours</v>
      </c>
      <c r="F93" s="10" t="str">
        <f>IFERROR(VLOOKUP(C93,'Employees List'!$B$1:$I$999,4,0),"")</f>
        <v>NILAMANI KISAN.B</v>
      </c>
      <c r="G93" s="71">
        <f t="shared" si="12"/>
        <v>4418.225806</v>
      </c>
      <c r="H93" s="72">
        <f>IFERROR(VLOOKUP(C93,'Employees List'!$B$2:$I$991,7,0),"")</f>
        <v>38254473147</v>
      </c>
      <c r="I93" s="73">
        <f>IFERROR(VLOOKUP(F93,'Employees List'!$E$1:$AE$991,6,0),"")</f>
        <v>12000</v>
      </c>
      <c r="J93" s="71">
        <f t="shared" si="3"/>
        <v>8400</v>
      </c>
      <c r="K93" s="71">
        <f t="shared" si="4"/>
        <v>3600</v>
      </c>
      <c r="L93" s="10">
        <f>IFERROR(VLOOKUP(B93,'Employees List'!$A$2:$K$991,11,0),"")</f>
        <v>31</v>
      </c>
      <c r="M93" s="74">
        <f>IFERROR(VLOOKUP(D93,'Daily Attendance 25-26'!$A$4:BP999,5,0),"")</f>
        <v>10</v>
      </c>
      <c r="N93" s="10">
        <f>IFERROR(VLOOKUP(E93,'Daily Attendance 25-26'!$A$1:$BO$1741,5,0),"")</f>
        <v>8</v>
      </c>
      <c r="O93" s="83"/>
      <c r="P93" s="10"/>
      <c r="Q93" s="71">
        <f t="shared" si="5"/>
        <v>3870.967742</v>
      </c>
      <c r="R93" s="71">
        <f t="shared" si="6"/>
        <v>580.6451613</v>
      </c>
      <c r="S93" s="71">
        <f t="shared" si="18"/>
        <v>4451.612903</v>
      </c>
      <c r="T93" s="71">
        <f t="shared" si="19"/>
        <v>33.38709677</v>
      </c>
      <c r="U93" s="71">
        <f t="shared" si="8"/>
        <v>4451.612903</v>
      </c>
      <c r="V93" s="10"/>
      <c r="W93" s="10"/>
      <c r="X93" s="10"/>
      <c r="Y93" s="10"/>
      <c r="Z93" s="10"/>
      <c r="AA93" s="10"/>
      <c r="AB93" s="10"/>
      <c r="AC93" s="10"/>
      <c r="AD93" s="10"/>
      <c r="AE93" s="10"/>
      <c r="AF93" s="10"/>
    </row>
    <row r="94">
      <c r="A94" s="9" t="s">
        <v>311</v>
      </c>
      <c r="B94" s="70" t="s">
        <v>52</v>
      </c>
      <c r="C94" s="9" t="s">
        <v>13</v>
      </c>
      <c r="D94" s="9" t="str">
        <f t="shared" si="1"/>
        <v>FebruaryBHUVANESHWARAN.V</v>
      </c>
      <c r="E94" s="10" t="str">
        <f t="shared" si="2"/>
        <v>FebruaryBHUVANESHWARAN.VOT Hours</v>
      </c>
      <c r="F94" s="10" t="str">
        <f>IFERROR(VLOOKUP(C94,'Employees List'!$B$1:$I$999,4,0),"")</f>
        <v>BHUVANESHWARAN.V</v>
      </c>
      <c r="G94" s="71">
        <f t="shared" si="12"/>
        <v>66900</v>
      </c>
      <c r="H94" s="72">
        <f>IFERROR(VLOOKUP(C94,'Employees List'!$B$2:$I$991,7,0),"")</f>
        <v>500101011548924</v>
      </c>
      <c r="I94" s="73">
        <f>IFERROR(VLOOKUP(F94,'Employees List'!$E$1:$AE$991,6,0),"")</f>
        <v>66000</v>
      </c>
      <c r="J94" s="71">
        <f t="shared" si="3"/>
        <v>46200</v>
      </c>
      <c r="K94" s="71">
        <f t="shared" si="4"/>
        <v>19800</v>
      </c>
      <c r="L94" s="10">
        <f>IFERROR(VLOOKUP(B94,'Employees List'!$A$2:$K$991,11,0),"")</f>
        <v>28</v>
      </c>
      <c r="M94" s="74">
        <f>IFERROR(VLOOKUP(D94,'Daily Attendance 25-26'!$A$4:BP999,5,0),"")</f>
        <v>28</v>
      </c>
      <c r="N94" s="10">
        <f>IFERROR(VLOOKUP(E94,'Daily Attendance 25-26'!$A$1:$BO$1741,5,0),"")</f>
        <v>0</v>
      </c>
      <c r="O94" s="83">
        <v>900.0</v>
      </c>
      <c r="P94" s="10"/>
      <c r="Q94" s="71">
        <f t="shared" si="5"/>
        <v>66000</v>
      </c>
      <c r="R94" s="71">
        <f t="shared" si="6"/>
        <v>0</v>
      </c>
      <c r="S94" s="71">
        <f t="shared" si="18"/>
        <v>66900</v>
      </c>
      <c r="T94" s="9">
        <v>0.0</v>
      </c>
      <c r="U94" s="71">
        <f t="shared" si="8"/>
        <v>66900</v>
      </c>
      <c r="V94" s="10"/>
      <c r="W94" s="10"/>
      <c r="X94" s="10"/>
      <c r="Y94" s="10"/>
      <c r="Z94" s="10"/>
      <c r="AA94" s="10"/>
      <c r="AB94" s="10"/>
      <c r="AC94" s="10"/>
      <c r="AD94" s="10"/>
      <c r="AE94" s="10"/>
      <c r="AF94" s="10"/>
    </row>
    <row r="95">
      <c r="A95" s="9" t="s">
        <v>312</v>
      </c>
      <c r="B95" s="70" t="s">
        <v>52</v>
      </c>
      <c r="C95" s="9" t="s">
        <v>71</v>
      </c>
      <c r="D95" s="9" t="str">
        <f t="shared" si="1"/>
        <v>FebruaryTHIRIPURA SUNDARI.R</v>
      </c>
      <c r="E95" s="10" t="str">
        <f t="shared" si="2"/>
        <v>FebruaryTHIRIPURA SUNDARI.ROT Hours</v>
      </c>
      <c r="F95" s="10" t="str">
        <f>IFERROR(VLOOKUP(C95,'Employees List'!$B$1:$I$999,4,0),"")</f>
        <v>THIRIPURA SUNDARI.R</v>
      </c>
      <c r="G95" s="71">
        <f t="shared" si="12"/>
        <v>22033.5</v>
      </c>
      <c r="H95" s="72" t="str">
        <f>IFERROR(VLOOKUP(C95,'Employees List'!$B$2:$I$991,7,0),"")</f>
        <v>8131010000016977</v>
      </c>
      <c r="I95" s="73">
        <f>IFERROR(VLOOKUP(F95,'Employees List'!$E$1:$AE$991,6,0),"")</f>
        <v>21000</v>
      </c>
      <c r="J95" s="71">
        <f t="shared" si="3"/>
        <v>14700</v>
      </c>
      <c r="K95" s="71">
        <f t="shared" si="4"/>
        <v>6300</v>
      </c>
      <c r="L95" s="10">
        <f>IFERROR(VLOOKUP(B95,'Employees List'!$A$2:$K$991,11,0),"")</f>
        <v>28</v>
      </c>
      <c r="M95" s="74">
        <f>IFERROR(VLOOKUP(D95,'Daily Attendance 25-26'!$A$4:BP999,5,0),"")</f>
        <v>28</v>
      </c>
      <c r="N95" s="10">
        <f>IFERROR(VLOOKUP(E95,'Daily Attendance 25-26'!$A$1:$BO$1741,5,0),"")</f>
        <v>0</v>
      </c>
      <c r="O95" s="83">
        <v>1200.0</v>
      </c>
      <c r="P95" s="9"/>
      <c r="Q95" s="71">
        <f t="shared" si="5"/>
        <v>21000</v>
      </c>
      <c r="R95" s="71">
        <f t="shared" si="6"/>
        <v>0</v>
      </c>
      <c r="S95" s="71">
        <f t="shared" si="18"/>
        <v>22200</v>
      </c>
      <c r="T95" s="71">
        <f t="shared" ref="T95:T142" si="20">U95*0.75%</f>
        <v>166.5</v>
      </c>
      <c r="U95" s="71">
        <f t="shared" si="8"/>
        <v>22200</v>
      </c>
      <c r="V95" s="10"/>
      <c r="W95" s="10"/>
      <c r="X95" s="10"/>
      <c r="Y95" s="10"/>
      <c r="Z95" s="10"/>
      <c r="AA95" s="10"/>
      <c r="AB95" s="10"/>
      <c r="AC95" s="10"/>
      <c r="AD95" s="10"/>
      <c r="AE95" s="10"/>
      <c r="AF95" s="10"/>
    </row>
    <row r="96">
      <c r="A96" s="9" t="s">
        <v>313</v>
      </c>
      <c r="B96" s="70" t="s">
        <v>52</v>
      </c>
      <c r="C96" s="9" t="s">
        <v>22</v>
      </c>
      <c r="D96" s="9" t="str">
        <f t="shared" si="1"/>
        <v>FebruaryGANESH</v>
      </c>
      <c r="E96" s="10" t="str">
        <f t="shared" si="2"/>
        <v>FebruaryGANESHOT Hours</v>
      </c>
      <c r="F96" s="10" t="str">
        <f>IFERROR(VLOOKUP(C96,'Employees List'!$B$1:$I$999,4,0),"")</f>
        <v>GANESH</v>
      </c>
      <c r="G96" s="71">
        <f t="shared" si="12"/>
        <v>14270.94001</v>
      </c>
      <c r="H96" s="72" t="str">
        <f>IFERROR(VLOOKUP(C96,'Employees List'!$B$2:$I$991,7,0),"")</f>
        <v>8811010012054879</v>
      </c>
      <c r="I96" s="73">
        <f>IFERROR(VLOOKUP(F96,'Employees List'!$E$1:$AE$991,6,0),"")</f>
        <v>18500</v>
      </c>
      <c r="J96" s="71">
        <f t="shared" si="3"/>
        <v>12950</v>
      </c>
      <c r="K96" s="71">
        <f t="shared" si="4"/>
        <v>5550</v>
      </c>
      <c r="L96" s="10">
        <f>IFERROR(VLOOKUP(B96,'Employees List'!$A$2:$K$991,11,0),"")</f>
        <v>28</v>
      </c>
      <c r="M96" s="74">
        <f>IFERROR(VLOOKUP(D96,'Daily Attendance 25-26'!$A$4:BP999,5,0),"")</f>
        <v>25</v>
      </c>
      <c r="N96" s="10">
        <f>IFERROR(VLOOKUP(E96,'Daily Attendance 25-26'!$A$1:$BO$1741,5,0),"")</f>
        <v>3.5</v>
      </c>
      <c r="O96" s="83">
        <v>450.0</v>
      </c>
      <c r="P96" s="9">
        <v>3000.0</v>
      </c>
      <c r="Q96" s="71">
        <f t="shared" si="5"/>
        <v>16517.85714</v>
      </c>
      <c r="R96" s="71">
        <f t="shared" si="6"/>
        <v>433.59375</v>
      </c>
      <c r="S96" s="71">
        <f t="shared" si="18"/>
        <v>14401.45089</v>
      </c>
      <c r="T96" s="71">
        <f t="shared" si="20"/>
        <v>130.5108817</v>
      </c>
      <c r="U96" s="71">
        <f t="shared" si="8"/>
        <v>17401.45089</v>
      </c>
      <c r="V96" s="10"/>
      <c r="W96" s="10"/>
      <c r="X96" s="10"/>
      <c r="Y96" s="10"/>
      <c r="Z96" s="10"/>
      <c r="AA96" s="10"/>
      <c r="AB96" s="10"/>
      <c r="AC96" s="10"/>
      <c r="AD96" s="10"/>
      <c r="AE96" s="10"/>
      <c r="AF96" s="10"/>
    </row>
    <row r="97">
      <c r="A97" s="9" t="s">
        <v>314</v>
      </c>
      <c r="B97" s="70" t="s">
        <v>52</v>
      </c>
      <c r="C97" s="9" t="s">
        <v>17</v>
      </c>
      <c r="D97" s="9" t="str">
        <f t="shared" si="1"/>
        <v>FebruaryVASANTHA.E</v>
      </c>
      <c r="E97" s="10" t="str">
        <f t="shared" si="2"/>
        <v>FebruaryVASANTHA.EOT Hours</v>
      </c>
      <c r="F97" s="10" t="str">
        <f>IFERROR(VLOOKUP(C97,'Employees List'!$B$1:$I$999,4,0),"")</f>
        <v>VASANTHA.E</v>
      </c>
      <c r="G97" s="71">
        <f t="shared" si="12"/>
        <v>13312.01702</v>
      </c>
      <c r="H97" s="72" t="str">
        <f>IFERROR(VLOOKUP(C97,'Employees List'!$B$2:$I$991,7,0),"")</f>
        <v>8131010000016959</v>
      </c>
      <c r="I97" s="73">
        <f>IFERROR(VLOOKUP(F97,'Employees List'!$E$1:$AE$991,6,0),"")</f>
        <v>14500</v>
      </c>
      <c r="J97" s="71">
        <f t="shared" si="3"/>
        <v>10150</v>
      </c>
      <c r="K97" s="71">
        <f t="shared" si="4"/>
        <v>4350</v>
      </c>
      <c r="L97" s="10">
        <f>IFERROR(VLOOKUP(B97,'Employees List'!$A$2:$K$991,11,0),"")</f>
        <v>28</v>
      </c>
      <c r="M97" s="74">
        <f>IFERROR(VLOOKUP(D97,'Daily Attendance 25-26'!$A$4:BP999,5,0),"")</f>
        <v>22.5</v>
      </c>
      <c r="N97" s="10">
        <f>IFERROR(VLOOKUP(E97,'Daily Attendance 25-26'!$A$1:$BO$1741,5,0),"")</f>
        <v>13.5</v>
      </c>
      <c r="O97" s="83">
        <v>450.0</v>
      </c>
      <c r="P97" s="10"/>
      <c r="Q97" s="71">
        <f t="shared" si="5"/>
        <v>11651.78571</v>
      </c>
      <c r="R97" s="71">
        <f t="shared" si="6"/>
        <v>1310.825893</v>
      </c>
      <c r="S97" s="71">
        <f t="shared" si="18"/>
        <v>13412.61161</v>
      </c>
      <c r="T97" s="71">
        <f t="shared" si="20"/>
        <v>100.5945871</v>
      </c>
      <c r="U97" s="71">
        <f t="shared" si="8"/>
        <v>13412.61161</v>
      </c>
      <c r="V97" s="10"/>
      <c r="W97" s="10"/>
      <c r="X97" s="10"/>
      <c r="Y97" s="10"/>
      <c r="Z97" s="10"/>
      <c r="AA97" s="10"/>
      <c r="AB97" s="10"/>
      <c r="AC97" s="10"/>
      <c r="AD97" s="10"/>
      <c r="AE97" s="10"/>
      <c r="AF97" s="10"/>
    </row>
    <row r="98">
      <c r="A98" s="9" t="s">
        <v>315</v>
      </c>
      <c r="B98" s="70" t="s">
        <v>52</v>
      </c>
      <c r="C98" s="9" t="s">
        <v>34</v>
      </c>
      <c r="D98" s="9" t="str">
        <f t="shared" si="1"/>
        <v>FebruarySANJAY BAGARTTI.K</v>
      </c>
      <c r="E98" s="10" t="str">
        <f t="shared" si="2"/>
        <v>FebruarySANJAY BAGARTTI.KOT Hours</v>
      </c>
      <c r="F98" s="10" t="str">
        <f>IFERROR(VLOOKUP(C98,'Employees List'!$B$1:$I$999,4,0),"")</f>
        <v>SANJAY BAGARTTI.K</v>
      </c>
      <c r="G98" s="71">
        <f t="shared" si="12"/>
        <v>16258.16908</v>
      </c>
      <c r="H98" s="72" t="str">
        <f>IFERROR(VLOOKUP(C98,'Employees List'!$B$2:$I$991,7,0),"")</f>
        <v>8131010000021225</v>
      </c>
      <c r="I98" s="73">
        <f>IFERROR(VLOOKUP(F98,'Employees List'!$E$1:$AE$991,6,0),"")</f>
        <v>13000</v>
      </c>
      <c r="J98" s="71">
        <f t="shared" si="3"/>
        <v>9100</v>
      </c>
      <c r="K98" s="71">
        <f t="shared" si="4"/>
        <v>3900</v>
      </c>
      <c r="L98" s="10">
        <f>IFERROR(VLOOKUP(B98,'Employees List'!$A$2:$K$991,11,0),"")</f>
        <v>28</v>
      </c>
      <c r="M98" s="74">
        <f>IFERROR(VLOOKUP(D98,'Daily Attendance 25-26'!$A$4:BP999,5,0),"")</f>
        <v>28</v>
      </c>
      <c r="N98" s="10">
        <f>IFERROR(VLOOKUP(E98,'Daily Attendance 25-26'!$A$1:$BO$1741,5,0),"")</f>
        <v>28.5</v>
      </c>
      <c r="O98" s="83">
        <v>900.0</v>
      </c>
      <c r="P98" s="9"/>
      <c r="Q98" s="71">
        <f t="shared" si="5"/>
        <v>13000</v>
      </c>
      <c r="R98" s="71">
        <f t="shared" si="6"/>
        <v>2481.026786</v>
      </c>
      <c r="S98" s="71">
        <f t="shared" si="18"/>
        <v>16381.02679</v>
      </c>
      <c r="T98" s="71">
        <f t="shared" si="20"/>
        <v>122.8577009</v>
      </c>
      <c r="U98" s="71">
        <f t="shared" si="8"/>
        <v>16381.02679</v>
      </c>
      <c r="V98" s="10"/>
      <c r="W98" s="10"/>
      <c r="X98" s="10"/>
      <c r="Y98" s="10"/>
      <c r="Z98" s="10"/>
      <c r="AA98" s="10"/>
      <c r="AB98" s="10"/>
      <c r="AC98" s="10"/>
      <c r="AD98" s="10"/>
      <c r="AE98" s="10"/>
      <c r="AF98" s="10"/>
    </row>
    <row r="99">
      <c r="A99" s="9" t="s">
        <v>316</v>
      </c>
      <c r="B99" s="70" t="s">
        <v>52</v>
      </c>
      <c r="C99" s="9" t="s">
        <v>42</v>
      </c>
      <c r="D99" s="9" t="str">
        <f t="shared" si="1"/>
        <v>FebruaryAMMU.S</v>
      </c>
      <c r="E99" s="10" t="str">
        <f t="shared" si="2"/>
        <v>FebruaryAMMU.SOT Hours</v>
      </c>
      <c r="F99" s="10" t="str">
        <f>IFERROR(VLOOKUP(C99,'Employees List'!$B$1:$I$999,4,0),"")</f>
        <v>AMMU.S</v>
      </c>
      <c r="G99" s="71">
        <f t="shared" si="12"/>
        <v>11454.07031</v>
      </c>
      <c r="H99" s="72">
        <f>IFERROR(VLOOKUP(C99,'Employees List'!$B$2:$I$991,7,0),"")</f>
        <v>65801000040238</v>
      </c>
      <c r="I99" s="73">
        <f>IFERROR(VLOOKUP(F99,'Employees List'!$E$1:$AE$991,6,0),"")</f>
        <v>10500</v>
      </c>
      <c r="J99" s="71">
        <f t="shared" si="3"/>
        <v>7350</v>
      </c>
      <c r="K99" s="71">
        <f t="shared" si="4"/>
        <v>3150</v>
      </c>
      <c r="L99" s="10">
        <f>IFERROR(VLOOKUP(B99,'Employees List'!$A$2:$K$991,11,0),"")</f>
        <v>28</v>
      </c>
      <c r="M99" s="74">
        <f>IFERROR(VLOOKUP(D99,'Daily Attendance 25-26'!$A$4:BP999,5,0),"")</f>
        <v>28</v>
      </c>
      <c r="N99" s="10">
        <f>IFERROR(VLOOKUP(E99,'Daily Attendance 25-26'!$A$1:$BO$1741,5,0),"")</f>
        <v>2</v>
      </c>
      <c r="O99" s="83">
        <v>900.0</v>
      </c>
      <c r="P99" s="10"/>
      <c r="Q99" s="71">
        <f t="shared" si="5"/>
        <v>10500</v>
      </c>
      <c r="R99" s="71">
        <f t="shared" si="6"/>
        <v>140.625</v>
      </c>
      <c r="S99" s="71">
        <f t="shared" si="18"/>
        <v>11540.625</v>
      </c>
      <c r="T99" s="71">
        <f t="shared" si="20"/>
        <v>86.5546875</v>
      </c>
      <c r="U99" s="71">
        <f t="shared" si="8"/>
        <v>11540.625</v>
      </c>
      <c r="V99" s="10"/>
      <c r="W99" s="10"/>
      <c r="X99" s="10"/>
      <c r="Y99" s="10"/>
      <c r="Z99" s="10"/>
      <c r="AA99" s="10"/>
      <c r="AB99" s="10"/>
      <c r="AC99" s="10"/>
      <c r="AD99" s="10"/>
      <c r="AE99" s="10"/>
      <c r="AF99" s="10"/>
    </row>
    <row r="100">
      <c r="A100" s="9" t="s">
        <v>317</v>
      </c>
      <c r="B100" s="70" t="s">
        <v>52</v>
      </c>
      <c r="C100" s="9" t="s">
        <v>46</v>
      </c>
      <c r="D100" s="9" t="str">
        <f t="shared" si="1"/>
        <v>FebruaryREVATHI.S</v>
      </c>
      <c r="E100" s="10" t="str">
        <f t="shared" si="2"/>
        <v>FebruaryREVATHI.SOT Hours</v>
      </c>
      <c r="F100" s="10" t="str">
        <f>IFERROR(VLOOKUP(C100,'Employees List'!$B$1:$I$999,4,0),"")</f>
        <v>REVATHI.S</v>
      </c>
      <c r="G100" s="71">
        <f t="shared" si="12"/>
        <v>9590.882813</v>
      </c>
      <c r="H100" s="72" t="str">
        <f>IFERROR(VLOOKUP(C100,'Employees List'!$B$2:$I$991,7,0),"")</f>
        <v>8131010000016995</v>
      </c>
      <c r="I100" s="73">
        <f>IFERROR(VLOOKUP(F100,'Employees List'!$E$1:$AE$991,6,0),"")</f>
        <v>10500</v>
      </c>
      <c r="J100" s="71">
        <f t="shared" si="3"/>
        <v>7350</v>
      </c>
      <c r="K100" s="71">
        <f t="shared" si="4"/>
        <v>3150</v>
      </c>
      <c r="L100" s="10">
        <f>IFERROR(VLOOKUP(B100,'Employees List'!$A$2:$K$991,11,0),"")</f>
        <v>28</v>
      </c>
      <c r="M100" s="74">
        <f>IFERROR(VLOOKUP(D100,'Daily Attendance 25-26'!$A$4:BP999,5,0),"")</f>
        <v>25</v>
      </c>
      <c r="N100" s="10">
        <f>IFERROR(VLOOKUP(E100,'Daily Attendance 25-26'!$A$1:$BO$1741,5,0),"")</f>
        <v>2</v>
      </c>
      <c r="O100" s="83">
        <v>450.0</v>
      </c>
      <c r="P100" s="9">
        <v>300.0</v>
      </c>
      <c r="Q100" s="71">
        <f t="shared" si="5"/>
        <v>9375</v>
      </c>
      <c r="R100" s="71">
        <f t="shared" si="6"/>
        <v>140.625</v>
      </c>
      <c r="S100" s="71">
        <f t="shared" si="18"/>
        <v>9665.625</v>
      </c>
      <c r="T100" s="71">
        <f t="shared" si="20"/>
        <v>74.7421875</v>
      </c>
      <c r="U100" s="71">
        <f t="shared" si="8"/>
        <v>9965.625</v>
      </c>
      <c r="V100" s="10"/>
      <c r="W100" s="10"/>
      <c r="X100" s="10"/>
      <c r="Y100" s="10"/>
      <c r="Z100" s="10"/>
      <c r="AA100" s="10"/>
      <c r="AB100" s="10"/>
      <c r="AC100" s="10"/>
      <c r="AD100" s="10"/>
      <c r="AE100" s="10"/>
      <c r="AF100" s="10"/>
    </row>
    <row r="101">
      <c r="A101" s="9" t="s">
        <v>318</v>
      </c>
      <c r="B101" s="70" t="s">
        <v>52</v>
      </c>
      <c r="C101" s="9" t="s">
        <v>74</v>
      </c>
      <c r="D101" s="9" t="str">
        <f t="shared" si="1"/>
        <v>FebruaryLEELAVATHI.M</v>
      </c>
      <c r="E101" s="10" t="str">
        <f t="shared" si="2"/>
        <v>FebruaryLEELAVATHI.MOT Hours</v>
      </c>
      <c r="F101" s="10" t="str">
        <f>IFERROR(VLOOKUP(C101,'Employees List'!$B$1:$I$999,4,0),"")</f>
        <v>LEELAVATHI.M</v>
      </c>
      <c r="G101" s="71">
        <f t="shared" si="12"/>
        <v>16199.46094</v>
      </c>
      <c r="H101" s="72" t="str">
        <f>IFERROR(VLOOKUP(C101,'Employees List'!$B$2:$I$991,7,0),"")</f>
        <v>8387010000017745</v>
      </c>
      <c r="I101" s="73">
        <f>IFERROR(VLOOKUP(F101,'Employees List'!$E$1:$AE$991,6,0),"")</f>
        <v>14000</v>
      </c>
      <c r="J101" s="71">
        <f t="shared" si="3"/>
        <v>9800</v>
      </c>
      <c r="K101" s="71">
        <f t="shared" si="4"/>
        <v>4200</v>
      </c>
      <c r="L101" s="10">
        <f>IFERROR(VLOOKUP(B101,'Employees List'!$A$2:$K$991,11,0),"")</f>
        <v>28</v>
      </c>
      <c r="M101" s="74">
        <f>IFERROR(VLOOKUP(D101,'Daily Attendance 25-26'!$A$4:BP999,5,0),"")</f>
        <v>28</v>
      </c>
      <c r="N101" s="10">
        <f>IFERROR(VLOOKUP(E101,'Daily Attendance 25-26'!$A$1:$BO$1741,5,0),"")</f>
        <v>4.5</v>
      </c>
      <c r="O101" s="83">
        <v>1900.0</v>
      </c>
      <c r="P101" s="9"/>
      <c r="Q101" s="71">
        <f t="shared" si="5"/>
        <v>14000</v>
      </c>
      <c r="R101" s="71">
        <f t="shared" si="6"/>
        <v>421.875</v>
      </c>
      <c r="S101" s="71">
        <f t="shared" si="18"/>
        <v>16321.875</v>
      </c>
      <c r="T101" s="71">
        <f t="shared" si="20"/>
        <v>122.4140625</v>
      </c>
      <c r="U101" s="71">
        <f t="shared" si="8"/>
        <v>16321.875</v>
      </c>
      <c r="V101" s="10"/>
      <c r="W101" s="10"/>
      <c r="X101" s="10"/>
      <c r="Y101" s="10"/>
      <c r="Z101" s="10"/>
      <c r="AA101" s="10"/>
      <c r="AB101" s="10"/>
      <c r="AC101" s="10"/>
      <c r="AD101" s="10"/>
      <c r="AE101" s="10"/>
      <c r="AF101" s="10"/>
    </row>
    <row r="102">
      <c r="A102" s="9" t="s">
        <v>319</v>
      </c>
      <c r="B102" s="70" t="s">
        <v>52</v>
      </c>
      <c r="C102" s="9" t="s">
        <v>26</v>
      </c>
      <c r="D102" s="9" t="str">
        <f t="shared" si="1"/>
        <v>FebruaryADHIKARI BALIA.A</v>
      </c>
      <c r="E102" s="10" t="str">
        <f t="shared" si="2"/>
        <v>FebruaryADHIKARI BALIA.AOT Hours</v>
      </c>
      <c r="F102" s="10" t="str">
        <f>IFERROR(VLOOKUP(C102,'Employees List'!$B$1:$I$999,4,0),"")</f>
        <v>ADHIKARI BALIA.A</v>
      </c>
      <c r="G102" s="71">
        <f t="shared" si="12"/>
        <v>17368.59319</v>
      </c>
      <c r="H102" s="72" t="str">
        <f>IFERROR(VLOOKUP(C102,'Employees List'!$B$2:$I$991,7,0),"")</f>
        <v>8131010000018948</v>
      </c>
      <c r="I102" s="73">
        <f>IFERROR(VLOOKUP(F102,'Employees List'!$E$1:$AE$991,6,0),"")</f>
        <v>13000</v>
      </c>
      <c r="J102" s="71">
        <f t="shared" si="3"/>
        <v>9100</v>
      </c>
      <c r="K102" s="71">
        <f t="shared" si="4"/>
        <v>3900</v>
      </c>
      <c r="L102" s="10">
        <f>IFERROR(VLOOKUP(B102,'Employees List'!$A$2:$K$991,11,0),"")</f>
        <v>28</v>
      </c>
      <c r="M102" s="74">
        <f>IFERROR(VLOOKUP(D102,'Daily Attendance 25-26'!$A$4:BP999,5,0),"")</f>
        <v>28</v>
      </c>
      <c r="N102" s="10">
        <f>IFERROR(VLOOKUP(E102,'Daily Attendance 25-26'!$A$1:$BO$1741,5,0),"")</f>
        <v>64.5</v>
      </c>
      <c r="O102" s="83">
        <v>900.0</v>
      </c>
      <c r="P102" s="9">
        <v>2000.0</v>
      </c>
      <c r="Q102" s="71">
        <f t="shared" si="5"/>
        <v>13000</v>
      </c>
      <c r="R102" s="71">
        <f t="shared" si="6"/>
        <v>5614.955357</v>
      </c>
      <c r="S102" s="71">
        <f t="shared" si="18"/>
        <v>17514.95536</v>
      </c>
      <c r="T102" s="71">
        <f t="shared" si="20"/>
        <v>146.3621652</v>
      </c>
      <c r="U102" s="71">
        <f t="shared" si="8"/>
        <v>19514.95536</v>
      </c>
      <c r="V102" s="10"/>
      <c r="W102" s="10"/>
      <c r="X102" s="10"/>
      <c r="Y102" s="10"/>
      <c r="Z102" s="10"/>
      <c r="AA102" s="10"/>
      <c r="AB102" s="10"/>
      <c r="AC102" s="10"/>
      <c r="AD102" s="10"/>
      <c r="AE102" s="10"/>
      <c r="AF102" s="10"/>
    </row>
    <row r="103">
      <c r="A103" s="9" t="s">
        <v>320</v>
      </c>
      <c r="B103" s="70" t="s">
        <v>52</v>
      </c>
      <c r="C103" s="9" t="s">
        <v>96</v>
      </c>
      <c r="D103" s="9" t="str">
        <f t="shared" si="1"/>
        <v>FebruaryPARSHU BAGH</v>
      </c>
      <c r="E103" s="10" t="str">
        <f t="shared" si="2"/>
        <v>FebruaryPARSHU BAGHOT Hours</v>
      </c>
      <c r="F103" s="10" t="str">
        <f>IFERROR(VLOOKUP(C103,'Employees List'!$B$1:$I$999,4,0),"")</f>
        <v>PARSHU BAGH</v>
      </c>
      <c r="G103" s="71">
        <f t="shared" si="12"/>
        <v>9536.326451</v>
      </c>
      <c r="H103" s="72">
        <f>IFERROR(VLOOKUP(C103,'Employees List'!$B$2:$I$991,7,0),"")</f>
        <v>40653547928</v>
      </c>
      <c r="I103" s="73">
        <f>IFERROR(VLOOKUP(F103,'Employees List'!$E$1:$AE$991,6,0),"")</f>
        <v>13000</v>
      </c>
      <c r="J103" s="71">
        <f t="shared" si="3"/>
        <v>9100</v>
      </c>
      <c r="K103" s="71">
        <f t="shared" si="4"/>
        <v>3900</v>
      </c>
      <c r="L103" s="10">
        <f>IFERROR(VLOOKUP(B103,'Employees List'!$A$2:$K$991,11,0),"")</f>
        <v>28</v>
      </c>
      <c r="M103" s="74">
        <f>IFERROR(VLOOKUP(D103,'Daily Attendance 25-26'!$A$4:BP999,5,0),"")</f>
        <v>24</v>
      </c>
      <c r="N103" s="10">
        <f>IFERROR(VLOOKUP(E103,'Daily Attendance 25-26'!$A$1:$BO$1741,5,0),"")</f>
        <v>23.5</v>
      </c>
      <c r="O103" s="83">
        <v>450.0</v>
      </c>
      <c r="P103" s="9">
        <v>4000.0</v>
      </c>
      <c r="Q103" s="71">
        <f t="shared" si="5"/>
        <v>11142.85714</v>
      </c>
      <c r="R103" s="71">
        <f t="shared" si="6"/>
        <v>2045.758929</v>
      </c>
      <c r="S103" s="71">
        <f t="shared" si="18"/>
        <v>9638.616071</v>
      </c>
      <c r="T103" s="71">
        <f t="shared" si="20"/>
        <v>102.2896205</v>
      </c>
      <c r="U103" s="71">
        <f t="shared" si="8"/>
        <v>13638.61607</v>
      </c>
      <c r="V103" s="10"/>
      <c r="W103" s="10"/>
      <c r="X103" s="10"/>
      <c r="Y103" s="10"/>
      <c r="Z103" s="10"/>
      <c r="AA103" s="10"/>
      <c r="AB103" s="10"/>
      <c r="AC103" s="10"/>
      <c r="AD103" s="10"/>
      <c r="AE103" s="10"/>
      <c r="AF103" s="10"/>
    </row>
    <row r="104" hidden="1">
      <c r="A104" s="9" t="s">
        <v>321</v>
      </c>
      <c r="B104" s="70"/>
      <c r="C104" s="9"/>
      <c r="D104" s="9" t="str">
        <f t="shared" si="1"/>
        <v/>
      </c>
      <c r="E104" s="10" t="str">
        <f t="shared" si="2"/>
        <v>OT Hours</v>
      </c>
      <c r="F104" s="10" t="str">
        <f>IFERROR(VLOOKUP(C104,'Employees List'!$B$1:$I$999,4,0),"")</f>
        <v/>
      </c>
      <c r="G104" s="10" t="str">
        <f t="shared" si="12"/>
        <v>#DIV/0!</v>
      </c>
      <c r="H104" s="72" t="str">
        <f>IFERROR(VLOOKUP(C104,'Employees List'!$B$2:$I$991,7,0),"")</f>
        <v/>
      </c>
      <c r="I104" s="73" t="str">
        <f>IFERROR(VLOOKUP(F104,'Employees List'!$E$1:$AE$991,6,0),"")</f>
        <v/>
      </c>
      <c r="J104" s="71">
        <f t="shared" si="3"/>
        <v>0</v>
      </c>
      <c r="K104" s="71">
        <f t="shared" si="4"/>
        <v>0</v>
      </c>
      <c r="L104" s="10" t="str">
        <f>IFERROR(VLOOKUP(B104,'Employees List'!$A$2:$K$991,11,0),"")</f>
        <v/>
      </c>
      <c r="M104" s="74" t="str">
        <f>IFERROR(VLOOKUP(D104,'Daily Attendance 25-26'!$A$4:BP999,5,0),"")</f>
        <v/>
      </c>
      <c r="N104" s="10" t="str">
        <f>IFERROR(VLOOKUP(E104,'Daily Attendance 25-26'!$A$1:$BO$1741,5,0),"")</f>
        <v/>
      </c>
      <c r="O104" s="83"/>
      <c r="P104" s="9"/>
      <c r="Q104" s="10" t="str">
        <f t="shared" si="5"/>
        <v>#DIV/0!</v>
      </c>
      <c r="R104" s="10" t="str">
        <f t="shared" si="6"/>
        <v>#DIV/0!</v>
      </c>
      <c r="S104" s="10" t="str">
        <f t="shared" si="18"/>
        <v>#DIV/0!</v>
      </c>
      <c r="T104" s="10" t="str">
        <f t="shared" si="20"/>
        <v>#DIV/0!</v>
      </c>
      <c r="U104" s="10" t="str">
        <f t="shared" si="8"/>
        <v>#DIV/0!</v>
      </c>
      <c r="V104" s="10"/>
      <c r="W104" s="10"/>
      <c r="X104" s="10"/>
      <c r="Y104" s="10"/>
      <c r="Z104" s="10"/>
      <c r="AA104" s="10"/>
      <c r="AB104" s="10"/>
      <c r="AC104" s="10"/>
      <c r="AD104" s="10"/>
      <c r="AE104" s="10"/>
      <c r="AF104" s="10"/>
    </row>
    <row r="105" hidden="1">
      <c r="A105" s="9" t="s">
        <v>322</v>
      </c>
      <c r="B105" s="70"/>
      <c r="C105" s="9"/>
      <c r="D105" s="9" t="str">
        <f t="shared" si="1"/>
        <v/>
      </c>
      <c r="E105" s="10" t="str">
        <f t="shared" si="2"/>
        <v>OT Hours</v>
      </c>
      <c r="F105" s="10" t="str">
        <f>IFERROR(VLOOKUP(C105,'Employees List'!$B$1:$I$999,4,0),"")</f>
        <v/>
      </c>
      <c r="G105" s="10" t="str">
        <f t="shared" si="12"/>
        <v>#DIV/0!</v>
      </c>
      <c r="H105" s="72" t="str">
        <f>IFERROR(VLOOKUP(C105,'Employees List'!$B$2:$I$991,7,0),"")</f>
        <v/>
      </c>
      <c r="I105" s="73" t="str">
        <f>IFERROR(VLOOKUP(F105,'Employees List'!$E$1:$AE$991,6,0),"")</f>
        <v/>
      </c>
      <c r="J105" s="71">
        <f t="shared" si="3"/>
        <v>0</v>
      </c>
      <c r="K105" s="71">
        <f t="shared" si="4"/>
        <v>0</v>
      </c>
      <c r="L105" s="10" t="str">
        <f>IFERROR(VLOOKUP(B105,'Employees List'!$A$2:$K$991,11,0),"")</f>
        <v/>
      </c>
      <c r="M105" s="74" t="str">
        <f>IFERROR(VLOOKUP(D105,'Daily Attendance 25-26'!$A$4:BP999,5,0),"")</f>
        <v/>
      </c>
      <c r="N105" s="10" t="str">
        <f>IFERROR(VLOOKUP(E105,'Daily Attendance 25-26'!$A$1:$BO$1741,5,0),"")</f>
        <v/>
      </c>
      <c r="O105" s="83"/>
      <c r="P105" s="9"/>
      <c r="Q105" s="10" t="str">
        <f t="shared" si="5"/>
        <v>#DIV/0!</v>
      </c>
      <c r="R105" s="10" t="str">
        <f t="shared" si="6"/>
        <v>#DIV/0!</v>
      </c>
      <c r="S105" s="10" t="str">
        <f t="shared" si="18"/>
        <v>#DIV/0!</v>
      </c>
      <c r="T105" s="10" t="str">
        <f t="shared" si="20"/>
        <v>#DIV/0!</v>
      </c>
      <c r="U105" s="10" t="str">
        <f t="shared" si="8"/>
        <v>#DIV/0!</v>
      </c>
      <c r="V105" s="10"/>
      <c r="W105" s="10"/>
      <c r="X105" s="10"/>
      <c r="Y105" s="10"/>
      <c r="Z105" s="10"/>
      <c r="AA105" s="10"/>
      <c r="AB105" s="10"/>
      <c r="AC105" s="10"/>
      <c r="AD105" s="10"/>
      <c r="AE105" s="10"/>
      <c r="AF105" s="10"/>
    </row>
    <row r="106" hidden="1">
      <c r="A106" s="9" t="s">
        <v>323</v>
      </c>
      <c r="B106" s="70"/>
      <c r="C106" s="9"/>
      <c r="D106" s="9" t="str">
        <f t="shared" si="1"/>
        <v/>
      </c>
      <c r="E106" s="10" t="str">
        <f t="shared" si="2"/>
        <v>OT Hours</v>
      </c>
      <c r="F106" s="10" t="str">
        <f>IFERROR(VLOOKUP(C106,'Employees List'!$B$1:$I$999,4,0),"")</f>
        <v/>
      </c>
      <c r="G106" s="10" t="str">
        <f t="shared" si="12"/>
        <v>#DIV/0!</v>
      </c>
      <c r="H106" s="72" t="str">
        <f>IFERROR(VLOOKUP(C106,'Employees List'!$B$2:$I$991,7,0),"")</f>
        <v/>
      </c>
      <c r="I106" s="73" t="str">
        <f>IFERROR(VLOOKUP(F106,'Employees List'!$E$1:$AE$991,6,0),"")</f>
        <v/>
      </c>
      <c r="J106" s="71">
        <f t="shared" si="3"/>
        <v>0</v>
      </c>
      <c r="K106" s="71">
        <f t="shared" si="4"/>
        <v>0</v>
      </c>
      <c r="L106" s="10" t="str">
        <f>IFERROR(VLOOKUP(B106,'Employees List'!$A$2:$K$991,11,0),"")</f>
        <v/>
      </c>
      <c r="M106" s="74" t="str">
        <f>IFERROR(VLOOKUP(D106,'Daily Attendance 25-26'!$A$4:BP999,5,0),"")</f>
        <v/>
      </c>
      <c r="N106" s="10" t="str">
        <f>IFERROR(VLOOKUP(E106,'Daily Attendance 25-26'!$A$1:$BO$1741,5,0),"")</f>
        <v/>
      </c>
      <c r="O106" s="83"/>
      <c r="P106" s="10"/>
      <c r="Q106" s="10" t="str">
        <f t="shared" si="5"/>
        <v>#DIV/0!</v>
      </c>
      <c r="R106" s="10" t="str">
        <f t="shared" si="6"/>
        <v>#DIV/0!</v>
      </c>
      <c r="S106" s="10" t="str">
        <f t="shared" si="18"/>
        <v>#DIV/0!</v>
      </c>
      <c r="T106" s="10" t="str">
        <f t="shared" si="20"/>
        <v>#DIV/0!</v>
      </c>
      <c r="U106" s="10" t="str">
        <f t="shared" si="8"/>
        <v>#DIV/0!</v>
      </c>
      <c r="V106" s="10"/>
      <c r="W106" s="10"/>
      <c r="X106" s="10"/>
      <c r="Y106" s="10"/>
      <c r="Z106" s="10"/>
      <c r="AA106" s="10"/>
      <c r="AB106" s="10"/>
      <c r="AC106" s="10"/>
      <c r="AD106" s="10"/>
      <c r="AE106" s="10"/>
      <c r="AF106" s="10"/>
    </row>
    <row r="107" hidden="1">
      <c r="A107" s="9" t="s">
        <v>324</v>
      </c>
      <c r="B107" s="70"/>
      <c r="C107" s="9"/>
      <c r="D107" s="9" t="str">
        <f t="shared" si="1"/>
        <v/>
      </c>
      <c r="E107" s="10" t="str">
        <f t="shared" si="2"/>
        <v>OT Hours</v>
      </c>
      <c r="F107" s="10" t="str">
        <f>IFERROR(VLOOKUP(C107,'Employees List'!$B$1:$I$999,4,0),"")</f>
        <v/>
      </c>
      <c r="G107" s="10" t="str">
        <f t="shared" si="12"/>
        <v>#DIV/0!</v>
      </c>
      <c r="H107" s="72" t="str">
        <f>IFERROR(VLOOKUP(C107,'Employees List'!$B$2:$I$991,7,0),"")</f>
        <v/>
      </c>
      <c r="I107" s="73" t="str">
        <f>IFERROR(VLOOKUP(F107,'Employees List'!$E$1:$AE$991,6,0),"")</f>
        <v/>
      </c>
      <c r="J107" s="71">
        <f t="shared" si="3"/>
        <v>0</v>
      </c>
      <c r="K107" s="71">
        <f t="shared" si="4"/>
        <v>0</v>
      </c>
      <c r="L107" s="10" t="str">
        <f>IFERROR(VLOOKUP(B107,'Employees List'!$A$2:$K$991,11,0),"")</f>
        <v/>
      </c>
      <c r="M107" s="74" t="str">
        <f>IFERROR(VLOOKUP(D107,'Daily Attendance 25-26'!$A$4:BP999,5,0),"")</f>
        <v/>
      </c>
      <c r="N107" s="10" t="str">
        <f>IFERROR(VLOOKUP(E107,'Daily Attendance 25-26'!$A$1:$BO$1741,5,0),"")</f>
        <v/>
      </c>
      <c r="O107" s="83"/>
      <c r="P107" s="9"/>
      <c r="Q107" s="10" t="str">
        <f t="shared" si="5"/>
        <v>#DIV/0!</v>
      </c>
      <c r="R107" s="10" t="str">
        <f t="shared" si="6"/>
        <v>#DIV/0!</v>
      </c>
      <c r="S107" s="10" t="str">
        <f t="shared" si="18"/>
        <v>#DIV/0!</v>
      </c>
      <c r="T107" s="10" t="str">
        <f t="shared" si="20"/>
        <v>#DIV/0!</v>
      </c>
      <c r="U107" s="10" t="str">
        <f t="shared" si="8"/>
        <v>#DIV/0!</v>
      </c>
      <c r="V107" s="10"/>
      <c r="W107" s="10"/>
      <c r="X107" s="10"/>
      <c r="Y107" s="10"/>
      <c r="Z107" s="10"/>
      <c r="AA107" s="10"/>
      <c r="AB107" s="10"/>
      <c r="AC107" s="10"/>
      <c r="AD107" s="10"/>
      <c r="AE107" s="10"/>
      <c r="AF107" s="10"/>
    </row>
    <row r="108" hidden="1">
      <c r="A108" s="9" t="s">
        <v>325</v>
      </c>
      <c r="B108" s="70"/>
      <c r="C108" s="9"/>
      <c r="D108" s="9" t="str">
        <f t="shared" si="1"/>
        <v/>
      </c>
      <c r="E108" s="10" t="str">
        <f t="shared" si="2"/>
        <v>OT Hours</v>
      </c>
      <c r="F108" s="10" t="str">
        <f>IFERROR(VLOOKUP(C108,'Employees List'!$B$1:$I$999,4,0),"")</f>
        <v/>
      </c>
      <c r="G108" s="10" t="str">
        <f t="shared" si="12"/>
        <v>#DIV/0!</v>
      </c>
      <c r="H108" s="72" t="str">
        <f>IFERROR(VLOOKUP(C108,'Employees List'!$B$2:$I$991,7,0),"")</f>
        <v/>
      </c>
      <c r="I108" s="73" t="str">
        <f>IFERROR(VLOOKUP(F108,'Employees List'!$E$1:$AE$991,6,0),"")</f>
        <v/>
      </c>
      <c r="J108" s="71">
        <f t="shared" si="3"/>
        <v>0</v>
      </c>
      <c r="K108" s="71">
        <f t="shared" si="4"/>
        <v>0</v>
      </c>
      <c r="L108" s="10" t="str">
        <f>IFERROR(VLOOKUP(B108,'Employees List'!$A$2:$K$991,11,0),"")</f>
        <v/>
      </c>
      <c r="M108" s="74" t="str">
        <f>IFERROR(VLOOKUP(D108,'Daily Attendance 25-26'!$A$4:BP999,5,0),"")</f>
        <v/>
      </c>
      <c r="N108" s="10" t="str">
        <f>IFERROR(VLOOKUP(E108,'Daily Attendance 25-26'!$A$1:$BO$1741,5,0),"")</f>
        <v/>
      </c>
      <c r="O108" s="83"/>
      <c r="P108" s="9"/>
      <c r="Q108" s="10" t="str">
        <f t="shared" si="5"/>
        <v>#DIV/0!</v>
      </c>
      <c r="R108" s="10" t="str">
        <f t="shared" si="6"/>
        <v>#DIV/0!</v>
      </c>
      <c r="S108" s="10" t="str">
        <f t="shared" si="18"/>
        <v>#DIV/0!</v>
      </c>
      <c r="T108" s="10" t="str">
        <f t="shared" si="20"/>
        <v>#DIV/0!</v>
      </c>
      <c r="U108" s="10" t="str">
        <f t="shared" si="8"/>
        <v>#DIV/0!</v>
      </c>
      <c r="V108" s="10"/>
      <c r="W108" s="10"/>
      <c r="X108" s="10"/>
      <c r="Y108" s="10"/>
      <c r="Z108" s="10"/>
      <c r="AA108" s="10"/>
      <c r="AB108" s="10"/>
      <c r="AC108" s="10"/>
      <c r="AD108" s="10"/>
      <c r="AE108" s="10"/>
      <c r="AF108" s="10"/>
    </row>
    <row r="109" hidden="1">
      <c r="A109" s="9" t="s">
        <v>326</v>
      </c>
      <c r="B109" s="70"/>
      <c r="C109" s="9"/>
      <c r="D109" s="9" t="str">
        <f t="shared" si="1"/>
        <v/>
      </c>
      <c r="E109" s="10" t="str">
        <f t="shared" si="2"/>
        <v>OT Hours</v>
      </c>
      <c r="F109" s="10" t="str">
        <f>IFERROR(VLOOKUP(C109,'Employees List'!$B$1:$I$999,4,0),"")</f>
        <v/>
      </c>
      <c r="G109" s="10" t="str">
        <f t="shared" si="12"/>
        <v>#DIV/0!</v>
      </c>
      <c r="H109" s="72" t="str">
        <f>IFERROR(VLOOKUP(C109,'Employees List'!$B$2:$I$991,7,0),"")</f>
        <v/>
      </c>
      <c r="I109" s="73" t="str">
        <f>IFERROR(VLOOKUP(F109,'Employees List'!$E$1:$AE$991,6,0),"")</f>
        <v/>
      </c>
      <c r="J109" s="71">
        <f t="shared" si="3"/>
        <v>0</v>
      </c>
      <c r="K109" s="71">
        <f t="shared" si="4"/>
        <v>0</v>
      </c>
      <c r="L109" s="10" t="str">
        <f>IFERROR(VLOOKUP(B109,'Employees List'!$A$2:$K$991,11,0),"")</f>
        <v/>
      </c>
      <c r="M109" s="74" t="str">
        <f>IFERROR(VLOOKUP(D109,'Daily Attendance 25-26'!$A$4:BP999,5,0),"")</f>
        <v/>
      </c>
      <c r="N109" s="10" t="str">
        <f>IFERROR(VLOOKUP(E109,'Daily Attendance 25-26'!$A$1:$BO$1741,5,0),"")</f>
        <v/>
      </c>
      <c r="O109" s="83"/>
      <c r="P109" s="9"/>
      <c r="Q109" s="10" t="str">
        <f t="shared" si="5"/>
        <v>#DIV/0!</v>
      </c>
      <c r="R109" s="10" t="str">
        <f t="shared" si="6"/>
        <v>#DIV/0!</v>
      </c>
      <c r="S109" s="10" t="str">
        <f t="shared" si="18"/>
        <v>#DIV/0!</v>
      </c>
      <c r="T109" s="10" t="str">
        <f t="shared" si="20"/>
        <v>#DIV/0!</v>
      </c>
      <c r="U109" s="10" t="str">
        <f t="shared" si="8"/>
        <v>#DIV/0!</v>
      </c>
      <c r="V109" s="10"/>
      <c r="W109" s="10"/>
      <c r="X109" s="10"/>
      <c r="Y109" s="10"/>
      <c r="Z109" s="10"/>
      <c r="AA109" s="10"/>
      <c r="AB109" s="10"/>
      <c r="AC109" s="10"/>
      <c r="AD109" s="10"/>
      <c r="AE109" s="10"/>
      <c r="AF109" s="10"/>
    </row>
    <row r="110" hidden="1">
      <c r="A110" s="9" t="s">
        <v>327</v>
      </c>
      <c r="B110" s="70"/>
      <c r="C110" s="9"/>
      <c r="D110" s="9" t="str">
        <f t="shared" si="1"/>
        <v/>
      </c>
      <c r="E110" s="10" t="str">
        <f t="shared" si="2"/>
        <v>OT Hours</v>
      </c>
      <c r="F110" s="10" t="str">
        <f>IFERROR(VLOOKUP(C110,'Employees List'!$B$1:$I$999,4,0),"")</f>
        <v/>
      </c>
      <c r="G110" s="10" t="str">
        <f t="shared" si="12"/>
        <v>#DIV/0!</v>
      </c>
      <c r="H110" s="72" t="str">
        <f>IFERROR(VLOOKUP(C110,'Employees List'!$B$2:$I$991,7,0),"")</f>
        <v/>
      </c>
      <c r="I110" s="73" t="str">
        <f>IFERROR(VLOOKUP(F110,'Employees List'!$E$1:$AE$991,6,0),"")</f>
        <v/>
      </c>
      <c r="J110" s="71">
        <f t="shared" si="3"/>
        <v>0</v>
      </c>
      <c r="K110" s="71">
        <f t="shared" si="4"/>
        <v>0</v>
      </c>
      <c r="L110" s="10" t="str">
        <f>IFERROR(VLOOKUP(B110,'Employees List'!$A$2:$K$991,11,0),"")</f>
        <v/>
      </c>
      <c r="M110" s="74" t="str">
        <f>IFERROR(VLOOKUP(D110,'Daily Attendance 25-26'!$A$4:BP999,5,0),"")</f>
        <v/>
      </c>
      <c r="N110" s="10" t="str">
        <f>IFERROR(VLOOKUP(E110,'Daily Attendance 25-26'!$A$1:$BO$1741,5,0),"")</f>
        <v/>
      </c>
      <c r="O110" s="83"/>
      <c r="P110" s="9"/>
      <c r="Q110" s="10" t="str">
        <f t="shared" si="5"/>
        <v>#DIV/0!</v>
      </c>
      <c r="R110" s="10" t="str">
        <f t="shared" si="6"/>
        <v>#DIV/0!</v>
      </c>
      <c r="S110" s="10" t="str">
        <f t="shared" si="18"/>
        <v>#DIV/0!</v>
      </c>
      <c r="T110" s="10" t="str">
        <f t="shared" si="20"/>
        <v>#DIV/0!</v>
      </c>
      <c r="U110" s="10" t="str">
        <f t="shared" si="8"/>
        <v>#DIV/0!</v>
      </c>
      <c r="V110" s="10"/>
      <c r="W110" s="10"/>
      <c r="X110" s="10"/>
      <c r="Y110" s="10"/>
      <c r="Z110" s="10"/>
      <c r="AA110" s="10"/>
      <c r="AB110" s="10"/>
      <c r="AC110" s="10"/>
      <c r="AD110" s="10"/>
      <c r="AE110" s="10"/>
      <c r="AF110" s="10"/>
    </row>
    <row r="111" hidden="1">
      <c r="A111" s="9" t="s">
        <v>328</v>
      </c>
      <c r="B111" s="70"/>
      <c r="C111" s="9"/>
      <c r="D111" s="9" t="str">
        <f t="shared" si="1"/>
        <v/>
      </c>
      <c r="E111" s="10" t="str">
        <f t="shared" si="2"/>
        <v>OT Hours</v>
      </c>
      <c r="F111" s="10" t="str">
        <f>IFERROR(VLOOKUP(C111,'Employees List'!$B$1:$I$999,4,0),"")</f>
        <v/>
      </c>
      <c r="G111" s="10" t="str">
        <f t="shared" si="12"/>
        <v>#DIV/0!</v>
      </c>
      <c r="H111" s="72" t="str">
        <f>IFERROR(VLOOKUP(C111,'Employees List'!$B$2:$I$991,7,0),"")</f>
        <v/>
      </c>
      <c r="I111" s="73" t="str">
        <f>IFERROR(VLOOKUP(F111,'Employees List'!$E$1:$AE$991,6,0),"")</f>
        <v/>
      </c>
      <c r="J111" s="71">
        <f t="shared" si="3"/>
        <v>0</v>
      </c>
      <c r="K111" s="71">
        <f t="shared" si="4"/>
        <v>0</v>
      </c>
      <c r="L111" s="10" t="str">
        <f>IFERROR(VLOOKUP(B111,'Employees List'!$A$2:$K$991,11,0),"")</f>
        <v/>
      </c>
      <c r="M111" s="74" t="str">
        <f>IFERROR(VLOOKUP(D111,'Daily Attendance 25-26'!$A$4:BP999,5,0),"")</f>
        <v/>
      </c>
      <c r="N111" s="10" t="str">
        <f>IFERROR(VLOOKUP(E111,'Daily Attendance 25-26'!$A$1:$BO$1741,5,0),"")</f>
        <v/>
      </c>
      <c r="O111" s="83"/>
      <c r="P111" s="9"/>
      <c r="Q111" s="10" t="str">
        <f t="shared" si="5"/>
        <v>#DIV/0!</v>
      </c>
      <c r="R111" s="10" t="str">
        <f t="shared" si="6"/>
        <v>#DIV/0!</v>
      </c>
      <c r="S111" s="10" t="str">
        <f t="shared" si="18"/>
        <v>#DIV/0!</v>
      </c>
      <c r="T111" s="10" t="str">
        <f t="shared" si="20"/>
        <v>#DIV/0!</v>
      </c>
      <c r="U111" s="10" t="str">
        <f t="shared" si="8"/>
        <v>#DIV/0!</v>
      </c>
      <c r="V111" s="10"/>
      <c r="W111" s="10"/>
      <c r="X111" s="10"/>
      <c r="Y111" s="10"/>
      <c r="Z111" s="10"/>
      <c r="AA111" s="10"/>
      <c r="AB111" s="10"/>
      <c r="AC111" s="10"/>
      <c r="AD111" s="10"/>
      <c r="AE111" s="10"/>
      <c r="AF111" s="10"/>
    </row>
    <row r="112" hidden="1">
      <c r="A112" s="9" t="s">
        <v>329</v>
      </c>
      <c r="B112" s="70"/>
      <c r="C112" s="9"/>
      <c r="D112" s="9" t="str">
        <f t="shared" si="1"/>
        <v/>
      </c>
      <c r="E112" s="10" t="str">
        <f t="shared" si="2"/>
        <v>OT Hours</v>
      </c>
      <c r="F112" s="10" t="str">
        <f>IFERROR(VLOOKUP(C112,'Employees List'!$B$1:$I$999,4,0),"")</f>
        <v/>
      </c>
      <c r="G112" s="10" t="str">
        <f t="shared" si="12"/>
        <v>#DIV/0!</v>
      </c>
      <c r="H112" s="72" t="str">
        <f>IFERROR(VLOOKUP(C112,'Employees List'!$B$2:$I$991,7,0),"")</f>
        <v/>
      </c>
      <c r="I112" s="73" t="str">
        <f>IFERROR(VLOOKUP(F112,'Employees List'!$E$1:$AE$991,6,0),"")</f>
        <v/>
      </c>
      <c r="J112" s="71">
        <f t="shared" si="3"/>
        <v>0</v>
      </c>
      <c r="K112" s="71">
        <f t="shared" si="4"/>
        <v>0</v>
      </c>
      <c r="L112" s="10" t="str">
        <f>IFERROR(VLOOKUP(B112,'Employees List'!$A$2:$K$991,11,0),"")</f>
        <v/>
      </c>
      <c r="M112" s="74" t="str">
        <f>IFERROR(VLOOKUP(D112,'Daily Attendance 25-26'!$A$4:BP999,5,0),"")</f>
        <v/>
      </c>
      <c r="N112" s="10" t="str">
        <f>IFERROR(VLOOKUP(E112,'Daily Attendance 25-26'!$A$1:$BO$1741,5,0),"")</f>
        <v/>
      </c>
      <c r="O112" s="83"/>
      <c r="P112" s="10"/>
      <c r="Q112" s="10" t="str">
        <f t="shared" si="5"/>
        <v>#DIV/0!</v>
      </c>
      <c r="R112" s="10" t="str">
        <f t="shared" si="6"/>
        <v>#DIV/0!</v>
      </c>
      <c r="S112" s="10" t="str">
        <f t="shared" si="18"/>
        <v>#DIV/0!</v>
      </c>
      <c r="T112" s="10" t="str">
        <f t="shared" si="20"/>
        <v>#DIV/0!</v>
      </c>
      <c r="U112" s="10" t="str">
        <f t="shared" si="8"/>
        <v>#DIV/0!</v>
      </c>
      <c r="V112" s="10"/>
      <c r="W112" s="10"/>
      <c r="X112" s="10"/>
      <c r="Y112" s="10"/>
      <c r="Z112" s="10"/>
      <c r="AA112" s="10"/>
      <c r="AB112" s="10"/>
      <c r="AC112" s="10"/>
      <c r="AD112" s="10"/>
      <c r="AE112" s="10"/>
      <c r="AF112" s="10"/>
    </row>
    <row r="113" hidden="1">
      <c r="A113" s="9" t="s">
        <v>330</v>
      </c>
      <c r="B113" s="70"/>
      <c r="C113" s="9"/>
      <c r="D113" s="9" t="str">
        <f t="shared" si="1"/>
        <v/>
      </c>
      <c r="E113" s="10" t="str">
        <f t="shared" si="2"/>
        <v>OT Hours</v>
      </c>
      <c r="F113" s="10" t="str">
        <f>IFERROR(VLOOKUP(C113,'Employees List'!$B$1:$I$999,4,0),"")</f>
        <v/>
      </c>
      <c r="G113" s="10" t="str">
        <f t="shared" si="12"/>
        <v>#DIV/0!</v>
      </c>
      <c r="H113" s="72" t="str">
        <f>IFERROR(VLOOKUP(C113,'Employees List'!$B$2:$I$991,7,0),"")</f>
        <v/>
      </c>
      <c r="I113" s="73" t="str">
        <f>IFERROR(VLOOKUP(F113,'Employees List'!$E$1:$AE$991,6,0),"")</f>
        <v/>
      </c>
      <c r="J113" s="71">
        <f t="shared" si="3"/>
        <v>0</v>
      </c>
      <c r="K113" s="71">
        <f t="shared" si="4"/>
        <v>0</v>
      </c>
      <c r="L113" s="10" t="str">
        <f>IFERROR(VLOOKUP(B113,'Employees List'!$A$2:$K$991,11,0),"")</f>
        <v/>
      </c>
      <c r="M113" s="74" t="str">
        <f>IFERROR(VLOOKUP(D113,'Daily Attendance 25-26'!$A$4:BP999,5,0),"")</f>
        <v/>
      </c>
      <c r="N113" s="10" t="str">
        <f>IFERROR(VLOOKUP(E113,'Daily Attendance 25-26'!$A$1:$BO$1741,5,0),"")</f>
        <v/>
      </c>
      <c r="O113" s="83"/>
      <c r="P113" s="10"/>
      <c r="Q113" s="10" t="str">
        <f t="shared" si="5"/>
        <v>#DIV/0!</v>
      </c>
      <c r="R113" s="10" t="str">
        <f t="shared" si="6"/>
        <v>#DIV/0!</v>
      </c>
      <c r="S113" s="10" t="str">
        <f t="shared" si="18"/>
        <v>#DIV/0!</v>
      </c>
      <c r="T113" s="10" t="str">
        <f t="shared" si="20"/>
        <v>#DIV/0!</v>
      </c>
      <c r="U113" s="10" t="str">
        <f t="shared" si="8"/>
        <v>#DIV/0!</v>
      </c>
      <c r="V113" s="10"/>
      <c r="W113" s="10"/>
      <c r="X113" s="10"/>
      <c r="Y113" s="10"/>
      <c r="Z113" s="10"/>
      <c r="AA113" s="10"/>
      <c r="AB113" s="10"/>
      <c r="AC113" s="10"/>
      <c r="AD113" s="10"/>
      <c r="AE113" s="10"/>
      <c r="AF113" s="10"/>
    </row>
    <row r="114" hidden="1">
      <c r="A114" s="9" t="s">
        <v>331</v>
      </c>
      <c r="B114" s="70"/>
      <c r="C114" s="9"/>
      <c r="D114" s="9" t="str">
        <f t="shared" si="1"/>
        <v/>
      </c>
      <c r="E114" s="10" t="str">
        <f t="shared" si="2"/>
        <v>OT Hours</v>
      </c>
      <c r="F114" s="10" t="str">
        <f>IFERROR(VLOOKUP(C114,'Employees List'!$B$1:$I$999,4,0),"")</f>
        <v/>
      </c>
      <c r="G114" s="10" t="str">
        <f t="shared" si="12"/>
        <v>#DIV/0!</v>
      </c>
      <c r="H114" s="72" t="str">
        <f>IFERROR(VLOOKUP(C114,'Employees List'!$B$2:$I$991,7,0),"")</f>
        <v/>
      </c>
      <c r="I114" s="73" t="str">
        <f>IFERROR(VLOOKUP(F114,'Employees List'!$E$1:$AE$991,6,0),"")</f>
        <v/>
      </c>
      <c r="J114" s="71">
        <f t="shared" si="3"/>
        <v>0</v>
      </c>
      <c r="K114" s="71">
        <f t="shared" si="4"/>
        <v>0</v>
      </c>
      <c r="L114" s="10" t="str">
        <f>IFERROR(VLOOKUP(B114,'Employees List'!$A$2:$K$991,11,0),"")</f>
        <v/>
      </c>
      <c r="M114" s="74" t="str">
        <f>IFERROR(VLOOKUP(D114,'Daily Attendance 25-26'!$A$4:BP999,5,0),"")</f>
        <v/>
      </c>
      <c r="N114" s="10" t="str">
        <f>IFERROR(VLOOKUP(E114,'Daily Attendance 25-26'!$A$1:$BO$1741,5,0),"")</f>
        <v/>
      </c>
      <c r="O114" s="83"/>
      <c r="P114" s="9"/>
      <c r="Q114" s="10" t="str">
        <f t="shared" si="5"/>
        <v>#DIV/0!</v>
      </c>
      <c r="R114" s="10" t="str">
        <f t="shared" si="6"/>
        <v>#DIV/0!</v>
      </c>
      <c r="S114" s="10" t="str">
        <f t="shared" si="18"/>
        <v>#DIV/0!</v>
      </c>
      <c r="T114" s="10" t="str">
        <f t="shared" si="20"/>
        <v>#DIV/0!</v>
      </c>
      <c r="U114" s="10" t="str">
        <f t="shared" si="8"/>
        <v>#DIV/0!</v>
      </c>
      <c r="V114" s="10"/>
      <c r="W114" s="10"/>
      <c r="X114" s="10"/>
      <c r="Y114" s="10"/>
      <c r="Z114" s="10"/>
      <c r="AA114" s="10"/>
      <c r="AB114" s="10"/>
      <c r="AC114" s="10"/>
      <c r="AD114" s="10"/>
      <c r="AE114" s="10"/>
      <c r="AF114" s="10"/>
    </row>
    <row r="115" hidden="1">
      <c r="A115" s="9" t="s">
        <v>332</v>
      </c>
      <c r="B115" s="70"/>
      <c r="C115" s="9"/>
      <c r="D115" s="9" t="str">
        <f t="shared" si="1"/>
        <v/>
      </c>
      <c r="E115" s="10" t="str">
        <f t="shared" si="2"/>
        <v>OT Hours</v>
      </c>
      <c r="F115" s="10" t="str">
        <f>IFERROR(VLOOKUP(C115,'Employees List'!$B$1:$I$999,4,0),"")</f>
        <v/>
      </c>
      <c r="G115" s="10" t="str">
        <f t="shared" si="12"/>
        <v>#DIV/0!</v>
      </c>
      <c r="H115" s="72" t="str">
        <f>IFERROR(VLOOKUP(C115,'Employees List'!$B$2:$I$991,7,0),"")</f>
        <v/>
      </c>
      <c r="I115" s="73" t="str">
        <f>IFERROR(VLOOKUP(F115,'Employees List'!$E$1:$AE$991,6,0),"")</f>
        <v/>
      </c>
      <c r="J115" s="71">
        <f t="shared" si="3"/>
        <v>0</v>
      </c>
      <c r="K115" s="71">
        <f t="shared" si="4"/>
        <v>0</v>
      </c>
      <c r="L115" s="10" t="str">
        <f>IFERROR(VLOOKUP(B115,'Employees List'!$A$2:$K$991,11,0),"")</f>
        <v/>
      </c>
      <c r="M115" s="74" t="str">
        <f>IFERROR(VLOOKUP(D115,'Daily Attendance 25-26'!$A$4:BP999,5,0),"")</f>
        <v/>
      </c>
      <c r="N115" s="10" t="str">
        <f>IFERROR(VLOOKUP(E115,'Daily Attendance 25-26'!$A$1:$BO$1741,5,0),"")</f>
        <v/>
      </c>
      <c r="O115" s="83"/>
      <c r="P115" s="9"/>
      <c r="Q115" s="10" t="str">
        <f t="shared" si="5"/>
        <v>#DIV/0!</v>
      </c>
      <c r="R115" s="10" t="str">
        <f t="shared" si="6"/>
        <v>#DIV/0!</v>
      </c>
      <c r="S115" s="10" t="str">
        <f t="shared" si="18"/>
        <v>#DIV/0!</v>
      </c>
      <c r="T115" s="10" t="str">
        <f t="shared" si="20"/>
        <v>#DIV/0!</v>
      </c>
      <c r="U115" s="10" t="str">
        <f t="shared" si="8"/>
        <v>#DIV/0!</v>
      </c>
      <c r="V115" s="10"/>
      <c r="W115" s="10"/>
      <c r="X115" s="10"/>
      <c r="Y115" s="10"/>
      <c r="Z115" s="10"/>
      <c r="AA115" s="10"/>
      <c r="AB115" s="10"/>
      <c r="AC115" s="10"/>
      <c r="AD115" s="10"/>
      <c r="AE115" s="10"/>
      <c r="AF115" s="10"/>
    </row>
    <row r="116" hidden="1">
      <c r="A116" s="9" t="s">
        <v>333</v>
      </c>
      <c r="B116" s="70"/>
      <c r="C116" s="9"/>
      <c r="D116" s="9" t="str">
        <f t="shared" si="1"/>
        <v/>
      </c>
      <c r="E116" s="10" t="str">
        <f t="shared" si="2"/>
        <v>OT Hours</v>
      </c>
      <c r="F116" s="10" t="str">
        <f>IFERROR(VLOOKUP(C116,'Employees List'!$B$1:$I$999,4,0),"")</f>
        <v/>
      </c>
      <c r="G116" s="10" t="str">
        <f t="shared" si="12"/>
        <v>#DIV/0!</v>
      </c>
      <c r="H116" s="72" t="str">
        <f>IFERROR(VLOOKUP(C116,'Employees List'!$B$2:$I$991,7,0),"")</f>
        <v/>
      </c>
      <c r="I116" s="73" t="str">
        <f>IFERROR(VLOOKUP(F116,'Employees List'!$E$1:$AE$991,6,0),"")</f>
        <v/>
      </c>
      <c r="J116" s="71">
        <f t="shared" si="3"/>
        <v>0</v>
      </c>
      <c r="K116" s="71">
        <f t="shared" si="4"/>
        <v>0</v>
      </c>
      <c r="L116" s="10" t="str">
        <f>IFERROR(VLOOKUP(B116,'Employees List'!$A$2:$K$991,11,0),"")</f>
        <v/>
      </c>
      <c r="M116" s="74" t="str">
        <f>IFERROR(VLOOKUP(D116,'Daily Attendance 25-26'!$A$4:BP999,5,0),"")</f>
        <v/>
      </c>
      <c r="N116" s="10" t="str">
        <f>IFERROR(VLOOKUP(E116,'Daily Attendance 25-26'!$A$1:$BO$1741,5,0),"")</f>
        <v/>
      </c>
      <c r="O116" s="83"/>
      <c r="P116" s="10"/>
      <c r="Q116" s="10" t="str">
        <f t="shared" si="5"/>
        <v>#DIV/0!</v>
      </c>
      <c r="R116" s="10" t="str">
        <f t="shared" si="6"/>
        <v>#DIV/0!</v>
      </c>
      <c r="S116" s="10" t="str">
        <f t="shared" si="18"/>
        <v>#DIV/0!</v>
      </c>
      <c r="T116" s="10" t="str">
        <f t="shared" si="20"/>
        <v>#DIV/0!</v>
      </c>
      <c r="U116" s="10" t="str">
        <f t="shared" si="8"/>
        <v>#DIV/0!</v>
      </c>
      <c r="V116" s="10"/>
      <c r="W116" s="10"/>
      <c r="X116" s="10"/>
      <c r="Y116" s="10"/>
      <c r="Z116" s="10"/>
      <c r="AA116" s="10"/>
      <c r="AB116" s="10"/>
      <c r="AC116" s="10"/>
      <c r="AD116" s="10"/>
      <c r="AE116" s="10"/>
      <c r="AF116" s="10"/>
    </row>
    <row r="117" hidden="1">
      <c r="A117" s="9" t="s">
        <v>334</v>
      </c>
      <c r="B117" s="70"/>
      <c r="C117" s="9"/>
      <c r="D117" s="9" t="str">
        <f t="shared" si="1"/>
        <v/>
      </c>
      <c r="E117" s="10" t="str">
        <f t="shared" si="2"/>
        <v>OT Hours</v>
      </c>
      <c r="F117" s="10" t="str">
        <f>IFERROR(VLOOKUP(C117,'Employees List'!$B$1:$I$999,4,0),"")</f>
        <v/>
      </c>
      <c r="G117" s="10" t="str">
        <f t="shared" si="12"/>
        <v>#DIV/0!</v>
      </c>
      <c r="H117" s="72" t="str">
        <f>IFERROR(VLOOKUP(C117,'Employees List'!$B$2:$I$991,7,0),"")</f>
        <v/>
      </c>
      <c r="I117" s="73" t="str">
        <f>IFERROR(VLOOKUP(F117,'Employees List'!$E$1:$AE$991,6,0),"")</f>
        <v/>
      </c>
      <c r="J117" s="71">
        <f t="shared" si="3"/>
        <v>0</v>
      </c>
      <c r="K117" s="71">
        <f t="shared" si="4"/>
        <v>0</v>
      </c>
      <c r="L117" s="10" t="str">
        <f>IFERROR(VLOOKUP(B117,'Employees List'!$A$2:$K$991,11,0),"")</f>
        <v/>
      </c>
      <c r="M117" s="74" t="str">
        <f>IFERROR(VLOOKUP(D117,'Daily Attendance 25-26'!$A$4:BP999,5,0),"")</f>
        <v/>
      </c>
      <c r="N117" s="10" t="str">
        <f>IFERROR(VLOOKUP(E117,'Daily Attendance 25-26'!$A$1:$BO$1741,5,0),"")</f>
        <v/>
      </c>
      <c r="O117" s="83"/>
      <c r="P117" s="9"/>
      <c r="Q117" s="10" t="str">
        <f t="shared" si="5"/>
        <v>#DIV/0!</v>
      </c>
      <c r="R117" s="10" t="str">
        <f t="shared" si="6"/>
        <v>#DIV/0!</v>
      </c>
      <c r="S117" s="10" t="str">
        <f t="shared" si="18"/>
        <v>#DIV/0!</v>
      </c>
      <c r="T117" s="10" t="str">
        <f t="shared" si="20"/>
        <v>#DIV/0!</v>
      </c>
      <c r="U117" s="10" t="str">
        <f t="shared" si="8"/>
        <v>#DIV/0!</v>
      </c>
      <c r="V117" s="10"/>
      <c r="W117" s="10"/>
      <c r="X117" s="10"/>
      <c r="Y117" s="10"/>
      <c r="Z117" s="10"/>
      <c r="AA117" s="10"/>
      <c r="AB117" s="10"/>
      <c r="AC117" s="10"/>
      <c r="AD117" s="10"/>
      <c r="AE117" s="10"/>
      <c r="AF117" s="10"/>
    </row>
    <row r="118" hidden="1">
      <c r="A118" s="9" t="s">
        <v>335</v>
      </c>
      <c r="B118" s="70"/>
      <c r="C118" s="9"/>
      <c r="D118" s="9" t="str">
        <f t="shared" si="1"/>
        <v/>
      </c>
      <c r="E118" s="10" t="str">
        <f t="shared" si="2"/>
        <v>OT Hours</v>
      </c>
      <c r="F118" s="10" t="str">
        <f>IFERROR(VLOOKUP(C118,'Employees List'!$B$1:$I$999,4,0),"")</f>
        <v/>
      </c>
      <c r="G118" s="10"/>
      <c r="H118" s="72" t="str">
        <f>IFERROR(VLOOKUP(C118,'Employees List'!$B$2:$I$991,7,0),"")</f>
        <v/>
      </c>
      <c r="I118" s="73" t="str">
        <f>IFERROR(VLOOKUP(F118,'Employees List'!$E$1:$AE$991,6,0),"")</f>
        <v/>
      </c>
      <c r="J118" s="71">
        <f t="shared" si="3"/>
        <v>0</v>
      </c>
      <c r="K118" s="71">
        <f t="shared" si="4"/>
        <v>0</v>
      </c>
      <c r="L118" s="10" t="str">
        <f>IFERROR(VLOOKUP(B118,'Employees List'!$A$2:$K$991,11,0),"")</f>
        <v/>
      </c>
      <c r="M118" s="74" t="str">
        <f>IFERROR(VLOOKUP(D118,'Daily Attendance 25-26'!$A$4:BP999,5,0),"")</f>
        <v/>
      </c>
      <c r="N118" s="10" t="str">
        <f>IFERROR(VLOOKUP(E118,'Daily Attendance 25-26'!$A$1:$BO$1741,5,0),"")</f>
        <v/>
      </c>
      <c r="O118" s="83"/>
      <c r="P118" s="10"/>
      <c r="Q118" s="10" t="str">
        <f t="shared" si="5"/>
        <v>#DIV/0!</v>
      </c>
      <c r="R118" s="10" t="str">
        <f t="shared" si="6"/>
        <v>#DIV/0!</v>
      </c>
      <c r="S118" s="10" t="str">
        <f t="shared" si="18"/>
        <v>#DIV/0!</v>
      </c>
      <c r="T118" s="10" t="str">
        <f t="shared" si="20"/>
        <v>#DIV/0!</v>
      </c>
      <c r="U118" s="10" t="str">
        <f t="shared" si="8"/>
        <v>#DIV/0!</v>
      </c>
      <c r="V118" s="10"/>
      <c r="W118" s="10"/>
      <c r="X118" s="10"/>
      <c r="Y118" s="10"/>
      <c r="Z118" s="10"/>
      <c r="AA118" s="10"/>
      <c r="AB118" s="10"/>
      <c r="AC118" s="10"/>
      <c r="AD118" s="10"/>
      <c r="AE118" s="10"/>
      <c r="AF118" s="10"/>
    </row>
    <row r="119" hidden="1">
      <c r="A119" s="9" t="s">
        <v>336</v>
      </c>
      <c r="B119" s="70"/>
      <c r="C119" s="9"/>
      <c r="D119" s="9" t="str">
        <f t="shared" si="1"/>
        <v/>
      </c>
      <c r="E119" s="10" t="str">
        <f t="shared" si="2"/>
        <v>OT Hours</v>
      </c>
      <c r="F119" s="10" t="str">
        <f>IFERROR(VLOOKUP(C119,'Employees List'!$B$1:$I$999,4,0),"")</f>
        <v/>
      </c>
      <c r="G119" s="10"/>
      <c r="H119" s="72" t="str">
        <f>IFERROR(VLOOKUP(C119,'Employees List'!$B$2:$I$991,7,0),"")</f>
        <v/>
      </c>
      <c r="I119" s="73" t="str">
        <f>IFERROR(VLOOKUP(F119,'Employees List'!$E$1:$AE$991,6,0),"")</f>
        <v/>
      </c>
      <c r="J119" s="71">
        <f t="shared" si="3"/>
        <v>0</v>
      </c>
      <c r="K119" s="71">
        <f t="shared" si="4"/>
        <v>0</v>
      </c>
      <c r="L119" s="10" t="str">
        <f>IFERROR(VLOOKUP(B119,'Employees List'!$A$2:$K$991,11,0),"")</f>
        <v/>
      </c>
      <c r="M119" s="74" t="str">
        <f>IFERROR(VLOOKUP(D119,'Daily Attendance 25-26'!$A$4:BP999,5,0),"")</f>
        <v/>
      </c>
      <c r="N119" s="10" t="str">
        <f>IFERROR(VLOOKUP(E119,'Daily Attendance 25-26'!$A$1:$BO$1741,5,0),"")</f>
        <v/>
      </c>
      <c r="O119" s="83"/>
      <c r="P119" s="10"/>
      <c r="Q119" s="10" t="str">
        <f t="shared" si="5"/>
        <v>#DIV/0!</v>
      </c>
      <c r="R119" s="10" t="str">
        <f t="shared" si="6"/>
        <v>#DIV/0!</v>
      </c>
      <c r="S119" s="10" t="str">
        <f t="shared" si="18"/>
        <v>#DIV/0!</v>
      </c>
      <c r="T119" s="10" t="str">
        <f t="shared" si="20"/>
        <v>#DIV/0!</v>
      </c>
      <c r="U119" s="10" t="str">
        <f t="shared" si="8"/>
        <v>#DIV/0!</v>
      </c>
      <c r="V119" s="10"/>
      <c r="W119" s="10"/>
      <c r="X119" s="10"/>
      <c r="Y119" s="10"/>
      <c r="Z119" s="10"/>
      <c r="AA119" s="10"/>
      <c r="AB119" s="10"/>
      <c r="AC119" s="10"/>
      <c r="AD119" s="10"/>
      <c r="AE119" s="10"/>
      <c r="AF119" s="10"/>
    </row>
    <row r="120" hidden="1">
      <c r="A120" s="9" t="s">
        <v>337</v>
      </c>
      <c r="B120" s="70"/>
      <c r="C120" s="9"/>
      <c r="D120" s="9" t="str">
        <f t="shared" si="1"/>
        <v/>
      </c>
      <c r="E120" s="10" t="str">
        <f t="shared" si="2"/>
        <v>OT Hours</v>
      </c>
      <c r="F120" s="10" t="str">
        <f>IFERROR(VLOOKUP(C120,'Employees List'!$B$1:$I$999,4,0),"")</f>
        <v/>
      </c>
      <c r="G120" s="10"/>
      <c r="H120" s="72" t="str">
        <f>IFERROR(VLOOKUP(C120,'Employees List'!$B$2:$I$991,7,0),"")</f>
        <v/>
      </c>
      <c r="I120" s="73" t="str">
        <f>IFERROR(VLOOKUP(F120,'Employees List'!$E$1:$AE$991,6,0),"")</f>
        <v/>
      </c>
      <c r="J120" s="71">
        <f t="shared" si="3"/>
        <v>0</v>
      </c>
      <c r="K120" s="71">
        <f t="shared" si="4"/>
        <v>0</v>
      </c>
      <c r="L120" s="10" t="str">
        <f>IFERROR(VLOOKUP(B120,'Employees List'!$A$2:$K$991,11,0),"")</f>
        <v/>
      </c>
      <c r="M120" s="74" t="str">
        <f>IFERROR(VLOOKUP(D120,'Daily Attendance 25-26'!$A$4:BP999,5,0),"")</f>
        <v/>
      </c>
      <c r="N120" s="10" t="str">
        <f>IFERROR(VLOOKUP(E120,'Daily Attendance 25-26'!$A$1:$BO$1741,5,0),"")</f>
        <v/>
      </c>
      <c r="O120" s="83"/>
      <c r="P120" s="9"/>
      <c r="Q120" s="10" t="str">
        <f t="shared" si="5"/>
        <v>#DIV/0!</v>
      </c>
      <c r="R120" s="10" t="str">
        <f t="shared" si="6"/>
        <v>#DIV/0!</v>
      </c>
      <c r="S120" s="10" t="str">
        <f t="shared" si="18"/>
        <v>#DIV/0!</v>
      </c>
      <c r="T120" s="10" t="str">
        <f t="shared" si="20"/>
        <v>#DIV/0!</v>
      </c>
      <c r="U120" s="10" t="str">
        <f t="shared" si="8"/>
        <v>#DIV/0!</v>
      </c>
      <c r="V120" s="10"/>
      <c r="W120" s="10"/>
      <c r="X120" s="10"/>
      <c r="Y120" s="10"/>
      <c r="Z120" s="10"/>
      <c r="AA120" s="10"/>
      <c r="AB120" s="10"/>
      <c r="AC120" s="10"/>
      <c r="AD120" s="10"/>
      <c r="AE120" s="10"/>
      <c r="AF120" s="10"/>
    </row>
    <row r="121" hidden="1">
      <c r="A121" s="9" t="s">
        <v>338</v>
      </c>
      <c r="B121" s="70"/>
      <c r="C121" s="9"/>
      <c r="D121" s="9" t="str">
        <f t="shared" si="1"/>
        <v/>
      </c>
      <c r="E121" s="10" t="str">
        <f t="shared" si="2"/>
        <v>OT Hours</v>
      </c>
      <c r="F121" s="10" t="str">
        <f>IFERROR(VLOOKUP(C121,'Employees List'!$B$1:$I$999,4,0),"")</f>
        <v/>
      </c>
      <c r="G121" s="10"/>
      <c r="H121" s="72" t="str">
        <f>IFERROR(VLOOKUP(C121,'Employees List'!$B$2:$I$991,7,0),"")</f>
        <v/>
      </c>
      <c r="I121" s="73" t="str">
        <f>IFERROR(VLOOKUP(F121,'Employees List'!$E$1:$AE$991,6,0),"")</f>
        <v/>
      </c>
      <c r="J121" s="71">
        <f t="shared" si="3"/>
        <v>0</v>
      </c>
      <c r="K121" s="71">
        <f t="shared" si="4"/>
        <v>0</v>
      </c>
      <c r="L121" s="10" t="str">
        <f>IFERROR(VLOOKUP(B121,'Employees List'!$A$2:$K$991,11,0),"")</f>
        <v/>
      </c>
      <c r="M121" s="74" t="str">
        <f>IFERROR(VLOOKUP(D121,'Daily Attendance 25-26'!$A$4:BP999,5,0),"")</f>
        <v/>
      </c>
      <c r="N121" s="10" t="str">
        <f>IFERROR(VLOOKUP(E121,'Daily Attendance 25-26'!$A$1:$BO$1741,5,0),"")</f>
        <v/>
      </c>
      <c r="O121" s="83"/>
      <c r="P121" s="10"/>
      <c r="Q121" s="10" t="str">
        <f t="shared" si="5"/>
        <v>#DIV/0!</v>
      </c>
      <c r="R121" s="10" t="str">
        <f t="shared" si="6"/>
        <v>#DIV/0!</v>
      </c>
      <c r="S121" s="10" t="str">
        <f t="shared" si="18"/>
        <v>#DIV/0!</v>
      </c>
      <c r="T121" s="10" t="str">
        <f t="shared" si="20"/>
        <v>#DIV/0!</v>
      </c>
      <c r="U121" s="10" t="str">
        <f t="shared" si="8"/>
        <v>#DIV/0!</v>
      </c>
      <c r="V121" s="10"/>
      <c r="W121" s="10"/>
      <c r="X121" s="10"/>
      <c r="Y121" s="10"/>
      <c r="Z121" s="10"/>
      <c r="AA121" s="10"/>
      <c r="AB121" s="10"/>
      <c r="AC121" s="10"/>
      <c r="AD121" s="10"/>
      <c r="AE121" s="10"/>
      <c r="AF121" s="10"/>
    </row>
    <row r="122" hidden="1">
      <c r="A122" s="9" t="s">
        <v>339</v>
      </c>
      <c r="B122" s="70"/>
      <c r="C122" s="9"/>
      <c r="D122" s="9" t="str">
        <f t="shared" si="1"/>
        <v/>
      </c>
      <c r="E122" s="10" t="str">
        <f t="shared" si="2"/>
        <v>OT Hours</v>
      </c>
      <c r="F122" s="10" t="str">
        <f>IFERROR(VLOOKUP(C122,'Employees List'!$B$1:$I$999,4,0),"")</f>
        <v/>
      </c>
      <c r="G122" s="10"/>
      <c r="H122" s="72" t="str">
        <f>IFERROR(VLOOKUP(C122,'Employees List'!$B$2:$I$991,7,0),"")</f>
        <v/>
      </c>
      <c r="I122" s="73" t="str">
        <f>IFERROR(VLOOKUP(F122,'Employees List'!$E$1:$AE$991,6,0),"")</f>
        <v/>
      </c>
      <c r="J122" s="71">
        <f t="shared" si="3"/>
        <v>0</v>
      </c>
      <c r="K122" s="71">
        <f t="shared" si="4"/>
        <v>0</v>
      </c>
      <c r="L122" s="10" t="str">
        <f>IFERROR(VLOOKUP(B122,'Employees List'!$A$2:$K$991,11,0),"")</f>
        <v/>
      </c>
      <c r="M122" s="74" t="str">
        <f>IFERROR(VLOOKUP(D122,'Daily Attendance 25-26'!$A$4:BP999,5,0),"")</f>
        <v/>
      </c>
      <c r="N122" s="10" t="str">
        <f>IFERROR(VLOOKUP(E122,'Daily Attendance 25-26'!$A$1:$BO$1741,5,0),"")</f>
        <v/>
      </c>
      <c r="O122" s="83"/>
      <c r="P122" s="10"/>
      <c r="Q122" s="10" t="str">
        <f t="shared" si="5"/>
        <v>#DIV/0!</v>
      </c>
      <c r="R122" s="10" t="str">
        <f t="shared" si="6"/>
        <v>#DIV/0!</v>
      </c>
      <c r="S122" s="10" t="str">
        <f t="shared" si="18"/>
        <v>#DIV/0!</v>
      </c>
      <c r="T122" s="10" t="str">
        <f t="shared" si="20"/>
        <v>#DIV/0!</v>
      </c>
      <c r="U122" s="10" t="str">
        <f t="shared" si="8"/>
        <v>#DIV/0!</v>
      </c>
      <c r="V122" s="10"/>
      <c r="W122" s="10"/>
      <c r="X122" s="10"/>
      <c r="Y122" s="10"/>
      <c r="Z122" s="10"/>
      <c r="AA122" s="10"/>
      <c r="AB122" s="10"/>
      <c r="AC122" s="10"/>
      <c r="AD122" s="10"/>
      <c r="AE122" s="10"/>
      <c r="AF122" s="10"/>
    </row>
    <row r="123" hidden="1">
      <c r="A123" s="9" t="s">
        <v>340</v>
      </c>
      <c r="B123" s="70"/>
      <c r="C123" s="9"/>
      <c r="D123" s="9" t="str">
        <f t="shared" si="1"/>
        <v/>
      </c>
      <c r="E123" s="10" t="str">
        <f t="shared" si="2"/>
        <v>OT Hours</v>
      </c>
      <c r="F123" s="10" t="str">
        <f>IFERROR(VLOOKUP(C123,'Employees List'!$B$1:$I$999,4,0),"")</f>
        <v/>
      </c>
      <c r="G123" s="10"/>
      <c r="H123" s="72" t="str">
        <f>IFERROR(VLOOKUP(C123,'Employees List'!$B$2:$I$991,7,0),"")</f>
        <v/>
      </c>
      <c r="I123" s="73" t="str">
        <f>IFERROR(VLOOKUP(F123,'Employees List'!$E$1:$AE$991,6,0),"")</f>
        <v/>
      </c>
      <c r="J123" s="71">
        <f t="shared" si="3"/>
        <v>0</v>
      </c>
      <c r="K123" s="71">
        <f t="shared" si="4"/>
        <v>0</v>
      </c>
      <c r="L123" s="10" t="str">
        <f>IFERROR(VLOOKUP(B123,'Employees List'!$A$2:$K$991,11,0),"")</f>
        <v/>
      </c>
      <c r="M123" s="74" t="str">
        <f>IFERROR(VLOOKUP(D123,'Daily Attendance 25-26'!$A$4:BP999,5,0),"")</f>
        <v/>
      </c>
      <c r="N123" s="10" t="str">
        <f>IFERROR(VLOOKUP(E123,'Daily Attendance 25-26'!$A$1:$BO$1741,5,0),"")</f>
        <v/>
      </c>
      <c r="O123" s="83"/>
      <c r="P123" s="9"/>
      <c r="Q123" s="10" t="str">
        <f t="shared" si="5"/>
        <v>#DIV/0!</v>
      </c>
      <c r="R123" s="10" t="str">
        <f t="shared" si="6"/>
        <v>#DIV/0!</v>
      </c>
      <c r="S123" s="10" t="str">
        <f t="shared" si="18"/>
        <v>#DIV/0!</v>
      </c>
      <c r="T123" s="10" t="str">
        <f t="shared" si="20"/>
        <v>#DIV/0!</v>
      </c>
      <c r="U123" s="10" t="str">
        <f t="shared" si="8"/>
        <v>#DIV/0!</v>
      </c>
      <c r="V123" s="10"/>
      <c r="W123" s="10"/>
      <c r="X123" s="10"/>
      <c r="Y123" s="10"/>
      <c r="Z123" s="10"/>
      <c r="AA123" s="10"/>
      <c r="AB123" s="10"/>
      <c r="AC123" s="10"/>
      <c r="AD123" s="10"/>
      <c r="AE123" s="10"/>
      <c r="AF123" s="10"/>
    </row>
    <row r="124" hidden="1">
      <c r="A124" s="9" t="s">
        <v>341</v>
      </c>
      <c r="B124" s="70"/>
      <c r="C124" s="9"/>
      <c r="D124" s="9" t="str">
        <f t="shared" si="1"/>
        <v/>
      </c>
      <c r="E124" s="10" t="str">
        <f t="shared" si="2"/>
        <v>OT Hours</v>
      </c>
      <c r="F124" s="10" t="str">
        <f>IFERROR(VLOOKUP(C124,'Employees List'!$B$1:$I$999,4,0),"")</f>
        <v/>
      </c>
      <c r="G124" s="10"/>
      <c r="H124" s="72" t="str">
        <f>IFERROR(VLOOKUP(C124,'Employees List'!$B$2:$I$991,7,0),"")</f>
        <v/>
      </c>
      <c r="I124" s="73" t="str">
        <f>IFERROR(VLOOKUP(F124,'Employees List'!$E$1:$AE$991,6,0),"")</f>
        <v/>
      </c>
      <c r="J124" s="71">
        <f t="shared" si="3"/>
        <v>0</v>
      </c>
      <c r="K124" s="71">
        <f t="shared" si="4"/>
        <v>0</v>
      </c>
      <c r="L124" s="10" t="str">
        <f>IFERROR(VLOOKUP(B124,'Employees List'!$A$2:$K$991,11,0),"")</f>
        <v/>
      </c>
      <c r="M124" s="74" t="str">
        <f>IFERROR(VLOOKUP(D124,'Daily Attendance 25-26'!$A$4:BP999,5,0),"")</f>
        <v/>
      </c>
      <c r="N124" s="10" t="str">
        <f>IFERROR(VLOOKUP(E124,'Daily Attendance 25-26'!$A$1:$BO$1741,5,0),"")</f>
        <v/>
      </c>
      <c r="O124" s="83"/>
      <c r="P124" s="9"/>
      <c r="Q124" s="10" t="str">
        <f t="shared" si="5"/>
        <v>#DIV/0!</v>
      </c>
      <c r="R124" s="10" t="str">
        <f t="shared" si="6"/>
        <v>#DIV/0!</v>
      </c>
      <c r="S124" s="10" t="str">
        <f t="shared" si="18"/>
        <v>#DIV/0!</v>
      </c>
      <c r="T124" s="10" t="str">
        <f t="shared" si="20"/>
        <v>#DIV/0!</v>
      </c>
      <c r="U124" s="10" t="str">
        <f t="shared" si="8"/>
        <v>#DIV/0!</v>
      </c>
      <c r="V124" s="10"/>
      <c r="W124" s="10"/>
      <c r="X124" s="10"/>
      <c r="Y124" s="10"/>
      <c r="Z124" s="10"/>
      <c r="AA124" s="10"/>
      <c r="AB124" s="10"/>
      <c r="AC124" s="10"/>
      <c r="AD124" s="10"/>
      <c r="AE124" s="10"/>
      <c r="AF124" s="10"/>
    </row>
    <row r="125" hidden="1">
      <c r="A125" s="9" t="s">
        <v>342</v>
      </c>
      <c r="B125" s="70"/>
      <c r="C125" s="9"/>
      <c r="D125" s="9" t="str">
        <f t="shared" si="1"/>
        <v/>
      </c>
      <c r="E125" s="10" t="str">
        <f t="shared" si="2"/>
        <v>OT Hours</v>
      </c>
      <c r="F125" s="10" t="str">
        <f>IFERROR(VLOOKUP(C125,'Employees List'!$B$1:$I$999,4,0),"")</f>
        <v/>
      </c>
      <c r="G125" s="10"/>
      <c r="H125" s="72" t="str">
        <f>IFERROR(VLOOKUP(C125,'Employees List'!$B$2:$I$991,7,0),"")</f>
        <v/>
      </c>
      <c r="I125" s="73" t="str">
        <f>IFERROR(VLOOKUP(F125,'Employees List'!$E$1:$AE$991,6,0),"")</f>
        <v/>
      </c>
      <c r="J125" s="71">
        <f t="shared" si="3"/>
        <v>0</v>
      </c>
      <c r="K125" s="71">
        <f t="shared" si="4"/>
        <v>0</v>
      </c>
      <c r="L125" s="10" t="str">
        <f>IFERROR(VLOOKUP(B125,'Employees List'!$A$2:$K$991,11,0),"")</f>
        <v/>
      </c>
      <c r="M125" s="74" t="str">
        <f>IFERROR(VLOOKUP(D125,'Daily Attendance 25-26'!$A$4:BP999,5,0),"")</f>
        <v/>
      </c>
      <c r="N125" s="10" t="str">
        <f>IFERROR(VLOOKUP(E125,'Daily Attendance 25-26'!$A$1:$BO$1741,5,0),"")</f>
        <v/>
      </c>
      <c r="O125" s="83"/>
      <c r="P125" s="10"/>
      <c r="Q125" s="10" t="str">
        <f t="shared" si="5"/>
        <v>#DIV/0!</v>
      </c>
      <c r="R125" s="10" t="str">
        <f t="shared" si="6"/>
        <v>#DIV/0!</v>
      </c>
      <c r="S125" s="10" t="str">
        <f t="shared" si="18"/>
        <v>#DIV/0!</v>
      </c>
      <c r="T125" s="10" t="str">
        <f t="shared" si="20"/>
        <v>#DIV/0!</v>
      </c>
      <c r="U125" s="10" t="str">
        <f t="shared" si="8"/>
        <v>#DIV/0!</v>
      </c>
      <c r="V125" s="10"/>
      <c r="W125" s="10"/>
      <c r="X125" s="10"/>
      <c r="Y125" s="10"/>
      <c r="Z125" s="10"/>
      <c r="AA125" s="10"/>
      <c r="AB125" s="10"/>
      <c r="AC125" s="10"/>
      <c r="AD125" s="10"/>
      <c r="AE125" s="10"/>
      <c r="AF125" s="10"/>
    </row>
    <row r="126" hidden="1">
      <c r="A126" s="9" t="s">
        <v>343</v>
      </c>
      <c r="B126" s="70"/>
      <c r="C126" s="9"/>
      <c r="D126" s="9" t="str">
        <f t="shared" si="1"/>
        <v/>
      </c>
      <c r="E126" s="10" t="str">
        <f t="shared" si="2"/>
        <v>OT Hours</v>
      </c>
      <c r="F126" s="10" t="str">
        <f>IFERROR(VLOOKUP(C126,'Employees List'!$B$1:$I$999,4,0),"")</f>
        <v/>
      </c>
      <c r="G126" s="10"/>
      <c r="H126" s="72" t="str">
        <f>IFERROR(VLOOKUP(C126,'Employees List'!$B$2:$I$991,7,0),"")</f>
        <v/>
      </c>
      <c r="I126" s="73" t="str">
        <f>IFERROR(VLOOKUP(F126,'Employees List'!$E$1:$AE$991,6,0),"")</f>
        <v/>
      </c>
      <c r="J126" s="71">
        <f t="shared" si="3"/>
        <v>0</v>
      </c>
      <c r="K126" s="71">
        <f t="shared" si="4"/>
        <v>0</v>
      </c>
      <c r="L126" s="10" t="str">
        <f>IFERROR(VLOOKUP(B126,'Employees List'!$A$2:$K$991,11,0),"")</f>
        <v/>
      </c>
      <c r="M126" s="74" t="str">
        <f>IFERROR(VLOOKUP(D126,'Daily Attendance 25-26'!$A$4:BP999,5,0),"")</f>
        <v/>
      </c>
      <c r="N126" s="10" t="str">
        <f>IFERROR(VLOOKUP(E126,'Daily Attendance 25-26'!$A$1:$BO$1741,5,0),"")</f>
        <v/>
      </c>
      <c r="O126" s="83"/>
      <c r="P126" s="9"/>
      <c r="Q126" s="10" t="str">
        <f t="shared" si="5"/>
        <v>#DIV/0!</v>
      </c>
      <c r="R126" s="10" t="str">
        <f t="shared" si="6"/>
        <v>#DIV/0!</v>
      </c>
      <c r="S126" s="10" t="str">
        <f t="shared" si="18"/>
        <v>#DIV/0!</v>
      </c>
      <c r="T126" s="10" t="str">
        <f t="shared" si="20"/>
        <v>#DIV/0!</v>
      </c>
      <c r="U126" s="10" t="str">
        <f t="shared" si="8"/>
        <v>#DIV/0!</v>
      </c>
      <c r="V126" s="10"/>
      <c r="W126" s="10"/>
      <c r="X126" s="10"/>
      <c r="Y126" s="10"/>
      <c r="Z126" s="10"/>
      <c r="AA126" s="10"/>
      <c r="AB126" s="10"/>
      <c r="AC126" s="10"/>
      <c r="AD126" s="10"/>
      <c r="AE126" s="10"/>
      <c r="AF126" s="10"/>
    </row>
    <row r="127" hidden="1">
      <c r="A127" s="9" t="s">
        <v>344</v>
      </c>
      <c r="B127" s="70"/>
      <c r="C127" s="9"/>
      <c r="D127" s="9" t="str">
        <f t="shared" si="1"/>
        <v/>
      </c>
      <c r="E127" s="10" t="str">
        <f t="shared" si="2"/>
        <v>OT Hours</v>
      </c>
      <c r="F127" s="10" t="str">
        <f>IFERROR(VLOOKUP(C127,'Employees List'!$B$1:$I$999,4,0),"")</f>
        <v/>
      </c>
      <c r="G127" s="10"/>
      <c r="H127" s="72" t="str">
        <f>IFERROR(VLOOKUP(C127,'Employees List'!$B$2:$I$991,7,0),"")</f>
        <v/>
      </c>
      <c r="I127" s="73" t="str">
        <f>IFERROR(VLOOKUP(F127,'Employees List'!$E$1:$AE$991,6,0),"")</f>
        <v/>
      </c>
      <c r="J127" s="71">
        <f t="shared" si="3"/>
        <v>0</v>
      </c>
      <c r="K127" s="71">
        <f t="shared" si="4"/>
        <v>0</v>
      </c>
      <c r="L127" s="10" t="str">
        <f>IFERROR(VLOOKUP(B127,'Employees List'!$A$2:$K$991,11,0),"")</f>
        <v/>
      </c>
      <c r="M127" s="74" t="str">
        <f>IFERROR(VLOOKUP(D127,'Daily Attendance 25-26'!$A$4:BP999,5,0),"")</f>
        <v/>
      </c>
      <c r="N127" s="10" t="str">
        <f>IFERROR(VLOOKUP(E127,'Daily Attendance 25-26'!$A$1:$BO$1741,5,0),"")</f>
        <v/>
      </c>
      <c r="O127" s="83"/>
      <c r="P127" s="10"/>
      <c r="Q127" s="10" t="str">
        <f t="shared" si="5"/>
        <v>#DIV/0!</v>
      </c>
      <c r="R127" s="10" t="str">
        <f t="shared" si="6"/>
        <v>#DIV/0!</v>
      </c>
      <c r="S127" s="10" t="str">
        <f t="shared" si="18"/>
        <v>#DIV/0!</v>
      </c>
      <c r="T127" s="10" t="str">
        <f t="shared" si="20"/>
        <v>#DIV/0!</v>
      </c>
      <c r="U127" s="10" t="str">
        <f t="shared" si="8"/>
        <v>#DIV/0!</v>
      </c>
      <c r="V127" s="10"/>
      <c r="W127" s="10"/>
      <c r="X127" s="10"/>
      <c r="Y127" s="10"/>
      <c r="Z127" s="10"/>
      <c r="AA127" s="10"/>
      <c r="AB127" s="10"/>
      <c r="AC127" s="10"/>
      <c r="AD127" s="10"/>
      <c r="AE127" s="10"/>
      <c r="AF127" s="10"/>
    </row>
    <row r="128" hidden="1">
      <c r="A128" s="9" t="s">
        <v>345</v>
      </c>
      <c r="B128" s="70"/>
      <c r="C128" s="9"/>
      <c r="D128" s="9" t="str">
        <f t="shared" si="1"/>
        <v/>
      </c>
      <c r="E128" s="10" t="str">
        <f t="shared" si="2"/>
        <v>OT Hours</v>
      </c>
      <c r="F128" s="10" t="str">
        <f>IFERROR(VLOOKUP(C128,'Employees List'!$B$1:$I$999,4,0),"")</f>
        <v/>
      </c>
      <c r="G128" s="10"/>
      <c r="H128" s="72" t="str">
        <f>IFERROR(VLOOKUP(C128,'Employees List'!$B$2:$I$991,7,0),"")</f>
        <v/>
      </c>
      <c r="I128" s="73" t="str">
        <f>IFERROR(VLOOKUP(F128,'Employees List'!$E$1:$AE$991,6,0),"")</f>
        <v/>
      </c>
      <c r="J128" s="71">
        <f t="shared" si="3"/>
        <v>0</v>
      </c>
      <c r="K128" s="71">
        <f t="shared" si="4"/>
        <v>0</v>
      </c>
      <c r="L128" s="10" t="str">
        <f>IFERROR(VLOOKUP(B128,'Employees List'!$A$2:$K$991,11,0),"")</f>
        <v/>
      </c>
      <c r="M128" s="74" t="str">
        <f>IFERROR(VLOOKUP(D128,'Daily Attendance 25-26'!$A$4:BP999,5,0),"")</f>
        <v/>
      </c>
      <c r="N128" s="10" t="str">
        <f>IFERROR(VLOOKUP(E128,'Daily Attendance 25-26'!$A$1:$BO$1741,5,0),"")</f>
        <v/>
      </c>
      <c r="O128" s="83"/>
      <c r="P128" s="9"/>
      <c r="Q128" s="10" t="str">
        <f t="shared" si="5"/>
        <v>#DIV/0!</v>
      </c>
      <c r="R128" s="10" t="str">
        <f t="shared" si="6"/>
        <v>#DIV/0!</v>
      </c>
      <c r="S128" s="10" t="str">
        <f t="shared" si="18"/>
        <v>#DIV/0!</v>
      </c>
      <c r="T128" s="10" t="str">
        <f t="shared" si="20"/>
        <v>#DIV/0!</v>
      </c>
      <c r="U128" s="10" t="str">
        <f t="shared" si="8"/>
        <v>#DIV/0!</v>
      </c>
      <c r="V128" s="10"/>
      <c r="W128" s="10"/>
      <c r="X128" s="10"/>
      <c r="Y128" s="10"/>
      <c r="Z128" s="10"/>
      <c r="AA128" s="10"/>
      <c r="AB128" s="10"/>
      <c r="AC128" s="10"/>
      <c r="AD128" s="10"/>
      <c r="AE128" s="10"/>
      <c r="AF128" s="10"/>
    </row>
    <row r="129" hidden="1">
      <c r="A129" s="9" t="s">
        <v>346</v>
      </c>
      <c r="B129" s="70"/>
      <c r="C129" s="9"/>
      <c r="D129" s="9" t="str">
        <f t="shared" si="1"/>
        <v/>
      </c>
      <c r="E129" s="10" t="str">
        <f t="shared" si="2"/>
        <v>OT Hours</v>
      </c>
      <c r="F129" s="10" t="str">
        <f>IFERROR(VLOOKUP(C129,'Employees List'!$B$1:$I$999,4,0),"")</f>
        <v/>
      </c>
      <c r="G129" s="10"/>
      <c r="H129" s="72" t="str">
        <f>IFERROR(VLOOKUP(C129,'Employees List'!$B$2:$I$991,7,0),"")</f>
        <v/>
      </c>
      <c r="I129" s="73" t="str">
        <f>IFERROR(VLOOKUP(F129,'Employees List'!$E$1:$AE$991,6,0),"")</f>
        <v/>
      </c>
      <c r="J129" s="71">
        <f t="shared" si="3"/>
        <v>0</v>
      </c>
      <c r="K129" s="71">
        <f t="shared" si="4"/>
        <v>0</v>
      </c>
      <c r="L129" s="10" t="str">
        <f>IFERROR(VLOOKUP(B129,'Employees List'!$A$2:$K$991,11,0),"")</f>
        <v/>
      </c>
      <c r="M129" s="74" t="str">
        <f>IFERROR(VLOOKUP(D129,'Daily Attendance 25-26'!$A$4:BP999,5,0),"")</f>
        <v/>
      </c>
      <c r="N129" s="10" t="str">
        <f>IFERROR(VLOOKUP(E129,'Daily Attendance 25-26'!$A$1:$BO$1741,5,0),"")</f>
        <v/>
      </c>
      <c r="O129" s="83"/>
      <c r="P129" s="9"/>
      <c r="Q129" s="10" t="str">
        <f t="shared" si="5"/>
        <v>#DIV/0!</v>
      </c>
      <c r="R129" s="10" t="str">
        <f t="shared" si="6"/>
        <v>#DIV/0!</v>
      </c>
      <c r="S129" s="10" t="str">
        <f t="shared" si="18"/>
        <v>#DIV/0!</v>
      </c>
      <c r="T129" s="10" t="str">
        <f t="shared" si="20"/>
        <v>#DIV/0!</v>
      </c>
      <c r="U129" s="10" t="str">
        <f t="shared" si="8"/>
        <v>#DIV/0!</v>
      </c>
      <c r="V129" s="10"/>
      <c r="W129" s="10"/>
      <c r="X129" s="10"/>
      <c r="Y129" s="10"/>
      <c r="Z129" s="10"/>
      <c r="AA129" s="10"/>
      <c r="AB129" s="10"/>
      <c r="AC129" s="10"/>
      <c r="AD129" s="10"/>
      <c r="AE129" s="10"/>
      <c r="AF129" s="10"/>
    </row>
    <row r="130" hidden="1">
      <c r="A130" s="9" t="s">
        <v>347</v>
      </c>
      <c r="B130" s="84"/>
      <c r="C130" s="9"/>
      <c r="D130" s="9" t="str">
        <f t="shared" si="1"/>
        <v/>
      </c>
      <c r="E130" s="10" t="str">
        <f t="shared" si="2"/>
        <v>OT Hours</v>
      </c>
      <c r="F130" s="10" t="str">
        <f>IFERROR(VLOOKUP(C130,'Employees List'!$B$1:$I$999,4,0),"")</f>
        <v/>
      </c>
      <c r="G130" s="10" t="str">
        <f t="shared" ref="G130:G999" si="21">S130-T130</f>
        <v>#DIV/0!</v>
      </c>
      <c r="H130" s="72" t="str">
        <f>IFERROR(VLOOKUP(C130,'Employees List'!$B$2:$I$991,7,0),"")</f>
        <v/>
      </c>
      <c r="I130" s="73" t="str">
        <f>IFERROR(VLOOKUP(F130,'Employees List'!$E$1:$AE$991,6,0),"")</f>
        <v/>
      </c>
      <c r="J130" s="71">
        <f t="shared" si="3"/>
        <v>0</v>
      </c>
      <c r="K130" s="71">
        <f t="shared" si="4"/>
        <v>0</v>
      </c>
      <c r="L130" s="10" t="str">
        <f>IFERROR(VLOOKUP(B130,'Employees List'!$A$2:$K$991,11,0),"")</f>
        <v/>
      </c>
      <c r="M130" s="74" t="str">
        <f>IFERROR(VLOOKUP(D130,'Daily Attendance 25-26'!$A$4:BP999,5,0),"")</f>
        <v/>
      </c>
      <c r="N130" s="10" t="str">
        <f>IFERROR(VLOOKUP(E130,'Daily Attendance 25-26'!$A$1:$BO$1741,5,0),"")</f>
        <v/>
      </c>
      <c r="O130" s="83"/>
      <c r="P130" s="10"/>
      <c r="Q130" s="10" t="str">
        <f t="shared" si="5"/>
        <v>#DIV/0!</v>
      </c>
      <c r="R130" s="10" t="str">
        <f t="shared" si="6"/>
        <v>#DIV/0!</v>
      </c>
      <c r="S130" s="10" t="str">
        <f t="shared" si="18"/>
        <v>#DIV/0!</v>
      </c>
      <c r="T130" s="10" t="str">
        <f t="shared" si="20"/>
        <v>#DIV/0!</v>
      </c>
      <c r="U130" s="10" t="str">
        <f t="shared" si="8"/>
        <v>#DIV/0!</v>
      </c>
      <c r="V130" s="10"/>
      <c r="W130" s="10"/>
      <c r="X130" s="10"/>
      <c r="Y130" s="10"/>
      <c r="Z130" s="10"/>
      <c r="AA130" s="10"/>
      <c r="AB130" s="10"/>
      <c r="AC130" s="10"/>
      <c r="AD130" s="10"/>
      <c r="AE130" s="10"/>
      <c r="AF130" s="10"/>
    </row>
    <row r="131" hidden="1">
      <c r="A131" s="9" t="s">
        <v>348</v>
      </c>
      <c r="B131" s="84"/>
      <c r="C131" s="9"/>
      <c r="D131" s="9" t="str">
        <f t="shared" si="1"/>
        <v/>
      </c>
      <c r="E131" s="10" t="str">
        <f t="shared" si="2"/>
        <v>OT Hours</v>
      </c>
      <c r="F131" s="10" t="str">
        <f>IFERROR(VLOOKUP(C131,'Employees List'!$B$1:$I$999,4,0),"")</f>
        <v/>
      </c>
      <c r="G131" s="10" t="str">
        <f t="shared" si="21"/>
        <v>#DIV/0!</v>
      </c>
      <c r="H131" s="72" t="str">
        <f>IFERROR(VLOOKUP(C131,'Employees List'!$B$2:$I$991,7,0),"")</f>
        <v/>
      </c>
      <c r="I131" s="73" t="str">
        <f>IFERROR(VLOOKUP(F131,'Employees List'!$E$1:$AE$991,6,0),"")</f>
        <v/>
      </c>
      <c r="J131" s="71">
        <f t="shared" si="3"/>
        <v>0</v>
      </c>
      <c r="K131" s="71">
        <f t="shared" si="4"/>
        <v>0</v>
      </c>
      <c r="L131" s="10" t="str">
        <f>IFERROR(VLOOKUP(B131,'Employees List'!$A$2:$K$991,11,0),"")</f>
        <v/>
      </c>
      <c r="M131" s="74" t="str">
        <f>IFERROR(VLOOKUP(D131,'Daily Attendance 25-26'!$A$4:BP999,5,0),"")</f>
        <v/>
      </c>
      <c r="N131" s="10" t="str">
        <f>IFERROR(VLOOKUP(E131,'Daily Attendance 25-26'!$A$1:$BO$1741,5,0),"")</f>
        <v/>
      </c>
      <c r="O131" s="83"/>
      <c r="P131" s="10"/>
      <c r="Q131" s="10" t="str">
        <f t="shared" si="5"/>
        <v>#DIV/0!</v>
      </c>
      <c r="R131" s="10" t="str">
        <f t="shared" si="6"/>
        <v>#DIV/0!</v>
      </c>
      <c r="S131" s="10" t="str">
        <f t="shared" si="18"/>
        <v>#DIV/0!</v>
      </c>
      <c r="T131" s="10" t="str">
        <f t="shared" si="20"/>
        <v>#DIV/0!</v>
      </c>
      <c r="U131" s="10" t="str">
        <f t="shared" si="8"/>
        <v>#DIV/0!</v>
      </c>
      <c r="V131" s="10"/>
      <c r="W131" s="10"/>
      <c r="X131" s="10"/>
      <c r="Y131" s="10"/>
      <c r="Z131" s="10"/>
      <c r="AA131" s="10"/>
      <c r="AB131" s="10"/>
      <c r="AC131" s="10"/>
      <c r="AD131" s="10"/>
      <c r="AE131" s="10"/>
      <c r="AF131" s="10"/>
    </row>
    <row r="132" hidden="1">
      <c r="A132" s="9" t="s">
        <v>349</v>
      </c>
      <c r="B132" s="84"/>
      <c r="C132" s="9"/>
      <c r="D132" s="9" t="str">
        <f t="shared" si="1"/>
        <v/>
      </c>
      <c r="E132" s="10" t="str">
        <f t="shared" si="2"/>
        <v>OT Hours</v>
      </c>
      <c r="F132" s="10" t="str">
        <f>IFERROR(VLOOKUP(C132,'Employees List'!$B$1:$I$999,4,0),"")</f>
        <v/>
      </c>
      <c r="G132" s="10" t="str">
        <f t="shared" si="21"/>
        <v>#DIV/0!</v>
      </c>
      <c r="H132" s="72" t="str">
        <f>IFERROR(VLOOKUP(C132,'Employees List'!$B$2:$I$991,7,0),"")</f>
        <v/>
      </c>
      <c r="I132" s="73" t="str">
        <f>IFERROR(VLOOKUP(F132,'Employees List'!$E$1:$AE$991,6,0),"")</f>
        <v/>
      </c>
      <c r="J132" s="71">
        <f t="shared" si="3"/>
        <v>0</v>
      </c>
      <c r="K132" s="71">
        <f t="shared" si="4"/>
        <v>0</v>
      </c>
      <c r="L132" s="10" t="str">
        <f>IFERROR(VLOOKUP(B132,'Employees List'!$A$2:$K$991,11,0),"")</f>
        <v/>
      </c>
      <c r="M132" s="74" t="str">
        <f>IFERROR(VLOOKUP(D132,'Daily Attendance 25-26'!$A$4:BP999,5,0),"")</f>
        <v/>
      </c>
      <c r="N132" s="10" t="str">
        <f>IFERROR(VLOOKUP(E132,'Daily Attendance 25-26'!$A$1:$BO$1741,5,0),"")</f>
        <v/>
      </c>
      <c r="O132" s="83"/>
      <c r="P132" s="10"/>
      <c r="Q132" s="10" t="str">
        <f t="shared" si="5"/>
        <v>#DIV/0!</v>
      </c>
      <c r="R132" s="10" t="str">
        <f t="shared" si="6"/>
        <v>#DIV/0!</v>
      </c>
      <c r="S132" s="10" t="str">
        <f t="shared" si="18"/>
        <v>#DIV/0!</v>
      </c>
      <c r="T132" s="10" t="str">
        <f t="shared" si="20"/>
        <v>#DIV/0!</v>
      </c>
      <c r="U132" s="10" t="str">
        <f t="shared" si="8"/>
        <v>#DIV/0!</v>
      </c>
      <c r="V132" s="10"/>
      <c r="W132" s="10"/>
      <c r="X132" s="10"/>
      <c r="Y132" s="10"/>
      <c r="Z132" s="10"/>
      <c r="AA132" s="10"/>
      <c r="AB132" s="10"/>
      <c r="AC132" s="10"/>
      <c r="AD132" s="10"/>
      <c r="AE132" s="10"/>
      <c r="AF132" s="10"/>
    </row>
    <row r="133" hidden="1">
      <c r="A133" s="9" t="s">
        <v>350</v>
      </c>
      <c r="B133" s="84"/>
      <c r="C133" s="9"/>
      <c r="D133" s="9" t="str">
        <f t="shared" si="1"/>
        <v/>
      </c>
      <c r="E133" s="10" t="str">
        <f t="shared" si="2"/>
        <v>OT Hours</v>
      </c>
      <c r="F133" s="10" t="str">
        <f>IFERROR(VLOOKUP(C133,'Employees List'!$B$1:$I$999,4,0),"")</f>
        <v/>
      </c>
      <c r="G133" s="10" t="str">
        <f t="shared" si="21"/>
        <v>#DIV/0!</v>
      </c>
      <c r="H133" s="72" t="str">
        <f>IFERROR(VLOOKUP(C133,'Employees List'!$B$2:$I$991,7,0),"")</f>
        <v/>
      </c>
      <c r="I133" s="73" t="str">
        <f>IFERROR(VLOOKUP(F133,'Employees List'!$E$1:$AE$991,6,0),"")</f>
        <v/>
      </c>
      <c r="J133" s="71">
        <f t="shared" si="3"/>
        <v>0</v>
      </c>
      <c r="K133" s="71">
        <f t="shared" si="4"/>
        <v>0</v>
      </c>
      <c r="L133" s="10" t="str">
        <f>IFERROR(VLOOKUP(B133,'Employees List'!$A$2:$K$991,11,0),"")</f>
        <v/>
      </c>
      <c r="M133" s="74" t="str">
        <f>IFERROR(VLOOKUP(D133,'Daily Attendance 25-26'!$A$4:BP999,5,0),"")</f>
        <v/>
      </c>
      <c r="N133" s="10" t="str">
        <f>IFERROR(VLOOKUP(E133,'Daily Attendance 25-26'!$A$1:$BO$1741,5,0),"")</f>
        <v/>
      </c>
      <c r="O133" s="83"/>
      <c r="P133" s="10"/>
      <c r="Q133" s="10" t="str">
        <f t="shared" si="5"/>
        <v>#DIV/0!</v>
      </c>
      <c r="R133" s="10" t="str">
        <f t="shared" si="6"/>
        <v>#DIV/0!</v>
      </c>
      <c r="S133" s="10" t="str">
        <f t="shared" si="18"/>
        <v>#DIV/0!</v>
      </c>
      <c r="T133" s="10" t="str">
        <f t="shared" si="20"/>
        <v>#DIV/0!</v>
      </c>
      <c r="U133" s="10" t="str">
        <f t="shared" si="8"/>
        <v>#DIV/0!</v>
      </c>
      <c r="V133" s="10"/>
      <c r="W133" s="10"/>
      <c r="X133" s="10"/>
      <c r="Y133" s="10"/>
      <c r="Z133" s="10"/>
      <c r="AA133" s="10"/>
      <c r="AB133" s="10"/>
      <c r="AC133" s="10"/>
      <c r="AD133" s="10"/>
      <c r="AE133" s="10"/>
      <c r="AF133" s="10"/>
    </row>
    <row r="134" hidden="1">
      <c r="A134" s="9" t="s">
        <v>351</v>
      </c>
      <c r="B134" s="84"/>
      <c r="C134" s="9"/>
      <c r="D134" s="9" t="str">
        <f t="shared" si="1"/>
        <v/>
      </c>
      <c r="E134" s="10" t="str">
        <f t="shared" si="2"/>
        <v>OT Hours</v>
      </c>
      <c r="F134" s="10" t="str">
        <f>IFERROR(VLOOKUP(C134,'Employees List'!$B$1:$I$999,4,0),"")</f>
        <v/>
      </c>
      <c r="G134" s="10" t="str">
        <f t="shared" si="21"/>
        <v>#DIV/0!</v>
      </c>
      <c r="H134" s="72" t="str">
        <f>IFERROR(VLOOKUP(C134,'Employees List'!$B$2:$I$991,7,0),"")</f>
        <v/>
      </c>
      <c r="I134" s="73" t="str">
        <f>IFERROR(VLOOKUP(F134,'Employees List'!$E$1:$AE$991,6,0),"")</f>
        <v/>
      </c>
      <c r="J134" s="71">
        <f t="shared" si="3"/>
        <v>0</v>
      </c>
      <c r="K134" s="71">
        <f t="shared" si="4"/>
        <v>0</v>
      </c>
      <c r="L134" s="10" t="str">
        <f>IFERROR(VLOOKUP(B134,'Employees List'!$A$2:$K$991,11,0),"")</f>
        <v/>
      </c>
      <c r="M134" s="74" t="str">
        <f>IFERROR(VLOOKUP(D134,'Daily Attendance 25-26'!$A$4:BP999,5,0),"")</f>
        <v/>
      </c>
      <c r="N134" s="10" t="str">
        <f>IFERROR(VLOOKUP(E134,'Daily Attendance 25-26'!$A$1:$BO$1741,5,0),"")</f>
        <v/>
      </c>
      <c r="O134" s="83"/>
      <c r="P134" s="10"/>
      <c r="Q134" s="10" t="str">
        <f t="shared" si="5"/>
        <v>#DIV/0!</v>
      </c>
      <c r="R134" s="10" t="str">
        <f t="shared" si="6"/>
        <v>#DIV/0!</v>
      </c>
      <c r="S134" s="10" t="str">
        <f t="shared" si="18"/>
        <v>#DIV/0!</v>
      </c>
      <c r="T134" s="10" t="str">
        <f t="shared" si="20"/>
        <v>#DIV/0!</v>
      </c>
      <c r="U134" s="10" t="str">
        <f t="shared" si="8"/>
        <v>#DIV/0!</v>
      </c>
      <c r="V134" s="10"/>
      <c r="W134" s="10"/>
      <c r="X134" s="10"/>
      <c r="Y134" s="10"/>
      <c r="Z134" s="10"/>
      <c r="AA134" s="10"/>
      <c r="AB134" s="10"/>
      <c r="AC134" s="10"/>
      <c r="AD134" s="10"/>
      <c r="AE134" s="10"/>
      <c r="AF134" s="10"/>
    </row>
    <row r="135" hidden="1">
      <c r="A135" s="9" t="s">
        <v>352</v>
      </c>
      <c r="B135" s="84"/>
      <c r="C135" s="9"/>
      <c r="D135" s="9" t="str">
        <f t="shared" si="1"/>
        <v/>
      </c>
      <c r="E135" s="10" t="str">
        <f t="shared" si="2"/>
        <v>OT Hours</v>
      </c>
      <c r="F135" s="10" t="str">
        <f>IFERROR(VLOOKUP(C135,'Employees List'!$B$1:$I$999,4,0),"")</f>
        <v/>
      </c>
      <c r="G135" s="10" t="str">
        <f t="shared" si="21"/>
        <v>#DIV/0!</v>
      </c>
      <c r="H135" s="72" t="str">
        <f>IFERROR(VLOOKUP(C135,'Employees List'!$B$2:$I$991,7,0),"")</f>
        <v/>
      </c>
      <c r="I135" s="73" t="str">
        <f>IFERROR(VLOOKUP(F135,'Employees List'!$E$1:$AE$991,6,0),"")</f>
        <v/>
      </c>
      <c r="J135" s="71">
        <f t="shared" si="3"/>
        <v>0</v>
      </c>
      <c r="K135" s="71">
        <f t="shared" si="4"/>
        <v>0</v>
      </c>
      <c r="L135" s="10" t="str">
        <f>IFERROR(VLOOKUP(B135,'Employees List'!$A$2:$K$991,11,0),"")</f>
        <v/>
      </c>
      <c r="M135" s="74" t="str">
        <f>IFERROR(VLOOKUP(D135,'Daily Attendance 25-26'!$A$4:BP999,5,0),"")</f>
        <v/>
      </c>
      <c r="N135" s="10" t="str">
        <f>IFERROR(VLOOKUP(E135,'Daily Attendance 25-26'!$A$1:$BO$1741,5,0),"")</f>
        <v/>
      </c>
      <c r="O135" s="83"/>
      <c r="P135" s="10"/>
      <c r="Q135" s="10" t="str">
        <f t="shared" si="5"/>
        <v>#DIV/0!</v>
      </c>
      <c r="R135" s="10" t="str">
        <f t="shared" si="6"/>
        <v>#DIV/0!</v>
      </c>
      <c r="S135" s="10" t="str">
        <f t="shared" si="18"/>
        <v>#DIV/0!</v>
      </c>
      <c r="T135" s="10" t="str">
        <f t="shared" si="20"/>
        <v>#DIV/0!</v>
      </c>
      <c r="U135" s="10" t="str">
        <f t="shared" si="8"/>
        <v>#DIV/0!</v>
      </c>
      <c r="V135" s="10"/>
      <c r="W135" s="10"/>
      <c r="X135" s="10"/>
      <c r="Y135" s="10"/>
      <c r="Z135" s="10"/>
      <c r="AA135" s="10"/>
      <c r="AB135" s="10"/>
      <c r="AC135" s="10"/>
      <c r="AD135" s="10"/>
      <c r="AE135" s="10"/>
      <c r="AF135" s="10"/>
    </row>
    <row r="136" hidden="1">
      <c r="A136" s="9" t="s">
        <v>353</v>
      </c>
      <c r="B136" s="84"/>
      <c r="C136" s="9"/>
      <c r="D136" s="9" t="str">
        <f t="shared" si="1"/>
        <v/>
      </c>
      <c r="E136" s="10" t="str">
        <f t="shared" si="2"/>
        <v>OT Hours</v>
      </c>
      <c r="F136" s="10" t="str">
        <f>IFERROR(VLOOKUP(C136,'Employees List'!$B$1:$I$999,4,0),"")</f>
        <v/>
      </c>
      <c r="G136" s="10" t="str">
        <f t="shared" si="21"/>
        <v>#DIV/0!</v>
      </c>
      <c r="H136" s="72" t="str">
        <f>IFERROR(VLOOKUP(C136,'Employees List'!$B$2:$I$991,7,0),"")</f>
        <v/>
      </c>
      <c r="I136" s="73" t="str">
        <f>IFERROR(VLOOKUP(F136,'Employees List'!$E$1:$AE$991,6,0),"")</f>
        <v/>
      </c>
      <c r="J136" s="71">
        <f t="shared" si="3"/>
        <v>0</v>
      </c>
      <c r="K136" s="71">
        <f t="shared" si="4"/>
        <v>0</v>
      </c>
      <c r="L136" s="10" t="str">
        <f>IFERROR(VLOOKUP(B136,'Employees List'!$A$2:$K$991,11,0),"")</f>
        <v/>
      </c>
      <c r="M136" s="74" t="str">
        <f>IFERROR(VLOOKUP(D136,'Daily Attendance 25-26'!$A$4:BP999,5,0),"")</f>
        <v/>
      </c>
      <c r="N136" s="10" t="str">
        <f>IFERROR(VLOOKUP(E136,'Daily Attendance 25-26'!$A$1:$BO$1741,5,0),"")</f>
        <v/>
      </c>
      <c r="O136" s="83"/>
      <c r="P136" s="10"/>
      <c r="Q136" s="10" t="str">
        <f t="shared" si="5"/>
        <v>#DIV/0!</v>
      </c>
      <c r="R136" s="10" t="str">
        <f t="shared" si="6"/>
        <v>#DIV/0!</v>
      </c>
      <c r="S136" s="10" t="str">
        <f t="shared" si="18"/>
        <v>#DIV/0!</v>
      </c>
      <c r="T136" s="10" t="str">
        <f t="shared" si="20"/>
        <v>#DIV/0!</v>
      </c>
      <c r="U136" s="10" t="str">
        <f t="shared" si="8"/>
        <v>#DIV/0!</v>
      </c>
      <c r="V136" s="10"/>
      <c r="W136" s="10"/>
      <c r="X136" s="10"/>
      <c r="Y136" s="10"/>
      <c r="Z136" s="10"/>
      <c r="AA136" s="10"/>
      <c r="AB136" s="10"/>
      <c r="AC136" s="10"/>
      <c r="AD136" s="10"/>
      <c r="AE136" s="10"/>
      <c r="AF136" s="10"/>
    </row>
    <row r="137" hidden="1">
      <c r="A137" s="9" t="s">
        <v>354</v>
      </c>
      <c r="B137" s="84"/>
      <c r="C137" s="9"/>
      <c r="D137" s="9" t="str">
        <f t="shared" si="1"/>
        <v/>
      </c>
      <c r="E137" s="10" t="str">
        <f t="shared" si="2"/>
        <v>OT Hours</v>
      </c>
      <c r="F137" s="10" t="str">
        <f>IFERROR(VLOOKUP(C137,'Employees List'!$B$1:$I$999,4,0),"")</f>
        <v/>
      </c>
      <c r="G137" s="10" t="str">
        <f t="shared" si="21"/>
        <v>#DIV/0!</v>
      </c>
      <c r="H137" s="72" t="str">
        <f>IFERROR(VLOOKUP(C137,'Employees List'!$B$2:$I$991,7,0),"")</f>
        <v/>
      </c>
      <c r="I137" s="73" t="str">
        <f>IFERROR(VLOOKUP(F137,'Employees List'!$E$1:$AE$991,6,0),"")</f>
        <v/>
      </c>
      <c r="J137" s="71">
        <f t="shared" si="3"/>
        <v>0</v>
      </c>
      <c r="K137" s="71">
        <f t="shared" si="4"/>
        <v>0</v>
      </c>
      <c r="L137" s="10" t="str">
        <f>IFERROR(VLOOKUP(B137,'Employees List'!$A$2:$K$991,11,0),"")</f>
        <v/>
      </c>
      <c r="M137" s="74" t="str">
        <f>IFERROR(VLOOKUP(D137,'Daily Attendance 25-26'!$A$4:BP999,5,0),"")</f>
        <v/>
      </c>
      <c r="N137" s="10" t="str">
        <f>IFERROR(VLOOKUP(E137,'Daily Attendance 25-26'!$A$1:$BO$1741,5,0),"")</f>
        <v/>
      </c>
      <c r="O137" s="83"/>
      <c r="P137" s="10"/>
      <c r="Q137" s="10" t="str">
        <f t="shared" si="5"/>
        <v>#DIV/0!</v>
      </c>
      <c r="R137" s="10" t="str">
        <f t="shared" si="6"/>
        <v>#DIV/0!</v>
      </c>
      <c r="S137" s="10" t="str">
        <f t="shared" si="18"/>
        <v>#DIV/0!</v>
      </c>
      <c r="T137" s="10" t="str">
        <f t="shared" si="20"/>
        <v>#DIV/0!</v>
      </c>
      <c r="U137" s="10" t="str">
        <f t="shared" si="8"/>
        <v>#DIV/0!</v>
      </c>
      <c r="V137" s="10"/>
      <c r="W137" s="10"/>
      <c r="X137" s="10"/>
      <c r="Y137" s="10"/>
      <c r="Z137" s="10"/>
      <c r="AA137" s="10"/>
      <c r="AB137" s="10"/>
      <c r="AC137" s="10"/>
      <c r="AD137" s="10"/>
      <c r="AE137" s="10"/>
      <c r="AF137" s="10"/>
    </row>
    <row r="138" hidden="1">
      <c r="A138" s="9" t="s">
        <v>355</v>
      </c>
      <c r="B138" s="84"/>
      <c r="C138" s="9"/>
      <c r="D138" s="9" t="str">
        <f t="shared" si="1"/>
        <v/>
      </c>
      <c r="E138" s="10" t="str">
        <f t="shared" si="2"/>
        <v>OT Hours</v>
      </c>
      <c r="F138" s="10" t="str">
        <f>IFERROR(VLOOKUP(C138,'Employees List'!$B$1:$I$999,4,0),"")</f>
        <v/>
      </c>
      <c r="G138" s="10" t="str">
        <f t="shared" si="21"/>
        <v>#DIV/0!</v>
      </c>
      <c r="H138" s="72" t="str">
        <f>IFERROR(VLOOKUP(C138,'Employees List'!$B$2:$I$991,7,0),"")</f>
        <v/>
      </c>
      <c r="I138" s="73" t="str">
        <f>IFERROR(VLOOKUP(F138,'Employees List'!$E$1:$AE$991,6,0),"")</f>
        <v/>
      </c>
      <c r="J138" s="71">
        <f t="shared" si="3"/>
        <v>0</v>
      </c>
      <c r="K138" s="71">
        <f t="shared" si="4"/>
        <v>0</v>
      </c>
      <c r="L138" s="10" t="str">
        <f>IFERROR(VLOOKUP(B138,'Employees List'!$A$2:$K$991,11,0),"")</f>
        <v/>
      </c>
      <c r="M138" s="74" t="str">
        <f>IFERROR(VLOOKUP(D138,'Daily Attendance 25-26'!$A$4:BP999,5,0),"")</f>
        <v/>
      </c>
      <c r="N138" s="10" t="str">
        <f>IFERROR(VLOOKUP(E138,'Daily Attendance 25-26'!$A$1:$BO$1741,5,0),"")</f>
        <v/>
      </c>
      <c r="O138" s="83"/>
      <c r="P138" s="10"/>
      <c r="Q138" s="10" t="str">
        <f t="shared" si="5"/>
        <v>#DIV/0!</v>
      </c>
      <c r="R138" s="10" t="str">
        <f t="shared" si="6"/>
        <v>#DIV/0!</v>
      </c>
      <c r="S138" s="10" t="str">
        <f t="shared" si="18"/>
        <v>#DIV/0!</v>
      </c>
      <c r="T138" s="10" t="str">
        <f t="shared" si="20"/>
        <v>#DIV/0!</v>
      </c>
      <c r="U138" s="10" t="str">
        <f t="shared" si="8"/>
        <v>#DIV/0!</v>
      </c>
      <c r="V138" s="10"/>
      <c r="W138" s="10"/>
      <c r="X138" s="10"/>
      <c r="Y138" s="10"/>
      <c r="Z138" s="10"/>
      <c r="AA138" s="10"/>
      <c r="AB138" s="10"/>
      <c r="AC138" s="10"/>
      <c r="AD138" s="10"/>
      <c r="AE138" s="10"/>
      <c r="AF138" s="10"/>
    </row>
    <row r="139" hidden="1">
      <c r="A139" s="9" t="s">
        <v>356</v>
      </c>
      <c r="B139" s="84"/>
      <c r="C139" s="9"/>
      <c r="D139" s="9" t="str">
        <f t="shared" si="1"/>
        <v/>
      </c>
      <c r="E139" s="10" t="str">
        <f t="shared" si="2"/>
        <v>OT Hours</v>
      </c>
      <c r="F139" s="10" t="str">
        <f>IFERROR(VLOOKUP(C139,'Employees List'!$B$1:$I$999,4,0),"")</f>
        <v/>
      </c>
      <c r="G139" s="10" t="str">
        <f t="shared" si="21"/>
        <v>#DIV/0!</v>
      </c>
      <c r="H139" s="72" t="str">
        <f>IFERROR(VLOOKUP(C139,'Employees List'!$B$2:$I$991,7,0),"")</f>
        <v/>
      </c>
      <c r="I139" s="73" t="str">
        <f>IFERROR(VLOOKUP(F139,'Employees List'!$E$1:$AE$991,6,0),"")</f>
        <v/>
      </c>
      <c r="J139" s="71">
        <f t="shared" si="3"/>
        <v>0</v>
      </c>
      <c r="K139" s="71">
        <f t="shared" si="4"/>
        <v>0</v>
      </c>
      <c r="L139" s="10" t="str">
        <f>IFERROR(VLOOKUP(B139,'Employees List'!$A$2:$K$991,11,0),"")</f>
        <v/>
      </c>
      <c r="M139" s="74" t="str">
        <f>IFERROR(VLOOKUP(D139,'Daily Attendance 25-26'!$A$4:BP999,5,0),"")</f>
        <v/>
      </c>
      <c r="N139" s="10" t="str">
        <f>IFERROR(VLOOKUP(E139,'Daily Attendance 25-26'!$A$1:$BO$1741,5,0),"")</f>
        <v/>
      </c>
      <c r="O139" s="83"/>
      <c r="P139" s="10"/>
      <c r="Q139" s="10" t="str">
        <f t="shared" si="5"/>
        <v>#DIV/0!</v>
      </c>
      <c r="R139" s="10" t="str">
        <f t="shared" si="6"/>
        <v>#DIV/0!</v>
      </c>
      <c r="S139" s="10" t="str">
        <f t="shared" si="18"/>
        <v>#DIV/0!</v>
      </c>
      <c r="T139" s="10" t="str">
        <f t="shared" si="20"/>
        <v>#DIV/0!</v>
      </c>
      <c r="U139" s="10" t="str">
        <f t="shared" si="8"/>
        <v>#DIV/0!</v>
      </c>
      <c r="V139" s="10"/>
      <c r="W139" s="10"/>
      <c r="X139" s="10"/>
      <c r="Y139" s="10"/>
      <c r="Z139" s="10"/>
      <c r="AA139" s="10"/>
      <c r="AB139" s="10"/>
      <c r="AC139" s="10"/>
      <c r="AD139" s="10"/>
      <c r="AE139" s="10"/>
      <c r="AF139" s="10"/>
    </row>
    <row r="140" hidden="1">
      <c r="A140" s="9" t="s">
        <v>357</v>
      </c>
      <c r="B140" s="84"/>
      <c r="C140" s="9"/>
      <c r="D140" s="9" t="str">
        <f t="shared" si="1"/>
        <v/>
      </c>
      <c r="E140" s="10" t="str">
        <f t="shared" si="2"/>
        <v>OT Hours</v>
      </c>
      <c r="F140" s="10" t="str">
        <f>IFERROR(VLOOKUP(C140,'Employees List'!$B$1:$I$999,4,0),"")</f>
        <v/>
      </c>
      <c r="G140" s="10" t="str">
        <f t="shared" si="21"/>
        <v>#DIV/0!</v>
      </c>
      <c r="H140" s="72" t="str">
        <f>IFERROR(VLOOKUP(C140,'Employees List'!$B$2:$I$991,7,0),"")</f>
        <v/>
      </c>
      <c r="I140" s="73" t="str">
        <f>IFERROR(VLOOKUP(F140,'Employees List'!$E$1:$AE$991,6,0),"")</f>
        <v/>
      </c>
      <c r="J140" s="71">
        <f t="shared" si="3"/>
        <v>0</v>
      </c>
      <c r="K140" s="71">
        <f t="shared" si="4"/>
        <v>0</v>
      </c>
      <c r="L140" s="10" t="str">
        <f>IFERROR(VLOOKUP(B140,'Employees List'!$A$2:$K$991,11,0),"")</f>
        <v/>
      </c>
      <c r="M140" s="74" t="str">
        <f>IFERROR(VLOOKUP(D140,'Daily Attendance 25-26'!$A$4:BP999,5,0),"")</f>
        <v/>
      </c>
      <c r="N140" s="10" t="str">
        <f>IFERROR(VLOOKUP(E140,'Daily Attendance 25-26'!$A$1:$BO$1741,5,0),"")</f>
        <v/>
      </c>
      <c r="O140" s="83"/>
      <c r="P140" s="10"/>
      <c r="Q140" s="10" t="str">
        <f t="shared" si="5"/>
        <v>#DIV/0!</v>
      </c>
      <c r="R140" s="10" t="str">
        <f t="shared" si="6"/>
        <v>#DIV/0!</v>
      </c>
      <c r="S140" s="10" t="str">
        <f t="shared" si="18"/>
        <v>#DIV/0!</v>
      </c>
      <c r="T140" s="10" t="str">
        <f t="shared" si="20"/>
        <v>#DIV/0!</v>
      </c>
      <c r="U140" s="10" t="str">
        <f t="shared" si="8"/>
        <v>#DIV/0!</v>
      </c>
      <c r="V140" s="10"/>
      <c r="W140" s="10"/>
      <c r="X140" s="10"/>
      <c r="Y140" s="10"/>
      <c r="Z140" s="10"/>
      <c r="AA140" s="10"/>
      <c r="AB140" s="10"/>
      <c r="AC140" s="10"/>
      <c r="AD140" s="10"/>
      <c r="AE140" s="10"/>
      <c r="AF140" s="10"/>
    </row>
    <row r="141" hidden="1">
      <c r="A141" s="9" t="s">
        <v>358</v>
      </c>
      <c r="B141" s="84"/>
      <c r="C141" s="9"/>
      <c r="D141" s="9" t="str">
        <f t="shared" si="1"/>
        <v/>
      </c>
      <c r="E141" s="10" t="str">
        <f t="shared" si="2"/>
        <v>OT Hours</v>
      </c>
      <c r="F141" s="10" t="str">
        <f>IFERROR(VLOOKUP(C141,'Employees List'!$B$1:$I$999,4,0),"")</f>
        <v/>
      </c>
      <c r="G141" s="10" t="str">
        <f t="shared" si="21"/>
        <v>#DIV/0!</v>
      </c>
      <c r="H141" s="72" t="str">
        <f>IFERROR(VLOOKUP(C141,'Employees List'!$B$2:$I$991,7,0),"")</f>
        <v/>
      </c>
      <c r="I141" s="73" t="str">
        <f>IFERROR(VLOOKUP(F141,'Employees List'!$E$1:$AE$991,6,0),"")</f>
        <v/>
      </c>
      <c r="J141" s="71">
        <f t="shared" si="3"/>
        <v>0</v>
      </c>
      <c r="K141" s="71">
        <f t="shared" si="4"/>
        <v>0</v>
      </c>
      <c r="L141" s="10" t="str">
        <f>IFERROR(VLOOKUP(B141,'Employees List'!$A$2:$K$991,11,0),"")</f>
        <v/>
      </c>
      <c r="M141" s="74" t="str">
        <f>IFERROR(VLOOKUP(D141,'Daily Attendance 25-26'!$A$4:BP999,5,0),"")</f>
        <v/>
      </c>
      <c r="N141" s="10" t="str">
        <f>IFERROR(VLOOKUP(E141,'Daily Attendance 25-26'!$A$1:$BO$1741,5,0),"")</f>
        <v/>
      </c>
      <c r="O141" s="83"/>
      <c r="P141" s="10"/>
      <c r="Q141" s="10" t="str">
        <f t="shared" si="5"/>
        <v>#DIV/0!</v>
      </c>
      <c r="R141" s="10" t="str">
        <f t="shared" si="6"/>
        <v>#DIV/0!</v>
      </c>
      <c r="S141" s="10" t="str">
        <f t="shared" si="18"/>
        <v>#DIV/0!</v>
      </c>
      <c r="T141" s="10" t="str">
        <f t="shared" si="20"/>
        <v>#DIV/0!</v>
      </c>
      <c r="U141" s="10" t="str">
        <f t="shared" si="8"/>
        <v>#DIV/0!</v>
      </c>
      <c r="V141" s="10"/>
      <c r="W141" s="10"/>
      <c r="X141" s="10"/>
      <c r="Y141" s="10"/>
      <c r="Z141" s="10"/>
      <c r="AA141" s="10"/>
      <c r="AB141" s="10"/>
      <c r="AC141" s="10"/>
      <c r="AD141" s="10"/>
      <c r="AE141" s="10"/>
      <c r="AF141" s="10"/>
    </row>
    <row r="142" hidden="1">
      <c r="A142" s="9" t="s">
        <v>359</v>
      </c>
      <c r="B142" s="84"/>
      <c r="C142" s="9"/>
      <c r="D142" s="9" t="str">
        <f t="shared" si="1"/>
        <v/>
      </c>
      <c r="E142" s="10" t="str">
        <f t="shared" si="2"/>
        <v>OT Hours</v>
      </c>
      <c r="F142" s="10" t="str">
        <f>IFERROR(VLOOKUP(C142,'Employees List'!$B$1:$I$999,4,0),"")</f>
        <v/>
      </c>
      <c r="G142" s="10" t="str">
        <f t="shared" si="21"/>
        <v>#DIV/0!</v>
      </c>
      <c r="H142" s="72" t="str">
        <f>IFERROR(VLOOKUP(C142,'Employees List'!$B$2:$I$991,7,0),"")</f>
        <v/>
      </c>
      <c r="I142" s="73" t="str">
        <f>IFERROR(VLOOKUP(F142,'Employees List'!$E$1:$AE$991,6,0),"")</f>
        <v/>
      </c>
      <c r="J142" s="71">
        <f t="shared" si="3"/>
        <v>0</v>
      </c>
      <c r="K142" s="71">
        <f t="shared" si="4"/>
        <v>0</v>
      </c>
      <c r="L142" s="10" t="str">
        <f>IFERROR(VLOOKUP(B142,'Employees List'!$A$2:$K$991,11,0),"")</f>
        <v/>
      </c>
      <c r="M142" s="74" t="str">
        <f>IFERROR(VLOOKUP(D142,'Daily Attendance 25-26'!$A$4:BP999,5,0),"")</f>
        <v/>
      </c>
      <c r="N142" s="10" t="str">
        <f>IFERROR(VLOOKUP(E142,'Daily Attendance 25-26'!$A$1:$BO$1741,5,0),"")</f>
        <v/>
      </c>
      <c r="O142" s="83"/>
      <c r="P142" s="10"/>
      <c r="Q142" s="10" t="str">
        <f t="shared" si="5"/>
        <v>#DIV/0!</v>
      </c>
      <c r="R142" s="10" t="str">
        <f t="shared" si="6"/>
        <v>#DIV/0!</v>
      </c>
      <c r="S142" s="10" t="str">
        <f t="shared" si="18"/>
        <v>#DIV/0!</v>
      </c>
      <c r="T142" s="10" t="str">
        <f t="shared" si="20"/>
        <v>#DIV/0!</v>
      </c>
      <c r="U142" s="10" t="str">
        <f t="shared" si="8"/>
        <v>#DIV/0!</v>
      </c>
      <c r="V142" s="10"/>
      <c r="W142" s="10"/>
      <c r="X142" s="10"/>
      <c r="Y142" s="10"/>
      <c r="Z142" s="10"/>
      <c r="AA142" s="10"/>
      <c r="AB142" s="10"/>
      <c r="AC142" s="10"/>
      <c r="AD142" s="10"/>
      <c r="AE142" s="10"/>
      <c r="AF142" s="10"/>
    </row>
    <row r="143" hidden="1">
      <c r="A143" s="9" t="s">
        <v>360</v>
      </c>
      <c r="B143" s="84"/>
      <c r="C143" s="9"/>
      <c r="D143" s="9" t="str">
        <f t="shared" si="1"/>
        <v/>
      </c>
      <c r="E143" s="10" t="str">
        <f t="shared" si="2"/>
        <v>OT Hours</v>
      </c>
      <c r="F143" s="10" t="str">
        <f>IFERROR(VLOOKUP(C143,'Employees List'!$B$1:$I$999,4,0),"")</f>
        <v/>
      </c>
      <c r="G143" s="10" t="str">
        <f t="shared" si="21"/>
        <v>#DIV/0!</v>
      </c>
      <c r="H143" s="72" t="str">
        <f>IFERROR(VLOOKUP(C143,'Employees List'!$B$2:$I$991,7,0),"")</f>
        <v/>
      </c>
      <c r="I143" s="73" t="str">
        <f>IFERROR(VLOOKUP(F143,'Employees List'!$E$1:$AE$991,6,0),"")</f>
        <v/>
      </c>
      <c r="J143" s="71">
        <f t="shared" si="3"/>
        <v>0</v>
      </c>
      <c r="K143" s="71">
        <f t="shared" si="4"/>
        <v>0</v>
      </c>
      <c r="L143" s="10" t="str">
        <f>IFERROR(VLOOKUP(B143,'Employees List'!$A$2:$K$991,11,0),"")</f>
        <v/>
      </c>
      <c r="M143" s="74" t="str">
        <f>IFERROR(VLOOKUP(D143,'Daily Attendance 25-26'!$A$4:BP999,5,0),"")</f>
        <v/>
      </c>
      <c r="N143" s="10" t="str">
        <f>IFERROR(VLOOKUP(E143,'Daily Attendance 25-26'!$A$1:$BO$1741,5,0),"")</f>
        <v/>
      </c>
      <c r="O143" s="83"/>
      <c r="P143" s="10"/>
      <c r="Q143" s="10" t="str">
        <f t="shared" si="5"/>
        <v>#DIV/0!</v>
      </c>
      <c r="R143" s="10" t="str">
        <f t="shared" si="6"/>
        <v>#DIV/0!</v>
      </c>
      <c r="S143" s="10" t="str">
        <f t="shared" si="18"/>
        <v>#DIV/0!</v>
      </c>
      <c r="T143" s="10" t="str">
        <f t="shared" ref="T143:T999" si="22">(S143+O143)*0.75%</f>
        <v>#DIV/0!</v>
      </c>
      <c r="U143" s="10" t="str">
        <f t="shared" si="8"/>
        <v>#DIV/0!</v>
      </c>
      <c r="V143" s="10"/>
      <c r="W143" s="10"/>
      <c r="X143" s="10"/>
      <c r="Y143" s="10"/>
      <c r="Z143" s="10"/>
      <c r="AA143" s="10"/>
      <c r="AB143" s="10"/>
      <c r="AC143" s="10"/>
      <c r="AD143" s="10"/>
      <c r="AE143" s="10"/>
      <c r="AF143" s="10"/>
    </row>
    <row r="144" hidden="1">
      <c r="A144" s="9" t="s">
        <v>361</v>
      </c>
      <c r="B144" s="84"/>
      <c r="C144" s="9"/>
      <c r="D144" s="9" t="str">
        <f t="shared" si="1"/>
        <v/>
      </c>
      <c r="E144" s="10" t="str">
        <f t="shared" si="2"/>
        <v>OT Hours</v>
      </c>
      <c r="F144" s="10" t="str">
        <f>IFERROR(VLOOKUP(C144,'Employees List'!$B$1:$I$999,4,0),"")</f>
        <v/>
      </c>
      <c r="G144" s="10" t="str">
        <f t="shared" si="21"/>
        <v>#DIV/0!</v>
      </c>
      <c r="H144" s="72" t="str">
        <f>IFERROR(VLOOKUP(C144,'Employees List'!$B$2:$I$991,7,0),"")</f>
        <v/>
      </c>
      <c r="I144" s="73" t="str">
        <f>IFERROR(VLOOKUP(F144,'Employees List'!$E$1:$AE$991,6,0),"")</f>
        <v/>
      </c>
      <c r="J144" s="71">
        <f t="shared" si="3"/>
        <v>0</v>
      </c>
      <c r="K144" s="71">
        <f t="shared" si="4"/>
        <v>0</v>
      </c>
      <c r="L144" s="10" t="str">
        <f>IFERROR(VLOOKUP(B144,'Employees List'!$A$2:$K$991,11,0),"")</f>
        <v/>
      </c>
      <c r="M144" s="74" t="str">
        <f>IFERROR(VLOOKUP(D144,'Daily Attendance 25-26'!$A$4:BP999,5,0),"")</f>
        <v/>
      </c>
      <c r="N144" s="10" t="str">
        <f>IFERROR(VLOOKUP(E144,'Daily Attendance 25-26'!$A$1:$BO$1741,5,0),"")</f>
        <v/>
      </c>
      <c r="O144" s="83"/>
      <c r="P144" s="10"/>
      <c r="Q144" s="10" t="str">
        <f t="shared" si="5"/>
        <v>#DIV/0!</v>
      </c>
      <c r="R144" s="10" t="str">
        <f t="shared" si="6"/>
        <v>#DIV/0!</v>
      </c>
      <c r="S144" s="10" t="str">
        <f t="shared" si="18"/>
        <v>#DIV/0!</v>
      </c>
      <c r="T144" s="10" t="str">
        <f t="shared" si="22"/>
        <v>#DIV/0!</v>
      </c>
      <c r="U144" s="10" t="str">
        <f t="shared" si="8"/>
        <v>#DIV/0!</v>
      </c>
      <c r="V144" s="10"/>
      <c r="W144" s="10"/>
      <c r="X144" s="10"/>
      <c r="Y144" s="10"/>
      <c r="Z144" s="10"/>
      <c r="AA144" s="10"/>
      <c r="AB144" s="10"/>
      <c r="AC144" s="10"/>
      <c r="AD144" s="10"/>
      <c r="AE144" s="10"/>
      <c r="AF144" s="10"/>
    </row>
    <row r="145" hidden="1">
      <c r="A145" s="9" t="s">
        <v>362</v>
      </c>
      <c r="B145" s="84"/>
      <c r="C145" s="9"/>
      <c r="D145" s="9" t="str">
        <f t="shared" si="1"/>
        <v/>
      </c>
      <c r="E145" s="10" t="str">
        <f t="shared" si="2"/>
        <v>OT Hours</v>
      </c>
      <c r="F145" s="10" t="str">
        <f>IFERROR(VLOOKUP(C145,'Employees List'!$B$1:$I$999,4,0),"")</f>
        <v/>
      </c>
      <c r="G145" s="10" t="str">
        <f t="shared" si="21"/>
        <v>#DIV/0!</v>
      </c>
      <c r="H145" s="72" t="str">
        <f>IFERROR(VLOOKUP(C145,'Employees List'!$B$2:$I$991,7,0),"")</f>
        <v/>
      </c>
      <c r="I145" s="73" t="str">
        <f>IFERROR(VLOOKUP(F145,'Employees List'!$E$1:$AE$991,6,0),"")</f>
        <v/>
      </c>
      <c r="J145" s="71">
        <f t="shared" si="3"/>
        <v>0</v>
      </c>
      <c r="K145" s="71">
        <f t="shared" si="4"/>
        <v>0</v>
      </c>
      <c r="L145" s="10" t="str">
        <f>IFERROR(VLOOKUP(B145,'Employees List'!$A$2:$K$991,11,0),"")</f>
        <v/>
      </c>
      <c r="M145" s="74" t="str">
        <f>IFERROR(VLOOKUP(D145,'Daily Attendance 25-26'!$A$4:BP999,5,0),"")</f>
        <v/>
      </c>
      <c r="N145" s="10" t="str">
        <f>IFERROR(VLOOKUP(E145,'Daily Attendance 25-26'!$A$1:$BO$1741,5,0),"")</f>
        <v/>
      </c>
      <c r="O145" s="83"/>
      <c r="P145" s="10"/>
      <c r="Q145" s="10" t="str">
        <f t="shared" si="5"/>
        <v>#DIV/0!</v>
      </c>
      <c r="R145" s="10" t="str">
        <f t="shared" si="6"/>
        <v>#DIV/0!</v>
      </c>
      <c r="S145" s="10" t="str">
        <f t="shared" si="18"/>
        <v>#DIV/0!</v>
      </c>
      <c r="T145" s="10" t="str">
        <f t="shared" si="22"/>
        <v>#DIV/0!</v>
      </c>
      <c r="U145" s="10" t="str">
        <f t="shared" si="8"/>
        <v>#DIV/0!</v>
      </c>
      <c r="V145" s="10"/>
      <c r="W145" s="10"/>
      <c r="X145" s="10"/>
      <c r="Y145" s="10"/>
      <c r="Z145" s="10"/>
      <c r="AA145" s="10"/>
      <c r="AB145" s="10"/>
      <c r="AC145" s="10"/>
      <c r="AD145" s="10"/>
      <c r="AE145" s="10"/>
      <c r="AF145" s="10"/>
    </row>
    <row r="146" hidden="1">
      <c r="A146" s="9" t="s">
        <v>363</v>
      </c>
      <c r="B146" s="84"/>
      <c r="C146" s="9"/>
      <c r="D146" s="9" t="str">
        <f t="shared" si="1"/>
        <v/>
      </c>
      <c r="E146" s="10" t="str">
        <f t="shared" si="2"/>
        <v>OT Hours</v>
      </c>
      <c r="F146" s="10" t="str">
        <f>IFERROR(VLOOKUP(C146,'Employees List'!$B$1:$I$999,4,0),"")</f>
        <v/>
      </c>
      <c r="G146" s="10" t="str">
        <f t="shared" si="21"/>
        <v>#DIV/0!</v>
      </c>
      <c r="H146" s="72" t="str">
        <f>IFERROR(VLOOKUP(C146,'Employees List'!$B$2:$I$991,7,0),"")</f>
        <v/>
      </c>
      <c r="I146" s="73" t="str">
        <f>IFERROR(VLOOKUP(F146,'Employees List'!$E$1:$AE$991,6,0),"")</f>
        <v/>
      </c>
      <c r="J146" s="71">
        <f t="shared" si="3"/>
        <v>0</v>
      </c>
      <c r="K146" s="71">
        <f t="shared" si="4"/>
        <v>0</v>
      </c>
      <c r="L146" s="10" t="str">
        <f>IFERROR(VLOOKUP(B146,'Employees List'!$A$2:$K$991,11,0),"")</f>
        <v/>
      </c>
      <c r="M146" s="74" t="str">
        <f>IFERROR(VLOOKUP(D146,'Daily Attendance 25-26'!$A$4:BP999,5,0),"")</f>
        <v/>
      </c>
      <c r="N146" s="10" t="str">
        <f>IFERROR(VLOOKUP(E146,'Daily Attendance 25-26'!$A$1:$BO$1741,5,0),"")</f>
        <v/>
      </c>
      <c r="O146" s="83"/>
      <c r="P146" s="10"/>
      <c r="Q146" s="10" t="str">
        <f t="shared" si="5"/>
        <v>#DIV/0!</v>
      </c>
      <c r="R146" s="10" t="str">
        <f t="shared" si="6"/>
        <v>#DIV/0!</v>
      </c>
      <c r="S146" s="10" t="str">
        <f t="shared" si="18"/>
        <v>#DIV/0!</v>
      </c>
      <c r="T146" s="10" t="str">
        <f t="shared" si="22"/>
        <v>#DIV/0!</v>
      </c>
      <c r="U146" s="10" t="str">
        <f t="shared" si="8"/>
        <v>#DIV/0!</v>
      </c>
      <c r="V146" s="10"/>
      <c r="W146" s="10"/>
      <c r="X146" s="10"/>
      <c r="Y146" s="10"/>
      <c r="Z146" s="10"/>
      <c r="AA146" s="10"/>
      <c r="AB146" s="10"/>
      <c r="AC146" s="10"/>
      <c r="AD146" s="10"/>
      <c r="AE146" s="10"/>
      <c r="AF146" s="10"/>
    </row>
    <row r="147" hidden="1">
      <c r="A147" s="9" t="s">
        <v>364</v>
      </c>
      <c r="B147" s="84"/>
      <c r="C147" s="9"/>
      <c r="D147" s="9" t="str">
        <f t="shared" si="1"/>
        <v/>
      </c>
      <c r="E147" s="10" t="str">
        <f t="shared" si="2"/>
        <v>OT Hours</v>
      </c>
      <c r="F147" s="10" t="str">
        <f>IFERROR(VLOOKUP(C147,'Employees List'!$B$1:$I$999,4,0),"")</f>
        <v/>
      </c>
      <c r="G147" s="10" t="str">
        <f t="shared" si="21"/>
        <v>#DIV/0!</v>
      </c>
      <c r="H147" s="72" t="str">
        <f>IFERROR(VLOOKUP(C147,'Employees List'!$B$2:$I$991,7,0),"")</f>
        <v/>
      </c>
      <c r="I147" s="73" t="str">
        <f>IFERROR(VLOOKUP(F147,'Employees List'!$E$1:$AE$991,6,0),"")</f>
        <v/>
      </c>
      <c r="J147" s="71">
        <f t="shared" si="3"/>
        <v>0</v>
      </c>
      <c r="K147" s="71">
        <f t="shared" si="4"/>
        <v>0</v>
      </c>
      <c r="L147" s="10" t="str">
        <f>IFERROR(VLOOKUP(B147,'Employees List'!$A$2:$K$991,11,0),"")</f>
        <v/>
      </c>
      <c r="M147" s="74" t="str">
        <f>IFERROR(VLOOKUP(D147,'Daily Attendance 25-26'!$A$4:BP999,5,0),"")</f>
        <v/>
      </c>
      <c r="N147" s="10" t="str">
        <f>IFERROR(VLOOKUP(E147,'Daily Attendance 25-26'!$A$1:$BO$1741,5,0),"")</f>
        <v/>
      </c>
      <c r="O147" s="83"/>
      <c r="P147" s="10"/>
      <c r="Q147" s="10" t="str">
        <f t="shared" si="5"/>
        <v>#DIV/0!</v>
      </c>
      <c r="R147" s="10" t="str">
        <f t="shared" si="6"/>
        <v>#DIV/0!</v>
      </c>
      <c r="S147" s="10" t="str">
        <f t="shared" si="18"/>
        <v>#DIV/0!</v>
      </c>
      <c r="T147" s="10" t="str">
        <f t="shared" si="22"/>
        <v>#DIV/0!</v>
      </c>
      <c r="U147" s="10" t="str">
        <f t="shared" si="8"/>
        <v>#DIV/0!</v>
      </c>
      <c r="V147" s="10"/>
      <c r="W147" s="10"/>
      <c r="X147" s="10"/>
      <c r="Y147" s="10"/>
      <c r="Z147" s="10"/>
      <c r="AA147" s="10"/>
      <c r="AB147" s="10"/>
      <c r="AC147" s="10"/>
      <c r="AD147" s="10"/>
      <c r="AE147" s="10"/>
      <c r="AF147" s="10"/>
    </row>
    <row r="148" hidden="1">
      <c r="A148" s="9" t="s">
        <v>365</v>
      </c>
      <c r="B148" s="84"/>
      <c r="C148" s="9"/>
      <c r="D148" s="9" t="str">
        <f t="shared" si="1"/>
        <v/>
      </c>
      <c r="E148" s="10" t="str">
        <f t="shared" si="2"/>
        <v>OT Hours</v>
      </c>
      <c r="F148" s="10" t="str">
        <f>IFERROR(VLOOKUP(C148,'Employees List'!$B$1:$I$999,4,0),"")</f>
        <v/>
      </c>
      <c r="G148" s="10" t="str">
        <f t="shared" si="21"/>
        <v>#DIV/0!</v>
      </c>
      <c r="H148" s="72" t="str">
        <f>IFERROR(VLOOKUP(C148,'Employees List'!$B$2:$I$991,7,0),"")</f>
        <v/>
      </c>
      <c r="I148" s="73" t="str">
        <f>IFERROR(VLOOKUP(F148,'Employees List'!$E$1:$AE$991,6,0),"")</f>
        <v/>
      </c>
      <c r="J148" s="71">
        <f t="shared" si="3"/>
        <v>0</v>
      </c>
      <c r="K148" s="71">
        <f t="shared" si="4"/>
        <v>0</v>
      </c>
      <c r="L148" s="10" t="str">
        <f>IFERROR(VLOOKUP(B148,'Employees List'!$A$2:$K$991,11,0),"")</f>
        <v/>
      </c>
      <c r="M148" s="74" t="str">
        <f>IFERROR(VLOOKUP(D148,'Daily Attendance 25-26'!$A$4:BP999,5,0),"")</f>
        <v/>
      </c>
      <c r="N148" s="10" t="str">
        <f>IFERROR(VLOOKUP(E148,'Daily Attendance 25-26'!$A$1:$BO$1741,5,0),"")</f>
        <v/>
      </c>
      <c r="O148" s="83"/>
      <c r="P148" s="10"/>
      <c r="Q148" s="10" t="str">
        <f t="shared" si="5"/>
        <v>#DIV/0!</v>
      </c>
      <c r="R148" s="10" t="str">
        <f t="shared" si="6"/>
        <v>#DIV/0!</v>
      </c>
      <c r="S148" s="10" t="str">
        <f t="shared" si="18"/>
        <v>#DIV/0!</v>
      </c>
      <c r="T148" s="10" t="str">
        <f t="shared" si="22"/>
        <v>#DIV/0!</v>
      </c>
      <c r="U148" s="10" t="str">
        <f t="shared" si="8"/>
        <v>#DIV/0!</v>
      </c>
      <c r="V148" s="10"/>
      <c r="W148" s="10"/>
      <c r="X148" s="10"/>
      <c r="Y148" s="10"/>
      <c r="Z148" s="10"/>
      <c r="AA148" s="10"/>
      <c r="AB148" s="10"/>
      <c r="AC148" s="10"/>
      <c r="AD148" s="10"/>
      <c r="AE148" s="10"/>
      <c r="AF148" s="10"/>
    </row>
    <row r="149" hidden="1">
      <c r="A149" s="9" t="s">
        <v>366</v>
      </c>
      <c r="B149" s="84"/>
      <c r="C149" s="9"/>
      <c r="D149" s="9" t="str">
        <f t="shared" si="1"/>
        <v/>
      </c>
      <c r="E149" s="10" t="str">
        <f t="shared" si="2"/>
        <v>OT Hours</v>
      </c>
      <c r="F149" s="10" t="str">
        <f>IFERROR(VLOOKUP(C149,'Employees List'!$B$1:$I$999,4,0),"")</f>
        <v/>
      </c>
      <c r="G149" s="10" t="str">
        <f t="shared" si="21"/>
        <v>#DIV/0!</v>
      </c>
      <c r="H149" s="72" t="str">
        <f>IFERROR(VLOOKUP(C149,'Employees List'!$B$2:$I$991,7,0),"")</f>
        <v/>
      </c>
      <c r="I149" s="73" t="str">
        <f>IFERROR(VLOOKUP(F149,'Employees List'!$E$1:$AE$991,6,0),"")</f>
        <v/>
      </c>
      <c r="J149" s="71">
        <f t="shared" si="3"/>
        <v>0</v>
      </c>
      <c r="K149" s="71">
        <f t="shared" si="4"/>
        <v>0</v>
      </c>
      <c r="L149" s="10" t="str">
        <f>IFERROR(VLOOKUP(B149,'Employees List'!$A$2:$K$991,11,0),"")</f>
        <v/>
      </c>
      <c r="M149" s="74" t="str">
        <f>IFERROR(VLOOKUP(D149,'Daily Attendance 25-26'!$A$4:BP999,5,0),"")</f>
        <v/>
      </c>
      <c r="N149" s="10" t="str">
        <f>IFERROR(VLOOKUP(E149,'Daily Attendance 25-26'!$A$1:$BO$1741,5,0),"")</f>
        <v/>
      </c>
      <c r="O149" s="83"/>
      <c r="P149" s="10"/>
      <c r="Q149" s="10" t="str">
        <f t="shared" si="5"/>
        <v>#DIV/0!</v>
      </c>
      <c r="R149" s="10" t="str">
        <f t="shared" si="6"/>
        <v>#DIV/0!</v>
      </c>
      <c r="S149" s="10" t="str">
        <f t="shared" si="18"/>
        <v>#DIV/0!</v>
      </c>
      <c r="T149" s="10" t="str">
        <f t="shared" si="22"/>
        <v>#DIV/0!</v>
      </c>
      <c r="U149" s="10" t="str">
        <f t="shared" si="8"/>
        <v>#DIV/0!</v>
      </c>
      <c r="V149" s="10"/>
      <c r="W149" s="10"/>
      <c r="X149" s="10"/>
      <c r="Y149" s="10"/>
      <c r="Z149" s="10"/>
      <c r="AA149" s="10"/>
      <c r="AB149" s="10"/>
      <c r="AC149" s="10"/>
      <c r="AD149" s="10"/>
      <c r="AE149" s="10"/>
      <c r="AF149" s="10"/>
    </row>
    <row r="150" hidden="1">
      <c r="A150" s="9" t="s">
        <v>367</v>
      </c>
      <c r="B150" s="84"/>
      <c r="C150" s="9"/>
      <c r="D150" s="9" t="str">
        <f t="shared" si="1"/>
        <v/>
      </c>
      <c r="E150" s="10" t="str">
        <f t="shared" si="2"/>
        <v>OT Hours</v>
      </c>
      <c r="F150" s="10" t="str">
        <f>IFERROR(VLOOKUP(C150,'Employees List'!$B$1:$I$999,4,0),"")</f>
        <v/>
      </c>
      <c r="G150" s="10" t="str">
        <f t="shared" si="21"/>
        <v>#DIV/0!</v>
      </c>
      <c r="H150" s="72" t="str">
        <f>IFERROR(VLOOKUP(C150,'Employees List'!$B$2:$I$991,7,0),"")</f>
        <v/>
      </c>
      <c r="I150" s="73" t="str">
        <f>IFERROR(VLOOKUP(F150,'Employees List'!$E$1:$AE$991,6,0),"")</f>
        <v/>
      </c>
      <c r="J150" s="71">
        <f t="shared" si="3"/>
        <v>0</v>
      </c>
      <c r="K150" s="71">
        <f t="shared" si="4"/>
        <v>0</v>
      </c>
      <c r="L150" s="10" t="str">
        <f>IFERROR(VLOOKUP(B150,'Employees List'!$A$2:$K$991,11,0),"")</f>
        <v/>
      </c>
      <c r="M150" s="74" t="str">
        <f>IFERROR(VLOOKUP(D150,'Daily Attendance 25-26'!$A$4:BP999,5,0),"")</f>
        <v/>
      </c>
      <c r="N150" s="10" t="str">
        <f>IFERROR(VLOOKUP(E150,'Daily Attendance 25-26'!$A$1:$BO$1741,5,0),"")</f>
        <v/>
      </c>
      <c r="O150" s="83"/>
      <c r="P150" s="10"/>
      <c r="Q150" s="10" t="str">
        <f t="shared" si="5"/>
        <v>#DIV/0!</v>
      </c>
      <c r="R150" s="10" t="str">
        <f t="shared" si="6"/>
        <v>#DIV/0!</v>
      </c>
      <c r="S150" s="10" t="str">
        <f t="shared" si="18"/>
        <v>#DIV/0!</v>
      </c>
      <c r="T150" s="10" t="str">
        <f t="shared" si="22"/>
        <v>#DIV/0!</v>
      </c>
      <c r="U150" s="10" t="str">
        <f t="shared" si="8"/>
        <v>#DIV/0!</v>
      </c>
      <c r="V150" s="10"/>
      <c r="W150" s="10"/>
      <c r="X150" s="10"/>
      <c r="Y150" s="10"/>
      <c r="Z150" s="10"/>
      <c r="AA150" s="10"/>
      <c r="AB150" s="10"/>
      <c r="AC150" s="10"/>
      <c r="AD150" s="10"/>
      <c r="AE150" s="10"/>
      <c r="AF150" s="10"/>
    </row>
    <row r="151" hidden="1">
      <c r="A151" s="9" t="s">
        <v>368</v>
      </c>
      <c r="B151" s="84"/>
      <c r="C151" s="9"/>
      <c r="D151" s="9" t="str">
        <f t="shared" si="1"/>
        <v/>
      </c>
      <c r="E151" s="10" t="str">
        <f t="shared" si="2"/>
        <v>OT Hours</v>
      </c>
      <c r="F151" s="10" t="str">
        <f>IFERROR(VLOOKUP(C151,'Employees List'!$B$1:$I$999,4,0),"")</f>
        <v/>
      </c>
      <c r="G151" s="10" t="str">
        <f t="shared" si="21"/>
        <v>#DIV/0!</v>
      </c>
      <c r="H151" s="72" t="str">
        <f>IFERROR(VLOOKUP(C151,'Employees List'!$B$2:$I$991,7,0),"")</f>
        <v/>
      </c>
      <c r="I151" s="73" t="str">
        <f>IFERROR(VLOOKUP(F151,'Employees List'!$E$1:$AE$991,6,0),"")</f>
        <v/>
      </c>
      <c r="J151" s="71">
        <f t="shared" si="3"/>
        <v>0</v>
      </c>
      <c r="K151" s="71">
        <f t="shared" si="4"/>
        <v>0</v>
      </c>
      <c r="L151" s="10" t="str">
        <f>IFERROR(VLOOKUP(B151,'Employees List'!$A$2:$K$991,11,0),"")</f>
        <v/>
      </c>
      <c r="M151" s="74" t="str">
        <f>IFERROR(VLOOKUP(D151,'Daily Attendance 25-26'!$A$4:BP999,5,0),"")</f>
        <v/>
      </c>
      <c r="N151" s="10" t="str">
        <f>IFERROR(VLOOKUP(E151,'Daily Attendance 25-26'!$A$1:$BO$1741,5,0),"")</f>
        <v/>
      </c>
      <c r="O151" s="83"/>
      <c r="P151" s="10"/>
      <c r="Q151" s="10" t="str">
        <f t="shared" si="5"/>
        <v>#DIV/0!</v>
      </c>
      <c r="R151" s="10" t="str">
        <f t="shared" si="6"/>
        <v>#DIV/0!</v>
      </c>
      <c r="S151" s="10" t="str">
        <f t="shared" si="18"/>
        <v>#DIV/0!</v>
      </c>
      <c r="T151" s="10" t="str">
        <f t="shared" si="22"/>
        <v>#DIV/0!</v>
      </c>
      <c r="U151" s="10" t="str">
        <f t="shared" si="8"/>
        <v>#DIV/0!</v>
      </c>
      <c r="V151" s="10"/>
      <c r="W151" s="10"/>
      <c r="X151" s="10"/>
      <c r="Y151" s="10"/>
      <c r="Z151" s="10"/>
      <c r="AA151" s="10"/>
      <c r="AB151" s="10"/>
      <c r="AC151" s="10"/>
      <c r="AD151" s="10"/>
      <c r="AE151" s="10"/>
      <c r="AF151" s="10"/>
    </row>
    <row r="152" hidden="1">
      <c r="A152" s="9" t="s">
        <v>369</v>
      </c>
      <c r="B152" s="84"/>
      <c r="C152" s="9"/>
      <c r="D152" s="9" t="str">
        <f t="shared" si="1"/>
        <v/>
      </c>
      <c r="E152" s="10" t="str">
        <f t="shared" si="2"/>
        <v>OT Hours</v>
      </c>
      <c r="F152" s="10" t="str">
        <f>IFERROR(VLOOKUP(C152,'Employees List'!$B$1:$I$999,4,0),"")</f>
        <v/>
      </c>
      <c r="G152" s="10" t="str">
        <f t="shared" si="21"/>
        <v>#DIV/0!</v>
      </c>
      <c r="H152" s="72" t="str">
        <f>IFERROR(VLOOKUP(C152,'Employees List'!$B$2:$I$991,7,0),"")</f>
        <v/>
      </c>
      <c r="I152" s="73" t="str">
        <f>IFERROR(VLOOKUP(F152,'Employees List'!$E$1:$AE$991,6,0),"")</f>
        <v/>
      </c>
      <c r="J152" s="71">
        <f t="shared" si="3"/>
        <v>0</v>
      </c>
      <c r="K152" s="71">
        <f t="shared" si="4"/>
        <v>0</v>
      </c>
      <c r="L152" s="10" t="str">
        <f>IFERROR(VLOOKUP(B152,'Employees List'!$A$2:$K$991,11,0),"")</f>
        <v/>
      </c>
      <c r="M152" s="74" t="str">
        <f>IFERROR(VLOOKUP(D152,'Daily Attendance 25-26'!$A$4:BP999,5,0),"")</f>
        <v/>
      </c>
      <c r="N152" s="10" t="str">
        <f>IFERROR(VLOOKUP(E152,'Daily Attendance 25-26'!$A$1:$BO$1741,5,0),"")</f>
        <v/>
      </c>
      <c r="O152" s="83"/>
      <c r="P152" s="10"/>
      <c r="Q152" s="10" t="str">
        <f t="shared" si="5"/>
        <v>#DIV/0!</v>
      </c>
      <c r="R152" s="10" t="str">
        <f t="shared" si="6"/>
        <v>#DIV/0!</v>
      </c>
      <c r="S152" s="10" t="str">
        <f t="shared" si="18"/>
        <v>#DIV/0!</v>
      </c>
      <c r="T152" s="10" t="str">
        <f t="shared" si="22"/>
        <v>#DIV/0!</v>
      </c>
      <c r="U152" s="10" t="str">
        <f t="shared" si="8"/>
        <v>#DIV/0!</v>
      </c>
      <c r="V152" s="10"/>
      <c r="W152" s="10"/>
      <c r="X152" s="10"/>
      <c r="Y152" s="10"/>
      <c r="Z152" s="10"/>
      <c r="AA152" s="10"/>
      <c r="AB152" s="10"/>
      <c r="AC152" s="10"/>
      <c r="AD152" s="10"/>
      <c r="AE152" s="10"/>
      <c r="AF152" s="10"/>
    </row>
    <row r="153" hidden="1">
      <c r="A153" s="9" t="s">
        <v>370</v>
      </c>
      <c r="B153" s="84"/>
      <c r="C153" s="9"/>
      <c r="D153" s="9" t="str">
        <f t="shared" si="1"/>
        <v/>
      </c>
      <c r="E153" s="10" t="str">
        <f t="shared" si="2"/>
        <v>OT Hours</v>
      </c>
      <c r="F153" s="10" t="str">
        <f>IFERROR(VLOOKUP(C153,'Employees List'!$B$1:$I$999,4,0),"")</f>
        <v/>
      </c>
      <c r="G153" s="10" t="str">
        <f t="shared" si="21"/>
        <v>#DIV/0!</v>
      </c>
      <c r="H153" s="72" t="str">
        <f>IFERROR(VLOOKUP(C153,'Employees List'!$B$2:$I$991,7,0),"")</f>
        <v/>
      </c>
      <c r="I153" s="73" t="str">
        <f>IFERROR(VLOOKUP(F153,'Employees List'!$E$1:$AE$991,6,0),"")</f>
        <v/>
      </c>
      <c r="J153" s="71">
        <f t="shared" si="3"/>
        <v>0</v>
      </c>
      <c r="K153" s="71">
        <f t="shared" si="4"/>
        <v>0</v>
      </c>
      <c r="L153" s="10" t="str">
        <f>IFERROR(VLOOKUP(B153,'Employees List'!$A$2:$K$991,11,0),"")</f>
        <v/>
      </c>
      <c r="M153" s="74" t="str">
        <f>IFERROR(VLOOKUP(D153,'Daily Attendance 25-26'!$A$4:BP999,5,0),"")</f>
        <v/>
      </c>
      <c r="N153" s="10" t="str">
        <f>IFERROR(VLOOKUP(E153,'Daily Attendance 25-26'!$A$1:$BO$1741,5,0),"")</f>
        <v/>
      </c>
      <c r="O153" s="83"/>
      <c r="P153" s="10"/>
      <c r="Q153" s="10" t="str">
        <f t="shared" si="5"/>
        <v>#DIV/0!</v>
      </c>
      <c r="R153" s="10" t="str">
        <f t="shared" si="6"/>
        <v>#DIV/0!</v>
      </c>
      <c r="S153" s="10" t="str">
        <f t="shared" si="18"/>
        <v>#DIV/0!</v>
      </c>
      <c r="T153" s="10" t="str">
        <f t="shared" si="22"/>
        <v>#DIV/0!</v>
      </c>
      <c r="U153" s="10" t="str">
        <f t="shared" si="8"/>
        <v>#DIV/0!</v>
      </c>
      <c r="V153" s="10"/>
      <c r="W153" s="10"/>
      <c r="X153" s="10"/>
      <c r="Y153" s="10"/>
      <c r="Z153" s="10"/>
      <c r="AA153" s="10"/>
      <c r="AB153" s="10"/>
      <c r="AC153" s="10"/>
      <c r="AD153" s="10"/>
      <c r="AE153" s="10"/>
      <c r="AF153" s="10"/>
    </row>
    <row r="154" hidden="1">
      <c r="A154" s="9" t="s">
        <v>371</v>
      </c>
      <c r="B154" s="84"/>
      <c r="C154" s="9"/>
      <c r="D154" s="9" t="str">
        <f t="shared" si="1"/>
        <v/>
      </c>
      <c r="E154" s="10" t="str">
        <f t="shared" si="2"/>
        <v>OT Hours</v>
      </c>
      <c r="F154" s="10" t="str">
        <f>IFERROR(VLOOKUP(C154,'Employees List'!$B$1:$I$999,4,0),"")</f>
        <v/>
      </c>
      <c r="G154" s="10" t="str">
        <f t="shared" si="21"/>
        <v>#DIV/0!</v>
      </c>
      <c r="H154" s="72" t="str">
        <f>IFERROR(VLOOKUP(C154,'Employees List'!$B$2:$I$991,7,0),"")</f>
        <v/>
      </c>
      <c r="I154" s="73" t="str">
        <f>IFERROR(VLOOKUP(F154,'Employees List'!$E$1:$AE$991,6,0),"")</f>
        <v/>
      </c>
      <c r="J154" s="71">
        <f t="shared" si="3"/>
        <v>0</v>
      </c>
      <c r="K154" s="71">
        <f t="shared" si="4"/>
        <v>0</v>
      </c>
      <c r="L154" s="10" t="str">
        <f>IFERROR(VLOOKUP(B154,'Employees List'!$A$2:$K$991,11,0),"")</f>
        <v/>
      </c>
      <c r="M154" s="74" t="str">
        <f>IFERROR(VLOOKUP(D154,'Daily Attendance 25-26'!$A$4:BP999,5,0),"")</f>
        <v/>
      </c>
      <c r="N154" s="10" t="str">
        <f>IFERROR(VLOOKUP(E154,'Daily Attendance 25-26'!$A$1:$BO$1741,5,0),"")</f>
        <v/>
      </c>
      <c r="O154" s="83"/>
      <c r="P154" s="10"/>
      <c r="Q154" s="10" t="str">
        <f t="shared" si="5"/>
        <v>#DIV/0!</v>
      </c>
      <c r="R154" s="10" t="str">
        <f t="shared" si="6"/>
        <v>#DIV/0!</v>
      </c>
      <c r="S154" s="10" t="str">
        <f t="shared" si="18"/>
        <v>#DIV/0!</v>
      </c>
      <c r="T154" s="10" t="str">
        <f t="shared" si="22"/>
        <v>#DIV/0!</v>
      </c>
      <c r="U154" s="10" t="str">
        <f t="shared" si="8"/>
        <v>#DIV/0!</v>
      </c>
      <c r="V154" s="10"/>
      <c r="W154" s="10"/>
      <c r="X154" s="10"/>
      <c r="Y154" s="10"/>
      <c r="Z154" s="10"/>
      <c r="AA154" s="10"/>
      <c r="AB154" s="10"/>
      <c r="AC154" s="10"/>
      <c r="AD154" s="10"/>
      <c r="AE154" s="10"/>
      <c r="AF154" s="10"/>
    </row>
    <row r="155" hidden="1">
      <c r="A155" s="9" t="s">
        <v>372</v>
      </c>
      <c r="B155" s="84"/>
      <c r="C155" s="9"/>
      <c r="D155" s="9" t="str">
        <f t="shared" si="1"/>
        <v/>
      </c>
      <c r="E155" s="10" t="str">
        <f t="shared" si="2"/>
        <v>OT Hours</v>
      </c>
      <c r="F155" s="10" t="str">
        <f>IFERROR(VLOOKUP(C155,'Employees List'!$B$1:$I$999,4,0),"")</f>
        <v/>
      </c>
      <c r="G155" s="10" t="str">
        <f t="shared" si="21"/>
        <v>#DIV/0!</v>
      </c>
      <c r="H155" s="72" t="str">
        <f>IFERROR(VLOOKUP(C155,'Employees List'!$B$2:$I$991,7,0),"")</f>
        <v/>
      </c>
      <c r="I155" s="73" t="str">
        <f>IFERROR(VLOOKUP(F155,'Employees List'!$E$1:$AE$991,6,0),"")</f>
        <v/>
      </c>
      <c r="J155" s="71">
        <f t="shared" si="3"/>
        <v>0</v>
      </c>
      <c r="K155" s="71">
        <f t="shared" si="4"/>
        <v>0</v>
      </c>
      <c r="L155" s="10" t="str">
        <f>IFERROR(VLOOKUP(B155,'Employees List'!$A$2:$K$991,11,0),"")</f>
        <v/>
      </c>
      <c r="M155" s="74" t="str">
        <f>IFERROR(VLOOKUP(D155,'Daily Attendance 25-26'!$A$4:BP999,5,0),"")</f>
        <v/>
      </c>
      <c r="N155" s="10" t="str">
        <f>IFERROR(VLOOKUP(E155,'Daily Attendance 25-26'!$A$1:$BO$1741,5,0),"")</f>
        <v/>
      </c>
      <c r="O155" s="83"/>
      <c r="P155" s="10"/>
      <c r="Q155" s="10" t="str">
        <f t="shared" si="5"/>
        <v>#DIV/0!</v>
      </c>
      <c r="R155" s="10" t="str">
        <f t="shared" si="6"/>
        <v>#DIV/0!</v>
      </c>
      <c r="S155" s="10" t="str">
        <f t="shared" si="18"/>
        <v>#DIV/0!</v>
      </c>
      <c r="T155" s="10" t="str">
        <f t="shared" si="22"/>
        <v>#DIV/0!</v>
      </c>
      <c r="U155" s="10" t="str">
        <f t="shared" si="8"/>
        <v>#DIV/0!</v>
      </c>
      <c r="V155" s="10"/>
      <c r="W155" s="10"/>
      <c r="X155" s="10"/>
      <c r="Y155" s="10"/>
      <c r="Z155" s="10"/>
      <c r="AA155" s="10"/>
      <c r="AB155" s="10"/>
      <c r="AC155" s="10"/>
      <c r="AD155" s="10"/>
      <c r="AE155" s="10"/>
      <c r="AF155" s="10"/>
    </row>
    <row r="156" hidden="1">
      <c r="A156" s="9" t="s">
        <v>373</v>
      </c>
      <c r="B156" s="84"/>
      <c r="C156" s="9"/>
      <c r="D156" s="9" t="str">
        <f t="shared" si="1"/>
        <v/>
      </c>
      <c r="E156" s="10" t="str">
        <f t="shared" si="2"/>
        <v>OT Hours</v>
      </c>
      <c r="F156" s="10" t="str">
        <f>IFERROR(VLOOKUP(C156,'Employees List'!$B$1:$I$999,4,0),"")</f>
        <v/>
      </c>
      <c r="G156" s="10" t="str">
        <f t="shared" si="21"/>
        <v>#DIV/0!</v>
      </c>
      <c r="H156" s="72" t="str">
        <f>IFERROR(VLOOKUP(C156,'Employees List'!$B$2:$I$991,7,0),"")</f>
        <v/>
      </c>
      <c r="I156" s="73" t="str">
        <f>IFERROR(VLOOKUP(F156,'Employees List'!$E$1:$AE$991,6,0),"")</f>
        <v/>
      </c>
      <c r="J156" s="71">
        <f t="shared" si="3"/>
        <v>0</v>
      </c>
      <c r="K156" s="71">
        <f t="shared" si="4"/>
        <v>0</v>
      </c>
      <c r="L156" s="10" t="str">
        <f>IFERROR(VLOOKUP(B156,'Employees List'!$A$2:$K$991,11,0),"")</f>
        <v/>
      </c>
      <c r="M156" s="74" t="str">
        <f>IFERROR(VLOOKUP(D156,'Daily Attendance 25-26'!$A$4:BP999,5,0),"")</f>
        <v/>
      </c>
      <c r="N156" s="10" t="str">
        <f>IFERROR(VLOOKUP(E156,'Daily Attendance 25-26'!$A$1:$BO$1741,5,0),"")</f>
        <v/>
      </c>
      <c r="O156" s="10"/>
      <c r="P156" s="10"/>
      <c r="Q156" s="10" t="str">
        <f t="shared" si="5"/>
        <v>#DIV/0!</v>
      </c>
      <c r="R156" s="10" t="str">
        <f t="shared" si="6"/>
        <v>#DIV/0!</v>
      </c>
      <c r="S156" s="10" t="str">
        <f t="shared" si="18"/>
        <v>#DIV/0!</v>
      </c>
      <c r="T156" s="10" t="str">
        <f t="shared" si="22"/>
        <v>#DIV/0!</v>
      </c>
      <c r="U156" s="10" t="str">
        <f t="shared" si="8"/>
        <v>#DIV/0!</v>
      </c>
      <c r="V156" s="10"/>
      <c r="W156" s="10"/>
      <c r="X156" s="10"/>
      <c r="Y156" s="10"/>
      <c r="Z156" s="10"/>
      <c r="AA156" s="10"/>
      <c r="AB156" s="10"/>
      <c r="AC156" s="10"/>
      <c r="AD156" s="10"/>
      <c r="AE156" s="10"/>
      <c r="AF156" s="10"/>
    </row>
    <row r="157" hidden="1">
      <c r="A157" s="9" t="s">
        <v>374</v>
      </c>
      <c r="B157" s="84"/>
      <c r="C157" s="9"/>
      <c r="D157" s="9" t="str">
        <f t="shared" si="1"/>
        <v/>
      </c>
      <c r="E157" s="10" t="str">
        <f t="shared" si="2"/>
        <v>OT Hours</v>
      </c>
      <c r="F157" s="10" t="str">
        <f>IFERROR(VLOOKUP(C157,'Employees List'!$B$1:$I$999,4,0),"")</f>
        <v/>
      </c>
      <c r="G157" s="10" t="str">
        <f t="shared" si="21"/>
        <v>#DIV/0!</v>
      </c>
      <c r="H157" s="72" t="str">
        <f>IFERROR(VLOOKUP(C157,'Employees List'!$B$2:$I$991,7,0),"")</f>
        <v/>
      </c>
      <c r="I157" s="73" t="str">
        <f>IFERROR(VLOOKUP(F157,'Employees List'!$E$1:$AE$991,6,0),"")</f>
        <v/>
      </c>
      <c r="J157" s="71">
        <f t="shared" si="3"/>
        <v>0</v>
      </c>
      <c r="K157" s="71">
        <f t="shared" si="4"/>
        <v>0</v>
      </c>
      <c r="L157" s="10" t="str">
        <f>IFERROR(VLOOKUP(B157,'Employees List'!$A$2:$K$991,11,0),"")</f>
        <v/>
      </c>
      <c r="M157" s="74" t="str">
        <f>IFERROR(VLOOKUP(D157,'Daily Attendance 25-26'!$A$4:BP999,5,0),"")</f>
        <v/>
      </c>
      <c r="N157" s="10" t="str">
        <f>IFERROR(VLOOKUP(E157,'Daily Attendance 25-26'!$A$1:$BO$1741,5,0),"")</f>
        <v/>
      </c>
      <c r="O157" s="10"/>
      <c r="P157" s="10"/>
      <c r="Q157" s="10" t="str">
        <f t="shared" si="5"/>
        <v>#DIV/0!</v>
      </c>
      <c r="R157" s="10" t="str">
        <f t="shared" si="6"/>
        <v>#DIV/0!</v>
      </c>
      <c r="S157" s="10" t="str">
        <f t="shared" si="18"/>
        <v>#DIV/0!</v>
      </c>
      <c r="T157" s="10" t="str">
        <f t="shared" si="22"/>
        <v>#DIV/0!</v>
      </c>
      <c r="U157" s="10" t="str">
        <f t="shared" si="8"/>
        <v>#DIV/0!</v>
      </c>
      <c r="V157" s="10"/>
      <c r="W157" s="10"/>
      <c r="X157" s="10"/>
      <c r="Y157" s="10"/>
      <c r="Z157" s="10"/>
      <c r="AA157" s="10"/>
      <c r="AB157" s="10"/>
      <c r="AC157" s="10"/>
      <c r="AD157" s="10"/>
      <c r="AE157" s="10"/>
      <c r="AF157" s="10"/>
    </row>
    <row r="158" hidden="1">
      <c r="A158" s="9" t="s">
        <v>375</v>
      </c>
      <c r="B158" s="84"/>
      <c r="C158" s="9"/>
      <c r="D158" s="9" t="str">
        <f t="shared" si="1"/>
        <v/>
      </c>
      <c r="E158" s="10" t="str">
        <f t="shared" si="2"/>
        <v>OT Hours</v>
      </c>
      <c r="F158" s="10" t="str">
        <f>IFERROR(VLOOKUP(C158,'Employees List'!$B$1:$I$999,4,0),"")</f>
        <v/>
      </c>
      <c r="G158" s="10" t="str">
        <f t="shared" si="21"/>
        <v>#DIV/0!</v>
      </c>
      <c r="H158" s="72" t="str">
        <f>IFERROR(VLOOKUP(C158,'Employees List'!$B$2:$I$991,7,0),"")</f>
        <v/>
      </c>
      <c r="I158" s="73" t="str">
        <f>IFERROR(VLOOKUP(F158,'Employees List'!$E$1:$AE$991,6,0),"")</f>
        <v/>
      </c>
      <c r="J158" s="71">
        <f t="shared" si="3"/>
        <v>0</v>
      </c>
      <c r="K158" s="71">
        <f t="shared" si="4"/>
        <v>0</v>
      </c>
      <c r="L158" s="10" t="str">
        <f>IFERROR(VLOOKUP(B158,'Employees List'!$A$2:$K$991,11,0),"")</f>
        <v/>
      </c>
      <c r="M158" s="74" t="str">
        <f>IFERROR(VLOOKUP(D158,'Daily Attendance 25-26'!$A$4:BP999,5,0),"")</f>
        <v/>
      </c>
      <c r="N158" s="10" t="str">
        <f>IFERROR(VLOOKUP(E158,'Daily Attendance 25-26'!$A$1:$BO$1741,5,0),"")</f>
        <v/>
      </c>
      <c r="O158" s="10"/>
      <c r="P158" s="10"/>
      <c r="Q158" s="10" t="str">
        <f t="shared" si="5"/>
        <v>#DIV/0!</v>
      </c>
      <c r="R158" s="10" t="str">
        <f t="shared" si="6"/>
        <v>#DIV/0!</v>
      </c>
      <c r="S158" s="10" t="str">
        <f t="shared" si="18"/>
        <v>#DIV/0!</v>
      </c>
      <c r="T158" s="10" t="str">
        <f t="shared" si="22"/>
        <v>#DIV/0!</v>
      </c>
      <c r="U158" s="10" t="str">
        <f t="shared" si="8"/>
        <v>#DIV/0!</v>
      </c>
      <c r="V158" s="10"/>
      <c r="W158" s="10"/>
      <c r="X158" s="10"/>
      <c r="Y158" s="10"/>
      <c r="Z158" s="10"/>
      <c r="AA158" s="10"/>
      <c r="AB158" s="10"/>
      <c r="AC158" s="10"/>
      <c r="AD158" s="10"/>
      <c r="AE158" s="10"/>
      <c r="AF158" s="10"/>
    </row>
    <row r="159" hidden="1">
      <c r="A159" s="9" t="s">
        <v>376</v>
      </c>
      <c r="B159" s="84"/>
      <c r="C159" s="9"/>
      <c r="D159" s="9" t="str">
        <f t="shared" si="1"/>
        <v/>
      </c>
      <c r="E159" s="10" t="str">
        <f t="shared" si="2"/>
        <v>OT Hours</v>
      </c>
      <c r="F159" s="10" t="str">
        <f>IFERROR(VLOOKUP(C159,'Employees List'!$B$1:$I$999,4,0),"")</f>
        <v/>
      </c>
      <c r="G159" s="10" t="str">
        <f t="shared" si="21"/>
        <v>#DIV/0!</v>
      </c>
      <c r="H159" s="72" t="str">
        <f>IFERROR(VLOOKUP(C159,'Employees List'!$B$2:$I$991,7,0),"")</f>
        <v/>
      </c>
      <c r="I159" s="73" t="str">
        <f>IFERROR(VLOOKUP(F159,'Employees List'!$E$1:$AE$991,6,0),"")</f>
        <v/>
      </c>
      <c r="J159" s="71">
        <f t="shared" si="3"/>
        <v>0</v>
      </c>
      <c r="K159" s="71">
        <f t="shared" si="4"/>
        <v>0</v>
      </c>
      <c r="L159" s="10" t="str">
        <f>IFERROR(VLOOKUP(B159,'Employees List'!$A$2:$K$991,11,0),"")</f>
        <v/>
      </c>
      <c r="M159" s="74" t="str">
        <f>IFERROR(VLOOKUP(D159,'Daily Attendance 25-26'!$A$4:BP999,5,0),"")</f>
        <v/>
      </c>
      <c r="N159" s="10" t="str">
        <f>IFERROR(VLOOKUP(E159,'Daily Attendance 25-26'!$A$1:$BO$1741,5,0),"")</f>
        <v/>
      </c>
      <c r="O159" s="10"/>
      <c r="P159" s="10"/>
      <c r="Q159" s="10" t="str">
        <f t="shared" si="5"/>
        <v>#DIV/0!</v>
      </c>
      <c r="R159" s="10" t="str">
        <f t="shared" si="6"/>
        <v>#DIV/0!</v>
      </c>
      <c r="S159" s="10" t="str">
        <f t="shared" si="18"/>
        <v>#DIV/0!</v>
      </c>
      <c r="T159" s="10" t="str">
        <f t="shared" si="22"/>
        <v>#DIV/0!</v>
      </c>
      <c r="U159" s="10" t="str">
        <f t="shared" si="8"/>
        <v>#DIV/0!</v>
      </c>
      <c r="V159" s="10"/>
      <c r="W159" s="10"/>
      <c r="X159" s="10"/>
      <c r="Y159" s="10"/>
      <c r="Z159" s="10"/>
      <c r="AA159" s="10"/>
      <c r="AB159" s="10"/>
      <c r="AC159" s="10"/>
      <c r="AD159" s="10"/>
      <c r="AE159" s="10"/>
      <c r="AF159" s="10"/>
    </row>
    <row r="160" hidden="1">
      <c r="A160" s="9" t="s">
        <v>377</v>
      </c>
      <c r="B160" s="84"/>
      <c r="C160" s="9"/>
      <c r="D160" s="9" t="str">
        <f t="shared" si="1"/>
        <v/>
      </c>
      <c r="E160" s="10" t="str">
        <f t="shared" si="2"/>
        <v>OT Hours</v>
      </c>
      <c r="F160" s="10" t="str">
        <f>IFERROR(VLOOKUP(C160,'Employees List'!$B$1:$I$999,4,0),"")</f>
        <v/>
      </c>
      <c r="G160" s="10" t="str">
        <f t="shared" si="21"/>
        <v>#DIV/0!</v>
      </c>
      <c r="H160" s="72" t="str">
        <f>IFERROR(VLOOKUP(C160,'Employees List'!$B$2:$I$991,7,0),"")</f>
        <v/>
      </c>
      <c r="I160" s="73" t="str">
        <f>IFERROR(VLOOKUP(F160,'Employees List'!$E$1:$AE$991,6,0),"")</f>
        <v/>
      </c>
      <c r="J160" s="71">
        <f t="shared" si="3"/>
        <v>0</v>
      </c>
      <c r="K160" s="71">
        <f t="shared" si="4"/>
        <v>0</v>
      </c>
      <c r="L160" s="10" t="str">
        <f>IFERROR(VLOOKUP(B160,'Employees List'!$A$2:$K$991,11,0),"")</f>
        <v/>
      </c>
      <c r="M160" s="74" t="str">
        <f>IFERROR(VLOOKUP(D160,'Daily Attendance 25-26'!$A$4:BP999,5,0),"")</f>
        <v/>
      </c>
      <c r="N160" s="10" t="str">
        <f>IFERROR(VLOOKUP(E160,'Daily Attendance 25-26'!$A$1:$BO$1741,5,0),"")</f>
        <v/>
      </c>
      <c r="O160" s="10"/>
      <c r="P160" s="10"/>
      <c r="Q160" s="10" t="str">
        <f t="shared" si="5"/>
        <v>#DIV/0!</v>
      </c>
      <c r="R160" s="10" t="str">
        <f t="shared" si="6"/>
        <v>#DIV/0!</v>
      </c>
      <c r="S160" s="10" t="str">
        <f t="shared" si="18"/>
        <v>#DIV/0!</v>
      </c>
      <c r="T160" s="10" t="str">
        <f t="shared" si="22"/>
        <v>#DIV/0!</v>
      </c>
      <c r="U160" s="10" t="str">
        <f t="shared" si="8"/>
        <v>#DIV/0!</v>
      </c>
      <c r="V160" s="10"/>
      <c r="W160" s="10"/>
      <c r="X160" s="10"/>
      <c r="Y160" s="10"/>
      <c r="Z160" s="10"/>
      <c r="AA160" s="10"/>
      <c r="AB160" s="10"/>
      <c r="AC160" s="10"/>
      <c r="AD160" s="10"/>
      <c r="AE160" s="10"/>
      <c r="AF160" s="10"/>
    </row>
    <row r="161" hidden="1">
      <c r="A161" s="9" t="s">
        <v>378</v>
      </c>
      <c r="B161" s="84"/>
      <c r="C161" s="9"/>
      <c r="D161" s="9" t="str">
        <f t="shared" si="1"/>
        <v/>
      </c>
      <c r="E161" s="10" t="str">
        <f t="shared" si="2"/>
        <v>OT Hours</v>
      </c>
      <c r="F161" s="10" t="str">
        <f>IFERROR(VLOOKUP(C161,'Employees List'!$B$1:$I$999,4,0),"")</f>
        <v/>
      </c>
      <c r="G161" s="10" t="str">
        <f t="shared" si="21"/>
        <v>#DIV/0!</v>
      </c>
      <c r="H161" s="72" t="str">
        <f>IFERROR(VLOOKUP(C161,'Employees List'!$B$2:$I$991,7,0),"")</f>
        <v/>
      </c>
      <c r="I161" s="73" t="str">
        <f>IFERROR(VLOOKUP(F161,'Employees List'!$E$1:$AE$991,6,0),"")</f>
        <v/>
      </c>
      <c r="J161" s="71">
        <f t="shared" si="3"/>
        <v>0</v>
      </c>
      <c r="K161" s="71">
        <f t="shared" si="4"/>
        <v>0</v>
      </c>
      <c r="L161" s="10" t="str">
        <f>IFERROR(VLOOKUP(B161,'Employees List'!$A$2:$K$991,11,0),"")</f>
        <v/>
      </c>
      <c r="M161" s="74" t="str">
        <f>IFERROR(VLOOKUP(D161,'Daily Attendance 25-26'!$A$4:BP999,5,0),"")</f>
        <v/>
      </c>
      <c r="N161" s="10" t="str">
        <f>IFERROR(VLOOKUP(E161,'Daily Attendance 25-26'!$A$1:$BO$1741,5,0),"")</f>
        <v/>
      </c>
      <c r="O161" s="10"/>
      <c r="P161" s="10"/>
      <c r="Q161" s="10" t="str">
        <f t="shared" si="5"/>
        <v>#DIV/0!</v>
      </c>
      <c r="R161" s="10" t="str">
        <f t="shared" si="6"/>
        <v>#DIV/0!</v>
      </c>
      <c r="S161" s="10" t="str">
        <f t="shared" si="18"/>
        <v>#DIV/0!</v>
      </c>
      <c r="T161" s="10" t="str">
        <f t="shared" si="22"/>
        <v>#DIV/0!</v>
      </c>
      <c r="U161" s="10" t="str">
        <f t="shared" si="8"/>
        <v>#DIV/0!</v>
      </c>
      <c r="V161" s="10"/>
      <c r="W161" s="10"/>
      <c r="X161" s="10"/>
      <c r="Y161" s="10"/>
      <c r="Z161" s="10"/>
      <c r="AA161" s="10"/>
      <c r="AB161" s="10"/>
      <c r="AC161" s="10"/>
      <c r="AD161" s="10"/>
      <c r="AE161" s="10"/>
      <c r="AF161" s="10"/>
    </row>
    <row r="162" hidden="1">
      <c r="A162" s="9" t="s">
        <v>379</v>
      </c>
      <c r="B162" s="84"/>
      <c r="C162" s="9"/>
      <c r="D162" s="9" t="str">
        <f t="shared" si="1"/>
        <v/>
      </c>
      <c r="E162" s="10" t="str">
        <f t="shared" si="2"/>
        <v>OT Hours</v>
      </c>
      <c r="F162" s="10" t="str">
        <f>IFERROR(VLOOKUP(C162,'Employees List'!$B$1:$I$999,4,0),"")</f>
        <v/>
      </c>
      <c r="G162" s="10" t="str">
        <f t="shared" si="21"/>
        <v>#DIV/0!</v>
      </c>
      <c r="H162" s="72" t="str">
        <f>IFERROR(VLOOKUP(C162,'Employees List'!$B$2:$I$991,7,0),"")</f>
        <v/>
      </c>
      <c r="I162" s="73" t="str">
        <f>IFERROR(VLOOKUP(F162,'Employees List'!$E$1:$AE$991,6,0),"")</f>
        <v/>
      </c>
      <c r="J162" s="71">
        <f t="shared" si="3"/>
        <v>0</v>
      </c>
      <c r="K162" s="71">
        <f t="shared" si="4"/>
        <v>0</v>
      </c>
      <c r="L162" s="10" t="str">
        <f>IFERROR(VLOOKUP(B162,'Employees List'!$A$2:$K$991,11,0),"")</f>
        <v/>
      </c>
      <c r="M162" s="74" t="str">
        <f>IFERROR(VLOOKUP(D162,'Daily Attendance 25-26'!$A$4:BP999,5,0),"")</f>
        <v/>
      </c>
      <c r="N162" s="10" t="str">
        <f>IFERROR(VLOOKUP(E162,'Daily Attendance 25-26'!$A$1:$BO$1741,5,0),"")</f>
        <v/>
      </c>
      <c r="O162" s="10"/>
      <c r="P162" s="10"/>
      <c r="Q162" s="10" t="str">
        <f t="shared" si="5"/>
        <v>#DIV/0!</v>
      </c>
      <c r="R162" s="10" t="str">
        <f t="shared" si="6"/>
        <v>#DIV/0!</v>
      </c>
      <c r="S162" s="10" t="str">
        <f t="shared" si="18"/>
        <v>#DIV/0!</v>
      </c>
      <c r="T162" s="10" t="str">
        <f t="shared" si="22"/>
        <v>#DIV/0!</v>
      </c>
      <c r="U162" s="10" t="str">
        <f t="shared" si="8"/>
        <v>#DIV/0!</v>
      </c>
      <c r="V162" s="10"/>
      <c r="W162" s="10"/>
      <c r="X162" s="10"/>
      <c r="Y162" s="10"/>
      <c r="Z162" s="10"/>
      <c r="AA162" s="10"/>
      <c r="AB162" s="10"/>
      <c r="AC162" s="10"/>
      <c r="AD162" s="10"/>
      <c r="AE162" s="10"/>
      <c r="AF162" s="10"/>
    </row>
    <row r="163" hidden="1">
      <c r="A163" s="9" t="s">
        <v>380</v>
      </c>
      <c r="B163" s="84"/>
      <c r="C163" s="9"/>
      <c r="D163" s="9" t="str">
        <f t="shared" si="1"/>
        <v/>
      </c>
      <c r="E163" s="10" t="str">
        <f t="shared" si="2"/>
        <v>OT Hours</v>
      </c>
      <c r="F163" s="10" t="str">
        <f>IFERROR(VLOOKUP(C163,'Employees List'!$B$1:$I$999,4,0),"")</f>
        <v/>
      </c>
      <c r="G163" s="10" t="str">
        <f t="shared" si="21"/>
        <v>#DIV/0!</v>
      </c>
      <c r="H163" s="72" t="str">
        <f>IFERROR(VLOOKUP(C163,'Employees List'!$B$2:$I$991,7,0),"")</f>
        <v/>
      </c>
      <c r="I163" s="73" t="str">
        <f>IFERROR(VLOOKUP(F163,'Employees List'!$E$1:$AE$991,6,0),"")</f>
        <v/>
      </c>
      <c r="J163" s="71">
        <f t="shared" si="3"/>
        <v>0</v>
      </c>
      <c r="K163" s="71">
        <f t="shared" si="4"/>
        <v>0</v>
      </c>
      <c r="L163" s="10" t="str">
        <f>IFERROR(VLOOKUP(B163,'Employees List'!$A$2:$K$991,11,0),"")</f>
        <v/>
      </c>
      <c r="M163" s="74" t="str">
        <f>IFERROR(VLOOKUP(D163,'Daily Attendance 25-26'!$A$4:BP999,5,0),"")</f>
        <v/>
      </c>
      <c r="N163" s="10" t="str">
        <f>IFERROR(VLOOKUP(E163,'Daily Attendance 25-26'!$A$1:$BO$1741,5,0),"")</f>
        <v/>
      </c>
      <c r="O163" s="10"/>
      <c r="P163" s="10"/>
      <c r="Q163" s="10" t="str">
        <f t="shared" si="5"/>
        <v>#DIV/0!</v>
      </c>
      <c r="R163" s="10" t="str">
        <f t="shared" si="6"/>
        <v>#DIV/0!</v>
      </c>
      <c r="S163" s="10" t="str">
        <f t="shared" si="18"/>
        <v>#DIV/0!</v>
      </c>
      <c r="T163" s="10" t="str">
        <f t="shared" si="22"/>
        <v>#DIV/0!</v>
      </c>
      <c r="U163" s="10" t="str">
        <f t="shared" si="8"/>
        <v>#DIV/0!</v>
      </c>
      <c r="V163" s="10"/>
      <c r="W163" s="10"/>
      <c r="X163" s="10"/>
      <c r="Y163" s="10"/>
      <c r="Z163" s="10"/>
      <c r="AA163" s="10"/>
      <c r="AB163" s="10"/>
      <c r="AC163" s="10"/>
      <c r="AD163" s="10"/>
      <c r="AE163" s="10"/>
      <c r="AF163" s="10"/>
    </row>
    <row r="164" hidden="1">
      <c r="A164" s="9" t="s">
        <v>381</v>
      </c>
      <c r="B164" s="84"/>
      <c r="C164" s="9"/>
      <c r="D164" s="9" t="str">
        <f t="shared" si="1"/>
        <v/>
      </c>
      <c r="E164" s="10" t="str">
        <f t="shared" si="2"/>
        <v>OT Hours</v>
      </c>
      <c r="F164" s="10" t="str">
        <f>IFERROR(VLOOKUP(C164,'Employees List'!$B$1:$I$999,4,0),"")</f>
        <v/>
      </c>
      <c r="G164" s="10" t="str">
        <f t="shared" si="21"/>
        <v>#DIV/0!</v>
      </c>
      <c r="H164" s="72" t="str">
        <f>IFERROR(VLOOKUP(C164,'Employees List'!$B$2:$I$991,7,0),"")</f>
        <v/>
      </c>
      <c r="I164" s="73" t="str">
        <f>IFERROR(VLOOKUP(F164,'Employees List'!$E$1:$AE$991,6,0),"")</f>
        <v/>
      </c>
      <c r="J164" s="71">
        <f t="shared" si="3"/>
        <v>0</v>
      </c>
      <c r="K164" s="71">
        <f t="shared" si="4"/>
        <v>0</v>
      </c>
      <c r="L164" s="10" t="str">
        <f>IFERROR(VLOOKUP(B164,'Employees List'!$A$2:$K$991,11,0),"")</f>
        <v/>
      </c>
      <c r="M164" s="74" t="str">
        <f>IFERROR(VLOOKUP(D164,'Daily Attendance 25-26'!$A$4:BP999,5,0),"")</f>
        <v/>
      </c>
      <c r="N164" s="10" t="str">
        <f>IFERROR(VLOOKUP(E164,'Daily Attendance 25-26'!$A$1:$BO$1741,5,0),"")</f>
        <v/>
      </c>
      <c r="O164" s="10"/>
      <c r="P164" s="10"/>
      <c r="Q164" s="10" t="str">
        <f t="shared" si="5"/>
        <v>#DIV/0!</v>
      </c>
      <c r="R164" s="10" t="str">
        <f t="shared" si="6"/>
        <v>#DIV/0!</v>
      </c>
      <c r="S164" s="10" t="str">
        <f t="shared" si="18"/>
        <v>#DIV/0!</v>
      </c>
      <c r="T164" s="10" t="str">
        <f t="shared" si="22"/>
        <v>#DIV/0!</v>
      </c>
      <c r="U164" s="10" t="str">
        <f t="shared" si="8"/>
        <v>#DIV/0!</v>
      </c>
      <c r="V164" s="10"/>
      <c r="W164" s="10"/>
      <c r="X164" s="10"/>
      <c r="Y164" s="10"/>
      <c r="Z164" s="10"/>
      <c r="AA164" s="10"/>
      <c r="AB164" s="10"/>
      <c r="AC164" s="10"/>
      <c r="AD164" s="10"/>
      <c r="AE164" s="10"/>
      <c r="AF164" s="10"/>
    </row>
    <row r="165" hidden="1">
      <c r="A165" s="9" t="s">
        <v>382</v>
      </c>
      <c r="B165" s="84"/>
      <c r="C165" s="9"/>
      <c r="D165" s="9" t="str">
        <f t="shared" si="1"/>
        <v/>
      </c>
      <c r="E165" s="10" t="str">
        <f t="shared" si="2"/>
        <v>OT Hours</v>
      </c>
      <c r="F165" s="10" t="str">
        <f>IFERROR(VLOOKUP(C165,'Employees List'!$B$1:$I$999,4,0),"")</f>
        <v/>
      </c>
      <c r="G165" s="10" t="str">
        <f t="shared" si="21"/>
        <v>#DIV/0!</v>
      </c>
      <c r="H165" s="72" t="str">
        <f>IFERROR(VLOOKUP(C165,'Employees List'!$B$2:$I$991,7,0),"")</f>
        <v/>
      </c>
      <c r="I165" s="73" t="str">
        <f>IFERROR(VLOOKUP(F165,'Employees List'!$E$1:$AE$991,6,0),"")</f>
        <v/>
      </c>
      <c r="J165" s="71">
        <f t="shared" si="3"/>
        <v>0</v>
      </c>
      <c r="K165" s="71">
        <f t="shared" si="4"/>
        <v>0</v>
      </c>
      <c r="L165" s="10" t="str">
        <f>IFERROR(VLOOKUP(B165,'Employees List'!$A$2:$K$991,11,0),"")</f>
        <v/>
      </c>
      <c r="M165" s="74" t="str">
        <f>IFERROR(VLOOKUP(D165,'Daily Attendance 25-26'!$A$4:BP999,5,0),"")</f>
        <v/>
      </c>
      <c r="N165" s="10" t="str">
        <f>IFERROR(VLOOKUP(E165,'Daily Attendance 25-26'!$A$1:$BO$1741,5,0),"")</f>
        <v/>
      </c>
      <c r="O165" s="10"/>
      <c r="P165" s="10"/>
      <c r="Q165" s="10" t="str">
        <f t="shared" si="5"/>
        <v>#DIV/0!</v>
      </c>
      <c r="R165" s="10" t="str">
        <f t="shared" si="6"/>
        <v>#DIV/0!</v>
      </c>
      <c r="S165" s="10" t="str">
        <f t="shared" si="18"/>
        <v>#DIV/0!</v>
      </c>
      <c r="T165" s="10" t="str">
        <f t="shared" si="22"/>
        <v>#DIV/0!</v>
      </c>
      <c r="U165" s="10" t="str">
        <f t="shared" si="8"/>
        <v>#DIV/0!</v>
      </c>
      <c r="V165" s="10"/>
      <c r="W165" s="10"/>
      <c r="X165" s="10"/>
      <c r="Y165" s="10"/>
      <c r="Z165" s="10"/>
      <c r="AA165" s="10"/>
      <c r="AB165" s="10"/>
      <c r="AC165" s="10"/>
      <c r="AD165" s="10"/>
      <c r="AE165" s="10"/>
      <c r="AF165" s="10"/>
    </row>
    <row r="166" hidden="1">
      <c r="A166" s="9" t="s">
        <v>383</v>
      </c>
      <c r="B166" s="84"/>
      <c r="C166" s="9"/>
      <c r="D166" s="9" t="str">
        <f t="shared" si="1"/>
        <v/>
      </c>
      <c r="E166" s="10" t="str">
        <f t="shared" si="2"/>
        <v>OT Hours</v>
      </c>
      <c r="F166" s="10" t="str">
        <f>IFERROR(VLOOKUP(C166,'Employees List'!$B$1:$I$999,4,0),"")</f>
        <v/>
      </c>
      <c r="G166" s="10" t="str">
        <f t="shared" si="21"/>
        <v>#DIV/0!</v>
      </c>
      <c r="H166" s="72" t="str">
        <f>IFERROR(VLOOKUP(C166,'Employees List'!$B$2:$I$991,7,0),"")</f>
        <v/>
      </c>
      <c r="I166" s="73" t="str">
        <f>IFERROR(VLOOKUP(F166,'Employees List'!$E$1:$AE$991,6,0),"")</f>
        <v/>
      </c>
      <c r="J166" s="71">
        <f t="shared" si="3"/>
        <v>0</v>
      </c>
      <c r="K166" s="71">
        <f t="shared" si="4"/>
        <v>0</v>
      </c>
      <c r="L166" s="10" t="str">
        <f>IFERROR(VLOOKUP(B166,'Employees List'!$A$2:$K$991,11,0),"")</f>
        <v/>
      </c>
      <c r="M166" s="74" t="str">
        <f>IFERROR(VLOOKUP(D166,'Daily Attendance 25-26'!$A$4:BP999,5,0),"")</f>
        <v/>
      </c>
      <c r="N166" s="10" t="str">
        <f>IFERROR(VLOOKUP(E166,'Daily Attendance 25-26'!$A$1:$BO$1741,5,0),"")</f>
        <v/>
      </c>
      <c r="O166" s="10"/>
      <c r="P166" s="10"/>
      <c r="Q166" s="10" t="str">
        <f t="shared" si="5"/>
        <v>#DIV/0!</v>
      </c>
      <c r="R166" s="10" t="str">
        <f t="shared" si="6"/>
        <v>#DIV/0!</v>
      </c>
      <c r="S166" s="10" t="str">
        <f t="shared" si="18"/>
        <v>#DIV/0!</v>
      </c>
      <c r="T166" s="10" t="str">
        <f t="shared" si="22"/>
        <v>#DIV/0!</v>
      </c>
      <c r="U166" s="10" t="str">
        <f t="shared" si="8"/>
        <v>#DIV/0!</v>
      </c>
      <c r="V166" s="10"/>
      <c r="W166" s="10"/>
      <c r="X166" s="10"/>
      <c r="Y166" s="10"/>
      <c r="Z166" s="10"/>
      <c r="AA166" s="10"/>
      <c r="AB166" s="10"/>
      <c r="AC166" s="10"/>
      <c r="AD166" s="10"/>
      <c r="AE166" s="10"/>
      <c r="AF166" s="10"/>
    </row>
    <row r="167" hidden="1">
      <c r="A167" s="9" t="s">
        <v>384</v>
      </c>
      <c r="B167" s="84"/>
      <c r="C167" s="9"/>
      <c r="D167" s="9" t="str">
        <f t="shared" si="1"/>
        <v/>
      </c>
      <c r="E167" s="10" t="str">
        <f t="shared" si="2"/>
        <v>OT Hours</v>
      </c>
      <c r="F167" s="10" t="str">
        <f>IFERROR(VLOOKUP(C167,'Employees List'!$B$1:$I$999,4,0),"")</f>
        <v/>
      </c>
      <c r="G167" s="10" t="str">
        <f t="shared" si="21"/>
        <v>#DIV/0!</v>
      </c>
      <c r="H167" s="72" t="str">
        <f>IFERROR(VLOOKUP(C167,'Employees List'!$B$2:$I$991,7,0),"")</f>
        <v/>
      </c>
      <c r="I167" s="73" t="str">
        <f>IFERROR(VLOOKUP(F167,'Employees List'!$E$1:$AE$991,6,0),"")</f>
        <v/>
      </c>
      <c r="J167" s="71">
        <f t="shared" si="3"/>
        <v>0</v>
      </c>
      <c r="K167" s="71">
        <f t="shared" si="4"/>
        <v>0</v>
      </c>
      <c r="L167" s="10" t="str">
        <f>IFERROR(VLOOKUP(B167,'Employees List'!$A$2:$K$991,11,0),"")</f>
        <v/>
      </c>
      <c r="M167" s="74" t="str">
        <f>IFERROR(VLOOKUP(D167,'Daily Attendance 25-26'!$A$4:BP999,5,0),"")</f>
        <v/>
      </c>
      <c r="N167" s="10" t="str">
        <f>IFERROR(VLOOKUP(E167,'Daily Attendance 25-26'!$A$1:$BO$1741,5,0),"")</f>
        <v/>
      </c>
      <c r="O167" s="10"/>
      <c r="P167" s="10"/>
      <c r="Q167" s="10" t="str">
        <f t="shared" si="5"/>
        <v>#DIV/0!</v>
      </c>
      <c r="R167" s="10" t="str">
        <f t="shared" si="6"/>
        <v>#DIV/0!</v>
      </c>
      <c r="S167" s="10" t="str">
        <f t="shared" si="18"/>
        <v>#DIV/0!</v>
      </c>
      <c r="T167" s="10" t="str">
        <f t="shared" si="22"/>
        <v>#DIV/0!</v>
      </c>
      <c r="U167" s="10" t="str">
        <f t="shared" si="8"/>
        <v>#DIV/0!</v>
      </c>
      <c r="V167" s="10"/>
      <c r="W167" s="10"/>
      <c r="X167" s="10"/>
      <c r="Y167" s="10"/>
      <c r="Z167" s="10"/>
      <c r="AA167" s="10"/>
      <c r="AB167" s="10"/>
      <c r="AC167" s="10"/>
      <c r="AD167" s="10"/>
      <c r="AE167" s="10"/>
      <c r="AF167" s="10"/>
    </row>
    <row r="168" hidden="1">
      <c r="A168" s="9" t="s">
        <v>385</v>
      </c>
      <c r="B168" s="84"/>
      <c r="C168" s="9"/>
      <c r="D168" s="9" t="str">
        <f t="shared" si="1"/>
        <v/>
      </c>
      <c r="E168" s="10" t="str">
        <f t="shared" si="2"/>
        <v>OT Hours</v>
      </c>
      <c r="F168" s="10" t="str">
        <f>IFERROR(VLOOKUP(C168,'Employees List'!$B$1:$I$999,4,0),"")</f>
        <v/>
      </c>
      <c r="G168" s="10" t="str">
        <f t="shared" si="21"/>
        <v>#DIV/0!</v>
      </c>
      <c r="H168" s="72" t="str">
        <f>IFERROR(VLOOKUP(C168,'Employees List'!$B$2:$I$991,7,0),"")</f>
        <v/>
      </c>
      <c r="I168" s="73" t="str">
        <f>IFERROR(VLOOKUP(F168,'Employees List'!$E$1:$AE$991,6,0),"")</f>
        <v/>
      </c>
      <c r="J168" s="71">
        <f t="shared" si="3"/>
        <v>0</v>
      </c>
      <c r="K168" s="71">
        <f t="shared" si="4"/>
        <v>0</v>
      </c>
      <c r="L168" s="10" t="str">
        <f>IFERROR(VLOOKUP(B168,'Employees List'!$A$2:$K$991,11,0),"")</f>
        <v/>
      </c>
      <c r="M168" s="74" t="str">
        <f>IFERROR(VLOOKUP(D168,'Daily Attendance 25-26'!$A$4:BP999,5,0),"")</f>
        <v/>
      </c>
      <c r="N168" s="10" t="str">
        <f>IFERROR(VLOOKUP(E168,'Daily Attendance 25-26'!$A$1:$BO$1741,5,0),"")</f>
        <v/>
      </c>
      <c r="O168" s="10"/>
      <c r="P168" s="10"/>
      <c r="Q168" s="10" t="str">
        <f t="shared" si="5"/>
        <v>#DIV/0!</v>
      </c>
      <c r="R168" s="10" t="str">
        <f t="shared" si="6"/>
        <v>#DIV/0!</v>
      </c>
      <c r="S168" s="10" t="str">
        <f t="shared" si="18"/>
        <v>#DIV/0!</v>
      </c>
      <c r="T168" s="10" t="str">
        <f t="shared" si="22"/>
        <v>#DIV/0!</v>
      </c>
      <c r="U168" s="10" t="str">
        <f t="shared" si="8"/>
        <v>#DIV/0!</v>
      </c>
      <c r="V168" s="10"/>
      <c r="W168" s="10"/>
      <c r="X168" s="10"/>
      <c r="Y168" s="10"/>
      <c r="Z168" s="10"/>
      <c r="AA168" s="10"/>
      <c r="AB168" s="10"/>
      <c r="AC168" s="10"/>
      <c r="AD168" s="10"/>
      <c r="AE168" s="10"/>
      <c r="AF168" s="10"/>
    </row>
    <row r="169" hidden="1">
      <c r="A169" s="9" t="s">
        <v>386</v>
      </c>
      <c r="B169" s="84"/>
      <c r="C169" s="9"/>
      <c r="D169" s="9" t="str">
        <f t="shared" si="1"/>
        <v/>
      </c>
      <c r="E169" s="10" t="str">
        <f t="shared" si="2"/>
        <v>OT Hours</v>
      </c>
      <c r="F169" s="10" t="str">
        <f>IFERROR(VLOOKUP(C169,'Employees List'!$B$1:$I$999,4,0),"")</f>
        <v/>
      </c>
      <c r="G169" s="10" t="str">
        <f t="shared" si="21"/>
        <v>#DIV/0!</v>
      </c>
      <c r="H169" s="72" t="str">
        <f>IFERROR(VLOOKUP(C169,'Employees List'!$B$2:$I$991,7,0),"")</f>
        <v/>
      </c>
      <c r="I169" s="73" t="str">
        <f>IFERROR(VLOOKUP(F169,'Employees List'!$E$1:$AE$991,6,0),"")</f>
        <v/>
      </c>
      <c r="J169" s="71">
        <f t="shared" si="3"/>
        <v>0</v>
      </c>
      <c r="K169" s="71">
        <f t="shared" si="4"/>
        <v>0</v>
      </c>
      <c r="L169" s="10" t="str">
        <f>IFERROR(VLOOKUP(B169,'Employees List'!$A$2:$K$991,11,0),"")</f>
        <v/>
      </c>
      <c r="M169" s="74" t="str">
        <f>IFERROR(VLOOKUP(D169,'Daily Attendance 25-26'!$A$4:BP999,5,0),"")</f>
        <v/>
      </c>
      <c r="N169" s="10" t="str">
        <f>IFERROR(VLOOKUP(E169,'Daily Attendance 25-26'!$A$1:$BO$1741,5,0),"")</f>
        <v/>
      </c>
      <c r="O169" s="10"/>
      <c r="P169" s="10"/>
      <c r="Q169" s="10" t="str">
        <f t="shared" si="5"/>
        <v>#DIV/0!</v>
      </c>
      <c r="R169" s="10" t="str">
        <f t="shared" si="6"/>
        <v>#DIV/0!</v>
      </c>
      <c r="S169" s="10" t="str">
        <f t="shared" si="18"/>
        <v>#DIV/0!</v>
      </c>
      <c r="T169" s="10" t="str">
        <f t="shared" si="22"/>
        <v>#DIV/0!</v>
      </c>
      <c r="U169" s="10" t="str">
        <f t="shared" si="8"/>
        <v>#DIV/0!</v>
      </c>
      <c r="V169" s="10"/>
      <c r="W169" s="10"/>
      <c r="X169" s="10"/>
      <c r="Y169" s="10"/>
      <c r="Z169" s="10"/>
      <c r="AA169" s="10"/>
      <c r="AB169" s="10"/>
      <c r="AC169" s="10"/>
      <c r="AD169" s="10"/>
      <c r="AE169" s="10"/>
      <c r="AF169" s="10"/>
    </row>
    <row r="170" hidden="1">
      <c r="A170" s="9" t="s">
        <v>387</v>
      </c>
      <c r="B170" s="84"/>
      <c r="C170" s="9"/>
      <c r="D170" s="9" t="str">
        <f t="shared" si="1"/>
        <v/>
      </c>
      <c r="E170" s="10" t="str">
        <f t="shared" si="2"/>
        <v>OT Hours</v>
      </c>
      <c r="F170" s="10" t="str">
        <f>IFERROR(VLOOKUP(C170,'Employees List'!$B$1:$I$999,4,0),"")</f>
        <v/>
      </c>
      <c r="G170" s="10" t="str">
        <f t="shared" si="21"/>
        <v>#DIV/0!</v>
      </c>
      <c r="H170" s="72" t="str">
        <f>IFERROR(VLOOKUP(C170,'Employees List'!$B$2:$I$991,7,0),"")</f>
        <v/>
      </c>
      <c r="I170" s="73" t="str">
        <f>IFERROR(VLOOKUP(F170,'Employees List'!$E$1:$AE$991,6,0),"")</f>
        <v/>
      </c>
      <c r="J170" s="71">
        <f t="shared" si="3"/>
        <v>0</v>
      </c>
      <c r="K170" s="71">
        <f t="shared" si="4"/>
        <v>0</v>
      </c>
      <c r="L170" s="10" t="str">
        <f>IFERROR(VLOOKUP(B170,'Employees List'!$A$2:$K$991,11,0),"")</f>
        <v/>
      </c>
      <c r="M170" s="74" t="str">
        <f>IFERROR(VLOOKUP(D170,'Daily Attendance 25-26'!$A$4:BP999,5,0),"")</f>
        <v/>
      </c>
      <c r="N170" s="10" t="str">
        <f>IFERROR(VLOOKUP(E170,'Daily Attendance 25-26'!$A$1:$BO$1741,5,0),"")</f>
        <v/>
      </c>
      <c r="O170" s="10"/>
      <c r="P170" s="10"/>
      <c r="Q170" s="10" t="str">
        <f t="shared" si="5"/>
        <v>#DIV/0!</v>
      </c>
      <c r="R170" s="10" t="str">
        <f t="shared" si="6"/>
        <v>#DIV/0!</v>
      </c>
      <c r="S170" s="10" t="str">
        <f t="shared" si="18"/>
        <v>#DIV/0!</v>
      </c>
      <c r="T170" s="10" t="str">
        <f t="shared" si="22"/>
        <v>#DIV/0!</v>
      </c>
      <c r="U170" s="10" t="str">
        <f t="shared" si="8"/>
        <v>#DIV/0!</v>
      </c>
      <c r="V170" s="10"/>
      <c r="W170" s="10"/>
      <c r="X170" s="10"/>
      <c r="Y170" s="10"/>
      <c r="Z170" s="10"/>
      <c r="AA170" s="10"/>
      <c r="AB170" s="10"/>
      <c r="AC170" s="10"/>
      <c r="AD170" s="10"/>
      <c r="AE170" s="10"/>
      <c r="AF170" s="10"/>
    </row>
    <row r="171" hidden="1">
      <c r="A171" s="9" t="s">
        <v>388</v>
      </c>
      <c r="B171" s="84"/>
      <c r="C171" s="9"/>
      <c r="D171" s="9" t="str">
        <f t="shared" si="1"/>
        <v/>
      </c>
      <c r="E171" s="10" t="str">
        <f t="shared" si="2"/>
        <v>OT Hours</v>
      </c>
      <c r="F171" s="10" t="str">
        <f>IFERROR(VLOOKUP(C171,'Employees List'!$B$1:$I$999,4,0),"")</f>
        <v/>
      </c>
      <c r="G171" s="10" t="str">
        <f t="shared" si="21"/>
        <v>#DIV/0!</v>
      </c>
      <c r="H171" s="72" t="str">
        <f>IFERROR(VLOOKUP(C171,'Employees List'!$B$2:$I$991,7,0),"")</f>
        <v/>
      </c>
      <c r="I171" s="73" t="str">
        <f>IFERROR(VLOOKUP(F171,'Employees List'!$E$1:$AE$991,6,0),"")</f>
        <v/>
      </c>
      <c r="J171" s="71">
        <f t="shared" si="3"/>
        <v>0</v>
      </c>
      <c r="K171" s="71">
        <f t="shared" si="4"/>
        <v>0</v>
      </c>
      <c r="L171" s="10" t="str">
        <f>IFERROR(VLOOKUP(B171,'Employees List'!$A$2:$K$991,11,0),"")</f>
        <v/>
      </c>
      <c r="M171" s="74" t="str">
        <f>IFERROR(VLOOKUP(D171,'Daily Attendance 25-26'!$A$4:BP999,5,0),"")</f>
        <v/>
      </c>
      <c r="N171" s="10" t="str">
        <f>IFERROR(VLOOKUP(E171,'Daily Attendance 25-26'!$A$1:$BO$1741,5,0),"")</f>
        <v/>
      </c>
      <c r="O171" s="10"/>
      <c r="P171" s="10"/>
      <c r="Q171" s="10" t="str">
        <f t="shared" si="5"/>
        <v>#DIV/0!</v>
      </c>
      <c r="R171" s="10" t="str">
        <f t="shared" si="6"/>
        <v>#DIV/0!</v>
      </c>
      <c r="S171" s="10" t="str">
        <f t="shared" si="18"/>
        <v>#DIV/0!</v>
      </c>
      <c r="T171" s="10" t="str">
        <f t="shared" si="22"/>
        <v>#DIV/0!</v>
      </c>
      <c r="U171" s="10" t="str">
        <f t="shared" si="8"/>
        <v>#DIV/0!</v>
      </c>
      <c r="V171" s="10"/>
      <c r="W171" s="10"/>
      <c r="X171" s="10"/>
      <c r="Y171" s="10"/>
      <c r="Z171" s="10"/>
      <c r="AA171" s="10"/>
      <c r="AB171" s="10"/>
      <c r="AC171" s="10"/>
      <c r="AD171" s="10"/>
      <c r="AE171" s="10"/>
      <c r="AF171" s="10"/>
    </row>
    <row r="172" hidden="1">
      <c r="A172" s="9" t="s">
        <v>389</v>
      </c>
      <c r="B172" s="84"/>
      <c r="C172" s="9"/>
      <c r="D172" s="9" t="str">
        <f t="shared" si="1"/>
        <v/>
      </c>
      <c r="E172" s="10" t="str">
        <f t="shared" si="2"/>
        <v>OT Hours</v>
      </c>
      <c r="F172" s="10" t="str">
        <f>IFERROR(VLOOKUP(C172,'Employees List'!$B$1:$I$999,4,0),"")</f>
        <v/>
      </c>
      <c r="G172" s="10" t="str">
        <f t="shared" si="21"/>
        <v>#DIV/0!</v>
      </c>
      <c r="H172" s="72" t="str">
        <f>IFERROR(VLOOKUP(C172,'Employees List'!$B$2:$I$991,7,0),"")</f>
        <v/>
      </c>
      <c r="I172" s="73" t="str">
        <f>IFERROR(VLOOKUP(F172,'Employees List'!$E$1:$AE$991,6,0),"")</f>
        <v/>
      </c>
      <c r="J172" s="71">
        <f t="shared" si="3"/>
        <v>0</v>
      </c>
      <c r="K172" s="71">
        <f t="shared" si="4"/>
        <v>0</v>
      </c>
      <c r="L172" s="10" t="str">
        <f>IFERROR(VLOOKUP(B172,'Employees List'!$A$2:$K$991,11,0),"")</f>
        <v/>
      </c>
      <c r="M172" s="74" t="str">
        <f>IFERROR(VLOOKUP(D172,'Daily Attendance 25-26'!$A$4:BP999,5,0),"")</f>
        <v/>
      </c>
      <c r="N172" s="10" t="str">
        <f>IFERROR(VLOOKUP(E172,'Daily Attendance 25-26'!$A$1:$BO$1741,5,0),"")</f>
        <v/>
      </c>
      <c r="O172" s="10"/>
      <c r="P172" s="10"/>
      <c r="Q172" s="10" t="str">
        <f t="shared" si="5"/>
        <v>#DIV/0!</v>
      </c>
      <c r="R172" s="10" t="str">
        <f t="shared" si="6"/>
        <v>#DIV/0!</v>
      </c>
      <c r="S172" s="10" t="str">
        <f t="shared" si="18"/>
        <v>#DIV/0!</v>
      </c>
      <c r="T172" s="10" t="str">
        <f t="shared" si="22"/>
        <v>#DIV/0!</v>
      </c>
      <c r="U172" s="10" t="str">
        <f t="shared" si="8"/>
        <v>#DIV/0!</v>
      </c>
      <c r="V172" s="10"/>
      <c r="W172" s="10"/>
      <c r="X172" s="10"/>
      <c r="Y172" s="10"/>
      <c r="Z172" s="10"/>
      <c r="AA172" s="10"/>
      <c r="AB172" s="10"/>
      <c r="AC172" s="10"/>
      <c r="AD172" s="10"/>
      <c r="AE172" s="10"/>
      <c r="AF172" s="10"/>
    </row>
    <row r="173" hidden="1">
      <c r="A173" s="9" t="s">
        <v>390</v>
      </c>
      <c r="B173" s="84"/>
      <c r="C173" s="9"/>
      <c r="D173" s="9" t="str">
        <f t="shared" si="1"/>
        <v/>
      </c>
      <c r="E173" s="10" t="str">
        <f t="shared" si="2"/>
        <v>OT Hours</v>
      </c>
      <c r="F173" s="10" t="str">
        <f>IFERROR(VLOOKUP(C173,'Employees List'!$B$1:$I$999,4,0),"")</f>
        <v/>
      </c>
      <c r="G173" s="10" t="str">
        <f t="shared" si="21"/>
        <v>#DIV/0!</v>
      </c>
      <c r="H173" s="72" t="str">
        <f>IFERROR(VLOOKUP(C173,'Employees List'!$B$2:$I$991,7,0),"")</f>
        <v/>
      </c>
      <c r="I173" s="73" t="str">
        <f>IFERROR(VLOOKUP(F173,'Employees List'!$E$1:$AE$991,6,0),"")</f>
        <v/>
      </c>
      <c r="J173" s="71">
        <f t="shared" si="3"/>
        <v>0</v>
      </c>
      <c r="K173" s="71">
        <f t="shared" si="4"/>
        <v>0</v>
      </c>
      <c r="L173" s="10" t="str">
        <f>IFERROR(VLOOKUP(B173,'Employees List'!$A$2:$K$991,11,0),"")</f>
        <v/>
      </c>
      <c r="M173" s="74" t="str">
        <f>IFERROR(VLOOKUP(D173,'Daily Attendance 25-26'!$A$4:BP999,5,0),"")</f>
        <v/>
      </c>
      <c r="N173" s="10" t="str">
        <f>IFERROR(VLOOKUP(E173,'Daily Attendance 25-26'!$A$1:$BO$1741,5,0),"")</f>
        <v/>
      </c>
      <c r="O173" s="10"/>
      <c r="P173" s="10"/>
      <c r="Q173" s="10" t="str">
        <f t="shared" si="5"/>
        <v>#DIV/0!</v>
      </c>
      <c r="R173" s="10" t="str">
        <f t="shared" si="6"/>
        <v>#DIV/0!</v>
      </c>
      <c r="S173" s="10" t="str">
        <f t="shared" si="18"/>
        <v>#DIV/0!</v>
      </c>
      <c r="T173" s="10" t="str">
        <f t="shared" si="22"/>
        <v>#DIV/0!</v>
      </c>
      <c r="U173" s="10" t="str">
        <f t="shared" si="8"/>
        <v>#DIV/0!</v>
      </c>
      <c r="V173" s="10"/>
      <c r="W173" s="10"/>
      <c r="X173" s="10"/>
      <c r="Y173" s="10"/>
      <c r="Z173" s="10"/>
      <c r="AA173" s="10"/>
      <c r="AB173" s="10"/>
      <c r="AC173" s="10"/>
      <c r="AD173" s="10"/>
      <c r="AE173" s="10"/>
      <c r="AF173" s="10"/>
    </row>
    <row r="174" hidden="1">
      <c r="A174" s="9" t="s">
        <v>391</v>
      </c>
      <c r="B174" s="84"/>
      <c r="C174" s="9"/>
      <c r="D174" s="9" t="str">
        <f t="shared" si="1"/>
        <v/>
      </c>
      <c r="E174" s="10" t="str">
        <f t="shared" si="2"/>
        <v>OT Hours</v>
      </c>
      <c r="F174" s="10" t="str">
        <f>IFERROR(VLOOKUP(C174,'Employees List'!$B$1:$I$999,4,0),"")</f>
        <v/>
      </c>
      <c r="G174" s="10" t="str">
        <f t="shared" si="21"/>
        <v>#DIV/0!</v>
      </c>
      <c r="H174" s="72" t="str">
        <f>IFERROR(VLOOKUP(C174,'Employees List'!$B$2:$I$991,7,0),"")</f>
        <v/>
      </c>
      <c r="I174" s="73" t="str">
        <f>IFERROR(VLOOKUP(F174,'Employees List'!$E$1:$AE$991,6,0),"")</f>
        <v/>
      </c>
      <c r="J174" s="71">
        <f t="shared" si="3"/>
        <v>0</v>
      </c>
      <c r="K174" s="71">
        <f t="shared" si="4"/>
        <v>0</v>
      </c>
      <c r="L174" s="10" t="str">
        <f>IFERROR(VLOOKUP(B174,'Employees List'!$A$2:$K$991,11,0),"")</f>
        <v/>
      </c>
      <c r="M174" s="74" t="str">
        <f>IFERROR(VLOOKUP(D174,'Daily Attendance 25-26'!$A$4:BP999,5,0),"")</f>
        <v/>
      </c>
      <c r="N174" s="10" t="str">
        <f>IFERROR(VLOOKUP(E174,'Daily Attendance 25-26'!$A$1:$BO$1741,5,0),"")</f>
        <v/>
      </c>
      <c r="O174" s="10"/>
      <c r="P174" s="10"/>
      <c r="Q174" s="10" t="str">
        <f t="shared" si="5"/>
        <v>#DIV/0!</v>
      </c>
      <c r="R174" s="10" t="str">
        <f t="shared" si="6"/>
        <v>#DIV/0!</v>
      </c>
      <c r="S174" s="10" t="str">
        <f t="shared" si="18"/>
        <v>#DIV/0!</v>
      </c>
      <c r="T174" s="10" t="str">
        <f t="shared" si="22"/>
        <v>#DIV/0!</v>
      </c>
      <c r="U174" s="10" t="str">
        <f t="shared" si="8"/>
        <v>#DIV/0!</v>
      </c>
      <c r="V174" s="10"/>
      <c r="W174" s="10"/>
      <c r="X174" s="10"/>
      <c r="Y174" s="10"/>
      <c r="Z174" s="10"/>
      <c r="AA174" s="10"/>
      <c r="AB174" s="10"/>
      <c r="AC174" s="10"/>
      <c r="AD174" s="10"/>
      <c r="AE174" s="10"/>
      <c r="AF174" s="10"/>
    </row>
    <row r="175" hidden="1">
      <c r="A175" s="9" t="s">
        <v>392</v>
      </c>
      <c r="B175" s="84"/>
      <c r="C175" s="9"/>
      <c r="D175" s="9" t="str">
        <f t="shared" si="1"/>
        <v/>
      </c>
      <c r="E175" s="10" t="str">
        <f t="shared" si="2"/>
        <v>OT Hours</v>
      </c>
      <c r="F175" s="10" t="str">
        <f>IFERROR(VLOOKUP(C175,'Employees List'!$B$1:$I$999,4,0),"")</f>
        <v/>
      </c>
      <c r="G175" s="10" t="str">
        <f t="shared" si="21"/>
        <v>#DIV/0!</v>
      </c>
      <c r="H175" s="72" t="str">
        <f>IFERROR(VLOOKUP(C175,'Employees List'!$B$2:$I$991,7,0),"")</f>
        <v/>
      </c>
      <c r="I175" s="73" t="str">
        <f>IFERROR(VLOOKUP(F175,'Employees List'!$E$1:$AE$991,6,0),"")</f>
        <v/>
      </c>
      <c r="J175" s="71">
        <f t="shared" si="3"/>
        <v>0</v>
      </c>
      <c r="K175" s="71">
        <f t="shared" si="4"/>
        <v>0</v>
      </c>
      <c r="L175" s="10" t="str">
        <f>IFERROR(VLOOKUP(B175,'Employees List'!$A$2:$K$991,11,0),"")</f>
        <v/>
      </c>
      <c r="M175" s="74" t="str">
        <f>IFERROR(VLOOKUP(D175,'Daily Attendance 25-26'!$A$4:BP999,5,0),"")</f>
        <v/>
      </c>
      <c r="N175" s="10" t="str">
        <f>IFERROR(VLOOKUP(E175,'Daily Attendance 25-26'!$A$1:$BO$1741,5,0),"")</f>
        <v/>
      </c>
      <c r="O175" s="10"/>
      <c r="P175" s="10"/>
      <c r="Q175" s="10" t="str">
        <f t="shared" si="5"/>
        <v>#DIV/0!</v>
      </c>
      <c r="R175" s="10" t="str">
        <f t="shared" si="6"/>
        <v>#DIV/0!</v>
      </c>
      <c r="S175" s="10" t="str">
        <f t="shared" si="18"/>
        <v>#DIV/0!</v>
      </c>
      <c r="T175" s="10" t="str">
        <f t="shared" si="22"/>
        <v>#DIV/0!</v>
      </c>
      <c r="U175" s="10" t="str">
        <f t="shared" si="8"/>
        <v>#DIV/0!</v>
      </c>
      <c r="V175" s="10"/>
      <c r="W175" s="10"/>
      <c r="X175" s="10"/>
      <c r="Y175" s="10"/>
      <c r="Z175" s="10"/>
      <c r="AA175" s="10"/>
      <c r="AB175" s="10"/>
      <c r="AC175" s="10"/>
      <c r="AD175" s="10"/>
      <c r="AE175" s="10"/>
      <c r="AF175" s="10"/>
    </row>
    <row r="176" hidden="1">
      <c r="A176" s="9" t="s">
        <v>393</v>
      </c>
      <c r="B176" s="84"/>
      <c r="C176" s="9"/>
      <c r="D176" s="9" t="str">
        <f t="shared" si="1"/>
        <v/>
      </c>
      <c r="E176" s="10" t="str">
        <f t="shared" si="2"/>
        <v>OT Hours</v>
      </c>
      <c r="F176" s="10" t="str">
        <f>IFERROR(VLOOKUP(C176,'Employees List'!$B$1:$I$999,4,0),"")</f>
        <v/>
      </c>
      <c r="G176" s="10" t="str">
        <f t="shared" si="21"/>
        <v>#DIV/0!</v>
      </c>
      <c r="H176" s="72" t="str">
        <f>IFERROR(VLOOKUP(C176,'Employees List'!$B$2:$I$991,7,0),"")</f>
        <v/>
      </c>
      <c r="I176" s="73" t="str">
        <f>IFERROR(VLOOKUP(F176,'Employees List'!$E$1:$AE$991,6,0),"")</f>
        <v/>
      </c>
      <c r="J176" s="71">
        <f t="shared" si="3"/>
        <v>0</v>
      </c>
      <c r="K176" s="71">
        <f t="shared" si="4"/>
        <v>0</v>
      </c>
      <c r="L176" s="10" t="str">
        <f>IFERROR(VLOOKUP(B176,'Employees List'!$A$2:$K$991,11,0),"")</f>
        <v/>
      </c>
      <c r="M176" s="74" t="str">
        <f>IFERROR(VLOOKUP(D176,'Daily Attendance 25-26'!$A$4:BP999,5,0),"")</f>
        <v/>
      </c>
      <c r="N176" s="10" t="str">
        <f>IFERROR(VLOOKUP(E176,'Daily Attendance 25-26'!$A$1:$BO$1741,5,0),"")</f>
        <v/>
      </c>
      <c r="O176" s="10"/>
      <c r="P176" s="10"/>
      <c r="Q176" s="10" t="str">
        <f t="shared" si="5"/>
        <v>#DIV/0!</v>
      </c>
      <c r="R176" s="10" t="str">
        <f t="shared" si="6"/>
        <v>#DIV/0!</v>
      </c>
      <c r="S176" s="10" t="str">
        <f t="shared" si="18"/>
        <v>#DIV/0!</v>
      </c>
      <c r="T176" s="10" t="str">
        <f t="shared" si="22"/>
        <v>#DIV/0!</v>
      </c>
      <c r="U176" s="10" t="str">
        <f t="shared" si="8"/>
        <v>#DIV/0!</v>
      </c>
      <c r="V176" s="10"/>
      <c r="W176" s="10"/>
      <c r="X176" s="10"/>
      <c r="Y176" s="10"/>
      <c r="Z176" s="10"/>
      <c r="AA176" s="10"/>
      <c r="AB176" s="10"/>
      <c r="AC176" s="10"/>
      <c r="AD176" s="10"/>
      <c r="AE176" s="10"/>
      <c r="AF176" s="10"/>
    </row>
    <row r="177" hidden="1">
      <c r="A177" s="9" t="s">
        <v>394</v>
      </c>
      <c r="B177" s="84"/>
      <c r="C177" s="9"/>
      <c r="D177" s="9" t="str">
        <f t="shared" si="1"/>
        <v/>
      </c>
      <c r="E177" s="10" t="str">
        <f t="shared" si="2"/>
        <v>OT Hours</v>
      </c>
      <c r="F177" s="10" t="str">
        <f>IFERROR(VLOOKUP(C177,'Employees List'!$B$1:$I$999,4,0),"")</f>
        <v/>
      </c>
      <c r="G177" s="10" t="str">
        <f t="shared" si="21"/>
        <v>#DIV/0!</v>
      </c>
      <c r="H177" s="72" t="str">
        <f>IFERROR(VLOOKUP(C177,'Employees List'!$B$2:$I$991,7,0),"")</f>
        <v/>
      </c>
      <c r="I177" s="73" t="str">
        <f>IFERROR(VLOOKUP(F177,'Employees List'!$E$1:$AE$991,6,0),"")</f>
        <v/>
      </c>
      <c r="J177" s="71">
        <f t="shared" si="3"/>
        <v>0</v>
      </c>
      <c r="K177" s="71">
        <f t="shared" si="4"/>
        <v>0</v>
      </c>
      <c r="L177" s="10" t="str">
        <f>IFERROR(VLOOKUP(B177,'Employees List'!$A$2:$K$991,11,0),"")</f>
        <v/>
      </c>
      <c r="M177" s="74" t="str">
        <f>IFERROR(VLOOKUP(D177,'Daily Attendance 25-26'!$A$4:BP999,5,0),"")</f>
        <v/>
      </c>
      <c r="N177" s="10" t="str">
        <f>IFERROR(VLOOKUP(E177,'Daily Attendance 25-26'!$A$1:$BO$1741,5,0),"")</f>
        <v/>
      </c>
      <c r="O177" s="10"/>
      <c r="P177" s="10"/>
      <c r="Q177" s="10" t="str">
        <f t="shared" si="5"/>
        <v>#DIV/0!</v>
      </c>
      <c r="R177" s="10" t="str">
        <f t="shared" si="6"/>
        <v>#DIV/0!</v>
      </c>
      <c r="S177" s="10" t="str">
        <f t="shared" si="18"/>
        <v>#DIV/0!</v>
      </c>
      <c r="T177" s="10" t="str">
        <f t="shared" si="22"/>
        <v>#DIV/0!</v>
      </c>
      <c r="U177" s="10" t="str">
        <f t="shared" si="8"/>
        <v>#DIV/0!</v>
      </c>
      <c r="V177" s="10"/>
      <c r="W177" s="10"/>
      <c r="X177" s="10"/>
      <c r="Y177" s="10"/>
      <c r="Z177" s="10"/>
      <c r="AA177" s="10"/>
      <c r="AB177" s="10"/>
      <c r="AC177" s="10"/>
      <c r="AD177" s="10"/>
      <c r="AE177" s="10"/>
      <c r="AF177" s="10"/>
    </row>
    <row r="178" hidden="1">
      <c r="A178" s="9" t="s">
        <v>395</v>
      </c>
      <c r="B178" s="84"/>
      <c r="C178" s="9"/>
      <c r="D178" s="9" t="str">
        <f t="shared" si="1"/>
        <v/>
      </c>
      <c r="E178" s="10" t="str">
        <f t="shared" si="2"/>
        <v>OT Hours</v>
      </c>
      <c r="F178" s="10" t="str">
        <f>IFERROR(VLOOKUP(C178,'Employees List'!$B$1:$I$999,4,0),"")</f>
        <v/>
      </c>
      <c r="G178" s="10" t="str">
        <f t="shared" si="21"/>
        <v>#DIV/0!</v>
      </c>
      <c r="H178" s="72" t="str">
        <f>IFERROR(VLOOKUP(C178,'Employees List'!$B$2:$I$991,7,0),"")</f>
        <v/>
      </c>
      <c r="I178" s="73" t="str">
        <f>IFERROR(VLOOKUP(F178,'Employees List'!$E$1:$AE$991,6,0),"")</f>
        <v/>
      </c>
      <c r="J178" s="71">
        <f t="shared" si="3"/>
        <v>0</v>
      </c>
      <c r="K178" s="71">
        <f t="shared" si="4"/>
        <v>0</v>
      </c>
      <c r="L178" s="10" t="str">
        <f>IFERROR(VLOOKUP(B178,'Employees List'!$A$2:$K$991,11,0),"")</f>
        <v/>
      </c>
      <c r="M178" s="74" t="str">
        <f>IFERROR(VLOOKUP(D178,'Daily Attendance 25-26'!$A$4:BP999,5,0),"")</f>
        <v/>
      </c>
      <c r="N178" s="10" t="str">
        <f>IFERROR(VLOOKUP(E178,'Daily Attendance 25-26'!$A$1:$BO$1741,5,0),"")</f>
        <v/>
      </c>
      <c r="O178" s="10"/>
      <c r="P178" s="10"/>
      <c r="Q178" s="10" t="str">
        <f t="shared" si="5"/>
        <v>#DIV/0!</v>
      </c>
      <c r="R178" s="10" t="str">
        <f t="shared" si="6"/>
        <v>#DIV/0!</v>
      </c>
      <c r="S178" s="10" t="str">
        <f t="shared" si="18"/>
        <v>#DIV/0!</v>
      </c>
      <c r="T178" s="10" t="str">
        <f t="shared" si="22"/>
        <v>#DIV/0!</v>
      </c>
      <c r="U178" s="10" t="str">
        <f t="shared" si="8"/>
        <v>#DIV/0!</v>
      </c>
      <c r="V178" s="10"/>
      <c r="W178" s="10"/>
      <c r="X178" s="10"/>
      <c r="Y178" s="10"/>
      <c r="Z178" s="10"/>
      <c r="AA178" s="10"/>
      <c r="AB178" s="10"/>
      <c r="AC178" s="10"/>
      <c r="AD178" s="10"/>
      <c r="AE178" s="10"/>
      <c r="AF178" s="10"/>
    </row>
    <row r="179" hidden="1">
      <c r="A179" s="9" t="s">
        <v>396</v>
      </c>
      <c r="B179" s="84"/>
      <c r="C179" s="9"/>
      <c r="D179" s="9" t="str">
        <f t="shared" si="1"/>
        <v/>
      </c>
      <c r="E179" s="10" t="str">
        <f t="shared" si="2"/>
        <v>OT Hours</v>
      </c>
      <c r="F179" s="10" t="str">
        <f>IFERROR(VLOOKUP(C179,'Employees List'!$B$1:$I$999,4,0),"")</f>
        <v/>
      </c>
      <c r="G179" s="10" t="str">
        <f t="shared" si="21"/>
        <v>#DIV/0!</v>
      </c>
      <c r="H179" s="72" t="str">
        <f>IFERROR(VLOOKUP(C179,'Employees List'!$B$2:$I$991,7,0),"")</f>
        <v/>
      </c>
      <c r="I179" s="73" t="str">
        <f>IFERROR(VLOOKUP(F179,'Employees List'!$E$1:$AE$991,6,0),"")</f>
        <v/>
      </c>
      <c r="J179" s="71">
        <f t="shared" si="3"/>
        <v>0</v>
      </c>
      <c r="K179" s="71">
        <f t="shared" si="4"/>
        <v>0</v>
      </c>
      <c r="L179" s="10" t="str">
        <f>IFERROR(VLOOKUP(B179,'Employees List'!$A$2:$K$991,11,0),"")</f>
        <v/>
      </c>
      <c r="M179" s="74" t="str">
        <f>IFERROR(VLOOKUP(D179,'Daily Attendance 25-26'!$A$4:BP999,5,0),"")</f>
        <v/>
      </c>
      <c r="N179" s="10" t="str">
        <f>IFERROR(VLOOKUP(E179,'Daily Attendance 25-26'!$A$1:$BO$1741,5,0),"")</f>
        <v/>
      </c>
      <c r="O179" s="10"/>
      <c r="P179" s="10"/>
      <c r="Q179" s="10" t="str">
        <f t="shared" si="5"/>
        <v>#DIV/0!</v>
      </c>
      <c r="R179" s="10" t="str">
        <f t="shared" si="6"/>
        <v>#DIV/0!</v>
      </c>
      <c r="S179" s="10" t="str">
        <f t="shared" si="18"/>
        <v>#DIV/0!</v>
      </c>
      <c r="T179" s="10" t="str">
        <f t="shared" si="22"/>
        <v>#DIV/0!</v>
      </c>
      <c r="U179" s="10" t="str">
        <f t="shared" si="8"/>
        <v>#DIV/0!</v>
      </c>
      <c r="V179" s="10"/>
      <c r="W179" s="10"/>
      <c r="X179" s="10"/>
      <c r="Y179" s="10"/>
      <c r="Z179" s="10"/>
      <c r="AA179" s="10"/>
      <c r="AB179" s="10"/>
      <c r="AC179" s="10"/>
      <c r="AD179" s="10"/>
      <c r="AE179" s="10"/>
      <c r="AF179" s="10"/>
    </row>
    <row r="180" hidden="1">
      <c r="A180" s="9" t="s">
        <v>397</v>
      </c>
      <c r="B180" s="84"/>
      <c r="C180" s="9"/>
      <c r="D180" s="9" t="str">
        <f t="shared" si="1"/>
        <v/>
      </c>
      <c r="E180" s="10" t="str">
        <f t="shared" si="2"/>
        <v>OT Hours</v>
      </c>
      <c r="F180" s="10" t="str">
        <f>IFERROR(VLOOKUP(C180,'Employees List'!$B$1:$I$999,4,0),"")</f>
        <v/>
      </c>
      <c r="G180" s="10" t="str">
        <f t="shared" si="21"/>
        <v>#DIV/0!</v>
      </c>
      <c r="H180" s="72" t="str">
        <f>IFERROR(VLOOKUP(C180,'Employees List'!$B$2:$I$991,7,0),"")</f>
        <v/>
      </c>
      <c r="I180" s="73" t="str">
        <f>IFERROR(VLOOKUP(F180,'Employees List'!$E$1:$AE$991,6,0),"")</f>
        <v/>
      </c>
      <c r="J180" s="71">
        <f t="shared" si="3"/>
        <v>0</v>
      </c>
      <c r="K180" s="71">
        <f t="shared" si="4"/>
        <v>0</v>
      </c>
      <c r="L180" s="10" t="str">
        <f>IFERROR(VLOOKUP(B180,'Employees List'!$A$2:$K$991,11,0),"")</f>
        <v/>
      </c>
      <c r="M180" s="74" t="str">
        <f>IFERROR(VLOOKUP(D180,'Daily Attendance 25-26'!$A$4:BP999,5,0),"")</f>
        <v/>
      </c>
      <c r="N180" s="10" t="str">
        <f>IFERROR(VLOOKUP(E180,'Daily Attendance 25-26'!$A$1:$BO$1741,5,0),"")</f>
        <v/>
      </c>
      <c r="O180" s="10"/>
      <c r="P180" s="10"/>
      <c r="Q180" s="10" t="str">
        <f t="shared" si="5"/>
        <v>#DIV/0!</v>
      </c>
      <c r="R180" s="10" t="str">
        <f t="shared" si="6"/>
        <v>#DIV/0!</v>
      </c>
      <c r="S180" s="10" t="str">
        <f t="shared" si="18"/>
        <v>#DIV/0!</v>
      </c>
      <c r="T180" s="10" t="str">
        <f t="shared" si="22"/>
        <v>#DIV/0!</v>
      </c>
      <c r="U180" s="10" t="str">
        <f t="shared" si="8"/>
        <v>#DIV/0!</v>
      </c>
      <c r="V180" s="10"/>
      <c r="W180" s="10"/>
      <c r="X180" s="10"/>
      <c r="Y180" s="10"/>
      <c r="Z180" s="10"/>
      <c r="AA180" s="10"/>
      <c r="AB180" s="10"/>
      <c r="AC180" s="10"/>
      <c r="AD180" s="10"/>
      <c r="AE180" s="10"/>
      <c r="AF180" s="10"/>
    </row>
    <row r="181" hidden="1">
      <c r="A181" s="9" t="s">
        <v>398</v>
      </c>
      <c r="B181" s="84"/>
      <c r="C181" s="9"/>
      <c r="D181" s="9" t="str">
        <f t="shared" si="1"/>
        <v/>
      </c>
      <c r="E181" s="10" t="str">
        <f t="shared" si="2"/>
        <v>OT Hours</v>
      </c>
      <c r="F181" s="10" t="str">
        <f>IFERROR(VLOOKUP(C181,'Employees List'!$B$1:$I$999,4,0),"")</f>
        <v/>
      </c>
      <c r="G181" s="10" t="str">
        <f t="shared" si="21"/>
        <v>#DIV/0!</v>
      </c>
      <c r="H181" s="72" t="str">
        <f>IFERROR(VLOOKUP(C181,'Employees List'!$B$2:$I$991,7,0),"")</f>
        <v/>
      </c>
      <c r="I181" s="73" t="str">
        <f>IFERROR(VLOOKUP(F181,'Employees List'!$E$1:$AE$991,6,0),"")</f>
        <v/>
      </c>
      <c r="J181" s="71">
        <f t="shared" si="3"/>
        <v>0</v>
      </c>
      <c r="K181" s="71">
        <f t="shared" si="4"/>
        <v>0</v>
      </c>
      <c r="L181" s="10" t="str">
        <f>IFERROR(VLOOKUP(B181,'Employees List'!$A$2:$K$991,11,0),"")</f>
        <v/>
      </c>
      <c r="M181" s="74" t="str">
        <f>IFERROR(VLOOKUP(D181,'Daily Attendance 25-26'!$A$4:BP999,5,0),"")</f>
        <v/>
      </c>
      <c r="N181" s="10" t="str">
        <f>IFERROR(VLOOKUP(E181,'Daily Attendance 25-26'!$A$1:$BO$1741,5,0),"")</f>
        <v/>
      </c>
      <c r="O181" s="10"/>
      <c r="P181" s="10"/>
      <c r="Q181" s="10" t="str">
        <f t="shared" si="5"/>
        <v>#DIV/0!</v>
      </c>
      <c r="R181" s="10" t="str">
        <f t="shared" si="6"/>
        <v>#DIV/0!</v>
      </c>
      <c r="S181" s="10" t="str">
        <f t="shared" si="18"/>
        <v>#DIV/0!</v>
      </c>
      <c r="T181" s="10" t="str">
        <f t="shared" si="22"/>
        <v>#DIV/0!</v>
      </c>
      <c r="U181" s="10" t="str">
        <f t="shared" si="8"/>
        <v>#DIV/0!</v>
      </c>
      <c r="V181" s="10"/>
      <c r="W181" s="10"/>
      <c r="X181" s="10"/>
      <c r="Y181" s="10"/>
      <c r="Z181" s="10"/>
      <c r="AA181" s="10"/>
      <c r="AB181" s="10"/>
      <c r="AC181" s="10"/>
      <c r="AD181" s="10"/>
      <c r="AE181" s="10"/>
      <c r="AF181" s="10"/>
    </row>
    <row r="182" hidden="1">
      <c r="A182" s="9" t="s">
        <v>399</v>
      </c>
      <c r="B182" s="84"/>
      <c r="C182" s="9"/>
      <c r="D182" s="9" t="str">
        <f t="shared" si="1"/>
        <v/>
      </c>
      <c r="E182" s="10" t="str">
        <f t="shared" si="2"/>
        <v>OT Hours</v>
      </c>
      <c r="F182" s="10" t="str">
        <f>IFERROR(VLOOKUP(C182,'Employees List'!$B$1:$I$999,4,0),"")</f>
        <v/>
      </c>
      <c r="G182" s="10" t="str">
        <f t="shared" si="21"/>
        <v>#DIV/0!</v>
      </c>
      <c r="H182" s="72" t="str">
        <f>IFERROR(VLOOKUP(C182,'Employees List'!$B$2:$I$991,7,0),"")</f>
        <v/>
      </c>
      <c r="I182" s="73" t="str">
        <f>IFERROR(VLOOKUP(F182,'Employees List'!$E$1:$AE$991,6,0),"")</f>
        <v/>
      </c>
      <c r="J182" s="71">
        <f t="shared" si="3"/>
        <v>0</v>
      </c>
      <c r="K182" s="71">
        <f t="shared" si="4"/>
        <v>0</v>
      </c>
      <c r="L182" s="10" t="str">
        <f>IFERROR(VLOOKUP(B182,'Employees List'!$A$2:$K$991,11,0),"")</f>
        <v/>
      </c>
      <c r="M182" s="74" t="str">
        <f>IFERROR(VLOOKUP(D182,'Daily Attendance 25-26'!$A$4:BP999,5,0),"")</f>
        <v/>
      </c>
      <c r="N182" s="10" t="str">
        <f>IFERROR(VLOOKUP(E182,'Daily Attendance 25-26'!$A$1:$BO$1741,5,0),"")</f>
        <v/>
      </c>
      <c r="O182" s="10"/>
      <c r="P182" s="10"/>
      <c r="Q182" s="10" t="str">
        <f t="shared" si="5"/>
        <v>#DIV/0!</v>
      </c>
      <c r="R182" s="10" t="str">
        <f t="shared" si="6"/>
        <v>#DIV/0!</v>
      </c>
      <c r="S182" s="10" t="str">
        <f t="shared" si="18"/>
        <v>#DIV/0!</v>
      </c>
      <c r="T182" s="10" t="str">
        <f t="shared" si="22"/>
        <v>#DIV/0!</v>
      </c>
      <c r="U182" s="10" t="str">
        <f t="shared" si="8"/>
        <v>#DIV/0!</v>
      </c>
      <c r="V182" s="10"/>
      <c r="W182" s="10"/>
      <c r="X182" s="10"/>
      <c r="Y182" s="10"/>
      <c r="Z182" s="10"/>
      <c r="AA182" s="10"/>
      <c r="AB182" s="10"/>
      <c r="AC182" s="10"/>
      <c r="AD182" s="10"/>
      <c r="AE182" s="10"/>
      <c r="AF182" s="10"/>
    </row>
    <row r="183" hidden="1">
      <c r="A183" s="9" t="s">
        <v>400</v>
      </c>
      <c r="B183" s="84"/>
      <c r="C183" s="9"/>
      <c r="D183" s="9" t="str">
        <f t="shared" si="1"/>
        <v/>
      </c>
      <c r="E183" s="10" t="str">
        <f t="shared" si="2"/>
        <v>OT Hours</v>
      </c>
      <c r="F183" s="10" t="str">
        <f>IFERROR(VLOOKUP(C183,'Employees List'!$B$1:$I$999,4,0),"")</f>
        <v/>
      </c>
      <c r="G183" s="10" t="str">
        <f t="shared" si="21"/>
        <v>#DIV/0!</v>
      </c>
      <c r="H183" s="72" t="str">
        <f>IFERROR(VLOOKUP(C183,'Employees List'!$B$2:$I$991,7,0),"")</f>
        <v/>
      </c>
      <c r="I183" s="73" t="str">
        <f>IFERROR(VLOOKUP(F183,'Employees List'!$E$1:$AE$991,6,0),"")</f>
        <v/>
      </c>
      <c r="J183" s="71">
        <f t="shared" si="3"/>
        <v>0</v>
      </c>
      <c r="K183" s="71">
        <f t="shared" si="4"/>
        <v>0</v>
      </c>
      <c r="L183" s="10" t="str">
        <f>IFERROR(VLOOKUP(B183,'Employees List'!$A$2:$K$991,11,0),"")</f>
        <v/>
      </c>
      <c r="M183" s="74" t="str">
        <f>IFERROR(VLOOKUP(D183,'Daily Attendance 25-26'!$A$4:BP999,5,0),"")</f>
        <v/>
      </c>
      <c r="N183" s="10" t="str">
        <f>IFERROR(VLOOKUP(E183,'Daily Attendance 25-26'!$A$1:$BO$1741,5,0),"")</f>
        <v/>
      </c>
      <c r="O183" s="10"/>
      <c r="P183" s="10"/>
      <c r="Q183" s="10" t="str">
        <f t="shared" si="5"/>
        <v>#DIV/0!</v>
      </c>
      <c r="R183" s="10" t="str">
        <f t="shared" si="6"/>
        <v>#DIV/0!</v>
      </c>
      <c r="S183" s="10" t="str">
        <f t="shared" si="18"/>
        <v>#DIV/0!</v>
      </c>
      <c r="T183" s="10" t="str">
        <f t="shared" si="22"/>
        <v>#DIV/0!</v>
      </c>
      <c r="U183" s="10" t="str">
        <f t="shared" si="8"/>
        <v>#DIV/0!</v>
      </c>
      <c r="V183" s="10"/>
      <c r="W183" s="10"/>
      <c r="X183" s="10"/>
      <c r="Y183" s="10"/>
      <c r="Z183" s="10"/>
      <c r="AA183" s="10"/>
      <c r="AB183" s="10"/>
      <c r="AC183" s="10"/>
      <c r="AD183" s="10"/>
      <c r="AE183" s="10"/>
      <c r="AF183" s="10"/>
    </row>
    <row r="184" hidden="1">
      <c r="A184" s="9" t="s">
        <v>401</v>
      </c>
      <c r="B184" s="84"/>
      <c r="C184" s="9"/>
      <c r="D184" s="9" t="str">
        <f t="shared" si="1"/>
        <v/>
      </c>
      <c r="E184" s="10" t="str">
        <f t="shared" si="2"/>
        <v>OT Hours</v>
      </c>
      <c r="F184" s="10" t="str">
        <f>IFERROR(VLOOKUP(C184,'Employees List'!$B$1:$I$999,4,0),"")</f>
        <v/>
      </c>
      <c r="G184" s="10" t="str">
        <f t="shared" si="21"/>
        <v>#DIV/0!</v>
      </c>
      <c r="H184" s="72" t="str">
        <f>IFERROR(VLOOKUP(C184,'Employees List'!$B$2:$I$991,7,0),"")</f>
        <v/>
      </c>
      <c r="I184" s="73" t="str">
        <f>IFERROR(VLOOKUP(F184,'Employees List'!$E$1:$AE$991,6,0),"")</f>
        <v/>
      </c>
      <c r="J184" s="71">
        <f t="shared" si="3"/>
        <v>0</v>
      </c>
      <c r="K184" s="71">
        <f t="shared" si="4"/>
        <v>0</v>
      </c>
      <c r="L184" s="10" t="str">
        <f>IFERROR(VLOOKUP(B184,'Employees List'!$A$2:$K$991,11,0),"")</f>
        <v/>
      </c>
      <c r="M184" s="74" t="str">
        <f>IFERROR(VLOOKUP(D184,'Daily Attendance 25-26'!$A$4:BP999,5,0),"")</f>
        <v/>
      </c>
      <c r="N184" s="10" t="str">
        <f>IFERROR(VLOOKUP(E184,'Daily Attendance 25-26'!$A$1:$BO$1741,5,0),"")</f>
        <v/>
      </c>
      <c r="O184" s="10"/>
      <c r="P184" s="10"/>
      <c r="Q184" s="10" t="str">
        <f t="shared" si="5"/>
        <v>#DIV/0!</v>
      </c>
      <c r="R184" s="10" t="str">
        <f t="shared" si="6"/>
        <v>#DIV/0!</v>
      </c>
      <c r="S184" s="10" t="str">
        <f t="shared" si="18"/>
        <v>#DIV/0!</v>
      </c>
      <c r="T184" s="10" t="str">
        <f t="shared" si="22"/>
        <v>#DIV/0!</v>
      </c>
      <c r="U184" s="10" t="str">
        <f t="shared" si="8"/>
        <v>#DIV/0!</v>
      </c>
      <c r="V184" s="10"/>
      <c r="W184" s="10"/>
      <c r="X184" s="10"/>
      <c r="Y184" s="10"/>
      <c r="Z184" s="10"/>
      <c r="AA184" s="10"/>
      <c r="AB184" s="10"/>
      <c r="AC184" s="10"/>
      <c r="AD184" s="10"/>
      <c r="AE184" s="10"/>
      <c r="AF184" s="10"/>
    </row>
    <row r="185" hidden="1">
      <c r="A185" s="9" t="s">
        <v>402</v>
      </c>
      <c r="B185" s="84"/>
      <c r="C185" s="9"/>
      <c r="D185" s="9" t="str">
        <f t="shared" si="1"/>
        <v/>
      </c>
      <c r="E185" s="10" t="str">
        <f t="shared" si="2"/>
        <v>OT Hours</v>
      </c>
      <c r="F185" s="10" t="str">
        <f>IFERROR(VLOOKUP(C185,'Employees List'!$B$1:$I$999,4,0),"")</f>
        <v/>
      </c>
      <c r="G185" s="10" t="str">
        <f t="shared" si="21"/>
        <v>#DIV/0!</v>
      </c>
      <c r="H185" s="72" t="str">
        <f>IFERROR(VLOOKUP(C185,'Employees List'!$B$2:$I$991,7,0),"")</f>
        <v/>
      </c>
      <c r="I185" s="73" t="str">
        <f>IFERROR(VLOOKUP(F185,'Employees List'!$E$1:$AE$991,6,0),"")</f>
        <v/>
      </c>
      <c r="J185" s="71">
        <f t="shared" si="3"/>
        <v>0</v>
      </c>
      <c r="K185" s="71">
        <f t="shared" si="4"/>
        <v>0</v>
      </c>
      <c r="L185" s="10" t="str">
        <f>IFERROR(VLOOKUP(B185,'Employees List'!$A$2:$K$991,11,0),"")</f>
        <v/>
      </c>
      <c r="M185" s="74" t="str">
        <f>IFERROR(VLOOKUP(D185,'Daily Attendance 25-26'!$A$4:BP999,5,0),"")</f>
        <v/>
      </c>
      <c r="N185" s="10" t="str">
        <f>IFERROR(VLOOKUP(E185,'Daily Attendance 25-26'!$A$1:$BO$1741,5,0),"")</f>
        <v/>
      </c>
      <c r="O185" s="10"/>
      <c r="P185" s="10"/>
      <c r="Q185" s="10" t="str">
        <f t="shared" si="5"/>
        <v>#DIV/0!</v>
      </c>
      <c r="R185" s="10" t="str">
        <f t="shared" si="6"/>
        <v>#DIV/0!</v>
      </c>
      <c r="S185" s="10" t="str">
        <f t="shared" si="18"/>
        <v>#DIV/0!</v>
      </c>
      <c r="T185" s="10" t="str">
        <f t="shared" si="22"/>
        <v>#DIV/0!</v>
      </c>
      <c r="U185" s="10" t="str">
        <f t="shared" si="8"/>
        <v>#DIV/0!</v>
      </c>
      <c r="V185" s="10"/>
      <c r="W185" s="10"/>
      <c r="X185" s="10"/>
      <c r="Y185" s="10"/>
      <c r="Z185" s="10"/>
      <c r="AA185" s="10"/>
      <c r="AB185" s="10"/>
      <c r="AC185" s="10"/>
      <c r="AD185" s="10"/>
      <c r="AE185" s="10"/>
      <c r="AF185" s="10"/>
    </row>
    <row r="186" hidden="1">
      <c r="A186" s="9" t="s">
        <v>403</v>
      </c>
      <c r="B186" s="84"/>
      <c r="C186" s="9"/>
      <c r="D186" s="9" t="str">
        <f t="shared" si="1"/>
        <v/>
      </c>
      <c r="E186" s="10" t="str">
        <f t="shared" si="2"/>
        <v>OT Hours</v>
      </c>
      <c r="F186" s="10" t="str">
        <f>IFERROR(VLOOKUP(C186,'Employees List'!$B$1:$I$999,4,0),"")</f>
        <v/>
      </c>
      <c r="G186" s="10" t="str">
        <f t="shared" si="21"/>
        <v>#DIV/0!</v>
      </c>
      <c r="H186" s="72" t="str">
        <f>IFERROR(VLOOKUP(C186,'Employees List'!$B$2:$I$991,7,0),"")</f>
        <v/>
      </c>
      <c r="I186" s="73" t="str">
        <f>IFERROR(VLOOKUP(F186,'Employees List'!$E$1:$AE$991,6,0),"")</f>
        <v/>
      </c>
      <c r="J186" s="71">
        <f t="shared" si="3"/>
        <v>0</v>
      </c>
      <c r="K186" s="71">
        <f t="shared" si="4"/>
        <v>0</v>
      </c>
      <c r="L186" s="10" t="str">
        <f>IFERROR(VLOOKUP(B186,'Employees List'!$A$2:$K$991,11,0),"")</f>
        <v/>
      </c>
      <c r="M186" s="74" t="str">
        <f>IFERROR(VLOOKUP(D186,'Daily Attendance 25-26'!$A$4:BP999,5,0),"")</f>
        <v/>
      </c>
      <c r="N186" s="10" t="str">
        <f>IFERROR(VLOOKUP(E186,'Daily Attendance 25-26'!$A$1:$BO$1741,5,0),"")</f>
        <v/>
      </c>
      <c r="O186" s="10"/>
      <c r="P186" s="10"/>
      <c r="Q186" s="10" t="str">
        <f t="shared" si="5"/>
        <v>#DIV/0!</v>
      </c>
      <c r="R186" s="10" t="str">
        <f t="shared" si="6"/>
        <v>#DIV/0!</v>
      </c>
      <c r="S186" s="10" t="str">
        <f t="shared" si="18"/>
        <v>#DIV/0!</v>
      </c>
      <c r="T186" s="10" t="str">
        <f t="shared" si="22"/>
        <v>#DIV/0!</v>
      </c>
      <c r="U186" s="10" t="str">
        <f t="shared" si="8"/>
        <v>#DIV/0!</v>
      </c>
      <c r="V186" s="10"/>
      <c r="W186" s="10"/>
      <c r="X186" s="10"/>
      <c r="Y186" s="10"/>
      <c r="Z186" s="10"/>
      <c r="AA186" s="10"/>
      <c r="AB186" s="10"/>
      <c r="AC186" s="10"/>
      <c r="AD186" s="10"/>
      <c r="AE186" s="10"/>
      <c r="AF186" s="10"/>
    </row>
    <row r="187" hidden="1">
      <c r="A187" s="9" t="s">
        <v>404</v>
      </c>
      <c r="B187" s="84"/>
      <c r="C187" s="9"/>
      <c r="D187" s="9" t="str">
        <f t="shared" si="1"/>
        <v/>
      </c>
      <c r="E187" s="10" t="str">
        <f t="shared" si="2"/>
        <v>OT Hours</v>
      </c>
      <c r="F187" s="10" t="str">
        <f>IFERROR(VLOOKUP(C187,'Employees List'!$B$1:$I$999,4,0),"")</f>
        <v/>
      </c>
      <c r="G187" s="10" t="str">
        <f t="shared" si="21"/>
        <v>#DIV/0!</v>
      </c>
      <c r="H187" s="72" t="str">
        <f>IFERROR(VLOOKUP(C187,'Employees List'!$B$2:$I$991,7,0),"")</f>
        <v/>
      </c>
      <c r="I187" s="73" t="str">
        <f>IFERROR(VLOOKUP(F187,'Employees List'!$E$1:$AE$991,6,0),"")</f>
        <v/>
      </c>
      <c r="J187" s="71">
        <f t="shared" si="3"/>
        <v>0</v>
      </c>
      <c r="K187" s="71">
        <f t="shared" si="4"/>
        <v>0</v>
      </c>
      <c r="L187" s="10" t="str">
        <f>IFERROR(VLOOKUP(B187,'Employees List'!$A$2:$K$991,11,0),"")</f>
        <v/>
      </c>
      <c r="M187" s="74" t="str">
        <f>IFERROR(VLOOKUP(D187,'Daily Attendance 25-26'!$A$4:BP999,5,0),"")</f>
        <v/>
      </c>
      <c r="N187" s="10" t="str">
        <f>IFERROR(VLOOKUP(E187,'Daily Attendance 25-26'!$A$1:$BO$1741,5,0),"")</f>
        <v/>
      </c>
      <c r="O187" s="10"/>
      <c r="P187" s="10"/>
      <c r="Q187" s="10" t="str">
        <f t="shared" si="5"/>
        <v>#DIV/0!</v>
      </c>
      <c r="R187" s="10" t="str">
        <f t="shared" si="6"/>
        <v>#DIV/0!</v>
      </c>
      <c r="S187" s="10" t="str">
        <f t="shared" si="18"/>
        <v>#DIV/0!</v>
      </c>
      <c r="T187" s="10" t="str">
        <f t="shared" si="22"/>
        <v>#DIV/0!</v>
      </c>
      <c r="U187" s="10" t="str">
        <f t="shared" si="8"/>
        <v>#DIV/0!</v>
      </c>
      <c r="V187" s="10"/>
      <c r="W187" s="10"/>
      <c r="X187" s="10"/>
      <c r="Y187" s="10"/>
      <c r="Z187" s="10"/>
      <c r="AA187" s="10"/>
      <c r="AB187" s="10"/>
      <c r="AC187" s="10"/>
      <c r="AD187" s="10"/>
      <c r="AE187" s="10"/>
      <c r="AF187" s="10"/>
    </row>
    <row r="188" hidden="1">
      <c r="A188" s="9" t="s">
        <v>405</v>
      </c>
      <c r="B188" s="84"/>
      <c r="C188" s="9"/>
      <c r="D188" s="9" t="str">
        <f t="shared" si="1"/>
        <v/>
      </c>
      <c r="E188" s="10" t="str">
        <f t="shared" si="2"/>
        <v>OT Hours</v>
      </c>
      <c r="F188" s="10" t="str">
        <f>IFERROR(VLOOKUP(C188,'Employees List'!$B$1:$I$999,4,0),"")</f>
        <v/>
      </c>
      <c r="G188" s="10" t="str">
        <f t="shared" si="21"/>
        <v>#DIV/0!</v>
      </c>
      <c r="H188" s="72" t="str">
        <f>IFERROR(VLOOKUP(C188,'Employees List'!$B$2:$I$991,7,0),"")</f>
        <v/>
      </c>
      <c r="I188" s="73" t="str">
        <f>IFERROR(VLOOKUP(F188,'Employees List'!$E$1:$AE$991,6,0),"")</f>
        <v/>
      </c>
      <c r="J188" s="71">
        <f t="shared" si="3"/>
        <v>0</v>
      </c>
      <c r="K188" s="71">
        <f t="shared" si="4"/>
        <v>0</v>
      </c>
      <c r="L188" s="10" t="str">
        <f>IFERROR(VLOOKUP(B188,'Employees List'!$A$2:$K$991,11,0),"")</f>
        <v/>
      </c>
      <c r="M188" s="74" t="str">
        <f>IFERROR(VLOOKUP(D188,'Daily Attendance 25-26'!$A$4:BP999,5,0),"")</f>
        <v/>
      </c>
      <c r="N188" s="10" t="str">
        <f>IFERROR(VLOOKUP(E188,'Daily Attendance 25-26'!$A$1:$BO$1741,5,0),"")</f>
        <v/>
      </c>
      <c r="O188" s="10"/>
      <c r="P188" s="10"/>
      <c r="Q188" s="10" t="str">
        <f t="shared" si="5"/>
        <v>#DIV/0!</v>
      </c>
      <c r="R188" s="10" t="str">
        <f t="shared" si="6"/>
        <v>#DIV/0!</v>
      </c>
      <c r="S188" s="10" t="str">
        <f t="shared" si="18"/>
        <v>#DIV/0!</v>
      </c>
      <c r="T188" s="10" t="str">
        <f t="shared" si="22"/>
        <v>#DIV/0!</v>
      </c>
      <c r="U188" s="10" t="str">
        <f t="shared" si="8"/>
        <v>#DIV/0!</v>
      </c>
      <c r="V188" s="10"/>
      <c r="W188" s="10"/>
      <c r="X188" s="10"/>
      <c r="Y188" s="10"/>
      <c r="Z188" s="10"/>
      <c r="AA188" s="10"/>
      <c r="AB188" s="10"/>
      <c r="AC188" s="10"/>
      <c r="AD188" s="10"/>
      <c r="AE188" s="10"/>
      <c r="AF188" s="10"/>
    </row>
    <row r="189" hidden="1">
      <c r="A189" s="9" t="s">
        <v>406</v>
      </c>
      <c r="B189" s="84"/>
      <c r="C189" s="9"/>
      <c r="D189" s="9" t="str">
        <f t="shared" si="1"/>
        <v/>
      </c>
      <c r="E189" s="10" t="str">
        <f t="shared" si="2"/>
        <v>OT Hours</v>
      </c>
      <c r="F189" s="10" t="str">
        <f>IFERROR(VLOOKUP(C189,'Employees List'!$B$1:$I$999,4,0),"")</f>
        <v/>
      </c>
      <c r="G189" s="10" t="str">
        <f t="shared" si="21"/>
        <v>#DIV/0!</v>
      </c>
      <c r="H189" s="72" t="str">
        <f>IFERROR(VLOOKUP(C189,'Employees List'!$B$2:$I$991,7,0),"")</f>
        <v/>
      </c>
      <c r="I189" s="73" t="str">
        <f>IFERROR(VLOOKUP(F189,'Employees List'!$E$1:$AE$991,6,0),"")</f>
        <v/>
      </c>
      <c r="J189" s="71">
        <f t="shared" si="3"/>
        <v>0</v>
      </c>
      <c r="K189" s="71">
        <f t="shared" si="4"/>
        <v>0</v>
      </c>
      <c r="L189" s="10" t="str">
        <f>IFERROR(VLOOKUP(B189,'Employees List'!$A$2:$K$991,11,0),"")</f>
        <v/>
      </c>
      <c r="M189" s="74" t="str">
        <f>IFERROR(VLOOKUP(D189,'Daily Attendance 25-26'!$A$4:BP999,5,0),"")</f>
        <v/>
      </c>
      <c r="N189" s="10" t="str">
        <f>IFERROR(VLOOKUP(E189,'Daily Attendance 25-26'!$A$1:$BO$1741,5,0),"")</f>
        <v/>
      </c>
      <c r="O189" s="10"/>
      <c r="P189" s="10"/>
      <c r="Q189" s="10" t="str">
        <f t="shared" si="5"/>
        <v>#DIV/0!</v>
      </c>
      <c r="R189" s="10" t="str">
        <f t="shared" si="6"/>
        <v>#DIV/0!</v>
      </c>
      <c r="S189" s="10" t="str">
        <f t="shared" si="18"/>
        <v>#DIV/0!</v>
      </c>
      <c r="T189" s="10" t="str">
        <f t="shared" si="22"/>
        <v>#DIV/0!</v>
      </c>
      <c r="U189" s="10" t="str">
        <f t="shared" si="8"/>
        <v>#DIV/0!</v>
      </c>
      <c r="V189" s="10"/>
      <c r="W189" s="10"/>
      <c r="X189" s="10"/>
      <c r="Y189" s="10"/>
      <c r="Z189" s="10"/>
      <c r="AA189" s="10"/>
      <c r="AB189" s="10"/>
      <c r="AC189" s="10"/>
      <c r="AD189" s="10"/>
      <c r="AE189" s="10"/>
      <c r="AF189" s="10"/>
    </row>
    <row r="190" hidden="1">
      <c r="A190" s="9" t="s">
        <v>407</v>
      </c>
      <c r="B190" s="84"/>
      <c r="C190" s="9"/>
      <c r="D190" s="9" t="str">
        <f t="shared" si="1"/>
        <v/>
      </c>
      <c r="E190" s="10" t="str">
        <f t="shared" si="2"/>
        <v>OT Hours</v>
      </c>
      <c r="F190" s="10" t="str">
        <f>IFERROR(VLOOKUP(C190,'Employees List'!$B$1:$I$999,4,0),"")</f>
        <v/>
      </c>
      <c r="G190" s="10" t="str">
        <f t="shared" si="21"/>
        <v>#DIV/0!</v>
      </c>
      <c r="H190" s="72" t="str">
        <f>IFERROR(VLOOKUP(C190,'Employees List'!$B$2:$I$991,7,0),"")</f>
        <v/>
      </c>
      <c r="I190" s="73" t="str">
        <f>IFERROR(VLOOKUP(F190,'Employees List'!$E$1:$AE$991,6,0),"")</f>
        <v/>
      </c>
      <c r="J190" s="71">
        <f t="shared" si="3"/>
        <v>0</v>
      </c>
      <c r="K190" s="71">
        <f t="shared" si="4"/>
        <v>0</v>
      </c>
      <c r="L190" s="10" t="str">
        <f>IFERROR(VLOOKUP(B190,'Employees List'!$A$2:$K$991,11,0),"")</f>
        <v/>
      </c>
      <c r="M190" s="74" t="str">
        <f>IFERROR(VLOOKUP(D190,'Daily Attendance 25-26'!$A$4:BP999,5,0),"")</f>
        <v/>
      </c>
      <c r="N190" s="10" t="str">
        <f>IFERROR(VLOOKUP(E190,'Daily Attendance 25-26'!$A$1:$BO$1741,5,0),"")</f>
        <v/>
      </c>
      <c r="O190" s="10"/>
      <c r="P190" s="10"/>
      <c r="Q190" s="10" t="str">
        <f t="shared" si="5"/>
        <v>#DIV/0!</v>
      </c>
      <c r="R190" s="10" t="str">
        <f t="shared" si="6"/>
        <v>#DIV/0!</v>
      </c>
      <c r="S190" s="10" t="str">
        <f t="shared" si="18"/>
        <v>#DIV/0!</v>
      </c>
      <c r="T190" s="10" t="str">
        <f t="shared" si="22"/>
        <v>#DIV/0!</v>
      </c>
      <c r="U190" s="10" t="str">
        <f t="shared" si="8"/>
        <v>#DIV/0!</v>
      </c>
      <c r="V190" s="10"/>
      <c r="W190" s="10"/>
      <c r="X190" s="10"/>
      <c r="Y190" s="10"/>
      <c r="Z190" s="10"/>
      <c r="AA190" s="10"/>
      <c r="AB190" s="10"/>
      <c r="AC190" s="10"/>
      <c r="AD190" s="10"/>
      <c r="AE190" s="10"/>
      <c r="AF190" s="10"/>
    </row>
    <row r="191" hidden="1">
      <c r="A191" s="9" t="s">
        <v>408</v>
      </c>
      <c r="B191" s="84"/>
      <c r="C191" s="9"/>
      <c r="D191" s="9" t="str">
        <f t="shared" si="1"/>
        <v/>
      </c>
      <c r="E191" s="10" t="str">
        <f t="shared" si="2"/>
        <v>OT Hours</v>
      </c>
      <c r="F191" s="10" t="str">
        <f>IFERROR(VLOOKUP(C191,'Employees List'!$B$1:$I$999,4,0),"")</f>
        <v/>
      </c>
      <c r="G191" s="10" t="str">
        <f t="shared" si="21"/>
        <v>#DIV/0!</v>
      </c>
      <c r="H191" s="72" t="str">
        <f>IFERROR(VLOOKUP(C191,'Employees List'!$B$2:$I$991,7,0),"")</f>
        <v/>
      </c>
      <c r="I191" s="73" t="str">
        <f>IFERROR(VLOOKUP(F191,'Employees List'!$E$1:$AE$991,6,0),"")</f>
        <v/>
      </c>
      <c r="J191" s="71">
        <f t="shared" si="3"/>
        <v>0</v>
      </c>
      <c r="K191" s="71">
        <f t="shared" si="4"/>
        <v>0</v>
      </c>
      <c r="L191" s="10" t="str">
        <f>IFERROR(VLOOKUP(B191,'Employees List'!$A$2:$K$991,11,0),"")</f>
        <v/>
      </c>
      <c r="M191" s="74" t="str">
        <f>IFERROR(VLOOKUP(D191,'Daily Attendance 25-26'!$A$4:BP999,5,0),"")</f>
        <v/>
      </c>
      <c r="N191" s="10" t="str">
        <f>IFERROR(VLOOKUP(E191,'Daily Attendance 25-26'!$A$1:$BO$1741,5,0),"")</f>
        <v/>
      </c>
      <c r="O191" s="10"/>
      <c r="P191" s="10"/>
      <c r="Q191" s="10" t="str">
        <f t="shared" si="5"/>
        <v>#DIV/0!</v>
      </c>
      <c r="R191" s="10" t="str">
        <f t="shared" si="6"/>
        <v>#DIV/0!</v>
      </c>
      <c r="S191" s="10" t="str">
        <f t="shared" si="18"/>
        <v>#DIV/0!</v>
      </c>
      <c r="T191" s="10" t="str">
        <f t="shared" si="22"/>
        <v>#DIV/0!</v>
      </c>
      <c r="U191" s="10" t="str">
        <f t="shared" si="8"/>
        <v>#DIV/0!</v>
      </c>
      <c r="V191" s="10"/>
      <c r="W191" s="10"/>
      <c r="X191" s="10"/>
      <c r="Y191" s="10"/>
      <c r="Z191" s="10"/>
      <c r="AA191" s="10"/>
      <c r="AB191" s="10"/>
      <c r="AC191" s="10"/>
      <c r="AD191" s="10"/>
      <c r="AE191" s="10"/>
      <c r="AF191" s="10"/>
    </row>
    <row r="192" hidden="1">
      <c r="A192" s="9" t="s">
        <v>409</v>
      </c>
      <c r="B192" s="84"/>
      <c r="C192" s="9"/>
      <c r="D192" s="9" t="str">
        <f t="shared" si="1"/>
        <v/>
      </c>
      <c r="E192" s="10" t="str">
        <f t="shared" si="2"/>
        <v>OT Hours</v>
      </c>
      <c r="F192" s="10" t="str">
        <f>IFERROR(VLOOKUP(C192,'Employees List'!$B$1:$I$999,4,0),"")</f>
        <v/>
      </c>
      <c r="G192" s="10" t="str">
        <f t="shared" si="21"/>
        <v>#DIV/0!</v>
      </c>
      <c r="H192" s="72" t="str">
        <f>IFERROR(VLOOKUP(C192,'Employees List'!$B$2:$I$991,7,0),"")</f>
        <v/>
      </c>
      <c r="I192" s="73" t="str">
        <f>IFERROR(VLOOKUP(F192,'Employees List'!$E$1:$AE$991,6,0),"")</f>
        <v/>
      </c>
      <c r="J192" s="71">
        <f t="shared" si="3"/>
        <v>0</v>
      </c>
      <c r="K192" s="71">
        <f t="shared" si="4"/>
        <v>0</v>
      </c>
      <c r="L192" s="10" t="str">
        <f>IFERROR(VLOOKUP(B192,'Employees List'!$A$2:$K$991,11,0),"")</f>
        <v/>
      </c>
      <c r="M192" s="74" t="str">
        <f>IFERROR(VLOOKUP(D192,'Daily Attendance 25-26'!$A$4:BP999,5,0),"")</f>
        <v/>
      </c>
      <c r="N192" s="10" t="str">
        <f>IFERROR(VLOOKUP(E192,'Daily Attendance 25-26'!$A$1:$BO$1741,5,0),"")</f>
        <v/>
      </c>
      <c r="O192" s="10"/>
      <c r="P192" s="10"/>
      <c r="Q192" s="10" t="str">
        <f t="shared" si="5"/>
        <v>#DIV/0!</v>
      </c>
      <c r="R192" s="10" t="str">
        <f t="shared" si="6"/>
        <v>#DIV/0!</v>
      </c>
      <c r="S192" s="10" t="str">
        <f t="shared" si="18"/>
        <v>#DIV/0!</v>
      </c>
      <c r="T192" s="10" t="str">
        <f t="shared" si="22"/>
        <v>#DIV/0!</v>
      </c>
      <c r="U192" s="10" t="str">
        <f t="shared" si="8"/>
        <v>#DIV/0!</v>
      </c>
      <c r="V192" s="10"/>
      <c r="W192" s="10"/>
      <c r="X192" s="10"/>
      <c r="Y192" s="10"/>
      <c r="Z192" s="10"/>
      <c r="AA192" s="10"/>
      <c r="AB192" s="10"/>
      <c r="AC192" s="10"/>
      <c r="AD192" s="10"/>
      <c r="AE192" s="10"/>
      <c r="AF192" s="10"/>
    </row>
    <row r="193" hidden="1">
      <c r="A193" s="9" t="s">
        <v>410</v>
      </c>
      <c r="B193" s="84"/>
      <c r="C193" s="9"/>
      <c r="D193" s="9" t="str">
        <f t="shared" si="1"/>
        <v/>
      </c>
      <c r="E193" s="10" t="str">
        <f t="shared" si="2"/>
        <v>OT Hours</v>
      </c>
      <c r="F193" s="10" t="str">
        <f>IFERROR(VLOOKUP(C193,'Employees List'!$B$1:$I$999,4,0),"")</f>
        <v/>
      </c>
      <c r="G193" s="10" t="str">
        <f t="shared" si="21"/>
        <v>#DIV/0!</v>
      </c>
      <c r="H193" s="72" t="str">
        <f>IFERROR(VLOOKUP(C193,'Employees List'!$B$2:$I$991,7,0),"")</f>
        <v/>
      </c>
      <c r="I193" s="73" t="str">
        <f>IFERROR(VLOOKUP(F193,'Employees List'!$E$1:$AE$991,6,0),"")</f>
        <v/>
      </c>
      <c r="J193" s="71">
        <f t="shared" si="3"/>
        <v>0</v>
      </c>
      <c r="K193" s="71">
        <f t="shared" si="4"/>
        <v>0</v>
      </c>
      <c r="L193" s="10" t="str">
        <f>IFERROR(VLOOKUP(B193,'Employees List'!$A$2:$K$991,11,0),"")</f>
        <v/>
      </c>
      <c r="M193" s="74" t="str">
        <f>IFERROR(VLOOKUP(D193,'Daily Attendance 25-26'!$A$4:BP999,5,0),"")</f>
        <v/>
      </c>
      <c r="N193" s="10" t="str">
        <f>IFERROR(VLOOKUP(E193,'Daily Attendance 25-26'!$A$1:$BO$1741,5,0),"")</f>
        <v/>
      </c>
      <c r="O193" s="10"/>
      <c r="P193" s="10"/>
      <c r="Q193" s="10" t="str">
        <f t="shared" si="5"/>
        <v>#DIV/0!</v>
      </c>
      <c r="R193" s="10" t="str">
        <f t="shared" si="6"/>
        <v>#DIV/0!</v>
      </c>
      <c r="S193" s="10" t="str">
        <f t="shared" si="18"/>
        <v>#DIV/0!</v>
      </c>
      <c r="T193" s="10" t="str">
        <f t="shared" si="22"/>
        <v>#DIV/0!</v>
      </c>
      <c r="U193" s="10" t="str">
        <f t="shared" si="8"/>
        <v>#DIV/0!</v>
      </c>
      <c r="V193" s="10"/>
      <c r="W193" s="10"/>
      <c r="X193" s="10"/>
      <c r="Y193" s="10"/>
      <c r="Z193" s="10"/>
      <c r="AA193" s="10"/>
      <c r="AB193" s="10"/>
      <c r="AC193" s="10"/>
      <c r="AD193" s="10"/>
      <c r="AE193" s="10"/>
      <c r="AF193" s="10"/>
    </row>
    <row r="194" hidden="1">
      <c r="A194" s="9" t="s">
        <v>411</v>
      </c>
      <c r="B194" s="84"/>
      <c r="C194" s="9"/>
      <c r="D194" s="9" t="str">
        <f t="shared" si="1"/>
        <v/>
      </c>
      <c r="E194" s="10" t="str">
        <f t="shared" si="2"/>
        <v>OT Hours</v>
      </c>
      <c r="F194" s="10" t="str">
        <f>IFERROR(VLOOKUP(C194,'Employees List'!$B$1:$I$999,4,0),"")</f>
        <v/>
      </c>
      <c r="G194" s="10" t="str">
        <f t="shared" si="21"/>
        <v>#DIV/0!</v>
      </c>
      <c r="H194" s="72" t="str">
        <f>IFERROR(VLOOKUP(C194,'Employees List'!$B$2:$I$991,7,0),"")</f>
        <v/>
      </c>
      <c r="I194" s="73" t="str">
        <f>IFERROR(VLOOKUP(F194,'Employees List'!$E$1:$AE$991,6,0),"")</f>
        <v/>
      </c>
      <c r="J194" s="71">
        <f t="shared" si="3"/>
        <v>0</v>
      </c>
      <c r="K194" s="71">
        <f t="shared" si="4"/>
        <v>0</v>
      </c>
      <c r="L194" s="10" t="str">
        <f>IFERROR(VLOOKUP(B194,'Employees List'!$A$2:$K$991,11,0),"")</f>
        <v/>
      </c>
      <c r="M194" s="74" t="str">
        <f>IFERROR(VLOOKUP(D194,'Daily Attendance 25-26'!$A$4:BP999,5,0),"")</f>
        <v/>
      </c>
      <c r="N194" s="10" t="str">
        <f>IFERROR(VLOOKUP(E194,'Daily Attendance 25-26'!$A$1:$BO$1741,5,0),"")</f>
        <v/>
      </c>
      <c r="O194" s="10"/>
      <c r="P194" s="10"/>
      <c r="Q194" s="10" t="str">
        <f t="shared" si="5"/>
        <v>#DIV/0!</v>
      </c>
      <c r="R194" s="10" t="str">
        <f t="shared" si="6"/>
        <v>#DIV/0!</v>
      </c>
      <c r="S194" s="10" t="str">
        <f t="shared" si="18"/>
        <v>#DIV/0!</v>
      </c>
      <c r="T194" s="10" t="str">
        <f t="shared" si="22"/>
        <v>#DIV/0!</v>
      </c>
      <c r="U194" s="10" t="str">
        <f t="shared" si="8"/>
        <v>#DIV/0!</v>
      </c>
      <c r="V194" s="10"/>
      <c r="W194" s="10"/>
      <c r="X194" s="10"/>
      <c r="Y194" s="10"/>
      <c r="Z194" s="10"/>
      <c r="AA194" s="10"/>
      <c r="AB194" s="10"/>
      <c r="AC194" s="10"/>
      <c r="AD194" s="10"/>
      <c r="AE194" s="10"/>
      <c r="AF194" s="10"/>
    </row>
    <row r="195" hidden="1">
      <c r="A195" s="9" t="s">
        <v>412</v>
      </c>
      <c r="B195" s="84"/>
      <c r="C195" s="9"/>
      <c r="D195" s="9" t="str">
        <f t="shared" si="1"/>
        <v/>
      </c>
      <c r="E195" s="10" t="str">
        <f t="shared" si="2"/>
        <v>OT Hours</v>
      </c>
      <c r="F195" s="10" t="str">
        <f>IFERROR(VLOOKUP(C195,'Employees List'!$B$1:$I$999,4,0),"")</f>
        <v/>
      </c>
      <c r="G195" s="10" t="str">
        <f t="shared" si="21"/>
        <v>#DIV/0!</v>
      </c>
      <c r="H195" s="72" t="str">
        <f>IFERROR(VLOOKUP(C195,'Employees List'!$B$2:$I$991,7,0),"")</f>
        <v/>
      </c>
      <c r="I195" s="73" t="str">
        <f>IFERROR(VLOOKUP(F195,'Employees List'!$E$1:$AE$991,6,0),"")</f>
        <v/>
      </c>
      <c r="J195" s="71">
        <f t="shared" si="3"/>
        <v>0</v>
      </c>
      <c r="K195" s="71">
        <f t="shared" si="4"/>
        <v>0</v>
      </c>
      <c r="L195" s="10" t="str">
        <f>IFERROR(VLOOKUP(B195,'Employees List'!$A$2:$K$991,11,0),"")</f>
        <v/>
      </c>
      <c r="M195" s="74" t="str">
        <f>IFERROR(VLOOKUP(D195,'Daily Attendance 25-26'!$A$4:BP999,5,0),"")</f>
        <v/>
      </c>
      <c r="N195" s="10" t="str">
        <f>IFERROR(VLOOKUP(E195,'Daily Attendance 25-26'!$A$1:$BO$1741,5,0),"")</f>
        <v/>
      </c>
      <c r="O195" s="10"/>
      <c r="P195" s="10"/>
      <c r="Q195" s="10" t="str">
        <f t="shared" si="5"/>
        <v>#DIV/0!</v>
      </c>
      <c r="R195" s="10" t="str">
        <f t="shared" si="6"/>
        <v>#DIV/0!</v>
      </c>
      <c r="S195" s="10" t="str">
        <f t="shared" si="18"/>
        <v>#DIV/0!</v>
      </c>
      <c r="T195" s="10" t="str">
        <f t="shared" si="22"/>
        <v>#DIV/0!</v>
      </c>
      <c r="U195" s="10" t="str">
        <f t="shared" si="8"/>
        <v>#DIV/0!</v>
      </c>
      <c r="V195" s="10"/>
      <c r="W195" s="10"/>
      <c r="X195" s="10"/>
      <c r="Y195" s="10"/>
      <c r="Z195" s="10"/>
      <c r="AA195" s="10"/>
      <c r="AB195" s="10"/>
      <c r="AC195" s="10"/>
      <c r="AD195" s="10"/>
      <c r="AE195" s="10"/>
      <c r="AF195" s="10"/>
    </row>
    <row r="196" hidden="1">
      <c r="A196" s="9" t="s">
        <v>413</v>
      </c>
      <c r="B196" s="84"/>
      <c r="C196" s="9"/>
      <c r="D196" s="9" t="str">
        <f t="shared" si="1"/>
        <v/>
      </c>
      <c r="E196" s="10" t="str">
        <f t="shared" si="2"/>
        <v>OT Hours</v>
      </c>
      <c r="F196" s="10" t="str">
        <f>IFERROR(VLOOKUP(C196,'Employees List'!$B$1:$I$999,4,0),"")</f>
        <v/>
      </c>
      <c r="G196" s="10" t="str">
        <f t="shared" si="21"/>
        <v>#DIV/0!</v>
      </c>
      <c r="H196" s="72" t="str">
        <f>IFERROR(VLOOKUP(C196,'Employees List'!$B$2:$I$991,7,0),"")</f>
        <v/>
      </c>
      <c r="I196" s="73" t="str">
        <f>IFERROR(VLOOKUP(F196,'Employees List'!$E$1:$AE$991,6,0),"")</f>
        <v/>
      </c>
      <c r="J196" s="71">
        <f t="shared" si="3"/>
        <v>0</v>
      </c>
      <c r="K196" s="71">
        <f t="shared" si="4"/>
        <v>0</v>
      </c>
      <c r="L196" s="10" t="str">
        <f>IFERROR(VLOOKUP(B196,'Employees List'!$A$2:$K$991,11,0),"")</f>
        <v/>
      </c>
      <c r="M196" s="74" t="str">
        <f>IFERROR(VLOOKUP(D196,'Daily Attendance 25-26'!$A$4:BP999,5,0),"")</f>
        <v/>
      </c>
      <c r="N196" s="10" t="str">
        <f>IFERROR(VLOOKUP(E196,'Daily Attendance 25-26'!$A$1:$BO$1741,5,0),"")</f>
        <v/>
      </c>
      <c r="O196" s="10"/>
      <c r="P196" s="10"/>
      <c r="Q196" s="10" t="str">
        <f t="shared" si="5"/>
        <v>#DIV/0!</v>
      </c>
      <c r="R196" s="10" t="str">
        <f t="shared" si="6"/>
        <v>#DIV/0!</v>
      </c>
      <c r="S196" s="10" t="str">
        <f t="shared" si="18"/>
        <v>#DIV/0!</v>
      </c>
      <c r="T196" s="10" t="str">
        <f t="shared" si="22"/>
        <v>#DIV/0!</v>
      </c>
      <c r="U196" s="10" t="str">
        <f t="shared" si="8"/>
        <v>#DIV/0!</v>
      </c>
      <c r="V196" s="10"/>
      <c r="W196" s="10"/>
      <c r="X196" s="10"/>
      <c r="Y196" s="10"/>
      <c r="Z196" s="10"/>
      <c r="AA196" s="10"/>
      <c r="AB196" s="10"/>
      <c r="AC196" s="10"/>
      <c r="AD196" s="10"/>
      <c r="AE196" s="10"/>
      <c r="AF196" s="10"/>
    </row>
    <row r="197" hidden="1">
      <c r="A197" s="9" t="s">
        <v>414</v>
      </c>
      <c r="B197" s="84"/>
      <c r="C197" s="9"/>
      <c r="D197" s="9" t="str">
        <f t="shared" si="1"/>
        <v/>
      </c>
      <c r="E197" s="10" t="str">
        <f t="shared" si="2"/>
        <v>OT Hours</v>
      </c>
      <c r="F197" s="10" t="str">
        <f>IFERROR(VLOOKUP(C197,'Employees List'!$B$1:$I$999,4,0),"")</f>
        <v/>
      </c>
      <c r="G197" s="10" t="str">
        <f t="shared" si="21"/>
        <v>#DIV/0!</v>
      </c>
      <c r="H197" s="72" t="str">
        <f>IFERROR(VLOOKUP(C197,'Employees List'!$B$2:$I$991,7,0),"")</f>
        <v/>
      </c>
      <c r="I197" s="73" t="str">
        <f>IFERROR(VLOOKUP(F197,'Employees List'!$E$1:$AE$991,6,0),"")</f>
        <v/>
      </c>
      <c r="J197" s="71">
        <f t="shared" si="3"/>
        <v>0</v>
      </c>
      <c r="K197" s="71">
        <f t="shared" si="4"/>
        <v>0</v>
      </c>
      <c r="L197" s="10" t="str">
        <f>IFERROR(VLOOKUP(B197,'Employees List'!$A$2:$K$991,11,0),"")</f>
        <v/>
      </c>
      <c r="M197" s="74" t="str">
        <f>IFERROR(VLOOKUP(D197,'Daily Attendance 25-26'!$A$4:BP999,5,0),"")</f>
        <v/>
      </c>
      <c r="N197" s="10" t="str">
        <f>IFERROR(VLOOKUP(E197,'Daily Attendance 25-26'!$A$1:$BO$1741,5,0),"")</f>
        <v/>
      </c>
      <c r="O197" s="10"/>
      <c r="P197" s="10"/>
      <c r="Q197" s="10" t="str">
        <f t="shared" si="5"/>
        <v>#DIV/0!</v>
      </c>
      <c r="R197" s="10" t="str">
        <f t="shared" si="6"/>
        <v>#DIV/0!</v>
      </c>
      <c r="S197" s="10" t="str">
        <f t="shared" si="18"/>
        <v>#DIV/0!</v>
      </c>
      <c r="T197" s="10" t="str">
        <f t="shared" si="22"/>
        <v>#DIV/0!</v>
      </c>
      <c r="U197" s="10" t="str">
        <f t="shared" si="8"/>
        <v>#DIV/0!</v>
      </c>
      <c r="V197" s="10"/>
      <c r="W197" s="10"/>
      <c r="X197" s="10"/>
      <c r="Y197" s="10"/>
      <c r="Z197" s="10"/>
      <c r="AA197" s="10"/>
      <c r="AB197" s="10"/>
      <c r="AC197" s="10"/>
      <c r="AD197" s="10"/>
      <c r="AE197" s="10"/>
      <c r="AF197" s="10"/>
    </row>
    <row r="198" hidden="1">
      <c r="A198" s="9" t="s">
        <v>415</v>
      </c>
      <c r="B198" s="84"/>
      <c r="C198" s="9"/>
      <c r="D198" s="9" t="str">
        <f t="shared" si="1"/>
        <v/>
      </c>
      <c r="E198" s="10" t="str">
        <f t="shared" si="2"/>
        <v>OT Hours</v>
      </c>
      <c r="F198" s="10" t="str">
        <f>IFERROR(VLOOKUP(C198,'Employees List'!$B$1:$I$999,4,0),"")</f>
        <v/>
      </c>
      <c r="G198" s="10" t="str">
        <f t="shared" si="21"/>
        <v>#DIV/0!</v>
      </c>
      <c r="H198" s="72" t="str">
        <f>IFERROR(VLOOKUP(C198,'Employees List'!$B$2:$I$991,7,0),"")</f>
        <v/>
      </c>
      <c r="I198" s="73" t="str">
        <f>IFERROR(VLOOKUP(F198,'Employees List'!$E$1:$AE$991,6,0),"")</f>
        <v/>
      </c>
      <c r="J198" s="71">
        <f t="shared" si="3"/>
        <v>0</v>
      </c>
      <c r="K198" s="71">
        <f t="shared" si="4"/>
        <v>0</v>
      </c>
      <c r="L198" s="10" t="str">
        <f>IFERROR(VLOOKUP(B198,'Employees List'!$A$2:$K$991,11,0),"")</f>
        <v/>
      </c>
      <c r="M198" s="74" t="str">
        <f>IFERROR(VLOOKUP(D198,'Daily Attendance 25-26'!$A$4:BP999,5,0),"")</f>
        <v/>
      </c>
      <c r="N198" s="10" t="str">
        <f>IFERROR(VLOOKUP(E198,'Daily Attendance 25-26'!$A$1:$BO$1741,5,0),"")</f>
        <v/>
      </c>
      <c r="O198" s="10"/>
      <c r="P198" s="10"/>
      <c r="Q198" s="10" t="str">
        <f t="shared" si="5"/>
        <v>#DIV/0!</v>
      </c>
      <c r="R198" s="10" t="str">
        <f t="shared" si="6"/>
        <v>#DIV/0!</v>
      </c>
      <c r="S198" s="10" t="str">
        <f t="shared" si="18"/>
        <v>#DIV/0!</v>
      </c>
      <c r="T198" s="10" t="str">
        <f t="shared" si="22"/>
        <v>#DIV/0!</v>
      </c>
      <c r="U198" s="10" t="str">
        <f t="shared" si="8"/>
        <v>#DIV/0!</v>
      </c>
      <c r="V198" s="10"/>
      <c r="W198" s="10"/>
      <c r="X198" s="10"/>
      <c r="Y198" s="10"/>
      <c r="Z198" s="10"/>
      <c r="AA198" s="10"/>
      <c r="AB198" s="10"/>
      <c r="AC198" s="10"/>
      <c r="AD198" s="10"/>
      <c r="AE198" s="10"/>
      <c r="AF198" s="10"/>
    </row>
    <row r="199" hidden="1">
      <c r="A199" s="9" t="s">
        <v>416</v>
      </c>
      <c r="B199" s="70"/>
      <c r="C199" s="9"/>
      <c r="D199" s="9" t="str">
        <f t="shared" si="1"/>
        <v/>
      </c>
      <c r="E199" s="10" t="str">
        <f t="shared" si="2"/>
        <v>OT Hours</v>
      </c>
      <c r="F199" s="10" t="str">
        <f>IFERROR(VLOOKUP(C199,'Employees List'!$B$1:$I$999,4,0),"")</f>
        <v/>
      </c>
      <c r="G199" s="10" t="str">
        <f t="shared" si="21"/>
        <v>#DIV/0!</v>
      </c>
      <c r="H199" s="72" t="str">
        <f>IFERROR(VLOOKUP(C199,'Employees List'!$B$2:$I$991,7,0),"")</f>
        <v/>
      </c>
      <c r="I199" s="73" t="str">
        <f>IFERROR(VLOOKUP(F199,'Employees List'!$E$1:$AE$991,6,0),"")</f>
        <v/>
      </c>
      <c r="J199" s="71">
        <f t="shared" si="3"/>
        <v>0</v>
      </c>
      <c r="K199" s="71">
        <f t="shared" si="4"/>
        <v>0</v>
      </c>
      <c r="L199" s="10" t="str">
        <f>IFERROR(VLOOKUP(B199,'Employees List'!$A$2:$K$991,11,0),"")</f>
        <v/>
      </c>
      <c r="M199" s="74" t="str">
        <f>IFERROR(VLOOKUP(D199,'Daily Attendance 25-26'!$A$4:BP999,5,0),"")</f>
        <v/>
      </c>
      <c r="N199" s="10" t="str">
        <f>IFERROR(VLOOKUP(E199,'Daily Attendance 25-26'!$A$1:$BO$1741,5,0),"")</f>
        <v/>
      </c>
      <c r="O199" s="10"/>
      <c r="P199" s="10"/>
      <c r="Q199" s="10" t="str">
        <f t="shared" si="5"/>
        <v>#DIV/0!</v>
      </c>
      <c r="R199" s="10" t="str">
        <f t="shared" si="6"/>
        <v>#DIV/0!</v>
      </c>
      <c r="S199" s="10" t="str">
        <f t="shared" si="18"/>
        <v>#DIV/0!</v>
      </c>
      <c r="T199" s="10" t="str">
        <f t="shared" si="22"/>
        <v>#DIV/0!</v>
      </c>
      <c r="U199" s="10" t="str">
        <f t="shared" si="8"/>
        <v>#DIV/0!</v>
      </c>
      <c r="V199" s="10"/>
      <c r="W199" s="10"/>
      <c r="X199" s="10"/>
      <c r="Y199" s="10"/>
      <c r="Z199" s="10"/>
      <c r="AA199" s="10"/>
      <c r="AB199" s="10"/>
      <c r="AC199" s="10"/>
      <c r="AD199" s="10"/>
      <c r="AE199" s="10"/>
      <c r="AF199" s="10"/>
    </row>
    <row r="200" hidden="1">
      <c r="A200" s="9" t="s">
        <v>417</v>
      </c>
      <c r="B200" s="84"/>
      <c r="C200" s="9"/>
      <c r="D200" s="9" t="str">
        <f t="shared" si="1"/>
        <v/>
      </c>
      <c r="E200" s="10" t="str">
        <f t="shared" si="2"/>
        <v>OT Hours</v>
      </c>
      <c r="F200" s="10" t="str">
        <f>IFERROR(VLOOKUP(C200,'Employees List'!$B$1:$I$999,4,0),"")</f>
        <v/>
      </c>
      <c r="G200" s="10" t="str">
        <f t="shared" si="21"/>
        <v>#DIV/0!</v>
      </c>
      <c r="H200" s="72" t="str">
        <f>IFERROR(VLOOKUP(C200,'Employees List'!$B$2:$I$991,7,0),"")</f>
        <v/>
      </c>
      <c r="I200" s="73" t="str">
        <f>IFERROR(VLOOKUP(F200,'Employees List'!$E$1:$AE$991,6,0),"")</f>
        <v/>
      </c>
      <c r="J200" s="71">
        <f t="shared" si="3"/>
        <v>0</v>
      </c>
      <c r="K200" s="71">
        <f t="shared" si="4"/>
        <v>0</v>
      </c>
      <c r="L200" s="10" t="str">
        <f>IFERROR(VLOOKUP(B200,'Employees List'!$A$2:$K$991,11,0),"")</f>
        <v/>
      </c>
      <c r="M200" s="74" t="str">
        <f>IFERROR(VLOOKUP(D200,'Daily Attendance 25-26'!$A$4:BP999,5,0),"")</f>
        <v/>
      </c>
      <c r="N200" s="10" t="str">
        <f>IFERROR(VLOOKUP(E200,'Daily Attendance 25-26'!$A$1:$BO$1741,5,0),"")</f>
        <v/>
      </c>
      <c r="O200" s="10"/>
      <c r="P200" s="10"/>
      <c r="Q200" s="10" t="str">
        <f t="shared" si="5"/>
        <v>#DIV/0!</v>
      </c>
      <c r="R200" s="10" t="str">
        <f t="shared" si="6"/>
        <v>#DIV/0!</v>
      </c>
      <c r="S200" s="10" t="str">
        <f t="shared" si="18"/>
        <v>#DIV/0!</v>
      </c>
      <c r="T200" s="10" t="str">
        <f t="shared" si="22"/>
        <v>#DIV/0!</v>
      </c>
      <c r="U200" s="10" t="str">
        <f t="shared" si="8"/>
        <v>#DIV/0!</v>
      </c>
      <c r="V200" s="10"/>
      <c r="W200" s="10"/>
      <c r="X200" s="10"/>
      <c r="Y200" s="10"/>
      <c r="Z200" s="10"/>
      <c r="AA200" s="10"/>
      <c r="AB200" s="10"/>
      <c r="AC200" s="10"/>
      <c r="AD200" s="10"/>
      <c r="AE200" s="10"/>
      <c r="AF200" s="10"/>
    </row>
    <row r="201" hidden="1">
      <c r="A201" s="9" t="s">
        <v>418</v>
      </c>
      <c r="B201" s="84"/>
      <c r="C201" s="9"/>
      <c r="D201" s="9" t="str">
        <f t="shared" si="1"/>
        <v/>
      </c>
      <c r="E201" s="10" t="str">
        <f t="shared" si="2"/>
        <v>OT Hours</v>
      </c>
      <c r="F201" s="10" t="str">
        <f>IFERROR(VLOOKUP(C201,'Employees List'!$B$1:$I$999,4,0),"")</f>
        <v/>
      </c>
      <c r="G201" s="10" t="str">
        <f t="shared" si="21"/>
        <v>#DIV/0!</v>
      </c>
      <c r="H201" s="72" t="str">
        <f>IFERROR(VLOOKUP(C201,'Employees List'!$B$2:$I$991,7,0),"")</f>
        <v/>
      </c>
      <c r="I201" s="73" t="str">
        <f>IFERROR(VLOOKUP(F201,'Employees List'!$E$1:$AE$991,6,0),"")</f>
        <v/>
      </c>
      <c r="J201" s="71">
        <f t="shared" si="3"/>
        <v>0</v>
      </c>
      <c r="K201" s="71">
        <f t="shared" si="4"/>
        <v>0</v>
      </c>
      <c r="L201" s="10" t="str">
        <f>IFERROR(VLOOKUP(B201,'Employees List'!$A$2:$K$991,11,0),"")</f>
        <v/>
      </c>
      <c r="M201" s="74" t="str">
        <f>IFERROR(VLOOKUP(D201,'Daily Attendance 25-26'!$A$4:BP999,5,0),"")</f>
        <v/>
      </c>
      <c r="N201" s="10" t="str">
        <f>IFERROR(VLOOKUP(E201,'Daily Attendance 25-26'!$A$1:$BO$1741,5,0),"")</f>
        <v/>
      </c>
      <c r="O201" s="10"/>
      <c r="P201" s="10"/>
      <c r="Q201" s="10" t="str">
        <f t="shared" si="5"/>
        <v>#DIV/0!</v>
      </c>
      <c r="R201" s="10" t="str">
        <f t="shared" si="6"/>
        <v>#DIV/0!</v>
      </c>
      <c r="S201" s="10" t="str">
        <f t="shared" si="18"/>
        <v>#DIV/0!</v>
      </c>
      <c r="T201" s="10" t="str">
        <f t="shared" si="22"/>
        <v>#DIV/0!</v>
      </c>
      <c r="U201" s="10" t="str">
        <f t="shared" si="8"/>
        <v>#DIV/0!</v>
      </c>
      <c r="V201" s="10"/>
      <c r="W201" s="10"/>
      <c r="X201" s="10"/>
      <c r="Y201" s="10"/>
      <c r="Z201" s="10"/>
      <c r="AA201" s="10"/>
      <c r="AB201" s="10"/>
      <c r="AC201" s="10"/>
      <c r="AD201" s="10"/>
      <c r="AE201" s="10"/>
      <c r="AF201" s="10"/>
    </row>
    <row r="202" hidden="1">
      <c r="A202" s="9" t="s">
        <v>419</v>
      </c>
      <c r="B202" s="84"/>
      <c r="C202" s="9"/>
      <c r="D202" s="9" t="str">
        <f t="shared" si="1"/>
        <v/>
      </c>
      <c r="E202" s="10" t="str">
        <f t="shared" si="2"/>
        <v>OT Hours</v>
      </c>
      <c r="F202" s="10" t="str">
        <f>IFERROR(VLOOKUP(C202,'Employees List'!$B$1:$I$999,4,0),"")</f>
        <v/>
      </c>
      <c r="G202" s="10" t="str">
        <f t="shared" si="21"/>
        <v>#DIV/0!</v>
      </c>
      <c r="H202" s="72" t="str">
        <f>IFERROR(VLOOKUP(C202,'Employees List'!$B$2:$I$991,7,0),"")</f>
        <v/>
      </c>
      <c r="I202" s="73" t="str">
        <f>IFERROR(VLOOKUP(F202,'Employees List'!$E$1:$AE$991,6,0),"")</f>
        <v/>
      </c>
      <c r="J202" s="71">
        <f t="shared" si="3"/>
        <v>0</v>
      </c>
      <c r="K202" s="71">
        <f t="shared" si="4"/>
        <v>0</v>
      </c>
      <c r="L202" s="10" t="str">
        <f>IFERROR(VLOOKUP(B202,'Employees List'!$A$2:$K$991,11,0),"")</f>
        <v/>
      </c>
      <c r="M202" s="74" t="str">
        <f>IFERROR(VLOOKUP(D202,'Daily Attendance 25-26'!$A$4:BP999,5,0),"")</f>
        <v/>
      </c>
      <c r="N202" s="10" t="str">
        <f>IFERROR(VLOOKUP(E202,'Daily Attendance 25-26'!$A$1:$BO$1741,5,0),"")</f>
        <v/>
      </c>
      <c r="O202" s="10"/>
      <c r="P202" s="10"/>
      <c r="Q202" s="10" t="str">
        <f t="shared" si="5"/>
        <v>#DIV/0!</v>
      </c>
      <c r="R202" s="10" t="str">
        <f t="shared" si="6"/>
        <v>#DIV/0!</v>
      </c>
      <c r="S202" s="10" t="str">
        <f t="shared" ref="S202:S999" si="23">Q202+R202-P202</f>
        <v>#DIV/0!</v>
      </c>
      <c r="T202" s="10" t="str">
        <f t="shared" si="22"/>
        <v>#DIV/0!</v>
      </c>
      <c r="U202" s="10" t="str">
        <f t="shared" si="8"/>
        <v>#DIV/0!</v>
      </c>
      <c r="V202" s="10"/>
      <c r="W202" s="10"/>
      <c r="X202" s="10"/>
      <c r="Y202" s="10"/>
      <c r="Z202" s="10"/>
      <c r="AA202" s="10"/>
      <c r="AB202" s="10"/>
      <c r="AC202" s="10"/>
      <c r="AD202" s="10"/>
      <c r="AE202" s="10"/>
      <c r="AF202" s="10"/>
    </row>
    <row r="203" hidden="1">
      <c r="A203" s="9" t="s">
        <v>420</v>
      </c>
      <c r="B203" s="84"/>
      <c r="C203" s="9"/>
      <c r="D203" s="9" t="str">
        <f t="shared" si="1"/>
        <v/>
      </c>
      <c r="E203" s="10" t="str">
        <f t="shared" si="2"/>
        <v>OT Hours</v>
      </c>
      <c r="F203" s="10" t="str">
        <f>IFERROR(VLOOKUP(C203,'Employees List'!$B$1:$I$999,4,0),"")</f>
        <v/>
      </c>
      <c r="G203" s="10" t="str">
        <f t="shared" si="21"/>
        <v>#DIV/0!</v>
      </c>
      <c r="H203" s="72" t="str">
        <f>IFERROR(VLOOKUP(C203,'Employees List'!$B$2:$I$991,7,0),"")</f>
        <v/>
      </c>
      <c r="I203" s="73" t="str">
        <f>IFERROR(VLOOKUP(F203,'Employees List'!$E$1:$AE$991,6,0),"")</f>
        <v/>
      </c>
      <c r="J203" s="71">
        <f t="shared" si="3"/>
        <v>0</v>
      </c>
      <c r="K203" s="71">
        <f t="shared" si="4"/>
        <v>0</v>
      </c>
      <c r="L203" s="10" t="str">
        <f>IFERROR(VLOOKUP(B203,'Employees List'!$A$2:$K$991,11,0),"")</f>
        <v/>
      </c>
      <c r="M203" s="74" t="str">
        <f>IFERROR(VLOOKUP(D203,'Daily Attendance 25-26'!$A$4:BP999,5,0),"")</f>
        <v/>
      </c>
      <c r="N203" s="10" t="str">
        <f>IFERROR(VLOOKUP(E203,'Daily Attendance 25-26'!$A$1:$BO$1741,5,0),"")</f>
        <v/>
      </c>
      <c r="O203" s="10"/>
      <c r="P203" s="10"/>
      <c r="Q203" s="10" t="str">
        <f t="shared" si="5"/>
        <v>#DIV/0!</v>
      </c>
      <c r="R203" s="10" t="str">
        <f t="shared" si="6"/>
        <v>#DIV/0!</v>
      </c>
      <c r="S203" s="10" t="str">
        <f t="shared" si="23"/>
        <v>#DIV/0!</v>
      </c>
      <c r="T203" s="10" t="str">
        <f t="shared" si="22"/>
        <v>#DIV/0!</v>
      </c>
      <c r="U203" s="10" t="str">
        <f t="shared" si="8"/>
        <v>#DIV/0!</v>
      </c>
      <c r="V203" s="10"/>
      <c r="W203" s="10"/>
      <c r="X203" s="10"/>
      <c r="Y203" s="10"/>
      <c r="Z203" s="10"/>
      <c r="AA203" s="10"/>
      <c r="AB203" s="10"/>
      <c r="AC203" s="10"/>
      <c r="AD203" s="10"/>
      <c r="AE203" s="10"/>
      <c r="AF203" s="10"/>
    </row>
    <row r="204" hidden="1">
      <c r="A204" s="9" t="s">
        <v>421</v>
      </c>
      <c r="B204" s="84"/>
      <c r="C204" s="9"/>
      <c r="D204" s="9" t="str">
        <f t="shared" si="1"/>
        <v/>
      </c>
      <c r="E204" s="10" t="str">
        <f t="shared" si="2"/>
        <v>OT Hours</v>
      </c>
      <c r="F204" s="10" t="str">
        <f>IFERROR(VLOOKUP(C204,'Employees List'!$B$1:$I$999,4,0),"")</f>
        <v/>
      </c>
      <c r="G204" s="10" t="str">
        <f t="shared" si="21"/>
        <v>#DIV/0!</v>
      </c>
      <c r="H204" s="72" t="str">
        <f>IFERROR(VLOOKUP(C204,'Employees List'!$B$2:$I$991,7,0),"")</f>
        <v/>
      </c>
      <c r="I204" s="73" t="str">
        <f>IFERROR(VLOOKUP(F204,'Employees List'!$E$1:$AE$991,6,0),"")</f>
        <v/>
      </c>
      <c r="J204" s="71">
        <f t="shared" si="3"/>
        <v>0</v>
      </c>
      <c r="K204" s="71">
        <f t="shared" si="4"/>
        <v>0</v>
      </c>
      <c r="L204" s="10" t="str">
        <f>IFERROR(VLOOKUP(B204,'Employees List'!$A$2:$K$991,11,0),"")</f>
        <v/>
      </c>
      <c r="M204" s="74" t="str">
        <f>IFERROR(VLOOKUP(D204,'Daily Attendance 25-26'!$A$4:BP999,5,0),"")</f>
        <v/>
      </c>
      <c r="N204" s="10" t="str">
        <f>IFERROR(VLOOKUP(E204,'Daily Attendance 25-26'!$A$1:$BO$1741,5,0),"")</f>
        <v/>
      </c>
      <c r="O204" s="10"/>
      <c r="P204" s="10"/>
      <c r="Q204" s="10" t="str">
        <f t="shared" si="5"/>
        <v>#DIV/0!</v>
      </c>
      <c r="R204" s="10" t="str">
        <f t="shared" si="6"/>
        <v>#DIV/0!</v>
      </c>
      <c r="S204" s="10" t="str">
        <f t="shared" si="23"/>
        <v>#DIV/0!</v>
      </c>
      <c r="T204" s="10" t="str">
        <f t="shared" si="22"/>
        <v>#DIV/0!</v>
      </c>
      <c r="U204" s="10" t="str">
        <f t="shared" si="8"/>
        <v>#DIV/0!</v>
      </c>
      <c r="V204" s="10"/>
      <c r="W204" s="10"/>
      <c r="X204" s="10"/>
      <c r="Y204" s="10"/>
      <c r="Z204" s="10"/>
      <c r="AA204" s="10"/>
      <c r="AB204" s="10"/>
      <c r="AC204" s="10"/>
      <c r="AD204" s="10"/>
      <c r="AE204" s="10"/>
      <c r="AF204" s="10"/>
    </row>
    <row r="205" hidden="1">
      <c r="A205" s="9" t="s">
        <v>422</v>
      </c>
      <c r="B205" s="84"/>
      <c r="C205" s="9"/>
      <c r="D205" s="9" t="str">
        <f t="shared" si="1"/>
        <v/>
      </c>
      <c r="E205" s="10" t="str">
        <f t="shared" si="2"/>
        <v>OT Hours</v>
      </c>
      <c r="F205" s="10" t="str">
        <f>IFERROR(VLOOKUP(C205,'Employees List'!$B$1:$I$999,4,0),"")</f>
        <v/>
      </c>
      <c r="G205" s="10" t="str">
        <f t="shared" si="21"/>
        <v>#DIV/0!</v>
      </c>
      <c r="H205" s="72" t="str">
        <f>IFERROR(VLOOKUP(C205,'Employees List'!$B$2:$I$991,7,0),"")</f>
        <v/>
      </c>
      <c r="I205" s="73" t="str">
        <f>IFERROR(VLOOKUP(F205,'Employees List'!$E$1:$AE$991,6,0),"")</f>
        <v/>
      </c>
      <c r="J205" s="71">
        <f t="shared" si="3"/>
        <v>0</v>
      </c>
      <c r="K205" s="71">
        <f t="shared" si="4"/>
        <v>0</v>
      </c>
      <c r="L205" s="10" t="str">
        <f>IFERROR(VLOOKUP(B205,'Employees List'!$A$2:$K$991,11,0),"")</f>
        <v/>
      </c>
      <c r="M205" s="74" t="str">
        <f>IFERROR(VLOOKUP(D205,'Daily Attendance 25-26'!$A$4:BP999,5,0),"")</f>
        <v/>
      </c>
      <c r="N205" s="10" t="str">
        <f>IFERROR(VLOOKUP(E205,'Daily Attendance 25-26'!$A$1:$BO$1741,5,0),"")</f>
        <v/>
      </c>
      <c r="O205" s="10"/>
      <c r="P205" s="10"/>
      <c r="Q205" s="10" t="str">
        <f t="shared" si="5"/>
        <v>#DIV/0!</v>
      </c>
      <c r="R205" s="10" t="str">
        <f t="shared" si="6"/>
        <v>#DIV/0!</v>
      </c>
      <c r="S205" s="10" t="str">
        <f t="shared" si="23"/>
        <v>#DIV/0!</v>
      </c>
      <c r="T205" s="10" t="str">
        <f t="shared" si="22"/>
        <v>#DIV/0!</v>
      </c>
      <c r="U205" s="10" t="str">
        <f t="shared" si="8"/>
        <v>#DIV/0!</v>
      </c>
      <c r="V205" s="10"/>
      <c r="W205" s="10"/>
      <c r="X205" s="10"/>
      <c r="Y205" s="10"/>
      <c r="Z205" s="10"/>
      <c r="AA205" s="10"/>
      <c r="AB205" s="10"/>
      <c r="AC205" s="10"/>
      <c r="AD205" s="10"/>
      <c r="AE205" s="10"/>
      <c r="AF205" s="10"/>
    </row>
    <row r="206" hidden="1">
      <c r="A206" s="9" t="s">
        <v>423</v>
      </c>
      <c r="B206" s="84"/>
      <c r="C206" s="9"/>
      <c r="D206" s="9" t="str">
        <f t="shared" si="1"/>
        <v/>
      </c>
      <c r="E206" s="10" t="str">
        <f t="shared" si="2"/>
        <v>OT Hours</v>
      </c>
      <c r="F206" s="10" t="str">
        <f>IFERROR(VLOOKUP(C206,'Employees List'!$B$1:$I$999,4,0),"")</f>
        <v/>
      </c>
      <c r="G206" s="10" t="str">
        <f t="shared" si="21"/>
        <v>#DIV/0!</v>
      </c>
      <c r="H206" s="72" t="str">
        <f>IFERROR(VLOOKUP(C206,'Employees List'!$B$2:$I$991,7,0),"")</f>
        <v/>
      </c>
      <c r="I206" s="73" t="str">
        <f>IFERROR(VLOOKUP(F206,'Employees List'!$E$1:$AE$991,6,0),"")</f>
        <v/>
      </c>
      <c r="J206" s="71">
        <f t="shared" si="3"/>
        <v>0</v>
      </c>
      <c r="K206" s="71">
        <f t="shared" si="4"/>
        <v>0</v>
      </c>
      <c r="L206" s="10" t="str">
        <f>IFERROR(VLOOKUP(B206,'Employees List'!$A$2:$K$991,11,0),"")</f>
        <v/>
      </c>
      <c r="M206" s="74" t="str">
        <f>IFERROR(VLOOKUP(D206,'Daily Attendance 25-26'!$A$4:BP999,5,0),"")</f>
        <v/>
      </c>
      <c r="N206" s="10" t="str">
        <f>IFERROR(VLOOKUP(E206,'Daily Attendance 25-26'!$A$1:$BO$1741,5,0),"")</f>
        <v/>
      </c>
      <c r="O206" s="10"/>
      <c r="P206" s="10"/>
      <c r="Q206" s="10" t="str">
        <f t="shared" si="5"/>
        <v>#DIV/0!</v>
      </c>
      <c r="R206" s="10" t="str">
        <f t="shared" si="6"/>
        <v>#DIV/0!</v>
      </c>
      <c r="S206" s="10" t="str">
        <f t="shared" si="23"/>
        <v>#DIV/0!</v>
      </c>
      <c r="T206" s="10" t="str">
        <f t="shared" si="22"/>
        <v>#DIV/0!</v>
      </c>
      <c r="U206" s="10" t="str">
        <f t="shared" si="8"/>
        <v>#DIV/0!</v>
      </c>
      <c r="V206" s="10"/>
      <c r="W206" s="10"/>
      <c r="X206" s="10"/>
      <c r="Y206" s="10"/>
      <c r="Z206" s="10"/>
      <c r="AA206" s="10"/>
      <c r="AB206" s="10"/>
      <c r="AC206" s="10"/>
      <c r="AD206" s="10"/>
      <c r="AE206" s="10"/>
      <c r="AF206" s="10"/>
    </row>
    <row r="207" hidden="1">
      <c r="A207" s="9" t="s">
        <v>424</v>
      </c>
      <c r="B207" s="84"/>
      <c r="C207" s="9"/>
      <c r="D207" s="9" t="str">
        <f t="shared" si="1"/>
        <v/>
      </c>
      <c r="E207" s="10" t="str">
        <f t="shared" si="2"/>
        <v>OT Hours</v>
      </c>
      <c r="F207" s="10" t="str">
        <f>IFERROR(VLOOKUP(C207,'Employees List'!$B$1:$I$999,4,0),"")</f>
        <v/>
      </c>
      <c r="G207" s="10" t="str">
        <f t="shared" si="21"/>
        <v>#DIV/0!</v>
      </c>
      <c r="H207" s="72" t="str">
        <f>IFERROR(VLOOKUP(C207,'Employees List'!$B$2:$I$991,7,0),"")</f>
        <v/>
      </c>
      <c r="I207" s="73" t="str">
        <f>IFERROR(VLOOKUP(F207,'Employees List'!$E$1:$AE$991,6,0),"")</f>
        <v/>
      </c>
      <c r="J207" s="71">
        <f t="shared" si="3"/>
        <v>0</v>
      </c>
      <c r="K207" s="71">
        <f t="shared" si="4"/>
        <v>0</v>
      </c>
      <c r="L207" s="10" t="str">
        <f>IFERROR(VLOOKUP(B207,'Employees List'!$A$2:$K$991,11,0),"")</f>
        <v/>
      </c>
      <c r="M207" s="74" t="str">
        <f>IFERROR(VLOOKUP(D207,'Daily Attendance 25-26'!$A$4:BP999,5,0),"")</f>
        <v/>
      </c>
      <c r="N207" s="10" t="str">
        <f>IFERROR(VLOOKUP(E207,'Daily Attendance 25-26'!$A$1:$BO$1741,5,0),"")</f>
        <v/>
      </c>
      <c r="O207" s="10"/>
      <c r="P207" s="10"/>
      <c r="Q207" s="10" t="str">
        <f t="shared" si="5"/>
        <v>#DIV/0!</v>
      </c>
      <c r="R207" s="10" t="str">
        <f t="shared" si="6"/>
        <v>#DIV/0!</v>
      </c>
      <c r="S207" s="10" t="str">
        <f t="shared" si="23"/>
        <v>#DIV/0!</v>
      </c>
      <c r="T207" s="10" t="str">
        <f t="shared" si="22"/>
        <v>#DIV/0!</v>
      </c>
      <c r="U207" s="10" t="str">
        <f t="shared" si="8"/>
        <v>#DIV/0!</v>
      </c>
      <c r="V207" s="10"/>
      <c r="W207" s="10"/>
      <c r="X207" s="10"/>
      <c r="Y207" s="10"/>
      <c r="Z207" s="10"/>
      <c r="AA207" s="10"/>
      <c r="AB207" s="10"/>
      <c r="AC207" s="10"/>
      <c r="AD207" s="10"/>
      <c r="AE207" s="10"/>
      <c r="AF207" s="10"/>
    </row>
    <row r="208" hidden="1">
      <c r="A208" s="9" t="s">
        <v>425</v>
      </c>
      <c r="B208" s="84"/>
      <c r="C208" s="9"/>
      <c r="D208" s="9" t="str">
        <f t="shared" si="1"/>
        <v/>
      </c>
      <c r="E208" s="10" t="str">
        <f t="shared" si="2"/>
        <v>OT Hours</v>
      </c>
      <c r="F208" s="10" t="str">
        <f>IFERROR(VLOOKUP(C208,'Employees List'!$B$1:$I$999,4,0),"")</f>
        <v/>
      </c>
      <c r="G208" s="10" t="str">
        <f t="shared" si="21"/>
        <v>#DIV/0!</v>
      </c>
      <c r="H208" s="72" t="str">
        <f>IFERROR(VLOOKUP(C208,'Employees List'!$B$2:$I$991,7,0),"")</f>
        <v/>
      </c>
      <c r="I208" s="73" t="str">
        <f>IFERROR(VLOOKUP(F208,'Employees List'!$E$1:$AE$991,6,0),"")</f>
        <v/>
      </c>
      <c r="J208" s="71">
        <f t="shared" si="3"/>
        <v>0</v>
      </c>
      <c r="K208" s="71">
        <f t="shared" si="4"/>
        <v>0</v>
      </c>
      <c r="L208" s="10" t="str">
        <f>IFERROR(VLOOKUP(B208,'Employees List'!$A$2:$K$991,11,0),"")</f>
        <v/>
      </c>
      <c r="M208" s="74" t="str">
        <f>IFERROR(VLOOKUP(D208,'Daily Attendance 25-26'!$A$4:BP999,5,0),"")</f>
        <v/>
      </c>
      <c r="N208" s="10" t="str">
        <f>IFERROR(VLOOKUP(E208,'Daily Attendance 25-26'!$A$1:$BO$1741,5,0),"")</f>
        <v/>
      </c>
      <c r="O208" s="10"/>
      <c r="P208" s="10"/>
      <c r="Q208" s="10" t="str">
        <f t="shared" si="5"/>
        <v>#DIV/0!</v>
      </c>
      <c r="R208" s="10" t="str">
        <f t="shared" si="6"/>
        <v>#DIV/0!</v>
      </c>
      <c r="S208" s="10" t="str">
        <f t="shared" si="23"/>
        <v>#DIV/0!</v>
      </c>
      <c r="T208" s="10" t="str">
        <f t="shared" si="22"/>
        <v>#DIV/0!</v>
      </c>
      <c r="U208" s="10" t="str">
        <f t="shared" si="8"/>
        <v>#DIV/0!</v>
      </c>
      <c r="V208" s="10"/>
      <c r="W208" s="10"/>
      <c r="X208" s="10"/>
      <c r="Y208" s="10"/>
      <c r="Z208" s="10"/>
      <c r="AA208" s="10"/>
      <c r="AB208" s="10"/>
      <c r="AC208" s="10"/>
      <c r="AD208" s="10"/>
      <c r="AE208" s="10"/>
      <c r="AF208" s="10"/>
    </row>
    <row r="209" hidden="1">
      <c r="A209" s="9" t="s">
        <v>426</v>
      </c>
      <c r="B209" s="84"/>
      <c r="C209" s="9"/>
      <c r="D209" s="9" t="str">
        <f t="shared" si="1"/>
        <v/>
      </c>
      <c r="E209" s="10" t="str">
        <f t="shared" si="2"/>
        <v>OT Hours</v>
      </c>
      <c r="F209" s="10" t="str">
        <f>IFERROR(VLOOKUP(C209,'Employees List'!$B$1:$I$999,4,0),"")</f>
        <v/>
      </c>
      <c r="G209" s="10" t="str">
        <f t="shared" si="21"/>
        <v>#DIV/0!</v>
      </c>
      <c r="H209" s="72" t="str">
        <f>IFERROR(VLOOKUP(C209,'Employees List'!$B$2:$I$991,7,0),"")</f>
        <v/>
      </c>
      <c r="I209" s="73" t="str">
        <f>IFERROR(VLOOKUP(F209,'Employees List'!$E$1:$AE$991,6,0),"")</f>
        <v/>
      </c>
      <c r="J209" s="71">
        <f t="shared" si="3"/>
        <v>0</v>
      </c>
      <c r="K209" s="71">
        <f t="shared" si="4"/>
        <v>0</v>
      </c>
      <c r="L209" s="10" t="str">
        <f>IFERROR(VLOOKUP(B209,'Employees List'!$A$2:$K$991,11,0),"")</f>
        <v/>
      </c>
      <c r="M209" s="74" t="str">
        <f>IFERROR(VLOOKUP(D209,'Daily Attendance 25-26'!$A$4:BP999,5,0),"")</f>
        <v/>
      </c>
      <c r="N209" s="10" t="str">
        <f>IFERROR(VLOOKUP(E209,'Daily Attendance 25-26'!$A$1:$BO$1741,5,0),"")</f>
        <v/>
      </c>
      <c r="O209" s="10"/>
      <c r="P209" s="10"/>
      <c r="Q209" s="10" t="str">
        <f t="shared" si="5"/>
        <v>#DIV/0!</v>
      </c>
      <c r="R209" s="10" t="str">
        <f t="shared" si="6"/>
        <v>#DIV/0!</v>
      </c>
      <c r="S209" s="10" t="str">
        <f t="shared" si="23"/>
        <v>#DIV/0!</v>
      </c>
      <c r="T209" s="10" t="str">
        <f t="shared" si="22"/>
        <v>#DIV/0!</v>
      </c>
      <c r="U209" s="10" t="str">
        <f t="shared" si="8"/>
        <v>#DIV/0!</v>
      </c>
      <c r="V209" s="10"/>
      <c r="W209" s="10"/>
      <c r="X209" s="10"/>
      <c r="Y209" s="10"/>
      <c r="Z209" s="10"/>
      <c r="AA209" s="10"/>
      <c r="AB209" s="10"/>
      <c r="AC209" s="10"/>
      <c r="AD209" s="10"/>
      <c r="AE209" s="10"/>
      <c r="AF209" s="10"/>
    </row>
    <row r="210" hidden="1">
      <c r="A210" s="9" t="s">
        <v>427</v>
      </c>
      <c r="B210" s="84"/>
      <c r="C210" s="9"/>
      <c r="D210" s="9" t="str">
        <f t="shared" si="1"/>
        <v/>
      </c>
      <c r="E210" s="10" t="str">
        <f t="shared" si="2"/>
        <v>OT Hours</v>
      </c>
      <c r="F210" s="10" t="str">
        <f>IFERROR(VLOOKUP(C210,'Employees List'!$B$1:$I$999,4,0),"")</f>
        <v/>
      </c>
      <c r="G210" s="10" t="str">
        <f t="shared" si="21"/>
        <v>#DIV/0!</v>
      </c>
      <c r="H210" s="72" t="str">
        <f>IFERROR(VLOOKUP(C210,'Employees List'!$B$2:$I$991,7,0),"")</f>
        <v/>
      </c>
      <c r="I210" s="73" t="str">
        <f>IFERROR(VLOOKUP(F210,'Employees List'!$E$1:$AE$991,6,0),"")</f>
        <v/>
      </c>
      <c r="J210" s="71">
        <f t="shared" si="3"/>
        <v>0</v>
      </c>
      <c r="K210" s="71">
        <f t="shared" si="4"/>
        <v>0</v>
      </c>
      <c r="L210" s="10" t="str">
        <f>IFERROR(VLOOKUP(B210,'Employees List'!$A$2:$K$991,11,0),"")</f>
        <v/>
      </c>
      <c r="M210" s="74" t="str">
        <f>IFERROR(VLOOKUP(D210,'Daily Attendance 25-26'!$A$4:BP999,5,0),"")</f>
        <v/>
      </c>
      <c r="N210" s="10" t="str">
        <f>IFERROR(VLOOKUP(E210,'Daily Attendance 25-26'!$A$1:$BO$1741,5,0),"")</f>
        <v/>
      </c>
      <c r="O210" s="10"/>
      <c r="P210" s="10"/>
      <c r="Q210" s="10" t="str">
        <f t="shared" si="5"/>
        <v>#DIV/0!</v>
      </c>
      <c r="R210" s="10" t="str">
        <f t="shared" si="6"/>
        <v>#DIV/0!</v>
      </c>
      <c r="S210" s="10" t="str">
        <f t="shared" si="23"/>
        <v>#DIV/0!</v>
      </c>
      <c r="T210" s="10" t="str">
        <f t="shared" si="22"/>
        <v>#DIV/0!</v>
      </c>
      <c r="U210" s="10" t="str">
        <f t="shared" si="8"/>
        <v>#DIV/0!</v>
      </c>
      <c r="V210" s="10"/>
      <c r="W210" s="10"/>
      <c r="X210" s="10"/>
      <c r="Y210" s="10"/>
      <c r="Z210" s="10"/>
      <c r="AA210" s="10"/>
      <c r="AB210" s="10"/>
      <c r="AC210" s="10"/>
      <c r="AD210" s="10"/>
      <c r="AE210" s="10"/>
      <c r="AF210" s="10"/>
    </row>
    <row r="211" hidden="1">
      <c r="A211" s="9" t="s">
        <v>428</v>
      </c>
      <c r="B211" s="84"/>
      <c r="C211" s="9"/>
      <c r="D211" s="9" t="str">
        <f t="shared" si="1"/>
        <v/>
      </c>
      <c r="E211" s="10" t="str">
        <f t="shared" si="2"/>
        <v>OT Hours</v>
      </c>
      <c r="F211" s="10" t="str">
        <f>IFERROR(VLOOKUP(C211,'Employees List'!$B$1:$I$999,4,0),"")</f>
        <v/>
      </c>
      <c r="G211" s="10" t="str">
        <f t="shared" si="21"/>
        <v>#DIV/0!</v>
      </c>
      <c r="H211" s="72" t="str">
        <f>IFERROR(VLOOKUP(C211,'Employees List'!$B$2:$I$991,7,0),"")</f>
        <v/>
      </c>
      <c r="I211" s="73" t="str">
        <f>IFERROR(VLOOKUP(F211,'Employees List'!$E$1:$AE$991,6,0),"")</f>
        <v/>
      </c>
      <c r="J211" s="71">
        <f t="shared" si="3"/>
        <v>0</v>
      </c>
      <c r="K211" s="71">
        <f t="shared" si="4"/>
        <v>0</v>
      </c>
      <c r="L211" s="10" t="str">
        <f>IFERROR(VLOOKUP(B211,'Employees List'!$A$2:$K$991,11,0),"")</f>
        <v/>
      </c>
      <c r="M211" s="74" t="str">
        <f>IFERROR(VLOOKUP(D211,'Daily Attendance 25-26'!$A$4:BP999,5,0),"")</f>
        <v/>
      </c>
      <c r="N211" s="10" t="str">
        <f>IFERROR(VLOOKUP(E211,'Daily Attendance 25-26'!$A$1:$BO$1741,5,0),"")</f>
        <v/>
      </c>
      <c r="O211" s="10"/>
      <c r="P211" s="10"/>
      <c r="Q211" s="10" t="str">
        <f t="shared" si="5"/>
        <v>#DIV/0!</v>
      </c>
      <c r="R211" s="10" t="str">
        <f t="shared" si="6"/>
        <v>#DIV/0!</v>
      </c>
      <c r="S211" s="10" t="str">
        <f t="shared" si="23"/>
        <v>#DIV/0!</v>
      </c>
      <c r="T211" s="10" t="str">
        <f t="shared" si="22"/>
        <v>#DIV/0!</v>
      </c>
      <c r="U211" s="10" t="str">
        <f t="shared" si="8"/>
        <v>#DIV/0!</v>
      </c>
      <c r="V211" s="10"/>
      <c r="W211" s="10"/>
      <c r="X211" s="10"/>
      <c r="Y211" s="10"/>
      <c r="Z211" s="10"/>
      <c r="AA211" s="10"/>
      <c r="AB211" s="10"/>
      <c r="AC211" s="10"/>
      <c r="AD211" s="10"/>
      <c r="AE211" s="10"/>
      <c r="AF211" s="10"/>
    </row>
    <row r="212" hidden="1">
      <c r="A212" s="9" t="s">
        <v>429</v>
      </c>
      <c r="B212" s="84"/>
      <c r="C212" s="9"/>
      <c r="D212" s="9" t="str">
        <f t="shared" si="1"/>
        <v/>
      </c>
      <c r="E212" s="10" t="str">
        <f t="shared" si="2"/>
        <v>OT Hours</v>
      </c>
      <c r="F212" s="10" t="str">
        <f>IFERROR(VLOOKUP(C212,'Employees List'!$B$1:$I$999,4,0),"")</f>
        <v/>
      </c>
      <c r="G212" s="10" t="str">
        <f t="shared" si="21"/>
        <v>#DIV/0!</v>
      </c>
      <c r="H212" s="72" t="str">
        <f>IFERROR(VLOOKUP(C212,'Employees List'!$B$2:$I$991,7,0),"")</f>
        <v/>
      </c>
      <c r="I212" s="73" t="str">
        <f>IFERROR(VLOOKUP(F212,'Employees List'!$E$1:$AE$991,6,0),"")</f>
        <v/>
      </c>
      <c r="J212" s="71">
        <f t="shared" si="3"/>
        <v>0</v>
      </c>
      <c r="K212" s="71">
        <f t="shared" si="4"/>
        <v>0</v>
      </c>
      <c r="L212" s="10" t="str">
        <f>IFERROR(VLOOKUP(B212,'Employees List'!$A$2:$K$991,11,0),"")</f>
        <v/>
      </c>
      <c r="M212" s="74" t="str">
        <f>IFERROR(VLOOKUP(D212,'Daily Attendance 25-26'!$A$4:BP999,5,0),"")</f>
        <v/>
      </c>
      <c r="N212" s="10" t="str">
        <f>IFERROR(VLOOKUP(E212,'Daily Attendance 25-26'!$A$1:$BO$1741,5,0),"")</f>
        <v/>
      </c>
      <c r="O212" s="10"/>
      <c r="P212" s="10"/>
      <c r="Q212" s="10" t="str">
        <f t="shared" si="5"/>
        <v>#DIV/0!</v>
      </c>
      <c r="R212" s="10" t="str">
        <f t="shared" si="6"/>
        <v>#DIV/0!</v>
      </c>
      <c r="S212" s="10" t="str">
        <f t="shared" si="23"/>
        <v>#DIV/0!</v>
      </c>
      <c r="T212" s="10" t="str">
        <f t="shared" si="22"/>
        <v>#DIV/0!</v>
      </c>
      <c r="U212" s="10" t="str">
        <f t="shared" si="8"/>
        <v>#DIV/0!</v>
      </c>
      <c r="V212" s="10"/>
      <c r="W212" s="10"/>
      <c r="X212" s="10"/>
      <c r="Y212" s="10"/>
      <c r="Z212" s="10"/>
      <c r="AA212" s="10"/>
      <c r="AB212" s="10"/>
      <c r="AC212" s="10"/>
      <c r="AD212" s="10"/>
      <c r="AE212" s="10"/>
      <c r="AF212" s="10"/>
    </row>
    <row r="213" hidden="1">
      <c r="A213" s="9" t="s">
        <v>430</v>
      </c>
      <c r="B213" s="84"/>
      <c r="C213" s="9"/>
      <c r="D213" s="9" t="str">
        <f t="shared" si="1"/>
        <v/>
      </c>
      <c r="E213" s="10" t="str">
        <f t="shared" si="2"/>
        <v>OT Hours</v>
      </c>
      <c r="F213" s="10" t="str">
        <f>IFERROR(VLOOKUP(C213,'Employees List'!$B$1:$I$999,4,0),"")</f>
        <v/>
      </c>
      <c r="G213" s="10" t="str">
        <f t="shared" si="21"/>
        <v>#DIV/0!</v>
      </c>
      <c r="H213" s="72" t="str">
        <f>IFERROR(VLOOKUP(C213,'Employees List'!$B$2:$I$991,7,0),"")</f>
        <v/>
      </c>
      <c r="I213" s="73" t="str">
        <f>IFERROR(VLOOKUP(F213,'Employees List'!$E$1:$AE$991,6,0),"")</f>
        <v/>
      </c>
      <c r="J213" s="71">
        <f t="shared" si="3"/>
        <v>0</v>
      </c>
      <c r="K213" s="71">
        <f t="shared" si="4"/>
        <v>0</v>
      </c>
      <c r="L213" s="10" t="str">
        <f>IFERROR(VLOOKUP(B213,'Employees List'!$A$2:$K$991,11,0),"")</f>
        <v/>
      </c>
      <c r="M213" s="74" t="str">
        <f>IFERROR(VLOOKUP(D213,'Daily Attendance 25-26'!$A$4:BP999,5,0),"")</f>
        <v/>
      </c>
      <c r="N213" s="10" t="str">
        <f>IFERROR(VLOOKUP(E213,'Daily Attendance 25-26'!$A$1:$BO$1741,5,0),"")</f>
        <v/>
      </c>
      <c r="O213" s="10"/>
      <c r="P213" s="10"/>
      <c r="Q213" s="10" t="str">
        <f t="shared" si="5"/>
        <v>#DIV/0!</v>
      </c>
      <c r="R213" s="10" t="str">
        <f t="shared" si="6"/>
        <v>#DIV/0!</v>
      </c>
      <c r="S213" s="10" t="str">
        <f t="shared" si="23"/>
        <v>#DIV/0!</v>
      </c>
      <c r="T213" s="10" t="str">
        <f t="shared" si="22"/>
        <v>#DIV/0!</v>
      </c>
      <c r="U213" s="10" t="str">
        <f t="shared" si="8"/>
        <v>#DIV/0!</v>
      </c>
      <c r="V213" s="10"/>
      <c r="W213" s="10"/>
      <c r="X213" s="10"/>
      <c r="Y213" s="10"/>
      <c r="Z213" s="10"/>
      <c r="AA213" s="10"/>
      <c r="AB213" s="10"/>
      <c r="AC213" s="10"/>
      <c r="AD213" s="10"/>
      <c r="AE213" s="10"/>
      <c r="AF213" s="10"/>
    </row>
    <row r="214" hidden="1">
      <c r="A214" s="9" t="s">
        <v>431</v>
      </c>
      <c r="B214" s="84"/>
      <c r="C214" s="9"/>
      <c r="D214" s="9" t="str">
        <f t="shared" si="1"/>
        <v/>
      </c>
      <c r="E214" s="10" t="str">
        <f t="shared" si="2"/>
        <v>OT Hours</v>
      </c>
      <c r="F214" s="10" t="str">
        <f>IFERROR(VLOOKUP(C214,'Employees List'!$B$1:$I$999,4,0),"")</f>
        <v/>
      </c>
      <c r="G214" s="10" t="str">
        <f t="shared" si="21"/>
        <v>#DIV/0!</v>
      </c>
      <c r="H214" s="72" t="str">
        <f>IFERROR(VLOOKUP(C214,'Employees List'!$B$2:$I$991,7,0),"")</f>
        <v/>
      </c>
      <c r="I214" s="73" t="str">
        <f>IFERROR(VLOOKUP(F214,'Employees List'!$E$1:$AE$991,6,0),"")</f>
        <v/>
      </c>
      <c r="J214" s="71">
        <f t="shared" si="3"/>
        <v>0</v>
      </c>
      <c r="K214" s="71">
        <f t="shared" si="4"/>
        <v>0</v>
      </c>
      <c r="L214" s="10" t="str">
        <f>IFERROR(VLOOKUP(B214,'Employees List'!$A$2:$K$991,11,0),"")</f>
        <v/>
      </c>
      <c r="M214" s="74" t="str">
        <f>IFERROR(VLOOKUP(D214,'Daily Attendance 25-26'!$A$4:BP999,5,0),"")</f>
        <v/>
      </c>
      <c r="N214" s="10" t="str">
        <f>IFERROR(VLOOKUP(E214,'Daily Attendance 25-26'!$A$1:$BO$1741,5,0),"")</f>
        <v/>
      </c>
      <c r="O214" s="10"/>
      <c r="P214" s="10"/>
      <c r="Q214" s="10" t="str">
        <f t="shared" si="5"/>
        <v>#DIV/0!</v>
      </c>
      <c r="R214" s="10" t="str">
        <f t="shared" si="6"/>
        <v>#DIV/0!</v>
      </c>
      <c r="S214" s="10" t="str">
        <f t="shared" si="23"/>
        <v>#DIV/0!</v>
      </c>
      <c r="T214" s="10" t="str">
        <f t="shared" si="22"/>
        <v>#DIV/0!</v>
      </c>
      <c r="U214" s="10" t="str">
        <f t="shared" si="8"/>
        <v>#DIV/0!</v>
      </c>
      <c r="V214" s="10"/>
      <c r="W214" s="10"/>
      <c r="X214" s="10"/>
      <c r="Y214" s="10"/>
      <c r="Z214" s="10"/>
      <c r="AA214" s="10"/>
      <c r="AB214" s="10"/>
      <c r="AC214" s="10"/>
      <c r="AD214" s="10"/>
      <c r="AE214" s="10"/>
      <c r="AF214" s="10"/>
    </row>
    <row r="215" hidden="1">
      <c r="A215" s="9" t="s">
        <v>432</v>
      </c>
      <c r="B215" s="84"/>
      <c r="C215" s="9"/>
      <c r="D215" s="9" t="str">
        <f t="shared" si="1"/>
        <v/>
      </c>
      <c r="E215" s="10" t="str">
        <f t="shared" si="2"/>
        <v>OT Hours</v>
      </c>
      <c r="F215" s="10" t="str">
        <f>IFERROR(VLOOKUP(C215,'Employees List'!$B$1:$I$999,4,0),"")</f>
        <v/>
      </c>
      <c r="G215" s="10" t="str">
        <f t="shared" si="21"/>
        <v>#DIV/0!</v>
      </c>
      <c r="H215" s="72" t="str">
        <f>IFERROR(VLOOKUP(C215,'Employees List'!$B$2:$I$991,7,0),"")</f>
        <v/>
      </c>
      <c r="I215" s="73" t="str">
        <f>IFERROR(VLOOKUP(F215,'Employees List'!$E$1:$AE$991,6,0),"")</f>
        <v/>
      </c>
      <c r="J215" s="71">
        <f t="shared" si="3"/>
        <v>0</v>
      </c>
      <c r="K215" s="71">
        <f t="shared" si="4"/>
        <v>0</v>
      </c>
      <c r="L215" s="10" t="str">
        <f>IFERROR(VLOOKUP(B215,'Employees List'!$A$2:$K$991,11,0),"")</f>
        <v/>
      </c>
      <c r="M215" s="74" t="str">
        <f>IFERROR(VLOOKUP(D215,'Daily Attendance 25-26'!$A$4:BP999,5,0),"")</f>
        <v/>
      </c>
      <c r="N215" s="10" t="str">
        <f>IFERROR(VLOOKUP(E215,'Daily Attendance 25-26'!$A$1:$BO$1741,5,0),"")</f>
        <v/>
      </c>
      <c r="O215" s="10"/>
      <c r="P215" s="10"/>
      <c r="Q215" s="10" t="str">
        <f t="shared" si="5"/>
        <v>#DIV/0!</v>
      </c>
      <c r="R215" s="10" t="str">
        <f t="shared" si="6"/>
        <v>#DIV/0!</v>
      </c>
      <c r="S215" s="10" t="str">
        <f t="shared" si="23"/>
        <v>#DIV/0!</v>
      </c>
      <c r="T215" s="10" t="str">
        <f t="shared" si="22"/>
        <v>#DIV/0!</v>
      </c>
      <c r="U215" s="10" t="str">
        <f t="shared" si="8"/>
        <v>#DIV/0!</v>
      </c>
      <c r="V215" s="10"/>
      <c r="W215" s="10"/>
      <c r="X215" s="10"/>
      <c r="Y215" s="10"/>
      <c r="Z215" s="10"/>
      <c r="AA215" s="10"/>
      <c r="AB215" s="10"/>
      <c r="AC215" s="10"/>
      <c r="AD215" s="10"/>
      <c r="AE215" s="10"/>
      <c r="AF215" s="10"/>
    </row>
    <row r="216" hidden="1">
      <c r="A216" s="9" t="s">
        <v>433</v>
      </c>
      <c r="B216" s="84"/>
      <c r="C216" s="9"/>
      <c r="D216" s="9" t="str">
        <f t="shared" si="1"/>
        <v/>
      </c>
      <c r="E216" s="10" t="str">
        <f t="shared" si="2"/>
        <v>OT Hours</v>
      </c>
      <c r="F216" s="10" t="str">
        <f>IFERROR(VLOOKUP(C216,'Employees List'!$B$1:$I$999,4,0),"")</f>
        <v/>
      </c>
      <c r="G216" s="10" t="str">
        <f t="shared" si="21"/>
        <v>#DIV/0!</v>
      </c>
      <c r="H216" s="72" t="str">
        <f>IFERROR(VLOOKUP(C216,'Employees List'!$B$2:$I$991,7,0),"")</f>
        <v/>
      </c>
      <c r="I216" s="73" t="str">
        <f>IFERROR(VLOOKUP(F216,'Employees List'!$E$1:$AE$991,6,0),"")</f>
        <v/>
      </c>
      <c r="J216" s="71">
        <f t="shared" si="3"/>
        <v>0</v>
      </c>
      <c r="K216" s="71">
        <f t="shared" si="4"/>
        <v>0</v>
      </c>
      <c r="L216" s="10" t="str">
        <f>IFERROR(VLOOKUP(B216,'Employees List'!$A$2:$K$991,11,0),"")</f>
        <v/>
      </c>
      <c r="M216" s="74" t="str">
        <f>IFERROR(VLOOKUP(D216,'Daily Attendance 25-26'!$A$4:BP999,5,0),"")</f>
        <v/>
      </c>
      <c r="N216" s="10" t="str">
        <f>IFERROR(VLOOKUP(E216,'Daily Attendance 25-26'!$A$1:$BO$1741,5,0),"")</f>
        <v/>
      </c>
      <c r="O216" s="10"/>
      <c r="P216" s="10"/>
      <c r="Q216" s="10" t="str">
        <f t="shared" si="5"/>
        <v>#DIV/0!</v>
      </c>
      <c r="R216" s="10" t="str">
        <f t="shared" si="6"/>
        <v>#DIV/0!</v>
      </c>
      <c r="S216" s="10" t="str">
        <f t="shared" si="23"/>
        <v>#DIV/0!</v>
      </c>
      <c r="T216" s="10" t="str">
        <f t="shared" si="22"/>
        <v>#DIV/0!</v>
      </c>
      <c r="U216" s="10" t="str">
        <f t="shared" si="8"/>
        <v>#DIV/0!</v>
      </c>
      <c r="V216" s="10"/>
      <c r="W216" s="10"/>
      <c r="X216" s="10"/>
      <c r="Y216" s="10"/>
      <c r="Z216" s="10"/>
      <c r="AA216" s="10"/>
      <c r="AB216" s="10"/>
      <c r="AC216" s="10"/>
      <c r="AD216" s="10"/>
      <c r="AE216" s="10"/>
      <c r="AF216" s="10"/>
    </row>
    <row r="217" hidden="1">
      <c r="A217" s="9" t="s">
        <v>434</v>
      </c>
      <c r="B217" s="84"/>
      <c r="C217" s="9"/>
      <c r="D217" s="9" t="str">
        <f t="shared" si="1"/>
        <v/>
      </c>
      <c r="E217" s="10" t="str">
        <f t="shared" si="2"/>
        <v>OT Hours</v>
      </c>
      <c r="F217" s="10" t="str">
        <f>IFERROR(VLOOKUP(C217,'Employees List'!$B$1:$I$999,4,0),"")</f>
        <v/>
      </c>
      <c r="G217" s="10" t="str">
        <f t="shared" si="21"/>
        <v>#DIV/0!</v>
      </c>
      <c r="H217" s="72" t="str">
        <f>IFERROR(VLOOKUP(C217,'Employees List'!$B$2:$I$991,7,0),"")</f>
        <v/>
      </c>
      <c r="I217" s="73" t="str">
        <f>IFERROR(VLOOKUP(F217,'Employees List'!$E$1:$AE$991,6,0),"")</f>
        <v/>
      </c>
      <c r="J217" s="71">
        <f t="shared" si="3"/>
        <v>0</v>
      </c>
      <c r="K217" s="71">
        <f t="shared" si="4"/>
        <v>0</v>
      </c>
      <c r="L217" s="10" t="str">
        <f>IFERROR(VLOOKUP(B217,'Employees List'!$A$2:$K$991,11,0),"")</f>
        <v/>
      </c>
      <c r="M217" s="74" t="str">
        <f>IFERROR(VLOOKUP(D217,'Daily Attendance 25-26'!$A$4:BP999,5,0),"")</f>
        <v/>
      </c>
      <c r="N217" s="10" t="str">
        <f>IFERROR(VLOOKUP(E217,'Daily Attendance 25-26'!$A$1:$BO$1741,5,0),"")</f>
        <v/>
      </c>
      <c r="O217" s="10"/>
      <c r="P217" s="10"/>
      <c r="Q217" s="10" t="str">
        <f t="shared" si="5"/>
        <v>#DIV/0!</v>
      </c>
      <c r="R217" s="10" t="str">
        <f t="shared" si="6"/>
        <v>#DIV/0!</v>
      </c>
      <c r="S217" s="10" t="str">
        <f t="shared" si="23"/>
        <v>#DIV/0!</v>
      </c>
      <c r="T217" s="10" t="str">
        <f t="shared" si="22"/>
        <v>#DIV/0!</v>
      </c>
      <c r="U217" s="10" t="str">
        <f t="shared" si="8"/>
        <v>#DIV/0!</v>
      </c>
      <c r="V217" s="10"/>
      <c r="W217" s="10"/>
      <c r="X217" s="10"/>
      <c r="Y217" s="10"/>
      <c r="Z217" s="10"/>
      <c r="AA217" s="10"/>
      <c r="AB217" s="10"/>
      <c r="AC217" s="10"/>
      <c r="AD217" s="10"/>
      <c r="AE217" s="10"/>
      <c r="AF217" s="10"/>
    </row>
    <row r="218" hidden="1">
      <c r="A218" s="9" t="s">
        <v>435</v>
      </c>
      <c r="B218" s="84"/>
      <c r="C218" s="9"/>
      <c r="D218" s="9" t="str">
        <f t="shared" si="1"/>
        <v/>
      </c>
      <c r="E218" s="10" t="str">
        <f t="shared" si="2"/>
        <v>OT Hours</v>
      </c>
      <c r="F218" s="10" t="str">
        <f>IFERROR(VLOOKUP(C218,'Employees List'!$B$1:$I$999,4,0),"")</f>
        <v/>
      </c>
      <c r="G218" s="10" t="str">
        <f t="shared" si="21"/>
        <v>#DIV/0!</v>
      </c>
      <c r="H218" s="72" t="str">
        <f>IFERROR(VLOOKUP(C218,'Employees List'!$B$2:$I$991,7,0),"")</f>
        <v/>
      </c>
      <c r="I218" s="73" t="str">
        <f>IFERROR(VLOOKUP(F218,'Employees List'!$E$1:$AE$991,6,0),"")</f>
        <v/>
      </c>
      <c r="J218" s="71">
        <f t="shared" si="3"/>
        <v>0</v>
      </c>
      <c r="K218" s="71">
        <f t="shared" si="4"/>
        <v>0</v>
      </c>
      <c r="L218" s="10" t="str">
        <f>IFERROR(VLOOKUP(B218,'Employees List'!$A$2:$K$991,11,0),"")</f>
        <v/>
      </c>
      <c r="M218" s="74" t="str">
        <f>IFERROR(VLOOKUP(D218,'Daily Attendance 25-26'!$A$4:BP999,5,0),"")</f>
        <v/>
      </c>
      <c r="N218" s="10" t="str">
        <f>IFERROR(VLOOKUP(E218,'Daily Attendance 25-26'!$A$1:$BO$1741,5,0),"")</f>
        <v/>
      </c>
      <c r="O218" s="10"/>
      <c r="P218" s="10"/>
      <c r="Q218" s="10" t="str">
        <f t="shared" si="5"/>
        <v>#DIV/0!</v>
      </c>
      <c r="R218" s="10" t="str">
        <f t="shared" si="6"/>
        <v>#DIV/0!</v>
      </c>
      <c r="S218" s="10" t="str">
        <f t="shared" si="23"/>
        <v>#DIV/0!</v>
      </c>
      <c r="T218" s="10" t="str">
        <f t="shared" si="22"/>
        <v>#DIV/0!</v>
      </c>
      <c r="U218" s="10" t="str">
        <f t="shared" si="8"/>
        <v>#DIV/0!</v>
      </c>
      <c r="V218" s="10"/>
      <c r="W218" s="10"/>
      <c r="X218" s="10"/>
      <c r="Y218" s="10"/>
      <c r="Z218" s="10"/>
      <c r="AA218" s="10"/>
      <c r="AB218" s="10"/>
      <c r="AC218" s="10"/>
      <c r="AD218" s="10"/>
      <c r="AE218" s="10"/>
      <c r="AF218" s="10"/>
    </row>
    <row r="219" hidden="1">
      <c r="A219" s="9" t="s">
        <v>436</v>
      </c>
      <c r="B219" s="84"/>
      <c r="C219" s="9"/>
      <c r="D219" s="9" t="str">
        <f t="shared" si="1"/>
        <v/>
      </c>
      <c r="E219" s="10" t="str">
        <f t="shared" si="2"/>
        <v>OT Hours</v>
      </c>
      <c r="F219" s="10" t="str">
        <f>IFERROR(VLOOKUP(C219,'Employees List'!$B$1:$I$999,4,0),"")</f>
        <v/>
      </c>
      <c r="G219" s="10" t="str">
        <f t="shared" si="21"/>
        <v>#DIV/0!</v>
      </c>
      <c r="H219" s="72" t="str">
        <f>IFERROR(VLOOKUP(C219,'Employees List'!$B$2:$I$991,7,0),"")</f>
        <v/>
      </c>
      <c r="I219" s="73" t="str">
        <f>IFERROR(VLOOKUP(F219,'Employees List'!$E$1:$AE$991,6,0),"")</f>
        <v/>
      </c>
      <c r="J219" s="71">
        <f t="shared" si="3"/>
        <v>0</v>
      </c>
      <c r="K219" s="71">
        <f t="shared" si="4"/>
        <v>0</v>
      </c>
      <c r="L219" s="10" t="str">
        <f>IFERROR(VLOOKUP(B219,'Employees List'!$A$2:$K$991,11,0),"")</f>
        <v/>
      </c>
      <c r="M219" s="74" t="str">
        <f>IFERROR(VLOOKUP(D219,'Daily Attendance 25-26'!$A$4:BP999,5,0),"")</f>
        <v/>
      </c>
      <c r="N219" s="10" t="str">
        <f>IFERROR(VLOOKUP(E219,'Daily Attendance 25-26'!$A$1:$BO$1741,5,0),"")</f>
        <v/>
      </c>
      <c r="O219" s="10"/>
      <c r="P219" s="10"/>
      <c r="Q219" s="10" t="str">
        <f t="shared" si="5"/>
        <v>#DIV/0!</v>
      </c>
      <c r="R219" s="10" t="str">
        <f t="shared" si="6"/>
        <v>#DIV/0!</v>
      </c>
      <c r="S219" s="10" t="str">
        <f t="shared" si="23"/>
        <v>#DIV/0!</v>
      </c>
      <c r="T219" s="10" t="str">
        <f t="shared" si="22"/>
        <v>#DIV/0!</v>
      </c>
      <c r="U219" s="10" t="str">
        <f t="shared" si="8"/>
        <v>#DIV/0!</v>
      </c>
      <c r="V219" s="10"/>
      <c r="W219" s="10"/>
      <c r="X219" s="10"/>
      <c r="Y219" s="10"/>
      <c r="Z219" s="10"/>
      <c r="AA219" s="10"/>
      <c r="AB219" s="10"/>
      <c r="AC219" s="10"/>
      <c r="AD219" s="10"/>
      <c r="AE219" s="10"/>
      <c r="AF219" s="10"/>
    </row>
    <row r="220" hidden="1">
      <c r="A220" s="9" t="s">
        <v>437</v>
      </c>
      <c r="B220" s="84"/>
      <c r="C220" s="9"/>
      <c r="D220" s="9" t="str">
        <f t="shared" si="1"/>
        <v/>
      </c>
      <c r="E220" s="10" t="str">
        <f t="shared" si="2"/>
        <v>OT Hours</v>
      </c>
      <c r="F220" s="10" t="str">
        <f>IFERROR(VLOOKUP(C220,'Employees List'!$B$1:$I$999,4,0),"")</f>
        <v/>
      </c>
      <c r="G220" s="10" t="str">
        <f t="shared" si="21"/>
        <v>#DIV/0!</v>
      </c>
      <c r="H220" s="72" t="str">
        <f>IFERROR(VLOOKUP(C220,'Employees List'!$B$2:$I$991,7,0),"")</f>
        <v/>
      </c>
      <c r="I220" s="73" t="str">
        <f>IFERROR(VLOOKUP(F220,'Employees List'!$E$1:$AE$991,6,0),"")</f>
        <v/>
      </c>
      <c r="J220" s="71">
        <f t="shared" si="3"/>
        <v>0</v>
      </c>
      <c r="K220" s="71">
        <f t="shared" si="4"/>
        <v>0</v>
      </c>
      <c r="L220" s="10" t="str">
        <f>IFERROR(VLOOKUP(B220,'Employees List'!$A$2:$K$991,11,0),"")</f>
        <v/>
      </c>
      <c r="M220" s="74" t="str">
        <f>IFERROR(VLOOKUP(D220,'Daily Attendance 25-26'!$A$4:BP999,5,0),"")</f>
        <v/>
      </c>
      <c r="N220" s="10" t="str">
        <f>IFERROR(VLOOKUP(E220,'Daily Attendance 25-26'!$A$1:$BO$1741,5,0),"")</f>
        <v/>
      </c>
      <c r="O220" s="10"/>
      <c r="P220" s="10"/>
      <c r="Q220" s="10" t="str">
        <f t="shared" si="5"/>
        <v>#DIV/0!</v>
      </c>
      <c r="R220" s="10" t="str">
        <f t="shared" si="6"/>
        <v>#DIV/0!</v>
      </c>
      <c r="S220" s="10" t="str">
        <f t="shared" si="23"/>
        <v>#DIV/0!</v>
      </c>
      <c r="T220" s="10" t="str">
        <f t="shared" si="22"/>
        <v>#DIV/0!</v>
      </c>
      <c r="U220" s="10" t="str">
        <f t="shared" si="8"/>
        <v>#DIV/0!</v>
      </c>
      <c r="V220" s="10"/>
      <c r="W220" s="10"/>
      <c r="X220" s="10"/>
      <c r="Y220" s="10"/>
      <c r="Z220" s="10"/>
      <c r="AA220" s="10"/>
      <c r="AB220" s="10"/>
      <c r="AC220" s="10"/>
      <c r="AD220" s="10"/>
      <c r="AE220" s="10"/>
      <c r="AF220" s="10"/>
    </row>
    <row r="221" hidden="1">
      <c r="A221" s="9" t="s">
        <v>438</v>
      </c>
      <c r="B221" s="84"/>
      <c r="C221" s="9"/>
      <c r="D221" s="9" t="str">
        <f t="shared" si="1"/>
        <v/>
      </c>
      <c r="E221" s="10" t="str">
        <f t="shared" si="2"/>
        <v>OT Hours</v>
      </c>
      <c r="F221" s="10" t="str">
        <f>IFERROR(VLOOKUP(C221,'Employees List'!$B$1:$I$999,4,0),"")</f>
        <v/>
      </c>
      <c r="G221" s="10" t="str">
        <f t="shared" si="21"/>
        <v>#DIV/0!</v>
      </c>
      <c r="H221" s="72" t="str">
        <f>IFERROR(VLOOKUP(C221,'Employees List'!$B$2:$I$991,7,0),"")</f>
        <v/>
      </c>
      <c r="I221" s="73" t="str">
        <f>IFERROR(VLOOKUP(F221,'Employees List'!$E$1:$AE$991,6,0),"")</f>
        <v/>
      </c>
      <c r="J221" s="71">
        <f t="shared" si="3"/>
        <v>0</v>
      </c>
      <c r="K221" s="71">
        <f t="shared" si="4"/>
        <v>0</v>
      </c>
      <c r="L221" s="10" t="str">
        <f>IFERROR(VLOOKUP(B221,'Employees List'!$A$2:$K$991,11,0),"")</f>
        <v/>
      </c>
      <c r="M221" s="74" t="str">
        <f>IFERROR(VLOOKUP(D221,'Daily Attendance 25-26'!$A$4:BP999,5,0),"")</f>
        <v/>
      </c>
      <c r="N221" s="10" t="str">
        <f>IFERROR(VLOOKUP(E221,'Daily Attendance 25-26'!$A$1:$BO$1741,5,0),"")</f>
        <v/>
      </c>
      <c r="O221" s="10"/>
      <c r="P221" s="10"/>
      <c r="Q221" s="10" t="str">
        <f t="shared" si="5"/>
        <v>#DIV/0!</v>
      </c>
      <c r="R221" s="10" t="str">
        <f t="shared" si="6"/>
        <v>#DIV/0!</v>
      </c>
      <c r="S221" s="10" t="str">
        <f t="shared" si="23"/>
        <v>#DIV/0!</v>
      </c>
      <c r="T221" s="10" t="str">
        <f t="shared" si="22"/>
        <v>#DIV/0!</v>
      </c>
      <c r="U221" s="10" t="str">
        <f t="shared" si="8"/>
        <v>#DIV/0!</v>
      </c>
      <c r="V221" s="10"/>
      <c r="W221" s="10"/>
      <c r="X221" s="10"/>
      <c r="Y221" s="10"/>
      <c r="Z221" s="10"/>
      <c r="AA221" s="10"/>
      <c r="AB221" s="10"/>
      <c r="AC221" s="10"/>
      <c r="AD221" s="10"/>
      <c r="AE221" s="10"/>
      <c r="AF221" s="10"/>
    </row>
    <row r="222" hidden="1">
      <c r="A222" s="9" t="s">
        <v>439</v>
      </c>
      <c r="B222" s="84"/>
      <c r="C222" s="9"/>
      <c r="D222" s="9" t="str">
        <f t="shared" si="1"/>
        <v/>
      </c>
      <c r="E222" s="10" t="str">
        <f t="shared" si="2"/>
        <v>OT Hours</v>
      </c>
      <c r="F222" s="10" t="str">
        <f>IFERROR(VLOOKUP(C222,'Employees List'!$B$1:$I$999,4,0),"")</f>
        <v/>
      </c>
      <c r="G222" s="10" t="str">
        <f t="shared" si="21"/>
        <v>#DIV/0!</v>
      </c>
      <c r="H222" s="72" t="str">
        <f>IFERROR(VLOOKUP(C222,'Employees List'!$B$2:$I$991,7,0),"")</f>
        <v/>
      </c>
      <c r="I222" s="73" t="str">
        <f>IFERROR(VLOOKUP(F222,'Employees List'!$E$1:$AE$991,6,0),"")</f>
        <v/>
      </c>
      <c r="J222" s="71">
        <f t="shared" si="3"/>
        <v>0</v>
      </c>
      <c r="K222" s="71">
        <f t="shared" si="4"/>
        <v>0</v>
      </c>
      <c r="L222" s="10" t="str">
        <f>IFERROR(VLOOKUP(B222,'Employees List'!$A$2:$K$991,11,0),"")</f>
        <v/>
      </c>
      <c r="M222" s="74" t="str">
        <f>IFERROR(VLOOKUP(D222,'Daily Attendance 25-26'!$A$4:BP999,5,0),"")</f>
        <v/>
      </c>
      <c r="N222" s="10" t="str">
        <f>IFERROR(VLOOKUP(E222,'Daily Attendance 25-26'!$A$1:$BO$1741,5,0),"")</f>
        <v/>
      </c>
      <c r="O222" s="10"/>
      <c r="P222" s="10"/>
      <c r="Q222" s="10" t="str">
        <f t="shared" si="5"/>
        <v>#DIV/0!</v>
      </c>
      <c r="R222" s="10" t="str">
        <f t="shared" si="6"/>
        <v>#DIV/0!</v>
      </c>
      <c r="S222" s="10" t="str">
        <f t="shared" si="23"/>
        <v>#DIV/0!</v>
      </c>
      <c r="T222" s="10" t="str">
        <f t="shared" si="22"/>
        <v>#DIV/0!</v>
      </c>
      <c r="U222" s="10" t="str">
        <f t="shared" si="8"/>
        <v>#DIV/0!</v>
      </c>
      <c r="V222" s="10"/>
      <c r="W222" s="10"/>
      <c r="X222" s="10"/>
      <c r="Y222" s="10"/>
      <c r="Z222" s="10"/>
      <c r="AA222" s="10"/>
      <c r="AB222" s="10"/>
      <c r="AC222" s="10"/>
      <c r="AD222" s="10"/>
      <c r="AE222" s="10"/>
      <c r="AF222" s="10"/>
    </row>
    <row r="223" hidden="1">
      <c r="A223" s="9" t="s">
        <v>440</v>
      </c>
      <c r="B223" s="84"/>
      <c r="C223" s="9"/>
      <c r="D223" s="9" t="str">
        <f t="shared" si="1"/>
        <v/>
      </c>
      <c r="E223" s="10" t="str">
        <f t="shared" si="2"/>
        <v>OT Hours</v>
      </c>
      <c r="F223" s="10" t="str">
        <f>IFERROR(VLOOKUP(C223,'Employees List'!$B$1:$I$999,4,0),"")</f>
        <v/>
      </c>
      <c r="G223" s="10" t="str">
        <f t="shared" si="21"/>
        <v>#DIV/0!</v>
      </c>
      <c r="H223" s="72" t="str">
        <f>IFERROR(VLOOKUP(C223,'Employees List'!$B$2:$I$991,7,0),"")</f>
        <v/>
      </c>
      <c r="I223" s="73" t="str">
        <f>IFERROR(VLOOKUP(F223,'Employees List'!$E$1:$AE$991,6,0),"")</f>
        <v/>
      </c>
      <c r="J223" s="71">
        <f t="shared" si="3"/>
        <v>0</v>
      </c>
      <c r="K223" s="71">
        <f t="shared" si="4"/>
        <v>0</v>
      </c>
      <c r="L223" s="10" t="str">
        <f>IFERROR(VLOOKUP(B223,'Employees List'!$A$2:$K$991,11,0),"")</f>
        <v/>
      </c>
      <c r="M223" s="74" t="str">
        <f>IFERROR(VLOOKUP(D223,'Daily Attendance 25-26'!$A$4:BP999,5,0),"")</f>
        <v/>
      </c>
      <c r="N223" s="10" t="str">
        <f>IFERROR(VLOOKUP(E223,'Daily Attendance 25-26'!$A$1:$BO$1741,5,0),"")</f>
        <v/>
      </c>
      <c r="O223" s="10"/>
      <c r="P223" s="10"/>
      <c r="Q223" s="10" t="str">
        <f t="shared" si="5"/>
        <v>#DIV/0!</v>
      </c>
      <c r="R223" s="10" t="str">
        <f t="shared" si="6"/>
        <v>#DIV/0!</v>
      </c>
      <c r="S223" s="10" t="str">
        <f t="shared" si="23"/>
        <v>#DIV/0!</v>
      </c>
      <c r="T223" s="10" t="str">
        <f t="shared" si="22"/>
        <v>#DIV/0!</v>
      </c>
      <c r="U223" s="10" t="str">
        <f t="shared" si="8"/>
        <v>#DIV/0!</v>
      </c>
      <c r="V223" s="10"/>
      <c r="W223" s="10"/>
      <c r="X223" s="10"/>
      <c r="Y223" s="10"/>
      <c r="Z223" s="10"/>
      <c r="AA223" s="10"/>
      <c r="AB223" s="10"/>
      <c r="AC223" s="10"/>
      <c r="AD223" s="10"/>
      <c r="AE223" s="10"/>
      <c r="AF223" s="10"/>
    </row>
    <row r="224" hidden="1">
      <c r="A224" s="9" t="s">
        <v>441</v>
      </c>
      <c r="B224" s="84"/>
      <c r="C224" s="9"/>
      <c r="D224" s="9" t="str">
        <f t="shared" si="1"/>
        <v/>
      </c>
      <c r="E224" s="10" t="str">
        <f t="shared" si="2"/>
        <v>OT Hours</v>
      </c>
      <c r="F224" s="10" t="str">
        <f>IFERROR(VLOOKUP(C224,'Employees List'!$B$1:$I$999,4,0),"")</f>
        <v/>
      </c>
      <c r="G224" s="10" t="str">
        <f t="shared" si="21"/>
        <v>#DIV/0!</v>
      </c>
      <c r="H224" s="72" t="str">
        <f>IFERROR(VLOOKUP(C224,'Employees List'!$B$2:$I$991,7,0),"")</f>
        <v/>
      </c>
      <c r="I224" s="73" t="str">
        <f>IFERROR(VLOOKUP(F224,'Employees List'!$E$1:$AE$991,6,0),"")</f>
        <v/>
      </c>
      <c r="J224" s="71">
        <f t="shared" si="3"/>
        <v>0</v>
      </c>
      <c r="K224" s="71">
        <f t="shared" si="4"/>
        <v>0</v>
      </c>
      <c r="L224" s="10" t="str">
        <f>IFERROR(VLOOKUP(B224,'Employees List'!$A$2:$K$991,11,0),"")</f>
        <v/>
      </c>
      <c r="M224" s="74" t="str">
        <f>IFERROR(VLOOKUP(D224,'Daily Attendance 25-26'!$A$4:BP999,5,0),"")</f>
        <v/>
      </c>
      <c r="N224" s="10" t="str">
        <f>IFERROR(VLOOKUP(E224,'Daily Attendance 25-26'!$A$1:$BO$1741,5,0),"")</f>
        <v/>
      </c>
      <c r="O224" s="10"/>
      <c r="P224" s="10"/>
      <c r="Q224" s="10" t="str">
        <f t="shared" si="5"/>
        <v>#DIV/0!</v>
      </c>
      <c r="R224" s="10" t="str">
        <f t="shared" si="6"/>
        <v>#DIV/0!</v>
      </c>
      <c r="S224" s="10" t="str">
        <f t="shared" si="23"/>
        <v>#DIV/0!</v>
      </c>
      <c r="T224" s="10" t="str">
        <f t="shared" si="22"/>
        <v>#DIV/0!</v>
      </c>
      <c r="U224" s="10" t="str">
        <f t="shared" si="8"/>
        <v>#DIV/0!</v>
      </c>
      <c r="V224" s="10"/>
      <c r="W224" s="10"/>
      <c r="X224" s="10"/>
      <c r="Y224" s="10"/>
      <c r="Z224" s="10"/>
      <c r="AA224" s="10"/>
      <c r="AB224" s="10"/>
      <c r="AC224" s="10"/>
      <c r="AD224" s="10"/>
      <c r="AE224" s="10"/>
      <c r="AF224" s="10"/>
    </row>
    <row r="225" hidden="1">
      <c r="A225" s="9" t="s">
        <v>442</v>
      </c>
      <c r="B225" s="84"/>
      <c r="C225" s="9"/>
      <c r="D225" s="9" t="str">
        <f t="shared" si="1"/>
        <v/>
      </c>
      <c r="E225" s="10" t="str">
        <f t="shared" si="2"/>
        <v>OT Hours</v>
      </c>
      <c r="F225" s="10" t="str">
        <f>IFERROR(VLOOKUP(C225,'Employees List'!$B$1:$I$999,4,0),"")</f>
        <v/>
      </c>
      <c r="G225" s="10" t="str">
        <f t="shared" si="21"/>
        <v>#DIV/0!</v>
      </c>
      <c r="H225" s="72" t="str">
        <f>IFERROR(VLOOKUP(C225,'Employees List'!$B$2:$I$991,7,0),"")</f>
        <v/>
      </c>
      <c r="I225" s="73" t="str">
        <f>IFERROR(VLOOKUP(F225,'Employees List'!$E$1:$AE$991,6,0),"")</f>
        <v/>
      </c>
      <c r="J225" s="71">
        <f t="shared" si="3"/>
        <v>0</v>
      </c>
      <c r="K225" s="71">
        <f t="shared" si="4"/>
        <v>0</v>
      </c>
      <c r="L225" s="10" t="str">
        <f>IFERROR(VLOOKUP(B225,'Employees List'!$A$2:$K$991,11,0),"")</f>
        <v/>
      </c>
      <c r="M225" s="74" t="str">
        <f>IFERROR(VLOOKUP(D225,'Daily Attendance 25-26'!$A$4:BP999,5,0),"")</f>
        <v/>
      </c>
      <c r="N225" s="10" t="str">
        <f>IFERROR(VLOOKUP(E225,'Daily Attendance 25-26'!$A$1:$BO$1741,5,0),"")</f>
        <v/>
      </c>
      <c r="O225" s="10"/>
      <c r="P225" s="10"/>
      <c r="Q225" s="10" t="str">
        <f t="shared" si="5"/>
        <v>#DIV/0!</v>
      </c>
      <c r="R225" s="10" t="str">
        <f t="shared" si="6"/>
        <v>#DIV/0!</v>
      </c>
      <c r="S225" s="10" t="str">
        <f t="shared" si="23"/>
        <v>#DIV/0!</v>
      </c>
      <c r="T225" s="10" t="str">
        <f t="shared" si="22"/>
        <v>#DIV/0!</v>
      </c>
      <c r="U225" s="10" t="str">
        <f t="shared" si="8"/>
        <v>#DIV/0!</v>
      </c>
      <c r="V225" s="10"/>
      <c r="W225" s="10"/>
      <c r="X225" s="10"/>
      <c r="Y225" s="10"/>
      <c r="Z225" s="10"/>
      <c r="AA225" s="10"/>
      <c r="AB225" s="10"/>
      <c r="AC225" s="10"/>
      <c r="AD225" s="10"/>
      <c r="AE225" s="10"/>
      <c r="AF225" s="10"/>
    </row>
    <row r="226" hidden="1">
      <c r="A226" s="9" t="s">
        <v>443</v>
      </c>
      <c r="B226" s="84"/>
      <c r="C226" s="9"/>
      <c r="D226" s="9" t="str">
        <f t="shared" si="1"/>
        <v/>
      </c>
      <c r="E226" s="10" t="str">
        <f t="shared" si="2"/>
        <v>OT Hours</v>
      </c>
      <c r="F226" s="10" t="str">
        <f>IFERROR(VLOOKUP(C226,'Employees List'!$B$1:$I$999,4,0),"")</f>
        <v/>
      </c>
      <c r="G226" s="10" t="str">
        <f t="shared" si="21"/>
        <v>#DIV/0!</v>
      </c>
      <c r="H226" s="72" t="str">
        <f>IFERROR(VLOOKUP(C226,'Employees List'!$B$2:$I$991,7,0),"")</f>
        <v/>
      </c>
      <c r="I226" s="73" t="str">
        <f>IFERROR(VLOOKUP(F226,'Employees List'!$E$1:$AE$991,6,0),"")</f>
        <v/>
      </c>
      <c r="J226" s="71">
        <f t="shared" si="3"/>
        <v>0</v>
      </c>
      <c r="K226" s="71">
        <f t="shared" si="4"/>
        <v>0</v>
      </c>
      <c r="L226" s="10" t="str">
        <f>IFERROR(VLOOKUP(B226,'Employees List'!$A$2:$K$991,11,0),"")</f>
        <v/>
      </c>
      <c r="M226" s="74" t="str">
        <f>IFERROR(VLOOKUP(D226,'Daily Attendance 25-26'!$A$4:BP999,5,0),"")</f>
        <v/>
      </c>
      <c r="N226" s="10" t="str">
        <f>IFERROR(VLOOKUP(E226,'Daily Attendance 25-26'!$A$1:$BO$1741,5,0),"")</f>
        <v/>
      </c>
      <c r="O226" s="10"/>
      <c r="P226" s="10"/>
      <c r="Q226" s="10" t="str">
        <f t="shared" si="5"/>
        <v>#DIV/0!</v>
      </c>
      <c r="R226" s="10" t="str">
        <f t="shared" si="6"/>
        <v>#DIV/0!</v>
      </c>
      <c r="S226" s="10" t="str">
        <f t="shared" si="23"/>
        <v>#DIV/0!</v>
      </c>
      <c r="T226" s="10" t="str">
        <f t="shared" si="22"/>
        <v>#DIV/0!</v>
      </c>
      <c r="U226" s="10" t="str">
        <f t="shared" si="8"/>
        <v>#DIV/0!</v>
      </c>
      <c r="V226" s="10"/>
      <c r="W226" s="10"/>
      <c r="X226" s="10"/>
      <c r="Y226" s="10"/>
      <c r="Z226" s="10"/>
      <c r="AA226" s="10"/>
      <c r="AB226" s="10"/>
      <c r="AC226" s="10"/>
      <c r="AD226" s="10"/>
      <c r="AE226" s="10"/>
      <c r="AF226" s="10"/>
    </row>
    <row r="227" hidden="1">
      <c r="A227" s="9" t="s">
        <v>444</v>
      </c>
      <c r="B227" s="84"/>
      <c r="C227" s="9"/>
      <c r="D227" s="9" t="str">
        <f t="shared" si="1"/>
        <v/>
      </c>
      <c r="E227" s="10" t="str">
        <f t="shared" si="2"/>
        <v>OT Hours</v>
      </c>
      <c r="F227" s="10" t="str">
        <f>IFERROR(VLOOKUP(C227,'Employees List'!$B$1:$I$999,4,0),"")</f>
        <v/>
      </c>
      <c r="G227" s="10" t="str">
        <f t="shared" si="21"/>
        <v>#DIV/0!</v>
      </c>
      <c r="H227" s="72" t="str">
        <f>IFERROR(VLOOKUP(C227,'Employees List'!$B$2:$I$991,7,0),"")</f>
        <v/>
      </c>
      <c r="I227" s="73" t="str">
        <f>IFERROR(VLOOKUP(F227,'Employees List'!$E$1:$AE$991,6,0),"")</f>
        <v/>
      </c>
      <c r="J227" s="71">
        <f t="shared" si="3"/>
        <v>0</v>
      </c>
      <c r="K227" s="71">
        <f t="shared" si="4"/>
        <v>0</v>
      </c>
      <c r="L227" s="10" t="str">
        <f>IFERROR(VLOOKUP(B227,'Employees List'!$A$2:$K$991,11,0),"")</f>
        <v/>
      </c>
      <c r="M227" s="74" t="str">
        <f>IFERROR(VLOOKUP(D227,'Daily Attendance 25-26'!$A$4:BP999,5,0),"")</f>
        <v/>
      </c>
      <c r="N227" s="10" t="str">
        <f>IFERROR(VLOOKUP(E227,'Daily Attendance 25-26'!$A$1:$BO$1741,5,0),"")</f>
        <v/>
      </c>
      <c r="O227" s="10"/>
      <c r="P227" s="10"/>
      <c r="Q227" s="10" t="str">
        <f t="shared" si="5"/>
        <v>#DIV/0!</v>
      </c>
      <c r="R227" s="10" t="str">
        <f t="shared" si="6"/>
        <v>#DIV/0!</v>
      </c>
      <c r="S227" s="10" t="str">
        <f t="shared" si="23"/>
        <v>#DIV/0!</v>
      </c>
      <c r="T227" s="10" t="str">
        <f t="shared" si="22"/>
        <v>#DIV/0!</v>
      </c>
      <c r="U227" s="10" t="str">
        <f t="shared" si="8"/>
        <v>#DIV/0!</v>
      </c>
      <c r="V227" s="10"/>
      <c r="W227" s="10"/>
      <c r="X227" s="10"/>
      <c r="Y227" s="10"/>
      <c r="Z227" s="10"/>
      <c r="AA227" s="10"/>
      <c r="AB227" s="10"/>
      <c r="AC227" s="10"/>
      <c r="AD227" s="10"/>
      <c r="AE227" s="10"/>
      <c r="AF227" s="10"/>
    </row>
    <row r="228" hidden="1">
      <c r="A228" s="9" t="s">
        <v>445</v>
      </c>
      <c r="B228" s="84"/>
      <c r="C228" s="9"/>
      <c r="D228" s="9" t="str">
        <f t="shared" si="1"/>
        <v/>
      </c>
      <c r="E228" s="10" t="str">
        <f t="shared" si="2"/>
        <v>OT Hours</v>
      </c>
      <c r="F228" s="10" t="str">
        <f>IFERROR(VLOOKUP(C228,'Employees List'!$B$1:$I$999,4,0),"")</f>
        <v/>
      </c>
      <c r="G228" s="10" t="str">
        <f t="shared" si="21"/>
        <v>#DIV/0!</v>
      </c>
      <c r="H228" s="72" t="str">
        <f>IFERROR(VLOOKUP(C228,'Employees List'!$B$2:$I$991,7,0),"")</f>
        <v/>
      </c>
      <c r="I228" s="73" t="str">
        <f>IFERROR(VLOOKUP(F228,'Employees List'!$E$1:$AE$991,6,0),"")</f>
        <v/>
      </c>
      <c r="J228" s="71">
        <f t="shared" si="3"/>
        <v>0</v>
      </c>
      <c r="K228" s="71">
        <f t="shared" si="4"/>
        <v>0</v>
      </c>
      <c r="L228" s="10" t="str">
        <f>IFERROR(VLOOKUP(B228,'Employees List'!$A$2:$K$991,11,0),"")</f>
        <v/>
      </c>
      <c r="M228" s="74" t="str">
        <f>IFERROR(VLOOKUP(D228,'Daily Attendance 25-26'!$A$4:BP999,5,0),"")</f>
        <v/>
      </c>
      <c r="N228" s="10" t="str">
        <f>IFERROR(VLOOKUP(E228,'Daily Attendance 25-26'!$A$1:$BO$1741,5,0),"")</f>
        <v/>
      </c>
      <c r="O228" s="10"/>
      <c r="P228" s="10"/>
      <c r="Q228" s="10" t="str">
        <f t="shared" si="5"/>
        <v>#DIV/0!</v>
      </c>
      <c r="R228" s="10" t="str">
        <f t="shared" si="6"/>
        <v>#DIV/0!</v>
      </c>
      <c r="S228" s="10" t="str">
        <f t="shared" si="23"/>
        <v>#DIV/0!</v>
      </c>
      <c r="T228" s="10" t="str">
        <f t="shared" si="22"/>
        <v>#DIV/0!</v>
      </c>
      <c r="U228" s="10" t="str">
        <f t="shared" si="8"/>
        <v>#DIV/0!</v>
      </c>
      <c r="V228" s="10"/>
      <c r="W228" s="10"/>
      <c r="X228" s="10"/>
      <c r="Y228" s="10"/>
      <c r="Z228" s="10"/>
      <c r="AA228" s="10"/>
      <c r="AB228" s="10"/>
      <c r="AC228" s="10"/>
      <c r="AD228" s="10"/>
      <c r="AE228" s="10"/>
      <c r="AF228" s="10"/>
    </row>
    <row r="229" hidden="1">
      <c r="A229" s="9" t="s">
        <v>446</v>
      </c>
      <c r="B229" s="84"/>
      <c r="C229" s="9"/>
      <c r="D229" s="9" t="str">
        <f t="shared" si="1"/>
        <v/>
      </c>
      <c r="E229" s="10" t="str">
        <f t="shared" si="2"/>
        <v>OT Hours</v>
      </c>
      <c r="F229" s="10" t="str">
        <f>IFERROR(VLOOKUP(C229,'Employees List'!$B$1:$I$999,4,0),"")</f>
        <v/>
      </c>
      <c r="G229" s="10" t="str">
        <f t="shared" si="21"/>
        <v>#DIV/0!</v>
      </c>
      <c r="H229" s="72" t="str">
        <f>IFERROR(VLOOKUP(C229,'Employees List'!$B$2:$I$991,7,0),"")</f>
        <v/>
      </c>
      <c r="I229" s="73" t="str">
        <f>IFERROR(VLOOKUP(F229,'Employees List'!$E$1:$AE$991,6,0),"")</f>
        <v/>
      </c>
      <c r="J229" s="71">
        <f t="shared" si="3"/>
        <v>0</v>
      </c>
      <c r="K229" s="71">
        <f t="shared" si="4"/>
        <v>0</v>
      </c>
      <c r="L229" s="10" t="str">
        <f>IFERROR(VLOOKUP(B229,'Employees List'!$A$2:$K$991,11,0),"")</f>
        <v/>
      </c>
      <c r="M229" s="74" t="str">
        <f>IFERROR(VLOOKUP(D229,'Daily Attendance 25-26'!$A$4:BP999,5,0),"")</f>
        <v/>
      </c>
      <c r="N229" s="10" t="str">
        <f>IFERROR(VLOOKUP(E229,'Daily Attendance 25-26'!$A$1:$BO$1741,5,0),"")</f>
        <v/>
      </c>
      <c r="O229" s="10"/>
      <c r="P229" s="10"/>
      <c r="Q229" s="10" t="str">
        <f t="shared" si="5"/>
        <v>#DIV/0!</v>
      </c>
      <c r="R229" s="10" t="str">
        <f t="shared" si="6"/>
        <v>#DIV/0!</v>
      </c>
      <c r="S229" s="10" t="str">
        <f t="shared" si="23"/>
        <v>#DIV/0!</v>
      </c>
      <c r="T229" s="10" t="str">
        <f t="shared" si="22"/>
        <v>#DIV/0!</v>
      </c>
      <c r="U229" s="10" t="str">
        <f t="shared" si="8"/>
        <v>#DIV/0!</v>
      </c>
      <c r="V229" s="10"/>
      <c r="W229" s="10"/>
      <c r="X229" s="10"/>
      <c r="Y229" s="10"/>
      <c r="Z229" s="10"/>
      <c r="AA229" s="10"/>
      <c r="AB229" s="10"/>
      <c r="AC229" s="10"/>
      <c r="AD229" s="10"/>
      <c r="AE229" s="10"/>
      <c r="AF229" s="10"/>
    </row>
    <row r="230" hidden="1">
      <c r="A230" s="9" t="s">
        <v>447</v>
      </c>
      <c r="B230" s="84"/>
      <c r="C230" s="9"/>
      <c r="D230" s="9" t="str">
        <f t="shared" si="1"/>
        <v/>
      </c>
      <c r="E230" s="10" t="str">
        <f t="shared" si="2"/>
        <v>OT Hours</v>
      </c>
      <c r="F230" s="10" t="str">
        <f>IFERROR(VLOOKUP(C230,'Employees List'!$B$1:$I$999,4,0),"")</f>
        <v/>
      </c>
      <c r="G230" s="10" t="str">
        <f t="shared" si="21"/>
        <v>#DIV/0!</v>
      </c>
      <c r="H230" s="72" t="str">
        <f>IFERROR(VLOOKUP(C230,'Employees List'!$B$2:$I$991,7,0),"")</f>
        <v/>
      </c>
      <c r="I230" s="73" t="str">
        <f>IFERROR(VLOOKUP(F230,'Employees List'!$E$1:$AE$991,6,0),"")</f>
        <v/>
      </c>
      <c r="J230" s="71">
        <f t="shared" si="3"/>
        <v>0</v>
      </c>
      <c r="K230" s="71">
        <f t="shared" si="4"/>
        <v>0</v>
      </c>
      <c r="L230" s="10" t="str">
        <f>IFERROR(VLOOKUP(B230,'Employees List'!$A$2:$K$991,11,0),"")</f>
        <v/>
      </c>
      <c r="M230" s="74" t="str">
        <f>IFERROR(VLOOKUP(D230,'Daily Attendance 25-26'!$A$4:BP999,5,0),"")</f>
        <v/>
      </c>
      <c r="N230" s="10" t="str">
        <f>IFERROR(VLOOKUP(E230,'Daily Attendance 25-26'!$A$1:$BO$1741,5,0),"")</f>
        <v/>
      </c>
      <c r="O230" s="10"/>
      <c r="P230" s="10"/>
      <c r="Q230" s="10" t="str">
        <f t="shared" si="5"/>
        <v>#DIV/0!</v>
      </c>
      <c r="R230" s="10" t="str">
        <f t="shared" si="6"/>
        <v>#DIV/0!</v>
      </c>
      <c r="S230" s="10" t="str">
        <f t="shared" si="23"/>
        <v>#DIV/0!</v>
      </c>
      <c r="T230" s="10" t="str">
        <f t="shared" si="22"/>
        <v>#DIV/0!</v>
      </c>
      <c r="U230" s="10" t="str">
        <f t="shared" si="8"/>
        <v>#DIV/0!</v>
      </c>
      <c r="V230" s="10"/>
      <c r="W230" s="10"/>
      <c r="X230" s="10"/>
      <c r="Y230" s="10"/>
      <c r="Z230" s="10"/>
      <c r="AA230" s="10"/>
      <c r="AB230" s="10"/>
      <c r="AC230" s="10"/>
      <c r="AD230" s="10"/>
      <c r="AE230" s="10"/>
      <c r="AF230" s="10"/>
    </row>
    <row r="231" hidden="1">
      <c r="A231" s="9" t="s">
        <v>448</v>
      </c>
      <c r="B231" s="84"/>
      <c r="C231" s="9"/>
      <c r="D231" s="9" t="str">
        <f t="shared" si="1"/>
        <v/>
      </c>
      <c r="E231" s="10" t="str">
        <f t="shared" si="2"/>
        <v>OT Hours</v>
      </c>
      <c r="F231" s="10" t="str">
        <f>IFERROR(VLOOKUP(C231,'Employees List'!$B$1:$I$999,4,0),"")</f>
        <v/>
      </c>
      <c r="G231" s="10" t="str">
        <f t="shared" si="21"/>
        <v>#DIV/0!</v>
      </c>
      <c r="H231" s="72" t="str">
        <f>IFERROR(VLOOKUP(C231,'Employees List'!$B$2:$I$991,7,0),"")</f>
        <v/>
      </c>
      <c r="I231" s="73" t="str">
        <f>IFERROR(VLOOKUP(F231,'Employees List'!$E$1:$AE$991,6,0),"")</f>
        <v/>
      </c>
      <c r="J231" s="71">
        <f t="shared" si="3"/>
        <v>0</v>
      </c>
      <c r="K231" s="71">
        <f t="shared" si="4"/>
        <v>0</v>
      </c>
      <c r="L231" s="10" t="str">
        <f>IFERROR(VLOOKUP(B231,'Employees List'!$A$2:$K$991,11,0),"")</f>
        <v/>
      </c>
      <c r="M231" s="74" t="str">
        <f>IFERROR(VLOOKUP(D231,'Daily Attendance 25-26'!$A$4:BP999,5,0),"")</f>
        <v/>
      </c>
      <c r="N231" s="10" t="str">
        <f>IFERROR(VLOOKUP(E231,'Daily Attendance 25-26'!$A$1:$BO$1741,5,0),"")</f>
        <v/>
      </c>
      <c r="O231" s="10"/>
      <c r="P231" s="10"/>
      <c r="Q231" s="10" t="str">
        <f t="shared" si="5"/>
        <v>#DIV/0!</v>
      </c>
      <c r="R231" s="10" t="str">
        <f t="shared" si="6"/>
        <v>#DIV/0!</v>
      </c>
      <c r="S231" s="10" t="str">
        <f t="shared" si="23"/>
        <v>#DIV/0!</v>
      </c>
      <c r="T231" s="10" t="str">
        <f t="shared" si="22"/>
        <v>#DIV/0!</v>
      </c>
      <c r="U231" s="10" t="str">
        <f t="shared" si="8"/>
        <v>#DIV/0!</v>
      </c>
      <c r="V231" s="10"/>
      <c r="W231" s="10"/>
      <c r="X231" s="10"/>
      <c r="Y231" s="10"/>
      <c r="Z231" s="10"/>
      <c r="AA231" s="10"/>
      <c r="AB231" s="10"/>
      <c r="AC231" s="10"/>
      <c r="AD231" s="10"/>
      <c r="AE231" s="10"/>
      <c r="AF231" s="10"/>
    </row>
    <row r="232" hidden="1">
      <c r="A232" s="9" t="s">
        <v>449</v>
      </c>
      <c r="B232" s="84"/>
      <c r="C232" s="9"/>
      <c r="D232" s="9" t="str">
        <f t="shared" si="1"/>
        <v/>
      </c>
      <c r="E232" s="10" t="str">
        <f t="shared" si="2"/>
        <v>OT Hours</v>
      </c>
      <c r="F232" s="10" t="str">
        <f>IFERROR(VLOOKUP(C232,'Employees List'!$B$1:$I$999,4,0),"")</f>
        <v/>
      </c>
      <c r="G232" s="10" t="str">
        <f t="shared" si="21"/>
        <v>#DIV/0!</v>
      </c>
      <c r="H232" s="72" t="str">
        <f>IFERROR(VLOOKUP(C232,'Employees List'!$B$2:$I$991,7,0),"")</f>
        <v/>
      </c>
      <c r="I232" s="73" t="str">
        <f>IFERROR(VLOOKUP(F232,'Employees List'!$E$1:$AE$991,6,0),"")</f>
        <v/>
      </c>
      <c r="J232" s="71">
        <f t="shared" si="3"/>
        <v>0</v>
      </c>
      <c r="K232" s="71">
        <f t="shared" si="4"/>
        <v>0</v>
      </c>
      <c r="L232" s="10" t="str">
        <f>IFERROR(VLOOKUP(B232,'Employees List'!$A$2:$K$991,11,0),"")</f>
        <v/>
      </c>
      <c r="M232" s="74" t="str">
        <f>IFERROR(VLOOKUP(D232,'Daily Attendance 25-26'!$A$4:BP999,5,0),"")</f>
        <v/>
      </c>
      <c r="N232" s="10" t="str">
        <f>IFERROR(VLOOKUP(E232,'Daily Attendance 25-26'!$A$1:$BO$1741,5,0),"")</f>
        <v/>
      </c>
      <c r="O232" s="10"/>
      <c r="P232" s="10"/>
      <c r="Q232" s="10" t="str">
        <f t="shared" si="5"/>
        <v>#DIV/0!</v>
      </c>
      <c r="R232" s="10" t="str">
        <f t="shared" si="6"/>
        <v>#DIV/0!</v>
      </c>
      <c r="S232" s="10" t="str">
        <f t="shared" si="23"/>
        <v>#DIV/0!</v>
      </c>
      <c r="T232" s="10" t="str">
        <f t="shared" si="22"/>
        <v>#DIV/0!</v>
      </c>
      <c r="U232" s="10" t="str">
        <f t="shared" si="8"/>
        <v>#DIV/0!</v>
      </c>
      <c r="V232" s="10"/>
      <c r="W232" s="10"/>
      <c r="X232" s="10"/>
      <c r="Y232" s="10"/>
      <c r="Z232" s="10"/>
      <c r="AA232" s="10"/>
      <c r="AB232" s="10"/>
      <c r="AC232" s="10"/>
      <c r="AD232" s="10"/>
      <c r="AE232" s="10"/>
      <c r="AF232" s="10"/>
    </row>
    <row r="233" hidden="1">
      <c r="A233" s="9" t="s">
        <v>450</v>
      </c>
      <c r="B233" s="84"/>
      <c r="C233" s="9"/>
      <c r="D233" s="9" t="str">
        <f t="shared" si="1"/>
        <v/>
      </c>
      <c r="E233" s="10" t="str">
        <f t="shared" si="2"/>
        <v>OT Hours</v>
      </c>
      <c r="F233" s="10" t="str">
        <f>IFERROR(VLOOKUP(C233,'Employees List'!$B$1:$I$999,4,0),"")</f>
        <v/>
      </c>
      <c r="G233" s="10" t="str">
        <f t="shared" si="21"/>
        <v>#DIV/0!</v>
      </c>
      <c r="H233" s="72" t="str">
        <f>IFERROR(VLOOKUP(C233,'Employees List'!$B$2:$I$991,7,0),"")</f>
        <v/>
      </c>
      <c r="I233" s="73" t="str">
        <f>IFERROR(VLOOKUP(F233,'Employees List'!$E$1:$AE$991,6,0),"")</f>
        <v/>
      </c>
      <c r="J233" s="71">
        <f t="shared" si="3"/>
        <v>0</v>
      </c>
      <c r="K233" s="71">
        <f t="shared" si="4"/>
        <v>0</v>
      </c>
      <c r="L233" s="10" t="str">
        <f>IFERROR(VLOOKUP(B233,'Employees List'!$A$2:$K$991,11,0),"")</f>
        <v/>
      </c>
      <c r="M233" s="74" t="str">
        <f>IFERROR(VLOOKUP(D233,'Daily Attendance 25-26'!$A$4:BP999,5,0),"")</f>
        <v/>
      </c>
      <c r="N233" s="10" t="str">
        <f>IFERROR(VLOOKUP(E233,'Daily Attendance 25-26'!$A$1:$BO$1741,5,0),"")</f>
        <v/>
      </c>
      <c r="O233" s="10"/>
      <c r="P233" s="10"/>
      <c r="Q233" s="10" t="str">
        <f t="shared" si="5"/>
        <v>#DIV/0!</v>
      </c>
      <c r="R233" s="10" t="str">
        <f t="shared" si="6"/>
        <v>#DIV/0!</v>
      </c>
      <c r="S233" s="10" t="str">
        <f t="shared" si="23"/>
        <v>#DIV/0!</v>
      </c>
      <c r="T233" s="10" t="str">
        <f t="shared" si="22"/>
        <v>#DIV/0!</v>
      </c>
      <c r="U233" s="10" t="str">
        <f t="shared" si="8"/>
        <v>#DIV/0!</v>
      </c>
      <c r="V233" s="10"/>
      <c r="W233" s="10"/>
      <c r="X233" s="10"/>
      <c r="Y233" s="10"/>
      <c r="Z233" s="10"/>
      <c r="AA233" s="10"/>
      <c r="AB233" s="10"/>
      <c r="AC233" s="10"/>
      <c r="AD233" s="10"/>
      <c r="AE233" s="10"/>
      <c r="AF233" s="10"/>
    </row>
    <row r="234" hidden="1">
      <c r="A234" s="9" t="s">
        <v>451</v>
      </c>
      <c r="B234" s="84"/>
      <c r="C234" s="9"/>
      <c r="D234" s="9" t="str">
        <f t="shared" si="1"/>
        <v/>
      </c>
      <c r="E234" s="10" t="str">
        <f t="shared" si="2"/>
        <v>OT Hours</v>
      </c>
      <c r="F234" s="10" t="str">
        <f>IFERROR(VLOOKUP(C234,'Employees List'!$B$1:$I$999,4,0),"")</f>
        <v/>
      </c>
      <c r="G234" s="10" t="str">
        <f t="shared" si="21"/>
        <v>#DIV/0!</v>
      </c>
      <c r="H234" s="72" t="str">
        <f>IFERROR(VLOOKUP(C234,'Employees List'!$B$2:$I$991,7,0),"")</f>
        <v/>
      </c>
      <c r="I234" s="73" t="str">
        <f>IFERROR(VLOOKUP(F234,'Employees List'!$E$1:$AE$991,6,0),"")</f>
        <v/>
      </c>
      <c r="J234" s="71">
        <f t="shared" si="3"/>
        <v>0</v>
      </c>
      <c r="K234" s="71">
        <f t="shared" si="4"/>
        <v>0</v>
      </c>
      <c r="L234" s="10" t="str">
        <f>IFERROR(VLOOKUP(B234,'Employees List'!$A$2:$K$991,11,0),"")</f>
        <v/>
      </c>
      <c r="M234" s="74" t="str">
        <f>IFERROR(VLOOKUP(D234,'Daily Attendance 25-26'!$A$4:BP999,5,0),"")</f>
        <v/>
      </c>
      <c r="N234" s="10" t="str">
        <f>IFERROR(VLOOKUP(E234,'Daily Attendance 25-26'!$A$1:$BO$1741,5,0),"")</f>
        <v/>
      </c>
      <c r="O234" s="10"/>
      <c r="P234" s="10"/>
      <c r="Q234" s="10" t="str">
        <f t="shared" si="5"/>
        <v>#DIV/0!</v>
      </c>
      <c r="R234" s="10" t="str">
        <f t="shared" si="6"/>
        <v>#DIV/0!</v>
      </c>
      <c r="S234" s="10" t="str">
        <f t="shared" si="23"/>
        <v>#DIV/0!</v>
      </c>
      <c r="T234" s="10" t="str">
        <f t="shared" si="22"/>
        <v>#DIV/0!</v>
      </c>
      <c r="U234" s="10" t="str">
        <f t="shared" si="8"/>
        <v>#DIV/0!</v>
      </c>
      <c r="V234" s="10"/>
      <c r="W234" s="10"/>
      <c r="X234" s="10"/>
      <c r="Y234" s="10"/>
      <c r="Z234" s="10"/>
      <c r="AA234" s="10"/>
      <c r="AB234" s="10"/>
      <c r="AC234" s="10"/>
      <c r="AD234" s="10"/>
      <c r="AE234" s="10"/>
      <c r="AF234" s="10"/>
    </row>
    <row r="235" hidden="1">
      <c r="A235" s="9" t="s">
        <v>452</v>
      </c>
      <c r="B235" s="84"/>
      <c r="C235" s="9"/>
      <c r="D235" s="9" t="str">
        <f t="shared" si="1"/>
        <v/>
      </c>
      <c r="E235" s="10" t="str">
        <f t="shared" si="2"/>
        <v>OT Hours</v>
      </c>
      <c r="F235" s="10" t="str">
        <f>IFERROR(VLOOKUP(C235,'Employees List'!$B$1:$I$999,4,0),"")</f>
        <v/>
      </c>
      <c r="G235" s="10" t="str">
        <f t="shared" si="21"/>
        <v>#DIV/0!</v>
      </c>
      <c r="H235" s="72" t="str">
        <f>IFERROR(VLOOKUP(C235,'Employees List'!$B$2:$I$991,7,0),"")</f>
        <v/>
      </c>
      <c r="I235" s="73" t="str">
        <f>IFERROR(VLOOKUP(F235,'Employees List'!$E$1:$AE$991,6,0),"")</f>
        <v/>
      </c>
      <c r="J235" s="71">
        <f t="shared" si="3"/>
        <v>0</v>
      </c>
      <c r="K235" s="71">
        <f t="shared" si="4"/>
        <v>0</v>
      </c>
      <c r="L235" s="10" t="str">
        <f>IFERROR(VLOOKUP(B235,'Employees List'!$A$2:$K$991,11,0),"")</f>
        <v/>
      </c>
      <c r="M235" s="74" t="str">
        <f>IFERROR(VLOOKUP(D235,'Daily Attendance 25-26'!$A$4:BP999,5,0),"")</f>
        <v/>
      </c>
      <c r="N235" s="10" t="str">
        <f>IFERROR(VLOOKUP(E235,'Daily Attendance 25-26'!$A$1:$BO$1741,5,0),"")</f>
        <v/>
      </c>
      <c r="O235" s="10"/>
      <c r="P235" s="10"/>
      <c r="Q235" s="10" t="str">
        <f t="shared" si="5"/>
        <v>#DIV/0!</v>
      </c>
      <c r="R235" s="10" t="str">
        <f t="shared" si="6"/>
        <v>#DIV/0!</v>
      </c>
      <c r="S235" s="10" t="str">
        <f t="shared" si="23"/>
        <v>#DIV/0!</v>
      </c>
      <c r="T235" s="10" t="str">
        <f t="shared" si="22"/>
        <v>#DIV/0!</v>
      </c>
      <c r="U235" s="10" t="str">
        <f t="shared" si="8"/>
        <v>#DIV/0!</v>
      </c>
      <c r="V235" s="10"/>
      <c r="W235" s="10"/>
      <c r="X235" s="10"/>
      <c r="Y235" s="10"/>
      <c r="Z235" s="10"/>
      <c r="AA235" s="10"/>
      <c r="AB235" s="10"/>
      <c r="AC235" s="10"/>
      <c r="AD235" s="10"/>
      <c r="AE235" s="10"/>
      <c r="AF235" s="10"/>
    </row>
    <row r="236" hidden="1">
      <c r="A236" s="9" t="s">
        <v>453</v>
      </c>
      <c r="B236" s="84"/>
      <c r="C236" s="9"/>
      <c r="D236" s="9" t="str">
        <f t="shared" si="1"/>
        <v/>
      </c>
      <c r="E236" s="10" t="str">
        <f t="shared" si="2"/>
        <v>OT Hours</v>
      </c>
      <c r="F236" s="10" t="str">
        <f>IFERROR(VLOOKUP(C236,'Employees List'!$B$1:$I$999,4,0),"")</f>
        <v/>
      </c>
      <c r="G236" s="10" t="str">
        <f t="shared" si="21"/>
        <v>#DIV/0!</v>
      </c>
      <c r="H236" s="72" t="str">
        <f>IFERROR(VLOOKUP(C236,'Employees List'!$B$2:$I$991,7,0),"")</f>
        <v/>
      </c>
      <c r="I236" s="73" t="str">
        <f>IFERROR(VLOOKUP(F236,'Employees List'!$E$1:$AE$991,6,0),"")</f>
        <v/>
      </c>
      <c r="J236" s="71">
        <f t="shared" si="3"/>
        <v>0</v>
      </c>
      <c r="K236" s="71">
        <f t="shared" si="4"/>
        <v>0</v>
      </c>
      <c r="L236" s="10" t="str">
        <f>IFERROR(VLOOKUP(B236,'Employees List'!$A$2:$K$991,11,0),"")</f>
        <v/>
      </c>
      <c r="M236" s="74" t="str">
        <f>IFERROR(VLOOKUP(D236,'Daily Attendance 25-26'!$A$4:BP999,5,0),"")</f>
        <v/>
      </c>
      <c r="N236" s="10" t="str">
        <f>IFERROR(VLOOKUP(E236,'Daily Attendance 25-26'!$A$1:$BO$1741,5,0),"")</f>
        <v/>
      </c>
      <c r="O236" s="10"/>
      <c r="P236" s="10"/>
      <c r="Q236" s="10" t="str">
        <f t="shared" si="5"/>
        <v>#DIV/0!</v>
      </c>
      <c r="R236" s="10" t="str">
        <f t="shared" si="6"/>
        <v>#DIV/0!</v>
      </c>
      <c r="S236" s="10" t="str">
        <f t="shared" si="23"/>
        <v>#DIV/0!</v>
      </c>
      <c r="T236" s="10" t="str">
        <f t="shared" si="22"/>
        <v>#DIV/0!</v>
      </c>
      <c r="U236" s="10" t="str">
        <f t="shared" si="8"/>
        <v>#DIV/0!</v>
      </c>
      <c r="V236" s="10"/>
      <c r="W236" s="10"/>
      <c r="X236" s="10"/>
      <c r="Y236" s="10"/>
      <c r="Z236" s="10"/>
      <c r="AA236" s="10"/>
      <c r="AB236" s="10"/>
      <c r="AC236" s="10"/>
      <c r="AD236" s="10"/>
      <c r="AE236" s="10"/>
      <c r="AF236" s="10"/>
    </row>
    <row r="237" hidden="1">
      <c r="A237" s="9" t="s">
        <v>454</v>
      </c>
      <c r="B237" s="84"/>
      <c r="C237" s="9"/>
      <c r="D237" s="9" t="str">
        <f t="shared" si="1"/>
        <v/>
      </c>
      <c r="E237" s="10" t="str">
        <f t="shared" si="2"/>
        <v>OT Hours</v>
      </c>
      <c r="F237" s="10" t="str">
        <f>IFERROR(VLOOKUP(C237,'Employees List'!$B$1:$I$999,4,0),"")</f>
        <v/>
      </c>
      <c r="G237" s="10" t="str">
        <f t="shared" si="21"/>
        <v>#DIV/0!</v>
      </c>
      <c r="H237" s="72" t="str">
        <f>IFERROR(VLOOKUP(C237,'Employees List'!$B$2:$I$991,7,0),"")</f>
        <v/>
      </c>
      <c r="I237" s="73" t="str">
        <f>IFERROR(VLOOKUP(F237,'Employees List'!$E$1:$AE$991,6,0),"")</f>
        <v/>
      </c>
      <c r="J237" s="71">
        <f t="shared" si="3"/>
        <v>0</v>
      </c>
      <c r="K237" s="71">
        <f t="shared" si="4"/>
        <v>0</v>
      </c>
      <c r="L237" s="10" t="str">
        <f>IFERROR(VLOOKUP(B237,'Employees List'!$A$2:$K$991,11,0),"")</f>
        <v/>
      </c>
      <c r="M237" s="74" t="str">
        <f>IFERROR(VLOOKUP(D237,'Daily Attendance 25-26'!$A$4:BP999,5,0),"")</f>
        <v/>
      </c>
      <c r="N237" s="10" t="str">
        <f>IFERROR(VLOOKUP(E237,'Daily Attendance 25-26'!$A$1:$BO$1741,5,0),"")</f>
        <v/>
      </c>
      <c r="O237" s="10"/>
      <c r="P237" s="10"/>
      <c r="Q237" s="10" t="str">
        <f t="shared" si="5"/>
        <v>#DIV/0!</v>
      </c>
      <c r="R237" s="10" t="str">
        <f t="shared" si="6"/>
        <v>#DIV/0!</v>
      </c>
      <c r="S237" s="10" t="str">
        <f t="shared" si="23"/>
        <v>#DIV/0!</v>
      </c>
      <c r="T237" s="10" t="str">
        <f t="shared" si="22"/>
        <v>#DIV/0!</v>
      </c>
      <c r="U237" s="10" t="str">
        <f t="shared" si="8"/>
        <v>#DIV/0!</v>
      </c>
      <c r="V237" s="10"/>
      <c r="W237" s="10"/>
      <c r="X237" s="10"/>
      <c r="Y237" s="10"/>
      <c r="Z237" s="10"/>
      <c r="AA237" s="10"/>
      <c r="AB237" s="10"/>
      <c r="AC237" s="10"/>
      <c r="AD237" s="10"/>
      <c r="AE237" s="10"/>
      <c r="AF237" s="10"/>
    </row>
    <row r="238" hidden="1">
      <c r="A238" s="9" t="s">
        <v>455</v>
      </c>
      <c r="B238" s="84"/>
      <c r="C238" s="9"/>
      <c r="D238" s="9" t="str">
        <f t="shared" si="1"/>
        <v/>
      </c>
      <c r="E238" s="10" t="str">
        <f t="shared" si="2"/>
        <v>OT Hours</v>
      </c>
      <c r="F238" s="10" t="str">
        <f>IFERROR(VLOOKUP(C238,'Employees List'!$B$1:$I$999,4,0),"")</f>
        <v/>
      </c>
      <c r="G238" s="10" t="str">
        <f t="shared" si="21"/>
        <v>#DIV/0!</v>
      </c>
      <c r="H238" s="72" t="str">
        <f>IFERROR(VLOOKUP(C238,'Employees List'!$B$2:$I$991,7,0),"")</f>
        <v/>
      </c>
      <c r="I238" s="73" t="str">
        <f>IFERROR(VLOOKUP(F238,'Employees List'!$E$1:$AE$991,6,0),"")</f>
        <v/>
      </c>
      <c r="J238" s="71">
        <f t="shared" si="3"/>
        <v>0</v>
      </c>
      <c r="K238" s="71">
        <f t="shared" si="4"/>
        <v>0</v>
      </c>
      <c r="L238" s="10" t="str">
        <f>IFERROR(VLOOKUP(B238,'Employees List'!$A$2:$K$991,11,0),"")</f>
        <v/>
      </c>
      <c r="M238" s="74" t="str">
        <f>IFERROR(VLOOKUP(D238,'Daily Attendance 25-26'!$A$4:BP999,5,0),"")</f>
        <v/>
      </c>
      <c r="N238" s="10" t="str">
        <f>IFERROR(VLOOKUP(E238,'Daily Attendance 25-26'!$A$1:$BO$1741,5,0),"")</f>
        <v/>
      </c>
      <c r="O238" s="10"/>
      <c r="P238" s="10"/>
      <c r="Q238" s="10" t="str">
        <f t="shared" si="5"/>
        <v>#DIV/0!</v>
      </c>
      <c r="R238" s="10" t="str">
        <f t="shared" si="6"/>
        <v>#DIV/0!</v>
      </c>
      <c r="S238" s="10" t="str">
        <f t="shared" si="23"/>
        <v>#DIV/0!</v>
      </c>
      <c r="T238" s="10" t="str">
        <f t="shared" si="22"/>
        <v>#DIV/0!</v>
      </c>
      <c r="U238" s="10" t="str">
        <f t="shared" si="8"/>
        <v>#DIV/0!</v>
      </c>
      <c r="V238" s="10"/>
      <c r="W238" s="10"/>
      <c r="X238" s="10"/>
      <c r="Y238" s="10"/>
      <c r="Z238" s="10"/>
      <c r="AA238" s="10"/>
      <c r="AB238" s="10"/>
      <c r="AC238" s="10"/>
      <c r="AD238" s="10"/>
      <c r="AE238" s="10"/>
      <c r="AF238" s="10"/>
    </row>
    <row r="239" hidden="1">
      <c r="A239" s="9" t="s">
        <v>456</v>
      </c>
      <c r="B239" s="84"/>
      <c r="C239" s="9"/>
      <c r="D239" s="9" t="str">
        <f t="shared" si="1"/>
        <v/>
      </c>
      <c r="E239" s="10" t="str">
        <f t="shared" si="2"/>
        <v>OT Hours</v>
      </c>
      <c r="F239" s="10" t="str">
        <f>IFERROR(VLOOKUP(C239,'Employees List'!$B$1:$I$999,4,0),"")</f>
        <v/>
      </c>
      <c r="G239" s="10" t="str">
        <f t="shared" si="21"/>
        <v>#DIV/0!</v>
      </c>
      <c r="H239" s="72" t="str">
        <f>IFERROR(VLOOKUP(C239,'Employees List'!$B$2:$I$991,7,0),"")</f>
        <v/>
      </c>
      <c r="I239" s="73" t="str">
        <f>IFERROR(VLOOKUP(F239,'Employees List'!$E$1:$AE$991,6,0),"")</f>
        <v/>
      </c>
      <c r="J239" s="71">
        <f t="shared" si="3"/>
        <v>0</v>
      </c>
      <c r="K239" s="71">
        <f t="shared" si="4"/>
        <v>0</v>
      </c>
      <c r="L239" s="10" t="str">
        <f>IFERROR(VLOOKUP(B239,'Employees List'!$A$2:$K$991,11,0),"")</f>
        <v/>
      </c>
      <c r="M239" s="74" t="str">
        <f>IFERROR(VLOOKUP(D239,'Daily Attendance 25-26'!$A$4:BP999,5,0),"")</f>
        <v/>
      </c>
      <c r="N239" s="10" t="str">
        <f>IFERROR(VLOOKUP(E239,'Daily Attendance 25-26'!$A$1:$BO$1741,5,0),"")</f>
        <v/>
      </c>
      <c r="O239" s="10"/>
      <c r="P239" s="10"/>
      <c r="Q239" s="10" t="str">
        <f t="shared" si="5"/>
        <v>#DIV/0!</v>
      </c>
      <c r="R239" s="10" t="str">
        <f t="shared" si="6"/>
        <v>#DIV/0!</v>
      </c>
      <c r="S239" s="10" t="str">
        <f t="shared" si="23"/>
        <v>#DIV/0!</v>
      </c>
      <c r="T239" s="10" t="str">
        <f t="shared" si="22"/>
        <v>#DIV/0!</v>
      </c>
      <c r="U239" s="10" t="str">
        <f t="shared" si="8"/>
        <v>#DIV/0!</v>
      </c>
      <c r="V239" s="10"/>
      <c r="W239" s="10"/>
      <c r="X239" s="10"/>
      <c r="Y239" s="10"/>
      <c r="Z239" s="10"/>
      <c r="AA239" s="10"/>
      <c r="AB239" s="10"/>
      <c r="AC239" s="10"/>
      <c r="AD239" s="10"/>
      <c r="AE239" s="10"/>
      <c r="AF239" s="10"/>
    </row>
    <row r="240" hidden="1">
      <c r="A240" s="9" t="s">
        <v>457</v>
      </c>
      <c r="B240" s="84"/>
      <c r="C240" s="9"/>
      <c r="D240" s="9" t="str">
        <f t="shared" si="1"/>
        <v/>
      </c>
      <c r="E240" s="10" t="str">
        <f t="shared" si="2"/>
        <v>OT Hours</v>
      </c>
      <c r="F240" s="10" t="str">
        <f>IFERROR(VLOOKUP(C240,'Employees List'!$B$1:$I$999,4,0),"")</f>
        <v/>
      </c>
      <c r="G240" s="10" t="str">
        <f t="shared" si="21"/>
        <v>#DIV/0!</v>
      </c>
      <c r="H240" s="72" t="str">
        <f>IFERROR(VLOOKUP(C240,'Employees List'!$B$2:$I$991,7,0),"")</f>
        <v/>
      </c>
      <c r="I240" s="73" t="str">
        <f>IFERROR(VLOOKUP(F240,'Employees List'!$E$1:$AE$991,6,0),"")</f>
        <v/>
      </c>
      <c r="J240" s="71">
        <f t="shared" si="3"/>
        <v>0</v>
      </c>
      <c r="K240" s="71">
        <f t="shared" si="4"/>
        <v>0</v>
      </c>
      <c r="L240" s="10" t="str">
        <f>IFERROR(VLOOKUP(B240,'Employees List'!$A$2:$K$991,11,0),"")</f>
        <v/>
      </c>
      <c r="M240" s="74" t="str">
        <f>IFERROR(VLOOKUP(D240,'Daily Attendance 25-26'!$A$4:BP999,5,0),"")</f>
        <v/>
      </c>
      <c r="N240" s="10" t="str">
        <f>IFERROR(VLOOKUP(E240,'Daily Attendance 25-26'!$A$1:$BO$1741,5,0),"")</f>
        <v/>
      </c>
      <c r="O240" s="10"/>
      <c r="P240" s="10"/>
      <c r="Q240" s="10" t="str">
        <f t="shared" si="5"/>
        <v>#DIV/0!</v>
      </c>
      <c r="R240" s="10" t="str">
        <f t="shared" si="6"/>
        <v>#DIV/0!</v>
      </c>
      <c r="S240" s="10" t="str">
        <f t="shared" si="23"/>
        <v>#DIV/0!</v>
      </c>
      <c r="T240" s="10" t="str">
        <f t="shared" si="22"/>
        <v>#DIV/0!</v>
      </c>
      <c r="U240" s="10" t="str">
        <f t="shared" si="8"/>
        <v>#DIV/0!</v>
      </c>
      <c r="V240" s="10"/>
      <c r="W240" s="10"/>
      <c r="X240" s="10"/>
      <c r="Y240" s="10"/>
      <c r="Z240" s="10"/>
      <c r="AA240" s="10"/>
      <c r="AB240" s="10"/>
      <c r="AC240" s="10"/>
      <c r="AD240" s="10"/>
      <c r="AE240" s="10"/>
      <c r="AF240" s="10"/>
    </row>
    <row r="241" hidden="1">
      <c r="A241" s="9" t="s">
        <v>458</v>
      </c>
      <c r="B241" s="84"/>
      <c r="C241" s="9"/>
      <c r="D241" s="9" t="str">
        <f t="shared" si="1"/>
        <v/>
      </c>
      <c r="E241" s="10" t="str">
        <f t="shared" si="2"/>
        <v>OT Hours</v>
      </c>
      <c r="F241" s="10" t="str">
        <f>IFERROR(VLOOKUP(C241,'Employees List'!$B$1:$I$999,4,0),"")</f>
        <v/>
      </c>
      <c r="G241" s="10" t="str">
        <f t="shared" si="21"/>
        <v>#DIV/0!</v>
      </c>
      <c r="H241" s="72" t="str">
        <f>IFERROR(VLOOKUP(C241,'Employees List'!$B$2:$I$991,7,0),"")</f>
        <v/>
      </c>
      <c r="I241" s="73" t="str">
        <f>IFERROR(VLOOKUP(F241,'Employees List'!$E$1:$AE$991,6,0),"")</f>
        <v/>
      </c>
      <c r="J241" s="71">
        <f t="shared" si="3"/>
        <v>0</v>
      </c>
      <c r="K241" s="71">
        <f t="shared" si="4"/>
        <v>0</v>
      </c>
      <c r="L241" s="10" t="str">
        <f>IFERROR(VLOOKUP(B241,'Employees List'!$A$2:$K$991,11,0),"")</f>
        <v/>
      </c>
      <c r="M241" s="74" t="str">
        <f>IFERROR(VLOOKUP(D241,'Daily Attendance 25-26'!$A$4:BP999,5,0),"")</f>
        <v/>
      </c>
      <c r="N241" s="10" t="str">
        <f>IFERROR(VLOOKUP(E241,'Daily Attendance 25-26'!$A$1:$BO$1741,5,0),"")</f>
        <v/>
      </c>
      <c r="O241" s="10"/>
      <c r="P241" s="10"/>
      <c r="Q241" s="10" t="str">
        <f t="shared" si="5"/>
        <v>#DIV/0!</v>
      </c>
      <c r="R241" s="10" t="str">
        <f t="shared" si="6"/>
        <v>#DIV/0!</v>
      </c>
      <c r="S241" s="10" t="str">
        <f t="shared" si="23"/>
        <v>#DIV/0!</v>
      </c>
      <c r="T241" s="10" t="str">
        <f t="shared" si="22"/>
        <v>#DIV/0!</v>
      </c>
      <c r="U241" s="10" t="str">
        <f t="shared" si="8"/>
        <v>#DIV/0!</v>
      </c>
      <c r="V241" s="10"/>
      <c r="W241" s="10"/>
      <c r="X241" s="10"/>
      <c r="Y241" s="10"/>
      <c r="Z241" s="10"/>
      <c r="AA241" s="10"/>
      <c r="AB241" s="10"/>
      <c r="AC241" s="10"/>
      <c r="AD241" s="10"/>
      <c r="AE241" s="10"/>
      <c r="AF241" s="10"/>
    </row>
    <row r="242" hidden="1">
      <c r="A242" s="9" t="s">
        <v>459</v>
      </c>
      <c r="B242" s="84"/>
      <c r="C242" s="9"/>
      <c r="D242" s="9" t="str">
        <f t="shared" si="1"/>
        <v/>
      </c>
      <c r="E242" s="10" t="str">
        <f t="shared" si="2"/>
        <v>OT Hours</v>
      </c>
      <c r="F242" s="10" t="str">
        <f>IFERROR(VLOOKUP(C242,'Employees List'!$B$1:$I$999,4,0),"")</f>
        <v/>
      </c>
      <c r="G242" s="10" t="str">
        <f t="shared" si="21"/>
        <v>#DIV/0!</v>
      </c>
      <c r="H242" s="72" t="str">
        <f>IFERROR(VLOOKUP(C242,'Employees List'!$B$2:$I$991,7,0),"")</f>
        <v/>
      </c>
      <c r="I242" s="73" t="str">
        <f>IFERROR(VLOOKUP(F242,'Employees List'!$E$1:$AE$991,6,0),"")</f>
        <v/>
      </c>
      <c r="J242" s="71">
        <f t="shared" si="3"/>
        <v>0</v>
      </c>
      <c r="K242" s="71">
        <f t="shared" si="4"/>
        <v>0</v>
      </c>
      <c r="L242" s="10" t="str">
        <f>IFERROR(VLOOKUP(B242,'Employees List'!$A$2:$K$991,11,0),"")</f>
        <v/>
      </c>
      <c r="M242" s="74" t="str">
        <f>IFERROR(VLOOKUP(D242,'Daily Attendance 25-26'!$A$4:BP999,5,0),"")</f>
        <v/>
      </c>
      <c r="N242" s="10" t="str">
        <f>IFERROR(VLOOKUP(E242,'Daily Attendance 25-26'!$A$1:$BO$1741,5,0),"")</f>
        <v/>
      </c>
      <c r="O242" s="10"/>
      <c r="P242" s="10"/>
      <c r="Q242" s="10" t="str">
        <f t="shared" si="5"/>
        <v>#DIV/0!</v>
      </c>
      <c r="R242" s="10" t="str">
        <f t="shared" si="6"/>
        <v>#DIV/0!</v>
      </c>
      <c r="S242" s="10" t="str">
        <f t="shared" si="23"/>
        <v>#DIV/0!</v>
      </c>
      <c r="T242" s="10" t="str">
        <f t="shared" si="22"/>
        <v>#DIV/0!</v>
      </c>
      <c r="U242" s="10" t="str">
        <f t="shared" si="8"/>
        <v>#DIV/0!</v>
      </c>
      <c r="V242" s="10"/>
      <c r="W242" s="10"/>
      <c r="X242" s="10"/>
      <c r="Y242" s="10"/>
      <c r="Z242" s="10"/>
      <c r="AA242" s="10"/>
      <c r="AB242" s="10"/>
      <c r="AC242" s="10"/>
      <c r="AD242" s="10"/>
      <c r="AE242" s="10"/>
      <c r="AF242" s="10"/>
    </row>
    <row r="243" hidden="1">
      <c r="A243" s="9" t="s">
        <v>460</v>
      </c>
      <c r="B243" s="84"/>
      <c r="C243" s="9"/>
      <c r="D243" s="9" t="str">
        <f t="shared" si="1"/>
        <v/>
      </c>
      <c r="E243" s="10" t="str">
        <f t="shared" si="2"/>
        <v>OT Hours</v>
      </c>
      <c r="F243" s="10" t="str">
        <f>IFERROR(VLOOKUP(C243,'Employees List'!$B$1:$I$999,4,0),"")</f>
        <v/>
      </c>
      <c r="G243" s="10" t="str">
        <f t="shared" si="21"/>
        <v>#DIV/0!</v>
      </c>
      <c r="H243" s="72" t="str">
        <f>IFERROR(VLOOKUP(C243,'Employees List'!$B$2:$I$991,7,0),"")</f>
        <v/>
      </c>
      <c r="I243" s="73" t="str">
        <f>IFERROR(VLOOKUP(F243,'Employees List'!$E$1:$AE$991,6,0),"")</f>
        <v/>
      </c>
      <c r="J243" s="71">
        <f t="shared" si="3"/>
        <v>0</v>
      </c>
      <c r="K243" s="71">
        <f t="shared" si="4"/>
        <v>0</v>
      </c>
      <c r="L243" s="10" t="str">
        <f>IFERROR(VLOOKUP(B243,'Employees List'!$A$2:$K$991,11,0),"")</f>
        <v/>
      </c>
      <c r="M243" s="74" t="str">
        <f>IFERROR(VLOOKUP(D243,'Daily Attendance 25-26'!$A$4:BP999,5,0),"")</f>
        <v/>
      </c>
      <c r="N243" s="10" t="str">
        <f>IFERROR(VLOOKUP(E243,'Daily Attendance 25-26'!$A$1:$BO$1741,5,0),"")</f>
        <v/>
      </c>
      <c r="O243" s="10"/>
      <c r="P243" s="10"/>
      <c r="Q243" s="10" t="str">
        <f t="shared" si="5"/>
        <v>#DIV/0!</v>
      </c>
      <c r="R243" s="10" t="str">
        <f t="shared" si="6"/>
        <v>#DIV/0!</v>
      </c>
      <c r="S243" s="10" t="str">
        <f t="shared" si="23"/>
        <v>#DIV/0!</v>
      </c>
      <c r="T243" s="10" t="str">
        <f t="shared" si="22"/>
        <v>#DIV/0!</v>
      </c>
      <c r="U243" s="10" t="str">
        <f t="shared" si="8"/>
        <v>#DIV/0!</v>
      </c>
      <c r="V243" s="10"/>
      <c r="W243" s="10"/>
      <c r="X243" s="10"/>
      <c r="Y243" s="10"/>
      <c r="Z243" s="10"/>
      <c r="AA243" s="10"/>
      <c r="AB243" s="10"/>
      <c r="AC243" s="10"/>
      <c r="AD243" s="10"/>
      <c r="AE243" s="10"/>
      <c r="AF243" s="10"/>
    </row>
    <row r="244" hidden="1">
      <c r="A244" s="9" t="s">
        <v>461</v>
      </c>
      <c r="B244" s="84"/>
      <c r="C244" s="9"/>
      <c r="D244" s="9" t="str">
        <f t="shared" si="1"/>
        <v/>
      </c>
      <c r="E244" s="10" t="str">
        <f t="shared" si="2"/>
        <v>OT Hours</v>
      </c>
      <c r="F244" s="10" t="str">
        <f>IFERROR(VLOOKUP(C244,'Employees List'!$B$1:$I$999,4,0),"")</f>
        <v/>
      </c>
      <c r="G244" s="10" t="str">
        <f t="shared" si="21"/>
        <v>#DIV/0!</v>
      </c>
      <c r="H244" s="72" t="str">
        <f>IFERROR(VLOOKUP(C244,'Employees List'!$B$2:$I$991,7,0),"")</f>
        <v/>
      </c>
      <c r="I244" s="73" t="str">
        <f>IFERROR(VLOOKUP(F244,'Employees List'!$E$1:$AE$991,6,0),"")</f>
        <v/>
      </c>
      <c r="J244" s="71">
        <f t="shared" si="3"/>
        <v>0</v>
      </c>
      <c r="K244" s="71">
        <f t="shared" si="4"/>
        <v>0</v>
      </c>
      <c r="L244" s="10" t="str">
        <f>IFERROR(VLOOKUP(B244,'Employees List'!$A$2:$K$991,11,0),"")</f>
        <v/>
      </c>
      <c r="M244" s="74" t="str">
        <f>IFERROR(VLOOKUP(D244,'Daily Attendance 25-26'!$A$4:BP999,5,0),"")</f>
        <v/>
      </c>
      <c r="N244" s="10" t="str">
        <f>IFERROR(VLOOKUP(E244,'Daily Attendance 25-26'!$A$1:$BO$1741,5,0),"")</f>
        <v/>
      </c>
      <c r="O244" s="10"/>
      <c r="P244" s="10"/>
      <c r="Q244" s="10" t="str">
        <f t="shared" si="5"/>
        <v>#DIV/0!</v>
      </c>
      <c r="R244" s="10" t="str">
        <f t="shared" si="6"/>
        <v>#DIV/0!</v>
      </c>
      <c r="S244" s="10" t="str">
        <f t="shared" si="23"/>
        <v>#DIV/0!</v>
      </c>
      <c r="T244" s="10" t="str">
        <f t="shared" si="22"/>
        <v>#DIV/0!</v>
      </c>
      <c r="U244" s="10" t="str">
        <f t="shared" si="8"/>
        <v>#DIV/0!</v>
      </c>
      <c r="V244" s="10"/>
      <c r="W244" s="10"/>
      <c r="X244" s="10"/>
      <c r="Y244" s="10"/>
      <c r="Z244" s="10"/>
      <c r="AA244" s="10"/>
      <c r="AB244" s="10"/>
      <c r="AC244" s="10"/>
      <c r="AD244" s="10"/>
      <c r="AE244" s="10"/>
      <c r="AF244" s="10"/>
    </row>
    <row r="245" hidden="1">
      <c r="A245" s="9" t="s">
        <v>462</v>
      </c>
      <c r="B245" s="84"/>
      <c r="C245" s="9"/>
      <c r="D245" s="9" t="str">
        <f t="shared" si="1"/>
        <v/>
      </c>
      <c r="E245" s="10" t="str">
        <f t="shared" si="2"/>
        <v>OT Hours</v>
      </c>
      <c r="F245" s="10" t="str">
        <f>IFERROR(VLOOKUP(C245,'Employees List'!$B$1:$I$999,4,0),"")</f>
        <v/>
      </c>
      <c r="G245" s="10" t="str">
        <f t="shared" si="21"/>
        <v>#DIV/0!</v>
      </c>
      <c r="H245" s="72" t="str">
        <f>IFERROR(VLOOKUP(C245,'Employees List'!$B$2:$I$991,7,0),"")</f>
        <v/>
      </c>
      <c r="I245" s="73" t="str">
        <f>IFERROR(VLOOKUP(F245,'Employees List'!$E$1:$AE$991,6,0),"")</f>
        <v/>
      </c>
      <c r="J245" s="71">
        <f t="shared" si="3"/>
        <v>0</v>
      </c>
      <c r="K245" s="71">
        <f t="shared" si="4"/>
        <v>0</v>
      </c>
      <c r="L245" s="10" t="str">
        <f>IFERROR(VLOOKUP(B245,'Employees List'!$A$2:$K$991,11,0),"")</f>
        <v/>
      </c>
      <c r="M245" s="74" t="str">
        <f>IFERROR(VLOOKUP(D245,'Daily Attendance 25-26'!$A$4:BP999,5,0),"")</f>
        <v/>
      </c>
      <c r="N245" s="10" t="str">
        <f>IFERROR(VLOOKUP(E245,'Daily Attendance 25-26'!$A$1:$BO$1741,5,0),"")</f>
        <v/>
      </c>
      <c r="O245" s="10"/>
      <c r="P245" s="10"/>
      <c r="Q245" s="10" t="str">
        <f t="shared" si="5"/>
        <v>#DIV/0!</v>
      </c>
      <c r="R245" s="10" t="str">
        <f t="shared" si="6"/>
        <v>#DIV/0!</v>
      </c>
      <c r="S245" s="10" t="str">
        <f t="shared" si="23"/>
        <v>#DIV/0!</v>
      </c>
      <c r="T245" s="10" t="str">
        <f t="shared" si="22"/>
        <v>#DIV/0!</v>
      </c>
      <c r="U245" s="10" t="str">
        <f t="shared" si="8"/>
        <v>#DIV/0!</v>
      </c>
      <c r="V245" s="10"/>
      <c r="W245" s="10"/>
      <c r="X245" s="10"/>
      <c r="Y245" s="10"/>
      <c r="Z245" s="10"/>
      <c r="AA245" s="10"/>
      <c r="AB245" s="10"/>
      <c r="AC245" s="10"/>
      <c r="AD245" s="10"/>
      <c r="AE245" s="10"/>
      <c r="AF245" s="10"/>
    </row>
    <row r="246" hidden="1">
      <c r="A246" s="9" t="s">
        <v>463</v>
      </c>
      <c r="B246" s="84"/>
      <c r="C246" s="9"/>
      <c r="D246" s="9" t="str">
        <f t="shared" si="1"/>
        <v/>
      </c>
      <c r="E246" s="10" t="str">
        <f t="shared" si="2"/>
        <v>OT Hours</v>
      </c>
      <c r="F246" s="10" t="str">
        <f>IFERROR(VLOOKUP(C246,'Employees List'!$B$1:$I$999,4,0),"")</f>
        <v/>
      </c>
      <c r="G246" s="10" t="str">
        <f t="shared" si="21"/>
        <v>#DIV/0!</v>
      </c>
      <c r="H246" s="72" t="str">
        <f>IFERROR(VLOOKUP(C246,'Employees List'!$B$2:$I$991,7,0),"")</f>
        <v/>
      </c>
      <c r="I246" s="73" t="str">
        <f>IFERROR(VLOOKUP(F246,'Employees List'!$E$1:$AE$991,6,0),"")</f>
        <v/>
      </c>
      <c r="J246" s="71">
        <f t="shared" si="3"/>
        <v>0</v>
      </c>
      <c r="K246" s="71">
        <f t="shared" si="4"/>
        <v>0</v>
      </c>
      <c r="L246" s="10" t="str">
        <f>IFERROR(VLOOKUP(B246,'Employees List'!$A$2:$K$991,11,0),"")</f>
        <v/>
      </c>
      <c r="M246" s="74" t="str">
        <f>IFERROR(VLOOKUP(D246,'Daily Attendance 25-26'!$A$4:BP999,5,0),"")</f>
        <v/>
      </c>
      <c r="N246" s="10" t="str">
        <f>IFERROR(VLOOKUP(E246,'Daily Attendance 25-26'!$A$1:$BO$1741,5,0),"")</f>
        <v/>
      </c>
      <c r="O246" s="10"/>
      <c r="P246" s="10"/>
      <c r="Q246" s="10" t="str">
        <f t="shared" si="5"/>
        <v>#DIV/0!</v>
      </c>
      <c r="R246" s="10" t="str">
        <f t="shared" si="6"/>
        <v>#DIV/0!</v>
      </c>
      <c r="S246" s="10" t="str">
        <f t="shared" si="23"/>
        <v>#DIV/0!</v>
      </c>
      <c r="T246" s="10" t="str">
        <f t="shared" si="22"/>
        <v>#DIV/0!</v>
      </c>
      <c r="U246" s="10" t="str">
        <f t="shared" si="8"/>
        <v>#DIV/0!</v>
      </c>
      <c r="V246" s="10"/>
      <c r="W246" s="10"/>
      <c r="X246" s="10"/>
      <c r="Y246" s="10"/>
      <c r="Z246" s="10"/>
      <c r="AA246" s="10"/>
      <c r="AB246" s="10"/>
      <c r="AC246" s="10"/>
      <c r="AD246" s="10"/>
      <c r="AE246" s="10"/>
      <c r="AF246" s="10"/>
    </row>
    <row r="247" hidden="1">
      <c r="A247" s="9" t="s">
        <v>464</v>
      </c>
      <c r="B247" s="84"/>
      <c r="C247" s="9"/>
      <c r="D247" s="9" t="str">
        <f t="shared" si="1"/>
        <v/>
      </c>
      <c r="E247" s="10" t="str">
        <f t="shared" si="2"/>
        <v>OT Hours</v>
      </c>
      <c r="F247" s="10" t="str">
        <f>IFERROR(VLOOKUP(C247,'Employees List'!$B$1:$I$999,4,0),"")</f>
        <v/>
      </c>
      <c r="G247" s="10" t="str">
        <f t="shared" si="21"/>
        <v>#DIV/0!</v>
      </c>
      <c r="H247" s="72" t="str">
        <f>IFERROR(VLOOKUP(C247,'Employees List'!$B$2:$I$991,7,0),"")</f>
        <v/>
      </c>
      <c r="I247" s="73" t="str">
        <f>IFERROR(VLOOKUP(F247,'Employees List'!$E$1:$AE$991,6,0),"")</f>
        <v/>
      </c>
      <c r="J247" s="71">
        <f t="shared" si="3"/>
        <v>0</v>
      </c>
      <c r="K247" s="71">
        <f t="shared" si="4"/>
        <v>0</v>
      </c>
      <c r="L247" s="10" t="str">
        <f>IFERROR(VLOOKUP(B247,'Employees List'!$A$2:$K$991,11,0),"")</f>
        <v/>
      </c>
      <c r="M247" s="74" t="str">
        <f>IFERROR(VLOOKUP(D247,'Daily Attendance 25-26'!$A$4:BP999,5,0),"")</f>
        <v/>
      </c>
      <c r="N247" s="10" t="str">
        <f>IFERROR(VLOOKUP(E247,'Daily Attendance 25-26'!$A$1:$BO$1741,5,0),"")</f>
        <v/>
      </c>
      <c r="O247" s="10"/>
      <c r="P247" s="10"/>
      <c r="Q247" s="10" t="str">
        <f t="shared" si="5"/>
        <v>#DIV/0!</v>
      </c>
      <c r="R247" s="10" t="str">
        <f t="shared" si="6"/>
        <v>#DIV/0!</v>
      </c>
      <c r="S247" s="10" t="str">
        <f t="shared" si="23"/>
        <v>#DIV/0!</v>
      </c>
      <c r="T247" s="10" t="str">
        <f t="shared" si="22"/>
        <v>#DIV/0!</v>
      </c>
      <c r="U247" s="10" t="str">
        <f t="shared" si="8"/>
        <v>#DIV/0!</v>
      </c>
      <c r="V247" s="10"/>
      <c r="W247" s="10"/>
      <c r="X247" s="10"/>
      <c r="Y247" s="10"/>
      <c r="Z247" s="10"/>
      <c r="AA247" s="10"/>
      <c r="AB247" s="10"/>
      <c r="AC247" s="10"/>
      <c r="AD247" s="10"/>
      <c r="AE247" s="10"/>
      <c r="AF247" s="10"/>
    </row>
    <row r="248" hidden="1">
      <c r="A248" s="9" t="s">
        <v>465</v>
      </c>
      <c r="B248" s="84"/>
      <c r="C248" s="9"/>
      <c r="D248" s="9" t="str">
        <f t="shared" si="1"/>
        <v/>
      </c>
      <c r="E248" s="10" t="str">
        <f t="shared" si="2"/>
        <v>OT Hours</v>
      </c>
      <c r="F248" s="10" t="str">
        <f>IFERROR(VLOOKUP(C248,'Employees List'!$B$1:$I$999,4,0),"")</f>
        <v/>
      </c>
      <c r="G248" s="10" t="str">
        <f t="shared" si="21"/>
        <v>#DIV/0!</v>
      </c>
      <c r="H248" s="72" t="str">
        <f>IFERROR(VLOOKUP(C248,'Employees List'!$B$2:$I$991,7,0),"")</f>
        <v/>
      </c>
      <c r="I248" s="73" t="str">
        <f>IFERROR(VLOOKUP(F248,'Employees List'!$E$1:$AE$991,6,0),"")</f>
        <v/>
      </c>
      <c r="J248" s="71">
        <f t="shared" si="3"/>
        <v>0</v>
      </c>
      <c r="K248" s="71">
        <f t="shared" si="4"/>
        <v>0</v>
      </c>
      <c r="L248" s="10" t="str">
        <f>IFERROR(VLOOKUP(B248,'Employees List'!$A$2:$K$991,11,0),"")</f>
        <v/>
      </c>
      <c r="M248" s="74" t="str">
        <f>IFERROR(VLOOKUP(D248,'Daily Attendance 25-26'!$A$4:BP999,5,0),"")</f>
        <v/>
      </c>
      <c r="N248" s="10" t="str">
        <f>IFERROR(VLOOKUP(E248,'Daily Attendance 25-26'!$A$1:$BO$1741,5,0),"")</f>
        <v/>
      </c>
      <c r="O248" s="10"/>
      <c r="P248" s="10"/>
      <c r="Q248" s="10" t="str">
        <f t="shared" si="5"/>
        <v>#DIV/0!</v>
      </c>
      <c r="R248" s="10" t="str">
        <f t="shared" si="6"/>
        <v>#DIV/0!</v>
      </c>
      <c r="S248" s="10" t="str">
        <f t="shared" si="23"/>
        <v>#DIV/0!</v>
      </c>
      <c r="T248" s="10" t="str">
        <f t="shared" si="22"/>
        <v>#DIV/0!</v>
      </c>
      <c r="U248" s="10" t="str">
        <f t="shared" si="8"/>
        <v>#DIV/0!</v>
      </c>
      <c r="V248" s="10"/>
      <c r="W248" s="10"/>
      <c r="X248" s="10"/>
      <c r="Y248" s="10"/>
      <c r="Z248" s="10"/>
      <c r="AA248" s="10"/>
      <c r="AB248" s="10"/>
      <c r="AC248" s="10"/>
      <c r="AD248" s="10"/>
      <c r="AE248" s="10"/>
      <c r="AF248" s="10"/>
    </row>
    <row r="249" hidden="1">
      <c r="A249" s="9" t="s">
        <v>466</v>
      </c>
      <c r="B249" s="84"/>
      <c r="C249" s="9"/>
      <c r="D249" s="9" t="str">
        <f t="shared" si="1"/>
        <v/>
      </c>
      <c r="E249" s="10" t="str">
        <f t="shared" si="2"/>
        <v>OT Hours</v>
      </c>
      <c r="F249" s="10" t="str">
        <f>IFERROR(VLOOKUP(C249,'Employees List'!$B$1:$I$999,4,0),"")</f>
        <v/>
      </c>
      <c r="G249" s="10" t="str">
        <f t="shared" si="21"/>
        <v>#DIV/0!</v>
      </c>
      <c r="H249" s="72" t="str">
        <f>IFERROR(VLOOKUP(C249,'Employees List'!$B$2:$I$991,7,0),"")</f>
        <v/>
      </c>
      <c r="I249" s="73" t="str">
        <f>IFERROR(VLOOKUP(F249,'Employees List'!$E$1:$AE$991,6,0),"")</f>
        <v/>
      </c>
      <c r="J249" s="71">
        <f t="shared" si="3"/>
        <v>0</v>
      </c>
      <c r="K249" s="71">
        <f t="shared" si="4"/>
        <v>0</v>
      </c>
      <c r="L249" s="10" t="str">
        <f>IFERROR(VLOOKUP(B249,'Employees List'!$A$2:$K$991,11,0),"")</f>
        <v/>
      </c>
      <c r="M249" s="74" t="str">
        <f>IFERROR(VLOOKUP(D249,'Daily Attendance 25-26'!$A$4:BP999,5,0),"")</f>
        <v/>
      </c>
      <c r="N249" s="10" t="str">
        <f>IFERROR(VLOOKUP(E249,'Daily Attendance 25-26'!$A$1:$BO$1741,5,0),"")</f>
        <v/>
      </c>
      <c r="O249" s="10"/>
      <c r="P249" s="10"/>
      <c r="Q249" s="10" t="str">
        <f t="shared" si="5"/>
        <v>#DIV/0!</v>
      </c>
      <c r="R249" s="10" t="str">
        <f t="shared" si="6"/>
        <v>#DIV/0!</v>
      </c>
      <c r="S249" s="10" t="str">
        <f t="shared" si="23"/>
        <v>#DIV/0!</v>
      </c>
      <c r="T249" s="10" t="str">
        <f t="shared" si="22"/>
        <v>#DIV/0!</v>
      </c>
      <c r="U249" s="10" t="str">
        <f t="shared" si="8"/>
        <v>#DIV/0!</v>
      </c>
      <c r="V249" s="10"/>
      <c r="W249" s="10"/>
      <c r="X249" s="10"/>
      <c r="Y249" s="10"/>
      <c r="Z249" s="10"/>
      <c r="AA249" s="10"/>
      <c r="AB249" s="10"/>
      <c r="AC249" s="10"/>
      <c r="AD249" s="10"/>
      <c r="AE249" s="10"/>
      <c r="AF249" s="10"/>
    </row>
    <row r="250" hidden="1">
      <c r="A250" s="9" t="s">
        <v>467</v>
      </c>
      <c r="B250" s="84"/>
      <c r="C250" s="9"/>
      <c r="D250" s="9" t="str">
        <f t="shared" si="1"/>
        <v/>
      </c>
      <c r="E250" s="10" t="str">
        <f t="shared" si="2"/>
        <v>OT Hours</v>
      </c>
      <c r="F250" s="10" t="str">
        <f>IFERROR(VLOOKUP(C250,'Employees List'!$B$1:$I$999,4,0),"")</f>
        <v/>
      </c>
      <c r="G250" s="10" t="str">
        <f t="shared" si="21"/>
        <v>#DIV/0!</v>
      </c>
      <c r="H250" s="72" t="str">
        <f>IFERROR(VLOOKUP(C250,'Employees List'!$B$2:$I$991,7,0),"")</f>
        <v/>
      </c>
      <c r="I250" s="73" t="str">
        <f>IFERROR(VLOOKUP(F250,'Employees List'!$E$1:$AE$991,6,0),"")</f>
        <v/>
      </c>
      <c r="J250" s="71">
        <f t="shared" si="3"/>
        <v>0</v>
      </c>
      <c r="K250" s="71">
        <f t="shared" si="4"/>
        <v>0</v>
      </c>
      <c r="L250" s="10" t="str">
        <f>IFERROR(VLOOKUP(B250,'Employees List'!$A$2:$K$991,11,0),"")</f>
        <v/>
      </c>
      <c r="M250" s="74" t="str">
        <f>IFERROR(VLOOKUP(D250,'Daily Attendance 25-26'!$A$4:BP999,5,0),"")</f>
        <v/>
      </c>
      <c r="N250" s="10" t="str">
        <f>IFERROR(VLOOKUP(E250,'Daily Attendance 25-26'!$A$1:$BO$1741,5,0),"")</f>
        <v/>
      </c>
      <c r="O250" s="10"/>
      <c r="P250" s="10"/>
      <c r="Q250" s="10" t="str">
        <f t="shared" si="5"/>
        <v>#DIV/0!</v>
      </c>
      <c r="R250" s="10" t="str">
        <f t="shared" si="6"/>
        <v>#DIV/0!</v>
      </c>
      <c r="S250" s="10" t="str">
        <f t="shared" si="23"/>
        <v>#DIV/0!</v>
      </c>
      <c r="T250" s="10" t="str">
        <f t="shared" si="22"/>
        <v>#DIV/0!</v>
      </c>
      <c r="U250" s="10" t="str">
        <f t="shared" si="8"/>
        <v>#DIV/0!</v>
      </c>
      <c r="V250" s="10"/>
      <c r="W250" s="10"/>
      <c r="X250" s="10"/>
      <c r="Y250" s="10"/>
      <c r="Z250" s="10"/>
      <c r="AA250" s="10"/>
      <c r="AB250" s="10"/>
      <c r="AC250" s="10"/>
      <c r="AD250" s="10"/>
      <c r="AE250" s="10"/>
      <c r="AF250" s="10"/>
    </row>
    <row r="251" hidden="1">
      <c r="A251" s="9" t="s">
        <v>468</v>
      </c>
      <c r="B251" s="84"/>
      <c r="C251" s="9"/>
      <c r="D251" s="9" t="str">
        <f t="shared" si="1"/>
        <v/>
      </c>
      <c r="E251" s="10" t="str">
        <f t="shared" si="2"/>
        <v>OT Hours</v>
      </c>
      <c r="F251" s="10" t="str">
        <f>IFERROR(VLOOKUP(C251,'Employees List'!$B$1:$I$999,4,0),"")</f>
        <v/>
      </c>
      <c r="G251" s="10" t="str">
        <f t="shared" si="21"/>
        <v>#DIV/0!</v>
      </c>
      <c r="H251" s="72" t="str">
        <f>IFERROR(VLOOKUP(C251,'Employees List'!$B$2:$I$991,7,0),"")</f>
        <v/>
      </c>
      <c r="I251" s="73" t="str">
        <f>IFERROR(VLOOKUP(F251,'Employees List'!$E$1:$AE$991,6,0),"")</f>
        <v/>
      </c>
      <c r="J251" s="71">
        <f t="shared" si="3"/>
        <v>0</v>
      </c>
      <c r="K251" s="71">
        <f t="shared" si="4"/>
        <v>0</v>
      </c>
      <c r="L251" s="10" t="str">
        <f>IFERROR(VLOOKUP(B251,'Employees List'!$A$2:$K$991,11,0),"")</f>
        <v/>
      </c>
      <c r="M251" s="74" t="str">
        <f>IFERROR(VLOOKUP(D251,'Daily Attendance 25-26'!$A$4:BP999,5,0),"")</f>
        <v/>
      </c>
      <c r="N251" s="10" t="str">
        <f>IFERROR(VLOOKUP(E251,'Daily Attendance 25-26'!$A$1:$BO$1741,5,0),"")</f>
        <v/>
      </c>
      <c r="O251" s="10"/>
      <c r="P251" s="10"/>
      <c r="Q251" s="10" t="str">
        <f t="shared" si="5"/>
        <v>#DIV/0!</v>
      </c>
      <c r="R251" s="10" t="str">
        <f t="shared" si="6"/>
        <v>#DIV/0!</v>
      </c>
      <c r="S251" s="10" t="str">
        <f t="shared" si="23"/>
        <v>#DIV/0!</v>
      </c>
      <c r="T251" s="10" t="str">
        <f t="shared" si="22"/>
        <v>#DIV/0!</v>
      </c>
      <c r="U251" s="10" t="str">
        <f t="shared" si="8"/>
        <v>#DIV/0!</v>
      </c>
      <c r="V251" s="10"/>
      <c r="W251" s="10"/>
      <c r="X251" s="10"/>
      <c r="Y251" s="10"/>
      <c r="Z251" s="10"/>
      <c r="AA251" s="10"/>
      <c r="AB251" s="10"/>
      <c r="AC251" s="10"/>
      <c r="AD251" s="10"/>
      <c r="AE251" s="10"/>
      <c r="AF251" s="10"/>
    </row>
    <row r="252" hidden="1">
      <c r="A252" s="9" t="s">
        <v>469</v>
      </c>
      <c r="B252" s="84"/>
      <c r="C252" s="9"/>
      <c r="D252" s="9" t="str">
        <f t="shared" si="1"/>
        <v/>
      </c>
      <c r="E252" s="10" t="str">
        <f t="shared" si="2"/>
        <v>OT Hours</v>
      </c>
      <c r="F252" s="10" t="str">
        <f>IFERROR(VLOOKUP(C252,'Employees List'!$B$1:$I$999,4,0),"")</f>
        <v/>
      </c>
      <c r="G252" s="10" t="str">
        <f t="shared" si="21"/>
        <v>#DIV/0!</v>
      </c>
      <c r="H252" s="72" t="str">
        <f>IFERROR(VLOOKUP(C252,'Employees List'!$B$2:$I$991,7,0),"")</f>
        <v/>
      </c>
      <c r="I252" s="73" t="str">
        <f>IFERROR(VLOOKUP(F252,'Employees List'!$E$1:$AE$991,6,0),"")</f>
        <v/>
      </c>
      <c r="J252" s="71">
        <f t="shared" si="3"/>
        <v>0</v>
      </c>
      <c r="K252" s="71">
        <f t="shared" si="4"/>
        <v>0</v>
      </c>
      <c r="L252" s="10" t="str">
        <f>IFERROR(VLOOKUP(B252,'Employees List'!$A$2:$K$991,11,0),"")</f>
        <v/>
      </c>
      <c r="M252" s="74" t="str">
        <f>IFERROR(VLOOKUP(D252,'Daily Attendance 25-26'!$A$4:BP999,5,0),"")</f>
        <v/>
      </c>
      <c r="N252" s="10" t="str">
        <f>IFERROR(VLOOKUP(E252,'Daily Attendance 25-26'!$A$1:$BO$1741,5,0),"")</f>
        <v/>
      </c>
      <c r="O252" s="10"/>
      <c r="P252" s="10"/>
      <c r="Q252" s="10" t="str">
        <f t="shared" si="5"/>
        <v>#DIV/0!</v>
      </c>
      <c r="R252" s="10" t="str">
        <f t="shared" si="6"/>
        <v>#DIV/0!</v>
      </c>
      <c r="S252" s="10" t="str">
        <f t="shared" si="23"/>
        <v>#DIV/0!</v>
      </c>
      <c r="T252" s="10" t="str">
        <f t="shared" si="22"/>
        <v>#DIV/0!</v>
      </c>
      <c r="U252" s="10" t="str">
        <f t="shared" si="8"/>
        <v>#DIV/0!</v>
      </c>
      <c r="V252" s="10"/>
      <c r="W252" s="10"/>
      <c r="X252" s="10"/>
      <c r="Y252" s="10"/>
      <c r="Z252" s="10"/>
      <c r="AA252" s="10"/>
      <c r="AB252" s="10"/>
      <c r="AC252" s="10"/>
      <c r="AD252" s="10"/>
      <c r="AE252" s="10"/>
      <c r="AF252" s="10"/>
    </row>
    <row r="253" hidden="1">
      <c r="A253" s="9" t="s">
        <v>470</v>
      </c>
      <c r="B253" s="84"/>
      <c r="C253" s="9"/>
      <c r="D253" s="9" t="str">
        <f t="shared" si="1"/>
        <v/>
      </c>
      <c r="E253" s="10" t="str">
        <f t="shared" si="2"/>
        <v>OT Hours</v>
      </c>
      <c r="F253" s="10" t="str">
        <f>IFERROR(VLOOKUP(C253,'Employees List'!$B$1:$I$999,4,0),"")</f>
        <v/>
      </c>
      <c r="G253" s="10" t="str">
        <f t="shared" si="21"/>
        <v>#DIV/0!</v>
      </c>
      <c r="H253" s="72" t="str">
        <f>IFERROR(VLOOKUP(C253,'Employees List'!$B$2:$I$991,7,0),"")</f>
        <v/>
      </c>
      <c r="I253" s="73" t="str">
        <f>IFERROR(VLOOKUP(F253,'Employees List'!$E$1:$AE$991,6,0),"")</f>
        <v/>
      </c>
      <c r="J253" s="71">
        <f t="shared" si="3"/>
        <v>0</v>
      </c>
      <c r="K253" s="71">
        <f t="shared" si="4"/>
        <v>0</v>
      </c>
      <c r="L253" s="10" t="str">
        <f>IFERROR(VLOOKUP(B253,'Employees List'!$A$2:$K$991,11,0),"")</f>
        <v/>
      </c>
      <c r="M253" s="74" t="str">
        <f>IFERROR(VLOOKUP(D253,'Daily Attendance 25-26'!$A$4:BP999,5,0),"")</f>
        <v/>
      </c>
      <c r="N253" s="10" t="str">
        <f>IFERROR(VLOOKUP(E253,'Daily Attendance 25-26'!$A$1:$BO$1741,5,0),"")</f>
        <v/>
      </c>
      <c r="O253" s="10"/>
      <c r="P253" s="10"/>
      <c r="Q253" s="10" t="str">
        <f t="shared" si="5"/>
        <v>#DIV/0!</v>
      </c>
      <c r="R253" s="10" t="str">
        <f t="shared" si="6"/>
        <v>#DIV/0!</v>
      </c>
      <c r="S253" s="10" t="str">
        <f t="shared" si="23"/>
        <v>#DIV/0!</v>
      </c>
      <c r="T253" s="10" t="str">
        <f t="shared" si="22"/>
        <v>#DIV/0!</v>
      </c>
      <c r="U253" s="10" t="str">
        <f t="shared" si="8"/>
        <v>#DIV/0!</v>
      </c>
      <c r="V253" s="10"/>
      <c r="W253" s="10"/>
      <c r="X253" s="10"/>
      <c r="Y253" s="10"/>
      <c r="Z253" s="10"/>
      <c r="AA253" s="10"/>
      <c r="AB253" s="10"/>
      <c r="AC253" s="10"/>
      <c r="AD253" s="10"/>
      <c r="AE253" s="10"/>
      <c r="AF253" s="10"/>
    </row>
    <row r="254" hidden="1">
      <c r="A254" s="9" t="s">
        <v>471</v>
      </c>
      <c r="B254" s="84"/>
      <c r="C254" s="9"/>
      <c r="D254" s="9" t="str">
        <f t="shared" si="1"/>
        <v/>
      </c>
      <c r="E254" s="10" t="str">
        <f t="shared" si="2"/>
        <v>OT Hours</v>
      </c>
      <c r="F254" s="10" t="str">
        <f>IFERROR(VLOOKUP(C254,'Employees List'!$B$1:$I$999,4,0),"")</f>
        <v/>
      </c>
      <c r="G254" s="10" t="str">
        <f t="shared" si="21"/>
        <v>#DIV/0!</v>
      </c>
      <c r="H254" s="72" t="str">
        <f>IFERROR(VLOOKUP(C254,'Employees List'!$B$2:$I$991,7,0),"")</f>
        <v/>
      </c>
      <c r="I254" s="73" t="str">
        <f>IFERROR(VLOOKUP(F254,'Employees List'!$E$1:$AE$991,6,0),"")</f>
        <v/>
      </c>
      <c r="J254" s="71">
        <f t="shared" si="3"/>
        <v>0</v>
      </c>
      <c r="K254" s="71">
        <f t="shared" si="4"/>
        <v>0</v>
      </c>
      <c r="L254" s="10" t="str">
        <f>IFERROR(VLOOKUP(B254,'Employees List'!$A$2:$K$991,11,0),"")</f>
        <v/>
      </c>
      <c r="M254" s="74" t="str">
        <f>IFERROR(VLOOKUP(D254,'Daily Attendance 25-26'!$A$4:BP999,5,0),"")</f>
        <v/>
      </c>
      <c r="N254" s="10" t="str">
        <f>IFERROR(VLOOKUP(E254,'Daily Attendance 25-26'!$A$1:$BO$1741,5,0),"")</f>
        <v/>
      </c>
      <c r="O254" s="10"/>
      <c r="P254" s="10"/>
      <c r="Q254" s="10" t="str">
        <f t="shared" si="5"/>
        <v>#DIV/0!</v>
      </c>
      <c r="R254" s="10" t="str">
        <f t="shared" si="6"/>
        <v>#DIV/0!</v>
      </c>
      <c r="S254" s="10" t="str">
        <f t="shared" si="23"/>
        <v>#DIV/0!</v>
      </c>
      <c r="T254" s="10" t="str">
        <f t="shared" si="22"/>
        <v>#DIV/0!</v>
      </c>
      <c r="U254" s="10" t="str">
        <f t="shared" si="8"/>
        <v>#DIV/0!</v>
      </c>
      <c r="V254" s="10"/>
      <c r="W254" s="10"/>
      <c r="X254" s="10"/>
      <c r="Y254" s="10"/>
      <c r="Z254" s="10"/>
      <c r="AA254" s="10"/>
      <c r="AB254" s="10"/>
      <c r="AC254" s="10"/>
      <c r="AD254" s="10"/>
      <c r="AE254" s="10"/>
      <c r="AF254" s="10"/>
    </row>
    <row r="255" hidden="1">
      <c r="A255" s="9" t="s">
        <v>472</v>
      </c>
      <c r="B255" s="84"/>
      <c r="C255" s="9"/>
      <c r="D255" s="9" t="str">
        <f t="shared" si="1"/>
        <v/>
      </c>
      <c r="E255" s="10" t="str">
        <f t="shared" si="2"/>
        <v>OT Hours</v>
      </c>
      <c r="F255" s="10" t="str">
        <f>IFERROR(VLOOKUP(C255,'Employees List'!$B$1:$I$999,4,0),"")</f>
        <v/>
      </c>
      <c r="G255" s="10" t="str">
        <f t="shared" si="21"/>
        <v>#DIV/0!</v>
      </c>
      <c r="H255" s="72" t="str">
        <f>IFERROR(VLOOKUP(C255,'Employees List'!$B$2:$I$991,7,0),"")</f>
        <v/>
      </c>
      <c r="I255" s="73" t="str">
        <f>IFERROR(VLOOKUP(F255,'Employees List'!$E$1:$AE$991,6,0),"")</f>
        <v/>
      </c>
      <c r="J255" s="71">
        <f t="shared" si="3"/>
        <v>0</v>
      </c>
      <c r="K255" s="71">
        <f t="shared" si="4"/>
        <v>0</v>
      </c>
      <c r="L255" s="10" t="str">
        <f>IFERROR(VLOOKUP(B255,'Employees List'!$A$2:$K$991,11,0),"")</f>
        <v/>
      </c>
      <c r="M255" s="74" t="str">
        <f>IFERROR(VLOOKUP(D255,'Daily Attendance 25-26'!$A$4:BP999,5,0),"")</f>
        <v/>
      </c>
      <c r="N255" s="10" t="str">
        <f>IFERROR(VLOOKUP(E255,'Daily Attendance 25-26'!$A$1:$BO$1741,5,0),"")</f>
        <v/>
      </c>
      <c r="O255" s="10"/>
      <c r="P255" s="10"/>
      <c r="Q255" s="10" t="str">
        <f t="shared" si="5"/>
        <v>#DIV/0!</v>
      </c>
      <c r="R255" s="10" t="str">
        <f t="shared" si="6"/>
        <v>#DIV/0!</v>
      </c>
      <c r="S255" s="10" t="str">
        <f t="shared" si="23"/>
        <v>#DIV/0!</v>
      </c>
      <c r="T255" s="10" t="str">
        <f t="shared" si="22"/>
        <v>#DIV/0!</v>
      </c>
      <c r="U255" s="10" t="str">
        <f t="shared" si="8"/>
        <v>#DIV/0!</v>
      </c>
      <c r="V255" s="10"/>
      <c r="W255" s="10"/>
      <c r="X255" s="10"/>
      <c r="Y255" s="10"/>
      <c r="Z255" s="10"/>
      <c r="AA255" s="10"/>
      <c r="AB255" s="10"/>
      <c r="AC255" s="10"/>
      <c r="AD255" s="10"/>
      <c r="AE255" s="10"/>
      <c r="AF255" s="10"/>
    </row>
    <row r="256" hidden="1">
      <c r="A256" s="9" t="s">
        <v>473</v>
      </c>
      <c r="B256" s="84"/>
      <c r="C256" s="9"/>
      <c r="D256" s="9" t="str">
        <f t="shared" si="1"/>
        <v/>
      </c>
      <c r="E256" s="10" t="str">
        <f t="shared" si="2"/>
        <v>OT Hours</v>
      </c>
      <c r="F256" s="10" t="str">
        <f>IFERROR(VLOOKUP(C256,'Employees List'!$B$1:$I$999,4,0),"")</f>
        <v/>
      </c>
      <c r="G256" s="10" t="str">
        <f t="shared" si="21"/>
        <v>#DIV/0!</v>
      </c>
      <c r="H256" s="72" t="str">
        <f>IFERROR(VLOOKUP(C256,'Employees List'!$B$2:$I$991,7,0),"")</f>
        <v/>
      </c>
      <c r="I256" s="73" t="str">
        <f>IFERROR(VLOOKUP(F256,'Employees List'!$E$1:$AE$991,6,0),"")</f>
        <v/>
      </c>
      <c r="J256" s="71">
        <f t="shared" si="3"/>
        <v>0</v>
      </c>
      <c r="K256" s="71">
        <f t="shared" si="4"/>
        <v>0</v>
      </c>
      <c r="L256" s="10" t="str">
        <f>IFERROR(VLOOKUP(B256,'Employees List'!$A$2:$K$991,11,0),"")</f>
        <v/>
      </c>
      <c r="M256" s="74" t="str">
        <f>IFERROR(VLOOKUP(D256,'Daily Attendance 25-26'!$A$4:BP999,5,0),"")</f>
        <v/>
      </c>
      <c r="N256" s="10" t="str">
        <f>IFERROR(VLOOKUP(E256,'Daily Attendance 25-26'!$A$1:$BO$1741,5,0),"")</f>
        <v/>
      </c>
      <c r="O256" s="10"/>
      <c r="P256" s="10"/>
      <c r="Q256" s="10" t="str">
        <f t="shared" si="5"/>
        <v>#DIV/0!</v>
      </c>
      <c r="R256" s="10" t="str">
        <f t="shared" si="6"/>
        <v>#DIV/0!</v>
      </c>
      <c r="S256" s="10" t="str">
        <f t="shared" si="23"/>
        <v>#DIV/0!</v>
      </c>
      <c r="T256" s="10" t="str">
        <f t="shared" si="22"/>
        <v>#DIV/0!</v>
      </c>
      <c r="U256" s="10" t="str">
        <f t="shared" si="8"/>
        <v>#DIV/0!</v>
      </c>
      <c r="V256" s="10"/>
      <c r="W256" s="10"/>
      <c r="X256" s="10"/>
      <c r="Y256" s="10"/>
      <c r="Z256" s="10"/>
      <c r="AA256" s="10"/>
      <c r="AB256" s="10"/>
      <c r="AC256" s="10"/>
      <c r="AD256" s="10"/>
      <c r="AE256" s="10"/>
      <c r="AF256" s="10"/>
    </row>
    <row r="257" hidden="1">
      <c r="A257" s="9" t="s">
        <v>474</v>
      </c>
      <c r="B257" s="84"/>
      <c r="C257" s="9"/>
      <c r="D257" s="9" t="str">
        <f t="shared" si="1"/>
        <v/>
      </c>
      <c r="E257" s="10" t="str">
        <f t="shared" si="2"/>
        <v>OT Hours</v>
      </c>
      <c r="F257" s="10" t="str">
        <f>IFERROR(VLOOKUP(C257,'Employees List'!$B$1:$I$999,4,0),"")</f>
        <v/>
      </c>
      <c r="G257" s="10" t="str">
        <f t="shared" si="21"/>
        <v>#DIV/0!</v>
      </c>
      <c r="H257" s="72" t="str">
        <f>IFERROR(VLOOKUP(C257,'Employees List'!$B$2:$I$991,7,0),"")</f>
        <v/>
      </c>
      <c r="I257" s="73" t="str">
        <f>IFERROR(VLOOKUP(F257,'Employees List'!$E$1:$AE$991,6,0),"")</f>
        <v/>
      </c>
      <c r="J257" s="71">
        <f t="shared" si="3"/>
        <v>0</v>
      </c>
      <c r="K257" s="71">
        <f t="shared" si="4"/>
        <v>0</v>
      </c>
      <c r="L257" s="10" t="str">
        <f>IFERROR(VLOOKUP(B257,'Employees List'!$A$2:$K$991,11,0),"")</f>
        <v/>
      </c>
      <c r="M257" s="74" t="str">
        <f>IFERROR(VLOOKUP(D257,'Daily Attendance 25-26'!$A$4:BP999,5,0),"")</f>
        <v/>
      </c>
      <c r="N257" s="10" t="str">
        <f>IFERROR(VLOOKUP(E257,'Daily Attendance 25-26'!$A$1:$BO$1741,5,0),"")</f>
        <v/>
      </c>
      <c r="O257" s="10"/>
      <c r="P257" s="10"/>
      <c r="Q257" s="10" t="str">
        <f t="shared" si="5"/>
        <v>#DIV/0!</v>
      </c>
      <c r="R257" s="10" t="str">
        <f t="shared" si="6"/>
        <v>#DIV/0!</v>
      </c>
      <c r="S257" s="10" t="str">
        <f t="shared" si="23"/>
        <v>#DIV/0!</v>
      </c>
      <c r="T257" s="10" t="str">
        <f t="shared" si="22"/>
        <v>#DIV/0!</v>
      </c>
      <c r="U257" s="10" t="str">
        <f t="shared" si="8"/>
        <v>#DIV/0!</v>
      </c>
      <c r="V257" s="10"/>
      <c r="W257" s="10"/>
      <c r="X257" s="10"/>
      <c r="Y257" s="10"/>
      <c r="Z257" s="10"/>
      <c r="AA257" s="10"/>
      <c r="AB257" s="10"/>
      <c r="AC257" s="10"/>
      <c r="AD257" s="10"/>
      <c r="AE257" s="10"/>
      <c r="AF257" s="10"/>
    </row>
    <row r="258" hidden="1">
      <c r="A258" s="9" t="s">
        <v>475</v>
      </c>
      <c r="B258" s="84"/>
      <c r="C258" s="9"/>
      <c r="D258" s="9" t="str">
        <f t="shared" si="1"/>
        <v/>
      </c>
      <c r="E258" s="10" t="str">
        <f t="shared" si="2"/>
        <v>OT Hours</v>
      </c>
      <c r="F258" s="10" t="str">
        <f>IFERROR(VLOOKUP(C258,'Employees List'!$B$1:$I$999,4,0),"")</f>
        <v/>
      </c>
      <c r="G258" s="10" t="str">
        <f t="shared" si="21"/>
        <v>#DIV/0!</v>
      </c>
      <c r="H258" s="72" t="str">
        <f>IFERROR(VLOOKUP(C258,'Employees List'!$B$2:$I$991,7,0),"")</f>
        <v/>
      </c>
      <c r="I258" s="73" t="str">
        <f>IFERROR(VLOOKUP(F258,'Employees List'!$E$1:$AE$991,6,0),"")</f>
        <v/>
      </c>
      <c r="J258" s="71">
        <f t="shared" si="3"/>
        <v>0</v>
      </c>
      <c r="K258" s="71">
        <f t="shared" si="4"/>
        <v>0</v>
      </c>
      <c r="L258" s="10" t="str">
        <f>IFERROR(VLOOKUP(B258,'Employees List'!$A$2:$K$991,11,0),"")</f>
        <v/>
      </c>
      <c r="M258" s="74" t="str">
        <f>IFERROR(VLOOKUP(D258,'Daily Attendance 25-26'!$A$4:BP999,5,0),"")</f>
        <v/>
      </c>
      <c r="N258" s="10" t="str">
        <f>IFERROR(VLOOKUP(E258,'Daily Attendance 25-26'!$A$1:$BO$1741,5,0),"")</f>
        <v/>
      </c>
      <c r="O258" s="10"/>
      <c r="P258" s="10"/>
      <c r="Q258" s="10" t="str">
        <f t="shared" si="5"/>
        <v>#DIV/0!</v>
      </c>
      <c r="R258" s="10" t="str">
        <f t="shared" si="6"/>
        <v>#DIV/0!</v>
      </c>
      <c r="S258" s="10" t="str">
        <f t="shared" si="23"/>
        <v>#DIV/0!</v>
      </c>
      <c r="T258" s="10" t="str">
        <f t="shared" si="22"/>
        <v>#DIV/0!</v>
      </c>
      <c r="U258" s="10" t="str">
        <f t="shared" si="8"/>
        <v>#DIV/0!</v>
      </c>
      <c r="V258" s="10"/>
      <c r="W258" s="10"/>
      <c r="X258" s="10"/>
      <c r="Y258" s="10"/>
      <c r="Z258" s="10"/>
      <c r="AA258" s="10"/>
      <c r="AB258" s="10"/>
      <c r="AC258" s="10"/>
      <c r="AD258" s="10"/>
      <c r="AE258" s="10"/>
      <c r="AF258" s="10"/>
    </row>
    <row r="259" hidden="1">
      <c r="A259" s="9" t="s">
        <v>476</v>
      </c>
      <c r="B259" s="84"/>
      <c r="C259" s="9"/>
      <c r="D259" s="9" t="str">
        <f t="shared" si="1"/>
        <v/>
      </c>
      <c r="E259" s="10" t="str">
        <f t="shared" si="2"/>
        <v>OT Hours</v>
      </c>
      <c r="F259" s="10" t="str">
        <f>IFERROR(VLOOKUP(C259,'Employees List'!$B$1:$I$999,4,0),"")</f>
        <v/>
      </c>
      <c r="G259" s="10" t="str">
        <f t="shared" si="21"/>
        <v>#DIV/0!</v>
      </c>
      <c r="H259" s="72" t="str">
        <f>IFERROR(VLOOKUP(C259,'Employees List'!$B$2:$I$991,7,0),"")</f>
        <v/>
      </c>
      <c r="I259" s="73" t="str">
        <f>IFERROR(VLOOKUP(F259,'Employees List'!$E$1:$AE$991,6,0),"")</f>
        <v/>
      </c>
      <c r="J259" s="71">
        <f t="shared" si="3"/>
        <v>0</v>
      </c>
      <c r="K259" s="71">
        <f t="shared" si="4"/>
        <v>0</v>
      </c>
      <c r="L259" s="10" t="str">
        <f>IFERROR(VLOOKUP(B259,'Employees List'!$A$2:$K$991,11,0),"")</f>
        <v/>
      </c>
      <c r="M259" s="74" t="str">
        <f>IFERROR(VLOOKUP(D259,'Daily Attendance 25-26'!$A$4:BP999,5,0),"")</f>
        <v/>
      </c>
      <c r="N259" s="10" t="str">
        <f>IFERROR(VLOOKUP(E259,'Daily Attendance 25-26'!$A$1:$BO$1741,5,0),"")</f>
        <v/>
      </c>
      <c r="O259" s="10"/>
      <c r="P259" s="10"/>
      <c r="Q259" s="10" t="str">
        <f t="shared" si="5"/>
        <v>#DIV/0!</v>
      </c>
      <c r="R259" s="10" t="str">
        <f t="shared" si="6"/>
        <v>#DIV/0!</v>
      </c>
      <c r="S259" s="10" t="str">
        <f t="shared" si="23"/>
        <v>#DIV/0!</v>
      </c>
      <c r="T259" s="10" t="str">
        <f t="shared" si="22"/>
        <v>#DIV/0!</v>
      </c>
      <c r="U259" s="10" t="str">
        <f t="shared" si="8"/>
        <v>#DIV/0!</v>
      </c>
      <c r="V259" s="10"/>
      <c r="W259" s="10"/>
      <c r="X259" s="10"/>
      <c r="Y259" s="10"/>
      <c r="Z259" s="10"/>
      <c r="AA259" s="10"/>
      <c r="AB259" s="10"/>
      <c r="AC259" s="10"/>
      <c r="AD259" s="10"/>
      <c r="AE259" s="10"/>
      <c r="AF259" s="10"/>
    </row>
    <row r="260" hidden="1">
      <c r="A260" s="9" t="s">
        <v>477</v>
      </c>
      <c r="B260" s="84"/>
      <c r="C260" s="9"/>
      <c r="D260" s="9" t="str">
        <f t="shared" si="1"/>
        <v/>
      </c>
      <c r="E260" s="10" t="str">
        <f t="shared" si="2"/>
        <v>OT Hours</v>
      </c>
      <c r="F260" s="10" t="str">
        <f>IFERROR(VLOOKUP(C260,'Employees List'!$B$1:$I$999,4,0),"")</f>
        <v/>
      </c>
      <c r="G260" s="10" t="str">
        <f t="shared" si="21"/>
        <v>#DIV/0!</v>
      </c>
      <c r="H260" s="72" t="str">
        <f>IFERROR(VLOOKUP(C260,'Employees List'!$B$2:$I$991,7,0),"")</f>
        <v/>
      </c>
      <c r="I260" s="73" t="str">
        <f>IFERROR(VLOOKUP(F260,'Employees List'!$E$1:$AE$991,6,0),"")</f>
        <v/>
      </c>
      <c r="J260" s="71">
        <f t="shared" si="3"/>
        <v>0</v>
      </c>
      <c r="K260" s="71">
        <f t="shared" si="4"/>
        <v>0</v>
      </c>
      <c r="L260" s="10" t="str">
        <f>IFERROR(VLOOKUP(B260,'Employees List'!$A$2:$K$991,11,0),"")</f>
        <v/>
      </c>
      <c r="M260" s="74" t="str">
        <f>IFERROR(VLOOKUP(D260,'Daily Attendance 25-26'!$A$4:BP999,5,0),"")</f>
        <v/>
      </c>
      <c r="N260" s="10" t="str">
        <f>IFERROR(VLOOKUP(E260,'Daily Attendance 25-26'!$A$1:$BO$1741,5,0),"")</f>
        <v/>
      </c>
      <c r="O260" s="10"/>
      <c r="P260" s="10"/>
      <c r="Q260" s="10" t="str">
        <f t="shared" si="5"/>
        <v>#DIV/0!</v>
      </c>
      <c r="R260" s="10" t="str">
        <f t="shared" si="6"/>
        <v>#DIV/0!</v>
      </c>
      <c r="S260" s="10" t="str">
        <f t="shared" si="23"/>
        <v>#DIV/0!</v>
      </c>
      <c r="T260" s="10" t="str">
        <f t="shared" si="22"/>
        <v>#DIV/0!</v>
      </c>
      <c r="U260" s="10" t="str">
        <f t="shared" si="8"/>
        <v>#DIV/0!</v>
      </c>
      <c r="V260" s="10"/>
      <c r="W260" s="10"/>
      <c r="X260" s="10"/>
      <c r="Y260" s="10"/>
      <c r="Z260" s="10"/>
      <c r="AA260" s="10"/>
      <c r="AB260" s="10"/>
      <c r="AC260" s="10"/>
      <c r="AD260" s="10"/>
      <c r="AE260" s="10"/>
      <c r="AF260" s="10"/>
    </row>
    <row r="261" hidden="1">
      <c r="A261" s="9" t="s">
        <v>478</v>
      </c>
      <c r="B261" s="84"/>
      <c r="C261" s="9"/>
      <c r="D261" s="9" t="str">
        <f t="shared" si="1"/>
        <v/>
      </c>
      <c r="E261" s="10" t="str">
        <f t="shared" si="2"/>
        <v>OT Hours</v>
      </c>
      <c r="F261" s="10" t="str">
        <f>IFERROR(VLOOKUP(C261,'Employees List'!$B$1:$I$999,4,0),"")</f>
        <v/>
      </c>
      <c r="G261" s="10" t="str">
        <f t="shared" si="21"/>
        <v>#DIV/0!</v>
      </c>
      <c r="H261" s="72" t="str">
        <f>IFERROR(VLOOKUP(C261,'Employees List'!$B$2:$I$991,7,0),"")</f>
        <v/>
      </c>
      <c r="I261" s="73" t="str">
        <f>IFERROR(VLOOKUP(F261,'Employees List'!$E$1:$AE$991,6,0),"")</f>
        <v/>
      </c>
      <c r="J261" s="71">
        <f t="shared" si="3"/>
        <v>0</v>
      </c>
      <c r="K261" s="71">
        <f t="shared" si="4"/>
        <v>0</v>
      </c>
      <c r="L261" s="10" t="str">
        <f>IFERROR(VLOOKUP(B261,'Employees List'!$A$2:$K$991,11,0),"")</f>
        <v/>
      </c>
      <c r="M261" s="74" t="str">
        <f>IFERROR(VLOOKUP(D261,'Daily Attendance 25-26'!$A$4:BP999,5,0),"")</f>
        <v/>
      </c>
      <c r="N261" s="10" t="str">
        <f>IFERROR(VLOOKUP(E261,'Daily Attendance 25-26'!$A$1:$BO$1741,5,0),"")</f>
        <v/>
      </c>
      <c r="O261" s="10"/>
      <c r="P261" s="10"/>
      <c r="Q261" s="10" t="str">
        <f t="shared" si="5"/>
        <v>#DIV/0!</v>
      </c>
      <c r="R261" s="10" t="str">
        <f t="shared" si="6"/>
        <v>#DIV/0!</v>
      </c>
      <c r="S261" s="10" t="str">
        <f t="shared" si="23"/>
        <v>#DIV/0!</v>
      </c>
      <c r="T261" s="10" t="str">
        <f t="shared" si="22"/>
        <v>#DIV/0!</v>
      </c>
      <c r="U261" s="10" t="str">
        <f t="shared" si="8"/>
        <v>#DIV/0!</v>
      </c>
      <c r="V261" s="10"/>
      <c r="W261" s="10"/>
      <c r="X261" s="10"/>
      <c r="Y261" s="10"/>
      <c r="Z261" s="10"/>
      <c r="AA261" s="10"/>
      <c r="AB261" s="10"/>
      <c r="AC261" s="10"/>
      <c r="AD261" s="10"/>
      <c r="AE261" s="10"/>
      <c r="AF261" s="10"/>
    </row>
    <row r="262" hidden="1">
      <c r="A262" s="9" t="s">
        <v>479</v>
      </c>
      <c r="B262" s="84"/>
      <c r="C262" s="9"/>
      <c r="D262" s="9" t="str">
        <f t="shared" si="1"/>
        <v/>
      </c>
      <c r="E262" s="10" t="str">
        <f t="shared" si="2"/>
        <v>OT Hours</v>
      </c>
      <c r="F262" s="10" t="str">
        <f>IFERROR(VLOOKUP(C262,'Employees List'!$B$1:$I$999,4,0),"")</f>
        <v/>
      </c>
      <c r="G262" s="10" t="str">
        <f t="shared" si="21"/>
        <v>#DIV/0!</v>
      </c>
      <c r="H262" s="72" t="str">
        <f>IFERROR(VLOOKUP(C262,'Employees List'!$B$2:$I$991,7,0),"")</f>
        <v/>
      </c>
      <c r="I262" s="73" t="str">
        <f>IFERROR(VLOOKUP(F262,'Employees List'!$E$1:$AE$991,6,0),"")</f>
        <v/>
      </c>
      <c r="J262" s="71">
        <f t="shared" si="3"/>
        <v>0</v>
      </c>
      <c r="K262" s="71">
        <f t="shared" si="4"/>
        <v>0</v>
      </c>
      <c r="L262" s="10" t="str">
        <f>IFERROR(VLOOKUP(B262,'Employees List'!$A$2:$K$991,11,0),"")</f>
        <v/>
      </c>
      <c r="M262" s="74" t="str">
        <f>IFERROR(VLOOKUP(D262,'Daily Attendance 25-26'!$A$4:BP999,5,0),"")</f>
        <v/>
      </c>
      <c r="N262" s="10" t="str">
        <f>IFERROR(VLOOKUP(E262,'Daily Attendance 25-26'!$A$1:$BO$1741,5,0),"")</f>
        <v/>
      </c>
      <c r="O262" s="10"/>
      <c r="P262" s="10"/>
      <c r="Q262" s="10" t="str">
        <f t="shared" si="5"/>
        <v>#DIV/0!</v>
      </c>
      <c r="R262" s="10" t="str">
        <f t="shared" si="6"/>
        <v>#DIV/0!</v>
      </c>
      <c r="S262" s="10" t="str">
        <f t="shared" si="23"/>
        <v>#DIV/0!</v>
      </c>
      <c r="T262" s="10" t="str">
        <f t="shared" si="22"/>
        <v>#DIV/0!</v>
      </c>
      <c r="U262" s="10" t="str">
        <f t="shared" si="8"/>
        <v>#DIV/0!</v>
      </c>
      <c r="V262" s="10"/>
      <c r="W262" s="10"/>
      <c r="X262" s="10"/>
      <c r="Y262" s="10"/>
      <c r="Z262" s="10"/>
      <c r="AA262" s="10"/>
      <c r="AB262" s="10"/>
      <c r="AC262" s="10"/>
      <c r="AD262" s="10"/>
      <c r="AE262" s="10"/>
      <c r="AF262" s="10"/>
    </row>
    <row r="263" hidden="1">
      <c r="A263" s="9" t="s">
        <v>480</v>
      </c>
      <c r="B263" s="84"/>
      <c r="C263" s="9"/>
      <c r="D263" s="9" t="str">
        <f t="shared" si="1"/>
        <v/>
      </c>
      <c r="E263" s="10" t="str">
        <f t="shared" si="2"/>
        <v>OT Hours</v>
      </c>
      <c r="F263" s="10" t="str">
        <f>IFERROR(VLOOKUP(C263,'Employees List'!$B$1:$I$999,4,0),"")</f>
        <v/>
      </c>
      <c r="G263" s="10" t="str">
        <f t="shared" si="21"/>
        <v>#DIV/0!</v>
      </c>
      <c r="H263" s="72" t="str">
        <f>IFERROR(VLOOKUP(C263,'Employees List'!$B$2:$I$991,7,0),"")</f>
        <v/>
      </c>
      <c r="I263" s="73" t="str">
        <f>IFERROR(VLOOKUP(F263,'Employees List'!$E$1:$AE$991,6,0),"")</f>
        <v/>
      </c>
      <c r="J263" s="71">
        <f t="shared" si="3"/>
        <v>0</v>
      </c>
      <c r="K263" s="71">
        <f t="shared" si="4"/>
        <v>0</v>
      </c>
      <c r="L263" s="10" t="str">
        <f>IFERROR(VLOOKUP(B263,'Employees List'!$A$2:$K$991,11,0),"")</f>
        <v/>
      </c>
      <c r="M263" s="74" t="str">
        <f>IFERROR(VLOOKUP(D263,'Daily Attendance 25-26'!$A$4:BP999,5,0),"")</f>
        <v/>
      </c>
      <c r="N263" s="10" t="str">
        <f>IFERROR(VLOOKUP(E263,'Daily Attendance 25-26'!$A$1:$BO$1741,5,0),"")</f>
        <v/>
      </c>
      <c r="O263" s="10"/>
      <c r="P263" s="10"/>
      <c r="Q263" s="10" t="str">
        <f t="shared" si="5"/>
        <v>#DIV/0!</v>
      </c>
      <c r="R263" s="10" t="str">
        <f t="shared" si="6"/>
        <v>#DIV/0!</v>
      </c>
      <c r="S263" s="10" t="str">
        <f t="shared" si="23"/>
        <v>#DIV/0!</v>
      </c>
      <c r="T263" s="10" t="str">
        <f t="shared" si="22"/>
        <v>#DIV/0!</v>
      </c>
      <c r="U263" s="10" t="str">
        <f t="shared" si="8"/>
        <v>#DIV/0!</v>
      </c>
      <c r="V263" s="10"/>
      <c r="W263" s="10"/>
      <c r="X263" s="10"/>
      <c r="Y263" s="10"/>
      <c r="Z263" s="10"/>
      <c r="AA263" s="10"/>
      <c r="AB263" s="10"/>
      <c r="AC263" s="10"/>
      <c r="AD263" s="10"/>
      <c r="AE263" s="10"/>
      <c r="AF263" s="10"/>
    </row>
    <row r="264" hidden="1">
      <c r="A264" s="9" t="s">
        <v>481</v>
      </c>
      <c r="B264" s="84"/>
      <c r="C264" s="9"/>
      <c r="D264" s="9" t="str">
        <f t="shared" si="1"/>
        <v/>
      </c>
      <c r="E264" s="10" t="str">
        <f t="shared" si="2"/>
        <v>OT Hours</v>
      </c>
      <c r="F264" s="10" t="str">
        <f>IFERROR(VLOOKUP(C264,'Employees List'!$B$1:$I$999,4,0),"")</f>
        <v/>
      </c>
      <c r="G264" s="10" t="str">
        <f t="shared" si="21"/>
        <v>#DIV/0!</v>
      </c>
      <c r="H264" s="72" t="str">
        <f>IFERROR(VLOOKUP(C264,'Employees List'!$B$2:$I$991,7,0),"")</f>
        <v/>
      </c>
      <c r="I264" s="73" t="str">
        <f>IFERROR(VLOOKUP(F264,'Employees List'!$E$1:$AE$991,6,0),"")</f>
        <v/>
      </c>
      <c r="J264" s="71">
        <f t="shared" si="3"/>
        <v>0</v>
      </c>
      <c r="K264" s="71">
        <f t="shared" si="4"/>
        <v>0</v>
      </c>
      <c r="L264" s="10" t="str">
        <f>IFERROR(VLOOKUP(B264,'Employees List'!$A$2:$K$991,11,0),"")</f>
        <v/>
      </c>
      <c r="M264" s="74" t="str">
        <f>IFERROR(VLOOKUP(D264,'Daily Attendance 25-26'!$A$4:BP999,5,0),"")</f>
        <v/>
      </c>
      <c r="N264" s="10" t="str">
        <f>IFERROR(VLOOKUP(E264,'Daily Attendance 25-26'!$A$1:$BO$1741,5,0),"")</f>
        <v/>
      </c>
      <c r="O264" s="10"/>
      <c r="P264" s="10"/>
      <c r="Q264" s="10" t="str">
        <f t="shared" si="5"/>
        <v>#DIV/0!</v>
      </c>
      <c r="R264" s="10" t="str">
        <f t="shared" si="6"/>
        <v>#DIV/0!</v>
      </c>
      <c r="S264" s="10" t="str">
        <f t="shared" si="23"/>
        <v>#DIV/0!</v>
      </c>
      <c r="T264" s="10" t="str">
        <f t="shared" si="22"/>
        <v>#DIV/0!</v>
      </c>
      <c r="U264" s="10" t="str">
        <f t="shared" si="8"/>
        <v>#DIV/0!</v>
      </c>
      <c r="V264" s="10"/>
      <c r="W264" s="10"/>
      <c r="X264" s="10"/>
      <c r="Y264" s="10"/>
      <c r="Z264" s="10"/>
      <c r="AA264" s="10"/>
      <c r="AB264" s="10"/>
      <c r="AC264" s="10"/>
      <c r="AD264" s="10"/>
      <c r="AE264" s="10"/>
      <c r="AF264" s="10"/>
    </row>
    <row r="265" hidden="1">
      <c r="A265" s="9" t="s">
        <v>482</v>
      </c>
      <c r="B265" s="84"/>
      <c r="C265" s="9"/>
      <c r="D265" s="9" t="str">
        <f t="shared" si="1"/>
        <v/>
      </c>
      <c r="E265" s="10" t="str">
        <f t="shared" si="2"/>
        <v>OT Hours</v>
      </c>
      <c r="F265" s="10" t="str">
        <f>IFERROR(VLOOKUP(C265,'Employees List'!$B$1:$I$999,4,0),"")</f>
        <v/>
      </c>
      <c r="G265" s="10" t="str">
        <f t="shared" si="21"/>
        <v>#DIV/0!</v>
      </c>
      <c r="H265" s="72" t="str">
        <f>IFERROR(VLOOKUP(C265,'Employees List'!$B$2:$I$991,7,0),"")</f>
        <v/>
      </c>
      <c r="I265" s="73" t="str">
        <f>IFERROR(VLOOKUP(F265,'Employees List'!$E$1:$AE$991,6,0),"")</f>
        <v/>
      </c>
      <c r="J265" s="71">
        <f t="shared" si="3"/>
        <v>0</v>
      </c>
      <c r="K265" s="71">
        <f t="shared" si="4"/>
        <v>0</v>
      </c>
      <c r="L265" s="10" t="str">
        <f>IFERROR(VLOOKUP(B265,'Employees List'!$A$2:$K$991,11,0),"")</f>
        <v/>
      </c>
      <c r="M265" s="74" t="str">
        <f>IFERROR(VLOOKUP(D265,'Daily Attendance 25-26'!$A$4:BP999,5,0),"")</f>
        <v/>
      </c>
      <c r="N265" s="10" t="str">
        <f>IFERROR(VLOOKUP(E265,'Daily Attendance 25-26'!$A$1:$BO$1741,5,0),"")</f>
        <v/>
      </c>
      <c r="O265" s="10"/>
      <c r="P265" s="10"/>
      <c r="Q265" s="10" t="str">
        <f t="shared" si="5"/>
        <v>#DIV/0!</v>
      </c>
      <c r="R265" s="10" t="str">
        <f t="shared" si="6"/>
        <v>#DIV/0!</v>
      </c>
      <c r="S265" s="10" t="str">
        <f t="shared" si="23"/>
        <v>#DIV/0!</v>
      </c>
      <c r="T265" s="10" t="str">
        <f t="shared" si="22"/>
        <v>#DIV/0!</v>
      </c>
      <c r="U265" s="10" t="str">
        <f t="shared" si="8"/>
        <v>#DIV/0!</v>
      </c>
      <c r="V265" s="10"/>
      <c r="W265" s="10"/>
      <c r="X265" s="10"/>
      <c r="Y265" s="10"/>
      <c r="Z265" s="10"/>
      <c r="AA265" s="10"/>
      <c r="AB265" s="10"/>
      <c r="AC265" s="10"/>
      <c r="AD265" s="10"/>
      <c r="AE265" s="10"/>
      <c r="AF265" s="10"/>
    </row>
    <row r="266" hidden="1">
      <c r="A266" s="9" t="s">
        <v>483</v>
      </c>
      <c r="B266" s="84"/>
      <c r="C266" s="9"/>
      <c r="D266" s="9" t="str">
        <f t="shared" si="1"/>
        <v/>
      </c>
      <c r="E266" s="10" t="str">
        <f t="shared" si="2"/>
        <v>OT Hours</v>
      </c>
      <c r="F266" s="10" t="str">
        <f>IFERROR(VLOOKUP(C266,'Employees List'!$B$1:$I$999,4,0),"")</f>
        <v/>
      </c>
      <c r="G266" s="10" t="str">
        <f t="shared" si="21"/>
        <v>#DIV/0!</v>
      </c>
      <c r="H266" s="72" t="str">
        <f>IFERROR(VLOOKUP(C266,'Employees List'!$B$2:$I$991,7,0),"")</f>
        <v/>
      </c>
      <c r="I266" s="73" t="str">
        <f>IFERROR(VLOOKUP(F266,'Employees List'!$E$1:$AE$991,6,0),"")</f>
        <v/>
      </c>
      <c r="J266" s="71">
        <f t="shared" si="3"/>
        <v>0</v>
      </c>
      <c r="K266" s="71">
        <f t="shared" si="4"/>
        <v>0</v>
      </c>
      <c r="L266" s="10" t="str">
        <f>IFERROR(VLOOKUP(B266,'Employees List'!$A$2:$K$991,11,0),"")</f>
        <v/>
      </c>
      <c r="M266" s="74" t="str">
        <f>IFERROR(VLOOKUP(D266,'Daily Attendance 25-26'!$A$4:BP999,5,0),"")</f>
        <v/>
      </c>
      <c r="N266" s="10" t="str">
        <f>IFERROR(VLOOKUP(E266,'Daily Attendance 25-26'!$A$1:$BO$1741,5,0),"")</f>
        <v/>
      </c>
      <c r="O266" s="10"/>
      <c r="P266" s="10"/>
      <c r="Q266" s="10" t="str">
        <f t="shared" si="5"/>
        <v>#DIV/0!</v>
      </c>
      <c r="R266" s="10" t="str">
        <f t="shared" si="6"/>
        <v>#DIV/0!</v>
      </c>
      <c r="S266" s="10" t="str">
        <f t="shared" si="23"/>
        <v>#DIV/0!</v>
      </c>
      <c r="T266" s="10" t="str">
        <f t="shared" si="22"/>
        <v>#DIV/0!</v>
      </c>
      <c r="U266" s="10" t="str">
        <f t="shared" si="8"/>
        <v>#DIV/0!</v>
      </c>
      <c r="V266" s="10"/>
      <c r="W266" s="10"/>
      <c r="X266" s="10"/>
      <c r="Y266" s="10"/>
      <c r="Z266" s="10"/>
      <c r="AA266" s="10"/>
      <c r="AB266" s="10"/>
      <c r="AC266" s="10"/>
      <c r="AD266" s="10"/>
      <c r="AE266" s="10"/>
      <c r="AF266" s="10"/>
    </row>
    <row r="267" hidden="1">
      <c r="A267" s="9" t="s">
        <v>484</v>
      </c>
      <c r="B267" s="84"/>
      <c r="C267" s="9"/>
      <c r="D267" s="9" t="str">
        <f t="shared" si="1"/>
        <v/>
      </c>
      <c r="E267" s="10" t="str">
        <f t="shared" si="2"/>
        <v>OT Hours</v>
      </c>
      <c r="F267" s="10" t="str">
        <f>IFERROR(VLOOKUP(C267,'Employees List'!$B$1:$I$999,4,0),"")</f>
        <v/>
      </c>
      <c r="G267" s="10" t="str">
        <f t="shared" si="21"/>
        <v>#DIV/0!</v>
      </c>
      <c r="H267" s="72" t="str">
        <f>IFERROR(VLOOKUP(C267,'Employees List'!$B$2:$I$991,7,0),"")</f>
        <v/>
      </c>
      <c r="I267" s="73" t="str">
        <f>IFERROR(VLOOKUP(F267,'Employees List'!$E$1:$AE$991,6,0),"")</f>
        <v/>
      </c>
      <c r="J267" s="71">
        <f t="shared" si="3"/>
        <v>0</v>
      </c>
      <c r="K267" s="71">
        <f t="shared" si="4"/>
        <v>0</v>
      </c>
      <c r="L267" s="10" t="str">
        <f>IFERROR(VLOOKUP(B267,'Employees List'!$A$2:$K$991,11,0),"")</f>
        <v/>
      </c>
      <c r="M267" s="74" t="str">
        <f>IFERROR(VLOOKUP(D267,'Daily Attendance 25-26'!$A$4:BP999,5,0),"")</f>
        <v/>
      </c>
      <c r="N267" s="10" t="str">
        <f>IFERROR(VLOOKUP(E267,'Daily Attendance 25-26'!$A$1:$BO$1741,5,0),"")</f>
        <v/>
      </c>
      <c r="O267" s="10"/>
      <c r="P267" s="10"/>
      <c r="Q267" s="10" t="str">
        <f t="shared" si="5"/>
        <v>#DIV/0!</v>
      </c>
      <c r="R267" s="10" t="str">
        <f t="shared" si="6"/>
        <v>#DIV/0!</v>
      </c>
      <c r="S267" s="10" t="str">
        <f t="shared" si="23"/>
        <v>#DIV/0!</v>
      </c>
      <c r="T267" s="10" t="str">
        <f t="shared" si="22"/>
        <v>#DIV/0!</v>
      </c>
      <c r="U267" s="10" t="str">
        <f t="shared" si="8"/>
        <v>#DIV/0!</v>
      </c>
      <c r="V267" s="10"/>
      <c r="W267" s="10"/>
      <c r="X267" s="10"/>
      <c r="Y267" s="10"/>
      <c r="Z267" s="10"/>
      <c r="AA267" s="10"/>
      <c r="AB267" s="10"/>
      <c r="AC267" s="10"/>
      <c r="AD267" s="10"/>
      <c r="AE267" s="10"/>
      <c r="AF267" s="10"/>
    </row>
    <row r="268" hidden="1">
      <c r="A268" s="9" t="s">
        <v>485</v>
      </c>
      <c r="B268" s="84"/>
      <c r="C268" s="9"/>
      <c r="D268" s="9" t="str">
        <f t="shared" si="1"/>
        <v/>
      </c>
      <c r="E268" s="10" t="str">
        <f t="shared" si="2"/>
        <v>OT Hours</v>
      </c>
      <c r="F268" s="10" t="str">
        <f>IFERROR(VLOOKUP(C268,'Employees List'!$B$1:$I$999,4,0),"")</f>
        <v/>
      </c>
      <c r="G268" s="10" t="str">
        <f t="shared" si="21"/>
        <v>#DIV/0!</v>
      </c>
      <c r="H268" s="72" t="str">
        <f>IFERROR(VLOOKUP(C268,'Employees List'!$B$2:$I$991,7,0),"")</f>
        <v/>
      </c>
      <c r="I268" s="73" t="str">
        <f>IFERROR(VLOOKUP(F268,'Employees List'!$E$1:$AE$991,6,0),"")</f>
        <v/>
      </c>
      <c r="J268" s="71">
        <f t="shared" si="3"/>
        <v>0</v>
      </c>
      <c r="K268" s="71">
        <f t="shared" si="4"/>
        <v>0</v>
      </c>
      <c r="L268" s="10" t="str">
        <f>IFERROR(VLOOKUP(B268,'Employees List'!$A$2:$K$991,11,0),"")</f>
        <v/>
      </c>
      <c r="M268" s="74" t="str">
        <f>IFERROR(VLOOKUP(D268,'Daily Attendance 25-26'!$A$4:BP999,5,0),"")</f>
        <v/>
      </c>
      <c r="N268" s="10" t="str">
        <f>IFERROR(VLOOKUP(E268,'Daily Attendance 25-26'!$A$1:$BO$1741,5,0),"")</f>
        <v/>
      </c>
      <c r="O268" s="10"/>
      <c r="P268" s="10"/>
      <c r="Q268" s="10" t="str">
        <f t="shared" si="5"/>
        <v>#DIV/0!</v>
      </c>
      <c r="R268" s="10" t="str">
        <f t="shared" si="6"/>
        <v>#DIV/0!</v>
      </c>
      <c r="S268" s="10" t="str">
        <f t="shared" si="23"/>
        <v>#DIV/0!</v>
      </c>
      <c r="T268" s="10" t="str">
        <f t="shared" si="22"/>
        <v>#DIV/0!</v>
      </c>
      <c r="U268" s="10" t="str">
        <f t="shared" si="8"/>
        <v>#DIV/0!</v>
      </c>
      <c r="V268" s="10"/>
      <c r="W268" s="10"/>
      <c r="X268" s="10"/>
      <c r="Y268" s="10"/>
      <c r="Z268" s="10"/>
      <c r="AA268" s="10"/>
      <c r="AB268" s="10"/>
      <c r="AC268" s="10"/>
      <c r="AD268" s="10"/>
      <c r="AE268" s="10"/>
      <c r="AF268" s="10"/>
    </row>
    <row r="269" hidden="1">
      <c r="A269" s="9" t="s">
        <v>486</v>
      </c>
      <c r="B269" s="84"/>
      <c r="C269" s="9"/>
      <c r="D269" s="9" t="str">
        <f t="shared" si="1"/>
        <v/>
      </c>
      <c r="E269" s="10" t="str">
        <f t="shared" si="2"/>
        <v>OT Hours</v>
      </c>
      <c r="F269" s="10" t="str">
        <f>IFERROR(VLOOKUP(C269,'Employees List'!$B$1:$I$999,4,0),"")</f>
        <v/>
      </c>
      <c r="G269" s="10" t="str">
        <f t="shared" si="21"/>
        <v>#DIV/0!</v>
      </c>
      <c r="H269" s="72" t="str">
        <f>IFERROR(VLOOKUP(C269,'Employees List'!$B$2:$I$991,7,0),"")</f>
        <v/>
      </c>
      <c r="I269" s="73" t="str">
        <f>IFERROR(VLOOKUP(F269,'Employees List'!$E$1:$AE$991,6,0),"")</f>
        <v/>
      </c>
      <c r="J269" s="71">
        <f t="shared" si="3"/>
        <v>0</v>
      </c>
      <c r="K269" s="71">
        <f t="shared" si="4"/>
        <v>0</v>
      </c>
      <c r="L269" s="10" t="str">
        <f>IFERROR(VLOOKUP(B269,'Employees List'!$A$2:$K$991,11,0),"")</f>
        <v/>
      </c>
      <c r="M269" s="74" t="str">
        <f>IFERROR(VLOOKUP(D269,'Daily Attendance 25-26'!$A$4:BP999,5,0),"")</f>
        <v/>
      </c>
      <c r="N269" s="10" t="str">
        <f>IFERROR(VLOOKUP(E269,'Daily Attendance 25-26'!$A$1:$BO$1741,5,0),"")</f>
        <v/>
      </c>
      <c r="O269" s="10"/>
      <c r="P269" s="10"/>
      <c r="Q269" s="10" t="str">
        <f t="shared" si="5"/>
        <v>#DIV/0!</v>
      </c>
      <c r="R269" s="10" t="str">
        <f t="shared" si="6"/>
        <v>#DIV/0!</v>
      </c>
      <c r="S269" s="10" t="str">
        <f t="shared" si="23"/>
        <v>#DIV/0!</v>
      </c>
      <c r="T269" s="10" t="str">
        <f t="shared" si="22"/>
        <v>#DIV/0!</v>
      </c>
      <c r="U269" s="10" t="str">
        <f t="shared" si="8"/>
        <v>#DIV/0!</v>
      </c>
      <c r="V269" s="10"/>
      <c r="W269" s="10"/>
      <c r="X269" s="10"/>
      <c r="Y269" s="10"/>
      <c r="Z269" s="10"/>
      <c r="AA269" s="10"/>
      <c r="AB269" s="10"/>
      <c r="AC269" s="10"/>
      <c r="AD269" s="10"/>
      <c r="AE269" s="10"/>
      <c r="AF269" s="10"/>
    </row>
    <row r="270" hidden="1">
      <c r="A270" s="9" t="s">
        <v>487</v>
      </c>
      <c r="B270" s="84"/>
      <c r="C270" s="9"/>
      <c r="D270" s="9" t="str">
        <f t="shared" si="1"/>
        <v/>
      </c>
      <c r="E270" s="10" t="str">
        <f t="shared" si="2"/>
        <v>OT Hours</v>
      </c>
      <c r="F270" s="10" t="str">
        <f>IFERROR(VLOOKUP(C270,'Employees List'!$B$1:$I$999,4,0),"")</f>
        <v/>
      </c>
      <c r="G270" s="10" t="str">
        <f t="shared" si="21"/>
        <v>#DIV/0!</v>
      </c>
      <c r="H270" s="72" t="str">
        <f>IFERROR(VLOOKUP(C270,'Employees List'!$B$2:$I$991,7,0),"")</f>
        <v/>
      </c>
      <c r="I270" s="73" t="str">
        <f>IFERROR(VLOOKUP(F270,'Employees List'!$E$1:$AE$991,6,0),"")</f>
        <v/>
      </c>
      <c r="J270" s="71">
        <f t="shared" si="3"/>
        <v>0</v>
      </c>
      <c r="K270" s="71">
        <f t="shared" si="4"/>
        <v>0</v>
      </c>
      <c r="L270" s="10" t="str">
        <f>IFERROR(VLOOKUP(B270,'Employees List'!$A$2:$K$991,11,0),"")</f>
        <v/>
      </c>
      <c r="M270" s="74" t="str">
        <f>IFERROR(VLOOKUP(D270,'Daily Attendance 25-26'!$A$4:BP999,5,0),"")</f>
        <v/>
      </c>
      <c r="N270" s="10" t="str">
        <f>IFERROR(VLOOKUP(E270,'Daily Attendance 25-26'!$A$1:$BO$1741,5,0),"")</f>
        <v/>
      </c>
      <c r="O270" s="10"/>
      <c r="P270" s="10"/>
      <c r="Q270" s="10" t="str">
        <f t="shared" si="5"/>
        <v>#DIV/0!</v>
      </c>
      <c r="R270" s="10" t="str">
        <f t="shared" si="6"/>
        <v>#DIV/0!</v>
      </c>
      <c r="S270" s="10" t="str">
        <f t="shared" si="23"/>
        <v>#DIV/0!</v>
      </c>
      <c r="T270" s="10" t="str">
        <f t="shared" si="22"/>
        <v>#DIV/0!</v>
      </c>
      <c r="U270" s="10" t="str">
        <f t="shared" si="8"/>
        <v>#DIV/0!</v>
      </c>
      <c r="V270" s="10"/>
      <c r="W270" s="10"/>
      <c r="X270" s="10"/>
      <c r="Y270" s="10"/>
      <c r="Z270" s="10"/>
      <c r="AA270" s="10"/>
      <c r="AB270" s="10"/>
      <c r="AC270" s="10"/>
      <c r="AD270" s="10"/>
      <c r="AE270" s="10"/>
      <c r="AF270" s="10"/>
    </row>
    <row r="271" hidden="1">
      <c r="A271" s="9" t="s">
        <v>488</v>
      </c>
      <c r="B271" s="84"/>
      <c r="C271" s="9"/>
      <c r="D271" s="9" t="str">
        <f t="shared" si="1"/>
        <v/>
      </c>
      <c r="E271" s="10" t="str">
        <f t="shared" si="2"/>
        <v>OT Hours</v>
      </c>
      <c r="F271" s="10" t="str">
        <f>IFERROR(VLOOKUP(C271,'Employees List'!$B$1:$I$999,4,0),"")</f>
        <v/>
      </c>
      <c r="G271" s="10" t="str">
        <f t="shared" si="21"/>
        <v>#DIV/0!</v>
      </c>
      <c r="H271" s="72" t="str">
        <f>IFERROR(VLOOKUP(C271,'Employees List'!$B$2:$I$991,7,0),"")</f>
        <v/>
      </c>
      <c r="I271" s="73" t="str">
        <f>IFERROR(VLOOKUP(F271,'Employees List'!$E$1:$AE$991,6,0),"")</f>
        <v/>
      </c>
      <c r="J271" s="71">
        <f t="shared" si="3"/>
        <v>0</v>
      </c>
      <c r="K271" s="71">
        <f t="shared" si="4"/>
        <v>0</v>
      </c>
      <c r="L271" s="10" t="str">
        <f>IFERROR(VLOOKUP(B271,'Employees List'!$A$2:$K$991,11,0),"")</f>
        <v/>
      </c>
      <c r="M271" s="74" t="str">
        <f>IFERROR(VLOOKUP(D271,'Daily Attendance 25-26'!$A$4:BP999,5,0),"")</f>
        <v/>
      </c>
      <c r="N271" s="10" t="str">
        <f>IFERROR(VLOOKUP(E271,'Daily Attendance 25-26'!$A$1:$BO$1741,5,0),"")</f>
        <v/>
      </c>
      <c r="O271" s="10"/>
      <c r="P271" s="10"/>
      <c r="Q271" s="10" t="str">
        <f t="shared" si="5"/>
        <v>#DIV/0!</v>
      </c>
      <c r="R271" s="10" t="str">
        <f t="shared" si="6"/>
        <v>#DIV/0!</v>
      </c>
      <c r="S271" s="10" t="str">
        <f t="shared" si="23"/>
        <v>#DIV/0!</v>
      </c>
      <c r="T271" s="10" t="str">
        <f t="shared" si="22"/>
        <v>#DIV/0!</v>
      </c>
      <c r="U271" s="10" t="str">
        <f t="shared" si="8"/>
        <v>#DIV/0!</v>
      </c>
      <c r="V271" s="10"/>
      <c r="W271" s="10"/>
      <c r="X271" s="10"/>
      <c r="Y271" s="10"/>
      <c r="Z271" s="10"/>
      <c r="AA271" s="10"/>
      <c r="AB271" s="10"/>
      <c r="AC271" s="10"/>
      <c r="AD271" s="10"/>
      <c r="AE271" s="10"/>
      <c r="AF271" s="10"/>
    </row>
    <row r="272" hidden="1">
      <c r="A272" s="9" t="s">
        <v>489</v>
      </c>
      <c r="B272" s="84"/>
      <c r="C272" s="9"/>
      <c r="D272" s="9" t="str">
        <f t="shared" si="1"/>
        <v/>
      </c>
      <c r="E272" s="10" t="str">
        <f t="shared" si="2"/>
        <v>OT Hours</v>
      </c>
      <c r="F272" s="10" t="str">
        <f>IFERROR(VLOOKUP(C272,'Employees List'!$B$1:$I$999,4,0),"")</f>
        <v/>
      </c>
      <c r="G272" s="10" t="str">
        <f t="shared" si="21"/>
        <v>#DIV/0!</v>
      </c>
      <c r="H272" s="72" t="str">
        <f>IFERROR(VLOOKUP(C272,'Employees List'!$B$2:$I$991,7,0),"")</f>
        <v/>
      </c>
      <c r="I272" s="73" t="str">
        <f>IFERROR(VLOOKUP(F272,'Employees List'!$E$1:$AE$991,6,0),"")</f>
        <v/>
      </c>
      <c r="J272" s="71">
        <f t="shared" si="3"/>
        <v>0</v>
      </c>
      <c r="K272" s="71">
        <f t="shared" si="4"/>
        <v>0</v>
      </c>
      <c r="L272" s="10" t="str">
        <f>IFERROR(VLOOKUP(B272,'Employees List'!$A$2:$K$991,11,0),"")</f>
        <v/>
      </c>
      <c r="M272" s="74" t="str">
        <f>IFERROR(VLOOKUP(D272,'Daily Attendance 25-26'!$A$4:BP999,5,0),"")</f>
        <v/>
      </c>
      <c r="N272" s="10" t="str">
        <f>IFERROR(VLOOKUP(E272,'Daily Attendance 25-26'!$A$1:$BO$1741,5,0),"")</f>
        <v/>
      </c>
      <c r="O272" s="10"/>
      <c r="P272" s="10"/>
      <c r="Q272" s="10" t="str">
        <f t="shared" si="5"/>
        <v>#DIV/0!</v>
      </c>
      <c r="R272" s="10" t="str">
        <f t="shared" si="6"/>
        <v>#DIV/0!</v>
      </c>
      <c r="S272" s="10" t="str">
        <f t="shared" si="23"/>
        <v>#DIV/0!</v>
      </c>
      <c r="T272" s="10" t="str">
        <f t="shared" si="22"/>
        <v>#DIV/0!</v>
      </c>
      <c r="U272" s="10" t="str">
        <f t="shared" si="8"/>
        <v>#DIV/0!</v>
      </c>
      <c r="V272" s="10"/>
      <c r="W272" s="10"/>
      <c r="X272" s="10"/>
      <c r="Y272" s="10"/>
      <c r="Z272" s="10"/>
      <c r="AA272" s="10"/>
      <c r="AB272" s="10"/>
      <c r="AC272" s="10"/>
      <c r="AD272" s="10"/>
      <c r="AE272" s="10"/>
      <c r="AF272" s="10"/>
    </row>
    <row r="273" hidden="1">
      <c r="A273" s="9" t="s">
        <v>490</v>
      </c>
      <c r="B273" s="84"/>
      <c r="C273" s="9"/>
      <c r="D273" s="9" t="str">
        <f t="shared" si="1"/>
        <v/>
      </c>
      <c r="E273" s="10" t="str">
        <f t="shared" si="2"/>
        <v>OT Hours</v>
      </c>
      <c r="F273" s="10" t="str">
        <f>IFERROR(VLOOKUP(C273,'Employees List'!$B$1:$I$999,4,0),"")</f>
        <v/>
      </c>
      <c r="G273" s="10" t="str">
        <f t="shared" si="21"/>
        <v>#DIV/0!</v>
      </c>
      <c r="H273" s="72" t="str">
        <f>IFERROR(VLOOKUP(C273,'Employees List'!$B$2:$I$991,7,0),"")</f>
        <v/>
      </c>
      <c r="I273" s="73" t="str">
        <f>IFERROR(VLOOKUP(F273,'Employees List'!$E$1:$AE$991,6,0),"")</f>
        <v/>
      </c>
      <c r="J273" s="71">
        <f t="shared" si="3"/>
        <v>0</v>
      </c>
      <c r="K273" s="71">
        <f t="shared" si="4"/>
        <v>0</v>
      </c>
      <c r="L273" s="10" t="str">
        <f>IFERROR(VLOOKUP(B273,'Employees List'!$A$2:$K$991,11,0),"")</f>
        <v/>
      </c>
      <c r="M273" s="74" t="str">
        <f>IFERROR(VLOOKUP(D273,'Daily Attendance 25-26'!$A$4:BP999,5,0),"")</f>
        <v/>
      </c>
      <c r="N273" s="10" t="str">
        <f>IFERROR(VLOOKUP(E273,'Daily Attendance 25-26'!$A$1:$BO$1741,5,0),"")</f>
        <v/>
      </c>
      <c r="O273" s="10"/>
      <c r="P273" s="10"/>
      <c r="Q273" s="10" t="str">
        <f t="shared" si="5"/>
        <v>#DIV/0!</v>
      </c>
      <c r="R273" s="10" t="str">
        <f t="shared" si="6"/>
        <v>#DIV/0!</v>
      </c>
      <c r="S273" s="10" t="str">
        <f t="shared" si="23"/>
        <v>#DIV/0!</v>
      </c>
      <c r="T273" s="10" t="str">
        <f t="shared" si="22"/>
        <v>#DIV/0!</v>
      </c>
      <c r="U273" s="10" t="str">
        <f t="shared" si="8"/>
        <v>#DIV/0!</v>
      </c>
      <c r="V273" s="10"/>
      <c r="W273" s="10"/>
      <c r="X273" s="10"/>
      <c r="Y273" s="10"/>
      <c r="Z273" s="10"/>
      <c r="AA273" s="10"/>
      <c r="AB273" s="10"/>
      <c r="AC273" s="10"/>
      <c r="AD273" s="10"/>
      <c r="AE273" s="10"/>
      <c r="AF273" s="10"/>
    </row>
    <row r="274" hidden="1">
      <c r="A274" s="9" t="s">
        <v>491</v>
      </c>
      <c r="B274" s="84"/>
      <c r="C274" s="9"/>
      <c r="D274" s="9" t="str">
        <f t="shared" si="1"/>
        <v/>
      </c>
      <c r="E274" s="10" t="str">
        <f t="shared" si="2"/>
        <v>OT Hours</v>
      </c>
      <c r="F274" s="10" t="str">
        <f>IFERROR(VLOOKUP(C274,'Employees List'!$B$1:$I$999,4,0),"")</f>
        <v/>
      </c>
      <c r="G274" s="10" t="str">
        <f t="shared" si="21"/>
        <v>#DIV/0!</v>
      </c>
      <c r="H274" s="72" t="str">
        <f>IFERROR(VLOOKUP(C274,'Employees List'!$B$2:$I$991,7,0),"")</f>
        <v/>
      </c>
      <c r="I274" s="73" t="str">
        <f>IFERROR(VLOOKUP(F274,'Employees List'!$E$1:$AE$991,6,0),"")</f>
        <v/>
      </c>
      <c r="J274" s="71">
        <f t="shared" si="3"/>
        <v>0</v>
      </c>
      <c r="K274" s="71">
        <f t="shared" si="4"/>
        <v>0</v>
      </c>
      <c r="L274" s="10" t="str">
        <f>IFERROR(VLOOKUP(B274,'Employees List'!$A$2:$K$991,11,0),"")</f>
        <v/>
      </c>
      <c r="M274" s="74" t="str">
        <f>IFERROR(VLOOKUP(D274,'Daily Attendance 25-26'!$A$4:BP999,5,0),"")</f>
        <v/>
      </c>
      <c r="N274" s="10" t="str">
        <f>IFERROR(VLOOKUP(E274,'Daily Attendance 25-26'!$A$1:$BO$1741,5,0),"")</f>
        <v/>
      </c>
      <c r="O274" s="10"/>
      <c r="P274" s="10"/>
      <c r="Q274" s="10" t="str">
        <f t="shared" si="5"/>
        <v>#DIV/0!</v>
      </c>
      <c r="R274" s="10" t="str">
        <f t="shared" si="6"/>
        <v>#DIV/0!</v>
      </c>
      <c r="S274" s="10" t="str">
        <f t="shared" si="23"/>
        <v>#DIV/0!</v>
      </c>
      <c r="T274" s="10" t="str">
        <f t="shared" si="22"/>
        <v>#DIV/0!</v>
      </c>
      <c r="U274" s="10" t="str">
        <f t="shared" si="8"/>
        <v>#DIV/0!</v>
      </c>
      <c r="V274" s="10"/>
      <c r="W274" s="10"/>
      <c r="X274" s="10"/>
      <c r="Y274" s="10"/>
      <c r="Z274" s="10"/>
      <c r="AA274" s="10"/>
      <c r="AB274" s="10"/>
      <c r="AC274" s="10"/>
      <c r="AD274" s="10"/>
      <c r="AE274" s="10"/>
      <c r="AF274" s="10"/>
    </row>
    <row r="275" hidden="1">
      <c r="A275" s="9" t="s">
        <v>492</v>
      </c>
      <c r="B275" s="84"/>
      <c r="C275" s="9"/>
      <c r="D275" s="9" t="str">
        <f t="shared" si="1"/>
        <v/>
      </c>
      <c r="E275" s="10" t="str">
        <f t="shared" si="2"/>
        <v>OT Hours</v>
      </c>
      <c r="F275" s="10" t="str">
        <f>IFERROR(VLOOKUP(C275,'Employees List'!$B$1:$I$999,4,0),"")</f>
        <v/>
      </c>
      <c r="G275" s="10" t="str">
        <f t="shared" si="21"/>
        <v>#DIV/0!</v>
      </c>
      <c r="H275" s="72" t="str">
        <f>IFERROR(VLOOKUP(C275,'Employees List'!$B$2:$I$991,7,0),"")</f>
        <v/>
      </c>
      <c r="I275" s="73" t="str">
        <f>IFERROR(VLOOKUP(F275,'Employees List'!$E$1:$AE$991,6,0),"")</f>
        <v/>
      </c>
      <c r="J275" s="71">
        <f t="shared" si="3"/>
        <v>0</v>
      </c>
      <c r="K275" s="71">
        <f t="shared" si="4"/>
        <v>0</v>
      </c>
      <c r="L275" s="10" t="str">
        <f>IFERROR(VLOOKUP(B275,'Employees List'!$A$2:$K$991,11,0),"")</f>
        <v/>
      </c>
      <c r="M275" s="74" t="str">
        <f>IFERROR(VLOOKUP(D275,'Daily Attendance 25-26'!$A$4:BP999,5,0),"")</f>
        <v/>
      </c>
      <c r="N275" s="10" t="str">
        <f>IFERROR(VLOOKUP(E275,'Daily Attendance 25-26'!$A$1:$BO$1741,5,0),"")</f>
        <v/>
      </c>
      <c r="O275" s="10"/>
      <c r="P275" s="10"/>
      <c r="Q275" s="10" t="str">
        <f t="shared" si="5"/>
        <v>#DIV/0!</v>
      </c>
      <c r="R275" s="10" t="str">
        <f t="shared" si="6"/>
        <v>#DIV/0!</v>
      </c>
      <c r="S275" s="10" t="str">
        <f t="shared" si="23"/>
        <v>#DIV/0!</v>
      </c>
      <c r="T275" s="10" t="str">
        <f t="shared" si="22"/>
        <v>#DIV/0!</v>
      </c>
      <c r="U275" s="10" t="str">
        <f t="shared" si="8"/>
        <v>#DIV/0!</v>
      </c>
      <c r="V275" s="10"/>
      <c r="W275" s="10"/>
      <c r="X275" s="10"/>
      <c r="Y275" s="10"/>
      <c r="Z275" s="10"/>
      <c r="AA275" s="10"/>
      <c r="AB275" s="10"/>
      <c r="AC275" s="10"/>
      <c r="AD275" s="10"/>
      <c r="AE275" s="10"/>
      <c r="AF275" s="10"/>
    </row>
    <row r="276" hidden="1">
      <c r="A276" s="9" t="s">
        <v>493</v>
      </c>
      <c r="B276" s="84"/>
      <c r="C276" s="9"/>
      <c r="D276" s="9" t="str">
        <f t="shared" si="1"/>
        <v/>
      </c>
      <c r="E276" s="10" t="str">
        <f t="shared" si="2"/>
        <v>OT Hours</v>
      </c>
      <c r="F276" s="10" t="str">
        <f>IFERROR(VLOOKUP(C276,'Employees List'!$B$1:$I$999,4,0),"")</f>
        <v/>
      </c>
      <c r="G276" s="10" t="str">
        <f t="shared" si="21"/>
        <v>#DIV/0!</v>
      </c>
      <c r="H276" s="72" t="str">
        <f>IFERROR(VLOOKUP(C276,'Employees List'!$B$2:$I$991,7,0),"")</f>
        <v/>
      </c>
      <c r="I276" s="73" t="str">
        <f>IFERROR(VLOOKUP(F276,'Employees List'!$E$1:$AE$991,6,0),"")</f>
        <v/>
      </c>
      <c r="J276" s="71">
        <f t="shared" si="3"/>
        <v>0</v>
      </c>
      <c r="K276" s="71">
        <f t="shared" si="4"/>
        <v>0</v>
      </c>
      <c r="L276" s="10" t="str">
        <f>IFERROR(VLOOKUP(B276,'Employees List'!$A$2:$K$991,11,0),"")</f>
        <v/>
      </c>
      <c r="M276" s="74" t="str">
        <f>IFERROR(VLOOKUP(D276,'Daily Attendance 25-26'!$A$4:BP999,5,0),"")</f>
        <v/>
      </c>
      <c r="N276" s="10" t="str">
        <f>IFERROR(VLOOKUP(E276,'Daily Attendance 25-26'!$A$1:$BO$1741,5,0),"")</f>
        <v/>
      </c>
      <c r="O276" s="10"/>
      <c r="P276" s="10"/>
      <c r="Q276" s="10" t="str">
        <f t="shared" si="5"/>
        <v>#DIV/0!</v>
      </c>
      <c r="R276" s="10" t="str">
        <f t="shared" si="6"/>
        <v>#DIV/0!</v>
      </c>
      <c r="S276" s="10" t="str">
        <f t="shared" si="23"/>
        <v>#DIV/0!</v>
      </c>
      <c r="T276" s="10" t="str">
        <f t="shared" si="22"/>
        <v>#DIV/0!</v>
      </c>
      <c r="U276" s="10" t="str">
        <f t="shared" si="8"/>
        <v>#DIV/0!</v>
      </c>
      <c r="V276" s="10"/>
      <c r="W276" s="10"/>
      <c r="X276" s="10"/>
      <c r="Y276" s="10"/>
      <c r="Z276" s="10"/>
      <c r="AA276" s="10"/>
      <c r="AB276" s="10"/>
      <c r="AC276" s="10"/>
      <c r="AD276" s="10"/>
      <c r="AE276" s="10"/>
      <c r="AF276" s="10"/>
    </row>
    <row r="277" hidden="1">
      <c r="A277" s="9" t="s">
        <v>494</v>
      </c>
      <c r="B277" s="84"/>
      <c r="C277" s="9"/>
      <c r="D277" s="9" t="str">
        <f t="shared" si="1"/>
        <v/>
      </c>
      <c r="E277" s="10" t="str">
        <f t="shared" si="2"/>
        <v>OT Hours</v>
      </c>
      <c r="F277" s="10" t="str">
        <f>IFERROR(VLOOKUP(C277,'Employees List'!$B$1:$I$999,4,0),"")</f>
        <v/>
      </c>
      <c r="G277" s="10" t="str">
        <f t="shared" si="21"/>
        <v>#DIV/0!</v>
      </c>
      <c r="H277" s="72" t="str">
        <f>IFERROR(VLOOKUP(C277,'Employees List'!$B$2:$I$991,7,0),"")</f>
        <v/>
      </c>
      <c r="I277" s="73" t="str">
        <f>IFERROR(VLOOKUP(F277,'Employees List'!$E$1:$AE$991,6,0),"")</f>
        <v/>
      </c>
      <c r="J277" s="71">
        <f t="shared" si="3"/>
        <v>0</v>
      </c>
      <c r="K277" s="71">
        <f t="shared" si="4"/>
        <v>0</v>
      </c>
      <c r="L277" s="10" t="str">
        <f>IFERROR(VLOOKUP(B277,'Employees List'!$A$2:$K$991,11,0),"")</f>
        <v/>
      </c>
      <c r="M277" s="74" t="str">
        <f>IFERROR(VLOOKUP(D277,'Daily Attendance 25-26'!$A$4:BP999,5,0),"")</f>
        <v/>
      </c>
      <c r="N277" s="10" t="str">
        <f>IFERROR(VLOOKUP(E277,'Daily Attendance 25-26'!$A$1:$BO$1741,5,0),"")</f>
        <v/>
      </c>
      <c r="O277" s="10"/>
      <c r="P277" s="10"/>
      <c r="Q277" s="10" t="str">
        <f t="shared" si="5"/>
        <v>#DIV/0!</v>
      </c>
      <c r="R277" s="10" t="str">
        <f t="shared" si="6"/>
        <v>#DIV/0!</v>
      </c>
      <c r="S277" s="10" t="str">
        <f t="shared" si="23"/>
        <v>#DIV/0!</v>
      </c>
      <c r="T277" s="10" t="str">
        <f t="shared" si="22"/>
        <v>#DIV/0!</v>
      </c>
      <c r="U277" s="10" t="str">
        <f t="shared" si="8"/>
        <v>#DIV/0!</v>
      </c>
      <c r="V277" s="10"/>
      <c r="W277" s="10"/>
      <c r="X277" s="10"/>
      <c r="Y277" s="10"/>
      <c r="Z277" s="10"/>
      <c r="AA277" s="10"/>
      <c r="AB277" s="10"/>
      <c r="AC277" s="10"/>
      <c r="AD277" s="10"/>
      <c r="AE277" s="10"/>
      <c r="AF277" s="10"/>
    </row>
    <row r="278" hidden="1">
      <c r="A278" s="9" t="s">
        <v>495</v>
      </c>
      <c r="B278" s="84"/>
      <c r="C278" s="9"/>
      <c r="D278" s="9" t="str">
        <f t="shared" si="1"/>
        <v/>
      </c>
      <c r="E278" s="10" t="str">
        <f t="shared" si="2"/>
        <v>OT Hours</v>
      </c>
      <c r="F278" s="10" t="str">
        <f>IFERROR(VLOOKUP(C278,'Employees List'!$B$1:$I$999,4,0),"")</f>
        <v/>
      </c>
      <c r="G278" s="10" t="str">
        <f t="shared" si="21"/>
        <v>#DIV/0!</v>
      </c>
      <c r="H278" s="72" t="str">
        <f>IFERROR(VLOOKUP(C278,'Employees List'!$B$2:$I$991,7,0),"")</f>
        <v/>
      </c>
      <c r="I278" s="73" t="str">
        <f>IFERROR(VLOOKUP(F278,'Employees List'!$E$1:$AE$991,6,0),"")</f>
        <v/>
      </c>
      <c r="J278" s="71">
        <f t="shared" si="3"/>
        <v>0</v>
      </c>
      <c r="K278" s="71">
        <f t="shared" si="4"/>
        <v>0</v>
      </c>
      <c r="L278" s="10" t="str">
        <f>IFERROR(VLOOKUP(B278,'Employees List'!$A$2:$K$991,11,0),"")</f>
        <v/>
      </c>
      <c r="M278" s="74" t="str">
        <f>IFERROR(VLOOKUP(D278,'Daily Attendance 25-26'!$A$4:BP999,5,0),"")</f>
        <v/>
      </c>
      <c r="N278" s="10" t="str">
        <f>IFERROR(VLOOKUP(E278,'Daily Attendance 25-26'!$A$1:$BO$1741,5,0),"")</f>
        <v/>
      </c>
      <c r="O278" s="10"/>
      <c r="P278" s="10"/>
      <c r="Q278" s="10" t="str">
        <f t="shared" si="5"/>
        <v>#DIV/0!</v>
      </c>
      <c r="R278" s="10" t="str">
        <f t="shared" si="6"/>
        <v>#DIV/0!</v>
      </c>
      <c r="S278" s="10" t="str">
        <f t="shared" si="23"/>
        <v>#DIV/0!</v>
      </c>
      <c r="T278" s="10" t="str">
        <f t="shared" si="22"/>
        <v>#DIV/0!</v>
      </c>
      <c r="U278" s="10" t="str">
        <f t="shared" si="8"/>
        <v>#DIV/0!</v>
      </c>
      <c r="V278" s="10"/>
      <c r="W278" s="10"/>
      <c r="X278" s="10"/>
      <c r="Y278" s="10"/>
      <c r="Z278" s="10"/>
      <c r="AA278" s="10"/>
      <c r="AB278" s="10"/>
      <c r="AC278" s="10"/>
      <c r="AD278" s="10"/>
      <c r="AE278" s="10"/>
      <c r="AF278" s="10"/>
    </row>
    <row r="279" hidden="1">
      <c r="A279" s="9" t="s">
        <v>496</v>
      </c>
      <c r="B279" s="84"/>
      <c r="C279" s="9"/>
      <c r="D279" s="9" t="str">
        <f t="shared" si="1"/>
        <v/>
      </c>
      <c r="E279" s="10" t="str">
        <f t="shared" si="2"/>
        <v>OT Hours</v>
      </c>
      <c r="F279" s="10" t="str">
        <f>IFERROR(VLOOKUP(C279,'Employees List'!$B$1:$I$999,4,0),"")</f>
        <v/>
      </c>
      <c r="G279" s="10" t="str">
        <f t="shared" si="21"/>
        <v>#DIV/0!</v>
      </c>
      <c r="H279" s="72" t="str">
        <f>IFERROR(VLOOKUP(C279,'Employees List'!$B$2:$I$991,7,0),"")</f>
        <v/>
      </c>
      <c r="I279" s="73" t="str">
        <f>IFERROR(VLOOKUP(F279,'Employees List'!$E$1:$AE$991,6,0),"")</f>
        <v/>
      </c>
      <c r="J279" s="71">
        <f t="shared" si="3"/>
        <v>0</v>
      </c>
      <c r="K279" s="71">
        <f t="shared" si="4"/>
        <v>0</v>
      </c>
      <c r="L279" s="10" t="str">
        <f>IFERROR(VLOOKUP(B279,'Employees List'!$A$2:$K$991,11,0),"")</f>
        <v/>
      </c>
      <c r="M279" s="74" t="str">
        <f>IFERROR(VLOOKUP(D279,'Daily Attendance 25-26'!$A$4:BP999,5,0),"")</f>
        <v/>
      </c>
      <c r="N279" s="10" t="str">
        <f>IFERROR(VLOOKUP(E279,'Daily Attendance 25-26'!$A$1:$BO$1741,5,0),"")</f>
        <v/>
      </c>
      <c r="O279" s="10"/>
      <c r="P279" s="10"/>
      <c r="Q279" s="10" t="str">
        <f t="shared" si="5"/>
        <v>#DIV/0!</v>
      </c>
      <c r="R279" s="10" t="str">
        <f t="shared" si="6"/>
        <v>#DIV/0!</v>
      </c>
      <c r="S279" s="10" t="str">
        <f t="shared" si="23"/>
        <v>#DIV/0!</v>
      </c>
      <c r="T279" s="10" t="str">
        <f t="shared" si="22"/>
        <v>#DIV/0!</v>
      </c>
      <c r="U279" s="10" t="str">
        <f t="shared" si="8"/>
        <v>#DIV/0!</v>
      </c>
      <c r="V279" s="10"/>
      <c r="W279" s="10"/>
      <c r="X279" s="10"/>
      <c r="Y279" s="10"/>
      <c r="Z279" s="10"/>
      <c r="AA279" s="10"/>
      <c r="AB279" s="10"/>
      <c r="AC279" s="10"/>
      <c r="AD279" s="10"/>
      <c r="AE279" s="10"/>
      <c r="AF279" s="10"/>
    </row>
    <row r="280" hidden="1">
      <c r="A280" s="9" t="s">
        <v>497</v>
      </c>
      <c r="B280" s="84"/>
      <c r="C280" s="9"/>
      <c r="D280" s="9" t="str">
        <f t="shared" si="1"/>
        <v/>
      </c>
      <c r="E280" s="10" t="str">
        <f t="shared" si="2"/>
        <v>OT Hours</v>
      </c>
      <c r="F280" s="10" t="str">
        <f>IFERROR(VLOOKUP(C280,'Employees List'!$B$1:$I$999,4,0),"")</f>
        <v/>
      </c>
      <c r="G280" s="10" t="str">
        <f t="shared" si="21"/>
        <v>#DIV/0!</v>
      </c>
      <c r="H280" s="72" t="str">
        <f>IFERROR(VLOOKUP(C280,'Employees List'!$B$2:$I$991,7,0),"")</f>
        <v/>
      </c>
      <c r="I280" s="73" t="str">
        <f>IFERROR(VLOOKUP(F280,'Employees List'!$E$1:$AE$991,6,0),"")</f>
        <v/>
      </c>
      <c r="J280" s="71">
        <f t="shared" si="3"/>
        <v>0</v>
      </c>
      <c r="K280" s="71">
        <f t="shared" si="4"/>
        <v>0</v>
      </c>
      <c r="L280" s="10" t="str">
        <f>IFERROR(VLOOKUP(B280,'Employees List'!$A$2:$K$991,11,0),"")</f>
        <v/>
      </c>
      <c r="M280" s="74" t="str">
        <f>IFERROR(VLOOKUP(D280,'Daily Attendance 25-26'!$A$4:BP999,5,0),"")</f>
        <v/>
      </c>
      <c r="N280" s="10" t="str">
        <f>IFERROR(VLOOKUP(E280,'Daily Attendance 25-26'!$A$1:$BO$1741,5,0),"")</f>
        <v/>
      </c>
      <c r="O280" s="10"/>
      <c r="P280" s="10"/>
      <c r="Q280" s="10" t="str">
        <f t="shared" si="5"/>
        <v>#DIV/0!</v>
      </c>
      <c r="R280" s="10" t="str">
        <f t="shared" si="6"/>
        <v>#DIV/0!</v>
      </c>
      <c r="S280" s="10" t="str">
        <f t="shared" si="23"/>
        <v>#DIV/0!</v>
      </c>
      <c r="T280" s="10" t="str">
        <f t="shared" si="22"/>
        <v>#DIV/0!</v>
      </c>
      <c r="U280" s="10" t="str">
        <f t="shared" si="8"/>
        <v>#DIV/0!</v>
      </c>
      <c r="V280" s="10"/>
      <c r="W280" s="10"/>
      <c r="X280" s="10"/>
      <c r="Y280" s="10"/>
      <c r="Z280" s="10"/>
      <c r="AA280" s="10"/>
      <c r="AB280" s="10"/>
      <c r="AC280" s="10"/>
      <c r="AD280" s="10"/>
      <c r="AE280" s="10"/>
      <c r="AF280" s="10"/>
    </row>
    <row r="281" hidden="1">
      <c r="A281" s="9" t="s">
        <v>498</v>
      </c>
      <c r="B281" s="84"/>
      <c r="C281" s="9"/>
      <c r="D281" s="9" t="str">
        <f t="shared" si="1"/>
        <v/>
      </c>
      <c r="E281" s="10" t="str">
        <f t="shared" si="2"/>
        <v>OT Hours</v>
      </c>
      <c r="F281" s="10" t="str">
        <f>IFERROR(VLOOKUP(C281,'Employees List'!$B$1:$I$999,4,0),"")</f>
        <v/>
      </c>
      <c r="G281" s="10" t="str">
        <f t="shared" si="21"/>
        <v>#DIV/0!</v>
      </c>
      <c r="H281" s="72" t="str">
        <f>IFERROR(VLOOKUP(C281,'Employees List'!$B$2:$I$991,7,0),"")</f>
        <v/>
      </c>
      <c r="I281" s="73" t="str">
        <f>IFERROR(VLOOKUP(F281,'Employees List'!$E$1:$AE$991,6,0),"")</f>
        <v/>
      </c>
      <c r="J281" s="71">
        <f t="shared" si="3"/>
        <v>0</v>
      </c>
      <c r="K281" s="71">
        <f t="shared" si="4"/>
        <v>0</v>
      </c>
      <c r="L281" s="10" t="str">
        <f>IFERROR(VLOOKUP(B281,'Employees List'!$A$2:$K$991,11,0),"")</f>
        <v/>
      </c>
      <c r="M281" s="74" t="str">
        <f>IFERROR(VLOOKUP(D281,'Daily Attendance 25-26'!$A$4:BP999,5,0),"")</f>
        <v/>
      </c>
      <c r="N281" s="10" t="str">
        <f>IFERROR(VLOOKUP(E281,'Daily Attendance 25-26'!$A$1:$BO$1741,5,0),"")</f>
        <v/>
      </c>
      <c r="O281" s="10"/>
      <c r="P281" s="10"/>
      <c r="Q281" s="10" t="str">
        <f t="shared" si="5"/>
        <v>#DIV/0!</v>
      </c>
      <c r="R281" s="10" t="str">
        <f t="shared" si="6"/>
        <v>#DIV/0!</v>
      </c>
      <c r="S281" s="10" t="str">
        <f t="shared" si="23"/>
        <v>#DIV/0!</v>
      </c>
      <c r="T281" s="10" t="str">
        <f t="shared" si="22"/>
        <v>#DIV/0!</v>
      </c>
      <c r="U281" s="10" t="str">
        <f t="shared" si="8"/>
        <v>#DIV/0!</v>
      </c>
      <c r="V281" s="10"/>
      <c r="W281" s="10"/>
      <c r="X281" s="10"/>
      <c r="Y281" s="10"/>
      <c r="Z281" s="10"/>
      <c r="AA281" s="10"/>
      <c r="AB281" s="10"/>
      <c r="AC281" s="10"/>
      <c r="AD281" s="10"/>
      <c r="AE281" s="10"/>
      <c r="AF281" s="10"/>
    </row>
    <row r="282" hidden="1">
      <c r="A282" s="9" t="s">
        <v>499</v>
      </c>
      <c r="B282" s="84"/>
      <c r="C282" s="9"/>
      <c r="D282" s="9" t="str">
        <f t="shared" si="1"/>
        <v/>
      </c>
      <c r="E282" s="10" t="str">
        <f t="shared" si="2"/>
        <v>OT Hours</v>
      </c>
      <c r="F282" s="10" t="str">
        <f>IFERROR(VLOOKUP(C282,'Employees List'!$B$1:$I$999,4,0),"")</f>
        <v/>
      </c>
      <c r="G282" s="10" t="str">
        <f t="shared" si="21"/>
        <v>#DIV/0!</v>
      </c>
      <c r="H282" s="72" t="str">
        <f>IFERROR(VLOOKUP(C282,'Employees List'!$B$2:$I$991,7,0),"")</f>
        <v/>
      </c>
      <c r="I282" s="73" t="str">
        <f>IFERROR(VLOOKUP(F282,'Employees List'!$E$1:$AE$991,6,0),"")</f>
        <v/>
      </c>
      <c r="J282" s="71">
        <f t="shared" si="3"/>
        <v>0</v>
      </c>
      <c r="K282" s="71">
        <f t="shared" si="4"/>
        <v>0</v>
      </c>
      <c r="L282" s="10" t="str">
        <f>IFERROR(VLOOKUP(B282,'Employees List'!$A$2:$K$991,11,0),"")</f>
        <v/>
      </c>
      <c r="M282" s="74" t="str">
        <f>IFERROR(VLOOKUP(D282,'Daily Attendance 25-26'!$A$4:BP999,5,0),"")</f>
        <v/>
      </c>
      <c r="N282" s="10" t="str">
        <f>IFERROR(VLOOKUP(E282,'Daily Attendance 25-26'!$A$1:$BO$1741,5,0),"")</f>
        <v/>
      </c>
      <c r="O282" s="10"/>
      <c r="P282" s="10"/>
      <c r="Q282" s="10" t="str">
        <f t="shared" si="5"/>
        <v>#DIV/0!</v>
      </c>
      <c r="R282" s="10" t="str">
        <f t="shared" si="6"/>
        <v>#DIV/0!</v>
      </c>
      <c r="S282" s="10" t="str">
        <f t="shared" si="23"/>
        <v>#DIV/0!</v>
      </c>
      <c r="T282" s="10" t="str">
        <f t="shared" si="22"/>
        <v>#DIV/0!</v>
      </c>
      <c r="U282" s="10" t="str">
        <f t="shared" si="8"/>
        <v>#DIV/0!</v>
      </c>
      <c r="V282" s="10"/>
      <c r="W282" s="10"/>
      <c r="X282" s="10"/>
      <c r="Y282" s="10"/>
      <c r="Z282" s="10"/>
      <c r="AA282" s="10"/>
      <c r="AB282" s="10"/>
      <c r="AC282" s="10"/>
      <c r="AD282" s="10"/>
      <c r="AE282" s="10"/>
      <c r="AF282" s="10"/>
    </row>
    <row r="283" hidden="1">
      <c r="A283" s="9" t="s">
        <v>500</v>
      </c>
      <c r="B283" s="84"/>
      <c r="C283" s="9"/>
      <c r="D283" s="9" t="str">
        <f t="shared" si="1"/>
        <v/>
      </c>
      <c r="E283" s="10" t="str">
        <f t="shared" si="2"/>
        <v>OT Hours</v>
      </c>
      <c r="F283" s="10" t="str">
        <f>IFERROR(VLOOKUP(C283,'Employees List'!$B$1:$I$999,4,0),"")</f>
        <v/>
      </c>
      <c r="G283" s="10" t="str">
        <f t="shared" si="21"/>
        <v>#DIV/0!</v>
      </c>
      <c r="H283" s="72" t="str">
        <f>IFERROR(VLOOKUP(C283,'Employees List'!$B$2:$I$991,7,0),"")</f>
        <v/>
      </c>
      <c r="I283" s="73" t="str">
        <f>IFERROR(VLOOKUP(F283,'Employees List'!$E$1:$AE$991,6,0),"")</f>
        <v/>
      </c>
      <c r="J283" s="71">
        <f t="shared" si="3"/>
        <v>0</v>
      </c>
      <c r="K283" s="71">
        <f t="shared" si="4"/>
        <v>0</v>
      </c>
      <c r="L283" s="10" t="str">
        <f>IFERROR(VLOOKUP(B283,'Employees List'!$A$2:$K$991,11,0),"")</f>
        <v/>
      </c>
      <c r="M283" s="74" t="str">
        <f>IFERROR(VLOOKUP(D283,'Daily Attendance 25-26'!$A$4:BP999,5,0),"")</f>
        <v/>
      </c>
      <c r="N283" s="10" t="str">
        <f>IFERROR(VLOOKUP(E283,'Daily Attendance 25-26'!$A$1:$BO$1741,5,0),"")</f>
        <v/>
      </c>
      <c r="O283" s="10"/>
      <c r="P283" s="10"/>
      <c r="Q283" s="10" t="str">
        <f t="shared" si="5"/>
        <v>#DIV/0!</v>
      </c>
      <c r="R283" s="10" t="str">
        <f t="shared" si="6"/>
        <v>#DIV/0!</v>
      </c>
      <c r="S283" s="10" t="str">
        <f t="shared" si="23"/>
        <v>#DIV/0!</v>
      </c>
      <c r="T283" s="10" t="str">
        <f t="shared" si="22"/>
        <v>#DIV/0!</v>
      </c>
      <c r="U283" s="10" t="str">
        <f t="shared" si="8"/>
        <v>#DIV/0!</v>
      </c>
      <c r="V283" s="10"/>
      <c r="W283" s="10"/>
      <c r="X283" s="10"/>
      <c r="Y283" s="10"/>
      <c r="Z283" s="10"/>
      <c r="AA283" s="10"/>
      <c r="AB283" s="10"/>
      <c r="AC283" s="10"/>
      <c r="AD283" s="10"/>
      <c r="AE283" s="10"/>
      <c r="AF283" s="10"/>
    </row>
    <row r="284" hidden="1">
      <c r="A284" s="9" t="s">
        <v>501</v>
      </c>
      <c r="B284" s="84"/>
      <c r="C284" s="9"/>
      <c r="D284" s="9" t="str">
        <f t="shared" si="1"/>
        <v/>
      </c>
      <c r="E284" s="10" t="str">
        <f t="shared" si="2"/>
        <v>OT Hours</v>
      </c>
      <c r="F284" s="10" t="str">
        <f>IFERROR(VLOOKUP(C284,'Employees List'!$B$1:$I$999,4,0),"")</f>
        <v/>
      </c>
      <c r="G284" s="10" t="str">
        <f t="shared" si="21"/>
        <v>#DIV/0!</v>
      </c>
      <c r="H284" s="72" t="str">
        <f>IFERROR(VLOOKUP(C284,'Employees List'!$B$2:$I$991,7,0),"")</f>
        <v/>
      </c>
      <c r="I284" s="73" t="str">
        <f>IFERROR(VLOOKUP(F284,'Employees List'!$E$1:$AE$991,6,0),"")</f>
        <v/>
      </c>
      <c r="J284" s="71">
        <f t="shared" si="3"/>
        <v>0</v>
      </c>
      <c r="K284" s="71">
        <f t="shared" si="4"/>
        <v>0</v>
      </c>
      <c r="L284" s="10" t="str">
        <f>IFERROR(VLOOKUP(B284,'Employees List'!$A$2:$K$991,11,0),"")</f>
        <v/>
      </c>
      <c r="M284" s="74" t="str">
        <f>IFERROR(VLOOKUP(D284,'Daily Attendance 25-26'!$A$4:BP999,5,0),"")</f>
        <v/>
      </c>
      <c r="N284" s="10" t="str">
        <f>IFERROR(VLOOKUP(E284,'Daily Attendance 25-26'!$A$1:$BO$1741,5,0),"")</f>
        <v/>
      </c>
      <c r="O284" s="10"/>
      <c r="P284" s="10"/>
      <c r="Q284" s="10" t="str">
        <f t="shared" si="5"/>
        <v>#DIV/0!</v>
      </c>
      <c r="R284" s="10" t="str">
        <f t="shared" si="6"/>
        <v>#DIV/0!</v>
      </c>
      <c r="S284" s="10" t="str">
        <f t="shared" si="23"/>
        <v>#DIV/0!</v>
      </c>
      <c r="T284" s="10" t="str">
        <f t="shared" si="22"/>
        <v>#DIV/0!</v>
      </c>
      <c r="U284" s="10" t="str">
        <f t="shared" si="8"/>
        <v>#DIV/0!</v>
      </c>
      <c r="V284" s="10"/>
      <c r="W284" s="10"/>
      <c r="X284" s="10"/>
      <c r="Y284" s="10"/>
      <c r="Z284" s="10"/>
      <c r="AA284" s="10"/>
      <c r="AB284" s="10"/>
      <c r="AC284" s="10"/>
      <c r="AD284" s="10"/>
      <c r="AE284" s="10"/>
      <c r="AF284" s="10"/>
    </row>
    <row r="285" hidden="1">
      <c r="A285" s="9" t="s">
        <v>502</v>
      </c>
      <c r="B285" s="84"/>
      <c r="C285" s="9"/>
      <c r="D285" s="9" t="str">
        <f t="shared" si="1"/>
        <v/>
      </c>
      <c r="E285" s="10" t="str">
        <f t="shared" si="2"/>
        <v>OT Hours</v>
      </c>
      <c r="F285" s="10" t="str">
        <f>IFERROR(VLOOKUP(C285,'Employees List'!$B$1:$I$999,4,0),"")</f>
        <v/>
      </c>
      <c r="G285" s="10" t="str">
        <f t="shared" si="21"/>
        <v>#DIV/0!</v>
      </c>
      <c r="H285" s="72" t="str">
        <f>IFERROR(VLOOKUP(C285,'Employees List'!$B$2:$I$991,7,0),"")</f>
        <v/>
      </c>
      <c r="I285" s="73" t="str">
        <f>IFERROR(VLOOKUP(F285,'Employees List'!$E$1:$AE$991,6,0),"")</f>
        <v/>
      </c>
      <c r="J285" s="71">
        <f t="shared" si="3"/>
        <v>0</v>
      </c>
      <c r="K285" s="71">
        <f t="shared" si="4"/>
        <v>0</v>
      </c>
      <c r="L285" s="10" t="str">
        <f>IFERROR(VLOOKUP(B285,'Employees List'!$A$2:$K$991,11,0),"")</f>
        <v/>
      </c>
      <c r="M285" s="74" t="str">
        <f>IFERROR(VLOOKUP(D285,'Daily Attendance 25-26'!$A$4:BP999,5,0),"")</f>
        <v/>
      </c>
      <c r="N285" s="10" t="str">
        <f>IFERROR(VLOOKUP(E285,'Daily Attendance 25-26'!$A$1:$BO$1741,5,0),"")</f>
        <v/>
      </c>
      <c r="O285" s="10"/>
      <c r="P285" s="10"/>
      <c r="Q285" s="10" t="str">
        <f t="shared" si="5"/>
        <v>#DIV/0!</v>
      </c>
      <c r="R285" s="10" t="str">
        <f t="shared" si="6"/>
        <v>#DIV/0!</v>
      </c>
      <c r="S285" s="10" t="str">
        <f t="shared" si="23"/>
        <v>#DIV/0!</v>
      </c>
      <c r="T285" s="10" t="str">
        <f t="shared" si="22"/>
        <v>#DIV/0!</v>
      </c>
      <c r="U285" s="10" t="str">
        <f t="shared" si="8"/>
        <v>#DIV/0!</v>
      </c>
      <c r="V285" s="10"/>
      <c r="W285" s="10"/>
      <c r="X285" s="10"/>
      <c r="Y285" s="10"/>
      <c r="Z285" s="10"/>
      <c r="AA285" s="10"/>
      <c r="AB285" s="10"/>
      <c r="AC285" s="10"/>
      <c r="AD285" s="10"/>
      <c r="AE285" s="10"/>
      <c r="AF285" s="10"/>
    </row>
    <row r="286" hidden="1">
      <c r="A286" s="9" t="s">
        <v>503</v>
      </c>
      <c r="B286" s="84"/>
      <c r="C286" s="9"/>
      <c r="D286" s="9" t="str">
        <f t="shared" si="1"/>
        <v/>
      </c>
      <c r="E286" s="10" t="str">
        <f t="shared" si="2"/>
        <v>OT Hours</v>
      </c>
      <c r="F286" s="10" t="str">
        <f>IFERROR(VLOOKUP(C286,'Employees List'!$B$1:$I$999,4,0),"")</f>
        <v/>
      </c>
      <c r="G286" s="10" t="str">
        <f t="shared" si="21"/>
        <v>#DIV/0!</v>
      </c>
      <c r="H286" s="72" t="str">
        <f>IFERROR(VLOOKUP(C286,'Employees List'!$B$2:$I$991,7,0),"")</f>
        <v/>
      </c>
      <c r="I286" s="73" t="str">
        <f>IFERROR(VLOOKUP(F286,'Employees List'!$E$1:$AE$991,6,0),"")</f>
        <v/>
      </c>
      <c r="J286" s="71">
        <f t="shared" si="3"/>
        <v>0</v>
      </c>
      <c r="K286" s="71">
        <f t="shared" si="4"/>
        <v>0</v>
      </c>
      <c r="L286" s="10" t="str">
        <f>IFERROR(VLOOKUP(B286,'Employees List'!$A$2:$K$991,11,0),"")</f>
        <v/>
      </c>
      <c r="M286" s="74" t="str">
        <f>IFERROR(VLOOKUP(D286,'Daily Attendance 25-26'!$A$4:BP999,5,0),"")</f>
        <v/>
      </c>
      <c r="N286" s="10" t="str">
        <f>IFERROR(VLOOKUP(E286,'Daily Attendance 25-26'!$A$1:$BO$1741,5,0),"")</f>
        <v/>
      </c>
      <c r="O286" s="10"/>
      <c r="P286" s="10"/>
      <c r="Q286" s="10" t="str">
        <f t="shared" si="5"/>
        <v>#DIV/0!</v>
      </c>
      <c r="R286" s="10" t="str">
        <f t="shared" si="6"/>
        <v>#DIV/0!</v>
      </c>
      <c r="S286" s="10" t="str">
        <f t="shared" si="23"/>
        <v>#DIV/0!</v>
      </c>
      <c r="T286" s="10" t="str">
        <f t="shared" si="22"/>
        <v>#DIV/0!</v>
      </c>
      <c r="U286" s="10" t="str">
        <f t="shared" si="8"/>
        <v>#DIV/0!</v>
      </c>
      <c r="V286" s="10"/>
      <c r="W286" s="10"/>
      <c r="X286" s="10"/>
      <c r="Y286" s="10"/>
      <c r="Z286" s="10"/>
      <c r="AA286" s="10"/>
      <c r="AB286" s="10"/>
      <c r="AC286" s="10"/>
      <c r="AD286" s="10"/>
      <c r="AE286" s="10"/>
      <c r="AF286" s="10"/>
    </row>
    <row r="287" hidden="1">
      <c r="A287" s="9" t="s">
        <v>504</v>
      </c>
      <c r="B287" s="84"/>
      <c r="C287" s="9"/>
      <c r="D287" s="9" t="str">
        <f t="shared" si="1"/>
        <v/>
      </c>
      <c r="E287" s="10" t="str">
        <f t="shared" si="2"/>
        <v>OT Hours</v>
      </c>
      <c r="F287" s="10" t="str">
        <f>IFERROR(VLOOKUP(C287,'Employees List'!$B$1:$I$999,4,0),"")</f>
        <v/>
      </c>
      <c r="G287" s="10" t="str">
        <f t="shared" si="21"/>
        <v>#DIV/0!</v>
      </c>
      <c r="H287" s="72" t="str">
        <f>IFERROR(VLOOKUP(C287,'Employees List'!$B$2:$I$991,7,0),"")</f>
        <v/>
      </c>
      <c r="I287" s="73" t="str">
        <f>IFERROR(VLOOKUP(F287,'Employees List'!$E$1:$AE$991,6,0),"")</f>
        <v/>
      </c>
      <c r="J287" s="71">
        <f t="shared" si="3"/>
        <v>0</v>
      </c>
      <c r="K287" s="71">
        <f t="shared" si="4"/>
        <v>0</v>
      </c>
      <c r="L287" s="10" t="str">
        <f>IFERROR(VLOOKUP(B287,'Employees List'!$A$2:$K$991,11,0),"")</f>
        <v/>
      </c>
      <c r="M287" s="74" t="str">
        <f>IFERROR(VLOOKUP(D287,'Daily Attendance 25-26'!$A$4:BP999,5,0),"")</f>
        <v/>
      </c>
      <c r="N287" s="10" t="str">
        <f>IFERROR(VLOOKUP(E287,'Daily Attendance 25-26'!$A$1:$BO$1741,5,0),"")</f>
        <v/>
      </c>
      <c r="O287" s="10"/>
      <c r="P287" s="10"/>
      <c r="Q287" s="10" t="str">
        <f t="shared" si="5"/>
        <v>#DIV/0!</v>
      </c>
      <c r="R287" s="10" t="str">
        <f t="shared" si="6"/>
        <v>#DIV/0!</v>
      </c>
      <c r="S287" s="10" t="str">
        <f t="shared" si="23"/>
        <v>#DIV/0!</v>
      </c>
      <c r="T287" s="10" t="str">
        <f t="shared" si="22"/>
        <v>#DIV/0!</v>
      </c>
      <c r="U287" s="10" t="str">
        <f t="shared" si="8"/>
        <v>#DIV/0!</v>
      </c>
      <c r="V287" s="10"/>
      <c r="W287" s="10"/>
      <c r="X287" s="10"/>
      <c r="Y287" s="10"/>
      <c r="Z287" s="10"/>
      <c r="AA287" s="10"/>
      <c r="AB287" s="10"/>
      <c r="AC287" s="10"/>
      <c r="AD287" s="10"/>
      <c r="AE287" s="10"/>
      <c r="AF287" s="10"/>
    </row>
    <row r="288" hidden="1">
      <c r="A288" s="9" t="s">
        <v>505</v>
      </c>
      <c r="B288" s="84"/>
      <c r="C288" s="9"/>
      <c r="D288" s="9" t="str">
        <f t="shared" si="1"/>
        <v/>
      </c>
      <c r="E288" s="10" t="str">
        <f t="shared" si="2"/>
        <v>OT Hours</v>
      </c>
      <c r="F288" s="10" t="str">
        <f>IFERROR(VLOOKUP(C288,'Employees List'!$B$1:$I$999,4,0),"")</f>
        <v/>
      </c>
      <c r="G288" s="10" t="str">
        <f t="shared" si="21"/>
        <v>#DIV/0!</v>
      </c>
      <c r="H288" s="72" t="str">
        <f>IFERROR(VLOOKUP(C288,'Employees List'!$B$2:$I$991,7,0),"")</f>
        <v/>
      </c>
      <c r="I288" s="73" t="str">
        <f>IFERROR(VLOOKUP(F288,'Employees List'!$E$1:$AE$991,6,0),"")</f>
        <v/>
      </c>
      <c r="J288" s="71">
        <f t="shared" si="3"/>
        <v>0</v>
      </c>
      <c r="K288" s="71">
        <f t="shared" si="4"/>
        <v>0</v>
      </c>
      <c r="L288" s="10" t="str">
        <f>IFERROR(VLOOKUP(B288,'Employees List'!$A$2:$K$991,11,0),"")</f>
        <v/>
      </c>
      <c r="M288" s="74" t="str">
        <f>IFERROR(VLOOKUP(D288,'Daily Attendance 25-26'!$A$4:BP999,5,0),"")</f>
        <v/>
      </c>
      <c r="N288" s="10" t="str">
        <f>IFERROR(VLOOKUP(E288,'Daily Attendance 25-26'!$A$1:$BO$1741,5,0),"")</f>
        <v/>
      </c>
      <c r="O288" s="10"/>
      <c r="P288" s="10"/>
      <c r="Q288" s="10" t="str">
        <f t="shared" si="5"/>
        <v>#DIV/0!</v>
      </c>
      <c r="R288" s="10" t="str">
        <f t="shared" si="6"/>
        <v>#DIV/0!</v>
      </c>
      <c r="S288" s="10" t="str">
        <f t="shared" si="23"/>
        <v>#DIV/0!</v>
      </c>
      <c r="T288" s="10" t="str">
        <f t="shared" si="22"/>
        <v>#DIV/0!</v>
      </c>
      <c r="U288" s="10" t="str">
        <f t="shared" si="8"/>
        <v>#DIV/0!</v>
      </c>
      <c r="V288" s="10"/>
      <c r="W288" s="10"/>
      <c r="X288" s="10"/>
      <c r="Y288" s="10"/>
      <c r="Z288" s="10"/>
      <c r="AA288" s="10"/>
      <c r="AB288" s="10"/>
      <c r="AC288" s="10"/>
      <c r="AD288" s="10"/>
      <c r="AE288" s="10"/>
      <c r="AF288" s="10"/>
    </row>
    <row r="289" hidden="1">
      <c r="A289" s="9" t="s">
        <v>506</v>
      </c>
      <c r="B289" s="84"/>
      <c r="C289" s="9"/>
      <c r="D289" s="9" t="str">
        <f t="shared" si="1"/>
        <v/>
      </c>
      <c r="E289" s="10" t="str">
        <f t="shared" si="2"/>
        <v>OT Hours</v>
      </c>
      <c r="F289" s="10" t="str">
        <f>IFERROR(VLOOKUP(C289,'Employees List'!$B$1:$I$999,4,0),"")</f>
        <v/>
      </c>
      <c r="G289" s="10" t="str">
        <f t="shared" si="21"/>
        <v>#DIV/0!</v>
      </c>
      <c r="H289" s="72" t="str">
        <f>IFERROR(VLOOKUP(C289,'Employees List'!$B$2:$I$991,7,0),"")</f>
        <v/>
      </c>
      <c r="I289" s="73" t="str">
        <f>IFERROR(VLOOKUP(F289,'Employees List'!$E$1:$AE$991,6,0),"")</f>
        <v/>
      </c>
      <c r="J289" s="71">
        <f t="shared" si="3"/>
        <v>0</v>
      </c>
      <c r="K289" s="71">
        <f t="shared" si="4"/>
        <v>0</v>
      </c>
      <c r="L289" s="10" t="str">
        <f>IFERROR(VLOOKUP(B289,'Employees List'!$A$2:$K$991,11,0),"")</f>
        <v/>
      </c>
      <c r="M289" s="74" t="str">
        <f>IFERROR(VLOOKUP(D289,'Daily Attendance 25-26'!$A$4:BP999,5,0),"")</f>
        <v/>
      </c>
      <c r="N289" s="10" t="str">
        <f>IFERROR(VLOOKUP(E289,'Daily Attendance 25-26'!$A$1:$BO$1741,5,0),"")</f>
        <v/>
      </c>
      <c r="O289" s="10"/>
      <c r="P289" s="10"/>
      <c r="Q289" s="10" t="str">
        <f t="shared" si="5"/>
        <v>#DIV/0!</v>
      </c>
      <c r="R289" s="10" t="str">
        <f t="shared" si="6"/>
        <v>#DIV/0!</v>
      </c>
      <c r="S289" s="10" t="str">
        <f t="shared" si="23"/>
        <v>#DIV/0!</v>
      </c>
      <c r="T289" s="10" t="str">
        <f t="shared" si="22"/>
        <v>#DIV/0!</v>
      </c>
      <c r="U289" s="10" t="str">
        <f t="shared" si="8"/>
        <v>#DIV/0!</v>
      </c>
      <c r="V289" s="10"/>
      <c r="W289" s="10"/>
      <c r="X289" s="10"/>
      <c r="Y289" s="10"/>
      <c r="Z289" s="10"/>
      <c r="AA289" s="10"/>
      <c r="AB289" s="10"/>
      <c r="AC289" s="10"/>
      <c r="AD289" s="10"/>
      <c r="AE289" s="10"/>
      <c r="AF289" s="10"/>
    </row>
    <row r="290" hidden="1">
      <c r="A290" s="9" t="s">
        <v>507</v>
      </c>
      <c r="B290" s="84"/>
      <c r="C290" s="9"/>
      <c r="D290" s="9" t="str">
        <f t="shared" si="1"/>
        <v/>
      </c>
      <c r="E290" s="10" t="str">
        <f t="shared" si="2"/>
        <v>OT Hours</v>
      </c>
      <c r="F290" s="10" t="str">
        <f>IFERROR(VLOOKUP(C290,'Employees List'!$B$1:$I$999,4,0),"")</f>
        <v/>
      </c>
      <c r="G290" s="10" t="str">
        <f t="shared" si="21"/>
        <v>#DIV/0!</v>
      </c>
      <c r="H290" s="72" t="str">
        <f>IFERROR(VLOOKUP(C290,'Employees List'!$B$2:$I$991,7,0),"")</f>
        <v/>
      </c>
      <c r="I290" s="73" t="str">
        <f>IFERROR(VLOOKUP(F290,'Employees List'!$E$1:$AE$991,6,0),"")</f>
        <v/>
      </c>
      <c r="J290" s="71">
        <f t="shared" si="3"/>
        <v>0</v>
      </c>
      <c r="K290" s="71">
        <f t="shared" si="4"/>
        <v>0</v>
      </c>
      <c r="L290" s="10" t="str">
        <f>IFERROR(VLOOKUP(B290,'Employees List'!$A$2:$K$991,11,0),"")</f>
        <v/>
      </c>
      <c r="M290" s="74" t="str">
        <f>IFERROR(VLOOKUP(D290,'Daily Attendance 25-26'!$A$4:BP999,5,0),"")</f>
        <v/>
      </c>
      <c r="N290" s="10" t="str">
        <f>IFERROR(VLOOKUP(E290,'Daily Attendance 25-26'!$A$1:$BO$1741,5,0),"")</f>
        <v/>
      </c>
      <c r="O290" s="10"/>
      <c r="P290" s="10"/>
      <c r="Q290" s="10" t="str">
        <f t="shared" si="5"/>
        <v>#DIV/0!</v>
      </c>
      <c r="R290" s="10" t="str">
        <f t="shared" si="6"/>
        <v>#DIV/0!</v>
      </c>
      <c r="S290" s="10" t="str">
        <f t="shared" si="23"/>
        <v>#DIV/0!</v>
      </c>
      <c r="T290" s="10" t="str">
        <f t="shared" si="22"/>
        <v>#DIV/0!</v>
      </c>
      <c r="U290" s="10" t="str">
        <f t="shared" si="8"/>
        <v>#DIV/0!</v>
      </c>
      <c r="V290" s="10"/>
      <c r="W290" s="10"/>
      <c r="X290" s="10"/>
      <c r="Y290" s="10"/>
      <c r="Z290" s="10"/>
      <c r="AA290" s="10"/>
      <c r="AB290" s="10"/>
      <c r="AC290" s="10"/>
      <c r="AD290" s="10"/>
      <c r="AE290" s="10"/>
      <c r="AF290" s="10"/>
    </row>
    <row r="291" hidden="1">
      <c r="A291" s="9" t="s">
        <v>508</v>
      </c>
      <c r="B291" s="84"/>
      <c r="C291" s="9"/>
      <c r="D291" s="9" t="str">
        <f t="shared" si="1"/>
        <v/>
      </c>
      <c r="E291" s="10" t="str">
        <f t="shared" si="2"/>
        <v>OT Hours</v>
      </c>
      <c r="F291" s="10" t="str">
        <f>IFERROR(VLOOKUP(C291,'Employees List'!$B$1:$I$999,4,0),"")</f>
        <v/>
      </c>
      <c r="G291" s="10" t="str">
        <f t="shared" si="21"/>
        <v>#DIV/0!</v>
      </c>
      <c r="H291" s="72" t="str">
        <f>IFERROR(VLOOKUP(C291,'Employees List'!$B$2:$I$991,7,0),"")</f>
        <v/>
      </c>
      <c r="I291" s="73" t="str">
        <f>IFERROR(VLOOKUP(F291,'Employees List'!$E$1:$AE$991,6,0),"")</f>
        <v/>
      </c>
      <c r="J291" s="71">
        <f t="shared" si="3"/>
        <v>0</v>
      </c>
      <c r="K291" s="71">
        <f t="shared" si="4"/>
        <v>0</v>
      </c>
      <c r="L291" s="10" t="str">
        <f>IFERROR(VLOOKUP(B291,'Employees List'!$A$2:$K$991,11,0),"")</f>
        <v/>
      </c>
      <c r="M291" s="74" t="str">
        <f>IFERROR(VLOOKUP(D291,'Daily Attendance 25-26'!$A$4:BP999,5,0),"")</f>
        <v/>
      </c>
      <c r="N291" s="10" t="str">
        <f>IFERROR(VLOOKUP(E291,'Daily Attendance 25-26'!$A$1:$BO$1741,5,0),"")</f>
        <v/>
      </c>
      <c r="O291" s="10"/>
      <c r="P291" s="10"/>
      <c r="Q291" s="10" t="str">
        <f t="shared" si="5"/>
        <v>#DIV/0!</v>
      </c>
      <c r="R291" s="10" t="str">
        <f t="shared" si="6"/>
        <v>#DIV/0!</v>
      </c>
      <c r="S291" s="10" t="str">
        <f t="shared" si="23"/>
        <v>#DIV/0!</v>
      </c>
      <c r="T291" s="10" t="str">
        <f t="shared" si="22"/>
        <v>#DIV/0!</v>
      </c>
      <c r="U291" s="10" t="str">
        <f t="shared" si="8"/>
        <v>#DIV/0!</v>
      </c>
      <c r="V291" s="10"/>
      <c r="W291" s="10"/>
      <c r="X291" s="10"/>
      <c r="Y291" s="10"/>
      <c r="Z291" s="10"/>
      <c r="AA291" s="10"/>
      <c r="AB291" s="10"/>
      <c r="AC291" s="10"/>
      <c r="AD291" s="10"/>
      <c r="AE291" s="10"/>
      <c r="AF291" s="10"/>
    </row>
    <row r="292" hidden="1">
      <c r="A292" s="9" t="s">
        <v>509</v>
      </c>
      <c r="B292" s="84"/>
      <c r="C292" s="9"/>
      <c r="D292" s="9" t="str">
        <f t="shared" si="1"/>
        <v/>
      </c>
      <c r="E292" s="10" t="str">
        <f t="shared" si="2"/>
        <v>OT Hours</v>
      </c>
      <c r="F292" s="10" t="str">
        <f>IFERROR(VLOOKUP(C292,'Employees List'!$B$1:$I$999,4,0),"")</f>
        <v/>
      </c>
      <c r="G292" s="10" t="str">
        <f t="shared" si="21"/>
        <v>#DIV/0!</v>
      </c>
      <c r="H292" s="72" t="str">
        <f>IFERROR(VLOOKUP(C292,'Employees List'!$B$2:$I$991,7,0),"")</f>
        <v/>
      </c>
      <c r="I292" s="73" t="str">
        <f>IFERROR(VLOOKUP(F292,'Employees List'!$E$1:$AE$991,6,0),"")</f>
        <v/>
      </c>
      <c r="J292" s="71">
        <f t="shared" si="3"/>
        <v>0</v>
      </c>
      <c r="K292" s="71">
        <f t="shared" si="4"/>
        <v>0</v>
      </c>
      <c r="L292" s="10" t="str">
        <f>IFERROR(VLOOKUP(B292,'Employees List'!$A$2:$K$991,11,0),"")</f>
        <v/>
      </c>
      <c r="M292" s="74" t="str">
        <f>IFERROR(VLOOKUP(D292,'Daily Attendance 25-26'!$A$4:BP999,5,0),"")</f>
        <v/>
      </c>
      <c r="N292" s="10" t="str">
        <f>IFERROR(VLOOKUP(E292,'Daily Attendance 25-26'!$A$1:$BO$1741,5,0),"")</f>
        <v/>
      </c>
      <c r="O292" s="10"/>
      <c r="P292" s="10"/>
      <c r="Q292" s="10" t="str">
        <f t="shared" si="5"/>
        <v>#DIV/0!</v>
      </c>
      <c r="R292" s="10" t="str">
        <f t="shared" si="6"/>
        <v>#DIV/0!</v>
      </c>
      <c r="S292" s="10" t="str">
        <f t="shared" si="23"/>
        <v>#DIV/0!</v>
      </c>
      <c r="T292" s="10" t="str">
        <f t="shared" si="22"/>
        <v>#DIV/0!</v>
      </c>
      <c r="U292" s="10" t="str">
        <f t="shared" si="8"/>
        <v>#DIV/0!</v>
      </c>
      <c r="V292" s="10"/>
      <c r="W292" s="10"/>
      <c r="X292" s="10"/>
      <c r="Y292" s="10"/>
      <c r="Z292" s="10"/>
      <c r="AA292" s="10"/>
      <c r="AB292" s="10"/>
      <c r="AC292" s="10"/>
      <c r="AD292" s="10"/>
      <c r="AE292" s="10"/>
      <c r="AF292" s="10"/>
    </row>
    <row r="293" hidden="1">
      <c r="A293" s="9" t="s">
        <v>510</v>
      </c>
      <c r="B293" s="84"/>
      <c r="C293" s="9"/>
      <c r="D293" s="9" t="str">
        <f t="shared" si="1"/>
        <v/>
      </c>
      <c r="E293" s="10" t="str">
        <f t="shared" si="2"/>
        <v>OT Hours</v>
      </c>
      <c r="F293" s="10" t="str">
        <f>IFERROR(VLOOKUP(C293,'Employees List'!$B$1:$I$999,4,0),"")</f>
        <v/>
      </c>
      <c r="G293" s="10" t="str">
        <f t="shared" si="21"/>
        <v>#DIV/0!</v>
      </c>
      <c r="H293" s="72" t="str">
        <f>IFERROR(VLOOKUP(C293,'Employees List'!$B$2:$I$991,7,0),"")</f>
        <v/>
      </c>
      <c r="I293" s="73" t="str">
        <f>IFERROR(VLOOKUP(F293,'Employees List'!$E$1:$AE$991,6,0),"")</f>
        <v/>
      </c>
      <c r="J293" s="71">
        <f t="shared" si="3"/>
        <v>0</v>
      </c>
      <c r="K293" s="71">
        <f t="shared" si="4"/>
        <v>0</v>
      </c>
      <c r="L293" s="10" t="str">
        <f>IFERROR(VLOOKUP(B293,'Employees List'!$A$2:$K$991,11,0),"")</f>
        <v/>
      </c>
      <c r="M293" s="74" t="str">
        <f>IFERROR(VLOOKUP(D293,'Daily Attendance 25-26'!$A$4:BP999,5,0),"")</f>
        <v/>
      </c>
      <c r="N293" s="10" t="str">
        <f>IFERROR(VLOOKUP(E293,'Daily Attendance 25-26'!$A$1:$BO$1741,5,0),"")</f>
        <v/>
      </c>
      <c r="O293" s="10"/>
      <c r="P293" s="10"/>
      <c r="Q293" s="10" t="str">
        <f t="shared" si="5"/>
        <v>#DIV/0!</v>
      </c>
      <c r="R293" s="10" t="str">
        <f t="shared" si="6"/>
        <v>#DIV/0!</v>
      </c>
      <c r="S293" s="10" t="str">
        <f t="shared" si="23"/>
        <v>#DIV/0!</v>
      </c>
      <c r="T293" s="10" t="str">
        <f t="shared" si="22"/>
        <v>#DIV/0!</v>
      </c>
      <c r="U293" s="10" t="str">
        <f t="shared" si="8"/>
        <v>#DIV/0!</v>
      </c>
      <c r="V293" s="10"/>
      <c r="W293" s="10"/>
      <c r="X293" s="10"/>
      <c r="Y293" s="10"/>
      <c r="Z293" s="10"/>
      <c r="AA293" s="10"/>
      <c r="AB293" s="10"/>
      <c r="AC293" s="10"/>
      <c r="AD293" s="10"/>
      <c r="AE293" s="10"/>
      <c r="AF293" s="10"/>
    </row>
    <row r="294" hidden="1">
      <c r="A294" s="9" t="s">
        <v>511</v>
      </c>
      <c r="B294" s="84"/>
      <c r="C294" s="9"/>
      <c r="D294" s="9" t="str">
        <f t="shared" si="1"/>
        <v/>
      </c>
      <c r="E294" s="10" t="str">
        <f t="shared" si="2"/>
        <v>OT Hours</v>
      </c>
      <c r="F294" s="10" t="str">
        <f>IFERROR(VLOOKUP(C294,'Employees List'!$B$1:$I$999,4,0),"")</f>
        <v/>
      </c>
      <c r="G294" s="10" t="str">
        <f t="shared" si="21"/>
        <v>#DIV/0!</v>
      </c>
      <c r="H294" s="72" t="str">
        <f>IFERROR(VLOOKUP(C294,'Employees List'!$B$2:$I$991,7,0),"")</f>
        <v/>
      </c>
      <c r="I294" s="73" t="str">
        <f>IFERROR(VLOOKUP(F294,'Employees List'!$E$1:$AE$991,6,0),"")</f>
        <v/>
      </c>
      <c r="J294" s="71">
        <f t="shared" si="3"/>
        <v>0</v>
      </c>
      <c r="K294" s="71">
        <f t="shared" si="4"/>
        <v>0</v>
      </c>
      <c r="L294" s="10" t="str">
        <f>IFERROR(VLOOKUP(B294,'Employees List'!$A$2:$K$991,11,0),"")</f>
        <v/>
      </c>
      <c r="M294" s="74" t="str">
        <f>IFERROR(VLOOKUP(D294,'Daily Attendance 25-26'!$A$4:BP999,5,0),"")</f>
        <v/>
      </c>
      <c r="N294" s="10" t="str">
        <f>IFERROR(VLOOKUP(E294,'Daily Attendance 25-26'!$A$1:$BO$1741,5,0),"")</f>
        <v/>
      </c>
      <c r="O294" s="10"/>
      <c r="P294" s="10"/>
      <c r="Q294" s="10" t="str">
        <f t="shared" si="5"/>
        <v>#DIV/0!</v>
      </c>
      <c r="R294" s="10" t="str">
        <f t="shared" si="6"/>
        <v>#DIV/0!</v>
      </c>
      <c r="S294" s="10" t="str">
        <f t="shared" si="23"/>
        <v>#DIV/0!</v>
      </c>
      <c r="T294" s="10" t="str">
        <f t="shared" si="22"/>
        <v>#DIV/0!</v>
      </c>
      <c r="U294" s="10" t="str">
        <f t="shared" si="8"/>
        <v>#DIV/0!</v>
      </c>
      <c r="V294" s="10"/>
      <c r="W294" s="10"/>
      <c r="X294" s="10"/>
      <c r="Y294" s="10"/>
      <c r="Z294" s="10"/>
      <c r="AA294" s="10"/>
      <c r="AB294" s="10"/>
      <c r="AC294" s="10"/>
      <c r="AD294" s="10"/>
      <c r="AE294" s="10"/>
      <c r="AF294" s="10"/>
    </row>
    <row r="295" hidden="1">
      <c r="A295" s="9" t="s">
        <v>512</v>
      </c>
      <c r="B295" s="84"/>
      <c r="C295" s="9"/>
      <c r="D295" s="9" t="str">
        <f t="shared" si="1"/>
        <v/>
      </c>
      <c r="E295" s="10" t="str">
        <f t="shared" si="2"/>
        <v>OT Hours</v>
      </c>
      <c r="F295" s="10" t="str">
        <f>IFERROR(VLOOKUP(C295,'Employees List'!$B$1:$I$999,4,0),"")</f>
        <v/>
      </c>
      <c r="G295" s="10" t="str">
        <f t="shared" si="21"/>
        <v>#DIV/0!</v>
      </c>
      <c r="H295" s="72" t="str">
        <f>IFERROR(VLOOKUP(C295,'Employees List'!$B$2:$I$991,7,0),"")</f>
        <v/>
      </c>
      <c r="I295" s="73" t="str">
        <f>IFERROR(VLOOKUP(F295,'Employees List'!$E$1:$AE$991,6,0),"")</f>
        <v/>
      </c>
      <c r="J295" s="71">
        <f t="shared" si="3"/>
        <v>0</v>
      </c>
      <c r="K295" s="71">
        <f t="shared" si="4"/>
        <v>0</v>
      </c>
      <c r="L295" s="10" t="str">
        <f>IFERROR(VLOOKUP(B295,'Employees List'!$A$2:$K$991,11,0),"")</f>
        <v/>
      </c>
      <c r="M295" s="74" t="str">
        <f>IFERROR(VLOOKUP(D295,'Daily Attendance 25-26'!$A$4:BP999,5,0),"")</f>
        <v/>
      </c>
      <c r="N295" s="10" t="str">
        <f>IFERROR(VLOOKUP(E295,'Daily Attendance 25-26'!$A$1:$BO$1741,5,0),"")</f>
        <v/>
      </c>
      <c r="O295" s="10"/>
      <c r="P295" s="10"/>
      <c r="Q295" s="10" t="str">
        <f t="shared" si="5"/>
        <v>#DIV/0!</v>
      </c>
      <c r="R295" s="10" t="str">
        <f t="shared" si="6"/>
        <v>#DIV/0!</v>
      </c>
      <c r="S295" s="10" t="str">
        <f t="shared" si="23"/>
        <v>#DIV/0!</v>
      </c>
      <c r="T295" s="10" t="str">
        <f t="shared" si="22"/>
        <v>#DIV/0!</v>
      </c>
      <c r="U295" s="10" t="str">
        <f t="shared" si="8"/>
        <v>#DIV/0!</v>
      </c>
      <c r="V295" s="10"/>
      <c r="W295" s="10"/>
      <c r="X295" s="10"/>
      <c r="Y295" s="10"/>
      <c r="Z295" s="10"/>
      <c r="AA295" s="10"/>
      <c r="AB295" s="10"/>
      <c r="AC295" s="10"/>
      <c r="AD295" s="10"/>
      <c r="AE295" s="10"/>
      <c r="AF295" s="10"/>
    </row>
    <row r="296" hidden="1">
      <c r="A296" s="9" t="s">
        <v>513</v>
      </c>
      <c r="B296" s="84"/>
      <c r="C296" s="9"/>
      <c r="D296" s="9" t="str">
        <f t="shared" si="1"/>
        <v/>
      </c>
      <c r="E296" s="10" t="str">
        <f t="shared" si="2"/>
        <v>OT Hours</v>
      </c>
      <c r="F296" s="10" t="str">
        <f>IFERROR(VLOOKUP(C296,'Employees List'!$B$1:$I$999,4,0),"")</f>
        <v/>
      </c>
      <c r="G296" s="10" t="str">
        <f t="shared" si="21"/>
        <v>#DIV/0!</v>
      </c>
      <c r="H296" s="72" t="str">
        <f>IFERROR(VLOOKUP(C296,'Employees List'!$B$2:$I$991,7,0),"")</f>
        <v/>
      </c>
      <c r="I296" s="73" t="str">
        <f>IFERROR(VLOOKUP(F296,'Employees List'!$E$1:$AE$991,6,0),"")</f>
        <v/>
      </c>
      <c r="J296" s="71">
        <f t="shared" si="3"/>
        <v>0</v>
      </c>
      <c r="K296" s="71">
        <f t="shared" si="4"/>
        <v>0</v>
      </c>
      <c r="L296" s="10" t="str">
        <f>IFERROR(VLOOKUP(B296,'Employees List'!$A$2:$K$991,11,0),"")</f>
        <v/>
      </c>
      <c r="M296" s="74" t="str">
        <f>IFERROR(VLOOKUP(D296,'Daily Attendance 25-26'!$A$4:BP999,5,0),"")</f>
        <v/>
      </c>
      <c r="N296" s="10" t="str">
        <f>IFERROR(VLOOKUP(E296,'Daily Attendance 25-26'!$A$1:$BO$1741,5,0),"")</f>
        <v/>
      </c>
      <c r="O296" s="10"/>
      <c r="P296" s="10"/>
      <c r="Q296" s="10" t="str">
        <f t="shared" si="5"/>
        <v>#DIV/0!</v>
      </c>
      <c r="R296" s="10" t="str">
        <f t="shared" si="6"/>
        <v>#DIV/0!</v>
      </c>
      <c r="S296" s="10" t="str">
        <f t="shared" si="23"/>
        <v>#DIV/0!</v>
      </c>
      <c r="T296" s="10" t="str">
        <f t="shared" si="22"/>
        <v>#DIV/0!</v>
      </c>
      <c r="U296" s="10" t="str">
        <f t="shared" si="8"/>
        <v>#DIV/0!</v>
      </c>
      <c r="V296" s="10"/>
      <c r="W296" s="10"/>
      <c r="X296" s="10"/>
      <c r="Y296" s="10"/>
      <c r="Z296" s="10"/>
      <c r="AA296" s="10"/>
      <c r="AB296" s="10"/>
      <c r="AC296" s="10"/>
      <c r="AD296" s="10"/>
      <c r="AE296" s="10"/>
      <c r="AF296" s="10"/>
    </row>
    <row r="297" hidden="1">
      <c r="A297" s="9" t="s">
        <v>514</v>
      </c>
      <c r="B297" s="84"/>
      <c r="C297" s="9"/>
      <c r="D297" s="9" t="str">
        <f t="shared" si="1"/>
        <v/>
      </c>
      <c r="E297" s="10" t="str">
        <f t="shared" si="2"/>
        <v>OT Hours</v>
      </c>
      <c r="F297" s="10" t="str">
        <f>IFERROR(VLOOKUP(C297,'Employees List'!$B$1:$I$999,4,0),"")</f>
        <v/>
      </c>
      <c r="G297" s="10" t="str">
        <f t="shared" si="21"/>
        <v>#DIV/0!</v>
      </c>
      <c r="H297" s="72" t="str">
        <f>IFERROR(VLOOKUP(C297,'Employees List'!$B$2:$I$991,7,0),"")</f>
        <v/>
      </c>
      <c r="I297" s="73" t="str">
        <f>IFERROR(VLOOKUP(F297,'Employees List'!$E$1:$AE$991,6,0),"")</f>
        <v/>
      </c>
      <c r="J297" s="71">
        <f t="shared" si="3"/>
        <v>0</v>
      </c>
      <c r="K297" s="71">
        <f t="shared" si="4"/>
        <v>0</v>
      </c>
      <c r="L297" s="10" t="str">
        <f>IFERROR(VLOOKUP(B297,'Employees List'!$A$2:$K$991,11,0),"")</f>
        <v/>
      </c>
      <c r="M297" s="74" t="str">
        <f>IFERROR(VLOOKUP(D297,'Daily Attendance 25-26'!$A$4:BP999,5,0),"")</f>
        <v/>
      </c>
      <c r="N297" s="10" t="str">
        <f>IFERROR(VLOOKUP(E297,'Daily Attendance 25-26'!$A$1:$BO$1741,5,0),"")</f>
        <v/>
      </c>
      <c r="O297" s="10"/>
      <c r="P297" s="10"/>
      <c r="Q297" s="10" t="str">
        <f t="shared" si="5"/>
        <v>#DIV/0!</v>
      </c>
      <c r="R297" s="10" t="str">
        <f t="shared" si="6"/>
        <v>#DIV/0!</v>
      </c>
      <c r="S297" s="10" t="str">
        <f t="shared" si="23"/>
        <v>#DIV/0!</v>
      </c>
      <c r="T297" s="10" t="str">
        <f t="shared" si="22"/>
        <v>#DIV/0!</v>
      </c>
      <c r="U297" s="10" t="str">
        <f t="shared" si="8"/>
        <v>#DIV/0!</v>
      </c>
      <c r="V297" s="10"/>
      <c r="W297" s="10"/>
      <c r="X297" s="10"/>
      <c r="Y297" s="10"/>
      <c r="Z297" s="10"/>
      <c r="AA297" s="10"/>
      <c r="AB297" s="10"/>
      <c r="AC297" s="10"/>
      <c r="AD297" s="10"/>
      <c r="AE297" s="10"/>
      <c r="AF297" s="10"/>
    </row>
    <row r="298" hidden="1">
      <c r="A298" s="9" t="s">
        <v>515</v>
      </c>
      <c r="B298" s="84"/>
      <c r="C298" s="9"/>
      <c r="D298" s="9" t="str">
        <f t="shared" si="1"/>
        <v/>
      </c>
      <c r="E298" s="10" t="str">
        <f t="shared" si="2"/>
        <v>OT Hours</v>
      </c>
      <c r="F298" s="10" t="str">
        <f>IFERROR(VLOOKUP(C298,'Employees List'!$B$1:$I$999,4,0),"")</f>
        <v/>
      </c>
      <c r="G298" s="10" t="str">
        <f t="shared" si="21"/>
        <v>#DIV/0!</v>
      </c>
      <c r="H298" s="72" t="str">
        <f>IFERROR(VLOOKUP(C298,'Employees List'!$B$2:$I$991,7,0),"")</f>
        <v/>
      </c>
      <c r="I298" s="73" t="str">
        <f>IFERROR(VLOOKUP(F298,'Employees List'!$E$1:$AE$991,6,0),"")</f>
        <v/>
      </c>
      <c r="J298" s="71">
        <f t="shared" si="3"/>
        <v>0</v>
      </c>
      <c r="K298" s="71">
        <f t="shared" si="4"/>
        <v>0</v>
      </c>
      <c r="L298" s="10" t="str">
        <f>IFERROR(VLOOKUP(B298,'Employees List'!$A$2:$K$991,11,0),"")</f>
        <v/>
      </c>
      <c r="M298" s="74" t="str">
        <f>IFERROR(VLOOKUP(D298,'Daily Attendance 25-26'!$A$4:BP999,5,0),"")</f>
        <v/>
      </c>
      <c r="N298" s="10" t="str">
        <f>IFERROR(VLOOKUP(E298,'Daily Attendance 25-26'!$A$1:$BO$1741,5,0),"")</f>
        <v/>
      </c>
      <c r="O298" s="10"/>
      <c r="P298" s="10"/>
      <c r="Q298" s="10" t="str">
        <f t="shared" si="5"/>
        <v>#DIV/0!</v>
      </c>
      <c r="R298" s="10" t="str">
        <f t="shared" si="6"/>
        <v>#DIV/0!</v>
      </c>
      <c r="S298" s="10" t="str">
        <f t="shared" si="23"/>
        <v>#DIV/0!</v>
      </c>
      <c r="T298" s="10" t="str">
        <f t="shared" si="22"/>
        <v>#DIV/0!</v>
      </c>
      <c r="U298" s="10" t="str">
        <f t="shared" si="8"/>
        <v>#DIV/0!</v>
      </c>
      <c r="V298" s="10"/>
      <c r="W298" s="10"/>
      <c r="X298" s="10"/>
      <c r="Y298" s="10"/>
      <c r="Z298" s="10"/>
      <c r="AA298" s="10"/>
      <c r="AB298" s="10"/>
      <c r="AC298" s="10"/>
      <c r="AD298" s="10"/>
      <c r="AE298" s="10"/>
      <c r="AF298" s="10"/>
    </row>
    <row r="299" hidden="1">
      <c r="A299" s="9" t="s">
        <v>516</v>
      </c>
      <c r="B299" s="84"/>
      <c r="C299" s="9"/>
      <c r="D299" s="9" t="str">
        <f t="shared" si="1"/>
        <v/>
      </c>
      <c r="E299" s="10" t="str">
        <f t="shared" si="2"/>
        <v>OT Hours</v>
      </c>
      <c r="F299" s="10" t="str">
        <f>IFERROR(VLOOKUP(C299,'Employees List'!$B$1:$I$999,4,0),"")</f>
        <v/>
      </c>
      <c r="G299" s="10" t="str">
        <f t="shared" si="21"/>
        <v>#DIV/0!</v>
      </c>
      <c r="H299" s="72" t="str">
        <f>IFERROR(VLOOKUP(C299,'Employees List'!$B$2:$I$991,7,0),"")</f>
        <v/>
      </c>
      <c r="I299" s="73" t="str">
        <f>IFERROR(VLOOKUP(F299,'Employees List'!$E$1:$AE$991,6,0),"")</f>
        <v/>
      </c>
      <c r="J299" s="71">
        <f t="shared" si="3"/>
        <v>0</v>
      </c>
      <c r="K299" s="71">
        <f t="shared" si="4"/>
        <v>0</v>
      </c>
      <c r="L299" s="10" t="str">
        <f>IFERROR(VLOOKUP(B299,'Employees List'!$A$2:$K$991,11,0),"")</f>
        <v/>
      </c>
      <c r="M299" s="74" t="str">
        <f>IFERROR(VLOOKUP(D299,'Daily Attendance 25-26'!$A$4:BP999,5,0),"")</f>
        <v/>
      </c>
      <c r="N299" s="10" t="str">
        <f>IFERROR(VLOOKUP(E299,'Daily Attendance 25-26'!$A$1:$BO$1741,5,0),"")</f>
        <v/>
      </c>
      <c r="O299" s="10"/>
      <c r="P299" s="10"/>
      <c r="Q299" s="10" t="str">
        <f t="shared" si="5"/>
        <v>#DIV/0!</v>
      </c>
      <c r="R299" s="10" t="str">
        <f t="shared" si="6"/>
        <v>#DIV/0!</v>
      </c>
      <c r="S299" s="10" t="str">
        <f t="shared" si="23"/>
        <v>#DIV/0!</v>
      </c>
      <c r="T299" s="10" t="str">
        <f t="shared" si="22"/>
        <v>#DIV/0!</v>
      </c>
      <c r="U299" s="10" t="str">
        <f t="shared" si="8"/>
        <v>#DIV/0!</v>
      </c>
      <c r="V299" s="10"/>
      <c r="W299" s="10"/>
      <c r="X299" s="10"/>
      <c r="Y299" s="10"/>
      <c r="Z299" s="10"/>
      <c r="AA299" s="10"/>
      <c r="AB299" s="10"/>
      <c r="AC299" s="10"/>
      <c r="AD299" s="10"/>
      <c r="AE299" s="10"/>
      <c r="AF299" s="10"/>
    </row>
    <row r="300" hidden="1">
      <c r="A300" s="9" t="s">
        <v>517</v>
      </c>
      <c r="B300" s="84"/>
      <c r="C300" s="9"/>
      <c r="D300" s="9" t="str">
        <f t="shared" si="1"/>
        <v/>
      </c>
      <c r="E300" s="10" t="str">
        <f t="shared" si="2"/>
        <v>OT Hours</v>
      </c>
      <c r="F300" s="10" t="str">
        <f>IFERROR(VLOOKUP(C300,'Employees List'!$B$1:$I$999,4,0),"")</f>
        <v/>
      </c>
      <c r="G300" s="10" t="str">
        <f t="shared" si="21"/>
        <v>#DIV/0!</v>
      </c>
      <c r="H300" s="72" t="str">
        <f>IFERROR(VLOOKUP(C300,'Employees List'!$B$2:$I$991,7,0),"")</f>
        <v/>
      </c>
      <c r="I300" s="73" t="str">
        <f>IFERROR(VLOOKUP(F300,'Employees List'!$E$1:$AE$991,6,0),"")</f>
        <v/>
      </c>
      <c r="J300" s="71">
        <f t="shared" si="3"/>
        <v>0</v>
      </c>
      <c r="K300" s="71">
        <f t="shared" si="4"/>
        <v>0</v>
      </c>
      <c r="L300" s="10" t="str">
        <f>IFERROR(VLOOKUP(B300,'Employees List'!$A$2:$K$991,11,0),"")</f>
        <v/>
      </c>
      <c r="M300" s="74" t="str">
        <f>IFERROR(VLOOKUP(D300,'Daily Attendance 25-26'!$A$4:BP999,5,0),"")</f>
        <v/>
      </c>
      <c r="N300" s="10" t="str">
        <f>IFERROR(VLOOKUP(E300,'Daily Attendance 25-26'!$A$1:$BO$1741,5,0),"")</f>
        <v/>
      </c>
      <c r="O300" s="10"/>
      <c r="P300" s="10"/>
      <c r="Q300" s="10" t="str">
        <f t="shared" si="5"/>
        <v>#DIV/0!</v>
      </c>
      <c r="R300" s="10" t="str">
        <f t="shared" si="6"/>
        <v>#DIV/0!</v>
      </c>
      <c r="S300" s="10" t="str">
        <f t="shared" si="23"/>
        <v>#DIV/0!</v>
      </c>
      <c r="T300" s="10" t="str">
        <f t="shared" si="22"/>
        <v>#DIV/0!</v>
      </c>
      <c r="U300" s="10" t="str">
        <f t="shared" si="8"/>
        <v>#DIV/0!</v>
      </c>
      <c r="V300" s="10"/>
      <c r="W300" s="10"/>
      <c r="X300" s="10"/>
      <c r="Y300" s="10"/>
      <c r="Z300" s="10"/>
      <c r="AA300" s="10"/>
      <c r="AB300" s="10"/>
      <c r="AC300" s="10"/>
      <c r="AD300" s="10"/>
      <c r="AE300" s="10"/>
      <c r="AF300" s="10"/>
    </row>
    <row r="301" hidden="1">
      <c r="A301" s="9" t="s">
        <v>518</v>
      </c>
      <c r="B301" s="84"/>
      <c r="C301" s="9"/>
      <c r="D301" s="9" t="str">
        <f t="shared" si="1"/>
        <v/>
      </c>
      <c r="E301" s="10" t="str">
        <f t="shared" si="2"/>
        <v>OT Hours</v>
      </c>
      <c r="F301" s="10" t="str">
        <f>IFERROR(VLOOKUP(C301,'Employees List'!$B$1:$I$999,4,0),"")</f>
        <v/>
      </c>
      <c r="G301" s="10" t="str">
        <f t="shared" si="21"/>
        <v>#DIV/0!</v>
      </c>
      <c r="H301" s="72" t="str">
        <f>IFERROR(VLOOKUP(C301,'Employees List'!$B$2:$I$991,7,0),"")</f>
        <v/>
      </c>
      <c r="I301" s="73" t="str">
        <f>IFERROR(VLOOKUP(F301,'Employees List'!$E$1:$AE$991,6,0),"")</f>
        <v/>
      </c>
      <c r="J301" s="71">
        <f t="shared" si="3"/>
        <v>0</v>
      </c>
      <c r="K301" s="71">
        <f t="shared" si="4"/>
        <v>0</v>
      </c>
      <c r="L301" s="10" t="str">
        <f>IFERROR(VLOOKUP(B301,'Employees List'!$A$2:$K$991,11,0),"")</f>
        <v/>
      </c>
      <c r="M301" s="74" t="str">
        <f>IFERROR(VLOOKUP(D301,'Daily Attendance 25-26'!$A$4:BP999,5,0),"")</f>
        <v/>
      </c>
      <c r="N301" s="10" t="str">
        <f>IFERROR(VLOOKUP(E301,'Daily Attendance 25-26'!$A$1:$BO$1741,5,0),"")</f>
        <v/>
      </c>
      <c r="O301" s="10"/>
      <c r="P301" s="10"/>
      <c r="Q301" s="10" t="str">
        <f t="shared" si="5"/>
        <v>#DIV/0!</v>
      </c>
      <c r="R301" s="10" t="str">
        <f t="shared" si="6"/>
        <v>#DIV/0!</v>
      </c>
      <c r="S301" s="10" t="str">
        <f t="shared" si="23"/>
        <v>#DIV/0!</v>
      </c>
      <c r="T301" s="10" t="str">
        <f t="shared" si="22"/>
        <v>#DIV/0!</v>
      </c>
      <c r="U301" s="10" t="str">
        <f t="shared" si="8"/>
        <v>#DIV/0!</v>
      </c>
      <c r="V301" s="10"/>
      <c r="W301" s="10"/>
      <c r="X301" s="10"/>
      <c r="Y301" s="10"/>
      <c r="Z301" s="10"/>
      <c r="AA301" s="10"/>
      <c r="AB301" s="10"/>
      <c r="AC301" s="10"/>
      <c r="AD301" s="10"/>
      <c r="AE301" s="10"/>
      <c r="AF301" s="10"/>
    </row>
    <row r="302" hidden="1">
      <c r="A302" s="9" t="s">
        <v>519</v>
      </c>
      <c r="B302" s="70"/>
      <c r="C302" s="9"/>
      <c r="D302" s="9" t="str">
        <f t="shared" si="1"/>
        <v/>
      </c>
      <c r="E302" s="10" t="str">
        <f t="shared" si="2"/>
        <v>OT Hours</v>
      </c>
      <c r="F302" s="10" t="str">
        <f>IFERROR(VLOOKUP(C302,'Employees List'!$B$1:$I$999,4,0),"")</f>
        <v/>
      </c>
      <c r="G302" s="10" t="str">
        <f t="shared" si="21"/>
        <v>#DIV/0!</v>
      </c>
      <c r="H302" s="72" t="str">
        <f>IFERROR(VLOOKUP(C302,'Employees List'!$B$2:$I$991,7,0),"")</f>
        <v/>
      </c>
      <c r="I302" s="73" t="str">
        <f>IFERROR(VLOOKUP(F302,'Employees List'!$E$1:$AE$991,6,0),"")</f>
        <v/>
      </c>
      <c r="J302" s="71">
        <f t="shared" si="3"/>
        <v>0</v>
      </c>
      <c r="K302" s="71">
        <f t="shared" si="4"/>
        <v>0</v>
      </c>
      <c r="L302" s="10" t="str">
        <f>IFERROR(VLOOKUP(B302,'Employees List'!$A$2:$K$991,11,0),"")</f>
        <v/>
      </c>
      <c r="M302" s="74" t="str">
        <f>IFERROR(VLOOKUP(D302,'Daily Attendance 25-26'!$A$4:BP999,5,0),"")</f>
        <v/>
      </c>
      <c r="N302" s="10" t="str">
        <f>IFERROR(VLOOKUP(E302,'Daily Attendance 25-26'!$A$1:$BO$1741,5,0),"")</f>
        <v/>
      </c>
      <c r="O302" s="10"/>
      <c r="P302" s="10"/>
      <c r="Q302" s="10" t="str">
        <f t="shared" si="5"/>
        <v>#DIV/0!</v>
      </c>
      <c r="R302" s="10" t="str">
        <f t="shared" si="6"/>
        <v>#DIV/0!</v>
      </c>
      <c r="S302" s="10" t="str">
        <f t="shared" si="23"/>
        <v>#DIV/0!</v>
      </c>
      <c r="T302" s="10" t="str">
        <f t="shared" si="22"/>
        <v>#DIV/0!</v>
      </c>
      <c r="U302" s="10" t="str">
        <f t="shared" si="8"/>
        <v>#DIV/0!</v>
      </c>
      <c r="V302" s="10"/>
      <c r="W302" s="10"/>
      <c r="X302" s="10"/>
      <c r="Y302" s="10"/>
      <c r="Z302" s="10"/>
      <c r="AA302" s="10"/>
      <c r="AB302" s="10"/>
      <c r="AC302" s="10"/>
      <c r="AD302" s="10"/>
      <c r="AE302" s="10"/>
      <c r="AF302" s="10"/>
    </row>
    <row r="303" hidden="1">
      <c r="A303" s="9" t="s">
        <v>520</v>
      </c>
      <c r="B303" s="84"/>
      <c r="C303" s="9"/>
      <c r="D303" s="9" t="str">
        <f t="shared" si="1"/>
        <v/>
      </c>
      <c r="E303" s="10" t="str">
        <f t="shared" si="2"/>
        <v>OT Hours</v>
      </c>
      <c r="F303" s="10" t="str">
        <f>IFERROR(VLOOKUP(C303,'Employees List'!$B$1:$I$999,4,0),"")</f>
        <v/>
      </c>
      <c r="G303" s="10" t="str">
        <f t="shared" si="21"/>
        <v>#DIV/0!</v>
      </c>
      <c r="H303" s="72" t="str">
        <f>IFERROR(VLOOKUP(C303,'Employees List'!$B$2:$I$991,7,0),"")</f>
        <v/>
      </c>
      <c r="I303" s="73" t="str">
        <f>IFERROR(VLOOKUP(F303,'Employees List'!$E$1:$AE$991,6,0),"")</f>
        <v/>
      </c>
      <c r="J303" s="71">
        <f t="shared" si="3"/>
        <v>0</v>
      </c>
      <c r="K303" s="71">
        <f t="shared" si="4"/>
        <v>0</v>
      </c>
      <c r="L303" s="10" t="str">
        <f>IFERROR(VLOOKUP(B303,'Employees List'!$A$2:$K$991,11,0),"")</f>
        <v/>
      </c>
      <c r="M303" s="74" t="str">
        <f>IFERROR(VLOOKUP(D303,'Daily Attendance 25-26'!$A$4:BP999,5,0),"")</f>
        <v/>
      </c>
      <c r="N303" s="10" t="str">
        <f>IFERROR(VLOOKUP(E303,'Daily Attendance 25-26'!$A$1:$BO$1741,5,0),"")</f>
        <v/>
      </c>
      <c r="O303" s="10"/>
      <c r="P303" s="10"/>
      <c r="Q303" s="10" t="str">
        <f t="shared" si="5"/>
        <v>#DIV/0!</v>
      </c>
      <c r="R303" s="10" t="str">
        <f t="shared" si="6"/>
        <v>#DIV/0!</v>
      </c>
      <c r="S303" s="10" t="str">
        <f t="shared" si="23"/>
        <v>#DIV/0!</v>
      </c>
      <c r="T303" s="10" t="str">
        <f t="shared" si="22"/>
        <v>#DIV/0!</v>
      </c>
      <c r="U303" s="10" t="str">
        <f t="shared" si="8"/>
        <v>#DIV/0!</v>
      </c>
      <c r="V303" s="10"/>
      <c r="W303" s="10"/>
      <c r="X303" s="10"/>
      <c r="Y303" s="10"/>
      <c r="Z303" s="10"/>
      <c r="AA303" s="10"/>
      <c r="AB303" s="10"/>
      <c r="AC303" s="10"/>
      <c r="AD303" s="10"/>
      <c r="AE303" s="10"/>
      <c r="AF303" s="10"/>
    </row>
    <row r="304" hidden="1">
      <c r="A304" s="9" t="s">
        <v>521</v>
      </c>
      <c r="B304" s="84"/>
      <c r="C304" s="9"/>
      <c r="D304" s="9" t="str">
        <f t="shared" si="1"/>
        <v/>
      </c>
      <c r="E304" s="10" t="str">
        <f t="shared" si="2"/>
        <v>OT Hours</v>
      </c>
      <c r="F304" s="10" t="str">
        <f>IFERROR(VLOOKUP(C304,'Employees List'!$B$1:$I$999,4,0),"")</f>
        <v/>
      </c>
      <c r="G304" s="10" t="str">
        <f t="shared" si="21"/>
        <v>#DIV/0!</v>
      </c>
      <c r="H304" s="72" t="str">
        <f>IFERROR(VLOOKUP(C304,'Employees List'!$B$2:$I$991,7,0),"")</f>
        <v/>
      </c>
      <c r="I304" s="73" t="str">
        <f>IFERROR(VLOOKUP(F304,'Employees List'!$E$1:$AE$991,6,0),"")</f>
        <v/>
      </c>
      <c r="J304" s="71">
        <f t="shared" si="3"/>
        <v>0</v>
      </c>
      <c r="K304" s="71">
        <f t="shared" si="4"/>
        <v>0</v>
      </c>
      <c r="L304" s="10" t="str">
        <f>IFERROR(VLOOKUP(B304,'Employees List'!$A$2:$K$991,11,0),"")</f>
        <v/>
      </c>
      <c r="M304" s="74" t="str">
        <f>IFERROR(VLOOKUP(D304,'Daily Attendance 25-26'!$A$4:BP999,5,0),"")</f>
        <v/>
      </c>
      <c r="N304" s="10" t="str">
        <f>IFERROR(VLOOKUP(E304,'Daily Attendance 25-26'!$A$1:$BO$1741,5,0),"")</f>
        <v/>
      </c>
      <c r="O304" s="10"/>
      <c r="P304" s="10"/>
      <c r="Q304" s="10" t="str">
        <f t="shared" si="5"/>
        <v>#DIV/0!</v>
      </c>
      <c r="R304" s="10" t="str">
        <f t="shared" si="6"/>
        <v>#DIV/0!</v>
      </c>
      <c r="S304" s="10" t="str">
        <f t="shared" si="23"/>
        <v>#DIV/0!</v>
      </c>
      <c r="T304" s="10" t="str">
        <f t="shared" si="22"/>
        <v>#DIV/0!</v>
      </c>
      <c r="U304" s="10" t="str">
        <f t="shared" si="8"/>
        <v>#DIV/0!</v>
      </c>
      <c r="V304" s="10"/>
      <c r="W304" s="10"/>
      <c r="X304" s="10"/>
      <c r="Y304" s="10"/>
      <c r="Z304" s="10"/>
      <c r="AA304" s="10"/>
      <c r="AB304" s="10"/>
      <c r="AC304" s="10"/>
      <c r="AD304" s="10"/>
      <c r="AE304" s="10"/>
      <c r="AF304" s="10"/>
    </row>
    <row r="305" hidden="1">
      <c r="A305" s="9" t="s">
        <v>522</v>
      </c>
      <c r="B305" s="84"/>
      <c r="C305" s="9"/>
      <c r="D305" s="9" t="str">
        <f t="shared" si="1"/>
        <v/>
      </c>
      <c r="E305" s="10" t="str">
        <f t="shared" si="2"/>
        <v>OT Hours</v>
      </c>
      <c r="F305" s="10" t="str">
        <f>IFERROR(VLOOKUP(C305,'Employees List'!$B$1:$I$999,4,0),"")</f>
        <v/>
      </c>
      <c r="G305" s="10" t="str">
        <f t="shared" si="21"/>
        <v>#DIV/0!</v>
      </c>
      <c r="H305" s="72" t="str">
        <f>IFERROR(VLOOKUP(C305,'Employees List'!$B$2:$I$991,7,0),"")</f>
        <v/>
      </c>
      <c r="I305" s="73" t="str">
        <f>IFERROR(VLOOKUP(F305,'Employees List'!$E$1:$AE$991,6,0),"")</f>
        <v/>
      </c>
      <c r="J305" s="71">
        <f t="shared" si="3"/>
        <v>0</v>
      </c>
      <c r="K305" s="71">
        <f t="shared" si="4"/>
        <v>0</v>
      </c>
      <c r="L305" s="10" t="str">
        <f>IFERROR(VLOOKUP(B305,'Employees List'!$A$2:$K$991,11,0),"")</f>
        <v/>
      </c>
      <c r="M305" s="74" t="str">
        <f>IFERROR(VLOOKUP(D305,'Daily Attendance 25-26'!$A$4:BP999,5,0),"")</f>
        <v/>
      </c>
      <c r="N305" s="10" t="str">
        <f>IFERROR(VLOOKUP(E305,'Daily Attendance 25-26'!$A$1:$BO$1741,5,0),"")</f>
        <v/>
      </c>
      <c r="O305" s="10"/>
      <c r="P305" s="10"/>
      <c r="Q305" s="10" t="str">
        <f t="shared" si="5"/>
        <v>#DIV/0!</v>
      </c>
      <c r="R305" s="10" t="str">
        <f t="shared" si="6"/>
        <v>#DIV/0!</v>
      </c>
      <c r="S305" s="10" t="str">
        <f t="shared" si="23"/>
        <v>#DIV/0!</v>
      </c>
      <c r="T305" s="10" t="str">
        <f t="shared" si="22"/>
        <v>#DIV/0!</v>
      </c>
      <c r="U305" s="10" t="str">
        <f t="shared" si="8"/>
        <v>#DIV/0!</v>
      </c>
      <c r="V305" s="10"/>
      <c r="W305" s="10"/>
      <c r="X305" s="10"/>
      <c r="Y305" s="10"/>
      <c r="Z305" s="10"/>
      <c r="AA305" s="10"/>
      <c r="AB305" s="10"/>
      <c r="AC305" s="10"/>
      <c r="AD305" s="10"/>
      <c r="AE305" s="10"/>
      <c r="AF305" s="10"/>
    </row>
    <row r="306" hidden="1">
      <c r="A306" s="9" t="s">
        <v>523</v>
      </c>
      <c r="B306" s="84"/>
      <c r="C306" s="9"/>
      <c r="D306" s="9" t="str">
        <f t="shared" si="1"/>
        <v/>
      </c>
      <c r="E306" s="10" t="str">
        <f t="shared" si="2"/>
        <v>OT Hours</v>
      </c>
      <c r="F306" s="10" t="str">
        <f>IFERROR(VLOOKUP(C306,'Employees List'!$B$1:$I$999,4,0),"")</f>
        <v/>
      </c>
      <c r="G306" s="10" t="str">
        <f t="shared" si="21"/>
        <v>#DIV/0!</v>
      </c>
      <c r="H306" s="72" t="str">
        <f>IFERROR(VLOOKUP(C306,'Employees List'!$B$2:$I$991,7,0),"")</f>
        <v/>
      </c>
      <c r="I306" s="73" t="str">
        <f>IFERROR(VLOOKUP(F306,'Employees List'!$E$1:$AE$991,6,0),"")</f>
        <v/>
      </c>
      <c r="J306" s="71">
        <f t="shared" si="3"/>
        <v>0</v>
      </c>
      <c r="K306" s="71">
        <f t="shared" si="4"/>
        <v>0</v>
      </c>
      <c r="L306" s="10" t="str">
        <f>IFERROR(VLOOKUP(B306,'Employees List'!$A$2:$K$991,11,0),"")</f>
        <v/>
      </c>
      <c r="M306" s="74" t="str">
        <f>IFERROR(VLOOKUP(D306,'Daily Attendance 25-26'!$A$4:BP999,5,0),"")</f>
        <v/>
      </c>
      <c r="N306" s="10" t="str">
        <f>IFERROR(VLOOKUP(E306,'Daily Attendance 25-26'!$A$1:$BO$1741,5,0),"")</f>
        <v/>
      </c>
      <c r="O306" s="10"/>
      <c r="P306" s="10"/>
      <c r="Q306" s="10" t="str">
        <f t="shared" si="5"/>
        <v>#DIV/0!</v>
      </c>
      <c r="R306" s="10" t="str">
        <f t="shared" si="6"/>
        <v>#DIV/0!</v>
      </c>
      <c r="S306" s="10" t="str">
        <f t="shared" si="23"/>
        <v>#DIV/0!</v>
      </c>
      <c r="T306" s="10" t="str">
        <f t="shared" si="22"/>
        <v>#DIV/0!</v>
      </c>
      <c r="U306" s="10" t="str">
        <f t="shared" si="8"/>
        <v>#DIV/0!</v>
      </c>
      <c r="V306" s="10"/>
      <c r="W306" s="10"/>
      <c r="X306" s="10"/>
      <c r="Y306" s="10"/>
      <c r="Z306" s="10"/>
      <c r="AA306" s="10"/>
      <c r="AB306" s="10"/>
      <c r="AC306" s="10"/>
      <c r="AD306" s="10"/>
      <c r="AE306" s="10"/>
      <c r="AF306" s="10"/>
    </row>
    <row r="307" hidden="1">
      <c r="A307" s="9" t="s">
        <v>524</v>
      </c>
      <c r="B307" s="84"/>
      <c r="C307" s="9"/>
      <c r="D307" s="9" t="str">
        <f t="shared" si="1"/>
        <v/>
      </c>
      <c r="E307" s="10" t="str">
        <f t="shared" si="2"/>
        <v>OT Hours</v>
      </c>
      <c r="F307" s="10" t="str">
        <f>IFERROR(VLOOKUP(C307,'Employees List'!$B$1:$I$999,4,0),"")</f>
        <v/>
      </c>
      <c r="G307" s="10" t="str">
        <f t="shared" si="21"/>
        <v>#DIV/0!</v>
      </c>
      <c r="H307" s="72" t="str">
        <f>IFERROR(VLOOKUP(C307,'Employees List'!$B$2:$I$991,7,0),"")</f>
        <v/>
      </c>
      <c r="I307" s="73" t="str">
        <f>IFERROR(VLOOKUP(F307,'Employees List'!$E$1:$AE$991,6,0),"")</f>
        <v/>
      </c>
      <c r="J307" s="71">
        <f t="shared" si="3"/>
        <v>0</v>
      </c>
      <c r="K307" s="71">
        <f t="shared" si="4"/>
        <v>0</v>
      </c>
      <c r="L307" s="10" t="str">
        <f>IFERROR(VLOOKUP(B307,'Employees List'!$A$2:$K$991,11,0),"")</f>
        <v/>
      </c>
      <c r="M307" s="74" t="str">
        <f>IFERROR(VLOOKUP(D307,'Daily Attendance 25-26'!$A$4:BP999,5,0),"")</f>
        <v/>
      </c>
      <c r="N307" s="10" t="str">
        <f>IFERROR(VLOOKUP(E307,'Daily Attendance 25-26'!$A$1:$BO$1741,5,0),"")</f>
        <v/>
      </c>
      <c r="O307" s="10"/>
      <c r="P307" s="10"/>
      <c r="Q307" s="10" t="str">
        <f t="shared" si="5"/>
        <v>#DIV/0!</v>
      </c>
      <c r="R307" s="10" t="str">
        <f t="shared" si="6"/>
        <v>#DIV/0!</v>
      </c>
      <c r="S307" s="10" t="str">
        <f t="shared" si="23"/>
        <v>#DIV/0!</v>
      </c>
      <c r="T307" s="10" t="str">
        <f t="shared" si="22"/>
        <v>#DIV/0!</v>
      </c>
      <c r="U307" s="10" t="str">
        <f t="shared" si="8"/>
        <v>#DIV/0!</v>
      </c>
      <c r="V307" s="10"/>
      <c r="W307" s="10"/>
      <c r="X307" s="10"/>
      <c r="Y307" s="10"/>
      <c r="Z307" s="10"/>
      <c r="AA307" s="10"/>
      <c r="AB307" s="10"/>
      <c r="AC307" s="10"/>
      <c r="AD307" s="10"/>
      <c r="AE307" s="10"/>
      <c r="AF307" s="10"/>
    </row>
    <row r="308" hidden="1">
      <c r="A308" s="9" t="s">
        <v>525</v>
      </c>
      <c r="B308" s="84"/>
      <c r="C308" s="9"/>
      <c r="D308" s="9" t="str">
        <f t="shared" si="1"/>
        <v/>
      </c>
      <c r="E308" s="10" t="str">
        <f t="shared" si="2"/>
        <v>OT Hours</v>
      </c>
      <c r="F308" s="10" t="str">
        <f>IFERROR(VLOOKUP(C308,'Employees List'!$B$1:$I$999,4,0),"")</f>
        <v/>
      </c>
      <c r="G308" s="10" t="str">
        <f t="shared" si="21"/>
        <v>#DIV/0!</v>
      </c>
      <c r="H308" s="72" t="str">
        <f>IFERROR(VLOOKUP(C308,'Employees List'!$B$2:$I$991,7,0),"")</f>
        <v/>
      </c>
      <c r="I308" s="73" t="str">
        <f>IFERROR(VLOOKUP(F308,'Employees List'!$E$1:$AE$991,6,0),"")</f>
        <v/>
      </c>
      <c r="J308" s="71">
        <f t="shared" si="3"/>
        <v>0</v>
      </c>
      <c r="K308" s="71">
        <f t="shared" si="4"/>
        <v>0</v>
      </c>
      <c r="L308" s="10" t="str">
        <f>IFERROR(VLOOKUP(B308,'Employees List'!$A$2:$K$991,11,0),"")</f>
        <v/>
      </c>
      <c r="M308" s="74" t="str">
        <f>IFERROR(VLOOKUP(D308,'Daily Attendance 25-26'!$A$4:BP999,5,0),"")</f>
        <v/>
      </c>
      <c r="N308" s="10" t="str">
        <f>IFERROR(VLOOKUP(E308,'Daily Attendance 25-26'!$A$1:$BO$1741,5,0),"")</f>
        <v/>
      </c>
      <c r="O308" s="10"/>
      <c r="P308" s="10"/>
      <c r="Q308" s="10" t="str">
        <f t="shared" si="5"/>
        <v>#DIV/0!</v>
      </c>
      <c r="R308" s="10" t="str">
        <f t="shared" si="6"/>
        <v>#DIV/0!</v>
      </c>
      <c r="S308" s="10" t="str">
        <f t="shared" si="23"/>
        <v>#DIV/0!</v>
      </c>
      <c r="T308" s="10" t="str">
        <f t="shared" si="22"/>
        <v>#DIV/0!</v>
      </c>
      <c r="U308" s="10" t="str">
        <f t="shared" si="8"/>
        <v>#DIV/0!</v>
      </c>
      <c r="V308" s="10"/>
      <c r="W308" s="10"/>
      <c r="X308" s="10"/>
      <c r="Y308" s="10"/>
      <c r="Z308" s="10"/>
      <c r="AA308" s="10"/>
      <c r="AB308" s="10"/>
      <c r="AC308" s="10"/>
      <c r="AD308" s="10"/>
      <c r="AE308" s="10"/>
      <c r="AF308" s="10"/>
    </row>
    <row r="309" hidden="1">
      <c r="A309" s="9" t="s">
        <v>526</v>
      </c>
      <c r="B309" s="84"/>
      <c r="C309" s="9"/>
      <c r="D309" s="9" t="str">
        <f t="shared" si="1"/>
        <v/>
      </c>
      <c r="E309" s="10" t="str">
        <f t="shared" si="2"/>
        <v>OT Hours</v>
      </c>
      <c r="F309" s="10" t="str">
        <f>IFERROR(VLOOKUP(C309,'Employees List'!$B$1:$I$999,4,0),"")</f>
        <v/>
      </c>
      <c r="G309" s="10" t="str">
        <f t="shared" si="21"/>
        <v>#DIV/0!</v>
      </c>
      <c r="H309" s="72" t="str">
        <f>IFERROR(VLOOKUP(C309,'Employees List'!$B$2:$I$991,7,0),"")</f>
        <v/>
      </c>
      <c r="I309" s="73" t="str">
        <f>IFERROR(VLOOKUP(F309,'Employees List'!$E$1:$AE$991,6,0),"")</f>
        <v/>
      </c>
      <c r="J309" s="71">
        <f t="shared" si="3"/>
        <v>0</v>
      </c>
      <c r="K309" s="71">
        <f t="shared" si="4"/>
        <v>0</v>
      </c>
      <c r="L309" s="10" t="str">
        <f>IFERROR(VLOOKUP(B309,'Employees List'!$A$2:$K$991,11,0),"")</f>
        <v/>
      </c>
      <c r="M309" s="74" t="str">
        <f>IFERROR(VLOOKUP(D309,'Daily Attendance 25-26'!$A$4:BP999,5,0),"")</f>
        <v/>
      </c>
      <c r="N309" s="10" t="str">
        <f>IFERROR(VLOOKUP(E309,'Daily Attendance 25-26'!$A$1:$BO$1741,5,0),"")</f>
        <v/>
      </c>
      <c r="O309" s="10"/>
      <c r="P309" s="10"/>
      <c r="Q309" s="10" t="str">
        <f t="shared" si="5"/>
        <v>#DIV/0!</v>
      </c>
      <c r="R309" s="10" t="str">
        <f t="shared" si="6"/>
        <v>#DIV/0!</v>
      </c>
      <c r="S309" s="10" t="str">
        <f t="shared" si="23"/>
        <v>#DIV/0!</v>
      </c>
      <c r="T309" s="10" t="str">
        <f t="shared" si="22"/>
        <v>#DIV/0!</v>
      </c>
      <c r="U309" s="10" t="str">
        <f t="shared" si="8"/>
        <v>#DIV/0!</v>
      </c>
      <c r="V309" s="10"/>
      <c r="W309" s="10"/>
      <c r="X309" s="10"/>
      <c r="Y309" s="10"/>
      <c r="Z309" s="10"/>
      <c r="AA309" s="10"/>
      <c r="AB309" s="10"/>
      <c r="AC309" s="10"/>
      <c r="AD309" s="10"/>
      <c r="AE309" s="10"/>
      <c r="AF309" s="10"/>
    </row>
    <row r="310" hidden="1">
      <c r="A310" s="9" t="s">
        <v>527</v>
      </c>
      <c r="B310" s="84"/>
      <c r="C310" s="9"/>
      <c r="D310" s="9" t="str">
        <f t="shared" si="1"/>
        <v/>
      </c>
      <c r="E310" s="10" t="str">
        <f t="shared" si="2"/>
        <v>OT Hours</v>
      </c>
      <c r="F310" s="10" t="str">
        <f>IFERROR(VLOOKUP(C310,'Employees List'!$B$1:$I$999,4,0),"")</f>
        <v/>
      </c>
      <c r="G310" s="10" t="str">
        <f t="shared" si="21"/>
        <v>#DIV/0!</v>
      </c>
      <c r="H310" s="72" t="str">
        <f>IFERROR(VLOOKUP(C310,'Employees List'!$B$2:$I$991,7,0),"")</f>
        <v/>
      </c>
      <c r="I310" s="73" t="str">
        <f>IFERROR(VLOOKUP(F310,'Employees List'!$E$1:$AE$991,6,0),"")</f>
        <v/>
      </c>
      <c r="J310" s="71">
        <f t="shared" si="3"/>
        <v>0</v>
      </c>
      <c r="K310" s="71">
        <f t="shared" si="4"/>
        <v>0</v>
      </c>
      <c r="L310" s="10" t="str">
        <f>IFERROR(VLOOKUP(B310,'Employees List'!$A$2:$K$991,11,0),"")</f>
        <v/>
      </c>
      <c r="M310" s="74" t="str">
        <f>IFERROR(VLOOKUP(D310,'Daily Attendance 25-26'!$A$4:BP999,5,0),"")</f>
        <v/>
      </c>
      <c r="N310" s="10" t="str">
        <f>IFERROR(VLOOKUP(E310,'Daily Attendance 25-26'!$A$1:$BO$1741,5,0),"")</f>
        <v/>
      </c>
      <c r="O310" s="10"/>
      <c r="P310" s="10"/>
      <c r="Q310" s="10" t="str">
        <f t="shared" si="5"/>
        <v>#DIV/0!</v>
      </c>
      <c r="R310" s="10" t="str">
        <f t="shared" si="6"/>
        <v>#DIV/0!</v>
      </c>
      <c r="S310" s="10" t="str">
        <f t="shared" si="23"/>
        <v>#DIV/0!</v>
      </c>
      <c r="T310" s="10" t="str">
        <f t="shared" si="22"/>
        <v>#DIV/0!</v>
      </c>
      <c r="U310" s="10" t="str">
        <f t="shared" si="8"/>
        <v>#DIV/0!</v>
      </c>
      <c r="V310" s="10"/>
      <c r="W310" s="10"/>
      <c r="X310" s="10"/>
      <c r="Y310" s="10"/>
      <c r="Z310" s="10"/>
      <c r="AA310" s="10"/>
      <c r="AB310" s="10"/>
      <c r="AC310" s="10"/>
      <c r="AD310" s="10"/>
      <c r="AE310" s="10"/>
      <c r="AF310" s="10"/>
    </row>
    <row r="311" hidden="1">
      <c r="A311" s="9" t="s">
        <v>528</v>
      </c>
      <c r="B311" s="84"/>
      <c r="C311" s="9"/>
      <c r="D311" s="9" t="str">
        <f t="shared" si="1"/>
        <v/>
      </c>
      <c r="E311" s="10" t="str">
        <f t="shared" si="2"/>
        <v>OT Hours</v>
      </c>
      <c r="F311" s="10" t="str">
        <f>IFERROR(VLOOKUP(C311,'Employees List'!$B$1:$I$999,4,0),"")</f>
        <v/>
      </c>
      <c r="G311" s="10" t="str">
        <f t="shared" si="21"/>
        <v>#DIV/0!</v>
      </c>
      <c r="H311" s="72" t="str">
        <f>IFERROR(VLOOKUP(C311,'Employees List'!$B$2:$I$991,7,0),"")</f>
        <v/>
      </c>
      <c r="I311" s="73" t="str">
        <f>IFERROR(VLOOKUP(F311,'Employees List'!$E$1:$AE$991,6,0),"")</f>
        <v/>
      </c>
      <c r="J311" s="71">
        <f t="shared" si="3"/>
        <v>0</v>
      </c>
      <c r="K311" s="71">
        <f t="shared" si="4"/>
        <v>0</v>
      </c>
      <c r="L311" s="10" t="str">
        <f>IFERROR(VLOOKUP(B311,'Employees List'!$A$2:$K$991,11,0),"")</f>
        <v/>
      </c>
      <c r="M311" s="74" t="str">
        <f>IFERROR(VLOOKUP(D311,'Daily Attendance 25-26'!$A$4:BP999,5,0),"")</f>
        <v/>
      </c>
      <c r="N311" s="10" t="str">
        <f>IFERROR(VLOOKUP(E311,'Daily Attendance 25-26'!$A$1:$BO$1741,5,0),"")</f>
        <v/>
      </c>
      <c r="O311" s="10"/>
      <c r="P311" s="10"/>
      <c r="Q311" s="10" t="str">
        <f t="shared" si="5"/>
        <v>#DIV/0!</v>
      </c>
      <c r="R311" s="10" t="str">
        <f t="shared" si="6"/>
        <v>#DIV/0!</v>
      </c>
      <c r="S311" s="10" t="str">
        <f t="shared" si="23"/>
        <v>#DIV/0!</v>
      </c>
      <c r="T311" s="10" t="str">
        <f t="shared" si="22"/>
        <v>#DIV/0!</v>
      </c>
      <c r="U311" s="10" t="str">
        <f t="shared" si="8"/>
        <v>#DIV/0!</v>
      </c>
      <c r="V311" s="10"/>
      <c r="W311" s="10"/>
      <c r="X311" s="10"/>
      <c r="Y311" s="10"/>
      <c r="Z311" s="10"/>
      <c r="AA311" s="10"/>
      <c r="AB311" s="10"/>
      <c r="AC311" s="10"/>
      <c r="AD311" s="10"/>
      <c r="AE311" s="10"/>
      <c r="AF311" s="10"/>
    </row>
    <row r="312" hidden="1">
      <c r="A312" s="9" t="s">
        <v>529</v>
      </c>
      <c r="B312" s="84"/>
      <c r="C312" s="9"/>
      <c r="D312" s="9" t="str">
        <f t="shared" si="1"/>
        <v/>
      </c>
      <c r="E312" s="10" t="str">
        <f t="shared" si="2"/>
        <v>OT Hours</v>
      </c>
      <c r="F312" s="10" t="str">
        <f>IFERROR(VLOOKUP(C312,'Employees List'!$B$1:$I$999,4,0),"")</f>
        <v/>
      </c>
      <c r="G312" s="10" t="str">
        <f t="shared" si="21"/>
        <v>#DIV/0!</v>
      </c>
      <c r="H312" s="72" t="str">
        <f>IFERROR(VLOOKUP(C312,'Employees List'!$B$2:$I$991,7,0),"")</f>
        <v/>
      </c>
      <c r="I312" s="73" t="str">
        <f>IFERROR(VLOOKUP(F312,'Employees List'!$E$1:$AE$991,6,0),"")</f>
        <v/>
      </c>
      <c r="J312" s="71">
        <f t="shared" si="3"/>
        <v>0</v>
      </c>
      <c r="K312" s="71">
        <f t="shared" si="4"/>
        <v>0</v>
      </c>
      <c r="L312" s="10" t="str">
        <f>IFERROR(VLOOKUP(B312,'Employees List'!$A$2:$K$991,11,0),"")</f>
        <v/>
      </c>
      <c r="M312" s="74" t="str">
        <f>IFERROR(VLOOKUP(D312,'Daily Attendance 25-26'!$A$4:BP999,5,0),"")</f>
        <v/>
      </c>
      <c r="N312" s="10" t="str">
        <f>IFERROR(VLOOKUP(E312,'Daily Attendance 25-26'!$A$1:$BO$1741,5,0),"")</f>
        <v/>
      </c>
      <c r="O312" s="10"/>
      <c r="P312" s="10"/>
      <c r="Q312" s="10" t="str">
        <f t="shared" si="5"/>
        <v>#DIV/0!</v>
      </c>
      <c r="R312" s="10" t="str">
        <f t="shared" si="6"/>
        <v>#DIV/0!</v>
      </c>
      <c r="S312" s="10" t="str">
        <f t="shared" si="23"/>
        <v>#DIV/0!</v>
      </c>
      <c r="T312" s="10" t="str">
        <f t="shared" si="22"/>
        <v>#DIV/0!</v>
      </c>
      <c r="U312" s="10" t="str">
        <f t="shared" si="8"/>
        <v>#DIV/0!</v>
      </c>
      <c r="V312" s="10"/>
      <c r="W312" s="10"/>
      <c r="X312" s="10"/>
      <c r="Y312" s="10"/>
      <c r="Z312" s="10"/>
      <c r="AA312" s="10"/>
      <c r="AB312" s="10"/>
      <c r="AC312" s="10"/>
      <c r="AD312" s="10"/>
      <c r="AE312" s="10"/>
      <c r="AF312" s="10"/>
    </row>
    <row r="313" hidden="1">
      <c r="A313" s="9" t="s">
        <v>530</v>
      </c>
      <c r="B313" s="84"/>
      <c r="C313" s="9"/>
      <c r="D313" s="9" t="str">
        <f t="shared" si="1"/>
        <v/>
      </c>
      <c r="E313" s="10" t="str">
        <f t="shared" si="2"/>
        <v>OT Hours</v>
      </c>
      <c r="F313" s="10" t="str">
        <f>IFERROR(VLOOKUP(C313,'Employees List'!$B$1:$I$999,4,0),"")</f>
        <v/>
      </c>
      <c r="G313" s="10" t="str">
        <f t="shared" si="21"/>
        <v>#DIV/0!</v>
      </c>
      <c r="H313" s="72" t="str">
        <f>IFERROR(VLOOKUP(C313,'Employees List'!$B$2:$I$991,7,0),"")</f>
        <v/>
      </c>
      <c r="I313" s="73" t="str">
        <f>IFERROR(VLOOKUP(F313,'Employees List'!$E$1:$AE$991,6,0),"")</f>
        <v/>
      </c>
      <c r="J313" s="71">
        <f t="shared" si="3"/>
        <v>0</v>
      </c>
      <c r="K313" s="71">
        <f t="shared" si="4"/>
        <v>0</v>
      </c>
      <c r="L313" s="10" t="str">
        <f>IFERROR(VLOOKUP(B313,'Employees List'!$A$2:$K$991,11,0),"")</f>
        <v/>
      </c>
      <c r="M313" s="74" t="str">
        <f>IFERROR(VLOOKUP(D313,'Daily Attendance 25-26'!$A$4:BP999,5,0),"")</f>
        <v/>
      </c>
      <c r="N313" s="10" t="str">
        <f>IFERROR(VLOOKUP(E313,'Daily Attendance 25-26'!$A$1:$BO$1741,5,0),"")</f>
        <v/>
      </c>
      <c r="O313" s="10"/>
      <c r="P313" s="10"/>
      <c r="Q313" s="10" t="str">
        <f t="shared" si="5"/>
        <v>#DIV/0!</v>
      </c>
      <c r="R313" s="10" t="str">
        <f t="shared" si="6"/>
        <v>#DIV/0!</v>
      </c>
      <c r="S313" s="10" t="str">
        <f t="shared" si="23"/>
        <v>#DIV/0!</v>
      </c>
      <c r="T313" s="10" t="str">
        <f t="shared" si="22"/>
        <v>#DIV/0!</v>
      </c>
      <c r="U313" s="10" t="str">
        <f t="shared" si="8"/>
        <v>#DIV/0!</v>
      </c>
      <c r="V313" s="10"/>
      <c r="W313" s="10"/>
      <c r="X313" s="10"/>
      <c r="Y313" s="10"/>
      <c r="Z313" s="10"/>
      <c r="AA313" s="10"/>
      <c r="AB313" s="10"/>
      <c r="AC313" s="10"/>
      <c r="AD313" s="10"/>
      <c r="AE313" s="10"/>
      <c r="AF313" s="10"/>
    </row>
    <row r="314" hidden="1">
      <c r="A314" s="9" t="s">
        <v>531</v>
      </c>
      <c r="B314" s="84"/>
      <c r="C314" s="9"/>
      <c r="D314" s="9" t="str">
        <f t="shared" si="1"/>
        <v/>
      </c>
      <c r="E314" s="10" t="str">
        <f t="shared" si="2"/>
        <v>OT Hours</v>
      </c>
      <c r="F314" s="10" t="str">
        <f>IFERROR(VLOOKUP(C314,'Employees List'!$B$1:$I$999,4,0),"")</f>
        <v/>
      </c>
      <c r="G314" s="10" t="str">
        <f t="shared" si="21"/>
        <v>#DIV/0!</v>
      </c>
      <c r="H314" s="72" t="str">
        <f>IFERROR(VLOOKUP(C314,'Employees List'!$B$2:$I$991,7,0),"")</f>
        <v/>
      </c>
      <c r="I314" s="73" t="str">
        <f>IFERROR(VLOOKUP(F314,'Employees List'!$E$1:$AE$991,6,0),"")</f>
        <v/>
      </c>
      <c r="J314" s="71">
        <f t="shared" si="3"/>
        <v>0</v>
      </c>
      <c r="K314" s="71">
        <f t="shared" si="4"/>
        <v>0</v>
      </c>
      <c r="L314" s="10" t="str">
        <f>IFERROR(VLOOKUP(B314,'Employees List'!$A$2:$K$991,11,0),"")</f>
        <v/>
      </c>
      <c r="M314" s="74" t="str">
        <f>IFERROR(VLOOKUP(D314,'Daily Attendance 25-26'!$A$4:BP999,5,0),"")</f>
        <v/>
      </c>
      <c r="N314" s="10" t="str">
        <f>IFERROR(VLOOKUP(E314,'Daily Attendance 25-26'!$A$1:$BO$1741,5,0),"")</f>
        <v/>
      </c>
      <c r="O314" s="10"/>
      <c r="P314" s="10"/>
      <c r="Q314" s="10" t="str">
        <f t="shared" si="5"/>
        <v>#DIV/0!</v>
      </c>
      <c r="R314" s="10" t="str">
        <f t="shared" si="6"/>
        <v>#DIV/0!</v>
      </c>
      <c r="S314" s="10" t="str">
        <f t="shared" si="23"/>
        <v>#DIV/0!</v>
      </c>
      <c r="T314" s="10" t="str">
        <f t="shared" si="22"/>
        <v>#DIV/0!</v>
      </c>
      <c r="U314" s="10" t="str">
        <f t="shared" si="8"/>
        <v>#DIV/0!</v>
      </c>
      <c r="V314" s="10"/>
      <c r="W314" s="10"/>
      <c r="X314" s="10"/>
      <c r="Y314" s="10"/>
      <c r="Z314" s="10"/>
      <c r="AA314" s="10"/>
      <c r="AB314" s="10"/>
      <c r="AC314" s="10"/>
      <c r="AD314" s="10"/>
      <c r="AE314" s="10"/>
      <c r="AF314" s="10"/>
    </row>
    <row r="315" hidden="1">
      <c r="A315" s="9" t="s">
        <v>532</v>
      </c>
      <c r="B315" s="84"/>
      <c r="C315" s="9"/>
      <c r="D315" s="9" t="str">
        <f t="shared" si="1"/>
        <v/>
      </c>
      <c r="E315" s="10" t="str">
        <f t="shared" si="2"/>
        <v>OT Hours</v>
      </c>
      <c r="F315" s="10" t="str">
        <f>IFERROR(VLOOKUP(C315,'Employees List'!$B$1:$I$999,4,0),"")</f>
        <v/>
      </c>
      <c r="G315" s="10" t="str">
        <f t="shared" si="21"/>
        <v>#DIV/0!</v>
      </c>
      <c r="H315" s="72" t="str">
        <f>IFERROR(VLOOKUP(C315,'Employees List'!$B$2:$I$991,7,0),"")</f>
        <v/>
      </c>
      <c r="I315" s="73" t="str">
        <f>IFERROR(VLOOKUP(F315,'Employees List'!$E$1:$AE$991,6,0),"")</f>
        <v/>
      </c>
      <c r="J315" s="71">
        <f t="shared" si="3"/>
        <v>0</v>
      </c>
      <c r="K315" s="71">
        <f t="shared" si="4"/>
        <v>0</v>
      </c>
      <c r="L315" s="10" t="str">
        <f>IFERROR(VLOOKUP(B315,'Employees List'!$A$2:$K$991,11,0),"")</f>
        <v/>
      </c>
      <c r="M315" s="74" t="str">
        <f>IFERROR(VLOOKUP(D315,'Daily Attendance 25-26'!$A$4:BP999,5,0),"")</f>
        <v/>
      </c>
      <c r="N315" s="10" t="str">
        <f>IFERROR(VLOOKUP(E315,'Daily Attendance 25-26'!$A$1:$BO$1741,5,0),"")</f>
        <v/>
      </c>
      <c r="O315" s="10"/>
      <c r="P315" s="10"/>
      <c r="Q315" s="10" t="str">
        <f t="shared" si="5"/>
        <v>#DIV/0!</v>
      </c>
      <c r="R315" s="10" t="str">
        <f t="shared" si="6"/>
        <v>#DIV/0!</v>
      </c>
      <c r="S315" s="10" t="str">
        <f t="shared" si="23"/>
        <v>#DIV/0!</v>
      </c>
      <c r="T315" s="10" t="str">
        <f t="shared" si="22"/>
        <v>#DIV/0!</v>
      </c>
      <c r="U315" s="10" t="str">
        <f t="shared" si="8"/>
        <v>#DIV/0!</v>
      </c>
      <c r="V315" s="10"/>
      <c r="W315" s="10"/>
      <c r="X315" s="10"/>
      <c r="Y315" s="10"/>
      <c r="Z315" s="10"/>
      <c r="AA315" s="10"/>
      <c r="AB315" s="10"/>
      <c r="AC315" s="10"/>
      <c r="AD315" s="10"/>
      <c r="AE315" s="10"/>
      <c r="AF315" s="10"/>
    </row>
    <row r="316" hidden="1">
      <c r="A316" s="9" t="s">
        <v>533</v>
      </c>
      <c r="B316" s="84"/>
      <c r="C316" s="9"/>
      <c r="D316" s="9" t="str">
        <f t="shared" si="1"/>
        <v/>
      </c>
      <c r="E316" s="10" t="str">
        <f t="shared" si="2"/>
        <v>OT Hours</v>
      </c>
      <c r="F316" s="10" t="str">
        <f>IFERROR(VLOOKUP(C316,'Employees List'!$B$1:$I$999,4,0),"")</f>
        <v/>
      </c>
      <c r="G316" s="10" t="str">
        <f t="shared" si="21"/>
        <v>#DIV/0!</v>
      </c>
      <c r="H316" s="72" t="str">
        <f>IFERROR(VLOOKUP(C316,'Employees List'!$B$2:$I$991,7,0),"")</f>
        <v/>
      </c>
      <c r="I316" s="73" t="str">
        <f>IFERROR(VLOOKUP(F316,'Employees List'!$E$1:$AE$991,6,0),"")</f>
        <v/>
      </c>
      <c r="J316" s="71">
        <f t="shared" si="3"/>
        <v>0</v>
      </c>
      <c r="K316" s="71">
        <f t="shared" si="4"/>
        <v>0</v>
      </c>
      <c r="L316" s="10" t="str">
        <f>IFERROR(VLOOKUP(B316,'Employees List'!$A$2:$K$991,11,0),"")</f>
        <v/>
      </c>
      <c r="M316" s="74" t="str">
        <f>IFERROR(VLOOKUP(D316,'Daily Attendance 25-26'!$A$4:BP999,5,0),"")</f>
        <v/>
      </c>
      <c r="N316" s="10" t="str">
        <f>IFERROR(VLOOKUP(E316,'Daily Attendance 25-26'!$A$1:$BO$1741,5,0),"")</f>
        <v/>
      </c>
      <c r="O316" s="10"/>
      <c r="P316" s="10"/>
      <c r="Q316" s="10" t="str">
        <f t="shared" si="5"/>
        <v>#DIV/0!</v>
      </c>
      <c r="R316" s="10" t="str">
        <f t="shared" si="6"/>
        <v>#DIV/0!</v>
      </c>
      <c r="S316" s="10" t="str">
        <f t="shared" si="23"/>
        <v>#DIV/0!</v>
      </c>
      <c r="T316" s="10" t="str">
        <f t="shared" si="22"/>
        <v>#DIV/0!</v>
      </c>
      <c r="U316" s="10" t="str">
        <f t="shared" si="8"/>
        <v>#DIV/0!</v>
      </c>
      <c r="V316" s="10"/>
      <c r="W316" s="10"/>
      <c r="X316" s="10"/>
      <c r="Y316" s="10"/>
      <c r="Z316" s="10"/>
      <c r="AA316" s="10"/>
      <c r="AB316" s="10"/>
      <c r="AC316" s="10"/>
      <c r="AD316" s="10"/>
      <c r="AE316" s="10"/>
      <c r="AF316" s="10"/>
    </row>
    <row r="317" hidden="1">
      <c r="A317" s="9" t="s">
        <v>534</v>
      </c>
      <c r="B317" s="84"/>
      <c r="C317" s="9"/>
      <c r="D317" s="9" t="str">
        <f t="shared" si="1"/>
        <v/>
      </c>
      <c r="E317" s="10" t="str">
        <f t="shared" si="2"/>
        <v>OT Hours</v>
      </c>
      <c r="F317" s="10" t="str">
        <f>IFERROR(VLOOKUP(C317,'Employees List'!$B$1:$I$999,4,0),"")</f>
        <v/>
      </c>
      <c r="G317" s="10" t="str">
        <f t="shared" si="21"/>
        <v>#DIV/0!</v>
      </c>
      <c r="H317" s="72" t="str">
        <f>IFERROR(VLOOKUP(C317,'Employees List'!$B$2:$I$991,7,0),"")</f>
        <v/>
      </c>
      <c r="I317" s="73" t="str">
        <f>IFERROR(VLOOKUP(F317,'Employees List'!$E$1:$AE$991,6,0),"")</f>
        <v/>
      </c>
      <c r="J317" s="71">
        <f t="shared" si="3"/>
        <v>0</v>
      </c>
      <c r="K317" s="71">
        <f t="shared" si="4"/>
        <v>0</v>
      </c>
      <c r="L317" s="10" t="str">
        <f>IFERROR(VLOOKUP(B317,'Employees List'!$A$2:$K$991,11,0),"")</f>
        <v/>
      </c>
      <c r="M317" s="74" t="str">
        <f>IFERROR(VLOOKUP(D317,'Daily Attendance 25-26'!$A$4:BP999,5,0),"")</f>
        <v/>
      </c>
      <c r="N317" s="10" t="str">
        <f>IFERROR(VLOOKUP(E317,'Daily Attendance 25-26'!$A$1:$BO$1741,5,0),"")</f>
        <v/>
      </c>
      <c r="O317" s="10"/>
      <c r="P317" s="10"/>
      <c r="Q317" s="10" t="str">
        <f t="shared" si="5"/>
        <v>#DIV/0!</v>
      </c>
      <c r="R317" s="10" t="str">
        <f t="shared" si="6"/>
        <v>#DIV/0!</v>
      </c>
      <c r="S317" s="10" t="str">
        <f t="shared" si="23"/>
        <v>#DIV/0!</v>
      </c>
      <c r="T317" s="10" t="str">
        <f t="shared" si="22"/>
        <v>#DIV/0!</v>
      </c>
      <c r="U317" s="10" t="str">
        <f t="shared" si="8"/>
        <v>#DIV/0!</v>
      </c>
      <c r="V317" s="10"/>
      <c r="W317" s="10"/>
      <c r="X317" s="10"/>
      <c r="Y317" s="10"/>
      <c r="Z317" s="10"/>
      <c r="AA317" s="10"/>
      <c r="AB317" s="10"/>
      <c r="AC317" s="10"/>
      <c r="AD317" s="10"/>
      <c r="AE317" s="10"/>
      <c r="AF317" s="10"/>
    </row>
    <row r="318" hidden="1">
      <c r="A318" s="9" t="s">
        <v>535</v>
      </c>
      <c r="B318" s="84"/>
      <c r="C318" s="9"/>
      <c r="D318" s="9" t="str">
        <f t="shared" si="1"/>
        <v/>
      </c>
      <c r="E318" s="10" t="str">
        <f t="shared" si="2"/>
        <v>OT Hours</v>
      </c>
      <c r="F318" s="10" t="str">
        <f>IFERROR(VLOOKUP(C318,'Employees List'!$B$1:$I$999,4,0),"")</f>
        <v/>
      </c>
      <c r="G318" s="10" t="str">
        <f t="shared" si="21"/>
        <v>#DIV/0!</v>
      </c>
      <c r="H318" s="72" t="str">
        <f>IFERROR(VLOOKUP(C318,'Employees List'!$B$2:$I$991,7,0),"")</f>
        <v/>
      </c>
      <c r="I318" s="73" t="str">
        <f>IFERROR(VLOOKUP(F318,'Employees List'!$E$1:$AE$991,6,0),"")</f>
        <v/>
      </c>
      <c r="J318" s="71">
        <f t="shared" si="3"/>
        <v>0</v>
      </c>
      <c r="K318" s="71">
        <f t="shared" si="4"/>
        <v>0</v>
      </c>
      <c r="L318" s="10" t="str">
        <f>IFERROR(VLOOKUP(B318,'Employees List'!$A$2:$K$991,11,0),"")</f>
        <v/>
      </c>
      <c r="M318" s="74" t="str">
        <f>IFERROR(VLOOKUP(D318,'Daily Attendance 25-26'!$A$4:BP999,5,0),"")</f>
        <v/>
      </c>
      <c r="N318" s="10" t="str">
        <f>IFERROR(VLOOKUP(E318,'Daily Attendance 25-26'!$A$1:$BO$1741,5,0),"")</f>
        <v/>
      </c>
      <c r="O318" s="10"/>
      <c r="P318" s="10"/>
      <c r="Q318" s="10" t="str">
        <f t="shared" si="5"/>
        <v>#DIV/0!</v>
      </c>
      <c r="R318" s="10" t="str">
        <f t="shared" si="6"/>
        <v>#DIV/0!</v>
      </c>
      <c r="S318" s="10" t="str">
        <f t="shared" si="23"/>
        <v>#DIV/0!</v>
      </c>
      <c r="T318" s="10" t="str">
        <f t="shared" si="22"/>
        <v>#DIV/0!</v>
      </c>
      <c r="U318" s="10" t="str">
        <f t="shared" si="8"/>
        <v>#DIV/0!</v>
      </c>
      <c r="V318" s="10"/>
      <c r="W318" s="10"/>
      <c r="X318" s="10"/>
      <c r="Y318" s="10"/>
      <c r="Z318" s="10"/>
      <c r="AA318" s="10"/>
      <c r="AB318" s="10"/>
      <c r="AC318" s="10"/>
      <c r="AD318" s="10"/>
      <c r="AE318" s="10"/>
      <c r="AF318" s="10"/>
    </row>
    <row r="319" hidden="1">
      <c r="A319" s="9" t="s">
        <v>536</v>
      </c>
      <c r="B319" s="84"/>
      <c r="C319" s="9"/>
      <c r="D319" s="9" t="str">
        <f t="shared" si="1"/>
        <v/>
      </c>
      <c r="E319" s="10" t="str">
        <f t="shared" si="2"/>
        <v>OT Hours</v>
      </c>
      <c r="F319" s="10" t="str">
        <f>IFERROR(VLOOKUP(C319,'Employees List'!$B$1:$I$999,4,0),"")</f>
        <v/>
      </c>
      <c r="G319" s="10" t="str">
        <f t="shared" si="21"/>
        <v>#DIV/0!</v>
      </c>
      <c r="H319" s="72" t="str">
        <f>IFERROR(VLOOKUP(C319,'Employees List'!$B$2:$I$991,7,0),"")</f>
        <v/>
      </c>
      <c r="I319" s="73" t="str">
        <f>IFERROR(VLOOKUP(F319,'Employees List'!$E$1:$AE$991,6,0),"")</f>
        <v/>
      </c>
      <c r="J319" s="71">
        <f t="shared" si="3"/>
        <v>0</v>
      </c>
      <c r="K319" s="71">
        <f t="shared" si="4"/>
        <v>0</v>
      </c>
      <c r="L319" s="10" t="str">
        <f>IFERROR(VLOOKUP(B319,'Employees List'!$A$2:$K$991,11,0),"")</f>
        <v/>
      </c>
      <c r="M319" s="74" t="str">
        <f>IFERROR(VLOOKUP(D319,'Daily Attendance 25-26'!$A$4:BP999,5,0),"")</f>
        <v/>
      </c>
      <c r="N319" s="10" t="str">
        <f>IFERROR(VLOOKUP(E319,'Daily Attendance 25-26'!$A$1:$BO$1741,5,0),"")</f>
        <v/>
      </c>
      <c r="O319" s="10"/>
      <c r="P319" s="10"/>
      <c r="Q319" s="10" t="str">
        <f t="shared" si="5"/>
        <v>#DIV/0!</v>
      </c>
      <c r="R319" s="10" t="str">
        <f t="shared" si="6"/>
        <v>#DIV/0!</v>
      </c>
      <c r="S319" s="10" t="str">
        <f t="shared" si="23"/>
        <v>#DIV/0!</v>
      </c>
      <c r="T319" s="10" t="str">
        <f t="shared" si="22"/>
        <v>#DIV/0!</v>
      </c>
      <c r="U319" s="10" t="str">
        <f t="shared" si="8"/>
        <v>#DIV/0!</v>
      </c>
      <c r="V319" s="10"/>
      <c r="W319" s="10"/>
      <c r="X319" s="10"/>
      <c r="Y319" s="10"/>
      <c r="Z319" s="10"/>
      <c r="AA319" s="10"/>
      <c r="AB319" s="10"/>
      <c r="AC319" s="10"/>
      <c r="AD319" s="10"/>
      <c r="AE319" s="10"/>
      <c r="AF319" s="10"/>
    </row>
    <row r="320" hidden="1">
      <c r="A320" s="9" t="s">
        <v>537</v>
      </c>
      <c r="B320" s="84"/>
      <c r="C320" s="9"/>
      <c r="D320" s="9" t="str">
        <f t="shared" si="1"/>
        <v/>
      </c>
      <c r="E320" s="10" t="str">
        <f t="shared" si="2"/>
        <v>OT Hours</v>
      </c>
      <c r="F320" s="10" t="str">
        <f>IFERROR(VLOOKUP(C320,'Employees List'!$B$1:$I$999,4,0),"")</f>
        <v/>
      </c>
      <c r="G320" s="10" t="str">
        <f t="shared" si="21"/>
        <v>#DIV/0!</v>
      </c>
      <c r="H320" s="72" t="str">
        <f>IFERROR(VLOOKUP(C320,'Employees List'!$B$2:$I$991,7,0),"")</f>
        <v/>
      </c>
      <c r="I320" s="73" t="str">
        <f>IFERROR(VLOOKUP(F320,'Employees List'!$E$1:$AE$991,6,0),"")</f>
        <v/>
      </c>
      <c r="J320" s="71">
        <f t="shared" si="3"/>
        <v>0</v>
      </c>
      <c r="K320" s="71">
        <f t="shared" si="4"/>
        <v>0</v>
      </c>
      <c r="L320" s="10" t="str">
        <f>IFERROR(VLOOKUP(B320,'Employees List'!$A$2:$K$991,11,0),"")</f>
        <v/>
      </c>
      <c r="M320" s="74" t="str">
        <f>IFERROR(VLOOKUP(D320,'Daily Attendance 25-26'!$A$4:BP999,5,0),"")</f>
        <v/>
      </c>
      <c r="N320" s="10" t="str">
        <f>IFERROR(VLOOKUP(E320,'Daily Attendance 25-26'!$A$1:$BO$1741,5,0),"")</f>
        <v/>
      </c>
      <c r="O320" s="10"/>
      <c r="P320" s="10"/>
      <c r="Q320" s="10" t="str">
        <f t="shared" si="5"/>
        <v>#DIV/0!</v>
      </c>
      <c r="R320" s="10" t="str">
        <f t="shared" si="6"/>
        <v>#DIV/0!</v>
      </c>
      <c r="S320" s="10" t="str">
        <f t="shared" si="23"/>
        <v>#DIV/0!</v>
      </c>
      <c r="T320" s="10" t="str">
        <f t="shared" si="22"/>
        <v>#DIV/0!</v>
      </c>
      <c r="U320" s="10" t="str">
        <f t="shared" si="8"/>
        <v>#DIV/0!</v>
      </c>
      <c r="V320" s="10"/>
      <c r="W320" s="10"/>
      <c r="X320" s="10"/>
      <c r="Y320" s="10"/>
      <c r="Z320" s="10"/>
      <c r="AA320" s="10"/>
      <c r="AB320" s="10"/>
      <c r="AC320" s="10"/>
      <c r="AD320" s="10"/>
      <c r="AE320" s="10"/>
      <c r="AF320" s="10"/>
    </row>
    <row r="321" hidden="1">
      <c r="A321" s="9" t="s">
        <v>538</v>
      </c>
      <c r="B321" s="84"/>
      <c r="C321" s="9"/>
      <c r="D321" s="9" t="str">
        <f t="shared" si="1"/>
        <v/>
      </c>
      <c r="E321" s="10" t="str">
        <f t="shared" si="2"/>
        <v>OT Hours</v>
      </c>
      <c r="F321" s="10" t="str">
        <f>IFERROR(VLOOKUP(C321,'Employees List'!$B$1:$I$999,4,0),"")</f>
        <v/>
      </c>
      <c r="G321" s="10" t="str">
        <f t="shared" si="21"/>
        <v>#DIV/0!</v>
      </c>
      <c r="H321" s="72" t="str">
        <f>IFERROR(VLOOKUP(C321,'Employees List'!$B$2:$I$991,7,0),"")</f>
        <v/>
      </c>
      <c r="I321" s="73" t="str">
        <f>IFERROR(VLOOKUP(F321,'Employees List'!$E$1:$AE$991,6,0),"")</f>
        <v/>
      </c>
      <c r="J321" s="71">
        <f t="shared" si="3"/>
        <v>0</v>
      </c>
      <c r="K321" s="71">
        <f t="shared" si="4"/>
        <v>0</v>
      </c>
      <c r="L321" s="10" t="str">
        <f>IFERROR(VLOOKUP(B321,'Employees List'!$A$2:$K$991,11,0),"")</f>
        <v/>
      </c>
      <c r="M321" s="74" t="str">
        <f>IFERROR(VLOOKUP(D321,'Daily Attendance 25-26'!$A$4:BP999,5,0),"")</f>
        <v/>
      </c>
      <c r="N321" s="10" t="str">
        <f>IFERROR(VLOOKUP(E321,'Daily Attendance 25-26'!$A$1:$BO$1741,5,0),"")</f>
        <v/>
      </c>
      <c r="O321" s="10"/>
      <c r="P321" s="10"/>
      <c r="Q321" s="10" t="str">
        <f t="shared" si="5"/>
        <v>#DIV/0!</v>
      </c>
      <c r="R321" s="10" t="str">
        <f t="shared" si="6"/>
        <v>#DIV/0!</v>
      </c>
      <c r="S321" s="10" t="str">
        <f t="shared" si="23"/>
        <v>#DIV/0!</v>
      </c>
      <c r="T321" s="10" t="str">
        <f t="shared" si="22"/>
        <v>#DIV/0!</v>
      </c>
      <c r="U321" s="10" t="str">
        <f t="shared" si="8"/>
        <v>#DIV/0!</v>
      </c>
      <c r="V321" s="10"/>
      <c r="W321" s="10"/>
      <c r="X321" s="10"/>
      <c r="Y321" s="10"/>
      <c r="Z321" s="10"/>
      <c r="AA321" s="10"/>
      <c r="AB321" s="10"/>
      <c r="AC321" s="10"/>
      <c r="AD321" s="10"/>
      <c r="AE321" s="10"/>
      <c r="AF321" s="10"/>
    </row>
    <row r="322" hidden="1">
      <c r="A322" s="9" t="s">
        <v>539</v>
      </c>
      <c r="B322" s="84"/>
      <c r="C322" s="9"/>
      <c r="D322" s="9" t="str">
        <f t="shared" si="1"/>
        <v/>
      </c>
      <c r="E322" s="10" t="str">
        <f t="shared" si="2"/>
        <v>OT Hours</v>
      </c>
      <c r="F322" s="10" t="str">
        <f>IFERROR(VLOOKUP(C322,'Employees List'!$B$1:$I$999,4,0),"")</f>
        <v/>
      </c>
      <c r="G322" s="10" t="str">
        <f t="shared" si="21"/>
        <v>#DIV/0!</v>
      </c>
      <c r="H322" s="72" t="str">
        <f>IFERROR(VLOOKUP(C322,'Employees List'!$B$2:$I$991,7,0),"")</f>
        <v/>
      </c>
      <c r="I322" s="73" t="str">
        <f>IFERROR(VLOOKUP(F322,'Employees List'!$E$1:$AE$991,6,0),"")</f>
        <v/>
      </c>
      <c r="J322" s="71">
        <f t="shared" si="3"/>
        <v>0</v>
      </c>
      <c r="K322" s="71">
        <f t="shared" si="4"/>
        <v>0</v>
      </c>
      <c r="L322" s="10" t="str">
        <f>IFERROR(VLOOKUP(B322,'Employees List'!$A$2:$K$991,11,0),"")</f>
        <v/>
      </c>
      <c r="M322" s="74" t="str">
        <f>IFERROR(VLOOKUP(D322,'Daily Attendance 25-26'!$A$4:BP999,5,0),"")</f>
        <v/>
      </c>
      <c r="N322" s="10" t="str">
        <f>IFERROR(VLOOKUP(E322,'Daily Attendance 25-26'!$A$1:$BO$1741,5,0),"")</f>
        <v/>
      </c>
      <c r="O322" s="10"/>
      <c r="P322" s="10"/>
      <c r="Q322" s="10" t="str">
        <f t="shared" si="5"/>
        <v>#DIV/0!</v>
      </c>
      <c r="R322" s="10" t="str">
        <f t="shared" si="6"/>
        <v>#DIV/0!</v>
      </c>
      <c r="S322" s="10" t="str">
        <f t="shared" si="23"/>
        <v>#DIV/0!</v>
      </c>
      <c r="T322" s="10" t="str">
        <f t="shared" si="22"/>
        <v>#DIV/0!</v>
      </c>
      <c r="U322" s="10" t="str">
        <f t="shared" si="8"/>
        <v>#DIV/0!</v>
      </c>
      <c r="V322" s="10"/>
      <c r="W322" s="10"/>
      <c r="X322" s="10"/>
      <c r="Y322" s="10"/>
      <c r="Z322" s="10"/>
      <c r="AA322" s="10"/>
      <c r="AB322" s="10"/>
      <c r="AC322" s="10"/>
      <c r="AD322" s="10"/>
      <c r="AE322" s="10"/>
      <c r="AF322" s="10"/>
    </row>
    <row r="323" hidden="1">
      <c r="A323" s="9" t="s">
        <v>540</v>
      </c>
      <c r="B323" s="84"/>
      <c r="C323" s="9"/>
      <c r="D323" s="9" t="str">
        <f t="shared" si="1"/>
        <v/>
      </c>
      <c r="E323" s="10" t="str">
        <f t="shared" si="2"/>
        <v>OT Hours</v>
      </c>
      <c r="F323" s="10" t="str">
        <f>IFERROR(VLOOKUP(C323,'Employees List'!$B$1:$I$999,4,0),"")</f>
        <v/>
      </c>
      <c r="G323" s="10" t="str">
        <f t="shared" si="21"/>
        <v>#DIV/0!</v>
      </c>
      <c r="H323" s="72" t="str">
        <f>IFERROR(VLOOKUP(C323,'Employees List'!$B$2:$I$991,7,0),"")</f>
        <v/>
      </c>
      <c r="I323" s="73" t="str">
        <f>IFERROR(VLOOKUP(F323,'Employees List'!$E$1:$AE$991,6,0),"")</f>
        <v/>
      </c>
      <c r="J323" s="71">
        <f t="shared" si="3"/>
        <v>0</v>
      </c>
      <c r="K323" s="71">
        <f t="shared" si="4"/>
        <v>0</v>
      </c>
      <c r="L323" s="10" t="str">
        <f>IFERROR(VLOOKUP(B323,'Employees List'!$A$2:$K$991,11,0),"")</f>
        <v/>
      </c>
      <c r="M323" s="74" t="str">
        <f>IFERROR(VLOOKUP(D323,'Daily Attendance 25-26'!$A$4:BP999,5,0),"")</f>
        <v/>
      </c>
      <c r="N323" s="10" t="str">
        <f>IFERROR(VLOOKUP(E323,'Daily Attendance 25-26'!$A$1:$BO$1741,5,0),"")</f>
        <v/>
      </c>
      <c r="O323" s="10"/>
      <c r="P323" s="10"/>
      <c r="Q323" s="10" t="str">
        <f t="shared" si="5"/>
        <v>#DIV/0!</v>
      </c>
      <c r="R323" s="10" t="str">
        <f t="shared" si="6"/>
        <v>#DIV/0!</v>
      </c>
      <c r="S323" s="10" t="str">
        <f t="shared" si="23"/>
        <v>#DIV/0!</v>
      </c>
      <c r="T323" s="10" t="str">
        <f t="shared" si="22"/>
        <v>#DIV/0!</v>
      </c>
      <c r="U323" s="10" t="str">
        <f t="shared" si="8"/>
        <v>#DIV/0!</v>
      </c>
      <c r="V323" s="10"/>
      <c r="W323" s="10"/>
      <c r="X323" s="10"/>
      <c r="Y323" s="10"/>
      <c r="Z323" s="10"/>
      <c r="AA323" s="10"/>
      <c r="AB323" s="10"/>
      <c r="AC323" s="10"/>
      <c r="AD323" s="10"/>
      <c r="AE323" s="10"/>
      <c r="AF323" s="10"/>
    </row>
    <row r="324" hidden="1">
      <c r="A324" s="9" t="s">
        <v>541</v>
      </c>
      <c r="B324" s="84"/>
      <c r="C324" s="9"/>
      <c r="D324" s="9" t="str">
        <f t="shared" si="1"/>
        <v/>
      </c>
      <c r="E324" s="10" t="str">
        <f t="shared" si="2"/>
        <v>OT Hours</v>
      </c>
      <c r="F324" s="10" t="str">
        <f>IFERROR(VLOOKUP(C324,'Employees List'!$B$1:$I$999,4,0),"")</f>
        <v/>
      </c>
      <c r="G324" s="10" t="str">
        <f t="shared" si="21"/>
        <v>#DIV/0!</v>
      </c>
      <c r="H324" s="72" t="str">
        <f>IFERROR(VLOOKUP(C324,'Employees List'!$B$2:$I$991,7,0),"")</f>
        <v/>
      </c>
      <c r="I324" s="73" t="str">
        <f>IFERROR(VLOOKUP(F324,'Employees List'!$E$1:$AE$991,6,0),"")</f>
        <v/>
      </c>
      <c r="J324" s="71">
        <f t="shared" si="3"/>
        <v>0</v>
      </c>
      <c r="K324" s="71">
        <f t="shared" si="4"/>
        <v>0</v>
      </c>
      <c r="L324" s="10" t="str">
        <f>IFERROR(VLOOKUP(B324,'Employees List'!$A$2:$K$991,11,0),"")</f>
        <v/>
      </c>
      <c r="M324" s="74" t="str">
        <f>IFERROR(VLOOKUP(D324,'Daily Attendance 25-26'!$A$4:BP999,5,0),"")</f>
        <v/>
      </c>
      <c r="N324" s="10" t="str">
        <f>IFERROR(VLOOKUP(E324,'Daily Attendance 25-26'!$A$1:$BO$1741,5,0),"")</f>
        <v/>
      </c>
      <c r="O324" s="10"/>
      <c r="P324" s="10"/>
      <c r="Q324" s="10" t="str">
        <f t="shared" si="5"/>
        <v>#DIV/0!</v>
      </c>
      <c r="R324" s="10" t="str">
        <f t="shared" si="6"/>
        <v>#DIV/0!</v>
      </c>
      <c r="S324" s="10" t="str">
        <f t="shared" si="23"/>
        <v>#DIV/0!</v>
      </c>
      <c r="T324" s="10" t="str">
        <f t="shared" si="22"/>
        <v>#DIV/0!</v>
      </c>
      <c r="U324" s="10" t="str">
        <f t="shared" si="8"/>
        <v>#DIV/0!</v>
      </c>
      <c r="V324" s="10"/>
      <c r="W324" s="10"/>
      <c r="X324" s="10"/>
      <c r="Y324" s="10"/>
      <c r="Z324" s="10"/>
      <c r="AA324" s="10"/>
      <c r="AB324" s="10"/>
      <c r="AC324" s="10"/>
      <c r="AD324" s="10"/>
      <c r="AE324" s="10"/>
      <c r="AF324" s="10"/>
    </row>
    <row r="325" hidden="1">
      <c r="A325" s="9" t="s">
        <v>542</v>
      </c>
      <c r="B325" s="84"/>
      <c r="C325" s="9"/>
      <c r="D325" s="9" t="str">
        <f t="shared" si="1"/>
        <v/>
      </c>
      <c r="E325" s="10" t="str">
        <f t="shared" si="2"/>
        <v>OT Hours</v>
      </c>
      <c r="F325" s="10" t="str">
        <f>IFERROR(VLOOKUP(C325,'Employees List'!$B$1:$I$999,4,0),"")</f>
        <v/>
      </c>
      <c r="G325" s="10" t="str">
        <f t="shared" si="21"/>
        <v>#DIV/0!</v>
      </c>
      <c r="H325" s="72" t="str">
        <f>IFERROR(VLOOKUP(C325,'Employees List'!$B$2:$I$991,7,0),"")</f>
        <v/>
      </c>
      <c r="I325" s="73" t="str">
        <f>IFERROR(VLOOKUP(F325,'Employees List'!$E$1:$AE$991,6,0),"")</f>
        <v/>
      </c>
      <c r="J325" s="71">
        <f t="shared" si="3"/>
        <v>0</v>
      </c>
      <c r="K325" s="71">
        <f t="shared" si="4"/>
        <v>0</v>
      </c>
      <c r="L325" s="10" t="str">
        <f>IFERROR(VLOOKUP(B325,'Employees List'!$A$2:$K$991,11,0),"")</f>
        <v/>
      </c>
      <c r="M325" s="74" t="str">
        <f>IFERROR(VLOOKUP(D325,'Daily Attendance 25-26'!$A$4:BP999,5,0),"")</f>
        <v/>
      </c>
      <c r="N325" s="10" t="str">
        <f>IFERROR(VLOOKUP(E325,'Daily Attendance 25-26'!$A$1:$BO$1741,5,0),"")</f>
        <v/>
      </c>
      <c r="O325" s="10"/>
      <c r="P325" s="10"/>
      <c r="Q325" s="10" t="str">
        <f t="shared" si="5"/>
        <v>#DIV/0!</v>
      </c>
      <c r="R325" s="10" t="str">
        <f t="shared" si="6"/>
        <v>#DIV/0!</v>
      </c>
      <c r="S325" s="10" t="str">
        <f t="shared" si="23"/>
        <v>#DIV/0!</v>
      </c>
      <c r="T325" s="10" t="str">
        <f t="shared" si="22"/>
        <v>#DIV/0!</v>
      </c>
      <c r="U325" s="10" t="str">
        <f t="shared" si="8"/>
        <v>#DIV/0!</v>
      </c>
      <c r="V325" s="10"/>
      <c r="W325" s="10"/>
      <c r="X325" s="10"/>
      <c r="Y325" s="10"/>
      <c r="Z325" s="10"/>
      <c r="AA325" s="10"/>
      <c r="AB325" s="10"/>
      <c r="AC325" s="10"/>
      <c r="AD325" s="10"/>
      <c r="AE325" s="10"/>
      <c r="AF325" s="10"/>
    </row>
    <row r="326" hidden="1">
      <c r="A326" s="9" t="s">
        <v>543</v>
      </c>
      <c r="B326" s="84"/>
      <c r="C326" s="9"/>
      <c r="D326" s="9" t="str">
        <f t="shared" si="1"/>
        <v/>
      </c>
      <c r="E326" s="10" t="str">
        <f t="shared" si="2"/>
        <v>OT Hours</v>
      </c>
      <c r="F326" s="10" t="str">
        <f>IFERROR(VLOOKUP(C326,'Employees List'!$B$1:$I$999,4,0),"")</f>
        <v/>
      </c>
      <c r="G326" s="10" t="str">
        <f t="shared" si="21"/>
        <v>#DIV/0!</v>
      </c>
      <c r="H326" s="72" t="str">
        <f>IFERROR(VLOOKUP(C326,'Employees List'!$B$2:$I$991,7,0),"")</f>
        <v/>
      </c>
      <c r="I326" s="73" t="str">
        <f>IFERROR(VLOOKUP(F326,'Employees List'!$E$1:$AE$991,6,0),"")</f>
        <v/>
      </c>
      <c r="J326" s="71">
        <f t="shared" si="3"/>
        <v>0</v>
      </c>
      <c r="K326" s="71">
        <f t="shared" si="4"/>
        <v>0</v>
      </c>
      <c r="L326" s="10" t="str">
        <f>IFERROR(VLOOKUP(B326,'Employees List'!$A$2:$K$991,11,0),"")</f>
        <v/>
      </c>
      <c r="M326" s="74" t="str">
        <f>IFERROR(VLOOKUP(D326,'Daily Attendance 25-26'!$A$4:BP999,5,0),"")</f>
        <v/>
      </c>
      <c r="N326" s="10" t="str">
        <f>IFERROR(VLOOKUP(E326,'Daily Attendance 25-26'!$A$1:$BO$1741,5,0),"")</f>
        <v/>
      </c>
      <c r="O326" s="10"/>
      <c r="P326" s="10"/>
      <c r="Q326" s="10" t="str">
        <f t="shared" si="5"/>
        <v>#DIV/0!</v>
      </c>
      <c r="R326" s="10" t="str">
        <f t="shared" si="6"/>
        <v>#DIV/0!</v>
      </c>
      <c r="S326" s="10" t="str">
        <f t="shared" si="23"/>
        <v>#DIV/0!</v>
      </c>
      <c r="T326" s="10" t="str">
        <f t="shared" si="22"/>
        <v>#DIV/0!</v>
      </c>
      <c r="U326" s="10" t="str">
        <f t="shared" si="8"/>
        <v>#DIV/0!</v>
      </c>
      <c r="V326" s="10"/>
      <c r="W326" s="10"/>
      <c r="X326" s="10"/>
      <c r="Y326" s="10"/>
      <c r="Z326" s="10"/>
      <c r="AA326" s="10"/>
      <c r="AB326" s="10"/>
      <c r="AC326" s="10"/>
      <c r="AD326" s="10"/>
      <c r="AE326" s="10"/>
      <c r="AF326" s="10"/>
    </row>
    <row r="327" hidden="1">
      <c r="A327" s="9" t="s">
        <v>544</v>
      </c>
      <c r="B327" s="84"/>
      <c r="C327" s="9"/>
      <c r="D327" s="9" t="str">
        <f t="shared" si="1"/>
        <v/>
      </c>
      <c r="E327" s="10" t="str">
        <f t="shared" si="2"/>
        <v>OT Hours</v>
      </c>
      <c r="F327" s="10" t="str">
        <f>IFERROR(VLOOKUP(C327,'Employees List'!$B$1:$I$999,4,0),"")</f>
        <v/>
      </c>
      <c r="G327" s="10" t="str">
        <f t="shared" si="21"/>
        <v>#DIV/0!</v>
      </c>
      <c r="H327" s="72" t="str">
        <f>IFERROR(VLOOKUP(C327,'Employees List'!$B$2:$I$991,7,0),"")</f>
        <v/>
      </c>
      <c r="I327" s="73" t="str">
        <f>IFERROR(VLOOKUP(F327,'Employees List'!$E$1:$AE$991,6,0),"")</f>
        <v/>
      </c>
      <c r="J327" s="71">
        <f t="shared" si="3"/>
        <v>0</v>
      </c>
      <c r="K327" s="71">
        <f t="shared" si="4"/>
        <v>0</v>
      </c>
      <c r="L327" s="10" t="str">
        <f>IFERROR(VLOOKUP(B327,'Employees List'!$A$2:$K$991,11,0),"")</f>
        <v/>
      </c>
      <c r="M327" s="74" t="str">
        <f>IFERROR(VLOOKUP(D327,'Daily Attendance 25-26'!$A$4:BP999,5,0),"")</f>
        <v/>
      </c>
      <c r="N327" s="10" t="str">
        <f>IFERROR(VLOOKUP(E327,'Daily Attendance 25-26'!$A$1:$BO$1741,5,0),"")</f>
        <v/>
      </c>
      <c r="O327" s="10"/>
      <c r="P327" s="10"/>
      <c r="Q327" s="10" t="str">
        <f t="shared" si="5"/>
        <v>#DIV/0!</v>
      </c>
      <c r="R327" s="10" t="str">
        <f t="shared" si="6"/>
        <v>#DIV/0!</v>
      </c>
      <c r="S327" s="10" t="str">
        <f t="shared" si="23"/>
        <v>#DIV/0!</v>
      </c>
      <c r="T327" s="10" t="str">
        <f t="shared" si="22"/>
        <v>#DIV/0!</v>
      </c>
      <c r="U327" s="10" t="str">
        <f t="shared" si="8"/>
        <v>#DIV/0!</v>
      </c>
      <c r="V327" s="10"/>
      <c r="W327" s="10"/>
      <c r="X327" s="10"/>
      <c r="Y327" s="10"/>
      <c r="Z327" s="10"/>
      <c r="AA327" s="10"/>
      <c r="AB327" s="10"/>
      <c r="AC327" s="10"/>
      <c r="AD327" s="10"/>
      <c r="AE327" s="10"/>
      <c r="AF327" s="10"/>
    </row>
    <row r="328" hidden="1">
      <c r="A328" s="9" t="s">
        <v>545</v>
      </c>
      <c r="B328" s="84"/>
      <c r="C328" s="9"/>
      <c r="D328" s="9" t="str">
        <f t="shared" si="1"/>
        <v/>
      </c>
      <c r="E328" s="10" t="str">
        <f t="shared" si="2"/>
        <v>OT Hours</v>
      </c>
      <c r="F328" s="10" t="str">
        <f>IFERROR(VLOOKUP(C328,'Employees List'!$B$1:$I$999,4,0),"")</f>
        <v/>
      </c>
      <c r="G328" s="10" t="str">
        <f t="shared" si="21"/>
        <v>#DIV/0!</v>
      </c>
      <c r="H328" s="72" t="str">
        <f>IFERROR(VLOOKUP(C328,'Employees List'!$B$2:$I$991,7,0),"")</f>
        <v/>
      </c>
      <c r="I328" s="73" t="str">
        <f>IFERROR(VLOOKUP(F328,'Employees List'!$E$1:$AE$991,6,0),"")</f>
        <v/>
      </c>
      <c r="J328" s="71">
        <f t="shared" si="3"/>
        <v>0</v>
      </c>
      <c r="K328" s="71">
        <f t="shared" si="4"/>
        <v>0</v>
      </c>
      <c r="L328" s="10" t="str">
        <f>IFERROR(VLOOKUP(B328,'Employees List'!$A$2:$K$991,11,0),"")</f>
        <v/>
      </c>
      <c r="M328" s="74" t="str">
        <f>IFERROR(VLOOKUP(D328,'Daily Attendance 25-26'!$A$4:BP999,5,0),"")</f>
        <v/>
      </c>
      <c r="N328" s="10" t="str">
        <f>IFERROR(VLOOKUP(E328,'Daily Attendance 25-26'!$A$1:$BO$1741,5,0),"")</f>
        <v/>
      </c>
      <c r="O328" s="10"/>
      <c r="P328" s="10"/>
      <c r="Q328" s="10" t="str">
        <f t="shared" si="5"/>
        <v>#DIV/0!</v>
      </c>
      <c r="R328" s="10" t="str">
        <f t="shared" si="6"/>
        <v>#DIV/0!</v>
      </c>
      <c r="S328" s="10" t="str">
        <f t="shared" si="23"/>
        <v>#DIV/0!</v>
      </c>
      <c r="T328" s="10" t="str">
        <f t="shared" si="22"/>
        <v>#DIV/0!</v>
      </c>
      <c r="U328" s="10" t="str">
        <f t="shared" si="8"/>
        <v>#DIV/0!</v>
      </c>
      <c r="V328" s="10"/>
      <c r="W328" s="10"/>
      <c r="X328" s="10"/>
      <c r="Y328" s="10"/>
      <c r="Z328" s="10"/>
      <c r="AA328" s="10"/>
      <c r="AB328" s="10"/>
      <c r="AC328" s="10"/>
      <c r="AD328" s="10"/>
      <c r="AE328" s="10"/>
      <c r="AF328" s="10"/>
    </row>
    <row r="329" hidden="1">
      <c r="A329" s="9" t="s">
        <v>546</v>
      </c>
      <c r="B329" s="84"/>
      <c r="C329" s="9"/>
      <c r="D329" s="9" t="str">
        <f t="shared" si="1"/>
        <v/>
      </c>
      <c r="E329" s="10" t="str">
        <f t="shared" si="2"/>
        <v>OT Hours</v>
      </c>
      <c r="F329" s="10" t="str">
        <f>IFERROR(VLOOKUP(C329,'Employees List'!$B$1:$I$999,4,0),"")</f>
        <v/>
      </c>
      <c r="G329" s="10" t="str">
        <f t="shared" si="21"/>
        <v>#DIV/0!</v>
      </c>
      <c r="H329" s="72" t="str">
        <f>IFERROR(VLOOKUP(C329,'Employees List'!$B$2:$I$991,7,0),"")</f>
        <v/>
      </c>
      <c r="I329" s="73" t="str">
        <f>IFERROR(VLOOKUP(F329,'Employees List'!$E$1:$AE$991,6,0),"")</f>
        <v/>
      </c>
      <c r="J329" s="71">
        <f t="shared" si="3"/>
        <v>0</v>
      </c>
      <c r="K329" s="71">
        <f t="shared" si="4"/>
        <v>0</v>
      </c>
      <c r="L329" s="10" t="str">
        <f>IFERROR(VLOOKUP(B329,'Employees List'!$A$2:$K$991,11,0),"")</f>
        <v/>
      </c>
      <c r="M329" s="74" t="str">
        <f>IFERROR(VLOOKUP(D329,'Daily Attendance 25-26'!$A$4:BP999,5,0),"")</f>
        <v/>
      </c>
      <c r="N329" s="10" t="str">
        <f>IFERROR(VLOOKUP(E329,'Daily Attendance 25-26'!$A$1:$BO$1741,5,0),"")</f>
        <v/>
      </c>
      <c r="O329" s="10"/>
      <c r="P329" s="10"/>
      <c r="Q329" s="10" t="str">
        <f t="shared" si="5"/>
        <v>#DIV/0!</v>
      </c>
      <c r="R329" s="10" t="str">
        <f t="shared" si="6"/>
        <v>#DIV/0!</v>
      </c>
      <c r="S329" s="10" t="str">
        <f t="shared" si="23"/>
        <v>#DIV/0!</v>
      </c>
      <c r="T329" s="10" t="str">
        <f t="shared" si="22"/>
        <v>#DIV/0!</v>
      </c>
      <c r="U329" s="10" t="str">
        <f t="shared" si="8"/>
        <v>#DIV/0!</v>
      </c>
      <c r="V329" s="10"/>
      <c r="W329" s="10"/>
      <c r="X329" s="10"/>
      <c r="Y329" s="10"/>
      <c r="Z329" s="10"/>
      <c r="AA329" s="10"/>
      <c r="AB329" s="10"/>
      <c r="AC329" s="10"/>
      <c r="AD329" s="10"/>
      <c r="AE329" s="10"/>
      <c r="AF329" s="10"/>
    </row>
    <row r="330" hidden="1">
      <c r="A330" s="9" t="s">
        <v>547</v>
      </c>
      <c r="B330" s="84"/>
      <c r="C330" s="9"/>
      <c r="D330" s="9" t="str">
        <f t="shared" si="1"/>
        <v/>
      </c>
      <c r="E330" s="10" t="str">
        <f t="shared" si="2"/>
        <v>OT Hours</v>
      </c>
      <c r="F330" s="10" t="str">
        <f>IFERROR(VLOOKUP(C330,'Employees List'!$B$1:$I$999,4,0),"")</f>
        <v/>
      </c>
      <c r="G330" s="10" t="str">
        <f t="shared" si="21"/>
        <v>#DIV/0!</v>
      </c>
      <c r="H330" s="72" t="str">
        <f>IFERROR(VLOOKUP(C330,'Employees List'!$B$2:$I$991,7,0),"")</f>
        <v/>
      </c>
      <c r="I330" s="73" t="str">
        <f>IFERROR(VLOOKUP(F330,'Employees List'!$E$1:$AE$991,6,0),"")</f>
        <v/>
      </c>
      <c r="J330" s="71">
        <f t="shared" si="3"/>
        <v>0</v>
      </c>
      <c r="K330" s="71">
        <f t="shared" si="4"/>
        <v>0</v>
      </c>
      <c r="L330" s="10" t="str">
        <f>IFERROR(VLOOKUP(B330,'Employees List'!$A$2:$K$991,11,0),"")</f>
        <v/>
      </c>
      <c r="M330" s="74" t="str">
        <f>IFERROR(VLOOKUP(D330,'Daily Attendance 25-26'!$A$4:BP999,5,0),"")</f>
        <v/>
      </c>
      <c r="N330" s="10" t="str">
        <f>IFERROR(VLOOKUP(E330,'Daily Attendance 25-26'!$A$1:$BO$1741,5,0),"")</f>
        <v/>
      </c>
      <c r="O330" s="10"/>
      <c r="P330" s="10"/>
      <c r="Q330" s="10" t="str">
        <f t="shared" si="5"/>
        <v>#DIV/0!</v>
      </c>
      <c r="R330" s="10" t="str">
        <f t="shared" si="6"/>
        <v>#DIV/0!</v>
      </c>
      <c r="S330" s="10" t="str">
        <f t="shared" si="23"/>
        <v>#DIV/0!</v>
      </c>
      <c r="T330" s="10" t="str">
        <f t="shared" si="22"/>
        <v>#DIV/0!</v>
      </c>
      <c r="U330" s="10" t="str">
        <f t="shared" si="8"/>
        <v>#DIV/0!</v>
      </c>
      <c r="V330" s="10"/>
      <c r="W330" s="10"/>
      <c r="X330" s="10"/>
      <c r="Y330" s="10"/>
      <c r="Z330" s="10"/>
      <c r="AA330" s="10"/>
      <c r="AB330" s="10"/>
      <c r="AC330" s="10"/>
      <c r="AD330" s="10"/>
      <c r="AE330" s="10"/>
      <c r="AF330" s="10"/>
    </row>
    <row r="331" hidden="1">
      <c r="A331" s="9" t="s">
        <v>548</v>
      </c>
      <c r="B331" s="84"/>
      <c r="C331" s="9"/>
      <c r="D331" s="9" t="str">
        <f t="shared" si="1"/>
        <v/>
      </c>
      <c r="E331" s="10" t="str">
        <f t="shared" si="2"/>
        <v>OT Hours</v>
      </c>
      <c r="F331" s="10" t="str">
        <f>IFERROR(VLOOKUP(C331,'Employees List'!$B$1:$I$999,4,0),"")</f>
        <v/>
      </c>
      <c r="G331" s="10" t="str">
        <f t="shared" si="21"/>
        <v>#DIV/0!</v>
      </c>
      <c r="H331" s="72" t="str">
        <f>IFERROR(VLOOKUP(C331,'Employees List'!$B$2:$I$991,7,0),"")</f>
        <v/>
      </c>
      <c r="I331" s="73" t="str">
        <f>IFERROR(VLOOKUP(F331,'Employees List'!$E$1:$AE$991,6,0),"")</f>
        <v/>
      </c>
      <c r="J331" s="71">
        <f t="shared" si="3"/>
        <v>0</v>
      </c>
      <c r="K331" s="71">
        <f t="shared" si="4"/>
        <v>0</v>
      </c>
      <c r="L331" s="10" t="str">
        <f>IFERROR(VLOOKUP(B331,'Employees List'!$A$2:$K$991,11,0),"")</f>
        <v/>
      </c>
      <c r="M331" s="74" t="str">
        <f>IFERROR(VLOOKUP(D331,'Daily Attendance 25-26'!$A$4:BP999,5,0),"")</f>
        <v/>
      </c>
      <c r="N331" s="10" t="str">
        <f>IFERROR(VLOOKUP(E331,'Daily Attendance 25-26'!$A$1:$BO$1741,5,0),"")</f>
        <v/>
      </c>
      <c r="O331" s="10"/>
      <c r="P331" s="10"/>
      <c r="Q331" s="10" t="str">
        <f t="shared" si="5"/>
        <v>#DIV/0!</v>
      </c>
      <c r="R331" s="10" t="str">
        <f t="shared" si="6"/>
        <v>#DIV/0!</v>
      </c>
      <c r="S331" s="10" t="str">
        <f t="shared" si="23"/>
        <v>#DIV/0!</v>
      </c>
      <c r="T331" s="10" t="str">
        <f t="shared" si="22"/>
        <v>#DIV/0!</v>
      </c>
      <c r="U331" s="10" t="str">
        <f t="shared" si="8"/>
        <v>#DIV/0!</v>
      </c>
      <c r="V331" s="10"/>
      <c r="W331" s="10"/>
      <c r="X331" s="10"/>
      <c r="Y331" s="10"/>
      <c r="Z331" s="10"/>
      <c r="AA331" s="10"/>
      <c r="AB331" s="10"/>
      <c r="AC331" s="10"/>
      <c r="AD331" s="10"/>
      <c r="AE331" s="10"/>
      <c r="AF331" s="10"/>
    </row>
    <row r="332" hidden="1">
      <c r="A332" s="9" t="s">
        <v>549</v>
      </c>
      <c r="B332" s="84"/>
      <c r="C332" s="9"/>
      <c r="D332" s="9" t="str">
        <f t="shared" si="1"/>
        <v/>
      </c>
      <c r="E332" s="10" t="str">
        <f t="shared" si="2"/>
        <v>OT Hours</v>
      </c>
      <c r="F332" s="10" t="str">
        <f>IFERROR(VLOOKUP(C332,'Employees List'!$B$1:$I$999,4,0),"")</f>
        <v/>
      </c>
      <c r="G332" s="10" t="str">
        <f t="shared" si="21"/>
        <v>#DIV/0!</v>
      </c>
      <c r="H332" s="72" t="str">
        <f>IFERROR(VLOOKUP(C332,'Employees List'!$B$2:$I$991,7,0),"")</f>
        <v/>
      </c>
      <c r="I332" s="73" t="str">
        <f>IFERROR(VLOOKUP(F332,'Employees List'!$E$1:$AE$991,6,0),"")</f>
        <v/>
      </c>
      <c r="J332" s="71">
        <f t="shared" si="3"/>
        <v>0</v>
      </c>
      <c r="K332" s="71">
        <f t="shared" si="4"/>
        <v>0</v>
      </c>
      <c r="L332" s="10" t="str">
        <f>IFERROR(VLOOKUP(B332,'Employees List'!$A$2:$K$991,11,0),"")</f>
        <v/>
      </c>
      <c r="M332" s="74" t="str">
        <f>IFERROR(VLOOKUP(D332,'Daily Attendance 25-26'!$A$4:BP999,5,0),"")</f>
        <v/>
      </c>
      <c r="N332" s="10" t="str">
        <f>IFERROR(VLOOKUP(E332,'Daily Attendance 25-26'!$A$1:$BO$1741,5,0),"")</f>
        <v/>
      </c>
      <c r="O332" s="10"/>
      <c r="P332" s="10"/>
      <c r="Q332" s="10" t="str">
        <f t="shared" si="5"/>
        <v>#DIV/0!</v>
      </c>
      <c r="R332" s="10" t="str">
        <f t="shared" si="6"/>
        <v>#DIV/0!</v>
      </c>
      <c r="S332" s="10" t="str">
        <f t="shared" si="23"/>
        <v>#DIV/0!</v>
      </c>
      <c r="T332" s="10" t="str">
        <f t="shared" si="22"/>
        <v>#DIV/0!</v>
      </c>
      <c r="U332" s="10" t="str">
        <f t="shared" si="8"/>
        <v>#DIV/0!</v>
      </c>
      <c r="V332" s="10"/>
      <c r="W332" s="10"/>
      <c r="X332" s="10"/>
      <c r="Y332" s="10"/>
      <c r="Z332" s="10"/>
      <c r="AA332" s="10"/>
      <c r="AB332" s="10"/>
      <c r="AC332" s="10"/>
      <c r="AD332" s="10"/>
      <c r="AE332" s="10"/>
      <c r="AF332" s="10"/>
    </row>
    <row r="333" hidden="1">
      <c r="A333" s="9" t="s">
        <v>550</v>
      </c>
      <c r="B333" s="84"/>
      <c r="C333" s="9"/>
      <c r="D333" s="9" t="str">
        <f t="shared" si="1"/>
        <v/>
      </c>
      <c r="E333" s="10" t="str">
        <f t="shared" si="2"/>
        <v>OT Hours</v>
      </c>
      <c r="F333" s="10" t="str">
        <f>IFERROR(VLOOKUP(C333,'Employees List'!$B$1:$I$999,4,0),"")</f>
        <v/>
      </c>
      <c r="G333" s="10" t="str">
        <f t="shared" si="21"/>
        <v>#DIV/0!</v>
      </c>
      <c r="H333" s="72" t="str">
        <f>IFERROR(VLOOKUP(C333,'Employees List'!$B$2:$I$991,7,0),"")</f>
        <v/>
      </c>
      <c r="I333" s="73" t="str">
        <f>IFERROR(VLOOKUP(F333,'Employees List'!$E$1:$AE$991,6,0),"")</f>
        <v/>
      </c>
      <c r="J333" s="71">
        <f t="shared" si="3"/>
        <v>0</v>
      </c>
      <c r="K333" s="71">
        <f t="shared" si="4"/>
        <v>0</v>
      </c>
      <c r="L333" s="10" t="str">
        <f>IFERROR(VLOOKUP(B333,'Employees List'!$A$2:$K$991,11,0),"")</f>
        <v/>
      </c>
      <c r="M333" s="74" t="str">
        <f>IFERROR(VLOOKUP(D333,'Daily Attendance 25-26'!$A$4:BP999,5,0),"")</f>
        <v/>
      </c>
      <c r="N333" s="10" t="str">
        <f>IFERROR(VLOOKUP(E333,'Daily Attendance 25-26'!$A$1:$BO$1741,5,0),"")</f>
        <v/>
      </c>
      <c r="O333" s="10"/>
      <c r="P333" s="10"/>
      <c r="Q333" s="10" t="str">
        <f t="shared" si="5"/>
        <v>#DIV/0!</v>
      </c>
      <c r="R333" s="10" t="str">
        <f t="shared" si="6"/>
        <v>#DIV/0!</v>
      </c>
      <c r="S333" s="10" t="str">
        <f t="shared" si="23"/>
        <v>#DIV/0!</v>
      </c>
      <c r="T333" s="10" t="str">
        <f t="shared" si="22"/>
        <v>#DIV/0!</v>
      </c>
      <c r="U333" s="10" t="str">
        <f t="shared" si="8"/>
        <v>#DIV/0!</v>
      </c>
      <c r="V333" s="10"/>
      <c r="W333" s="10"/>
      <c r="X333" s="10"/>
      <c r="Y333" s="10"/>
      <c r="Z333" s="10"/>
      <c r="AA333" s="10"/>
      <c r="AB333" s="10"/>
      <c r="AC333" s="10"/>
      <c r="AD333" s="10"/>
      <c r="AE333" s="10"/>
      <c r="AF333" s="10"/>
    </row>
    <row r="334" hidden="1">
      <c r="A334" s="9" t="s">
        <v>551</v>
      </c>
      <c r="B334" s="84"/>
      <c r="C334" s="9"/>
      <c r="D334" s="9" t="str">
        <f t="shared" si="1"/>
        <v/>
      </c>
      <c r="E334" s="10" t="str">
        <f t="shared" si="2"/>
        <v>OT Hours</v>
      </c>
      <c r="F334" s="10" t="str">
        <f>IFERROR(VLOOKUP(C334,'Employees List'!$B$1:$I$999,4,0),"")</f>
        <v/>
      </c>
      <c r="G334" s="10" t="str">
        <f t="shared" si="21"/>
        <v>#DIV/0!</v>
      </c>
      <c r="H334" s="72" t="str">
        <f>IFERROR(VLOOKUP(C334,'Employees List'!$B$2:$I$991,7,0),"")</f>
        <v/>
      </c>
      <c r="I334" s="73" t="str">
        <f>IFERROR(VLOOKUP(F334,'Employees List'!$E$1:$AE$991,6,0),"")</f>
        <v/>
      </c>
      <c r="J334" s="71">
        <f t="shared" si="3"/>
        <v>0</v>
      </c>
      <c r="K334" s="71">
        <f t="shared" si="4"/>
        <v>0</v>
      </c>
      <c r="L334" s="10" t="str">
        <f>IFERROR(VLOOKUP(B334,'Employees List'!$A$2:$K$991,11,0),"")</f>
        <v/>
      </c>
      <c r="M334" s="74" t="str">
        <f>IFERROR(VLOOKUP(D334,'Daily Attendance 25-26'!$A$4:BP999,5,0),"")</f>
        <v/>
      </c>
      <c r="N334" s="10" t="str">
        <f>IFERROR(VLOOKUP(E334,'Daily Attendance 25-26'!$A$1:$BO$1741,5,0),"")</f>
        <v/>
      </c>
      <c r="O334" s="10"/>
      <c r="P334" s="10"/>
      <c r="Q334" s="10" t="str">
        <f t="shared" si="5"/>
        <v>#DIV/0!</v>
      </c>
      <c r="R334" s="10" t="str">
        <f t="shared" si="6"/>
        <v>#DIV/0!</v>
      </c>
      <c r="S334" s="10" t="str">
        <f t="shared" si="23"/>
        <v>#DIV/0!</v>
      </c>
      <c r="T334" s="10" t="str">
        <f t="shared" si="22"/>
        <v>#DIV/0!</v>
      </c>
      <c r="U334" s="10" t="str">
        <f t="shared" si="8"/>
        <v>#DIV/0!</v>
      </c>
      <c r="V334" s="10"/>
      <c r="W334" s="10"/>
      <c r="X334" s="10"/>
      <c r="Y334" s="10"/>
      <c r="Z334" s="10"/>
      <c r="AA334" s="10"/>
      <c r="AB334" s="10"/>
      <c r="AC334" s="10"/>
      <c r="AD334" s="10"/>
      <c r="AE334" s="10"/>
      <c r="AF334" s="10"/>
    </row>
    <row r="335" hidden="1">
      <c r="A335" s="9" t="s">
        <v>552</v>
      </c>
      <c r="B335" s="84"/>
      <c r="C335" s="9"/>
      <c r="D335" s="9" t="str">
        <f t="shared" si="1"/>
        <v/>
      </c>
      <c r="E335" s="10" t="str">
        <f t="shared" si="2"/>
        <v>OT Hours</v>
      </c>
      <c r="F335" s="10" t="str">
        <f>IFERROR(VLOOKUP(C335,'Employees List'!$B$1:$I$999,4,0),"")</f>
        <v/>
      </c>
      <c r="G335" s="10" t="str">
        <f t="shared" si="21"/>
        <v>#DIV/0!</v>
      </c>
      <c r="H335" s="72" t="str">
        <f>IFERROR(VLOOKUP(C335,'Employees List'!$B$2:$I$991,7,0),"")</f>
        <v/>
      </c>
      <c r="I335" s="73" t="str">
        <f>IFERROR(VLOOKUP(F335,'Employees List'!$E$1:$AE$991,6,0),"")</f>
        <v/>
      </c>
      <c r="J335" s="71">
        <f t="shared" si="3"/>
        <v>0</v>
      </c>
      <c r="K335" s="71">
        <f t="shared" si="4"/>
        <v>0</v>
      </c>
      <c r="L335" s="10" t="str">
        <f>IFERROR(VLOOKUP(B335,'Employees List'!$A$2:$K$991,11,0),"")</f>
        <v/>
      </c>
      <c r="M335" s="74" t="str">
        <f>IFERROR(VLOOKUP(D335,'Daily Attendance 25-26'!$A$4:BP999,5,0),"")</f>
        <v/>
      </c>
      <c r="N335" s="10" t="str">
        <f>IFERROR(VLOOKUP(E335,'Daily Attendance 25-26'!$A$1:$BO$1741,5,0),"")</f>
        <v/>
      </c>
      <c r="O335" s="10"/>
      <c r="P335" s="10"/>
      <c r="Q335" s="10" t="str">
        <f t="shared" si="5"/>
        <v>#DIV/0!</v>
      </c>
      <c r="R335" s="10" t="str">
        <f t="shared" si="6"/>
        <v>#DIV/0!</v>
      </c>
      <c r="S335" s="10" t="str">
        <f t="shared" si="23"/>
        <v>#DIV/0!</v>
      </c>
      <c r="T335" s="10" t="str">
        <f t="shared" si="22"/>
        <v>#DIV/0!</v>
      </c>
      <c r="U335" s="10" t="str">
        <f t="shared" si="8"/>
        <v>#DIV/0!</v>
      </c>
      <c r="V335" s="10"/>
      <c r="W335" s="10"/>
      <c r="X335" s="10"/>
      <c r="Y335" s="10"/>
      <c r="Z335" s="10"/>
      <c r="AA335" s="10"/>
      <c r="AB335" s="10"/>
      <c r="AC335" s="10"/>
      <c r="AD335" s="10"/>
      <c r="AE335" s="10"/>
      <c r="AF335" s="10"/>
    </row>
    <row r="336" hidden="1">
      <c r="A336" s="9" t="s">
        <v>553</v>
      </c>
      <c r="B336" s="84"/>
      <c r="C336" s="9"/>
      <c r="D336" s="9" t="str">
        <f t="shared" si="1"/>
        <v/>
      </c>
      <c r="E336" s="10" t="str">
        <f t="shared" si="2"/>
        <v>OT Hours</v>
      </c>
      <c r="F336" s="10" t="str">
        <f>IFERROR(VLOOKUP(C336,'Employees List'!$B$1:$I$999,4,0),"")</f>
        <v/>
      </c>
      <c r="G336" s="10" t="str">
        <f t="shared" si="21"/>
        <v>#DIV/0!</v>
      </c>
      <c r="H336" s="72" t="str">
        <f>IFERROR(VLOOKUP(C336,'Employees List'!$B$2:$I$991,7,0),"")</f>
        <v/>
      </c>
      <c r="I336" s="73" t="str">
        <f>IFERROR(VLOOKUP(F336,'Employees List'!$E$1:$AE$991,6,0),"")</f>
        <v/>
      </c>
      <c r="J336" s="71">
        <f t="shared" si="3"/>
        <v>0</v>
      </c>
      <c r="K336" s="71">
        <f t="shared" si="4"/>
        <v>0</v>
      </c>
      <c r="L336" s="10" t="str">
        <f>IFERROR(VLOOKUP(B336,'Employees List'!$A$2:$K$991,11,0),"")</f>
        <v/>
      </c>
      <c r="M336" s="74" t="str">
        <f>IFERROR(VLOOKUP(D336,'Daily Attendance 25-26'!$A$4:BP999,5,0),"")</f>
        <v/>
      </c>
      <c r="N336" s="10" t="str">
        <f>IFERROR(VLOOKUP(E336,'Daily Attendance 25-26'!$A$1:$BO$1741,5,0),"")</f>
        <v/>
      </c>
      <c r="O336" s="10"/>
      <c r="P336" s="10"/>
      <c r="Q336" s="10" t="str">
        <f t="shared" si="5"/>
        <v>#DIV/0!</v>
      </c>
      <c r="R336" s="10" t="str">
        <f t="shared" si="6"/>
        <v>#DIV/0!</v>
      </c>
      <c r="S336" s="10" t="str">
        <f t="shared" si="23"/>
        <v>#DIV/0!</v>
      </c>
      <c r="T336" s="10" t="str">
        <f t="shared" si="22"/>
        <v>#DIV/0!</v>
      </c>
      <c r="U336" s="10" t="str">
        <f t="shared" si="8"/>
        <v>#DIV/0!</v>
      </c>
      <c r="V336" s="10"/>
      <c r="W336" s="10"/>
      <c r="X336" s="10"/>
      <c r="Y336" s="10"/>
      <c r="Z336" s="10"/>
      <c r="AA336" s="10"/>
      <c r="AB336" s="10"/>
      <c r="AC336" s="10"/>
      <c r="AD336" s="10"/>
      <c r="AE336" s="10"/>
      <c r="AF336" s="10"/>
    </row>
    <row r="337" hidden="1">
      <c r="A337" s="9" t="s">
        <v>554</v>
      </c>
      <c r="B337" s="84"/>
      <c r="C337" s="9"/>
      <c r="D337" s="9" t="str">
        <f t="shared" si="1"/>
        <v/>
      </c>
      <c r="E337" s="10" t="str">
        <f t="shared" si="2"/>
        <v>OT Hours</v>
      </c>
      <c r="F337" s="10" t="str">
        <f>IFERROR(VLOOKUP(C337,'Employees List'!$B$1:$I$999,4,0),"")</f>
        <v/>
      </c>
      <c r="G337" s="10" t="str">
        <f t="shared" si="21"/>
        <v>#DIV/0!</v>
      </c>
      <c r="H337" s="72" t="str">
        <f>IFERROR(VLOOKUP(C337,'Employees List'!$B$2:$I$991,7,0),"")</f>
        <v/>
      </c>
      <c r="I337" s="73" t="str">
        <f>IFERROR(VLOOKUP(F337,'Employees List'!$E$1:$AE$991,6,0),"")</f>
        <v/>
      </c>
      <c r="J337" s="71">
        <f t="shared" si="3"/>
        <v>0</v>
      </c>
      <c r="K337" s="71">
        <f t="shared" si="4"/>
        <v>0</v>
      </c>
      <c r="L337" s="10" t="str">
        <f>IFERROR(VLOOKUP(B337,'Employees List'!$A$2:$K$991,11,0),"")</f>
        <v/>
      </c>
      <c r="M337" s="74" t="str">
        <f>IFERROR(VLOOKUP(D337,'Daily Attendance 25-26'!$A$4:BP999,5,0),"")</f>
        <v/>
      </c>
      <c r="N337" s="10" t="str">
        <f>IFERROR(VLOOKUP(E337,'Daily Attendance 25-26'!$A$1:$BO$1741,5,0),"")</f>
        <v/>
      </c>
      <c r="O337" s="10"/>
      <c r="P337" s="10"/>
      <c r="Q337" s="10" t="str">
        <f t="shared" si="5"/>
        <v>#DIV/0!</v>
      </c>
      <c r="R337" s="10" t="str">
        <f t="shared" si="6"/>
        <v>#DIV/0!</v>
      </c>
      <c r="S337" s="10" t="str">
        <f t="shared" si="23"/>
        <v>#DIV/0!</v>
      </c>
      <c r="T337" s="10" t="str">
        <f t="shared" si="22"/>
        <v>#DIV/0!</v>
      </c>
      <c r="U337" s="10" t="str">
        <f t="shared" si="8"/>
        <v>#DIV/0!</v>
      </c>
      <c r="V337" s="10"/>
      <c r="W337" s="10"/>
      <c r="X337" s="10"/>
      <c r="Y337" s="10"/>
      <c r="Z337" s="10"/>
      <c r="AA337" s="10"/>
      <c r="AB337" s="10"/>
      <c r="AC337" s="10"/>
      <c r="AD337" s="10"/>
      <c r="AE337" s="10"/>
      <c r="AF337" s="10"/>
    </row>
    <row r="338" hidden="1">
      <c r="A338" s="9" t="s">
        <v>555</v>
      </c>
      <c r="B338" s="84"/>
      <c r="C338" s="9"/>
      <c r="D338" s="9" t="str">
        <f t="shared" si="1"/>
        <v/>
      </c>
      <c r="E338" s="10" t="str">
        <f t="shared" si="2"/>
        <v>OT Hours</v>
      </c>
      <c r="F338" s="10" t="str">
        <f>IFERROR(VLOOKUP(C338,'Employees List'!$B$1:$I$999,4,0),"")</f>
        <v/>
      </c>
      <c r="G338" s="10" t="str">
        <f t="shared" si="21"/>
        <v>#DIV/0!</v>
      </c>
      <c r="H338" s="72" t="str">
        <f>IFERROR(VLOOKUP(C338,'Employees List'!$B$2:$I$991,7,0),"")</f>
        <v/>
      </c>
      <c r="I338" s="73" t="str">
        <f>IFERROR(VLOOKUP(F338,'Employees List'!$E$1:$AE$991,6,0),"")</f>
        <v/>
      </c>
      <c r="J338" s="71">
        <f t="shared" si="3"/>
        <v>0</v>
      </c>
      <c r="K338" s="71">
        <f t="shared" si="4"/>
        <v>0</v>
      </c>
      <c r="L338" s="10" t="str">
        <f>IFERROR(VLOOKUP(B338,'Employees List'!$A$2:$K$991,11,0),"")</f>
        <v/>
      </c>
      <c r="M338" s="74" t="str">
        <f>IFERROR(VLOOKUP(D338,'Daily Attendance 25-26'!$A$4:BP999,5,0),"")</f>
        <v/>
      </c>
      <c r="N338" s="10" t="str">
        <f>IFERROR(VLOOKUP(E338,'Daily Attendance 25-26'!$A$1:$BO$1741,5,0),"")</f>
        <v/>
      </c>
      <c r="O338" s="10"/>
      <c r="P338" s="10"/>
      <c r="Q338" s="10" t="str">
        <f t="shared" si="5"/>
        <v>#DIV/0!</v>
      </c>
      <c r="R338" s="10" t="str">
        <f t="shared" si="6"/>
        <v>#DIV/0!</v>
      </c>
      <c r="S338" s="10" t="str">
        <f t="shared" si="23"/>
        <v>#DIV/0!</v>
      </c>
      <c r="T338" s="10" t="str">
        <f t="shared" si="22"/>
        <v>#DIV/0!</v>
      </c>
      <c r="U338" s="10" t="str">
        <f t="shared" si="8"/>
        <v>#DIV/0!</v>
      </c>
      <c r="V338" s="10"/>
      <c r="W338" s="10"/>
      <c r="X338" s="10"/>
      <c r="Y338" s="10"/>
      <c r="Z338" s="10"/>
      <c r="AA338" s="10"/>
      <c r="AB338" s="10"/>
      <c r="AC338" s="10"/>
      <c r="AD338" s="10"/>
      <c r="AE338" s="10"/>
      <c r="AF338" s="10"/>
    </row>
    <row r="339" hidden="1">
      <c r="A339" s="9" t="s">
        <v>556</v>
      </c>
      <c r="B339" s="84"/>
      <c r="C339" s="9"/>
      <c r="D339" s="9" t="str">
        <f t="shared" si="1"/>
        <v/>
      </c>
      <c r="E339" s="10" t="str">
        <f t="shared" si="2"/>
        <v>OT Hours</v>
      </c>
      <c r="F339" s="10" t="str">
        <f>IFERROR(VLOOKUP(C339,'Employees List'!$B$1:$I$999,4,0),"")</f>
        <v/>
      </c>
      <c r="G339" s="10" t="str">
        <f t="shared" si="21"/>
        <v>#DIV/0!</v>
      </c>
      <c r="H339" s="72" t="str">
        <f>IFERROR(VLOOKUP(C339,'Employees List'!$B$2:$I$991,7,0),"")</f>
        <v/>
      </c>
      <c r="I339" s="73" t="str">
        <f>IFERROR(VLOOKUP(F339,'Employees List'!$E$1:$AE$991,6,0),"")</f>
        <v/>
      </c>
      <c r="J339" s="71">
        <f t="shared" si="3"/>
        <v>0</v>
      </c>
      <c r="K339" s="71">
        <f t="shared" si="4"/>
        <v>0</v>
      </c>
      <c r="L339" s="10" t="str">
        <f>IFERROR(VLOOKUP(B339,'Employees List'!$A$2:$K$991,11,0),"")</f>
        <v/>
      </c>
      <c r="M339" s="74" t="str">
        <f>IFERROR(VLOOKUP(D339,'Daily Attendance 25-26'!$A$4:BP999,5,0),"")</f>
        <v/>
      </c>
      <c r="N339" s="10" t="str">
        <f>IFERROR(VLOOKUP(E339,'Daily Attendance 25-26'!$A$1:$BO$1741,5,0),"")</f>
        <v/>
      </c>
      <c r="O339" s="10"/>
      <c r="P339" s="10"/>
      <c r="Q339" s="10" t="str">
        <f t="shared" si="5"/>
        <v>#DIV/0!</v>
      </c>
      <c r="R339" s="10" t="str">
        <f t="shared" si="6"/>
        <v>#DIV/0!</v>
      </c>
      <c r="S339" s="10" t="str">
        <f t="shared" si="23"/>
        <v>#DIV/0!</v>
      </c>
      <c r="T339" s="10" t="str">
        <f t="shared" si="22"/>
        <v>#DIV/0!</v>
      </c>
      <c r="U339" s="10" t="str">
        <f t="shared" si="8"/>
        <v>#DIV/0!</v>
      </c>
      <c r="V339" s="10"/>
      <c r="W339" s="10"/>
      <c r="X339" s="10"/>
      <c r="Y339" s="10"/>
      <c r="Z339" s="10"/>
      <c r="AA339" s="10"/>
      <c r="AB339" s="10"/>
      <c r="AC339" s="10"/>
      <c r="AD339" s="10"/>
      <c r="AE339" s="10"/>
      <c r="AF339" s="10"/>
    </row>
    <row r="340" hidden="1">
      <c r="A340" s="9" t="s">
        <v>557</v>
      </c>
      <c r="B340" s="84"/>
      <c r="C340" s="9"/>
      <c r="D340" s="9" t="str">
        <f t="shared" si="1"/>
        <v/>
      </c>
      <c r="E340" s="10" t="str">
        <f t="shared" si="2"/>
        <v>OT Hours</v>
      </c>
      <c r="F340" s="10" t="str">
        <f>IFERROR(VLOOKUP(C340,'Employees List'!$B$1:$I$999,4,0),"")</f>
        <v/>
      </c>
      <c r="G340" s="10" t="str">
        <f t="shared" si="21"/>
        <v>#DIV/0!</v>
      </c>
      <c r="H340" s="72" t="str">
        <f>IFERROR(VLOOKUP(C340,'Employees List'!$B$2:$I$991,7,0),"")</f>
        <v/>
      </c>
      <c r="I340" s="73" t="str">
        <f>IFERROR(VLOOKUP(F340,'Employees List'!$E$1:$AE$991,6,0),"")</f>
        <v/>
      </c>
      <c r="J340" s="71">
        <f t="shared" si="3"/>
        <v>0</v>
      </c>
      <c r="K340" s="71">
        <f t="shared" si="4"/>
        <v>0</v>
      </c>
      <c r="L340" s="10" t="str">
        <f>IFERROR(VLOOKUP(B340,'Employees List'!$A$2:$K$991,11,0),"")</f>
        <v/>
      </c>
      <c r="M340" s="74" t="str">
        <f>IFERROR(VLOOKUP(D340,'Daily Attendance 25-26'!$A$4:BP999,5,0),"")</f>
        <v/>
      </c>
      <c r="N340" s="10" t="str">
        <f>IFERROR(VLOOKUP(E340,'Daily Attendance 25-26'!$A$1:$BO$1741,5,0),"")</f>
        <v/>
      </c>
      <c r="O340" s="10"/>
      <c r="P340" s="10"/>
      <c r="Q340" s="10" t="str">
        <f t="shared" si="5"/>
        <v>#DIV/0!</v>
      </c>
      <c r="R340" s="10" t="str">
        <f t="shared" si="6"/>
        <v>#DIV/0!</v>
      </c>
      <c r="S340" s="10" t="str">
        <f t="shared" si="23"/>
        <v>#DIV/0!</v>
      </c>
      <c r="T340" s="10" t="str">
        <f t="shared" si="22"/>
        <v>#DIV/0!</v>
      </c>
      <c r="U340" s="10" t="str">
        <f t="shared" si="8"/>
        <v>#DIV/0!</v>
      </c>
      <c r="V340" s="10"/>
      <c r="W340" s="10"/>
      <c r="X340" s="10"/>
      <c r="Y340" s="10"/>
      <c r="Z340" s="10"/>
      <c r="AA340" s="10"/>
      <c r="AB340" s="10"/>
      <c r="AC340" s="10"/>
      <c r="AD340" s="10"/>
      <c r="AE340" s="10"/>
      <c r="AF340" s="10"/>
    </row>
    <row r="341" hidden="1">
      <c r="A341" s="9" t="s">
        <v>558</v>
      </c>
      <c r="B341" s="84"/>
      <c r="C341" s="9"/>
      <c r="D341" s="9" t="str">
        <f t="shared" si="1"/>
        <v/>
      </c>
      <c r="E341" s="10" t="str">
        <f t="shared" si="2"/>
        <v>OT Hours</v>
      </c>
      <c r="F341" s="10" t="str">
        <f>IFERROR(VLOOKUP(C341,'Employees List'!$B$1:$I$999,4,0),"")</f>
        <v/>
      </c>
      <c r="G341" s="10" t="str">
        <f t="shared" si="21"/>
        <v>#DIV/0!</v>
      </c>
      <c r="H341" s="72" t="str">
        <f>IFERROR(VLOOKUP(C341,'Employees List'!$B$2:$I$991,7,0),"")</f>
        <v/>
      </c>
      <c r="I341" s="73" t="str">
        <f>IFERROR(VLOOKUP(F341,'Employees List'!$E$1:$AE$991,6,0),"")</f>
        <v/>
      </c>
      <c r="J341" s="71">
        <f t="shared" si="3"/>
        <v>0</v>
      </c>
      <c r="K341" s="71">
        <f t="shared" si="4"/>
        <v>0</v>
      </c>
      <c r="L341" s="10" t="str">
        <f>IFERROR(VLOOKUP(B341,'Employees List'!$A$2:$K$991,11,0),"")</f>
        <v/>
      </c>
      <c r="M341" s="74" t="str">
        <f>IFERROR(VLOOKUP(D341,'Daily Attendance 25-26'!$A$4:BP999,5,0),"")</f>
        <v/>
      </c>
      <c r="N341" s="10" t="str">
        <f>IFERROR(VLOOKUP(E341,'Daily Attendance 25-26'!$A$1:$BO$1741,5,0),"")</f>
        <v/>
      </c>
      <c r="O341" s="10"/>
      <c r="P341" s="10"/>
      <c r="Q341" s="10" t="str">
        <f t="shared" si="5"/>
        <v>#DIV/0!</v>
      </c>
      <c r="R341" s="10" t="str">
        <f t="shared" si="6"/>
        <v>#DIV/0!</v>
      </c>
      <c r="S341" s="10" t="str">
        <f t="shared" si="23"/>
        <v>#DIV/0!</v>
      </c>
      <c r="T341" s="10" t="str">
        <f t="shared" si="22"/>
        <v>#DIV/0!</v>
      </c>
      <c r="U341" s="10" t="str">
        <f t="shared" si="8"/>
        <v>#DIV/0!</v>
      </c>
      <c r="V341" s="10"/>
      <c r="W341" s="10"/>
      <c r="X341" s="10"/>
      <c r="Y341" s="10"/>
      <c r="Z341" s="10"/>
      <c r="AA341" s="10"/>
      <c r="AB341" s="10"/>
      <c r="AC341" s="10"/>
      <c r="AD341" s="10"/>
      <c r="AE341" s="10"/>
      <c r="AF341" s="10"/>
    </row>
    <row r="342" hidden="1">
      <c r="A342" s="9" t="s">
        <v>559</v>
      </c>
      <c r="B342" s="84"/>
      <c r="C342" s="9"/>
      <c r="D342" s="9" t="str">
        <f t="shared" si="1"/>
        <v/>
      </c>
      <c r="E342" s="10" t="str">
        <f t="shared" si="2"/>
        <v>OT Hours</v>
      </c>
      <c r="F342" s="10" t="str">
        <f>IFERROR(VLOOKUP(C342,'Employees List'!$B$1:$I$999,4,0),"")</f>
        <v/>
      </c>
      <c r="G342" s="10" t="str">
        <f t="shared" si="21"/>
        <v>#DIV/0!</v>
      </c>
      <c r="H342" s="72" t="str">
        <f>IFERROR(VLOOKUP(C342,'Employees List'!$B$2:$I$991,7,0),"")</f>
        <v/>
      </c>
      <c r="I342" s="73" t="str">
        <f>IFERROR(VLOOKUP(F342,'Employees List'!$E$1:$AE$991,6,0),"")</f>
        <v/>
      </c>
      <c r="J342" s="71">
        <f t="shared" si="3"/>
        <v>0</v>
      </c>
      <c r="K342" s="71">
        <f t="shared" si="4"/>
        <v>0</v>
      </c>
      <c r="L342" s="10" t="str">
        <f>IFERROR(VLOOKUP(B342,'Employees List'!$A$2:$K$991,11,0),"")</f>
        <v/>
      </c>
      <c r="M342" s="74" t="str">
        <f>IFERROR(VLOOKUP(D342,'Daily Attendance 25-26'!$A$4:BP999,5,0),"")</f>
        <v/>
      </c>
      <c r="N342" s="10" t="str">
        <f>IFERROR(VLOOKUP(E342,'Daily Attendance 25-26'!$A$1:$BO$1741,5,0),"")</f>
        <v/>
      </c>
      <c r="O342" s="10"/>
      <c r="P342" s="10"/>
      <c r="Q342" s="10" t="str">
        <f t="shared" si="5"/>
        <v>#DIV/0!</v>
      </c>
      <c r="R342" s="10" t="str">
        <f t="shared" si="6"/>
        <v>#DIV/0!</v>
      </c>
      <c r="S342" s="10" t="str">
        <f t="shared" si="23"/>
        <v>#DIV/0!</v>
      </c>
      <c r="T342" s="10" t="str">
        <f t="shared" si="22"/>
        <v>#DIV/0!</v>
      </c>
      <c r="U342" s="10" t="str">
        <f t="shared" si="8"/>
        <v>#DIV/0!</v>
      </c>
      <c r="V342" s="10"/>
      <c r="W342" s="10"/>
      <c r="X342" s="10"/>
      <c r="Y342" s="10"/>
      <c r="Z342" s="10"/>
      <c r="AA342" s="10"/>
      <c r="AB342" s="10"/>
      <c r="AC342" s="10"/>
      <c r="AD342" s="10"/>
      <c r="AE342" s="10"/>
      <c r="AF342" s="10"/>
    </row>
    <row r="343" hidden="1">
      <c r="A343" s="9" t="s">
        <v>560</v>
      </c>
      <c r="B343" s="84"/>
      <c r="C343" s="9"/>
      <c r="D343" s="9" t="str">
        <f t="shared" si="1"/>
        <v/>
      </c>
      <c r="E343" s="10" t="str">
        <f t="shared" si="2"/>
        <v>OT Hours</v>
      </c>
      <c r="F343" s="10" t="str">
        <f>IFERROR(VLOOKUP(C343,'Employees List'!$B$1:$I$999,4,0),"")</f>
        <v/>
      </c>
      <c r="G343" s="10" t="str">
        <f t="shared" si="21"/>
        <v>#DIV/0!</v>
      </c>
      <c r="H343" s="72" t="str">
        <f>IFERROR(VLOOKUP(C343,'Employees List'!$B$2:$I$991,7,0),"")</f>
        <v/>
      </c>
      <c r="I343" s="73" t="str">
        <f>IFERROR(VLOOKUP(F343,'Employees List'!$E$1:$AE$991,6,0),"")</f>
        <v/>
      </c>
      <c r="J343" s="71">
        <f t="shared" si="3"/>
        <v>0</v>
      </c>
      <c r="K343" s="71">
        <f t="shared" si="4"/>
        <v>0</v>
      </c>
      <c r="L343" s="10" t="str">
        <f>IFERROR(VLOOKUP(B343,'Employees List'!$A$2:$K$991,11,0),"")</f>
        <v/>
      </c>
      <c r="M343" s="74" t="str">
        <f>IFERROR(VLOOKUP(D343,'Daily Attendance 25-26'!$A$4:BP999,5,0),"")</f>
        <v/>
      </c>
      <c r="N343" s="10" t="str">
        <f>IFERROR(VLOOKUP(E343,'Daily Attendance 25-26'!$A$1:$BO$1741,5,0),"")</f>
        <v/>
      </c>
      <c r="O343" s="10"/>
      <c r="P343" s="10"/>
      <c r="Q343" s="10" t="str">
        <f t="shared" si="5"/>
        <v>#DIV/0!</v>
      </c>
      <c r="R343" s="10" t="str">
        <f t="shared" si="6"/>
        <v>#DIV/0!</v>
      </c>
      <c r="S343" s="10" t="str">
        <f t="shared" si="23"/>
        <v>#DIV/0!</v>
      </c>
      <c r="T343" s="10" t="str">
        <f t="shared" si="22"/>
        <v>#DIV/0!</v>
      </c>
      <c r="U343" s="10" t="str">
        <f t="shared" si="8"/>
        <v>#DIV/0!</v>
      </c>
      <c r="V343" s="10"/>
      <c r="W343" s="10"/>
      <c r="X343" s="10"/>
      <c r="Y343" s="10"/>
      <c r="Z343" s="10"/>
      <c r="AA343" s="10"/>
      <c r="AB343" s="10"/>
      <c r="AC343" s="10"/>
      <c r="AD343" s="10"/>
      <c r="AE343" s="10"/>
      <c r="AF343" s="10"/>
    </row>
    <row r="344" hidden="1">
      <c r="A344" s="9" t="s">
        <v>561</v>
      </c>
      <c r="B344" s="84"/>
      <c r="C344" s="9"/>
      <c r="D344" s="9" t="str">
        <f t="shared" si="1"/>
        <v/>
      </c>
      <c r="E344" s="10" t="str">
        <f t="shared" si="2"/>
        <v>OT Hours</v>
      </c>
      <c r="F344" s="10" t="str">
        <f>IFERROR(VLOOKUP(C344,'Employees List'!$B$1:$I$999,4,0),"")</f>
        <v/>
      </c>
      <c r="G344" s="10" t="str">
        <f t="shared" si="21"/>
        <v>#DIV/0!</v>
      </c>
      <c r="H344" s="72" t="str">
        <f>IFERROR(VLOOKUP(C344,'Employees List'!$B$2:$I$991,7,0),"")</f>
        <v/>
      </c>
      <c r="I344" s="73" t="str">
        <f>IFERROR(VLOOKUP(F344,'Employees List'!$E$1:$AE$991,6,0),"")</f>
        <v/>
      </c>
      <c r="J344" s="71">
        <f t="shared" si="3"/>
        <v>0</v>
      </c>
      <c r="K344" s="71">
        <f t="shared" si="4"/>
        <v>0</v>
      </c>
      <c r="L344" s="10" t="str">
        <f>IFERROR(VLOOKUP(B344,'Employees List'!$A$2:$K$991,11,0),"")</f>
        <v/>
      </c>
      <c r="M344" s="74" t="str">
        <f>IFERROR(VLOOKUP(D344,'Daily Attendance 25-26'!$A$4:BP999,5,0),"")</f>
        <v/>
      </c>
      <c r="N344" s="10" t="str">
        <f>IFERROR(VLOOKUP(E344,'Daily Attendance 25-26'!$A$1:$BO$1741,5,0),"")</f>
        <v/>
      </c>
      <c r="O344" s="10"/>
      <c r="P344" s="10"/>
      <c r="Q344" s="10" t="str">
        <f t="shared" si="5"/>
        <v>#DIV/0!</v>
      </c>
      <c r="R344" s="10" t="str">
        <f t="shared" si="6"/>
        <v>#DIV/0!</v>
      </c>
      <c r="S344" s="10" t="str">
        <f t="shared" si="23"/>
        <v>#DIV/0!</v>
      </c>
      <c r="T344" s="10" t="str">
        <f t="shared" si="22"/>
        <v>#DIV/0!</v>
      </c>
      <c r="U344" s="10" t="str">
        <f t="shared" si="8"/>
        <v>#DIV/0!</v>
      </c>
      <c r="V344" s="10"/>
      <c r="W344" s="10"/>
      <c r="X344" s="10"/>
      <c r="Y344" s="10"/>
      <c r="Z344" s="10"/>
      <c r="AA344" s="10"/>
      <c r="AB344" s="10"/>
      <c r="AC344" s="10"/>
      <c r="AD344" s="10"/>
      <c r="AE344" s="10"/>
      <c r="AF344" s="10"/>
    </row>
    <row r="345" hidden="1">
      <c r="A345" s="9" t="s">
        <v>562</v>
      </c>
      <c r="B345" s="84"/>
      <c r="C345" s="9"/>
      <c r="D345" s="9" t="str">
        <f t="shared" si="1"/>
        <v/>
      </c>
      <c r="E345" s="10" t="str">
        <f t="shared" si="2"/>
        <v>OT Hours</v>
      </c>
      <c r="F345" s="10" t="str">
        <f>IFERROR(VLOOKUP(C345,'Employees List'!$B$1:$I$999,4,0),"")</f>
        <v/>
      </c>
      <c r="G345" s="10" t="str">
        <f t="shared" si="21"/>
        <v>#DIV/0!</v>
      </c>
      <c r="H345" s="72" t="str">
        <f>IFERROR(VLOOKUP(C345,'Employees List'!$B$2:$I$991,7,0),"")</f>
        <v/>
      </c>
      <c r="I345" s="73" t="str">
        <f>IFERROR(VLOOKUP(F345,'Employees List'!$E$1:$AE$991,6,0),"")</f>
        <v/>
      </c>
      <c r="J345" s="71">
        <f t="shared" si="3"/>
        <v>0</v>
      </c>
      <c r="K345" s="71">
        <f t="shared" si="4"/>
        <v>0</v>
      </c>
      <c r="L345" s="10" t="str">
        <f>IFERROR(VLOOKUP(B345,'Employees List'!$A$2:$K$991,11,0),"")</f>
        <v/>
      </c>
      <c r="M345" s="74" t="str">
        <f>IFERROR(VLOOKUP(D345,'Daily Attendance 25-26'!$A$4:BP999,5,0),"")</f>
        <v/>
      </c>
      <c r="N345" s="10" t="str">
        <f>IFERROR(VLOOKUP(E345,'Daily Attendance 25-26'!$A$1:$BO$1741,5,0),"")</f>
        <v/>
      </c>
      <c r="O345" s="10"/>
      <c r="P345" s="10"/>
      <c r="Q345" s="10" t="str">
        <f t="shared" si="5"/>
        <v>#DIV/0!</v>
      </c>
      <c r="R345" s="10" t="str">
        <f t="shared" si="6"/>
        <v>#DIV/0!</v>
      </c>
      <c r="S345" s="10" t="str">
        <f t="shared" si="23"/>
        <v>#DIV/0!</v>
      </c>
      <c r="T345" s="10" t="str">
        <f t="shared" si="22"/>
        <v>#DIV/0!</v>
      </c>
      <c r="U345" s="10" t="str">
        <f t="shared" si="8"/>
        <v>#DIV/0!</v>
      </c>
      <c r="V345" s="10"/>
      <c r="W345" s="10"/>
      <c r="X345" s="10"/>
      <c r="Y345" s="10"/>
      <c r="Z345" s="10"/>
      <c r="AA345" s="10"/>
      <c r="AB345" s="10"/>
      <c r="AC345" s="10"/>
      <c r="AD345" s="10"/>
      <c r="AE345" s="10"/>
      <c r="AF345" s="10"/>
    </row>
    <row r="346" hidden="1">
      <c r="A346" s="9" t="s">
        <v>563</v>
      </c>
      <c r="B346" s="84"/>
      <c r="C346" s="9"/>
      <c r="D346" s="9" t="str">
        <f t="shared" si="1"/>
        <v/>
      </c>
      <c r="E346" s="10" t="str">
        <f t="shared" si="2"/>
        <v>OT Hours</v>
      </c>
      <c r="F346" s="10" t="str">
        <f>IFERROR(VLOOKUP(C346,'Employees List'!$B$1:$I$999,4,0),"")</f>
        <v/>
      </c>
      <c r="G346" s="10" t="str">
        <f t="shared" si="21"/>
        <v>#DIV/0!</v>
      </c>
      <c r="H346" s="72" t="str">
        <f>IFERROR(VLOOKUP(C346,'Employees List'!$B$2:$I$991,7,0),"")</f>
        <v/>
      </c>
      <c r="I346" s="73" t="str">
        <f>IFERROR(VLOOKUP(F346,'Employees List'!$E$1:$AE$991,6,0),"")</f>
        <v/>
      </c>
      <c r="J346" s="71">
        <f t="shared" si="3"/>
        <v>0</v>
      </c>
      <c r="K346" s="71">
        <f t="shared" si="4"/>
        <v>0</v>
      </c>
      <c r="L346" s="10" t="str">
        <f>IFERROR(VLOOKUP(B346,'Employees List'!$A$2:$K$991,11,0),"")</f>
        <v/>
      </c>
      <c r="M346" s="74" t="str">
        <f>IFERROR(VLOOKUP(D346,'Daily Attendance 25-26'!$A$4:BP999,5,0),"")</f>
        <v/>
      </c>
      <c r="N346" s="10" t="str">
        <f>IFERROR(VLOOKUP(E346,'Daily Attendance 25-26'!$A$1:$BO$1741,5,0),"")</f>
        <v/>
      </c>
      <c r="O346" s="10"/>
      <c r="P346" s="10"/>
      <c r="Q346" s="10" t="str">
        <f t="shared" si="5"/>
        <v>#DIV/0!</v>
      </c>
      <c r="R346" s="10" t="str">
        <f t="shared" si="6"/>
        <v>#DIV/0!</v>
      </c>
      <c r="S346" s="10" t="str">
        <f t="shared" si="23"/>
        <v>#DIV/0!</v>
      </c>
      <c r="T346" s="10" t="str">
        <f t="shared" si="22"/>
        <v>#DIV/0!</v>
      </c>
      <c r="U346" s="10" t="str">
        <f t="shared" si="8"/>
        <v>#DIV/0!</v>
      </c>
      <c r="V346" s="10"/>
      <c r="W346" s="10"/>
      <c r="X346" s="10"/>
      <c r="Y346" s="10"/>
      <c r="Z346" s="10"/>
      <c r="AA346" s="10"/>
      <c r="AB346" s="10"/>
      <c r="AC346" s="10"/>
      <c r="AD346" s="10"/>
      <c r="AE346" s="10"/>
      <c r="AF346" s="10"/>
    </row>
    <row r="347" hidden="1">
      <c r="A347" s="9" t="s">
        <v>564</v>
      </c>
      <c r="B347" s="84"/>
      <c r="C347" s="9"/>
      <c r="D347" s="9" t="str">
        <f t="shared" si="1"/>
        <v/>
      </c>
      <c r="E347" s="10" t="str">
        <f t="shared" si="2"/>
        <v>OT Hours</v>
      </c>
      <c r="F347" s="10" t="str">
        <f>IFERROR(VLOOKUP(C347,'Employees List'!$B$1:$I$999,4,0),"")</f>
        <v/>
      </c>
      <c r="G347" s="10" t="str">
        <f t="shared" si="21"/>
        <v>#DIV/0!</v>
      </c>
      <c r="H347" s="72" t="str">
        <f>IFERROR(VLOOKUP(C347,'Employees List'!$B$2:$I$991,7,0),"")</f>
        <v/>
      </c>
      <c r="I347" s="73" t="str">
        <f>IFERROR(VLOOKUP(F347,'Employees List'!$E$1:$AE$991,6,0),"")</f>
        <v/>
      </c>
      <c r="J347" s="71">
        <f t="shared" si="3"/>
        <v>0</v>
      </c>
      <c r="K347" s="71">
        <f t="shared" si="4"/>
        <v>0</v>
      </c>
      <c r="L347" s="10" t="str">
        <f>IFERROR(VLOOKUP(B347,'Employees List'!$A$2:$K$991,11,0),"")</f>
        <v/>
      </c>
      <c r="M347" s="74" t="str">
        <f>IFERROR(VLOOKUP(D347,'Daily Attendance 25-26'!$A$4:BP999,5,0),"")</f>
        <v/>
      </c>
      <c r="N347" s="10" t="str">
        <f>IFERROR(VLOOKUP(E347,'Daily Attendance 25-26'!$A$1:$BO$1741,5,0),"")</f>
        <v/>
      </c>
      <c r="O347" s="10"/>
      <c r="P347" s="10"/>
      <c r="Q347" s="10" t="str">
        <f t="shared" si="5"/>
        <v>#DIV/0!</v>
      </c>
      <c r="R347" s="10" t="str">
        <f t="shared" si="6"/>
        <v>#DIV/0!</v>
      </c>
      <c r="S347" s="10" t="str">
        <f t="shared" si="23"/>
        <v>#DIV/0!</v>
      </c>
      <c r="T347" s="10" t="str">
        <f t="shared" si="22"/>
        <v>#DIV/0!</v>
      </c>
      <c r="U347" s="10" t="str">
        <f t="shared" si="8"/>
        <v>#DIV/0!</v>
      </c>
      <c r="V347" s="10"/>
      <c r="W347" s="10"/>
      <c r="X347" s="10"/>
      <c r="Y347" s="10"/>
      <c r="Z347" s="10"/>
      <c r="AA347" s="10"/>
      <c r="AB347" s="10"/>
      <c r="AC347" s="10"/>
      <c r="AD347" s="10"/>
      <c r="AE347" s="10"/>
      <c r="AF347" s="10"/>
    </row>
    <row r="348" hidden="1">
      <c r="A348" s="9" t="s">
        <v>565</v>
      </c>
      <c r="B348" s="84"/>
      <c r="C348" s="9"/>
      <c r="D348" s="9" t="str">
        <f t="shared" si="1"/>
        <v/>
      </c>
      <c r="E348" s="10" t="str">
        <f t="shared" si="2"/>
        <v>OT Hours</v>
      </c>
      <c r="F348" s="10" t="str">
        <f>IFERROR(VLOOKUP(C348,'Employees List'!$B$1:$I$999,4,0),"")</f>
        <v/>
      </c>
      <c r="G348" s="10" t="str">
        <f t="shared" si="21"/>
        <v>#DIV/0!</v>
      </c>
      <c r="H348" s="72" t="str">
        <f>IFERROR(VLOOKUP(C348,'Employees List'!$B$2:$I$991,7,0),"")</f>
        <v/>
      </c>
      <c r="I348" s="73" t="str">
        <f>IFERROR(VLOOKUP(F348,'Employees List'!$E$1:$AE$991,6,0),"")</f>
        <v/>
      </c>
      <c r="J348" s="71">
        <f t="shared" si="3"/>
        <v>0</v>
      </c>
      <c r="K348" s="71">
        <f t="shared" si="4"/>
        <v>0</v>
      </c>
      <c r="L348" s="10" t="str">
        <f>IFERROR(VLOOKUP(B348,'Employees List'!$A$2:$K$991,11,0),"")</f>
        <v/>
      </c>
      <c r="M348" s="74" t="str">
        <f>IFERROR(VLOOKUP(D348,'Daily Attendance 25-26'!$A$4:BP999,5,0),"")</f>
        <v/>
      </c>
      <c r="N348" s="10" t="str">
        <f>IFERROR(VLOOKUP(E348,'Daily Attendance 25-26'!$A$1:$BO$1741,5,0),"")</f>
        <v/>
      </c>
      <c r="O348" s="10"/>
      <c r="P348" s="10"/>
      <c r="Q348" s="10" t="str">
        <f t="shared" si="5"/>
        <v>#DIV/0!</v>
      </c>
      <c r="R348" s="10" t="str">
        <f t="shared" si="6"/>
        <v>#DIV/0!</v>
      </c>
      <c r="S348" s="10" t="str">
        <f t="shared" si="23"/>
        <v>#DIV/0!</v>
      </c>
      <c r="T348" s="10" t="str">
        <f t="shared" si="22"/>
        <v>#DIV/0!</v>
      </c>
      <c r="U348" s="10" t="str">
        <f t="shared" si="8"/>
        <v>#DIV/0!</v>
      </c>
      <c r="V348" s="10"/>
      <c r="W348" s="10"/>
      <c r="X348" s="10"/>
      <c r="Y348" s="10"/>
      <c r="Z348" s="10"/>
      <c r="AA348" s="10"/>
      <c r="AB348" s="10"/>
      <c r="AC348" s="10"/>
      <c r="AD348" s="10"/>
      <c r="AE348" s="10"/>
      <c r="AF348" s="10"/>
    </row>
    <row r="349" hidden="1">
      <c r="A349" s="9" t="s">
        <v>566</v>
      </c>
      <c r="B349" s="84"/>
      <c r="C349" s="9"/>
      <c r="D349" s="9" t="str">
        <f t="shared" si="1"/>
        <v/>
      </c>
      <c r="E349" s="10" t="str">
        <f t="shared" si="2"/>
        <v>OT Hours</v>
      </c>
      <c r="F349" s="10" t="str">
        <f>IFERROR(VLOOKUP(C349,'Employees List'!$B$1:$I$999,4,0),"")</f>
        <v/>
      </c>
      <c r="G349" s="10" t="str">
        <f t="shared" si="21"/>
        <v>#DIV/0!</v>
      </c>
      <c r="H349" s="72" t="str">
        <f>IFERROR(VLOOKUP(C349,'Employees List'!$B$2:$I$991,7,0),"")</f>
        <v/>
      </c>
      <c r="I349" s="73" t="str">
        <f>IFERROR(VLOOKUP(F349,'Employees List'!$E$1:$AE$991,6,0),"")</f>
        <v/>
      </c>
      <c r="J349" s="71">
        <f t="shared" si="3"/>
        <v>0</v>
      </c>
      <c r="K349" s="71">
        <f t="shared" si="4"/>
        <v>0</v>
      </c>
      <c r="L349" s="10" t="str">
        <f>IFERROR(VLOOKUP(B349,'Employees List'!$A$2:$K$991,11,0),"")</f>
        <v/>
      </c>
      <c r="M349" s="74" t="str">
        <f>IFERROR(VLOOKUP(D349,'Daily Attendance 25-26'!$A$4:BP999,5,0),"")</f>
        <v/>
      </c>
      <c r="N349" s="10" t="str">
        <f>IFERROR(VLOOKUP(E349,'Daily Attendance 25-26'!$A$1:$BO$1741,5,0),"")</f>
        <v/>
      </c>
      <c r="O349" s="10"/>
      <c r="P349" s="10"/>
      <c r="Q349" s="10" t="str">
        <f t="shared" si="5"/>
        <v>#DIV/0!</v>
      </c>
      <c r="R349" s="10" t="str">
        <f t="shared" si="6"/>
        <v>#DIV/0!</v>
      </c>
      <c r="S349" s="10" t="str">
        <f t="shared" si="23"/>
        <v>#DIV/0!</v>
      </c>
      <c r="T349" s="10" t="str">
        <f t="shared" si="22"/>
        <v>#DIV/0!</v>
      </c>
      <c r="U349" s="10" t="str">
        <f t="shared" si="8"/>
        <v>#DIV/0!</v>
      </c>
      <c r="V349" s="10"/>
      <c r="W349" s="10"/>
      <c r="X349" s="10"/>
      <c r="Y349" s="10"/>
      <c r="Z349" s="10"/>
      <c r="AA349" s="10"/>
      <c r="AB349" s="10"/>
      <c r="AC349" s="10"/>
      <c r="AD349" s="10"/>
      <c r="AE349" s="10"/>
      <c r="AF349" s="10"/>
    </row>
    <row r="350" hidden="1">
      <c r="A350" s="9" t="s">
        <v>567</v>
      </c>
      <c r="B350" s="84"/>
      <c r="C350" s="9"/>
      <c r="D350" s="9" t="str">
        <f t="shared" si="1"/>
        <v/>
      </c>
      <c r="E350" s="10" t="str">
        <f t="shared" si="2"/>
        <v>OT Hours</v>
      </c>
      <c r="F350" s="10" t="str">
        <f>IFERROR(VLOOKUP(C350,'Employees List'!$B$1:$I$999,4,0),"")</f>
        <v/>
      </c>
      <c r="G350" s="10" t="str">
        <f t="shared" si="21"/>
        <v>#DIV/0!</v>
      </c>
      <c r="H350" s="72" t="str">
        <f>IFERROR(VLOOKUP(C350,'Employees List'!$B$2:$I$991,7,0),"")</f>
        <v/>
      </c>
      <c r="I350" s="73" t="str">
        <f>IFERROR(VLOOKUP(F350,'Employees List'!$E$1:$AE$991,6,0),"")</f>
        <v/>
      </c>
      <c r="J350" s="71">
        <f t="shared" si="3"/>
        <v>0</v>
      </c>
      <c r="K350" s="71">
        <f t="shared" si="4"/>
        <v>0</v>
      </c>
      <c r="L350" s="10" t="str">
        <f>IFERROR(VLOOKUP(B350,'Employees List'!$A$2:$K$991,11,0),"")</f>
        <v/>
      </c>
      <c r="M350" s="74" t="str">
        <f>IFERROR(VLOOKUP(D350,'Daily Attendance 25-26'!$A$4:BP999,5,0),"")</f>
        <v/>
      </c>
      <c r="N350" s="10" t="str">
        <f>IFERROR(VLOOKUP(E350,'Daily Attendance 25-26'!$A$1:$BO$1741,5,0),"")</f>
        <v/>
      </c>
      <c r="O350" s="10"/>
      <c r="P350" s="10"/>
      <c r="Q350" s="10" t="str">
        <f t="shared" si="5"/>
        <v>#DIV/0!</v>
      </c>
      <c r="R350" s="10" t="str">
        <f t="shared" si="6"/>
        <v>#DIV/0!</v>
      </c>
      <c r="S350" s="10" t="str">
        <f t="shared" si="23"/>
        <v>#DIV/0!</v>
      </c>
      <c r="T350" s="10" t="str">
        <f t="shared" si="22"/>
        <v>#DIV/0!</v>
      </c>
      <c r="U350" s="10" t="str">
        <f t="shared" si="8"/>
        <v>#DIV/0!</v>
      </c>
      <c r="V350" s="10"/>
      <c r="W350" s="10"/>
      <c r="X350" s="10"/>
      <c r="Y350" s="10"/>
      <c r="Z350" s="10"/>
      <c r="AA350" s="10"/>
      <c r="AB350" s="10"/>
      <c r="AC350" s="10"/>
      <c r="AD350" s="10"/>
      <c r="AE350" s="10"/>
      <c r="AF350" s="10"/>
    </row>
    <row r="351" hidden="1">
      <c r="A351" s="9" t="s">
        <v>568</v>
      </c>
      <c r="B351" s="84"/>
      <c r="C351" s="9"/>
      <c r="D351" s="9" t="str">
        <f t="shared" si="1"/>
        <v/>
      </c>
      <c r="E351" s="10" t="str">
        <f t="shared" si="2"/>
        <v>OT Hours</v>
      </c>
      <c r="F351" s="10" t="str">
        <f>IFERROR(VLOOKUP(C351,'Employees List'!$B$1:$I$999,4,0),"")</f>
        <v/>
      </c>
      <c r="G351" s="10" t="str">
        <f t="shared" si="21"/>
        <v>#DIV/0!</v>
      </c>
      <c r="H351" s="72" t="str">
        <f>IFERROR(VLOOKUP(C351,'Employees List'!$B$2:$I$991,7,0),"")</f>
        <v/>
      </c>
      <c r="I351" s="73" t="str">
        <f>IFERROR(VLOOKUP(F351,'Employees List'!$E$1:$AE$991,6,0),"")</f>
        <v/>
      </c>
      <c r="J351" s="71">
        <f t="shared" si="3"/>
        <v>0</v>
      </c>
      <c r="K351" s="71">
        <f t="shared" si="4"/>
        <v>0</v>
      </c>
      <c r="L351" s="10" t="str">
        <f>IFERROR(VLOOKUP(B351,'Employees List'!$A$2:$K$991,11,0),"")</f>
        <v/>
      </c>
      <c r="M351" s="74" t="str">
        <f>IFERROR(VLOOKUP(D351,'Daily Attendance 25-26'!$A$4:BP999,5,0),"")</f>
        <v/>
      </c>
      <c r="N351" s="10" t="str">
        <f>IFERROR(VLOOKUP(E351,'Daily Attendance 25-26'!$A$1:$BO$1741,5,0),"")</f>
        <v/>
      </c>
      <c r="O351" s="10"/>
      <c r="P351" s="10"/>
      <c r="Q351" s="10" t="str">
        <f t="shared" si="5"/>
        <v>#DIV/0!</v>
      </c>
      <c r="R351" s="10" t="str">
        <f t="shared" si="6"/>
        <v>#DIV/0!</v>
      </c>
      <c r="S351" s="10" t="str">
        <f t="shared" si="23"/>
        <v>#DIV/0!</v>
      </c>
      <c r="T351" s="10" t="str">
        <f t="shared" si="22"/>
        <v>#DIV/0!</v>
      </c>
      <c r="U351" s="10" t="str">
        <f t="shared" si="8"/>
        <v>#DIV/0!</v>
      </c>
      <c r="V351" s="10"/>
      <c r="W351" s="10"/>
      <c r="X351" s="10"/>
      <c r="Y351" s="10"/>
      <c r="Z351" s="10"/>
      <c r="AA351" s="10"/>
      <c r="AB351" s="10"/>
      <c r="AC351" s="10"/>
      <c r="AD351" s="10"/>
      <c r="AE351" s="10"/>
      <c r="AF351" s="10"/>
    </row>
    <row r="352" hidden="1">
      <c r="A352" s="9" t="s">
        <v>569</v>
      </c>
      <c r="B352" s="84"/>
      <c r="C352" s="9"/>
      <c r="D352" s="9" t="str">
        <f t="shared" si="1"/>
        <v/>
      </c>
      <c r="E352" s="10" t="str">
        <f t="shared" si="2"/>
        <v>OT Hours</v>
      </c>
      <c r="F352" s="10" t="str">
        <f>IFERROR(VLOOKUP(C352,'Employees List'!$B$1:$I$999,4,0),"")</f>
        <v/>
      </c>
      <c r="G352" s="10" t="str">
        <f t="shared" si="21"/>
        <v>#DIV/0!</v>
      </c>
      <c r="H352" s="72" t="str">
        <f>IFERROR(VLOOKUP(C352,'Employees List'!$B$2:$I$991,7,0),"")</f>
        <v/>
      </c>
      <c r="I352" s="73" t="str">
        <f>IFERROR(VLOOKUP(F352,'Employees List'!$E$1:$AE$991,6,0),"")</f>
        <v/>
      </c>
      <c r="J352" s="71">
        <f t="shared" si="3"/>
        <v>0</v>
      </c>
      <c r="K352" s="71">
        <f t="shared" si="4"/>
        <v>0</v>
      </c>
      <c r="L352" s="10" t="str">
        <f>IFERROR(VLOOKUP(B352,'Employees List'!$A$2:$K$991,11,0),"")</f>
        <v/>
      </c>
      <c r="M352" s="74" t="str">
        <f>IFERROR(VLOOKUP(D352,'Daily Attendance 25-26'!$A$4:BP999,5,0),"")</f>
        <v/>
      </c>
      <c r="N352" s="10" t="str">
        <f>IFERROR(VLOOKUP(E352,'Daily Attendance 25-26'!$A$1:$BO$1741,5,0),"")</f>
        <v/>
      </c>
      <c r="O352" s="10"/>
      <c r="P352" s="10"/>
      <c r="Q352" s="10" t="str">
        <f t="shared" si="5"/>
        <v>#DIV/0!</v>
      </c>
      <c r="R352" s="10" t="str">
        <f t="shared" si="6"/>
        <v>#DIV/0!</v>
      </c>
      <c r="S352" s="10" t="str">
        <f t="shared" si="23"/>
        <v>#DIV/0!</v>
      </c>
      <c r="T352" s="10" t="str">
        <f t="shared" si="22"/>
        <v>#DIV/0!</v>
      </c>
      <c r="U352" s="10" t="str">
        <f t="shared" si="8"/>
        <v>#DIV/0!</v>
      </c>
      <c r="V352" s="10"/>
      <c r="W352" s="10"/>
      <c r="X352" s="10"/>
      <c r="Y352" s="10"/>
      <c r="Z352" s="10"/>
      <c r="AA352" s="10"/>
      <c r="AB352" s="10"/>
      <c r="AC352" s="10"/>
      <c r="AD352" s="10"/>
      <c r="AE352" s="10"/>
      <c r="AF352" s="10"/>
    </row>
    <row r="353" hidden="1">
      <c r="A353" s="9" t="s">
        <v>570</v>
      </c>
      <c r="B353" s="84"/>
      <c r="C353" s="9"/>
      <c r="D353" s="9" t="str">
        <f t="shared" si="1"/>
        <v/>
      </c>
      <c r="E353" s="10" t="str">
        <f t="shared" si="2"/>
        <v>OT Hours</v>
      </c>
      <c r="F353" s="10" t="str">
        <f>IFERROR(VLOOKUP(C353,'Employees List'!$B$1:$I$999,4,0),"")</f>
        <v/>
      </c>
      <c r="G353" s="10" t="str">
        <f t="shared" si="21"/>
        <v>#DIV/0!</v>
      </c>
      <c r="H353" s="72" t="str">
        <f>IFERROR(VLOOKUP(C353,'Employees List'!$B$2:$I$991,7,0),"")</f>
        <v/>
      </c>
      <c r="I353" s="73" t="str">
        <f>IFERROR(VLOOKUP(F353,'Employees List'!$E$1:$AE$991,6,0),"")</f>
        <v/>
      </c>
      <c r="J353" s="71">
        <f t="shared" si="3"/>
        <v>0</v>
      </c>
      <c r="K353" s="71">
        <f t="shared" si="4"/>
        <v>0</v>
      </c>
      <c r="L353" s="10" t="str">
        <f>IFERROR(VLOOKUP(B353,'Employees List'!$A$2:$K$991,11,0),"")</f>
        <v/>
      </c>
      <c r="M353" s="74" t="str">
        <f>IFERROR(VLOOKUP(D353,'Daily Attendance 25-26'!$A$4:BP999,5,0),"")</f>
        <v/>
      </c>
      <c r="N353" s="10" t="str">
        <f>IFERROR(VLOOKUP(E353,'Daily Attendance 25-26'!$A$1:$BO$1741,5,0),"")</f>
        <v/>
      </c>
      <c r="O353" s="10"/>
      <c r="P353" s="10"/>
      <c r="Q353" s="10" t="str">
        <f t="shared" si="5"/>
        <v>#DIV/0!</v>
      </c>
      <c r="R353" s="10" t="str">
        <f t="shared" si="6"/>
        <v>#DIV/0!</v>
      </c>
      <c r="S353" s="10" t="str">
        <f t="shared" si="23"/>
        <v>#DIV/0!</v>
      </c>
      <c r="T353" s="10" t="str">
        <f t="shared" si="22"/>
        <v>#DIV/0!</v>
      </c>
      <c r="U353" s="10" t="str">
        <f t="shared" si="8"/>
        <v>#DIV/0!</v>
      </c>
      <c r="V353" s="10"/>
      <c r="W353" s="10"/>
      <c r="X353" s="10"/>
      <c r="Y353" s="10"/>
      <c r="Z353" s="10"/>
      <c r="AA353" s="10"/>
      <c r="AB353" s="10"/>
      <c r="AC353" s="10"/>
      <c r="AD353" s="10"/>
      <c r="AE353" s="10"/>
      <c r="AF353" s="10"/>
    </row>
    <row r="354" hidden="1">
      <c r="A354" s="9" t="s">
        <v>571</v>
      </c>
      <c r="B354" s="84"/>
      <c r="C354" s="9"/>
      <c r="D354" s="9" t="str">
        <f t="shared" si="1"/>
        <v/>
      </c>
      <c r="E354" s="10" t="str">
        <f t="shared" si="2"/>
        <v>OT Hours</v>
      </c>
      <c r="F354" s="10" t="str">
        <f>IFERROR(VLOOKUP(C354,'Employees List'!$B$1:$I$999,4,0),"")</f>
        <v/>
      </c>
      <c r="G354" s="10" t="str">
        <f t="shared" si="21"/>
        <v>#DIV/0!</v>
      </c>
      <c r="H354" s="72" t="str">
        <f>IFERROR(VLOOKUP(C354,'Employees List'!$B$2:$I$991,7,0),"")</f>
        <v/>
      </c>
      <c r="I354" s="73" t="str">
        <f>IFERROR(VLOOKUP(F354,'Employees List'!$E$1:$AE$991,6,0),"")</f>
        <v/>
      </c>
      <c r="J354" s="71">
        <f t="shared" si="3"/>
        <v>0</v>
      </c>
      <c r="K354" s="71">
        <f t="shared" si="4"/>
        <v>0</v>
      </c>
      <c r="L354" s="10" t="str">
        <f>IFERROR(VLOOKUP(B354,'Employees List'!$A$2:$K$991,11,0),"")</f>
        <v/>
      </c>
      <c r="M354" s="74" t="str">
        <f>IFERROR(VLOOKUP(D354,'Daily Attendance 25-26'!$A$4:BP999,5,0),"")</f>
        <v/>
      </c>
      <c r="N354" s="10" t="str">
        <f>IFERROR(VLOOKUP(E354,'Daily Attendance 25-26'!$A$1:$BO$1741,5,0),"")</f>
        <v/>
      </c>
      <c r="O354" s="10"/>
      <c r="P354" s="10"/>
      <c r="Q354" s="10" t="str">
        <f t="shared" si="5"/>
        <v>#DIV/0!</v>
      </c>
      <c r="R354" s="10" t="str">
        <f t="shared" si="6"/>
        <v>#DIV/0!</v>
      </c>
      <c r="S354" s="10" t="str">
        <f t="shared" si="23"/>
        <v>#DIV/0!</v>
      </c>
      <c r="T354" s="10" t="str">
        <f t="shared" si="22"/>
        <v>#DIV/0!</v>
      </c>
      <c r="U354" s="10" t="str">
        <f t="shared" si="8"/>
        <v>#DIV/0!</v>
      </c>
      <c r="V354" s="10"/>
      <c r="W354" s="10"/>
      <c r="X354" s="10"/>
      <c r="Y354" s="10"/>
      <c r="Z354" s="10"/>
      <c r="AA354" s="10"/>
      <c r="AB354" s="10"/>
      <c r="AC354" s="10"/>
      <c r="AD354" s="10"/>
      <c r="AE354" s="10"/>
      <c r="AF354" s="10"/>
    </row>
    <row r="355" hidden="1">
      <c r="A355" s="9" t="s">
        <v>572</v>
      </c>
      <c r="B355" s="84"/>
      <c r="C355" s="9"/>
      <c r="D355" s="9" t="str">
        <f t="shared" si="1"/>
        <v/>
      </c>
      <c r="E355" s="10" t="str">
        <f t="shared" si="2"/>
        <v>OT Hours</v>
      </c>
      <c r="F355" s="10" t="str">
        <f>IFERROR(VLOOKUP(C355,'Employees List'!$B$1:$I$999,4,0),"")</f>
        <v/>
      </c>
      <c r="G355" s="10" t="str">
        <f t="shared" si="21"/>
        <v>#DIV/0!</v>
      </c>
      <c r="H355" s="72" t="str">
        <f>IFERROR(VLOOKUP(C355,'Employees List'!$B$2:$I$991,7,0),"")</f>
        <v/>
      </c>
      <c r="I355" s="73" t="str">
        <f>IFERROR(VLOOKUP(F355,'Employees List'!$E$1:$AE$991,6,0),"")</f>
        <v/>
      </c>
      <c r="J355" s="71">
        <f t="shared" si="3"/>
        <v>0</v>
      </c>
      <c r="K355" s="71">
        <f t="shared" si="4"/>
        <v>0</v>
      </c>
      <c r="L355" s="10" t="str">
        <f>IFERROR(VLOOKUP(B355,'Employees List'!$A$2:$K$991,11,0),"")</f>
        <v/>
      </c>
      <c r="M355" s="74" t="str">
        <f>IFERROR(VLOOKUP(D355,'Daily Attendance 25-26'!$A$4:BP999,5,0),"")</f>
        <v/>
      </c>
      <c r="N355" s="10" t="str">
        <f>IFERROR(VLOOKUP(E355,'Daily Attendance 25-26'!$A$1:$BO$1741,5,0),"")</f>
        <v/>
      </c>
      <c r="O355" s="10"/>
      <c r="P355" s="10"/>
      <c r="Q355" s="10" t="str">
        <f t="shared" si="5"/>
        <v>#DIV/0!</v>
      </c>
      <c r="R355" s="10" t="str">
        <f t="shared" si="6"/>
        <v>#DIV/0!</v>
      </c>
      <c r="S355" s="10" t="str">
        <f t="shared" si="23"/>
        <v>#DIV/0!</v>
      </c>
      <c r="T355" s="10" t="str">
        <f t="shared" si="22"/>
        <v>#DIV/0!</v>
      </c>
      <c r="U355" s="10" t="str">
        <f t="shared" si="8"/>
        <v>#DIV/0!</v>
      </c>
      <c r="V355" s="10"/>
      <c r="W355" s="10"/>
      <c r="X355" s="10"/>
      <c r="Y355" s="10"/>
      <c r="Z355" s="10"/>
      <c r="AA355" s="10"/>
      <c r="AB355" s="10"/>
      <c r="AC355" s="10"/>
      <c r="AD355" s="10"/>
      <c r="AE355" s="10"/>
      <c r="AF355" s="10"/>
    </row>
    <row r="356" hidden="1">
      <c r="A356" s="9" t="s">
        <v>573</v>
      </c>
      <c r="B356" s="84"/>
      <c r="C356" s="9"/>
      <c r="D356" s="9" t="str">
        <f t="shared" si="1"/>
        <v/>
      </c>
      <c r="E356" s="10" t="str">
        <f t="shared" si="2"/>
        <v>OT Hours</v>
      </c>
      <c r="F356" s="10" t="str">
        <f>IFERROR(VLOOKUP(C356,'Employees List'!$B$1:$I$999,4,0),"")</f>
        <v/>
      </c>
      <c r="G356" s="10" t="str">
        <f t="shared" si="21"/>
        <v>#DIV/0!</v>
      </c>
      <c r="H356" s="72" t="str">
        <f>IFERROR(VLOOKUP(C356,'Employees List'!$B$2:$I$991,7,0),"")</f>
        <v/>
      </c>
      <c r="I356" s="73" t="str">
        <f>IFERROR(VLOOKUP(F356,'Employees List'!$E$1:$AE$991,6,0),"")</f>
        <v/>
      </c>
      <c r="J356" s="71">
        <f t="shared" si="3"/>
        <v>0</v>
      </c>
      <c r="K356" s="71">
        <f t="shared" si="4"/>
        <v>0</v>
      </c>
      <c r="L356" s="10" t="str">
        <f>IFERROR(VLOOKUP(B356,'Employees List'!$A$2:$K$991,11,0),"")</f>
        <v/>
      </c>
      <c r="M356" s="74" t="str">
        <f>IFERROR(VLOOKUP(D356,'Daily Attendance 25-26'!$A$4:BP999,5,0),"")</f>
        <v/>
      </c>
      <c r="N356" s="10" t="str">
        <f>IFERROR(VLOOKUP(E356,'Daily Attendance 25-26'!$A$1:$BO$1741,5,0),"")</f>
        <v/>
      </c>
      <c r="O356" s="10"/>
      <c r="P356" s="10"/>
      <c r="Q356" s="10" t="str">
        <f t="shared" si="5"/>
        <v>#DIV/0!</v>
      </c>
      <c r="R356" s="10" t="str">
        <f t="shared" si="6"/>
        <v>#DIV/0!</v>
      </c>
      <c r="S356" s="10" t="str">
        <f t="shared" si="23"/>
        <v>#DIV/0!</v>
      </c>
      <c r="T356" s="10" t="str">
        <f t="shared" si="22"/>
        <v>#DIV/0!</v>
      </c>
      <c r="U356" s="10" t="str">
        <f t="shared" si="8"/>
        <v>#DIV/0!</v>
      </c>
      <c r="V356" s="10"/>
      <c r="W356" s="10"/>
      <c r="X356" s="10"/>
      <c r="Y356" s="10"/>
      <c r="Z356" s="10"/>
      <c r="AA356" s="10"/>
      <c r="AB356" s="10"/>
      <c r="AC356" s="10"/>
      <c r="AD356" s="10"/>
      <c r="AE356" s="10"/>
      <c r="AF356" s="10"/>
    </row>
    <row r="357" hidden="1">
      <c r="A357" s="9" t="s">
        <v>574</v>
      </c>
      <c r="B357" s="84"/>
      <c r="C357" s="9"/>
      <c r="D357" s="9" t="str">
        <f t="shared" si="1"/>
        <v/>
      </c>
      <c r="E357" s="10" t="str">
        <f t="shared" si="2"/>
        <v>OT Hours</v>
      </c>
      <c r="F357" s="10" t="str">
        <f>IFERROR(VLOOKUP(C357,'Employees List'!$B$1:$I$999,4,0),"")</f>
        <v/>
      </c>
      <c r="G357" s="10" t="str">
        <f t="shared" si="21"/>
        <v>#DIV/0!</v>
      </c>
      <c r="H357" s="72" t="str">
        <f>IFERROR(VLOOKUP(C357,'Employees List'!$B$2:$I$991,7,0),"")</f>
        <v/>
      </c>
      <c r="I357" s="73" t="str">
        <f>IFERROR(VLOOKUP(F357,'Employees List'!$E$1:$AE$991,6,0),"")</f>
        <v/>
      </c>
      <c r="J357" s="71">
        <f t="shared" si="3"/>
        <v>0</v>
      </c>
      <c r="K357" s="71">
        <f t="shared" si="4"/>
        <v>0</v>
      </c>
      <c r="L357" s="10" t="str">
        <f>IFERROR(VLOOKUP(B357,'Employees List'!$A$2:$K$991,11,0),"")</f>
        <v/>
      </c>
      <c r="M357" s="74" t="str">
        <f>IFERROR(VLOOKUP(D357,'Daily Attendance 25-26'!$A$4:BP999,5,0),"")</f>
        <v/>
      </c>
      <c r="N357" s="10" t="str">
        <f>IFERROR(VLOOKUP(E357,'Daily Attendance 25-26'!$A$1:$BO$1741,5,0),"")</f>
        <v/>
      </c>
      <c r="O357" s="10"/>
      <c r="P357" s="10"/>
      <c r="Q357" s="10" t="str">
        <f t="shared" si="5"/>
        <v>#DIV/0!</v>
      </c>
      <c r="R357" s="10" t="str">
        <f t="shared" si="6"/>
        <v>#DIV/0!</v>
      </c>
      <c r="S357" s="10" t="str">
        <f t="shared" si="23"/>
        <v>#DIV/0!</v>
      </c>
      <c r="T357" s="10" t="str">
        <f t="shared" si="22"/>
        <v>#DIV/0!</v>
      </c>
      <c r="U357" s="10" t="str">
        <f t="shared" si="8"/>
        <v>#DIV/0!</v>
      </c>
      <c r="V357" s="10"/>
      <c r="W357" s="10"/>
      <c r="X357" s="10"/>
      <c r="Y357" s="10"/>
      <c r="Z357" s="10"/>
      <c r="AA357" s="10"/>
      <c r="AB357" s="10"/>
      <c r="AC357" s="10"/>
      <c r="AD357" s="10"/>
      <c r="AE357" s="10"/>
      <c r="AF357" s="10"/>
    </row>
    <row r="358" hidden="1">
      <c r="A358" s="9" t="s">
        <v>575</v>
      </c>
      <c r="B358" s="84"/>
      <c r="C358" s="9"/>
      <c r="D358" s="9" t="str">
        <f t="shared" si="1"/>
        <v/>
      </c>
      <c r="E358" s="10" t="str">
        <f t="shared" si="2"/>
        <v>OT Hours</v>
      </c>
      <c r="F358" s="10" t="str">
        <f>IFERROR(VLOOKUP(C358,'Employees List'!$B$1:$I$999,4,0),"")</f>
        <v/>
      </c>
      <c r="G358" s="10" t="str">
        <f t="shared" si="21"/>
        <v>#DIV/0!</v>
      </c>
      <c r="H358" s="72" t="str">
        <f>IFERROR(VLOOKUP(C358,'Employees List'!$B$2:$I$991,7,0),"")</f>
        <v/>
      </c>
      <c r="I358" s="73" t="str">
        <f>IFERROR(VLOOKUP(F358,'Employees List'!$E$1:$AE$991,6,0),"")</f>
        <v/>
      </c>
      <c r="J358" s="71">
        <f t="shared" si="3"/>
        <v>0</v>
      </c>
      <c r="K358" s="71">
        <f t="shared" si="4"/>
        <v>0</v>
      </c>
      <c r="L358" s="10" t="str">
        <f>IFERROR(VLOOKUP(B358,'Employees List'!$A$2:$K$991,11,0),"")</f>
        <v/>
      </c>
      <c r="M358" s="74" t="str">
        <f>IFERROR(VLOOKUP(D358,'Daily Attendance 25-26'!$A$4:BP999,5,0),"")</f>
        <v/>
      </c>
      <c r="N358" s="10" t="str">
        <f>IFERROR(VLOOKUP(E358,'Daily Attendance 25-26'!$A$1:$BO$1741,5,0),"")</f>
        <v/>
      </c>
      <c r="O358" s="10"/>
      <c r="P358" s="10"/>
      <c r="Q358" s="10" t="str">
        <f t="shared" si="5"/>
        <v>#DIV/0!</v>
      </c>
      <c r="R358" s="10" t="str">
        <f t="shared" si="6"/>
        <v>#DIV/0!</v>
      </c>
      <c r="S358" s="10" t="str">
        <f t="shared" si="23"/>
        <v>#DIV/0!</v>
      </c>
      <c r="T358" s="10" t="str">
        <f t="shared" si="22"/>
        <v>#DIV/0!</v>
      </c>
      <c r="U358" s="10" t="str">
        <f t="shared" si="8"/>
        <v>#DIV/0!</v>
      </c>
      <c r="V358" s="10"/>
      <c r="W358" s="10"/>
      <c r="X358" s="10"/>
      <c r="Y358" s="10"/>
      <c r="Z358" s="10"/>
      <c r="AA358" s="10"/>
      <c r="AB358" s="10"/>
      <c r="AC358" s="10"/>
      <c r="AD358" s="10"/>
      <c r="AE358" s="10"/>
      <c r="AF358" s="10"/>
    </row>
    <row r="359" hidden="1">
      <c r="A359" s="9" t="s">
        <v>576</v>
      </c>
      <c r="B359" s="84"/>
      <c r="C359" s="9"/>
      <c r="D359" s="9" t="str">
        <f t="shared" si="1"/>
        <v/>
      </c>
      <c r="E359" s="10" t="str">
        <f t="shared" si="2"/>
        <v>OT Hours</v>
      </c>
      <c r="F359" s="10" t="str">
        <f>IFERROR(VLOOKUP(C359,'Employees List'!$B$1:$I$999,4,0),"")</f>
        <v/>
      </c>
      <c r="G359" s="10" t="str">
        <f t="shared" si="21"/>
        <v>#DIV/0!</v>
      </c>
      <c r="H359" s="72" t="str">
        <f>IFERROR(VLOOKUP(C359,'Employees List'!$B$2:$I$991,7,0),"")</f>
        <v/>
      </c>
      <c r="I359" s="73" t="str">
        <f>IFERROR(VLOOKUP(F359,'Employees List'!$E$1:$AE$991,6,0),"")</f>
        <v/>
      </c>
      <c r="J359" s="71">
        <f t="shared" si="3"/>
        <v>0</v>
      </c>
      <c r="K359" s="71">
        <f t="shared" si="4"/>
        <v>0</v>
      </c>
      <c r="L359" s="10" t="str">
        <f>IFERROR(VLOOKUP(B359,'Employees List'!$A$2:$K$991,11,0),"")</f>
        <v/>
      </c>
      <c r="M359" s="74" t="str">
        <f>IFERROR(VLOOKUP(D359,'Daily Attendance 25-26'!$A$4:BP999,5,0),"")</f>
        <v/>
      </c>
      <c r="N359" s="10" t="str">
        <f>IFERROR(VLOOKUP(E359,'Daily Attendance 25-26'!$A$1:$BO$1741,5,0),"")</f>
        <v/>
      </c>
      <c r="O359" s="10"/>
      <c r="P359" s="10"/>
      <c r="Q359" s="10" t="str">
        <f t="shared" si="5"/>
        <v>#DIV/0!</v>
      </c>
      <c r="R359" s="10" t="str">
        <f t="shared" si="6"/>
        <v>#DIV/0!</v>
      </c>
      <c r="S359" s="10" t="str">
        <f t="shared" si="23"/>
        <v>#DIV/0!</v>
      </c>
      <c r="T359" s="10" t="str">
        <f t="shared" si="22"/>
        <v>#DIV/0!</v>
      </c>
      <c r="U359" s="10" t="str">
        <f t="shared" si="8"/>
        <v>#DIV/0!</v>
      </c>
      <c r="V359" s="10"/>
      <c r="W359" s="10"/>
      <c r="X359" s="10"/>
      <c r="Y359" s="10"/>
      <c r="Z359" s="10"/>
      <c r="AA359" s="10"/>
      <c r="AB359" s="10"/>
      <c r="AC359" s="10"/>
      <c r="AD359" s="10"/>
      <c r="AE359" s="10"/>
      <c r="AF359" s="10"/>
    </row>
    <row r="360" hidden="1">
      <c r="A360" s="9" t="s">
        <v>577</v>
      </c>
      <c r="B360" s="84"/>
      <c r="C360" s="9"/>
      <c r="D360" s="9" t="str">
        <f t="shared" si="1"/>
        <v/>
      </c>
      <c r="E360" s="10" t="str">
        <f t="shared" si="2"/>
        <v>OT Hours</v>
      </c>
      <c r="F360" s="10" t="str">
        <f>IFERROR(VLOOKUP(C360,'Employees List'!$B$1:$I$999,4,0),"")</f>
        <v/>
      </c>
      <c r="G360" s="10" t="str">
        <f t="shared" si="21"/>
        <v>#DIV/0!</v>
      </c>
      <c r="H360" s="72" t="str">
        <f>IFERROR(VLOOKUP(C360,'Employees List'!$B$2:$I$991,7,0),"")</f>
        <v/>
      </c>
      <c r="I360" s="73" t="str">
        <f>IFERROR(VLOOKUP(F360,'Employees List'!$E$1:$AE$991,6,0),"")</f>
        <v/>
      </c>
      <c r="J360" s="71">
        <f t="shared" si="3"/>
        <v>0</v>
      </c>
      <c r="K360" s="71">
        <f t="shared" si="4"/>
        <v>0</v>
      </c>
      <c r="L360" s="10" t="str">
        <f>IFERROR(VLOOKUP(B360,'Employees List'!$A$2:$K$991,11,0),"")</f>
        <v/>
      </c>
      <c r="M360" s="74" t="str">
        <f>IFERROR(VLOOKUP(D360,'Daily Attendance 25-26'!$A$4:BP999,5,0),"")</f>
        <v/>
      </c>
      <c r="N360" s="10" t="str">
        <f>IFERROR(VLOOKUP(E360,'Daily Attendance 25-26'!$A$1:$BO$1741,5,0),"")</f>
        <v/>
      </c>
      <c r="O360" s="10"/>
      <c r="P360" s="10"/>
      <c r="Q360" s="10" t="str">
        <f t="shared" si="5"/>
        <v>#DIV/0!</v>
      </c>
      <c r="R360" s="10" t="str">
        <f t="shared" si="6"/>
        <v>#DIV/0!</v>
      </c>
      <c r="S360" s="10" t="str">
        <f t="shared" si="23"/>
        <v>#DIV/0!</v>
      </c>
      <c r="T360" s="10" t="str">
        <f t="shared" si="22"/>
        <v>#DIV/0!</v>
      </c>
      <c r="U360" s="10" t="str">
        <f t="shared" si="8"/>
        <v>#DIV/0!</v>
      </c>
      <c r="V360" s="10"/>
      <c r="W360" s="10"/>
      <c r="X360" s="10"/>
      <c r="Y360" s="10"/>
      <c r="Z360" s="10"/>
      <c r="AA360" s="10"/>
      <c r="AB360" s="10"/>
      <c r="AC360" s="10"/>
      <c r="AD360" s="10"/>
      <c r="AE360" s="10"/>
      <c r="AF360" s="10"/>
    </row>
    <row r="361" hidden="1">
      <c r="A361" s="9" t="s">
        <v>578</v>
      </c>
      <c r="B361" s="84"/>
      <c r="C361" s="9"/>
      <c r="D361" s="9" t="str">
        <f t="shared" si="1"/>
        <v/>
      </c>
      <c r="E361" s="10" t="str">
        <f t="shared" si="2"/>
        <v>OT Hours</v>
      </c>
      <c r="F361" s="10" t="str">
        <f>IFERROR(VLOOKUP(C361,'Employees List'!$B$1:$I$999,4,0),"")</f>
        <v/>
      </c>
      <c r="G361" s="10" t="str">
        <f t="shared" si="21"/>
        <v>#DIV/0!</v>
      </c>
      <c r="H361" s="72" t="str">
        <f>IFERROR(VLOOKUP(C361,'Employees List'!$B$2:$I$991,7,0),"")</f>
        <v/>
      </c>
      <c r="I361" s="73" t="str">
        <f>IFERROR(VLOOKUP(F361,'Employees List'!$E$1:$AE$991,6,0),"")</f>
        <v/>
      </c>
      <c r="J361" s="71">
        <f t="shared" si="3"/>
        <v>0</v>
      </c>
      <c r="K361" s="71">
        <f t="shared" si="4"/>
        <v>0</v>
      </c>
      <c r="L361" s="10" t="str">
        <f>IFERROR(VLOOKUP(B361,'Employees List'!$A$2:$K$991,11,0),"")</f>
        <v/>
      </c>
      <c r="M361" s="74" t="str">
        <f>IFERROR(VLOOKUP(D361,'Daily Attendance 25-26'!$A$4:BP999,5,0),"")</f>
        <v/>
      </c>
      <c r="N361" s="10" t="str">
        <f>IFERROR(VLOOKUP(E361,'Daily Attendance 25-26'!$A$1:$BO$1741,5,0),"")</f>
        <v/>
      </c>
      <c r="O361" s="10"/>
      <c r="P361" s="10"/>
      <c r="Q361" s="10" t="str">
        <f t="shared" si="5"/>
        <v>#DIV/0!</v>
      </c>
      <c r="R361" s="10" t="str">
        <f t="shared" si="6"/>
        <v>#DIV/0!</v>
      </c>
      <c r="S361" s="10" t="str">
        <f t="shared" si="23"/>
        <v>#DIV/0!</v>
      </c>
      <c r="T361" s="10" t="str">
        <f t="shared" si="22"/>
        <v>#DIV/0!</v>
      </c>
      <c r="U361" s="10" t="str">
        <f t="shared" si="8"/>
        <v>#DIV/0!</v>
      </c>
      <c r="V361" s="10"/>
      <c r="W361" s="10"/>
      <c r="X361" s="10"/>
      <c r="Y361" s="10"/>
      <c r="Z361" s="10"/>
      <c r="AA361" s="10"/>
      <c r="AB361" s="10"/>
      <c r="AC361" s="10"/>
      <c r="AD361" s="10"/>
      <c r="AE361" s="10"/>
      <c r="AF361" s="10"/>
    </row>
    <row r="362" hidden="1">
      <c r="A362" s="9" t="s">
        <v>579</v>
      </c>
      <c r="B362" s="70"/>
      <c r="C362" s="9"/>
      <c r="D362" s="9" t="str">
        <f t="shared" si="1"/>
        <v/>
      </c>
      <c r="E362" s="10" t="str">
        <f t="shared" si="2"/>
        <v>OT Hours</v>
      </c>
      <c r="F362" s="10" t="str">
        <f>IFERROR(VLOOKUP(C362,'Employees List'!$B$1:$I$999,4,0),"")</f>
        <v/>
      </c>
      <c r="G362" s="10" t="str">
        <f t="shared" si="21"/>
        <v>#DIV/0!</v>
      </c>
      <c r="H362" s="72" t="str">
        <f>IFERROR(VLOOKUP(C362,'Employees List'!$B$2:$I$991,7,0),"")</f>
        <v/>
      </c>
      <c r="I362" s="73" t="str">
        <f>IFERROR(VLOOKUP(F362,'Employees List'!$E$1:$AE$991,6,0),"")</f>
        <v/>
      </c>
      <c r="J362" s="71">
        <f t="shared" si="3"/>
        <v>0</v>
      </c>
      <c r="K362" s="71">
        <f t="shared" si="4"/>
        <v>0</v>
      </c>
      <c r="L362" s="10" t="str">
        <f>IFERROR(VLOOKUP(B362,'Employees List'!$A$2:$K$991,11,0),"")</f>
        <v/>
      </c>
      <c r="M362" s="74" t="str">
        <f>IFERROR(VLOOKUP(D362,'Daily Attendance 25-26'!$A$4:BP999,5,0),"")</f>
        <v/>
      </c>
      <c r="N362" s="10" t="str">
        <f>IFERROR(VLOOKUP(E362,'Daily Attendance 25-26'!$A$1:$BO$1741,5,0),"")</f>
        <v/>
      </c>
      <c r="O362" s="10"/>
      <c r="P362" s="10"/>
      <c r="Q362" s="10" t="str">
        <f t="shared" si="5"/>
        <v>#DIV/0!</v>
      </c>
      <c r="R362" s="10" t="str">
        <f t="shared" si="6"/>
        <v>#DIV/0!</v>
      </c>
      <c r="S362" s="10" t="str">
        <f t="shared" si="23"/>
        <v>#DIV/0!</v>
      </c>
      <c r="T362" s="10" t="str">
        <f t="shared" si="22"/>
        <v>#DIV/0!</v>
      </c>
      <c r="U362" s="10" t="str">
        <f t="shared" si="8"/>
        <v>#DIV/0!</v>
      </c>
      <c r="V362" s="10"/>
      <c r="W362" s="10"/>
      <c r="X362" s="10"/>
      <c r="Y362" s="10"/>
      <c r="Z362" s="10"/>
      <c r="AA362" s="10"/>
      <c r="AB362" s="10"/>
      <c r="AC362" s="10"/>
      <c r="AD362" s="10"/>
      <c r="AE362" s="10"/>
      <c r="AF362" s="10"/>
    </row>
    <row r="363" hidden="1">
      <c r="A363" s="9" t="s">
        <v>580</v>
      </c>
      <c r="B363" s="84"/>
      <c r="C363" s="9"/>
      <c r="D363" s="9" t="str">
        <f t="shared" si="1"/>
        <v/>
      </c>
      <c r="E363" s="10" t="str">
        <f t="shared" si="2"/>
        <v>OT Hours</v>
      </c>
      <c r="F363" s="10" t="str">
        <f>IFERROR(VLOOKUP(C363,'Employees List'!$B$1:$I$999,4,0),"")</f>
        <v/>
      </c>
      <c r="G363" s="10" t="str">
        <f t="shared" si="21"/>
        <v>#DIV/0!</v>
      </c>
      <c r="H363" s="72" t="str">
        <f>IFERROR(VLOOKUP(C363,'Employees List'!$B$2:$I$991,7,0),"")</f>
        <v/>
      </c>
      <c r="I363" s="73" t="str">
        <f>IFERROR(VLOOKUP(F363,'Employees List'!$E$1:$AE$991,6,0),"")</f>
        <v/>
      </c>
      <c r="J363" s="71">
        <f t="shared" si="3"/>
        <v>0</v>
      </c>
      <c r="K363" s="71">
        <f t="shared" si="4"/>
        <v>0</v>
      </c>
      <c r="L363" s="10" t="str">
        <f>IFERROR(VLOOKUP(B363,'Employees List'!$A$2:$K$991,11,0),"")</f>
        <v/>
      </c>
      <c r="M363" s="74" t="str">
        <f>IFERROR(VLOOKUP(D363,'Daily Attendance 25-26'!$A$4:BP999,5,0),"")</f>
        <v/>
      </c>
      <c r="N363" s="10" t="str">
        <f>IFERROR(VLOOKUP(E363,'Daily Attendance 25-26'!$A$1:$BO$1741,5,0),"")</f>
        <v/>
      </c>
      <c r="O363" s="10"/>
      <c r="P363" s="10"/>
      <c r="Q363" s="10" t="str">
        <f t="shared" si="5"/>
        <v>#DIV/0!</v>
      </c>
      <c r="R363" s="10" t="str">
        <f t="shared" si="6"/>
        <v>#DIV/0!</v>
      </c>
      <c r="S363" s="10" t="str">
        <f t="shared" si="23"/>
        <v>#DIV/0!</v>
      </c>
      <c r="T363" s="10" t="str">
        <f t="shared" si="22"/>
        <v>#DIV/0!</v>
      </c>
      <c r="U363" s="10" t="str">
        <f t="shared" si="8"/>
        <v>#DIV/0!</v>
      </c>
      <c r="V363" s="10"/>
      <c r="W363" s="10"/>
      <c r="X363" s="10"/>
      <c r="Y363" s="10"/>
      <c r="Z363" s="10"/>
      <c r="AA363" s="10"/>
      <c r="AB363" s="10"/>
      <c r="AC363" s="10"/>
      <c r="AD363" s="10"/>
      <c r="AE363" s="10"/>
      <c r="AF363" s="10"/>
    </row>
    <row r="364" hidden="1">
      <c r="A364" s="9" t="s">
        <v>581</v>
      </c>
      <c r="B364" s="84"/>
      <c r="C364" s="9"/>
      <c r="D364" s="9" t="str">
        <f t="shared" si="1"/>
        <v/>
      </c>
      <c r="E364" s="10" t="str">
        <f t="shared" si="2"/>
        <v>OT Hours</v>
      </c>
      <c r="F364" s="10" t="str">
        <f>IFERROR(VLOOKUP(C364,'Employees List'!$B$1:$I$999,4,0),"")</f>
        <v/>
      </c>
      <c r="G364" s="10" t="str">
        <f t="shared" si="21"/>
        <v>#DIV/0!</v>
      </c>
      <c r="H364" s="72" t="str">
        <f>IFERROR(VLOOKUP(C364,'Employees List'!$B$2:$I$991,7,0),"")</f>
        <v/>
      </c>
      <c r="I364" s="73" t="str">
        <f>IFERROR(VLOOKUP(F364,'Employees List'!$E$1:$AE$991,6,0),"")</f>
        <v/>
      </c>
      <c r="J364" s="71">
        <f t="shared" si="3"/>
        <v>0</v>
      </c>
      <c r="K364" s="71">
        <f t="shared" si="4"/>
        <v>0</v>
      </c>
      <c r="L364" s="10" t="str">
        <f>IFERROR(VLOOKUP(B364,'Employees List'!$A$2:$K$991,11,0),"")</f>
        <v/>
      </c>
      <c r="M364" s="74" t="str">
        <f>IFERROR(VLOOKUP(D364,'Daily Attendance 25-26'!$A$4:BP999,5,0),"")</f>
        <v/>
      </c>
      <c r="N364" s="10" t="str">
        <f>IFERROR(VLOOKUP(E364,'Daily Attendance 25-26'!$A$1:$BO$1741,5,0),"")</f>
        <v/>
      </c>
      <c r="O364" s="10"/>
      <c r="P364" s="10"/>
      <c r="Q364" s="10" t="str">
        <f t="shared" si="5"/>
        <v>#DIV/0!</v>
      </c>
      <c r="R364" s="10" t="str">
        <f t="shared" si="6"/>
        <v>#DIV/0!</v>
      </c>
      <c r="S364" s="10" t="str">
        <f t="shared" si="23"/>
        <v>#DIV/0!</v>
      </c>
      <c r="T364" s="10" t="str">
        <f t="shared" si="22"/>
        <v>#DIV/0!</v>
      </c>
      <c r="U364" s="10" t="str">
        <f t="shared" si="8"/>
        <v>#DIV/0!</v>
      </c>
      <c r="V364" s="10"/>
      <c r="W364" s="10"/>
      <c r="X364" s="10"/>
      <c r="Y364" s="10"/>
      <c r="Z364" s="10"/>
      <c r="AA364" s="10"/>
      <c r="AB364" s="10"/>
      <c r="AC364" s="10"/>
      <c r="AD364" s="10"/>
      <c r="AE364" s="10"/>
      <c r="AF364" s="10"/>
    </row>
    <row r="365" hidden="1">
      <c r="A365" s="9" t="s">
        <v>582</v>
      </c>
      <c r="B365" s="84"/>
      <c r="C365" s="9"/>
      <c r="D365" s="9" t="str">
        <f t="shared" si="1"/>
        <v/>
      </c>
      <c r="E365" s="10" t="str">
        <f t="shared" si="2"/>
        <v>OT Hours</v>
      </c>
      <c r="F365" s="10" t="str">
        <f>IFERROR(VLOOKUP(C365,'Employees List'!$B$1:$I$999,4,0),"")</f>
        <v/>
      </c>
      <c r="G365" s="10" t="str">
        <f t="shared" si="21"/>
        <v>#DIV/0!</v>
      </c>
      <c r="H365" s="72" t="str">
        <f>IFERROR(VLOOKUP(C365,'Employees List'!$B$2:$I$991,7,0),"")</f>
        <v/>
      </c>
      <c r="I365" s="73" t="str">
        <f>IFERROR(VLOOKUP(F365,'Employees List'!$E$1:$AE$991,6,0),"")</f>
        <v/>
      </c>
      <c r="J365" s="71">
        <f t="shared" si="3"/>
        <v>0</v>
      </c>
      <c r="K365" s="71">
        <f t="shared" si="4"/>
        <v>0</v>
      </c>
      <c r="L365" s="10" t="str">
        <f>IFERROR(VLOOKUP(B365,'Employees List'!$A$2:$K$991,11,0),"")</f>
        <v/>
      </c>
      <c r="M365" s="74" t="str">
        <f>IFERROR(VLOOKUP(D365,'Daily Attendance 25-26'!$A$4:BP999,5,0),"")</f>
        <v/>
      </c>
      <c r="N365" s="10" t="str">
        <f>IFERROR(VLOOKUP(E365,'Daily Attendance 25-26'!$A$1:$BO$1741,5,0),"")</f>
        <v/>
      </c>
      <c r="O365" s="10"/>
      <c r="P365" s="10"/>
      <c r="Q365" s="10" t="str">
        <f t="shared" si="5"/>
        <v>#DIV/0!</v>
      </c>
      <c r="R365" s="10" t="str">
        <f t="shared" si="6"/>
        <v>#DIV/0!</v>
      </c>
      <c r="S365" s="10" t="str">
        <f t="shared" si="23"/>
        <v>#DIV/0!</v>
      </c>
      <c r="T365" s="10" t="str">
        <f t="shared" si="22"/>
        <v>#DIV/0!</v>
      </c>
      <c r="U365" s="10" t="str">
        <f t="shared" si="8"/>
        <v>#DIV/0!</v>
      </c>
      <c r="V365" s="10"/>
      <c r="W365" s="10"/>
      <c r="X365" s="10"/>
      <c r="Y365" s="10"/>
      <c r="Z365" s="10"/>
      <c r="AA365" s="10"/>
      <c r="AB365" s="10"/>
      <c r="AC365" s="10"/>
      <c r="AD365" s="10"/>
      <c r="AE365" s="10"/>
      <c r="AF365" s="10"/>
    </row>
    <row r="366" hidden="1">
      <c r="A366" s="9" t="s">
        <v>583</v>
      </c>
      <c r="B366" s="84"/>
      <c r="C366" s="9"/>
      <c r="D366" s="9" t="str">
        <f t="shared" si="1"/>
        <v/>
      </c>
      <c r="E366" s="10" t="str">
        <f t="shared" si="2"/>
        <v>OT Hours</v>
      </c>
      <c r="F366" s="10" t="str">
        <f>IFERROR(VLOOKUP(C366,'Employees List'!$B$1:$I$999,4,0),"")</f>
        <v/>
      </c>
      <c r="G366" s="10" t="str">
        <f t="shared" si="21"/>
        <v>#DIV/0!</v>
      </c>
      <c r="H366" s="72" t="str">
        <f>IFERROR(VLOOKUP(C366,'Employees List'!$B$2:$I$991,7,0),"")</f>
        <v/>
      </c>
      <c r="I366" s="73" t="str">
        <f>IFERROR(VLOOKUP(F366,'Employees List'!$E$1:$AE$991,6,0),"")</f>
        <v/>
      </c>
      <c r="J366" s="71">
        <f t="shared" si="3"/>
        <v>0</v>
      </c>
      <c r="K366" s="71">
        <f t="shared" si="4"/>
        <v>0</v>
      </c>
      <c r="L366" s="10" t="str">
        <f>IFERROR(VLOOKUP(B366,'Employees List'!$A$2:$K$991,11,0),"")</f>
        <v/>
      </c>
      <c r="M366" s="74" t="str">
        <f>IFERROR(VLOOKUP(D366,'Daily Attendance 25-26'!$A$4:BP999,5,0),"")</f>
        <v/>
      </c>
      <c r="N366" s="10" t="str">
        <f>IFERROR(VLOOKUP(E366,'Daily Attendance 25-26'!$A$1:$BO$1741,5,0),"")</f>
        <v/>
      </c>
      <c r="O366" s="10"/>
      <c r="P366" s="10"/>
      <c r="Q366" s="10" t="str">
        <f t="shared" si="5"/>
        <v>#DIV/0!</v>
      </c>
      <c r="R366" s="10" t="str">
        <f t="shared" si="6"/>
        <v>#DIV/0!</v>
      </c>
      <c r="S366" s="10" t="str">
        <f t="shared" si="23"/>
        <v>#DIV/0!</v>
      </c>
      <c r="T366" s="10" t="str">
        <f t="shared" si="22"/>
        <v>#DIV/0!</v>
      </c>
      <c r="U366" s="10" t="str">
        <f t="shared" si="8"/>
        <v>#DIV/0!</v>
      </c>
      <c r="V366" s="10"/>
      <c r="W366" s="10"/>
      <c r="X366" s="10"/>
      <c r="Y366" s="10"/>
      <c r="Z366" s="10"/>
      <c r="AA366" s="10"/>
      <c r="AB366" s="10"/>
      <c r="AC366" s="10"/>
      <c r="AD366" s="10"/>
      <c r="AE366" s="10"/>
      <c r="AF366" s="10"/>
    </row>
    <row r="367" hidden="1">
      <c r="A367" s="9" t="s">
        <v>584</v>
      </c>
      <c r="B367" s="84"/>
      <c r="C367" s="9"/>
      <c r="D367" s="9" t="str">
        <f t="shared" si="1"/>
        <v/>
      </c>
      <c r="E367" s="10" t="str">
        <f t="shared" si="2"/>
        <v>OT Hours</v>
      </c>
      <c r="F367" s="10" t="str">
        <f>IFERROR(VLOOKUP(C367,'Employees List'!$B$1:$I$999,4,0),"")</f>
        <v/>
      </c>
      <c r="G367" s="10" t="str">
        <f t="shared" si="21"/>
        <v>#DIV/0!</v>
      </c>
      <c r="H367" s="72" t="str">
        <f>IFERROR(VLOOKUP(C367,'Employees List'!$B$2:$I$991,7,0),"")</f>
        <v/>
      </c>
      <c r="I367" s="73" t="str">
        <f>IFERROR(VLOOKUP(F367,'Employees List'!$E$1:$AE$991,6,0),"")</f>
        <v/>
      </c>
      <c r="J367" s="71">
        <f t="shared" si="3"/>
        <v>0</v>
      </c>
      <c r="K367" s="71">
        <f t="shared" si="4"/>
        <v>0</v>
      </c>
      <c r="L367" s="10" t="str">
        <f>IFERROR(VLOOKUP(B367,'Employees List'!$A$2:$K$991,11,0),"")</f>
        <v/>
      </c>
      <c r="M367" s="74" t="str">
        <f>IFERROR(VLOOKUP(D367,'Daily Attendance 25-26'!$A$4:BP999,5,0),"")</f>
        <v/>
      </c>
      <c r="N367" s="10" t="str">
        <f>IFERROR(VLOOKUP(E367,'Daily Attendance 25-26'!$A$1:$BO$1741,5,0),"")</f>
        <v/>
      </c>
      <c r="O367" s="10"/>
      <c r="P367" s="10"/>
      <c r="Q367" s="10" t="str">
        <f t="shared" si="5"/>
        <v>#DIV/0!</v>
      </c>
      <c r="R367" s="10" t="str">
        <f t="shared" si="6"/>
        <v>#DIV/0!</v>
      </c>
      <c r="S367" s="10" t="str">
        <f t="shared" si="23"/>
        <v>#DIV/0!</v>
      </c>
      <c r="T367" s="10" t="str">
        <f t="shared" si="22"/>
        <v>#DIV/0!</v>
      </c>
      <c r="U367" s="10" t="str">
        <f t="shared" si="8"/>
        <v>#DIV/0!</v>
      </c>
      <c r="V367" s="10"/>
      <c r="W367" s="10"/>
      <c r="X367" s="10"/>
      <c r="Y367" s="10"/>
      <c r="Z367" s="10"/>
      <c r="AA367" s="10"/>
      <c r="AB367" s="10"/>
      <c r="AC367" s="10"/>
      <c r="AD367" s="10"/>
      <c r="AE367" s="10"/>
      <c r="AF367" s="10"/>
    </row>
    <row r="368" hidden="1">
      <c r="A368" s="9" t="s">
        <v>585</v>
      </c>
      <c r="B368" s="84"/>
      <c r="C368" s="9"/>
      <c r="D368" s="9" t="str">
        <f t="shared" si="1"/>
        <v/>
      </c>
      <c r="E368" s="10" t="str">
        <f t="shared" si="2"/>
        <v>OT Hours</v>
      </c>
      <c r="F368" s="10" t="str">
        <f>IFERROR(VLOOKUP(C368,'Employees List'!$B$1:$I$999,4,0),"")</f>
        <v/>
      </c>
      <c r="G368" s="10" t="str">
        <f t="shared" si="21"/>
        <v>#DIV/0!</v>
      </c>
      <c r="H368" s="72" t="str">
        <f>IFERROR(VLOOKUP(C368,'Employees List'!$B$2:$I$991,7,0),"")</f>
        <v/>
      </c>
      <c r="I368" s="73" t="str">
        <f>IFERROR(VLOOKUP(F368,'Employees List'!$E$1:$AE$991,6,0),"")</f>
        <v/>
      </c>
      <c r="J368" s="71">
        <f t="shared" si="3"/>
        <v>0</v>
      </c>
      <c r="K368" s="71">
        <f t="shared" si="4"/>
        <v>0</v>
      </c>
      <c r="L368" s="10" t="str">
        <f>IFERROR(VLOOKUP(B368,'Employees List'!$A$2:$K$991,11,0),"")</f>
        <v/>
      </c>
      <c r="M368" s="74" t="str">
        <f>IFERROR(VLOOKUP(D368,'Daily Attendance 25-26'!$A$4:BP999,5,0),"")</f>
        <v/>
      </c>
      <c r="N368" s="10" t="str">
        <f>IFERROR(VLOOKUP(E368,'Daily Attendance 25-26'!$A$1:$BO$1741,5,0),"")</f>
        <v/>
      </c>
      <c r="O368" s="10"/>
      <c r="P368" s="10"/>
      <c r="Q368" s="10" t="str">
        <f t="shared" si="5"/>
        <v>#DIV/0!</v>
      </c>
      <c r="R368" s="10" t="str">
        <f t="shared" si="6"/>
        <v>#DIV/0!</v>
      </c>
      <c r="S368" s="10" t="str">
        <f t="shared" si="23"/>
        <v>#DIV/0!</v>
      </c>
      <c r="T368" s="10" t="str">
        <f t="shared" si="22"/>
        <v>#DIV/0!</v>
      </c>
      <c r="U368" s="10" t="str">
        <f t="shared" si="8"/>
        <v>#DIV/0!</v>
      </c>
      <c r="V368" s="10"/>
      <c r="W368" s="10"/>
      <c r="X368" s="10"/>
      <c r="Y368" s="10"/>
      <c r="Z368" s="10"/>
      <c r="AA368" s="10"/>
      <c r="AB368" s="10"/>
      <c r="AC368" s="10"/>
      <c r="AD368" s="10"/>
      <c r="AE368" s="10"/>
      <c r="AF368" s="10"/>
    </row>
    <row r="369" hidden="1">
      <c r="A369" s="9" t="s">
        <v>586</v>
      </c>
      <c r="B369" s="84"/>
      <c r="C369" s="9"/>
      <c r="D369" s="9" t="str">
        <f t="shared" si="1"/>
        <v/>
      </c>
      <c r="E369" s="10" t="str">
        <f t="shared" si="2"/>
        <v>OT Hours</v>
      </c>
      <c r="F369" s="10" t="str">
        <f>IFERROR(VLOOKUP(C369,'Employees List'!$B$1:$I$999,4,0),"")</f>
        <v/>
      </c>
      <c r="G369" s="10" t="str">
        <f t="shared" si="21"/>
        <v>#DIV/0!</v>
      </c>
      <c r="H369" s="72" t="str">
        <f>IFERROR(VLOOKUP(C369,'Employees List'!$B$2:$I$991,7,0),"")</f>
        <v/>
      </c>
      <c r="I369" s="73" t="str">
        <f>IFERROR(VLOOKUP(F369,'Employees List'!$E$1:$AE$991,6,0),"")</f>
        <v/>
      </c>
      <c r="J369" s="71">
        <f t="shared" si="3"/>
        <v>0</v>
      </c>
      <c r="K369" s="71">
        <f t="shared" si="4"/>
        <v>0</v>
      </c>
      <c r="L369" s="10" t="str">
        <f>IFERROR(VLOOKUP(B369,'Employees List'!$A$2:$K$991,11,0),"")</f>
        <v/>
      </c>
      <c r="M369" s="74" t="str">
        <f>IFERROR(VLOOKUP(D369,'Daily Attendance 25-26'!$A$4:BP999,5,0),"")</f>
        <v/>
      </c>
      <c r="N369" s="10" t="str">
        <f>IFERROR(VLOOKUP(E369,'Daily Attendance 25-26'!$A$1:$BO$1741,5,0),"")</f>
        <v/>
      </c>
      <c r="O369" s="10"/>
      <c r="P369" s="10"/>
      <c r="Q369" s="10" t="str">
        <f t="shared" si="5"/>
        <v>#DIV/0!</v>
      </c>
      <c r="R369" s="10" t="str">
        <f t="shared" si="6"/>
        <v>#DIV/0!</v>
      </c>
      <c r="S369" s="10" t="str">
        <f t="shared" si="23"/>
        <v>#DIV/0!</v>
      </c>
      <c r="T369" s="10" t="str">
        <f t="shared" si="22"/>
        <v>#DIV/0!</v>
      </c>
      <c r="U369" s="10" t="str">
        <f t="shared" si="8"/>
        <v>#DIV/0!</v>
      </c>
      <c r="V369" s="10"/>
      <c r="W369" s="10"/>
      <c r="X369" s="10"/>
      <c r="Y369" s="10"/>
      <c r="Z369" s="10"/>
      <c r="AA369" s="10"/>
      <c r="AB369" s="10"/>
      <c r="AC369" s="10"/>
      <c r="AD369" s="10"/>
      <c r="AE369" s="10"/>
      <c r="AF369" s="10"/>
    </row>
    <row r="370" hidden="1">
      <c r="A370" s="9" t="s">
        <v>587</v>
      </c>
      <c r="B370" s="84"/>
      <c r="C370" s="9"/>
      <c r="D370" s="9" t="str">
        <f t="shared" si="1"/>
        <v/>
      </c>
      <c r="E370" s="10" t="str">
        <f t="shared" si="2"/>
        <v>OT Hours</v>
      </c>
      <c r="F370" s="10" t="str">
        <f>IFERROR(VLOOKUP(C370,'Employees List'!$B$1:$I$999,4,0),"")</f>
        <v/>
      </c>
      <c r="G370" s="10" t="str">
        <f t="shared" si="21"/>
        <v>#DIV/0!</v>
      </c>
      <c r="H370" s="72" t="str">
        <f>IFERROR(VLOOKUP(C370,'Employees List'!$B$2:$I$991,7,0),"")</f>
        <v/>
      </c>
      <c r="I370" s="73" t="str">
        <f>IFERROR(VLOOKUP(F370,'Employees List'!$E$1:$AE$991,6,0),"")</f>
        <v/>
      </c>
      <c r="J370" s="71">
        <f t="shared" si="3"/>
        <v>0</v>
      </c>
      <c r="K370" s="71">
        <f t="shared" si="4"/>
        <v>0</v>
      </c>
      <c r="L370" s="10" t="str">
        <f>IFERROR(VLOOKUP(B370,'Employees List'!$A$2:$K$991,11,0),"")</f>
        <v/>
      </c>
      <c r="M370" s="74" t="str">
        <f>IFERROR(VLOOKUP(D370,'Daily Attendance 25-26'!$A$4:BP999,5,0),"")</f>
        <v/>
      </c>
      <c r="N370" s="10" t="str">
        <f>IFERROR(VLOOKUP(E370,'Daily Attendance 25-26'!$A$1:$BO$1741,5,0),"")</f>
        <v/>
      </c>
      <c r="O370" s="10"/>
      <c r="P370" s="10"/>
      <c r="Q370" s="10" t="str">
        <f t="shared" si="5"/>
        <v>#DIV/0!</v>
      </c>
      <c r="R370" s="10" t="str">
        <f t="shared" si="6"/>
        <v>#DIV/0!</v>
      </c>
      <c r="S370" s="10" t="str">
        <f t="shared" si="23"/>
        <v>#DIV/0!</v>
      </c>
      <c r="T370" s="10" t="str">
        <f t="shared" si="22"/>
        <v>#DIV/0!</v>
      </c>
      <c r="U370" s="10" t="str">
        <f t="shared" si="8"/>
        <v>#DIV/0!</v>
      </c>
      <c r="V370" s="10"/>
      <c r="W370" s="10"/>
      <c r="X370" s="10"/>
      <c r="Y370" s="10"/>
      <c r="Z370" s="10"/>
      <c r="AA370" s="10"/>
      <c r="AB370" s="10"/>
      <c r="AC370" s="10"/>
      <c r="AD370" s="10"/>
      <c r="AE370" s="10"/>
      <c r="AF370" s="10"/>
    </row>
    <row r="371" hidden="1">
      <c r="A371" s="9" t="s">
        <v>588</v>
      </c>
      <c r="B371" s="84"/>
      <c r="C371" s="9"/>
      <c r="D371" s="9" t="str">
        <f t="shared" si="1"/>
        <v/>
      </c>
      <c r="E371" s="10" t="str">
        <f t="shared" si="2"/>
        <v>OT Hours</v>
      </c>
      <c r="F371" s="10" t="str">
        <f>IFERROR(VLOOKUP(C371,'Employees List'!$B$1:$I$999,4,0),"")</f>
        <v/>
      </c>
      <c r="G371" s="10" t="str">
        <f t="shared" si="21"/>
        <v>#DIV/0!</v>
      </c>
      <c r="H371" s="72" t="str">
        <f>IFERROR(VLOOKUP(C371,'Employees List'!$B$2:$I$991,7,0),"")</f>
        <v/>
      </c>
      <c r="I371" s="73" t="str">
        <f>IFERROR(VLOOKUP(F371,'Employees List'!$E$1:$AE$991,6,0),"")</f>
        <v/>
      </c>
      <c r="J371" s="71">
        <f t="shared" si="3"/>
        <v>0</v>
      </c>
      <c r="K371" s="71">
        <f t="shared" si="4"/>
        <v>0</v>
      </c>
      <c r="L371" s="10" t="str">
        <f>IFERROR(VLOOKUP(B371,'Employees List'!$A$2:$K$991,11,0),"")</f>
        <v/>
      </c>
      <c r="M371" s="74" t="str">
        <f>IFERROR(VLOOKUP(D371,'Daily Attendance 25-26'!$A$4:BP999,5,0),"")</f>
        <v/>
      </c>
      <c r="N371" s="10" t="str">
        <f>IFERROR(VLOOKUP(E371,'Daily Attendance 25-26'!$A$1:$BO$1741,5,0),"")</f>
        <v/>
      </c>
      <c r="O371" s="10"/>
      <c r="P371" s="10"/>
      <c r="Q371" s="10" t="str">
        <f t="shared" si="5"/>
        <v>#DIV/0!</v>
      </c>
      <c r="R371" s="10" t="str">
        <f t="shared" si="6"/>
        <v>#DIV/0!</v>
      </c>
      <c r="S371" s="10" t="str">
        <f t="shared" si="23"/>
        <v>#DIV/0!</v>
      </c>
      <c r="T371" s="10" t="str">
        <f t="shared" si="22"/>
        <v>#DIV/0!</v>
      </c>
      <c r="U371" s="10" t="str">
        <f t="shared" si="8"/>
        <v>#DIV/0!</v>
      </c>
      <c r="V371" s="10"/>
      <c r="W371" s="10"/>
      <c r="X371" s="10"/>
      <c r="Y371" s="10"/>
      <c r="Z371" s="10"/>
      <c r="AA371" s="10"/>
      <c r="AB371" s="10"/>
      <c r="AC371" s="10"/>
      <c r="AD371" s="10"/>
      <c r="AE371" s="10"/>
      <c r="AF371" s="10"/>
    </row>
    <row r="372" hidden="1">
      <c r="A372" s="9" t="s">
        <v>589</v>
      </c>
      <c r="B372" s="84"/>
      <c r="C372" s="9"/>
      <c r="D372" s="9" t="str">
        <f t="shared" si="1"/>
        <v/>
      </c>
      <c r="E372" s="10" t="str">
        <f t="shared" si="2"/>
        <v>OT Hours</v>
      </c>
      <c r="F372" s="10" t="str">
        <f>IFERROR(VLOOKUP(C372,'Employees List'!$B$1:$I$999,4,0),"")</f>
        <v/>
      </c>
      <c r="G372" s="10" t="str">
        <f t="shared" si="21"/>
        <v>#DIV/0!</v>
      </c>
      <c r="H372" s="72" t="str">
        <f>IFERROR(VLOOKUP(C372,'Employees List'!$B$2:$I$991,7,0),"")</f>
        <v/>
      </c>
      <c r="I372" s="73" t="str">
        <f>IFERROR(VLOOKUP(F372,'Employees List'!$E$1:$AE$991,6,0),"")</f>
        <v/>
      </c>
      <c r="J372" s="71">
        <f t="shared" si="3"/>
        <v>0</v>
      </c>
      <c r="K372" s="71">
        <f t="shared" si="4"/>
        <v>0</v>
      </c>
      <c r="L372" s="10" t="str">
        <f>IFERROR(VLOOKUP(B372,'Employees List'!$A$2:$K$991,11,0),"")</f>
        <v/>
      </c>
      <c r="M372" s="74" t="str">
        <f>IFERROR(VLOOKUP(D372,'Daily Attendance 25-26'!$A$4:BP999,5,0),"")</f>
        <v/>
      </c>
      <c r="N372" s="10" t="str">
        <f>IFERROR(VLOOKUP(E372,'Daily Attendance 25-26'!$A$1:$BO$1741,5,0),"")</f>
        <v/>
      </c>
      <c r="O372" s="10"/>
      <c r="P372" s="10"/>
      <c r="Q372" s="10" t="str">
        <f t="shared" si="5"/>
        <v>#DIV/0!</v>
      </c>
      <c r="R372" s="10" t="str">
        <f t="shared" si="6"/>
        <v>#DIV/0!</v>
      </c>
      <c r="S372" s="10" t="str">
        <f t="shared" si="23"/>
        <v>#DIV/0!</v>
      </c>
      <c r="T372" s="10" t="str">
        <f t="shared" si="22"/>
        <v>#DIV/0!</v>
      </c>
      <c r="U372" s="10" t="str">
        <f t="shared" si="8"/>
        <v>#DIV/0!</v>
      </c>
      <c r="V372" s="10"/>
      <c r="W372" s="10"/>
      <c r="X372" s="10"/>
      <c r="Y372" s="10"/>
      <c r="Z372" s="10"/>
      <c r="AA372" s="10"/>
      <c r="AB372" s="10"/>
      <c r="AC372" s="10"/>
      <c r="AD372" s="10"/>
      <c r="AE372" s="10"/>
      <c r="AF372" s="10"/>
    </row>
    <row r="373" hidden="1">
      <c r="A373" s="9" t="s">
        <v>590</v>
      </c>
      <c r="B373" s="84"/>
      <c r="C373" s="9"/>
      <c r="D373" s="9" t="str">
        <f t="shared" si="1"/>
        <v/>
      </c>
      <c r="E373" s="10" t="str">
        <f t="shared" si="2"/>
        <v>OT Hours</v>
      </c>
      <c r="F373" s="10" t="str">
        <f>IFERROR(VLOOKUP(C373,'Employees List'!$B$1:$I$999,4,0),"")</f>
        <v/>
      </c>
      <c r="G373" s="10" t="str">
        <f t="shared" si="21"/>
        <v>#DIV/0!</v>
      </c>
      <c r="H373" s="72" t="str">
        <f>IFERROR(VLOOKUP(C373,'Employees List'!$B$2:$I$991,7,0),"")</f>
        <v/>
      </c>
      <c r="I373" s="73" t="str">
        <f>IFERROR(VLOOKUP(F373,'Employees List'!$E$1:$AE$991,6,0),"")</f>
        <v/>
      </c>
      <c r="J373" s="71">
        <f t="shared" si="3"/>
        <v>0</v>
      </c>
      <c r="K373" s="71">
        <f t="shared" si="4"/>
        <v>0</v>
      </c>
      <c r="L373" s="10" t="str">
        <f>IFERROR(VLOOKUP(B373,'Employees List'!$A$2:$K$991,11,0),"")</f>
        <v/>
      </c>
      <c r="M373" s="74" t="str">
        <f>IFERROR(VLOOKUP(D373,'Daily Attendance 25-26'!$A$4:BP999,5,0),"")</f>
        <v/>
      </c>
      <c r="N373" s="10" t="str">
        <f>IFERROR(VLOOKUP(E373,'Daily Attendance 25-26'!$A$1:$BO$1741,5,0),"")</f>
        <v/>
      </c>
      <c r="O373" s="10"/>
      <c r="P373" s="10"/>
      <c r="Q373" s="10" t="str">
        <f t="shared" si="5"/>
        <v>#DIV/0!</v>
      </c>
      <c r="R373" s="10" t="str">
        <f t="shared" si="6"/>
        <v>#DIV/0!</v>
      </c>
      <c r="S373" s="10" t="str">
        <f t="shared" si="23"/>
        <v>#DIV/0!</v>
      </c>
      <c r="T373" s="10" t="str">
        <f t="shared" si="22"/>
        <v>#DIV/0!</v>
      </c>
      <c r="U373" s="10" t="str">
        <f t="shared" si="8"/>
        <v>#DIV/0!</v>
      </c>
      <c r="V373" s="10"/>
      <c r="W373" s="10"/>
      <c r="X373" s="10"/>
      <c r="Y373" s="10"/>
      <c r="Z373" s="10"/>
      <c r="AA373" s="10"/>
      <c r="AB373" s="10"/>
      <c r="AC373" s="10"/>
      <c r="AD373" s="10"/>
      <c r="AE373" s="10"/>
      <c r="AF373" s="10"/>
    </row>
    <row r="374" hidden="1">
      <c r="A374" s="9" t="s">
        <v>591</v>
      </c>
      <c r="B374" s="84"/>
      <c r="C374" s="9"/>
      <c r="D374" s="9" t="str">
        <f t="shared" si="1"/>
        <v/>
      </c>
      <c r="E374" s="10" t="str">
        <f t="shared" si="2"/>
        <v>OT Hours</v>
      </c>
      <c r="F374" s="10" t="str">
        <f>IFERROR(VLOOKUP(C374,'Employees List'!$B$1:$I$999,4,0),"")</f>
        <v/>
      </c>
      <c r="G374" s="10" t="str">
        <f t="shared" si="21"/>
        <v>#DIV/0!</v>
      </c>
      <c r="H374" s="72" t="str">
        <f>IFERROR(VLOOKUP(C374,'Employees List'!$B$2:$I$991,7,0),"")</f>
        <v/>
      </c>
      <c r="I374" s="73" t="str">
        <f>IFERROR(VLOOKUP(F374,'Employees List'!$E$1:$AE$991,6,0),"")</f>
        <v/>
      </c>
      <c r="J374" s="71">
        <f t="shared" si="3"/>
        <v>0</v>
      </c>
      <c r="K374" s="71">
        <f t="shared" si="4"/>
        <v>0</v>
      </c>
      <c r="L374" s="10" t="str">
        <f>IFERROR(VLOOKUP(B374,'Employees List'!$A$2:$K$991,11,0),"")</f>
        <v/>
      </c>
      <c r="M374" s="74" t="str">
        <f>IFERROR(VLOOKUP(D374,'Daily Attendance 25-26'!$A$4:BP999,5,0),"")</f>
        <v/>
      </c>
      <c r="N374" s="10" t="str">
        <f>IFERROR(VLOOKUP(E374,'Daily Attendance 25-26'!$A$1:$BO$1741,5,0),"")</f>
        <v/>
      </c>
      <c r="O374" s="10"/>
      <c r="P374" s="10"/>
      <c r="Q374" s="10" t="str">
        <f t="shared" si="5"/>
        <v>#DIV/0!</v>
      </c>
      <c r="R374" s="10" t="str">
        <f t="shared" si="6"/>
        <v>#DIV/0!</v>
      </c>
      <c r="S374" s="10" t="str">
        <f t="shared" si="23"/>
        <v>#DIV/0!</v>
      </c>
      <c r="T374" s="10" t="str">
        <f t="shared" si="22"/>
        <v>#DIV/0!</v>
      </c>
      <c r="U374" s="10" t="str">
        <f t="shared" si="8"/>
        <v>#DIV/0!</v>
      </c>
      <c r="V374" s="10"/>
      <c r="W374" s="10"/>
      <c r="X374" s="10"/>
      <c r="Y374" s="10"/>
      <c r="Z374" s="10"/>
      <c r="AA374" s="10"/>
      <c r="AB374" s="10"/>
      <c r="AC374" s="10"/>
      <c r="AD374" s="10"/>
      <c r="AE374" s="10"/>
      <c r="AF374" s="10"/>
    </row>
    <row r="375" hidden="1">
      <c r="A375" s="9" t="s">
        <v>592</v>
      </c>
      <c r="B375" s="84"/>
      <c r="C375" s="9"/>
      <c r="D375" s="9" t="str">
        <f t="shared" si="1"/>
        <v/>
      </c>
      <c r="E375" s="10" t="str">
        <f t="shared" si="2"/>
        <v>OT Hours</v>
      </c>
      <c r="F375" s="10" t="str">
        <f>IFERROR(VLOOKUP(C375,'Employees List'!$B$1:$I$999,4,0),"")</f>
        <v/>
      </c>
      <c r="G375" s="10" t="str">
        <f t="shared" si="21"/>
        <v>#DIV/0!</v>
      </c>
      <c r="H375" s="72" t="str">
        <f>IFERROR(VLOOKUP(C375,'Employees List'!$B$2:$I$991,7,0),"")</f>
        <v/>
      </c>
      <c r="I375" s="73" t="str">
        <f>IFERROR(VLOOKUP(F375,'Employees List'!$E$1:$AE$991,6,0),"")</f>
        <v/>
      </c>
      <c r="J375" s="71">
        <f t="shared" si="3"/>
        <v>0</v>
      </c>
      <c r="K375" s="71">
        <f t="shared" si="4"/>
        <v>0</v>
      </c>
      <c r="L375" s="10" t="str">
        <f>IFERROR(VLOOKUP(B375,'Employees List'!$A$2:$K$991,11,0),"")</f>
        <v/>
      </c>
      <c r="M375" s="74" t="str">
        <f>IFERROR(VLOOKUP(D375,'Daily Attendance 25-26'!$A$4:BP999,5,0),"")</f>
        <v/>
      </c>
      <c r="N375" s="10" t="str">
        <f>IFERROR(VLOOKUP(E375,'Daily Attendance 25-26'!$A$1:$BO$1741,5,0),"")</f>
        <v/>
      </c>
      <c r="O375" s="10"/>
      <c r="P375" s="10"/>
      <c r="Q375" s="10" t="str">
        <f t="shared" si="5"/>
        <v>#DIV/0!</v>
      </c>
      <c r="R375" s="10" t="str">
        <f t="shared" si="6"/>
        <v>#DIV/0!</v>
      </c>
      <c r="S375" s="10" t="str">
        <f t="shared" si="23"/>
        <v>#DIV/0!</v>
      </c>
      <c r="T375" s="10" t="str">
        <f t="shared" si="22"/>
        <v>#DIV/0!</v>
      </c>
      <c r="U375" s="10" t="str">
        <f t="shared" si="8"/>
        <v>#DIV/0!</v>
      </c>
      <c r="V375" s="10"/>
      <c r="W375" s="10"/>
      <c r="X375" s="10"/>
      <c r="Y375" s="10"/>
      <c r="Z375" s="10"/>
      <c r="AA375" s="10"/>
      <c r="AB375" s="10"/>
      <c r="AC375" s="10"/>
      <c r="AD375" s="10"/>
      <c r="AE375" s="10"/>
      <c r="AF375" s="10"/>
    </row>
    <row r="376" hidden="1">
      <c r="A376" s="9" t="s">
        <v>593</v>
      </c>
      <c r="B376" s="84"/>
      <c r="C376" s="9"/>
      <c r="D376" s="9" t="str">
        <f t="shared" si="1"/>
        <v/>
      </c>
      <c r="E376" s="10" t="str">
        <f t="shared" si="2"/>
        <v>OT Hours</v>
      </c>
      <c r="F376" s="10" t="str">
        <f>IFERROR(VLOOKUP(C376,'Employees List'!$B$1:$I$999,4,0),"")</f>
        <v/>
      </c>
      <c r="G376" s="10" t="str">
        <f t="shared" si="21"/>
        <v>#DIV/0!</v>
      </c>
      <c r="H376" s="72" t="str">
        <f>IFERROR(VLOOKUP(C376,'Employees List'!$B$2:$I$991,7,0),"")</f>
        <v/>
      </c>
      <c r="I376" s="73" t="str">
        <f>IFERROR(VLOOKUP(F376,'Employees List'!$E$1:$AE$991,6,0),"")</f>
        <v/>
      </c>
      <c r="J376" s="71">
        <f t="shared" si="3"/>
        <v>0</v>
      </c>
      <c r="K376" s="71">
        <f t="shared" si="4"/>
        <v>0</v>
      </c>
      <c r="L376" s="10" t="str">
        <f>IFERROR(VLOOKUP(B376,'Employees List'!$A$2:$K$991,11,0),"")</f>
        <v/>
      </c>
      <c r="M376" s="74" t="str">
        <f>IFERROR(VLOOKUP(D376,'Daily Attendance 25-26'!$A$4:BP999,5,0),"")</f>
        <v/>
      </c>
      <c r="N376" s="10" t="str">
        <f>IFERROR(VLOOKUP(E376,'Daily Attendance 25-26'!$A$1:$BO$1741,5,0),"")</f>
        <v/>
      </c>
      <c r="O376" s="10"/>
      <c r="P376" s="10"/>
      <c r="Q376" s="10" t="str">
        <f t="shared" si="5"/>
        <v>#DIV/0!</v>
      </c>
      <c r="R376" s="10" t="str">
        <f t="shared" si="6"/>
        <v>#DIV/0!</v>
      </c>
      <c r="S376" s="10" t="str">
        <f t="shared" si="23"/>
        <v>#DIV/0!</v>
      </c>
      <c r="T376" s="10" t="str">
        <f t="shared" si="22"/>
        <v>#DIV/0!</v>
      </c>
      <c r="U376" s="10" t="str">
        <f t="shared" si="8"/>
        <v>#DIV/0!</v>
      </c>
      <c r="V376" s="10"/>
      <c r="W376" s="10"/>
      <c r="X376" s="10"/>
      <c r="Y376" s="10"/>
      <c r="Z376" s="10"/>
      <c r="AA376" s="10"/>
      <c r="AB376" s="10"/>
      <c r="AC376" s="10"/>
      <c r="AD376" s="10"/>
      <c r="AE376" s="10"/>
      <c r="AF376" s="10"/>
    </row>
    <row r="377" hidden="1">
      <c r="A377" s="9" t="s">
        <v>594</v>
      </c>
      <c r="B377" s="84"/>
      <c r="C377" s="9"/>
      <c r="D377" s="9" t="str">
        <f t="shared" si="1"/>
        <v/>
      </c>
      <c r="E377" s="10" t="str">
        <f t="shared" si="2"/>
        <v>OT Hours</v>
      </c>
      <c r="F377" s="10" t="str">
        <f>IFERROR(VLOOKUP(C377,'Employees List'!$B$1:$I$999,4,0),"")</f>
        <v/>
      </c>
      <c r="G377" s="10" t="str">
        <f t="shared" si="21"/>
        <v>#DIV/0!</v>
      </c>
      <c r="H377" s="72" t="str">
        <f>IFERROR(VLOOKUP(C377,'Employees List'!$B$2:$I$991,7,0),"")</f>
        <v/>
      </c>
      <c r="I377" s="73" t="str">
        <f>IFERROR(VLOOKUP(F377,'Employees List'!$E$1:$AE$991,6,0),"")</f>
        <v/>
      </c>
      <c r="J377" s="71">
        <f t="shared" si="3"/>
        <v>0</v>
      </c>
      <c r="K377" s="71">
        <f t="shared" si="4"/>
        <v>0</v>
      </c>
      <c r="L377" s="10" t="str">
        <f>IFERROR(VLOOKUP(B377,'Employees List'!$A$2:$K$991,11,0),"")</f>
        <v/>
      </c>
      <c r="M377" s="74" t="str">
        <f>IFERROR(VLOOKUP(D377,'Daily Attendance 25-26'!$A$4:BP999,5,0),"")</f>
        <v/>
      </c>
      <c r="N377" s="10" t="str">
        <f>IFERROR(VLOOKUP(E377,'Daily Attendance 25-26'!$A$1:$BO$1741,5,0),"")</f>
        <v/>
      </c>
      <c r="O377" s="10"/>
      <c r="P377" s="10"/>
      <c r="Q377" s="10" t="str">
        <f t="shared" si="5"/>
        <v>#DIV/0!</v>
      </c>
      <c r="R377" s="10" t="str">
        <f t="shared" si="6"/>
        <v>#DIV/0!</v>
      </c>
      <c r="S377" s="10" t="str">
        <f t="shared" si="23"/>
        <v>#DIV/0!</v>
      </c>
      <c r="T377" s="10" t="str">
        <f t="shared" si="22"/>
        <v>#DIV/0!</v>
      </c>
      <c r="U377" s="10" t="str">
        <f t="shared" si="8"/>
        <v>#DIV/0!</v>
      </c>
      <c r="V377" s="10"/>
      <c r="W377" s="10"/>
      <c r="X377" s="10"/>
      <c r="Y377" s="10"/>
      <c r="Z377" s="10"/>
      <c r="AA377" s="10"/>
      <c r="AB377" s="10"/>
      <c r="AC377" s="10"/>
      <c r="AD377" s="10"/>
      <c r="AE377" s="10"/>
      <c r="AF377" s="10"/>
    </row>
    <row r="378" hidden="1">
      <c r="A378" s="9" t="s">
        <v>595</v>
      </c>
      <c r="B378" s="84"/>
      <c r="C378" s="9"/>
      <c r="D378" s="9" t="str">
        <f t="shared" si="1"/>
        <v/>
      </c>
      <c r="E378" s="10" t="str">
        <f t="shared" si="2"/>
        <v>OT Hours</v>
      </c>
      <c r="F378" s="10" t="str">
        <f>IFERROR(VLOOKUP(C378,'Employees List'!$B$1:$I$999,4,0),"")</f>
        <v/>
      </c>
      <c r="G378" s="10" t="str">
        <f t="shared" si="21"/>
        <v>#DIV/0!</v>
      </c>
      <c r="H378" s="72" t="str">
        <f>IFERROR(VLOOKUP(C378,'Employees List'!$B$2:$I$991,7,0),"")</f>
        <v/>
      </c>
      <c r="I378" s="73" t="str">
        <f>IFERROR(VLOOKUP(F378,'Employees List'!$E$1:$AE$991,6,0),"")</f>
        <v/>
      </c>
      <c r="J378" s="71">
        <f t="shared" si="3"/>
        <v>0</v>
      </c>
      <c r="K378" s="71">
        <f t="shared" si="4"/>
        <v>0</v>
      </c>
      <c r="L378" s="10" t="str">
        <f>IFERROR(VLOOKUP(B378,'Employees List'!$A$2:$K$991,11,0),"")</f>
        <v/>
      </c>
      <c r="M378" s="74" t="str">
        <f>IFERROR(VLOOKUP(D378,'Daily Attendance 25-26'!$A$4:BP999,5,0),"")</f>
        <v/>
      </c>
      <c r="N378" s="10" t="str">
        <f>IFERROR(VLOOKUP(E378,'Daily Attendance 25-26'!$A$1:$BO$1741,5,0),"")</f>
        <v/>
      </c>
      <c r="O378" s="10"/>
      <c r="P378" s="10"/>
      <c r="Q378" s="10" t="str">
        <f t="shared" si="5"/>
        <v>#DIV/0!</v>
      </c>
      <c r="R378" s="10" t="str">
        <f t="shared" si="6"/>
        <v>#DIV/0!</v>
      </c>
      <c r="S378" s="10" t="str">
        <f t="shared" si="23"/>
        <v>#DIV/0!</v>
      </c>
      <c r="T378" s="10" t="str">
        <f t="shared" si="22"/>
        <v>#DIV/0!</v>
      </c>
      <c r="U378" s="10" t="str">
        <f t="shared" si="8"/>
        <v>#DIV/0!</v>
      </c>
      <c r="V378" s="10"/>
      <c r="W378" s="10"/>
      <c r="X378" s="10"/>
      <c r="Y378" s="10"/>
      <c r="Z378" s="10"/>
      <c r="AA378" s="10"/>
      <c r="AB378" s="10"/>
      <c r="AC378" s="10"/>
      <c r="AD378" s="10"/>
      <c r="AE378" s="10"/>
      <c r="AF378" s="10"/>
    </row>
    <row r="379" hidden="1">
      <c r="A379" s="9" t="s">
        <v>596</v>
      </c>
      <c r="B379" s="84"/>
      <c r="C379" s="9"/>
      <c r="D379" s="9" t="str">
        <f t="shared" si="1"/>
        <v/>
      </c>
      <c r="E379" s="10" t="str">
        <f t="shared" si="2"/>
        <v>OT Hours</v>
      </c>
      <c r="F379" s="10" t="str">
        <f>IFERROR(VLOOKUP(C379,'Employees List'!$B$1:$I$999,4,0),"")</f>
        <v/>
      </c>
      <c r="G379" s="10" t="str">
        <f t="shared" si="21"/>
        <v>#DIV/0!</v>
      </c>
      <c r="H379" s="72" t="str">
        <f>IFERROR(VLOOKUP(C379,'Employees List'!$B$2:$I$991,7,0),"")</f>
        <v/>
      </c>
      <c r="I379" s="73" t="str">
        <f>IFERROR(VLOOKUP(F379,'Employees List'!$E$1:$AE$991,6,0),"")</f>
        <v/>
      </c>
      <c r="J379" s="71">
        <f t="shared" si="3"/>
        <v>0</v>
      </c>
      <c r="K379" s="71">
        <f t="shared" si="4"/>
        <v>0</v>
      </c>
      <c r="L379" s="10" t="str">
        <f>IFERROR(VLOOKUP(B379,'Employees List'!$A$2:$K$991,11,0),"")</f>
        <v/>
      </c>
      <c r="M379" s="74" t="str">
        <f>IFERROR(VLOOKUP(D379,'Daily Attendance 25-26'!$A$4:BP999,5,0),"")</f>
        <v/>
      </c>
      <c r="N379" s="10" t="str">
        <f>IFERROR(VLOOKUP(E379,'Daily Attendance 25-26'!$A$1:$BO$1741,5,0),"")</f>
        <v/>
      </c>
      <c r="O379" s="10"/>
      <c r="P379" s="10"/>
      <c r="Q379" s="10" t="str">
        <f t="shared" si="5"/>
        <v>#DIV/0!</v>
      </c>
      <c r="R379" s="10" t="str">
        <f t="shared" si="6"/>
        <v>#DIV/0!</v>
      </c>
      <c r="S379" s="10" t="str">
        <f t="shared" si="23"/>
        <v>#DIV/0!</v>
      </c>
      <c r="T379" s="10" t="str">
        <f t="shared" si="22"/>
        <v>#DIV/0!</v>
      </c>
      <c r="U379" s="10" t="str">
        <f t="shared" si="8"/>
        <v>#DIV/0!</v>
      </c>
      <c r="V379" s="10"/>
      <c r="W379" s="10"/>
      <c r="X379" s="10"/>
      <c r="Y379" s="10"/>
      <c r="Z379" s="10"/>
      <c r="AA379" s="10"/>
      <c r="AB379" s="10"/>
      <c r="AC379" s="10"/>
      <c r="AD379" s="10"/>
      <c r="AE379" s="10"/>
      <c r="AF379" s="10"/>
    </row>
    <row r="380" hidden="1">
      <c r="A380" s="9" t="s">
        <v>597</v>
      </c>
      <c r="B380" s="84"/>
      <c r="C380" s="9"/>
      <c r="D380" s="9" t="str">
        <f t="shared" si="1"/>
        <v/>
      </c>
      <c r="E380" s="10" t="str">
        <f t="shared" si="2"/>
        <v>OT Hours</v>
      </c>
      <c r="F380" s="10" t="str">
        <f>IFERROR(VLOOKUP(C380,'Employees List'!$B$1:$I$999,4,0),"")</f>
        <v/>
      </c>
      <c r="G380" s="10" t="str">
        <f t="shared" si="21"/>
        <v>#DIV/0!</v>
      </c>
      <c r="H380" s="72" t="str">
        <f>IFERROR(VLOOKUP(C380,'Employees List'!$B$2:$I$991,7,0),"")</f>
        <v/>
      </c>
      <c r="I380" s="73" t="str">
        <f>IFERROR(VLOOKUP(F380,'Employees List'!$E$1:$AE$991,6,0),"")</f>
        <v/>
      </c>
      <c r="J380" s="71">
        <f t="shared" si="3"/>
        <v>0</v>
      </c>
      <c r="K380" s="71">
        <f t="shared" si="4"/>
        <v>0</v>
      </c>
      <c r="L380" s="10" t="str">
        <f>IFERROR(VLOOKUP(B380,'Employees List'!$A$2:$K$991,11,0),"")</f>
        <v/>
      </c>
      <c r="M380" s="74" t="str">
        <f>IFERROR(VLOOKUP(D380,'Daily Attendance 25-26'!$A$4:BP999,5,0),"")</f>
        <v/>
      </c>
      <c r="N380" s="10" t="str">
        <f>IFERROR(VLOOKUP(E380,'Daily Attendance 25-26'!$A$1:$BO$1741,5,0),"")</f>
        <v/>
      </c>
      <c r="O380" s="10"/>
      <c r="P380" s="10"/>
      <c r="Q380" s="10" t="str">
        <f t="shared" si="5"/>
        <v>#DIV/0!</v>
      </c>
      <c r="R380" s="10" t="str">
        <f t="shared" si="6"/>
        <v>#DIV/0!</v>
      </c>
      <c r="S380" s="10" t="str">
        <f t="shared" si="23"/>
        <v>#DIV/0!</v>
      </c>
      <c r="T380" s="10" t="str">
        <f t="shared" si="22"/>
        <v>#DIV/0!</v>
      </c>
      <c r="U380" s="10" t="str">
        <f t="shared" si="8"/>
        <v>#DIV/0!</v>
      </c>
      <c r="V380" s="10"/>
      <c r="W380" s="10"/>
      <c r="X380" s="10"/>
      <c r="Y380" s="10"/>
      <c r="Z380" s="10"/>
      <c r="AA380" s="10"/>
      <c r="AB380" s="10"/>
      <c r="AC380" s="10"/>
      <c r="AD380" s="10"/>
      <c r="AE380" s="10"/>
      <c r="AF380" s="10"/>
    </row>
    <row r="381" hidden="1">
      <c r="A381" s="9" t="s">
        <v>598</v>
      </c>
      <c r="B381" s="84"/>
      <c r="C381" s="9"/>
      <c r="D381" s="9" t="str">
        <f t="shared" si="1"/>
        <v/>
      </c>
      <c r="E381" s="10" t="str">
        <f t="shared" si="2"/>
        <v>OT Hours</v>
      </c>
      <c r="F381" s="10" t="str">
        <f>IFERROR(VLOOKUP(C381,'Employees List'!$B$1:$I$999,4,0),"")</f>
        <v/>
      </c>
      <c r="G381" s="10" t="str">
        <f t="shared" si="21"/>
        <v>#DIV/0!</v>
      </c>
      <c r="H381" s="72" t="str">
        <f>IFERROR(VLOOKUP(C381,'Employees List'!$B$2:$I$991,7,0),"")</f>
        <v/>
      </c>
      <c r="I381" s="73" t="str">
        <f>IFERROR(VLOOKUP(F381,'Employees List'!$E$1:$AE$991,6,0),"")</f>
        <v/>
      </c>
      <c r="J381" s="71">
        <f t="shared" si="3"/>
        <v>0</v>
      </c>
      <c r="K381" s="71">
        <f t="shared" si="4"/>
        <v>0</v>
      </c>
      <c r="L381" s="10" t="str">
        <f>IFERROR(VLOOKUP(B381,'Employees List'!$A$2:$K$991,11,0),"")</f>
        <v/>
      </c>
      <c r="M381" s="74" t="str">
        <f>IFERROR(VLOOKUP(D381,'Daily Attendance 25-26'!$A$4:BP999,5,0),"")</f>
        <v/>
      </c>
      <c r="N381" s="10" t="str">
        <f>IFERROR(VLOOKUP(E381,'Daily Attendance 25-26'!$A$1:$BO$1741,5,0),"")</f>
        <v/>
      </c>
      <c r="O381" s="10"/>
      <c r="P381" s="10"/>
      <c r="Q381" s="10" t="str">
        <f t="shared" si="5"/>
        <v>#DIV/0!</v>
      </c>
      <c r="R381" s="10" t="str">
        <f t="shared" si="6"/>
        <v>#DIV/0!</v>
      </c>
      <c r="S381" s="10" t="str">
        <f t="shared" si="23"/>
        <v>#DIV/0!</v>
      </c>
      <c r="T381" s="10" t="str">
        <f t="shared" si="22"/>
        <v>#DIV/0!</v>
      </c>
      <c r="U381" s="10" t="str">
        <f t="shared" si="8"/>
        <v>#DIV/0!</v>
      </c>
      <c r="V381" s="10"/>
      <c r="W381" s="10"/>
      <c r="X381" s="10"/>
      <c r="Y381" s="10"/>
      <c r="Z381" s="10"/>
      <c r="AA381" s="10"/>
      <c r="AB381" s="10"/>
      <c r="AC381" s="10"/>
      <c r="AD381" s="10"/>
      <c r="AE381" s="10"/>
      <c r="AF381" s="10"/>
    </row>
    <row r="382" hidden="1">
      <c r="A382" s="9" t="s">
        <v>599</v>
      </c>
      <c r="B382" s="84"/>
      <c r="C382" s="9"/>
      <c r="D382" s="9" t="str">
        <f t="shared" si="1"/>
        <v/>
      </c>
      <c r="E382" s="10" t="str">
        <f t="shared" si="2"/>
        <v>OT Hours</v>
      </c>
      <c r="F382" s="10" t="str">
        <f>IFERROR(VLOOKUP(C382,'Employees List'!$B$1:$I$999,4,0),"")</f>
        <v/>
      </c>
      <c r="G382" s="10" t="str">
        <f t="shared" si="21"/>
        <v>#DIV/0!</v>
      </c>
      <c r="H382" s="72" t="str">
        <f>IFERROR(VLOOKUP(C382,'Employees List'!$B$2:$I$991,7,0),"")</f>
        <v/>
      </c>
      <c r="I382" s="73" t="str">
        <f>IFERROR(VLOOKUP(F382,'Employees List'!$E$1:$AE$991,6,0),"")</f>
        <v/>
      </c>
      <c r="J382" s="71">
        <f t="shared" si="3"/>
        <v>0</v>
      </c>
      <c r="K382" s="71">
        <f t="shared" si="4"/>
        <v>0</v>
      </c>
      <c r="L382" s="10" t="str">
        <f>IFERROR(VLOOKUP(B382,'Employees List'!$A$2:$K$991,11,0),"")</f>
        <v/>
      </c>
      <c r="M382" s="74" t="str">
        <f>IFERROR(VLOOKUP(D382,'Daily Attendance 25-26'!$A$4:BP999,5,0),"")</f>
        <v/>
      </c>
      <c r="N382" s="10" t="str">
        <f>IFERROR(VLOOKUP(E382,'Daily Attendance 25-26'!$A$1:$BO$1741,5,0),"")</f>
        <v/>
      </c>
      <c r="O382" s="10"/>
      <c r="P382" s="10"/>
      <c r="Q382" s="10" t="str">
        <f t="shared" si="5"/>
        <v>#DIV/0!</v>
      </c>
      <c r="R382" s="10" t="str">
        <f t="shared" si="6"/>
        <v>#DIV/0!</v>
      </c>
      <c r="S382" s="10" t="str">
        <f t="shared" si="23"/>
        <v>#DIV/0!</v>
      </c>
      <c r="T382" s="10" t="str">
        <f t="shared" si="22"/>
        <v>#DIV/0!</v>
      </c>
      <c r="U382" s="10" t="str">
        <f t="shared" si="8"/>
        <v>#DIV/0!</v>
      </c>
      <c r="V382" s="10"/>
      <c r="W382" s="10"/>
      <c r="X382" s="10"/>
      <c r="Y382" s="10"/>
      <c r="Z382" s="10"/>
      <c r="AA382" s="10"/>
      <c r="AB382" s="10"/>
      <c r="AC382" s="10"/>
      <c r="AD382" s="10"/>
      <c r="AE382" s="10"/>
      <c r="AF382" s="10"/>
    </row>
    <row r="383" hidden="1">
      <c r="A383" s="9" t="s">
        <v>600</v>
      </c>
      <c r="B383" s="84"/>
      <c r="C383" s="9"/>
      <c r="D383" s="9" t="str">
        <f t="shared" si="1"/>
        <v/>
      </c>
      <c r="E383" s="10" t="str">
        <f t="shared" si="2"/>
        <v>OT Hours</v>
      </c>
      <c r="F383" s="10" t="str">
        <f>IFERROR(VLOOKUP(C383,'Employees List'!$B$1:$I$999,4,0),"")</f>
        <v/>
      </c>
      <c r="G383" s="10" t="str">
        <f t="shared" si="21"/>
        <v>#DIV/0!</v>
      </c>
      <c r="H383" s="72" t="str">
        <f>IFERROR(VLOOKUP(C383,'Employees List'!$B$2:$I$991,7,0),"")</f>
        <v/>
      </c>
      <c r="I383" s="73" t="str">
        <f>IFERROR(VLOOKUP(F383,'Employees List'!$E$1:$AE$991,6,0),"")</f>
        <v/>
      </c>
      <c r="J383" s="71">
        <f t="shared" si="3"/>
        <v>0</v>
      </c>
      <c r="K383" s="71">
        <f t="shared" si="4"/>
        <v>0</v>
      </c>
      <c r="L383" s="10" t="str">
        <f>IFERROR(VLOOKUP(B383,'Employees List'!$A$2:$K$991,11,0),"")</f>
        <v/>
      </c>
      <c r="M383" s="74" t="str">
        <f>IFERROR(VLOOKUP(D383,'Daily Attendance 25-26'!$A$4:BP999,5,0),"")</f>
        <v/>
      </c>
      <c r="N383" s="10" t="str">
        <f>IFERROR(VLOOKUP(E383,'Daily Attendance 25-26'!$A$1:$BO$1741,5,0),"")</f>
        <v/>
      </c>
      <c r="O383" s="10"/>
      <c r="P383" s="10"/>
      <c r="Q383" s="10" t="str">
        <f t="shared" si="5"/>
        <v>#DIV/0!</v>
      </c>
      <c r="R383" s="10" t="str">
        <f t="shared" si="6"/>
        <v>#DIV/0!</v>
      </c>
      <c r="S383" s="10" t="str">
        <f t="shared" si="23"/>
        <v>#DIV/0!</v>
      </c>
      <c r="T383" s="10" t="str">
        <f t="shared" si="22"/>
        <v>#DIV/0!</v>
      </c>
      <c r="U383" s="10" t="str">
        <f t="shared" si="8"/>
        <v>#DIV/0!</v>
      </c>
      <c r="V383" s="10"/>
      <c r="W383" s="10"/>
      <c r="X383" s="10"/>
      <c r="Y383" s="10"/>
      <c r="Z383" s="10"/>
      <c r="AA383" s="10"/>
      <c r="AB383" s="10"/>
      <c r="AC383" s="10"/>
      <c r="AD383" s="10"/>
      <c r="AE383" s="10"/>
      <c r="AF383" s="10"/>
    </row>
    <row r="384" hidden="1">
      <c r="A384" s="9" t="s">
        <v>601</v>
      </c>
      <c r="B384" s="84"/>
      <c r="C384" s="9"/>
      <c r="D384" s="9" t="str">
        <f t="shared" si="1"/>
        <v/>
      </c>
      <c r="E384" s="10" t="str">
        <f t="shared" si="2"/>
        <v>OT Hours</v>
      </c>
      <c r="F384" s="10" t="str">
        <f>IFERROR(VLOOKUP(C384,'Employees List'!$B$1:$I$999,4,0),"")</f>
        <v/>
      </c>
      <c r="G384" s="10" t="str">
        <f t="shared" si="21"/>
        <v>#DIV/0!</v>
      </c>
      <c r="H384" s="72" t="str">
        <f>IFERROR(VLOOKUP(C384,'Employees List'!$B$2:$I$991,7,0),"")</f>
        <v/>
      </c>
      <c r="I384" s="73" t="str">
        <f>IFERROR(VLOOKUP(F384,'Employees List'!$E$1:$AE$991,6,0),"")</f>
        <v/>
      </c>
      <c r="J384" s="71">
        <f t="shared" si="3"/>
        <v>0</v>
      </c>
      <c r="K384" s="71">
        <f t="shared" si="4"/>
        <v>0</v>
      </c>
      <c r="L384" s="10" t="str">
        <f>IFERROR(VLOOKUP(B384,'Employees List'!$A$2:$K$991,11,0),"")</f>
        <v/>
      </c>
      <c r="M384" s="74" t="str">
        <f>IFERROR(VLOOKUP(D384,'Daily Attendance 25-26'!$A$4:BP999,5,0),"")</f>
        <v/>
      </c>
      <c r="N384" s="10" t="str">
        <f>IFERROR(VLOOKUP(E384,'Daily Attendance 25-26'!$A$1:$BO$1741,5,0),"")</f>
        <v/>
      </c>
      <c r="O384" s="10"/>
      <c r="P384" s="10"/>
      <c r="Q384" s="10" t="str">
        <f t="shared" si="5"/>
        <v>#DIV/0!</v>
      </c>
      <c r="R384" s="10" t="str">
        <f t="shared" si="6"/>
        <v>#DIV/0!</v>
      </c>
      <c r="S384" s="10" t="str">
        <f t="shared" si="23"/>
        <v>#DIV/0!</v>
      </c>
      <c r="T384" s="10" t="str">
        <f t="shared" si="22"/>
        <v>#DIV/0!</v>
      </c>
      <c r="U384" s="10" t="str">
        <f t="shared" si="8"/>
        <v>#DIV/0!</v>
      </c>
      <c r="V384" s="10"/>
      <c r="W384" s="10"/>
      <c r="X384" s="10"/>
      <c r="Y384" s="10"/>
      <c r="Z384" s="10"/>
      <c r="AA384" s="10"/>
      <c r="AB384" s="10"/>
      <c r="AC384" s="10"/>
      <c r="AD384" s="10"/>
      <c r="AE384" s="10"/>
      <c r="AF384" s="10"/>
    </row>
    <row r="385" hidden="1">
      <c r="A385" s="9" t="s">
        <v>602</v>
      </c>
      <c r="B385" s="84"/>
      <c r="C385" s="9"/>
      <c r="D385" s="9" t="str">
        <f t="shared" si="1"/>
        <v/>
      </c>
      <c r="E385" s="10" t="str">
        <f t="shared" si="2"/>
        <v>OT Hours</v>
      </c>
      <c r="F385" s="10" t="str">
        <f>IFERROR(VLOOKUP(C385,'Employees List'!$B$1:$I$999,4,0),"")</f>
        <v/>
      </c>
      <c r="G385" s="10" t="str">
        <f t="shared" si="21"/>
        <v>#DIV/0!</v>
      </c>
      <c r="H385" s="72" t="str">
        <f>IFERROR(VLOOKUP(C385,'Employees List'!$B$2:$I$991,7,0),"")</f>
        <v/>
      </c>
      <c r="I385" s="73" t="str">
        <f>IFERROR(VLOOKUP(F385,'Employees List'!$E$1:$AE$991,6,0),"")</f>
        <v/>
      </c>
      <c r="J385" s="71">
        <f t="shared" si="3"/>
        <v>0</v>
      </c>
      <c r="K385" s="71">
        <f t="shared" si="4"/>
        <v>0</v>
      </c>
      <c r="L385" s="10" t="str">
        <f>IFERROR(VLOOKUP(B385,'Employees List'!$A$2:$K$991,11,0),"")</f>
        <v/>
      </c>
      <c r="M385" s="74" t="str">
        <f>IFERROR(VLOOKUP(D385,'Daily Attendance 25-26'!$A$4:BP999,5,0),"")</f>
        <v/>
      </c>
      <c r="N385" s="10" t="str">
        <f>IFERROR(VLOOKUP(E385,'Daily Attendance 25-26'!$A$1:$BO$1741,5,0),"")</f>
        <v/>
      </c>
      <c r="O385" s="10"/>
      <c r="P385" s="10"/>
      <c r="Q385" s="10" t="str">
        <f t="shared" si="5"/>
        <v>#DIV/0!</v>
      </c>
      <c r="R385" s="10" t="str">
        <f t="shared" si="6"/>
        <v>#DIV/0!</v>
      </c>
      <c r="S385" s="10" t="str">
        <f t="shared" si="23"/>
        <v>#DIV/0!</v>
      </c>
      <c r="T385" s="10" t="str">
        <f t="shared" si="22"/>
        <v>#DIV/0!</v>
      </c>
      <c r="U385" s="10" t="str">
        <f t="shared" si="8"/>
        <v>#DIV/0!</v>
      </c>
      <c r="V385" s="10"/>
      <c r="W385" s="10"/>
      <c r="X385" s="10"/>
      <c r="Y385" s="10"/>
      <c r="Z385" s="10"/>
      <c r="AA385" s="10"/>
      <c r="AB385" s="10"/>
      <c r="AC385" s="10"/>
      <c r="AD385" s="10"/>
      <c r="AE385" s="10"/>
      <c r="AF385" s="10"/>
    </row>
    <row r="386" hidden="1">
      <c r="A386" s="9" t="s">
        <v>603</v>
      </c>
      <c r="B386" s="84"/>
      <c r="C386" s="9"/>
      <c r="D386" s="9" t="str">
        <f t="shared" si="1"/>
        <v/>
      </c>
      <c r="E386" s="10" t="str">
        <f t="shared" si="2"/>
        <v>OT Hours</v>
      </c>
      <c r="F386" s="10" t="str">
        <f>IFERROR(VLOOKUP(C386,'Employees List'!$B$1:$I$999,4,0),"")</f>
        <v/>
      </c>
      <c r="G386" s="10" t="str">
        <f t="shared" si="21"/>
        <v>#DIV/0!</v>
      </c>
      <c r="H386" s="72" t="str">
        <f>IFERROR(VLOOKUP(C386,'Employees List'!$B$2:$I$991,7,0),"")</f>
        <v/>
      </c>
      <c r="I386" s="73" t="str">
        <f>IFERROR(VLOOKUP(F386,'Employees List'!$E$1:$AE$991,6,0),"")</f>
        <v/>
      </c>
      <c r="J386" s="71">
        <f t="shared" si="3"/>
        <v>0</v>
      </c>
      <c r="K386" s="71">
        <f t="shared" si="4"/>
        <v>0</v>
      </c>
      <c r="L386" s="10" t="str">
        <f>IFERROR(VLOOKUP(B386,'Employees List'!$A$2:$K$991,11,0),"")</f>
        <v/>
      </c>
      <c r="M386" s="74" t="str">
        <f>IFERROR(VLOOKUP(D386,'Daily Attendance 25-26'!$A$4:BP999,5,0),"")</f>
        <v/>
      </c>
      <c r="N386" s="10" t="str">
        <f>IFERROR(VLOOKUP(E386,'Daily Attendance 25-26'!$A$1:$BO$1741,5,0),"")</f>
        <v/>
      </c>
      <c r="O386" s="10"/>
      <c r="P386" s="10"/>
      <c r="Q386" s="10" t="str">
        <f t="shared" si="5"/>
        <v>#DIV/0!</v>
      </c>
      <c r="R386" s="10" t="str">
        <f t="shared" si="6"/>
        <v>#DIV/0!</v>
      </c>
      <c r="S386" s="10" t="str">
        <f t="shared" si="23"/>
        <v>#DIV/0!</v>
      </c>
      <c r="T386" s="10" t="str">
        <f t="shared" si="22"/>
        <v>#DIV/0!</v>
      </c>
      <c r="U386" s="10" t="str">
        <f t="shared" si="8"/>
        <v>#DIV/0!</v>
      </c>
      <c r="V386" s="10"/>
      <c r="W386" s="10"/>
      <c r="X386" s="10"/>
      <c r="Y386" s="10"/>
      <c r="Z386" s="10"/>
      <c r="AA386" s="10"/>
      <c r="AB386" s="10"/>
      <c r="AC386" s="10"/>
      <c r="AD386" s="10"/>
      <c r="AE386" s="10"/>
      <c r="AF386" s="10"/>
    </row>
    <row r="387" hidden="1">
      <c r="A387" s="9" t="s">
        <v>604</v>
      </c>
      <c r="B387" s="84"/>
      <c r="C387" s="9"/>
      <c r="D387" s="9" t="str">
        <f t="shared" si="1"/>
        <v/>
      </c>
      <c r="E387" s="10" t="str">
        <f t="shared" si="2"/>
        <v>OT Hours</v>
      </c>
      <c r="F387" s="10" t="str">
        <f>IFERROR(VLOOKUP(C387,'Employees List'!$B$1:$I$999,4,0),"")</f>
        <v/>
      </c>
      <c r="G387" s="10" t="str">
        <f t="shared" si="21"/>
        <v>#DIV/0!</v>
      </c>
      <c r="H387" s="72" t="str">
        <f>IFERROR(VLOOKUP(C387,'Employees List'!$B$2:$I$991,7,0),"")</f>
        <v/>
      </c>
      <c r="I387" s="73" t="str">
        <f>IFERROR(VLOOKUP(F387,'Employees List'!$E$1:$AE$991,6,0),"")</f>
        <v/>
      </c>
      <c r="J387" s="71">
        <f t="shared" si="3"/>
        <v>0</v>
      </c>
      <c r="K387" s="71">
        <f t="shared" si="4"/>
        <v>0</v>
      </c>
      <c r="L387" s="10" t="str">
        <f>IFERROR(VLOOKUP(B387,'Employees List'!$A$2:$K$991,11,0),"")</f>
        <v/>
      </c>
      <c r="M387" s="74" t="str">
        <f>IFERROR(VLOOKUP(D387,'Daily Attendance 25-26'!$A$4:BP999,5,0),"")</f>
        <v/>
      </c>
      <c r="N387" s="10" t="str">
        <f>IFERROR(VLOOKUP(E387,'Daily Attendance 25-26'!$A$1:$BO$1741,5,0),"")</f>
        <v/>
      </c>
      <c r="O387" s="10"/>
      <c r="P387" s="10"/>
      <c r="Q387" s="10" t="str">
        <f t="shared" si="5"/>
        <v>#DIV/0!</v>
      </c>
      <c r="R387" s="10" t="str">
        <f t="shared" si="6"/>
        <v>#DIV/0!</v>
      </c>
      <c r="S387" s="10" t="str">
        <f t="shared" si="23"/>
        <v>#DIV/0!</v>
      </c>
      <c r="T387" s="10" t="str">
        <f t="shared" si="22"/>
        <v>#DIV/0!</v>
      </c>
      <c r="U387" s="10" t="str">
        <f t="shared" si="8"/>
        <v>#DIV/0!</v>
      </c>
      <c r="V387" s="10"/>
      <c r="W387" s="10"/>
      <c r="X387" s="10"/>
      <c r="Y387" s="10"/>
      <c r="Z387" s="10"/>
      <c r="AA387" s="10"/>
      <c r="AB387" s="10"/>
      <c r="AC387" s="10"/>
      <c r="AD387" s="10"/>
      <c r="AE387" s="10"/>
      <c r="AF387" s="10"/>
    </row>
    <row r="388" hidden="1">
      <c r="A388" s="9" t="s">
        <v>605</v>
      </c>
      <c r="B388" s="84"/>
      <c r="C388" s="9"/>
      <c r="D388" s="9" t="str">
        <f t="shared" si="1"/>
        <v/>
      </c>
      <c r="E388" s="10" t="str">
        <f t="shared" si="2"/>
        <v>OT Hours</v>
      </c>
      <c r="F388" s="10" t="str">
        <f>IFERROR(VLOOKUP(C388,'Employees List'!$B$1:$I$999,4,0),"")</f>
        <v/>
      </c>
      <c r="G388" s="10" t="str">
        <f t="shared" si="21"/>
        <v>#DIV/0!</v>
      </c>
      <c r="H388" s="72" t="str">
        <f>IFERROR(VLOOKUP(C388,'Employees List'!$B$2:$I$991,7,0),"")</f>
        <v/>
      </c>
      <c r="I388" s="73" t="str">
        <f>IFERROR(VLOOKUP(F388,'Employees List'!$E$1:$AE$991,6,0),"")</f>
        <v/>
      </c>
      <c r="J388" s="71">
        <f t="shared" si="3"/>
        <v>0</v>
      </c>
      <c r="K388" s="71">
        <f t="shared" si="4"/>
        <v>0</v>
      </c>
      <c r="L388" s="10" t="str">
        <f>IFERROR(VLOOKUP(B388,'Employees List'!$A$2:$K$991,11,0),"")</f>
        <v/>
      </c>
      <c r="M388" s="74" t="str">
        <f>IFERROR(VLOOKUP(D388,'Daily Attendance 25-26'!$A$4:BP999,5,0),"")</f>
        <v/>
      </c>
      <c r="N388" s="10" t="str">
        <f>IFERROR(VLOOKUP(E388,'Daily Attendance 25-26'!$A$1:$BO$1741,5,0),"")</f>
        <v/>
      </c>
      <c r="O388" s="10"/>
      <c r="P388" s="10"/>
      <c r="Q388" s="10" t="str">
        <f t="shared" si="5"/>
        <v>#DIV/0!</v>
      </c>
      <c r="R388" s="10" t="str">
        <f t="shared" si="6"/>
        <v>#DIV/0!</v>
      </c>
      <c r="S388" s="10" t="str">
        <f t="shared" si="23"/>
        <v>#DIV/0!</v>
      </c>
      <c r="T388" s="10" t="str">
        <f t="shared" si="22"/>
        <v>#DIV/0!</v>
      </c>
      <c r="U388" s="10" t="str">
        <f t="shared" si="8"/>
        <v>#DIV/0!</v>
      </c>
      <c r="V388" s="10"/>
      <c r="W388" s="10"/>
      <c r="X388" s="10"/>
      <c r="Y388" s="10"/>
      <c r="Z388" s="10"/>
      <c r="AA388" s="10"/>
      <c r="AB388" s="10"/>
      <c r="AC388" s="10"/>
      <c r="AD388" s="10"/>
      <c r="AE388" s="10"/>
      <c r="AF388" s="10"/>
    </row>
    <row r="389" hidden="1">
      <c r="A389" s="9" t="s">
        <v>606</v>
      </c>
      <c r="B389" s="84"/>
      <c r="C389" s="9"/>
      <c r="D389" s="9" t="str">
        <f t="shared" si="1"/>
        <v/>
      </c>
      <c r="E389" s="10" t="str">
        <f t="shared" si="2"/>
        <v>OT Hours</v>
      </c>
      <c r="F389" s="10" t="str">
        <f>IFERROR(VLOOKUP(C389,'Employees List'!$B$1:$I$999,4,0),"")</f>
        <v/>
      </c>
      <c r="G389" s="10" t="str">
        <f t="shared" si="21"/>
        <v>#DIV/0!</v>
      </c>
      <c r="H389" s="72" t="str">
        <f>IFERROR(VLOOKUP(C389,'Employees List'!$B$2:$I$991,7,0),"")</f>
        <v/>
      </c>
      <c r="I389" s="73" t="str">
        <f>IFERROR(VLOOKUP(F389,'Employees List'!$E$1:$AE$991,6,0),"")</f>
        <v/>
      </c>
      <c r="J389" s="71">
        <f t="shared" si="3"/>
        <v>0</v>
      </c>
      <c r="K389" s="71">
        <f t="shared" si="4"/>
        <v>0</v>
      </c>
      <c r="L389" s="10" t="str">
        <f>IFERROR(VLOOKUP(B389,'Employees List'!$A$2:$K$991,11,0),"")</f>
        <v/>
      </c>
      <c r="M389" s="74" t="str">
        <f>IFERROR(VLOOKUP(D389,'Daily Attendance 25-26'!$A$4:BP999,5,0),"")</f>
        <v/>
      </c>
      <c r="N389" s="10" t="str">
        <f>IFERROR(VLOOKUP(E389,'Daily Attendance 25-26'!$A$1:$BO$1741,5,0),"")</f>
        <v/>
      </c>
      <c r="O389" s="10"/>
      <c r="P389" s="10"/>
      <c r="Q389" s="10" t="str">
        <f t="shared" si="5"/>
        <v>#DIV/0!</v>
      </c>
      <c r="R389" s="10" t="str">
        <f t="shared" si="6"/>
        <v>#DIV/0!</v>
      </c>
      <c r="S389" s="10" t="str">
        <f t="shared" si="23"/>
        <v>#DIV/0!</v>
      </c>
      <c r="T389" s="10" t="str">
        <f t="shared" si="22"/>
        <v>#DIV/0!</v>
      </c>
      <c r="U389" s="10" t="str">
        <f t="shared" si="8"/>
        <v>#DIV/0!</v>
      </c>
      <c r="V389" s="10"/>
      <c r="W389" s="10"/>
      <c r="X389" s="10"/>
      <c r="Y389" s="10"/>
      <c r="Z389" s="10"/>
      <c r="AA389" s="10"/>
      <c r="AB389" s="10"/>
      <c r="AC389" s="10"/>
      <c r="AD389" s="10"/>
      <c r="AE389" s="10"/>
      <c r="AF389" s="10"/>
    </row>
    <row r="390" hidden="1">
      <c r="A390" s="9" t="s">
        <v>607</v>
      </c>
      <c r="B390" s="84"/>
      <c r="C390" s="9"/>
      <c r="D390" s="9" t="str">
        <f t="shared" si="1"/>
        <v/>
      </c>
      <c r="E390" s="10" t="str">
        <f t="shared" si="2"/>
        <v>OT Hours</v>
      </c>
      <c r="F390" s="10" t="str">
        <f>IFERROR(VLOOKUP(C390,'Employees List'!$B$1:$I$999,4,0),"")</f>
        <v/>
      </c>
      <c r="G390" s="10" t="str">
        <f t="shared" si="21"/>
        <v>#DIV/0!</v>
      </c>
      <c r="H390" s="72" t="str">
        <f>IFERROR(VLOOKUP(C390,'Employees List'!$B$2:$I$991,7,0),"")</f>
        <v/>
      </c>
      <c r="I390" s="73" t="str">
        <f>IFERROR(VLOOKUP(F390,'Employees List'!$E$1:$AE$991,6,0),"")</f>
        <v/>
      </c>
      <c r="J390" s="71">
        <f t="shared" si="3"/>
        <v>0</v>
      </c>
      <c r="K390" s="71">
        <f t="shared" si="4"/>
        <v>0</v>
      </c>
      <c r="L390" s="10" t="str">
        <f>IFERROR(VLOOKUP(B390,'Employees List'!$A$2:$K$991,11,0),"")</f>
        <v/>
      </c>
      <c r="M390" s="74" t="str">
        <f>IFERROR(VLOOKUP(D390,'Daily Attendance 25-26'!$A$4:BP999,5,0),"")</f>
        <v/>
      </c>
      <c r="N390" s="10" t="str">
        <f>IFERROR(VLOOKUP(E390,'Daily Attendance 25-26'!$A$1:$BO$1741,5,0),"")</f>
        <v/>
      </c>
      <c r="O390" s="10"/>
      <c r="P390" s="10"/>
      <c r="Q390" s="10" t="str">
        <f t="shared" si="5"/>
        <v>#DIV/0!</v>
      </c>
      <c r="R390" s="10" t="str">
        <f t="shared" si="6"/>
        <v>#DIV/0!</v>
      </c>
      <c r="S390" s="10" t="str">
        <f t="shared" si="23"/>
        <v>#DIV/0!</v>
      </c>
      <c r="T390" s="10" t="str">
        <f t="shared" si="22"/>
        <v>#DIV/0!</v>
      </c>
      <c r="U390" s="10" t="str">
        <f t="shared" si="8"/>
        <v>#DIV/0!</v>
      </c>
      <c r="V390" s="10"/>
      <c r="W390" s="10"/>
      <c r="X390" s="10"/>
      <c r="Y390" s="10"/>
      <c r="Z390" s="10"/>
      <c r="AA390" s="10"/>
      <c r="AB390" s="10"/>
      <c r="AC390" s="10"/>
      <c r="AD390" s="10"/>
      <c r="AE390" s="10"/>
      <c r="AF390" s="10"/>
    </row>
    <row r="391" hidden="1">
      <c r="A391" s="9" t="s">
        <v>608</v>
      </c>
      <c r="B391" s="84"/>
      <c r="C391" s="9"/>
      <c r="D391" s="9" t="str">
        <f t="shared" si="1"/>
        <v/>
      </c>
      <c r="E391" s="10" t="str">
        <f t="shared" si="2"/>
        <v>OT Hours</v>
      </c>
      <c r="F391" s="10" t="str">
        <f>IFERROR(VLOOKUP(C391,'Employees List'!$B$1:$I$999,4,0),"")</f>
        <v/>
      </c>
      <c r="G391" s="10" t="str">
        <f t="shared" si="21"/>
        <v>#DIV/0!</v>
      </c>
      <c r="H391" s="72" t="str">
        <f>IFERROR(VLOOKUP(C391,'Employees List'!$B$2:$I$991,7,0),"")</f>
        <v/>
      </c>
      <c r="I391" s="73" t="str">
        <f>IFERROR(VLOOKUP(F391,'Employees List'!$E$1:$AE$991,6,0),"")</f>
        <v/>
      </c>
      <c r="J391" s="71">
        <f t="shared" si="3"/>
        <v>0</v>
      </c>
      <c r="K391" s="71">
        <f t="shared" si="4"/>
        <v>0</v>
      </c>
      <c r="L391" s="10" t="str">
        <f>IFERROR(VLOOKUP(B391,'Employees List'!$A$2:$K$991,11,0),"")</f>
        <v/>
      </c>
      <c r="M391" s="74" t="str">
        <f>IFERROR(VLOOKUP(D391,'Daily Attendance 25-26'!$A$4:BP999,5,0),"")</f>
        <v/>
      </c>
      <c r="N391" s="10" t="str">
        <f>IFERROR(VLOOKUP(E391,'Daily Attendance 25-26'!$A$1:$BO$1741,5,0),"")</f>
        <v/>
      </c>
      <c r="O391" s="10"/>
      <c r="P391" s="10"/>
      <c r="Q391" s="10" t="str">
        <f t="shared" si="5"/>
        <v>#DIV/0!</v>
      </c>
      <c r="R391" s="10" t="str">
        <f t="shared" si="6"/>
        <v>#DIV/0!</v>
      </c>
      <c r="S391" s="10" t="str">
        <f t="shared" si="23"/>
        <v>#DIV/0!</v>
      </c>
      <c r="T391" s="10" t="str">
        <f t="shared" si="22"/>
        <v>#DIV/0!</v>
      </c>
      <c r="U391" s="10" t="str">
        <f t="shared" si="8"/>
        <v>#DIV/0!</v>
      </c>
      <c r="V391" s="10"/>
      <c r="W391" s="10"/>
      <c r="X391" s="10"/>
      <c r="Y391" s="10"/>
      <c r="Z391" s="10"/>
      <c r="AA391" s="10"/>
      <c r="AB391" s="10"/>
      <c r="AC391" s="10"/>
      <c r="AD391" s="10"/>
      <c r="AE391" s="10"/>
      <c r="AF391" s="10"/>
    </row>
    <row r="392" hidden="1">
      <c r="A392" s="9" t="s">
        <v>609</v>
      </c>
      <c r="B392" s="84"/>
      <c r="C392" s="9"/>
      <c r="D392" s="9" t="str">
        <f t="shared" si="1"/>
        <v/>
      </c>
      <c r="E392" s="10" t="str">
        <f t="shared" si="2"/>
        <v>OT Hours</v>
      </c>
      <c r="F392" s="10" t="str">
        <f>IFERROR(VLOOKUP(C392,'Employees List'!$B$1:$I$999,4,0),"")</f>
        <v/>
      </c>
      <c r="G392" s="10" t="str">
        <f t="shared" si="21"/>
        <v>#DIV/0!</v>
      </c>
      <c r="H392" s="72" t="str">
        <f>IFERROR(VLOOKUP(C392,'Employees List'!$B$2:$I$991,7,0),"")</f>
        <v/>
      </c>
      <c r="I392" s="73" t="str">
        <f>IFERROR(VLOOKUP(F392,'Employees List'!$E$1:$AE$991,6,0),"")</f>
        <v/>
      </c>
      <c r="J392" s="71">
        <f t="shared" si="3"/>
        <v>0</v>
      </c>
      <c r="K392" s="71">
        <f t="shared" si="4"/>
        <v>0</v>
      </c>
      <c r="L392" s="10" t="str">
        <f>IFERROR(VLOOKUP(B392,'Employees List'!$A$2:$K$991,11,0),"")</f>
        <v/>
      </c>
      <c r="M392" s="74" t="str">
        <f>IFERROR(VLOOKUP(D392,'Daily Attendance 25-26'!$A$4:BP999,5,0),"")</f>
        <v/>
      </c>
      <c r="N392" s="10" t="str">
        <f>IFERROR(VLOOKUP(E392,'Daily Attendance 25-26'!$A$1:$BO$1741,5,0),"")</f>
        <v/>
      </c>
      <c r="O392" s="10"/>
      <c r="P392" s="10"/>
      <c r="Q392" s="10" t="str">
        <f t="shared" si="5"/>
        <v>#DIV/0!</v>
      </c>
      <c r="R392" s="10" t="str">
        <f t="shared" si="6"/>
        <v>#DIV/0!</v>
      </c>
      <c r="S392" s="10" t="str">
        <f t="shared" si="23"/>
        <v>#DIV/0!</v>
      </c>
      <c r="T392" s="10" t="str">
        <f t="shared" si="22"/>
        <v>#DIV/0!</v>
      </c>
      <c r="U392" s="10" t="str">
        <f t="shared" si="8"/>
        <v>#DIV/0!</v>
      </c>
      <c r="V392" s="10"/>
      <c r="W392" s="10"/>
      <c r="X392" s="10"/>
      <c r="Y392" s="10"/>
      <c r="Z392" s="10"/>
      <c r="AA392" s="10"/>
      <c r="AB392" s="10"/>
      <c r="AC392" s="10"/>
      <c r="AD392" s="10"/>
      <c r="AE392" s="10"/>
      <c r="AF392" s="10"/>
    </row>
    <row r="393" hidden="1">
      <c r="A393" s="9" t="s">
        <v>610</v>
      </c>
      <c r="B393" s="84"/>
      <c r="C393" s="9"/>
      <c r="D393" s="9" t="str">
        <f t="shared" si="1"/>
        <v/>
      </c>
      <c r="E393" s="10" t="str">
        <f t="shared" si="2"/>
        <v>OT Hours</v>
      </c>
      <c r="F393" s="10" t="str">
        <f>IFERROR(VLOOKUP(C393,'Employees List'!$B$1:$I$999,4,0),"")</f>
        <v/>
      </c>
      <c r="G393" s="10" t="str">
        <f t="shared" si="21"/>
        <v>#DIV/0!</v>
      </c>
      <c r="H393" s="72" t="str">
        <f>IFERROR(VLOOKUP(C393,'Employees List'!$B$2:$I$991,7,0),"")</f>
        <v/>
      </c>
      <c r="I393" s="73" t="str">
        <f>IFERROR(VLOOKUP(F393,'Employees List'!$E$1:$AE$991,6,0),"")</f>
        <v/>
      </c>
      <c r="J393" s="71">
        <f t="shared" si="3"/>
        <v>0</v>
      </c>
      <c r="K393" s="71">
        <f t="shared" si="4"/>
        <v>0</v>
      </c>
      <c r="L393" s="10" t="str">
        <f>IFERROR(VLOOKUP(B393,'Employees List'!$A$2:$K$991,11,0),"")</f>
        <v/>
      </c>
      <c r="M393" s="74" t="str">
        <f>IFERROR(VLOOKUP(D393,'Daily Attendance 25-26'!$A$4:BP999,5,0),"")</f>
        <v/>
      </c>
      <c r="N393" s="10" t="str">
        <f>IFERROR(VLOOKUP(E393,'Daily Attendance 25-26'!$A$1:$BO$1741,5,0),"")</f>
        <v/>
      </c>
      <c r="O393" s="10"/>
      <c r="P393" s="10"/>
      <c r="Q393" s="10" t="str">
        <f t="shared" si="5"/>
        <v>#DIV/0!</v>
      </c>
      <c r="R393" s="10" t="str">
        <f t="shared" si="6"/>
        <v>#DIV/0!</v>
      </c>
      <c r="S393" s="10" t="str">
        <f t="shared" si="23"/>
        <v>#DIV/0!</v>
      </c>
      <c r="T393" s="10" t="str">
        <f t="shared" si="22"/>
        <v>#DIV/0!</v>
      </c>
      <c r="U393" s="10" t="str">
        <f t="shared" si="8"/>
        <v>#DIV/0!</v>
      </c>
      <c r="V393" s="10"/>
      <c r="W393" s="10"/>
      <c r="X393" s="10"/>
      <c r="Y393" s="10"/>
      <c r="Z393" s="10"/>
      <c r="AA393" s="10"/>
      <c r="AB393" s="10"/>
      <c r="AC393" s="10"/>
      <c r="AD393" s="10"/>
      <c r="AE393" s="10"/>
      <c r="AF393" s="10"/>
    </row>
    <row r="394" hidden="1">
      <c r="A394" s="9" t="s">
        <v>611</v>
      </c>
      <c r="B394" s="84"/>
      <c r="C394" s="9"/>
      <c r="D394" s="9" t="str">
        <f t="shared" si="1"/>
        <v/>
      </c>
      <c r="E394" s="10" t="str">
        <f t="shared" si="2"/>
        <v>OT Hours</v>
      </c>
      <c r="F394" s="10" t="str">
        <f>IFERROR(VLOOKUP(C394,'Employees List'!$B$1:$I$999,4,0),"")</f>
        <v/>
      </c>
      <c r="G394" s="10" t="str">
        <f t="shared" si="21"/>
        <v>#DIV/0!</v>
      </c>
      <c r="H394" s="72" t="str">
        <f>IFERROR(VLOOKUP(C394,'Employees List'!$B$2:$I$991,7,0),"")</f>
        <v/>
      </c>
      <c r="I394" s="73" t="str">
        <f>IFERROR(VLOOKUP(F394,'Employees List'!$E$1:$AE$991,6,0),"")</f>
        <v/>
      </c>
      <c r="J394" s="71">
        <f t="shared" si="3"/>
        <v>0</v>
      </c>
      <c r="K394" s="71">
        <f t="shared" si="4"/>
        <v>0</v>
      </c>
      <c r="L394" s="10" t="str">
        <f>IFERROR(VLOOKUP(B394,'Employees List'!$A$2:$K$991,11,0),"")</f>
        <v/>
      </c>
      <c r="M394" s="74" t="str">
        <f>IFERROR(VLOOKUP(D394,'Daily Attendance 25-26'!$A$4:BP999,5,0),"")</f>
        <v/>
      </c>
      <c r="N394" s="10" t="str">
        <f>IFERROR(VLOOKUP(E394,'Daily Attendance 25-26'!$A$1:$BO$1741,5,0),"")</f>
        <v/>
      </c>
      <c r="O394" s="10"/>
      <c r="P394" s="10"/>
      <c r="Q394" s="10" t="str">
        <f t="shared" si="5"/>
        <v>#DIV/0!</v>
      </c>
      <c r="R394" s="10" t="str">
        <f t="shared" si="6"/>
        <v>#DIV/0!</v>
      </c>
      <c r="S394" s="10" t="str">
        <f t="shared" si="23"/>
        <v>#DIV/0!</v>
      </c>
      <c r="T394" s="10" t="str">
        <f t="shared" si="22"/>
        <v>#DIV/0!</v>
      </c>
      <c r="U394" s="10" t="str">
        <f t="shared" si="8"/>
        <v>#DIV/0!</v>
      </c>
      <c r="V394" s="10"/>
      <c r="W394" s="10"/>
      <c r="X394" s="10"/>
      <c r="Y394" s="10"/>
      <c r="Z394" s="10"/>
      <c r="AA394" s="10"/>
      <c r="AB394" s="10"/>
      <c r="AC394" s="10"/>
      <c r="AD394" s="10"/>
      <c r="AE394" s="10"/>
      <c r="AF394" s="10"/>
    </row>
    <row r="395" hidden="1">
      <c r="A395" s="9" t="s">
        <v>612</v>
      </c>
      <c r="B395" s="84"/>
      <c r="C395" s="9"/>
      <c r="D395" s="9" t="str">
        <f t="shared" si="1"/>
        <v/>
      </c>
      <c r="E395" s="10" t="str">
        <f t="shared" si="2"/>
        <v>OT Hours</v>
      </c>
      <c r="F395" s="10" t="str">
        <f>IFERROR(VLOOKUP(C395,'Employees List'!$B$1:$I$999,4,0),"")</f>
        <v/>
      </c>
      <c r="G395" s="10" t="str">
        <f t="shared" si="21"/>
        <v>#DIV/0!</v>
      </c>
      <c r="H395" s="72" t="str">
        <f>IFERROR(VLOOKUP(C395,'Employees List'!$B$2:$I$991,7,0),"")</f>
        <v/>
      </c>
      <c r="I395" s="73" t="str">
        <f>IFERROR(VLOOKUP(F395,'Employees List'!$E$1:$AE$991,6,0),"")</f>
        <v/>
      </c>
      <c r="J395" s="71">
        <f t="shared" si="3"/>
        <v>0</v>
      </c>
      <c r="K395" s="71">
        <f t="shared" si="4"/>
        <v>0</v>
      </c>
      <c r="L395" s="10" t="str">
        <f>IFERROR(VLOOKUP(B395,'Employees List'!$A$2:$K$991,11,0),"")</f>
        <v/>
      </c>
      <c r="M395" s="74" t="str">
        <f>IFERROR(VLOOKUP(D395,'Daily Attendance 25-26'!$A$4:BP999,5,0),"")</f>
        <v/>
      </c>
      <c r="N395" s="10" t="str">
        <f>IFERROR(VLOOKUP(E395,'Daily Attendance 25-26'!$A$1:$BO$1741,5,0),"")</f>
        <v/>
      </c>
      <c r="O395" s="10"/>
      <c r="P395" s="10"/>
      <c r="Q395" s="10" t="str">
        <f t="shared" si="5"/>
        <v>#DIV/0!</v>
      </c>
      <c r="R395" s="10" t="str">
        <f t="shared" si="6"/>
        <v>#DIV/0!</v>
      </c>
      <c r="S395" s="10" t="str">
        <f t="shared" si="23"/>
        <v>#DIV/0!</v>
      </c>
      <c r="T395" s="10" t="str">
        <f t="shared" si="22"/>
        <v>#DIV/0!</v>
      </c>
      <c r="U395" s="10" t="str">
        <f t="shared" si="8"/>
        <v>#DIV/0!</v>
      </c>
      <c r="V395" s="10"/>
      <c r="W395" s="10"/>
      <c r="X395" s="10"/>
      <c r="Y395" s="10"/>
      <c r="Z395" s="10"/>
      <c r="AA395" s="10"/>
      <c r="AB395" s="10"/>
      <c r="AC395" s="10"/>
      <c r="AD395" s="10"/>
      <c r="AE395" s="10"/>
      <c r="AF395" s="10"/>
    </row>
    <row r="396" hidden="1">
      <c r="A396" s="9" t="s">
        <v>613</v>
      </c>
      <c r="B396" s="84"/>
      <c r="C396" s="9"/>
      <c r="D396" s="9" t="str">
        <f t="shared" si="1"/>
        <v/>
      </c>
      <c r="E396" s="10" t="str">
        <f t="shared" si="2"/>
        <v>OT Hours</v>
      </c>
      <c r="F396" s="10" t="str">
        <f>IFERROR(VLOOKUP(C396,'Employees List'!$B$1:$I$999,4,0),"")</f>
        <v/>
      </c>
      <c r="G396" s="10" t="str">
        <f t="shared" si="21"/>
        <v>#DIV/0!</v>
      </c>
      <c r="H396" s="72" t="str">
        <f>IFERROR(VLOOKUP(C396,'Employees List'!$B$2:$I$991,7,0),"")</f>
        <v/>
      </c>
      <c r="I396" s="73" t="str">
        <f>IFERROR(VLOOKUP(F396,'Employees List'!$E$1:$AE$991,6,0),"")</f>
        <v/>
      </c>
      <c r="J396" s="71">
        <f t="shared" si="3"/>
        <v>0</v>
      </c>
      <c r="K396" s="71">
        <f t="shared" si="4"/>
        <v>0</v>
      </c>
      <c r="L396" s="10" t="str">
        <f>IFERROR(VLOOKUP(B396,'Employees List'!$A$2:$K$991,11,0),"")</f>
        <v/>
      </c>
      <c r="M396" s="74" t="str">
        <f>IFERROR(VLOOKUP(D396,'Daily Attendance 25-26'!$A$4:BP999,5,0),"")</f>
        <v/>
      </c>
      <c r="N396" s="10" t="str">
        <f>IFERROR(VLOOKUP(E396,'Daily Attendance 25-26'!$A$1:$BO$1741,5,0),"")</f>
        <v/>
      </c>
      <c r="O396" s="10"/>
      <c r="P396" s="10"/>
      <c r="Q396" s="10" t="str">
        <f t="shared" si="5"/>
        <v>#DIV/0!</v>
      </c>
      <c r="R396" s="10" t="str">
        <f t="shared" si="6"/>
        <v>#DIV/0!</v>
      </c>
      <c r="S396" s="10" t="str">
        <f t="shared" si="23"/>
        <v>#DIV/0!</v>
      </c>
      <c r="T396" s="10" t="str">
        <f t="shared" si="22"/>
        <v>#DIV/0!</v>
      </c>
      <c r="U396" s="10" t="str">
        <f t="shared" si="8"/>
        <v>#DIV/0!</v>
      </c>
      <c r="V396" s="10"/>
      <c r="W396" s="10"/>
      <c r="X396" s="10"/>
      <c r="Y396" s="10"/>
      <c r="Z396" s="10"/>
      <c r="AA396" s="10"/>
      <c r="AB396" s="10"/>
      <c r="AC396" s="10"/>
      <c r="AD396" s="10"/>
      <c r="AE396" s="10"/>
      <c r="AF396" s="10"/>
    </row>
    <row r="397" hidden="1">
      <c r="A397" s="9" t="s">
        <v>614</v>
      </c>
      <c r="B397" s="84"/>
      <c r="C397" s="9"/>
      <c r="D397" s="9" t="str">
        <f t="shared" si="1"/>
        <v/>
      </c>
      <c r="E397" s="10" t="str">
        <f t="shared" si="2"/>
        <v>OT Hours</v>
      </c>
      <c r="F397" s="10" t="str">
        <f>IFERROR(VLOOKUP(C397,'Employees List'!$B$1:$I$999,4,0),"")</f>
        <v/>
      </c>
      <c r="G397" s="10" t="str">
        <f t="shared" si="21"/>
        <v>#DIV/0!</v>
      </c>
      <c r="H397" s="72" t="str">
        <f>IFERROR(VLOOKUP(C397,'Employees List'!$B$2:$I$991,7,0),"")</f>
        <v/>
      </c>
      <c r="I397" s="73" t="str">
        <f>IFERROR(VLOOKUP(F397,'Employees List'!$E$1:$AE$991,6,0),"")</f>
        <v/>
      </c>
      <c r="J397" s="71">
        <f t="shared" si="3"/>
        <v>0</v>
      </c>
      <c r="K397" s="71">
        <f t="shared" si="4"/>
        <v>0</v>
      </c>
      <c r="L397" s="10" t="str">
        <f>IFERROR(VLOOKUP(B397,'Employees List'!$A$2:$K$991,11,0),"")</f>
        <v/>
      </c>
      <c r="M397" s="74" t="str">
        <f>IFERROR(VLOOKUP(D397,'Daily Attendance 25-26'!$A$4:BP999,5,0),"")</f>
        <v/>
      </c>
      <c r="N397" s="10" t="str">
        <f>IFERROR(VLOOKUP(E397,'Daily Attendance 25-26'!$A$1:$BO$1741,5,0),"")</f>
        <v/>
      </c>
      <c r="O397" s="10"/>
      <c r="P397" s="10"/>
      <c r="Q397" s="10" t="str">
        <f t="shared" si="5"/>
        <v>#DIV/0!</v>
      </c>
      <c r="R397" s="10" t="str">
        <f t="shared" si="6"/>
        <v>#DIV/0!</v>
      </c>
      <c r="S397" s="10" t="str">
        <f t="shared" si="23"/>
        <v>#DIV/0!</v>
      </c>
      <c r="T397" s="10" t="str">
        <f t="shared" si="22"/>
        <v>#DIV/0!</v>
      </c>
      <c r="U397" s="10" t="str">
        <f t="shared" si="8"/>
        <v>#DIV/0!</v>
      </c>
      <c r="V397" s="10"/>
      <c r="W397" s="10"/>
      <c r="X397" s="10"/>
      <c r="Y397" s="10"/>
      <c r="Z397" s="10"/>
      <c r="AA397" s="10"/>
      <c r="AB397" s="10"/>
      <c r="AC397" s="10"/>
      <c r="AD397" s="10"/>
      <c r="AE397" s="10"/>
      <c r="AF397" s="10"/>
    </row>
    <row r="398" hidden="1">
      <c r="A398" s="9" t="s">
        <v>615</v>
      </c>
      <c r="B398" s="84"/>
      <c r="C398" s="9"/>
      <c r="D398" s="9" t="str">
        <f t="shared" si="1"/>
        <v/>
      </c>
      <c r="E398" s="10" t="str">
        <f t="shared" si="2"/>
        <v>OT Hours</v>
      </c>
      <c r="F398" s="10" t="str">
        <f>IFERROR(VLOOKUP(C398,'Employees List'!$B$1:$I$999,4,0),"")</f>
        <v/>
      </c>
      <c r="G398" s="10" t="str">
        <f t="shared" si="21"/>
        <v>#DIV/0!</v>
      </c>
      <c r="H398" s="72" t="str">
        <f>IFERROR(VLOOKUP(C398,'Employees List'!$B$2:$I$991,7,0),"")</f>
        <v/>
      </c>
      <c r="I398" s="73" t="str">
        <f>IFERROR(VLOOKUP(F398,'Employees List'!$E$1:$AE$991,6,0),"")</f>
        <v/>
      </c>
      <c r="J398" s="71">
        <f t="shared" si="3"/>
        <v>0</v>
      </c>
      <c r="K398" s="71">
        <f t="shared" si="4"/>
        <v>0</v>
      </c>
      <c r="L398" s="10" t="str">
        <f>IFERROR(VLOOKUP(B398,'Employees List'!$A$2:$K$991,11,0),"")</f>
        <v/>
      </c>
      <c r="M398" s="74" t="str">
        <f>IFERROR(VLOOKUP(D398,'Daily Attendance 25-26'!$A$4:BP999,5,0),"")</f>
        <v/>
      </c>
      <c r="N398" s="10" t="str">
        <f>IFERROR(VLOOKUP(E398,'Daily Attendance 25-26'!$A$1:$BO$1741,5,0),"")</f>
        <v/>
      </c>
      <c r="O398" s="10"/>
      <c r="P398" s="10"/>
      <c r="Q398" s="10" t="str">
        <f t="shared" si="5"/>
        <v>#DIV/0!</v>
      </c>
      <c r="R398" s="10" t="str">
        <f t="shared" si="6"/>
        <v>#DIV/0!</v>
      </c>
      <c r="S398" s="10" t="str">
        <f t="shared" si="23"/>
        <v>#DIV/0!</v>
      </c>
      <c r="T398" s="10" t="str">
        <f t="shared" si="22"/>
        <v>#DIV/0!</v>
      </c>
      <c r="U398" s="10" t="str">
        <f t="shared" si="8"/>
        <v>#DIV/0!</v>
      </c>
      <c r="V398" s="10"/>
      <c r="W398" s="10"/>
      <c r="X398" s="10"/>
      <c r="Y398" s="10"/>
      <c r="Z398" s="10"/>
      <c r="AA398" s="10"/>
      <c r="AB398" s="10"/>
      <c r="AC398" s="10"/>
      <c r="AD398" s="10"/>
      <c r="AE398" s="10"/>
      <c r="AF398" s="10"/>
    </row>
    <row r="399" hidden="1">
      <c r="A399" s="9" t="s">
        <v>616</v>
      </c>
      <c r="B399" s="84"/>
      <c r="C399" s="9"/>
      <c r="D399" s="9" t="str">
        <f t="shared" si="1"/>
        <v/>
      </c>
      <c r="E399" s="10" t="str">
        <f t="shared" si="2"/>
        <v>OT Hours</v>
      </c>
      <c r="F399" s="10" t="str">
        <f>IFERROR(VLOOKUP(C399,'Employees List'!$B$1:$I$999,4,0),"")</f>
        <v/>
      </c>
      <c r="G399" s="10" t="str">
        <f t="shared" si="21"/>
        <v>#DIV/0!</v>
      </c>
      <c r="H399" s="72" t="str">
        <f>IFERROR(VLOOKUP(C399,'Employees List'!$B$2:$I$991,7,0),"")</f>
        <v/>
      </c>
      <c r="I399" s="73" t="str">
        <f>IFERROR(VLOOKUP(F399,'Employees List'!$E$1:$AE$991,6,0),"")</f>
        <v/>
      </c>
      <c r="J399" s="71">
        <f t="shared" si="3"/>
        <v>0</v>
      </c>
      <c r="K399" s="71">
        <f t="shared" si="4"/>
        <v>0</v>
      </c>
      <c r="L399" s="10" t="str">
        <f>IFERROR(VLOOKUP(B399,'Employees List'!$A$2:$K$991,11,0),"")</f>
        <v/>
      </c>
      <c r="M399" s="74" t="str">
        <f>IFERROR(VLOOKUP(D399,'Daily Attendance 25-26'!$A$4:BP999,5,0),"")</f>
        <v/>
      </c>
      <c r="N399" s="10" t="str">
        <f>IFERROR(VLOOKUP(E399,'Daily Attendance 25-26'!$A$1:$BO$1741,5,0),"")</f>
        <v/>
      </c>
      <c r="O399" s="10"/>
      <c r="P399" s="10"/>
      <c r="Q399" s="10" t="str">
        <f t="shared" si="5"/>
        <v>#DIV/0!</v>
      </c>
      <c r="R399" s="10" t="str">
        <f t="shared" si="6"/>
        <v>#DIV/0!</v>
      </c>
      <c r="S399" s="10" t="str">
        <f t="shared" si="23"/>
        <v>#DIV/0!</v>
      </c>
      <c r="T399" s="10" t="str">
        <f t="shared" si="22"/>
        <v>#DIV/0!</v>
      </c>
      <c r="U399" s="10" t="str">
        <f t="shared" si="8"/>
        <v>#DIV/0!</v>
      </c>
      <c r="V399" s="10"/>
      <c r="W399" s="10"/>
      <c r="X399" s="10"/>
      <c r="Y399" s="10"/>
      <c r="Z399" s="10"/>
      <c r="AA399" s="10"/>
      <c r="AB399" s="10"/>
      <c r="AC399" s="10"/>
      <c r="AD399" s="10"/>
      <c r="AE399" s="10"/>
      <c r="AF399" s="10"/>
    </row>
    <row r="400" hidden="1">
      <c r="A400" s="9" t="s">
        <v>617</v>
      </c>
      <c r="B400" s="84"/>
      <c r="C400" s="9"/>
      <c r="D400" s="9" t="str">
        <f t="shared" si="1"/>
        <v/>
      </c>
      <c r="E400" s="10" t="str">
        <f t="shared" si="2"/>
        <v>OT Hours</v>
      </c>
      <c r="F400" s="10" t="str">
        <f>IFERROR(VLOOKUP(C400,'Employees List'!$B$1:$I$999,4,0),"")</f>
        <v/>
      </c>
      <c r="G400" s="10" t="str">
        <f t="shared" si="21"/>
        <v>#DIV/0!</v>
      </c>
      <c r="H400" s="72" t="str">
        <f>IFERROR(VLOOKUP(C400,'Employees List'!$B$2:$I$991,7,0),"")</f>
        <v/>
      </c>
      <c r="I400" s="73" t="str">
        <f>IFERROR(VLOOKUP(F400,'Employees List'!$E$1:$AE$991,6,0),"")</f>
        <v/>
      </c>
      <c r="J400" s="71">
        <f t="shared" si="3"/>
        <v>0</v>
      </c>
      <c r="K400" s="71">
        <f t="shared" si="4"/>
        <v>0</v>
      </c>
      <c r="L400" s="10" t="str">
        <f>IFERROR(VLOOKUP(B400,'Employees List'!$A$2:$K$991,11,0),"")</f>
        <v/>
      </c>
      <c r="M400" s="74" t="str">
        <f>IFERROR(VLOOKUP(D400,'Daily Attendance 25-26'!$A$4:BP999,5,0),"")</f>
        <v/>
      </c>
      <c r="N400" s="10" t="str">
        <f>IFERROR(VLOOKUP(E400,'Daily Attendance 25-26'!$A$1:$BO$1741,5,0),"")</f>
        <v/>
      </c>
      <c r="O400" s="10"/>
      <c r="P400" s="10"/>
      <c r="Q400" s="10" t="str">
        <f t="shared" si="5"/>
        <v>#DIV/0!</v>
      </c>
      <c r="R400" s="10" t="str">
        <f t="shared" si="6"/>
        <v>#DIV/0!</v>
      </c>
      <c r="S400" s="10" t="str">
        <f t="shared" si="23"/>
        <v>#DIV/0!</v>
      </c>
      <c r="T400" s="10" t="str">
        <f t="shared" si="22"/>
        <v>#DIV/0!</v>
      </c>
      <c r="U400" s="10" t="str">
        <f t="shared" si="8"/>
        <v>#DIV/0!</v>
      </c>
      <c r="V400" s="10"/>
      <c r="W400" s="10"/>
      <c r="X400" s="10"/>
      <c r="Y400" s="10"/>
      <c r="Z400" s="10"/>
      <c r="AA400" s="10"/>
      <c r="AB400" s="10"/>
      <c r="AC400" s="10"/>
      <c r="AD400" s="10"/>
      <c r="AE400" s="10"/>
      <c r="AF400" s="10"/>
    </row>
    <row r="401" hidden="1">
      <c r="A401" s="9" t="s">
        <v>618</v>
      </c>
      <c r="B401" s="84"/>
      <c r="C401" s="9"/>
      <c r="D401" s="9" t="str">
        <f t="shared" si="1"/>
        <v/>
      </c>
      <c r="E401" s="10" t="str">
        <f t="shared" si="2"/>
        <v>OT Hours</v>
      </c>
      <c r="F401" s="10" t="str">
        <f>IFERROR(VLOOKUP(C401,'Employees List'!$B$1:$I$999,4,0),"")</f>
        <v/>
      </c>
      <c r="G401" s="10" t="str">
        <f t="shared" si="21"/>
        <v>#DIV/0!</v>
      </c>
      <c r="H401" s="72" t="str">
        <f>IFERROR(VLOOKUP(C401,'Employees List'!$B$2:$I$991,7,0),"")</f>
        <v/>
      </c>
      <c r="I401" s="73" t="str">
        <f>IFERROR(VLOOKUP(F401,'Employees List'!$E$1:$AE$991,6,0),"")</f>
        <v/>
      </c>
      <c r="J401" s="71">
        <f t="shared" si="3"/>
        <v>0</v>
      </c>
      <c r="K401" s="71">
        <f t="shared" si="4"/>
        <v>0</v>
      </c>
      <c r="L401" s="10" t="str">
        <f>IFERROR(VLOOKUP(B401,'Employees List'!$A$2:$K$991,11,0),"")</f>
        <v/>
      </c>
      <c r="M401" s="74" t="str">
        <f>IFERROR(VLOOKUP(D401,'Daily Attendance 25-26'!$A$4:BP999,5,0),"")</f>
        <v/>
      </c>
      <c r="N401" s="10" t="str">
        <f>IFERROR(VLOOKUP(E401,'Daily Attendance 25-26'!$A$1:$BO$1741,5,0),"")</f>
        <v/>
      </c>
      <c r="O401" s="10"/>
      <c r="P401" s="10"/>
      <c r="Q401" s="10" t="str">
        <f t="shared" si="5"/>
        <v>#DIV/0!</v>
      </c>
      <c r="R401" s="10" t="str">
        <f t="shared" si="6"/>
        <v>#DIV/0!</v>
      </c>
      <c r="S401" s="10" t="str">
        <f t="shared" si="23"/>
        <v>#DIV/0!</v>
      </c>
      <c r="T401" s="10" t="str">
        <f t="shared" si="22"/>
        <v>#DIV/0!</v>
      </c>
      <c r="U401" s="10" t="str">
        <f t="shared" si="8"/>
        <v>#DIV/0!</v>
      </c>
      <c r="V401" s="10"/>
      <c r="W401" s="10"/>
      <c r="X401" s="10"/>
      <c r="Y401" s="10"/>
      <c r="Z401" s="10"/>
      <c r="AA401" s="10"/>
      <c r="AB401" s="10"/>
      <c r="AC401" s="10"/>
      <c r="AD401" s="10"/>
      <c r="AE401" s="10"/>
      <c r="AF401" s="10"/>
    </row>
    <row r="402" hidden="1">
      <c r="A402" s="9" t="s">
        <v>619</v>
      </c>
      <c r="B402" s="84"/>
      <c r="C402" s="9"/>
      <c r="D402" s="9" t="str">
        <f t="shared" si="1"/>
        <v/>
      </c>
      <c r="E402" s="10" t="str">
        <f t="shared" si="2"/>
        <v>OT Hours</v>
      </c>
      <c r="F402" s="10" t="str">
        <f>IFERROR(VLOOKUP(C402,'Employees List'!$B$1:$I$999,4,0),"")</f>
        <v/>
      </c>
      <c r="G402" s="10" t="str">
        <f t="shared" si="21"/>
        <v>#DIV/0!</v>
      </c>
      <c r="H402" s="72" t="str">
        <f>IFERROR(VLOOKUP(C402,'Employees List'!$B$2:$I$991,7,0),"")</f>
        <v/>
      </c>
      <c r="I402" s="73" t="str">
        <f>IFERROR(VLOOKUP(F402,'Employees List'!$E$1:$AE$991,6,0),"")</f>
        <v/>
      </c>
      <c r="J402" s="71">
        <f t="shared" si="3"/>
        <v>0</v>
      </c>
      <c r="K402" s="71">
        <f t="shared" si="4"/>
        <v>0</v>
      </c>
      <c r="L402" s="10" t="str">
        <f>IFERROR(VLOOKUP(B402,'Employees List'!$A$2:$K$991,11,0),"")</f>
        <v/>
      </c>
      <c r="M402" s="74" t="str">
        <f>IFERROR(VLOOKUP(D402,'Daily Attendance 25-26'!$A$4:BP999,5,0),"")</f>
        <v/>
      </c>
      <c r="N402" s="10" t="str">
        <f>IFERROR(VLOOKUP(E402,'Daily Attendance 25-26'!$A$1:$BO$1741,5,0),"")</f>
        <v/>
      </c>
      <c r="O402" s="10"/>
      <c r="P402" s="10"/>
      <c r="Q402" s="10" t="str">
        <f t="shared" si="5"/>
        <v>#DIV/0!</v>
      </c>
      <c r="R402" s="10" t="str">
        <f t="shared" si="6"/>
        <v>#DIV/0!</v>
      </c>
      <c r="S402" s="10" t="str">
        <f t="shared" si="23"/>
        <v>#DIV/0!</v>
      </c>
      <c r="T402" s="10" t="str">
        <f t="shared" si="22"/>
        <v>#DIV/0!</v>
      </c>
      <c r="U402" s="10" t="str">
        <f t="shared" si="8"/>
        <v>#DIV/0!</v>
      </c>
      <c r="V402" s="10"/>
      <c r="W402" s="10"/>
      <c r="X402" s="10"/>
      <c r="Y402" s="10"/>
      <c r="Z402" s="10"/>
      <c r="AA402" s="10"/>
      <c r="AB402" s="10"/>
      <c r="AC402" s="10"/>
      <c r="AD402" s="10"/>
      <c r="AE402" s="10"/>
      <c r="AF402" s="10"/>
    </row>
    <row r="403" hidden="1">
      <c r="A403" s="9" t="s">
        <v>620</v>
      </c>
      <c r="B403" s="84"/>
      <c r="C403" s="9"/>
      <c r="D403" s="9" t="str">
        <f t="shared" si="1"/>
        <v/>
      </c>
      <c r="E403" s="10" t="str">
        <f t="shared" si="2"/>
        <v>OT Hours</v>
      </c>
      <c r="F403" s="10" t="str">
        <f>IFERROR(VLOOKUP(C403,'Employees List'!$B$1:$I$999,4,0),"")</f>
        <v/>
      </c>
      <c r="G403" s="10" t="str">
        <f t="shared" si="21"/>
        <v>#DIV/0!</v>
      </c>
      <c r="H403" s="72" t="str">
        <f>IFERROR(VLOOKUP(C403,'Employees List'!$B$2:$I$991,7,0),"")</f>
        <v/>
      </c>
      <c r="I403" s="73" t="str">
        <f>IFERROR(VLOOKUP(F403,'Employees List'!$E$1:$AE$991,6,0),"")</f>
        <v/>
      </c>
      <c r="J403" s="71">
        <f t="shared" si="3"/>
        <v>0</v>
      </c>
      <c r="K403" s="71">
        <f t="shared" si="4"/>
        <v>0</v>
      </c>
      <c r="L403" s="10" t="str">
        <f>IFERROR(VLOOKUP(B403,'Employees List'!$A$2:$K$991,11,0),"")</f>
        <v/>
      </c>
      <c r="M403" s="74" t="str">
        <f>IFERROR(VLOOKUP(D403,'Daily Attendance 25-26'!$A$4:BP999,5,0),"")</f>
        <v/>
      </c>
      <c r="N403" s="10" t="str">
        <f>IFERROR(VLOOKUP(E403,'Daily Attendance 25-26'!$A$1:$BO$1741,5,0),"")</f>
        <v/>
      </c>
      <c r="O403" s="10"/>
      <c r="P403" s="10"/>
      <c r="Q403" s="10" t="str">
        <f t="shared" si="5"/>
        <v>#DIV/0!</v>
      </c>
      <c r="R403" s="10" t="str">
        <f t="shared" si="6"/>
        <v>#DIV/0!</v>
      </c>
      <c r="S403" s="10" t="str">
        <f t="shared" si="23"/>
        <v>#DIV/0!</v>
      </c>
      <c r="T403" s="10" t="str">
        <f t="shared" si="22"/>
        <v>#DIV/0!</v>
      </c>
      <c r="U403" s="10" t="str">
        <f t="shared" si="8"/>
        <v>#DIV/0!</v>
      </c>
      <c r="V403" s="10"/>
      <c r="W403" s="10"/>
      <c r="X403" s="10"/>
      <c r="Y403" s="10"/>
      <c r="Z403" s="10"/>
      <c r="AA403" s="10"/>
      <c r="AB403" s="10"/>
      <c r="AC403" s="10"/>
      <c r="AD403" s="10"/>
      <c r="AE403" s="10"/>
      <c r="AF403" s="10"/>
    </row>
    <row r="404" hidden="1">
      <c r="A404" s="9" t="s">
        <v>621</v>
      </c>
      <c r="B404" s="84"/>
      <c r="C404" s="9"/>
      <c r="D404" s="9" t="str">
        <f t="shared" si="1"/>
        <v/>
      </c>
      <c r="E404" s="10" t="str">
        <f t="shared" si="2"/>
        <v>OT Hours</v>
      </c>
      <c r="F404" s="10" t="str">
        <f>IFERROR(VLOOKUP(C404,'Employees List'!$B$1:$I$999,4,0),"")</f>
        <v/>
      </c>
      <c r="G404" s="10" t="str">
        <f t="shared" si="21"/>
        <v>#DIV/0!</v>
      </c>
      <c r="H404" s="72" t="str">
        <f>IFERROR(VLOOKUP(C404,'Employees List'!$B$2:$I$991,7,0),"")</f>
        <v/>
      </c>
      <c r="I404" s="73" t="str">
        <f>IFERROR(VLOOKUP(F404,'Employees List'!$E$1:$AE$991,6,0),"")</f>
        <v/>
      </c>
      <c r="J404" s="71">
        <f t="shared" si="3"/>
        <v>0</v>
      </c>
      <c r="K404" s="71">
        <f t="shared" si="4"/>
        <v>0</v>
      </c>
      <c r="L404" s="10" t="str">
        <f>IFERROR(VLOOKUP(B404,'Employees List'!$A$2:$K$991,11,0),"")</f>
        <v/>
      </c>
      <c r="M404" s="74" t="str">
        <f>IFERROR(VLOOKUP(D404,'Daily Attendance 25-26'!$A$4:BP999,5,0),"")</f>
        <v/>
      </c>
      <c r="N404" s="10" t="str">
        <f>IFERROR(VLOOKUP(E404,'Daily Attendance 25-26'!$A$1:$BO$1741,5,0),"")</f>
        <v/>
      </c>
      <c r="O404" s="10"/>
      <c r="P404" s="10"/>
      <c r="Q404" s="10" t="str">
        <f t="shared" si="5"/>
        <v>#DIV/0!</v>
      </c>
      <c r="R404" s="10" t="str">
        <f t="shared" si="6"/>
        <v>#DIV/0!</v>
      </c>
      <c r="S404" s="10" t="str">
        <f t="shared" si="23"/>
        <v>#DIV/0!</v>
      </c>
      <c r="T404" s="10" t="str">
        <f t="shared" si="22"/>
        <v>#DIV/0!</v>
      </c>
      <c r="U404" s="10" t="str">
        <f t="shared" si="8"/>
        <v>#DIV/0!</v>
      </c>
      <c r="V404" s="10"/>
      <c r="W404" s="10"/>
      <c r="X404" s="10"/>
      <c r="Y404" s="10"/>
      <c r="Z404" s="10"/>
      <c r="AA404" s="10"/>
      <c r="AB404" s="10"/>
      <c r="AC404" s="10"/>
      <c r="AD404" s="10"/>
      <c r="AE404" s="10"/>
      <c r="AF404" s="10"/>
    </row>
    <row r="405" hidden="1">
      <c r="A405" s="9" t="s">
        <v>622</v>
      </c>
      <c r="B405" s="84"/>
      <c r="C405" s="9"/>
      <c r="D405" s="9" t="str">
        <f t="shared" si="1"/>
        <v/>
      </c>
      <c r="E405" s="10" t="str">
        <f t="shared" si="2"/>
        <v>OT Hours</v>
      </c>
      <c r="F405" s="10" t="str">
        <f>IFERROR(VLOOKUP(C405,'Employees List'!$B$1:$I$999,4,0),"")</f>
        <v/>
      </c>
      <c r="G405" s="10" t="str">
        <f t="shared" si="21"/>
        <v>#DIV/0!</v>
      </c>
      <c r="H405" s="72" t="str">
        <f>IFERROR(VLOOKUP(C405,'Employees List'!$B$2:$I$991,7,0),"")</f>
        <v/>
      </c>
      <c r="I405" s="73" t="str">
        <f>IFERROR(VLOOKUP(F405,'Employees List'!$E$1:$AE$991,6,0),"")</f>
        <v/>
      </c>
      <c r="J405" s="71">
        <f t="shared" si="3"/>
        <v>0</v>
      </c>
      <c r="K405" s="71">
        <f t="shared" si="4"/>
        <v>0</v>
      </c>
      <c r="L405" s="10" t="str">
        <f>IFERROR(VLOOKUP(B405,'Employees List'!$A$2:$K$991,11,0),"")</f>
        <v/>
      </c>
      <c r="M405" s="74" t="str">
        <f>IFERROR(VLOOKUP(D405,'Daily Attendance 25-26'!$A$4:BP999,5,0),"")</f>
        <v/>
      </c>
      <c r="N405" s="10" t="str">
        <f>IFERROR(VLOOKUP(E405,'Daily Attendance 25-26'!$A$1:$BO$1741,5,0),"")</f>
        <v/>
      </c>
      <c r="O405" s="10"/>
      <c r="P405" s="10"/>
      <c r="Q405" s="10" t="str">
        <f t="shared" si="5"/>
        <v>#DIV/0!</v>
      </c>
      <c r="R405" s="10" t="str">
        <f t="shared" si="6"/>
        <v>#DIV/0!</v>
      </c>
      <c r="S405" s="10" t="str">
        <f t="shared" si="23"/>
        <v>#DIV/0!</v>
      </c>
      <c r="T405" s="10" t="str">
        <f t="shared" si="22"/>
        <v>#DIV/0!</v>
      </c>
      <c r="U405" s="10" t="str">
        <f t="shared" si="8"/>
        <v>#DIV/0!</v>
      </c>
      <c r="V405" s="10"/>
      <c r="W405" s="10"/>
      <c r="X405" s="10"/>
      <c r="Y405" s="10"/>
      <c r="Z405" s="10"/>
      <c r="AA405" s="10"/>
      <c r="AB405" s="10"/>
      <c r="AC405" s="10"/>
      <c r="AD405" s="10"/>
      <c r="AE405" s="10"/>
      <c r="AF405" s="10"/>
    </row>
    <row r="406" hidden="1">
      <c r="A406" s="9" t="s">
        <v>623</v>
      </c>
      <c r="B406" s="84"/>
      <c r="C406" s="9"/>
      <c r="D406" s="9" t="str">
        <f t="shared" si="1"/>
        <v/>
      </c>
      <c r="E406" s="10" t="str">
        <f t="shared" si="2"/>
        <v>OT Hours</v>
      </c>
      <c r="F406" s="10" t="str">
        <f>IFERROR(VLOOKUP(C406,'Employees List'!$B$1:$I$999,4,0),"")</f>
        <v/>
      </c>
      <c r="G406" s="10" t="str">
        <f t="shared" si="21"/>
        <v>#DIV/0!</v>
      </c>
      <c r="H406" s="72" t="str">
        <f>IFERROR(VLOOKUP(C406,'Employees List'!$B$2:$I$991,7,0),"")</f>
        <v/>
      </c>
      <c r="I406" s="73" t="str">
        <f>IFERROR(VLOOKUP(F406,'Employees List'!$E$1:$AE$991,6,0),"")</f>
        <v/>
      </c>
      <c r="J406" s="71">
        <f t="shared" si="3"/>
        <v>0</v>
      </c>
      <c r="K406" s="71">
        <f t="shared" si="4"/>
        <v>0</v>
      </c>
      <c r="L406" s="10" t="str">
        <f>IFERROR(VLOOKUP(B406,'Employees List'!$A$2:$K$991,11,0),"")</f>
        <v/>
      </c>
      <c r="M406" s="74" t="str">
        <f>IFERROR(VLOOKUP(D406,'Daily Attendance 25-26'!$A$4:BP999,5,0),"")</f>
        <v/>
      </c>
      <c r="N406" s="10" t="str">
        <f>IFERROR(VLOOKUP(E406,'Daily Attendance 25-26'!$A$1:$BO$1741,5,0),"")</f>
        <v/>
      </c>
      <c r="O406" s="10"/>
      <c r="P406" s="10"/>
      <c r="Q406" s="10" t="str">
        <f t="shared" si="5"/>
        <v>#DIV/0!</v>
      </c>
      <c r="R406" s="10" t="str">
        <f t="shared" si="6"/>
        <v>#DIV/0!</v>
      </c>
      <c r="S406" s="10" t="str">
        <f t="shared" si="23"/>
        <v>#DIV/0!</v>
      </c>
      <c r="T406" s="10" t="str">
        <f t="shared" si="22"/>
        <v>#DIV/0!</v>
      </c>
      <c r="U406" s="10" t="str">
        <f t="shared" si="8"/>
        <v>#DIV/0!</v>
      </c>
      <c r="V406" s="10"/>
      <c r="W406" s="10"/>
      <c r="X406" s="10"/>
      <c r="Y406" s="10"/>
      <c r="Z406" s="10"/>
      <c r="AA406" s="10"/>
      <c r="AB406" s="10"/>
      <c r="AC406" s="10"/>
      <c r="AD406" s="10"/>
      <c r="AE406" s="10"/>
      <c r="AF406" s="10"/>
    </row>
    <row r="407" hidden="1">
      <c r="A407" s="9" t="s">
        <v>624</v>
      </c>
      <c r="B407" s="84"/>
      <c r="C407" s="9"/>
      <c r="D407" s="9" t="str">
        <f t="shared" si="1"/>
        <v/>
      </c>
      <c r="E407" s="10" t="str">
        <f t="shared" si="2"/>
        <v>OT Hours</v>
      </c>
      <c r="F407" s="10" t="str">
        <f>IFERROR(VLOOKUP(C407,'Employees List'!$B$1:$I$999,4,0),"")</f>
        <v/>
      </c>
      <c r="G407" s="10" t="str">
        <f t="shared" si="21"/>
        <v>#DIV/0!</v>
      </c>
      <c r="H407" s="72" t="str">
        <f>IFERROR(VLOOKUP(C407,'Employees List'!$B$2:$I$991,7,0),"")</f>
        <v/>
      </c>
      <c r="I407" s="73" t="str">
        <f>IFERROR(VLOOKUP(F407,'Employees List'!$E$1:$AE$991,6,0),"")</f>
        <v/>
      </c>
      <c r="J407" s="71">
        <f t="shared" si="3"/>
        <v>0</v>
      </c>
      <c r="K407" s="71">
        <f t="shared" si="4"/>
        <v>0</v>
      </c>
      <c r="L407" s="10" t="str">
        <f>IFERROR(VLOOKUP(B407,'Employees List'!$A$2:$K$991,11,0),"")</f>
        <v/>
      </c>
      <c r="M407" s="74" t="str">
        <f>IFERROR(VLOOKUP(D407,'Daily Attendance 25-26'!$A$4:BP999,5,0),"")</f>
        <v/>
      </c>
      <c r="N407" s="10" t="str">
        <f>IFERROR(VLOOKUP(E407,'Daily Attendance 25-26'!$A$1:$BO$1741,5,0),"")</f>
        <v/>
      </c>
      <c r="O407" s="10"/>
      <c r="P407" s="10"/>
      <c r="Q407" s="10" t="str">
        <f t="shared" si="5"/>
        <v>#DIV/0!</v>
      </c>
      <c r="R407" s="10" t="str">
        <f t="shared" si="6"/>
        <v>#DIV/0!</v>
      </c>
      <c r="S407" s="10" t="str">
        <f t="shared" si="23"/>
        <v>#DIV/0!</v>
      </c>
      <c r="T407" s="10" t="str">
        <f t="shared" si="22"/>
        <v>#DIV/0!</v>
      </c>
      <c r="U407" s="10" t="str">
        <f t="shared" si="8"/>
        <v>#DIV/0!</v>
      </c>
      <c r="V407" s="10"/>
      <c r="W407" s="10"/>
      <c r="X407" s="10"/>
      <c r="Y407" s="10"/>
      <c r="Z407" s="10"/>
      <c r="AA407" s="10"/>
      <c r="AB407" s="10"/>
      <c r="AC407" s="10"/>
      <c r="AD407" s="10"/>
      <c r="AE407" s="10"/>
      <c r="AF407" s="10"/>
    </row>
    <row r="408" hidden="1">
      <c r="A408" s="9" t="s">
        <v>625</v>
      </c>
      <c r="B408" s="84"/>
      <c r="C408" s="9"/>
      <c r="D408" s="9" t="str">
        <f t="shared" si="1"/>
        <v/>
      </c>
      <c r="E408" s="10" t="str">
        <f t="shared" si="2"/>
        <v>OT Hours</v>
      </c>
      <c r="F408" s="10" t="str">
        <f>IFERROR(VLOOKUP(C408,'Employees List'!$B$1:$I$999,4,0),"")</f>
        <v/>
      </c>
      <c r="G408" s="10" t="str">
        <f t="shared" si="21"/>
        <v>#DIV/0!</v>
      </c>
      <c r="H408" s="72" t="str">
        <f>IFERROR(VLOOKUP(C408,'Employees List'!$B$2:$I$991,7,0),"")</f>
        <v/>
      </c>
      <c r="I408" s="73" t="str">
        <f>IFERROR(VLOOKUP(F408,'Employees List'!$E$1:$AE$991,6,0),"")</f>
        <v/>
      </c>
      <c r="J408" s="71">
        <f t="shared" si="3"/>
        <v>0</v>
      </c>
      <c r="K408" s="71">
        <f t="shared" si="4"/>
        <v>0</v>
      </c>
      <c r="L408" s="10" t="str">
        <f>IFERROR(VLOOKUP(B408,'Employees List'!$A$2:$K$991,11,0),"")</f>
        <v/>
      </c>
      <c r="M408" s="74" t="str">
        <f>IFERROR(VLOOKUP(D408,'Daily Attendance 25-26'!$A$4:BP999,5,0),"")</f>
        <v/>
      </c>
      <c r="N408" s="10" t="str">
        <f>IFERROR(VLOOKUP(E408,'Daily Attendance 25-26'!$A$1:$BO$1741,5,0),"")</f>
        <v/>
      </c>
      <c r="O408" s="10"/>
      <c r="P408" s="10"/>
      <c r="Q408" s="10" t="str">
        <f t="shared" si="5"/>
        <v>#DIV/0!</v>
      </c>
      <c r="R408" s="10" t="str">
        <f t="shared" si="6"/>
        <v>#DIV/0!</v>
      </c>
      <c r="S408" s="10" t="str">
        <f t="shared" si="23"/>
        <v>#DIV/0!</v>
      </c>
      <c r="T408" s="10" t="str">
        <f t="shared" si="22"/>
        <v>#DIV/0!</v>
      </c>
      <c r="U408" s="10" t="str">
        <f t="shared" si="8"/>
        <v>#DIV/0!</v>
      </c>
      <c r="V408" s="10"/>
      <c r="W408" s="10"/>
      <c r="X408" s="10"/>
      <c r="Y408" s="10"/>
      <c r="Z408" s="10"/>
      <c r="AA408" s="10"/>
      <c r="AB408" s="10"/>
      <c r="AC408" s="10"/>
      <c r="AD408" s="10"/>
      <c r="AE408" s="10"/>
      <c r="AF408" s="10"/>
    </row>
    <row r="409" hidden="1">
      <c r="A409" s="9" t="s">
        <v>626</v>
      </c>
      <c r="B409" s="84"/>
      <c r="C409" s="9"/>
      <c r="D409" s="9" t="str">
        <f t="shared" si="1"/>
        <v/>
      </c>
      <c r="E409" s="10" t="str">
        <f t="shared" si="2"/>
        <v>OT Hours</v>
      </c>
      <c r="F409" s="10" t="str">
        <f>IFERROR(VLOOKUP(C409,'Employees List'!$B$1:$I$999,4,0),"")</f>
        <v/>
      </c>
      <c r="G409" s="10" t="str">
        <f t="shared" si="21"/>
        <v>#DIV/0!</v>
      </c>
      <c r="H409" s="72" t="str">
        <f>IFERROR(VLOOKUP(C409,'Employees List'!$B$2:$I$991,7,0),"")</f>
        <v/>
      </c>
      <c r="I409" s="73" t="str">
        <f>IFERROR(VLOOKUP(F409,'Employees List'!$E$1:$AE$991,6,0),"")</f>
        <v/>
      </c>
      <c r="J409" s="71">
        <f t="shared" si="3"/>
        <v>0</v>
      </c>
      <c r="K409" s="71">
        <f t="shared" si="4"/>
        <v>0</v>
      </c>
      <c r="L409" s="10" t="str">
        <f>IFERROR(VLOOKUP(B409,'Employees List'!$A$2:$K$991,11,0),"")</f>
        <v/>
      </c>
      <c r="M409" s="74" t="str">
        <f>IFERROR(VLOOKUP(D409,'Daily Attendance 25-26'!$A$4:BP999,5,0),"")</f>
        <v/>
      </c>
      <c r="N409" s="10" t="str">
        <f>IFERROR(VLOOKUP(E409,'Daily Attendance 25-26'!$A$1:$BO$1741,5,0),"")</f>
        <v/>
      </c>
      <c r="O409" s="10"/>
      <c r="P409" s="10"/>
      <c r="Q409" s="10" t="str">
        <f t="shared" si="5"/>
        <v>#DIV/0!</v>
      </c>
      <c r="R409" s="10" t="str">
        <f t="shared" si="6"/>
        <v>#DIV/0!</v>
      </c>
      <c r="S409" s="10" t="str">
        <f t="shared" si="23"/>
        <v>#DIV/0!</v>
      </c>
      <c r="T409" s="10" t="str">
        <f t="shared" si="22"/>
        <v>#DIV/0!</v>
      </c>
      <c r="U409" s="10" t="str">
        <f t="shared" si="8"/>
        <v>#DIV/0!</v>
      </c>
      <c r="V409" s="10"/>
      <c r="W409" s="10"/>
      <c r="X409" s="10"/>
      <c r="Y409" s="10"/>
      <c r="Z409" s="10"/>
      <c r="AA409" s="10"/>
      <c r="AB409" s="10"/>
      <c r="AC409" s="10"/>
      <c r="AD409" s="10"/>
      <c r="AE409" s="10"/>
      <c r="AF409" s="10"/>
    </row>
    <row r="410" hidden="1">
      <c r="A410" s="9" t="s">
        <v>627</v>
      </c>
      <c r="B410" s="84"/>
      <c r="C410" s="9"/>
      <c r="D410" s="9" t="str">
        <f t="shared" si="1"/>
        <v/>
      </c>
      <c r="E410" s="10" t="str">
        <f t="shared" si="2"/>
        <v>OT Hours</v>
      </c>
      <c r="F410" s="10" t="str">
        <f>IFERROR(VLOOKUP(C410,'Employees List'!$B$1:$I$999,4,0),"")</f>
        <v/>
      </c>
      <c r="G410" s="10" t="str">
        <f t="shared" si="21"/>
        <v>#DIV/0!</v>
      </c>
      <c r="H410" s="72" t="str">
        <f>IFERROR(VLOOKUP(C410,'Employees List'!$B$2:$I$991,7,0),"")</f>
        <v/>
      </c>
      <c r="I410" s="73" t="str">
        <f>IFERROR(VLOOKUP(F410,'Employees List'!$E$1:$AE$991,6,0),"")</f>
        <v/>
      </c>
      <c r="J410" s="71">
        <f t="shared" si="3"/>
        <v>0</v>
      </c>
      <c r="K410" s="71">
        <f t="shared" si="4"/>
        <v>0</v>
      </c>
      <c r="L410" s="10" t="str">
        <f>IFERROR(VLOOKUP(B410,'Employees List'!$A$2:$K$991,11,0),"")</f>
        <v/>
      </c>
      <c r="M410" s="74" t="str">
        <f>IFERROR(VLOOKUP(D410,'Daily Attendance 25-26'!$A$4:BP999,5,0),"")</f>
        <v/>
      </c>
      <c r="N410" s="10" t="str">
        <f>IFERROR(VLOOKUP(E410,'Daily Attendance 25-26'!$A$1:$BO$1741,5,0),"")</f>
        <v/>
      </c>
      <c r="O410" s="10"/>
      <c r="P410" s="10"/>
      <c r="Q410" s="10" t="str">
        <f t="shared" si="5"/>
        <v>#DIV/0!</v>
      </c>
      <c r="R410" s="10" t="str">
        <f t="shared" si="6"/>
        <v>#DIV/0!</v>
      </c>
      <c r="S410" s="10" t="str">
        <f t="shared" si="23"/>
        <v>#DIV/0!</v>
      </c>
      <c r="T410" s="10" t="str">
        <f t="shared" si="22"/>
        <v>#DIV/0!</v>
      </c>
      <c r="U410" s="10" t="str">
        <f t="shared" si="8"/>
        <v>#DIV/0!</v>
      </c>
      <c r="V410" s="10"/>
      <c r="W410" s="10"/>
      <c r="X410" s="10"/>
      <c r="Y410" s="10"/>
      <c r="Z410" s="10"/>
      <c r="AA410" s="10"/>
      <c r="AB410" s="10"/>
      <c r="AC410" s="10"/>
      <c r="AD410" s="10"/>
      <c r="AE410" s="10"/>
      <c r="AF410" s="10"/>
    </row>
    <row r="411" hidden="1">
      <c r="A411" s="9" t="s">
        <v>628</v>
      </c>
      <c r="B411" s="84"/>
      <c r="C411" s="9"/>
      <c r="D411" s="9" t="str">
        <f t="shared" si="1"/>
        <v/>
      </c>
      <c r="E411" s="10" t="str">
        <f t="shared" si="2"/>
        <v>OT Hours</v>
      </c>
      <c r="F411" s="10" t="str">
        <f>IFERROR(VLOOKUP(C411,'Employees List'!$B$1:$I$999,4,0),"")</f>
        <v/>
      </c>
      <c r="G411" s="10" t="str">
        <f t="shared" si="21"/>
        <v>#DIV/0!</v>
      </c>
      <c r="H411" s="72" t="str">
        <f>IFERROR(VLOOKUP(C411,'Employees List'!$B$2:$I$991,7,0),"")</f>
        <v/>
      </c>
      <c r="I411" s="73" t="str">
        <f>IFERROR(VLOOKUP(F411,'Employees List'!$E$1:$AE$991,6,0),"")</f>
        <v/>
      </c>
      <c r="J411" s="71">
        <f t="shared" si="3"/>
        <v>0</v>
      </c>
      <c r="K411" s="71">
        <f t="shared" si="4"/>
        <v>0</v>
      </c>
      <c r="L411" s="10" t="str">
        <f>IFERROR(VLOOKUP(B411,'Employees List'!$A$2:$K$991,11,0),"")</f>
        <v/>
      </c>
      <c r="M411" s="74" t="str">
        <f>IFERROR(VLOOKUP(D411,'Daily Attendance 25-26'!$A$4:BP999,5,0),"")</f>
        <v/>
      </c>
      <c r="N411" s="10" t="str">
        <f>IFERROR(VLOOKUP(E411,'Daily Attendance 25-26'!$A$1:$BO$1741,5,0),"")</f>
        <v/>
      </c>
      <c r="O411" s="10"/>
      <c r="P411" s="10"/>
      <c r="Q411" s="10" t="str">
        <f t="shared" si="5"/>
        <v>#DIV/0!</v>
      </c>
      <c r="R411" s="10" t="str">
        <f t="shared" si="6"/>
        <v>#DIV/0!</v>
      </c>
      <c r="S411" s="10" t="str">
        <f t="shared" si="23"/>
        <v>#DIV/0!</v>
      </c>
      <c r="T411" s="10" t="str">
        <f t="shared" si="22"/>
        <v>#DIV/0!</v>
      </c>
      <c r="U411" s="10" t="str">
        <f t="shared" si="8"/>
        <v>#DIV/0!</v>
      </c>
      <c r="V411" s="10"/>
      <c r="W411" s="10"/>
      <c r="X411" s="10"/>
      <c r="Y411" s="10"/>
      <c r="Z411" s="10"/>
      <c r="AA411" s="10"/>
      <c r="AB411" s="10"/>
      <c r="AC411" s="10"/>
      <c r="AD411" s="10"/>
      <c r="AE411" s="10"/>
      <c r="AF411" s="10"/>
    </row>
    <row r="412" hidden="1">
      <c r="A412" s="9" t="s">
        <v>629</v>
      </c>
      <c r="B412" s="84"/>
      <c r="C412" s="9"/>
      <c r="D412" s="9" t="str">
        <f t="shared" si="1"/>
        <v/>
      </c>
      <c r="E412" s="10" t="str">
        <f t="shared" si="2"/>
        <v>OT Hours</v>
      </c>
      <c r="F412" s="10" t="str">
        <f>IFERROR(VLOOKUP(C412,'Employees List'!$B$1:$I$999,4,0),"")</f>
        <v/>
      </c>
      <c r="G412" s="10" t="str">
        <f t="shared" si="21"/>
        <v>#DIV/0!</v>
      </c>
      <c r="H412" s="72" t="str">
        <f>IFERROR(VLOOKUP(C412,'Employees List'!$B$2:$I$991,7,0),"")</f>
        <v/>
      </c>
      <c r="I412" s="73" t="str">
        <f>IFERROR(VLOOKUP(F412,'Employees List'!$E$1:$AE$991,6,0),"")</f>
        <v/>
      </c>
      <c r="J412" s="71">
        <f t="shared" si="3"/>
        <v>0</v>
      </c>
      <c r="K412" s="71">
        <f t="shared" si="4"/>
        <v>0</v>
      </c>
      <c r="L412" s="10" t="str">
        <f>IFERROR(VLOOKUP(B412,'Employees List'!$A$2:$K$991,11,0),"")</f>
        <v/>
      </c>
      <c r="M412" s="74" t="str">
        <f>IFERROR(VLOOKUP(D412,'Daily Attendance 25-26'!$A$4:BP999,5,0),"")</f>
        <v/>
      </c>
      <c r="N412" s="10" t="str">
        <f>IFERROR(VLOOKUP(E412,'Daily Attendance 25-26'!$A$1:$BO$1741,5,0),"")</f>
        <v/>
      </c>
      <c r="O412" s="10"/>
      <c r="P412" s="10"/>
      <c r="Q412" s="10" t="str">
        <f t="shared" si="5"/>
        <v>#DIV/0!</v>
      </c>
      <c r="R412" s="10" t="str">
        <f t="shared" si="6"/>
        <v>#DIV/0!</v>
      </c>
      <c r="S412" s="10" t="str">
        <f t="shared" si="23"/>
        <v>#DIV/0!</v>
      </c>
      <c r="T412" s="10" t="str">
        <f t="shared" si="22"/>
        <v>#DIV/0!</v>
      </c>
      <c r="U412" s="10" t="str">
        <f t="shared" si="8"/>
        <v>#DIV/0!</v>
      </c>
      <c r="V412" s="10"/>
      <c r="W412" s="10"/>
      <c r="X412" s="10"/>
      <c r="Y412" s="10"/>
      <c r="Z412" s="10"/>
      <c r="AA412" s="10"/>
      <c r="AB412" s="10"/>
      <c r="AC412" s="10"/>
      <c r="AD412" s="10"/>
      <c r="AE412" s="10"/>
      <c r="AF412" s="10"/>
    </row>
    <row r="413" hidden="1">
      <c r="A413" s="9" t="s">
        <v>630</v>
      </c>
      <c r="B413" s="84"/>
      <c r="C413" s="9"/>
      <c r="D413" s="9" t="str">
        <f t="shared" si="1"/>
        <v/>
      </c>
      <c r="E413" s="10" t="str">
        <f t="shared" si="2"/>
        <v>OT Hours</v>
      </c>
      <c r="F413" s="10" t="str">
        <f>IFERROR(VLOOKUP(C413,'Employees List'!$B$1:$I$999,4,0),"")</f>
        <v/>
      </c>
      <c r="G413" s="10" t="str">
        <f t="shared" si="21"/>
        <v>#DIV/0!</v>
      </c>
      <c r="H413" s="72" t="str">
        <f>IFERROR(VLOOKUP(C413,'Employees List'!$B$2:$I$991,7,0),"")</f>
        <v/>
      </c>
      <c r="I413" s="73" t="str">
        <f>IFERROR(VLOOKUP(F413,'Employees List'!$E$1:$AE$991,6,0),"")</f>
        <v/>
      </c>
      <c r="J413" s="71">
        <f t="shared" si="3"/>
        <v>0</v>
      </c>
      <c r="K413" s="71">
        <f t="shared" si="4"/>
        <v>0</v>
      </c>
      <c r="L413" s="10" t="str">
        <f>IFERROR(VLOOKUP(B413,'Employees List'!$A$2:$K$991,11,0),"")</f>
        <v/>
      </c>
      <c r="M413" s="74" t="str">
        <f>IFERROR(VLOOKUP(D413,'Daily Attendance 25-26'!$A$4:BP999,5,0),"")</f>
        <v/>
      </c>
      <c r="N413" s="10" t="str">
        <f>IFERROR(VLOOKUP(E413,'Daily Attendance 25-26'!$A$1:$BO$1741,5,0),"")</f>
        <v/>
      </c>
      <c r="O413" s="10"/>
      <c r="P413" s="10"/>
      <c r="Q413" s="10" t="str">
        <f t="shared" si="5"/>
        <v>#DIV/0!</v>
      </c>
      <c r="R413" s="10" t="str">
        <f t="shared" si="6"/>
        <v>#DIV/0!</v>
      </c>
      <c r="S413" s="10" t="str">
        <f t="shared" si="23"/>
        <v>#DIV/0!</v>
      </c>
      <c r="T413" s="10" t="str">
        <f t="shared" si="22"/>
        <v>#DIV/0!</v>
      </c>
      <c r="U413" s="10" t="str">
        <f t="shared" si="8"/>
        <v>#DIV/0!</v>
      </c>
      <c r="V413" s="10"/>
      <c r="W413" s="10"/>
      <c r="X413" s="10"/>
      <c r="Y413" s="10"/>
      <c r="Z413" s="10"/>
      <c r="AA413" s="10"/>
      <c r="AB413" s="10"/>
      <c r="AC413" s="10"/>
      <c r="AD413" s="10"/>
      <c r="AE413" s="10"/>
      <c r="AF413" s="10"/>
    </row>
    <row r="414" hidden="1">
      <c r="A414" s="9" t="s">
        <v>631</v>
      </c>
      <c r="B414" s="84"/>
      <c r="C414" s="9"/>
      <c r="D414" s="9" t="str">
        <f t="shared" si="1"/>
        <v/>
      </c>
      <c r="E414" s="10" t="str">
        <f t="shared" si="2"/>
        <v>OT Hours</v>
      </c>
      <c r="F414" s="10" t="str">
        <f>IFERROR(VLOOKUP(C414,'Employees List'!$B$1:$I$999,4,0),"")</f>
        <v/>
      </c>
      <c r="G414" s="10" t="str">
        <f t="shared" si="21"/>
        <v>#DIV/0!</v>
      </c>
      <c r="H414" s="72" t="str">
        <f>IFERROR(VLOOKUP(C414,'Employees List'!$B$2:$I$991,7,0),"")</f>
        <v/>
      </c>
      <c r="I414" s="73" t="str">
        <f>IFERROR(VLOOKUP(F414,'Employees List'!$E$1:$AE$991,6,0),"")</f>
        <v/>
      </c>
      <c r="J414" s="71">
        <f t="shared" si="3"/>
        <v>0</v>
      </c>
      <c r="K414" s="71">
        <f t="shared" si="4"/>
        <v>0</v>
      </c>
      <c r="L414" s="10" t="str">
        <f>IFERROR(VLOOKUP(B414,'Employees List'!$A$2:$K$991,11,0),"")</f>
        <v/>
      </c>
      <c r="M414" s="74" t="str">
        <f>IFERROR(VLOOKUP(D414,'Daily Attendance 25-26'!$A$4:BP999,5,0),"")</f>
        <v/>
      </c>
      <c r="N414" s="10" t="str">
        <f>IFERROR(VLOOKUP(E414,'Daily Attendance 25-26'!$A$1:$BO$1741,5,0),"")</f>
        <v/>
      </c>
      <c r="O414" s="10"/>
      <c r="P414" s="10"/>
      <c r="Q414" s="10" t="str">
        <f t="shared" si="5"/>
        <v>#DIV/0!</v>
      </c>
      <c r="R414" s="10" t="str">
        <f t="shared" si="6"/>
        <v>#DIV/0!</v>
      </c>
      <c r="S414" s="10" t="str">
        <f t="shared" si="23"/>
        <v>#DIV/0!</v>
      </c>
      <c r="T414" s="10" t="str">
        <f t="shared" si="22"/>
        <v>#DIV/0!</v>
      </c>
      <c r="U414" s="10" t="str">
        <f t="shared" si="8"/>
        <v>#DIV/0!</v>
      </c>
      <c r="V414" s="10"/>
      <c r="W414" s="10"/>
      <c r="X414" s="10"/>
      <c r="Y414" s="10"/>
      <c r="Z414" s="10"/>
      <c r="AA414" s="10"/>
      <c r="AB414" s="10"/>
      <c r="AC414" s="10"/>
      <c r="AD414" s="10"/>
      <c r="AE414" s="10"/>
      <c r="AF414" s="10"/>
    </row>
    <row r="415" hidden="1">
      <c r="A415" s="9" t="s">
        <v>632</v>
      </c>
      <c r="B415" s="84"/>
      <c r="C415" s="9"/>
      <c r="D415" s="9" t="str">
        <f t="shared" si="1"/>
        <v/>
      </c>
      <c r="E415" s="10" t="str">
        <f t="shared" si="2"/>
        <v>OT Hours</v>
      </c>
      <c r="F415" s="10" t="str">
        <f>IFERROR(VLOOKUP(C415,'Employees List'!$B$1:$I$999,4,0),"")</f>
        <v/>
      </c>
      <c r="G415" s="10" t="str">
        <f t="shared" si="21"/>
        <v>#DIV/0!</v>
      </c>
      <c r="H415" s="72" t="str">
        <f>IFERROR(VLOOKUP(C415,'Employees List'!$B$2:$I$991,7,0),"")</f>
        <v/>
      </c>
      <c r="I415" s="73" t="str">
        <f>IFERROR(VLOOKUP(F415,'Employees List'!$E$1:$AE$991,6,0),"")</f>
        <v/>
      </c>
      <c r="J415" s="71">
        <f t="shared" si="3"/>
        <v>0</v>
      </c>
      <c r="K415" s="71">
        <f t="shared" si="4"/>
        <v>0</v>
      </c>
      <c r="L415" s="10" t="str">
        <f>IFERROR(VLOOKUP(B415,'Employees List'!$A$2:$K$991,11,0),"")</f>
        <v/>
      </c>
      <c r="M415" s="74" t="str">
        <f>IFERROR(VLOOKUP(D415,'Daily Attendance 25-26'!$A$4:BP999,5,0),"")</f>
        <v/>
      </c>
      <c r="N415" s="10" t="str">
        <f>IFERROR(VLOOKUP(E415,'Daily Attendance 25-26'!$A$1:$BO$1741,5,0),"")</f>
        <v/>
      </c>
      <c r="O415" s="10"/>
      <c r="P415" s="10"/>
      <c r="Q415" s="10" t="str">
        <f t="shared" si="5"/>
        <v>#DIV/0!</v>
      </c>
      <c r="R415" s="10" t="str">
        <f t="shared" si="6"/>
        <v>#DIV/0!</v>
      </c>
      <c r="S415" s="10" t="str">
        <f t="shared" si="23"/>
        <v>#DIV/0!</v>
      </c>
      <c r="T415" s="10" t="str">
        <f t="shared" si="22"/>
        <v>#DIV/0!</v>
      </c>
      <c r="U415" s="10" t="str">
        <f t="shared" si="8"/>
        <v>#DIV/0!</v>
      </c>
      <c r="V415" s="10"/>
      <c r="W415" s="10"/>
      <c r="X415" s="10"/>
      <c r="Y415" s="10"/>
      <c r="Z415" s="10"/>
      <c r="AA415" s="10"/>
      <c r="AB415" s="10"/>
      <c r="AC415" s="10"/>
      <c r="AD415" s="10"/>
      <c r="AE415" s="10"/>
      <c r="AF415" s="10"/>
    </row>
    <row r="416" hidden="1">
      <c r="A416" s="9" t="s">
        <v>633</v>
      </c>
      <c r="B416" s="84"/>
      <c r="C416" s="9"/>
      <c r="D416" s="9" t="str">
        <f t="shared" si="1"/>
        <v/>
      </c>
      <c r="E416" s="10" t="str">
        <f t="shared" si="2"/>
        <v>OT Hours</v>
      </c>
      <c r="F416" s="10" t="str">
        <f>IFERROR(VLOOKUP(C416,'Employees List'!$B$1:$I$999,4,0),"")</f>
        <v/>
      </c>
      <c r="G416" s="10" t="str">
        <f t="shared" si="21"/>
        <v>#DIV/0!</v>
      </c>
      <c r="H416" s="72" t="str">
        <f>IFERROR(VLOOKUP(C416,'Employees List'!$B$2:$I$991,7,0),"")</f>
        <v/>
      </c>
      <c r="I416" s="73" t="str">
        <f>IFERROR(VLOOKUP(F416,'Employees List'!$E$1:$AE$991,6,0),"")</f>
        <v/>
      </c>
      <c r="J416" s="71">
        <f t="shared" si="3"/>
        <v>0</v>
      </c>
      <c r="K416" s="71">
        <f t="shared" si="4"/>
        <v>0</v>
      </c>
      <c r="L416" s="10" t="str">
        <f>IFERROR(VLOOKUP(B416,'Employees List'!$A$2:$K$991,11,0),"")</f>
        <v/>
      </c>
      <c r="M416" s="74" t="str">
        <f>IFERROR(VLOOKUP(D416,'Daily Attendance 25-26'!$A$4:BP999,5,0),"")</f>
        <v/>
      </c>
      <c r="N416" s="10" t="str">
        <f>IFERROR(VLOOKUP(E416,'Daily Attendance 25-26'!$A$1:$BO$1741,5,0),"")</f>
        <v/>
      </c>
      <c r="O416" s="10"/>
      <c r="P416" s="10"/>
      <c r="Q416" s="10" t="str">
        <f t="shared" si="5"/>
        <v>#DIV/0!</v>
      </c>
      <c r="R416" s="10" t="str">
        <f t="shared" si="6"/>
        <v>#DIV/0!</v>
      </c>
      <c r="S416" s="10" t="str">
        <f t="shared" si="23"/>
        <v>#DIV/0!</v>
      </c>
      <c r="T416" s="10" t="str">
        <f t="shared" si="22"/>
        <v>#DIV/0!</v>
      </c>
      <c r="U416" s="10" t="str">
        <f t="shared" si="8"/>
        <v>#DIV/0!</v>
      </c>
      <c r="V416" s="10"/>
      <c r="W416" s="10"/>
      <c r="X416" s="10"/>
      <c r="Y416" s="10"/>
      <c r="Z416" s="10"/>
      <c r="AA416" s="10"/>
      <c r="AB416" s="10"/>
      <c r="AC416" s="10"/>
      <c r="AD416" s="10"/>
      <c r="AE416" s="10"/>
      <c r="AF416" s="10"/>
    </row>
    <row r="417" hidden="1">
      <c r="A417" s="9" t="s">
        <v>634</v>
      </c>
      <c r="B417" s="84"/>
      <c r="C417" s="9"/>
      <c r="D417" s="9" t="str">
        <f t="shared" si="1"/>
        <v/>
      </c>
      <c r="E417" s="10" t="str">
        <f t="shared" si="2"/>
        <v>OT Hours</v>
      </c>
      <c r="F417" s="10" t="str">
        <f>IFERROR(VLOOKUP(C417,'Employees List'!$B$1:$I$999,4,0),"")</f>
        <v/>
      </c>
      <c r="G417" s="10" t="str">
        <f t="shared" si="21"/>
        <v>#DIV/0!</v>
      </c>
      <c r="H417" s="72" t="str">
        <f>IFERROR(VLOOKUP(C417,'Employees List'!$B$2:$I$991,7,0),"")</f>
        <v/>
      </c>
      <c r="I417" s="73" t="str">
        <f>IFERROR(VLOOKUP(F417,'Employees List'!$E$1:$AE$991,6,0),"")</f>
        <v/>
      </c>
      <c r="J417" s="71">
        <f t="shared" si="3"/>
        <v>0</v>
      </c>
      <c r="K417" s="71">
        <f t="shared" si="4"/>
        <v>0</v>
      </c>
      <c r="L417" s="10" t="str">
        <f>IFERROR(VLOOKUP(B417,'Employees List'!$A$2:$K$991,11,0),"")</f>
        <v/>
      </c>
      <c r="M417" s="74" t="str">
        <f>IFERROR(VLOOKUP(D417,'Daily Attendance 25-26'!$A$4:BP999,5,0),"")</f>
        <v/>
      </c>
      <c r="N417" s="10" t="str">
        <f>IFERROR(VLOOKUP(E417,'Daily Attendance 25-26'!$A$1:$BO$1741,5,0),"")</f>
        <v/>
      </c>
      <c r="O417" s="10"/>
      <c r="P417" s="10"/>
      <c r="Q417" s="10" t="str">
        <f t="shared" si="5"/>
        <v>#DIV/0!</v>
      </c>
      <c r="R417" s="10" t="str">
        <f t="shared" si="6"/>
        <v>#DIV/0!</v>
      </c>
      <c r="S417" s="10" t="str">
        <f t="shared" si="23"/>
        <v>#DIV/0!</v>
      </c>
      <c r="T417" s="10" t="str">
        <f t="shared" si="22"/>
        <v>#DIV/0!</v>
      </c>
      <c r="U417" s="10" t="str">
        <f t="shared" si="8"/>
        <v>#DIV/0!</v>
      </c>
      <c r="V417" s="10"/>
      <c r="W417" s="10"/>
      <c r="X417" s="10"/>
      <c r="Y417" s="10"/>
      <c r="Z417" s="10"/>
      <c r="AA417" s="10"/>
      <c r="AB417" s="10"/>
      <c r="AC417" s="10"/>
      <c r="AD417" s="10"/>
      <c r="AE417" s="10"/>
      <c r="AF417" s="10"/>
    </row>
    <row r="418" hidden="1">
      <c r="A418" s="9" t="s">
        <v>635</v>
      </c>
      <c r="B418" s="84"/>
      <c r="C418" s="9"/>
      <c r="D418" s="9" t="str">
        <f t="shared" si="1"/>
        <v/>
      </c>
      <c r="E418" s="10" t="str">
        <f t="shared" si="2"/>
        <v>OT Hours</v>
      </c>
      <c r="F418" s="10" t="str">
        <f>IFERROR(VLOOKUP(C418,'Employees List'!$B$1:$I$999,4,0),"")</f>
        <v/>
      </c>
      <c r="G418" s="10" t="str">
        <f t="shared" si="21"/>
        <v>#DIV/0!</v>
      </c>
      <c r="H418" s="72" t="str">
        <f>IFERROR(VLOOKUP(C418,'Employees List'!$B$2:$I$991,7,0),"")</f>
        <v/>
      </c>
      <c r="I418" s="73" t="str">
        <f>IFERROR(VLOOKUP(F418,'Employees List'!$E$1:$AE$991,6,0),"")</f>
        <v/>
      </c>
      <c r="J418" s="71">
        <f t="shared" si="3"/>
        <v>0</v>
      </c>
      <c r="K418" s="71">
        <f t="shared" si="4"/>
        <v>0</v>
      </c>
      <c r="L418" s="10" t="str">
        <f>IFERROR(VLOOKUP(B418,'Employees List'!$A$2:$K$991,11,0),"")</f>
        <v/>
      </c>
      <c r="M418" s="74" t="str">
        <f>IFERROR(VLOOKUP(D418,'Daily Attendance 25-26'!$A$4:BP999,5,0),"")</f>
        <v/>
      </c>
      <c r="N418" s="10" t="str">
        <f>IFERROR(VLOOKUP(E418,'Daily Attendance 25-26'!$A$1:$BO$1741,5,0),"")</f>
        <v/>
      </c>
      <c r="O418" s="10"/>
      <c r="P418" s="10"/>
      <c r="Q418" s="10" t="str">
        <f t="shared" si="5"/>
        <v>#DIV/0!</v>
      </c>
      <c r="R418" s="10" t="str">
        <f t="shared" si="6"/>
        <v>#DIV/0!</v>
      </c>
      <c r="S418" s="10" t="str">
        <f t="shared" si="23"/>
        <v>#DIV/0!</v>
      </c>
      <c r="T418" s="10" t="str">
        <f t="shared" si="22"/>
        <v>#DIV/0!</v>
      </c>
      <c r="U418" s="10" t="str">
        <f t="shared" si="8"/>
        <v>#DIV/0!</v>
      </c>
      <c r="V418" s="10"/>
      <c r="W418" s="10"/>
      <c r="X418" s="10"/>
      <c r="Y418" s="10"/>
      <c r="Z418" s="10"/>
      <c r="AA418" s="10"/>
      <c r="AB418" s="10"/>
      <c r="AC418" s="10"/>
      <c r="AD418" s="10"/>
      <c r="AE418" s="10"/>
      <c r="AF418" s="10"/>
    </row>
    <row r="419" hidden="1">
      <c r="A419" s="9" t="s">
        <v>636</v>
      </c>
      <c r="B419" s="84"/>
      <c r="C419" s="9"/>
      <c r="D419" s="9" t="str">
        <f t="shared" si="1"/>
        <v/>
      </c>
      <c r="E419" s="10" t="str">
        <f t="shared" si="2"/>
        <v>OT Hours</v>
      </c>
      <c r="F419" s="10" t="str">
        <f>IFERROR(VLOOKUP(C419,'Employees List'!$B$1:$I$999,4,0),"")</f>
        <v/>
      </c>
      <c r="G419" s="10" t="str">
        <f t="shared" si="21"/>
        <v>#DIV/0!</v>
      </c>
      <c r="H419" s="72" t="str">
        <f>IFERROR(VLOOKUP(C419,'Employees List'!$B$2:$I$991,7,0),"")</f>
        <v/>
      </c>
      <c r="I419" s="73" t="str">
        <f>IFERROR(VLOOKUP(F419,'Employees List'!$E$1:$AE$991,6,0),"")</f>
        <v/>
      </c>
      <c r="J419" s="71">
        <f t="shared" si="3"/>
        <v>0</v>
      </c>
      <c r="K419" s="71">
        <f t="shared" si="4"/>
        <v>0</v>
      </c>
      <c r="L419" s="10" t="str">
        <f>IFERROR(VLOOKUP(B419,'Employees List'!$A$2:$K$991,11,0),"")</f>
        <v/>
      </c>
      <c r="M419" s="74" t="str">
        <f>IFERROR(VLOOKUP(D419,'Daily Attendance 25-26'!$A$4:BP999,5,0),"")</f>
        <v/>
      </c>
      <c r="N419" s="10" t="str">
        <f>IFERROR(VLOOKUP(E419,'Daily Attendance 25-26'!$A$1:$BO$1741,5,0),"")</f>
        <v/>
      </c>
      <c r="O419" s="10"/>
      <c r="P419" s="10"/>
      <c r="Q419" s="10" t="str">
        <f t="shared" si="5"/>
        <v>#DIV/0!</v>
      </c>
      <c r="R419" s="10" t="str">
        <f t="shared" si="6"/>
        <v>#DIV/0!</v>
      </c>
      <c r="S419" s="10" t="str">
        <f t="shared" si="23"/>
        <v>#DIV/0!</v>
      </c>
      <c r="T419" s="10" t="str">
        <f t="shared" si="22"/>
        <v>#DIV/0!</v>
      </c>
      <c r="U419" s="10" t="str">
        <f t="shared" si="8"/>
        <v>#DIV/0!</v>
      </c>
      <c r="V419" s="10"/>
      <c r="W419" s="10"/>
      <c r="X419" s="10"/>
      <c r="Y419" s="10"/>
      <c r="Z419" s="10"/>
      <c r="AA419" s="10"/>
      <c r="AB419" s="10"/>
      <c r="AC419" s="10"/>
      <c r="AD419" s="10"/>
      <c r="AE419" s="10"/>
      <c r="AF419" s="10"/>
    </row>
    <row r="420" hidden="1">
      <c r="A420" s="9" t="s">
        <v>637</v>
      </c>
      <c r="B420" s="84"/>
      <c r="C420" s="9"/>
      <c r="D420" s="9" t="str">
        <f t="shared" si="1"/>
        <v/>
      </c>
      <c r="E420" s="10" t="str">
        <f t="shared" si="2"/>
        <v>OT Hours</v>
      </c>
      <c r="F420" s="10" t="str">
        <f>IFERROR(VLOOKUP(C420,'Employees List'!$B$1:$I$999,4,0),"")</f>
        <v/>
      </c>
      <c r="G420" s="10" t="str">
        <f t="shared" si="21"/>
        <v>#DIV/0!</v>
      </c>
      <c r="H420" s="72" t="str">
        <f>IFERROR(VLOOKUP(C420,'Employees List'!$B$2:$I$991,7,0),"")</f>
        <v/>
      </c>
      <c r="I420" s="73" t="str">
        <f>IFERROR(VLOOKUP(F420,'Employees List'!$E$1:$AE$991,6,0),"")</f>
        <v/>
      </c>
      <c r="J420" s="71">
        <f t="shared" si="3"/>
        <v>0</v>
      </c>
      <c r="K420" s="71">
        <f t="shared" si="4"/>
        <v>0</v>
      </c>
      <c r="L420" s="10" t="str">
        <f>IFERROR(VLOOKUP(B420,'Employees List'!$A$2:$K$991,11,0),"")</f>
        <v/>
      </c>
      <c r="M420" s="74" t="str">
        <f>IFERROR(VLOOKUP(D420,'Daily Attendance 25-26'!$A$4:BP999,5,0),"")</f>
        <v/>
      </c>
      <c r="N420" s="10" t="str">
        <f>IFERROR(VLOOKUP(E420,'Daily Attendance 25-26'!$A$1:$BO$1741,5,0),"")</f>
        <v/>
      </c>
      <c r="O420" s="10"/>
      <c r="P420" s="10"/>
      <c r="Q420" s="10" t="str">
        <f t="shared" si="5"/>
        <v>#DIV/0!</v>
      </c>
      <c r="R420" s="10" t="str">
        <f t="shared" si="6"/>
        <v>#DIV/0!</v>
      </c>
      <c r="S420" s="10" t="str">
        <f t="shared" si="23"/>
        <v>#DIV/0!</v>
      </c>
      <c r="T420" s="10" t="str">
        <f t="shared" si="22"/>
        <v>#DIV/0!</v>
      </c>
      <c r="U420" s="10" t="str">
        <f t="shared" si="8"/>
        <v>#DIV/0!</v>
      </c>
      <c r="V420" s="10"/>
      <c r="W420" s="10"/>
      <c r="X420" s="10"/>
      <c r="Y420" s="10"/>
      <c r="Z420" s="10"/>
      <c r="AA420" s="10"/>
      <c r="AB420" s="10"/>
      <c r="AC420" s="10"/>
      <c r="AD420" s="10"/>
      <c r="AE420" s="10"/>
      <c r="AF420" s="10"/>
    </row>
    <row r="421" hidden="1">
      <c r="A421" s="9" t="s">
        <v>638</v>
      </c>
      <c r="B421" s="84"/>
      <c r="C421" s="9"/>
      <c r="D421" s="9" t="str">
        <f t="shared" si="1"/>
        <v/>
      </c>
      <c r="E421" s="10" t="str">
        <f t="shared" si="2"/>
        <v>OT Hours</v>
      </c>
      <c r="F421" s="10" t="str">
        <f>IFERROR(VLOOKUP(C421,'Employees List'!$B$1:$I$999,4,0),"")</f>
        <v/>
      </c>
      <c r="G421" s="10" t="str">
        <f t="shared" si="21"/>
        <v>#DIV/0!</v>
      </c>
      <c r="H421" s="72" t="str">
        <f>IFERROR(VLOOKUP(C421,'Employees List'!$B$2:$I$991,7,0),"")</f>
        <v/>
      </c>
      <c r="I421" s="73" t="str">
        <f>IFERROR(VLOOKUP(F421,'Employees List'!$E$1:$AE$991,6,0),"")</f>
        <v/>
      </c>
      <c r="J421" s="71">
        <f t="shared" si="3"/>
        <v>0</v>
      </c>
      <c r="K421" s="71">
        <f t="shared" si="4"/>
        <v>0</v>
      </c>
      <c r="L421" s="10" t="str">
        <f>IFERROR(VLOOKUP(B421,'Employees List'!$A$2:$K$991,11,0),"")</f>
        <v/>
      </c>
      <c r="M421" s="74" t="str">
        <f>IFERROR(VLOOKUP(D421,'Daily Attendance 25-26'!$A$4:BP999,5,0),"")</f>
        <v/>
      </c>
      <c r="N421" s="10" t="str">
        <f>IFERROR(VLOOKUP(E421,'Daily Attendance 25-26'!$A$1:$BO$1741,5,0),"")</f>
        <v/>
      </c>
      <c r="O421" s="10"/>
      <c r="P421" s="10"/>
      <c r="Q421" s="10" t="str">
        <f t="shared" si="5"/>
        <v>#DIV/0!</v>
      </c>
      <c r="R421" s="10" t="str">
        <f t="shared" si="6"/>
        <v>#DIV/0!</v>
      </c>
      <c r="S421" s="10" t="str">
        <f t="shared" si="23"/>
        <v>#DIV/0!</v>
      </c>
      <c r="T421" s="10" t="str">
        <f t="shared" si="22"/>
        <v>#DIV/0!</v>
      </c>
      <c r="U421" s="10" t="str">
        <f t="shared" si="8"/>
        <v>#DIV/0!</v>
      </c>
      <c r="V421" s="10"/>
      <c r="W421" s="10"/>
      <c r="X421" s="10"/>
      <c r="Y421" s="10"/>
      <c r="Z421" s="10"/>
      <c r="AA421" s="10"/>
      <c r="AB421" s="10"/>
      <c r="AC421" s="10"/>
      <c r="AD421" s="10"/>
      <c r="AE421" s="10"/>
      <c r="AF421" s="10"/>
    </row>
    <row r="422" hidden="1">
      <c r="A422" s="9" t="s">
        <v>639</v>
      </c>
      <c r="B422" s="84"/>
      <c r="C422" s="9"/>
      <c r="D422" s="9" t="str">
        <f t="shared" si="1"/>
        <v/>
      </c>
      <c r="E422" s="10" t="str">
        <f t="shared" si="2"/>
        <v>OT Hours</v>
      </c>
      <c r="F422" s="10" t="str">
        <f>IFERROR(VLOOKUP(C422,'Employees List'!$B$1:$I$999,4,0),"")</f>
        <v/>
      </c>
      <c r="G422" s="10" t="str">
        <f t="shared" si="21"/>
        <v>#DIV/0!</v>
      </c>
      <c r="H422" s="72" t="str">
        <f>IFERROR(VLOOKUP(C422,'Employees List'!$B$2:$I$991,7,0),"")</f>
        <v/>
      </c>
      <c r="I422" s="73" t="str">
        <f>IFERROR(VLOOKUP(F422,'Employees List'!$E$1:$AE$991,6,0),"")</f>
        <v/>
      </c>
      <c r="J422" s="71">
        <f t="shared" si="3"/>
        <v>0</v>
      </c>
      <c r="K422" s="71">
        <f t="shared" si="4"/>
        <v>0</v>
      </c>
      <c r="L422" s="10" t="str">
        <f>IFERROR(VLOOKUP(B422,'Employees List'!$A$2:$K$991,11,0),"")</f>
        <v/>
      </c>
      <c r="M422" s="74" t="str">
        <f>IFERROR(VLOOKUP(D422,'Daily Attendance 25-26'!$A$4:BP999,5,0),"")</f>
        <v/>
      </c>
      <c r="N422" s="10" t="str">
        <f>IFERROR(VLOOKUP(E422,'Daily Attendance 25-26'!$A$1:$BO$1741,5,0),"")</f>
        <v/>
      </c>
      <c r="O422" s="10"/>
      <c r="P422" s="10"/>
      <c r="Q422" s="10" t="str">
        <f t="shared" si="5"/>
        <v>#DIV/0!</v>
      </c>
      <c r="R422" s="10" t="str">
        <f t="shared" si="6"/>
        <v>#DIV/0!</v>
      </c>
      <c r="S422" s="10" t="str">
        <f t="shared" si="23"/>
        <v>#DIV/0!</v>
      </c>
      <c r="T422" s="10" t="str">
        <f t="shared" si="22"/>
        <v>#DIV/0!</v>
      </c>
      <c r="U422" s="10" t="str">
        <f t="shared" si="8"/>
        <v>#DIV/0!</v>
      </c>
      <c r="V422" s="10"/>
      <c r="W422" s="10"/>
      <c r="X422" s="10"/>
      <c r="Y422" s="10"/>
      <c r="Z422" s="10"/>
      <c r="AA422" s="10"/>
      <c r="AB422" s="10"/>
      <c r="AC422" s="10"/>
      <c r="AD422" s="10"/>
      <c r="AE422" s="10"/>
      <c r="AF422" s="10"/>
    </row>
    <row r="423" hidden="1">
      <c r="A423" s="9" t="s">
        <v>640</v>
      </c>
      <c r="B423" s="84"/>
      <c r="C423" s="9"/>
      <c r="D423" s="9" t="str">
        <f t="shared" si="1"/>
        <v/>
      </c>
      <c r="E423" s="10" t="str">
        <f t="shared" si="2"/>
        <v>OT Hours</v>
      </c>
      <c r="F423" s="10" t="str">
        <f>IFERROR(VLOOKUP(C423,'Employees List'!$B$1:$I$999,4,0),"")</f>
        <v/>
      </c>
      <c r="G423" s="10" t="str">
        <f t="shared" si="21"/>
        <v>#DIV/0!</v>
      </c>
      <c r="H423" s="72" t="str">
        <f>IFERROR(VLOOKUP(C423,'Employees List'!$B$2:$I$991,7,0),"")</f>
        <v/>
      </c>
      <c r="I423" s="73" t="str">
        <f>IFERROR(VLOOKUP(F423,'Employees List'!$E$1:$AE$991,6,0),"")</f>
        <v/>
      </c>
      <c r="J423" s="71">
        <f t="shared" si="3"/>
        <v>0</v>
      </c>
      <c r="K423" s="71">
        <f t="shared" si="4"/>
        <v>0</v>
      </c>
      <c r="L423" s="10" t="str">
        <f>IFERROR(VLOOKUP(B423,'Employees List'!$A$2:$K$991,11,0),"")</f>
        <v/>
      </c>
      <c r="M423" s="74" t="str">
        <f>IFERROR(VLOOKUP(D423,'Daily Attendance 25-26'!$A$4:BP999,5,0),"")</f>
        <v/>
      </c>
      <c r="N423" s="10" t="str">
        <f>IFERROR(VLOOKUP(E423,'Daily Attendance 25-26'!$A$1:$BO$1741,5,0),"")</f>
        <v/>
      </c>
      <c r="O423" s="10"/>
      <c r="P423" s="10"/>
      <c r="Q423" s="10" t="str">
        <f t="shared" si="5"/>
        <v>#DIV/0!</v>
      </c>
      <c r="R423" s="10" t="str">
        <f t="shared" si="6"/>
        <v>#DIV/0!</v>
      </c>
      <c r="S423" s="10" t="str">
        <f t="shared" si="23"/>
        <v>#DIV/0!</v>
      </c>
      <c r="T423" s="10" t="str">
        <f t="shared" si="22"/>
        <v>#DIV/0!</v>
      </c>
      <c r="U423" s="10" t="str">
        <f t="shared" si="8"/>
        <v>#DIV/0!</v>
      </c>
      <c r="V423" s="10"/>
      <c r="W423" s="10"/>
      <c r="X423" s="10"/>
      <c r="Y423" s="10"/>
      <c r="Z423" s="10"/>
      <c r="AA423" s="10"/>
      <c r="AB423" s="10"/>
      <c r="AC423" s="10"/>
      <c r="AD423" s="10"/>
      <c r="AE423" s="10"/>
      <c r="AF423" s="10"/>
    </row>
    <row r="424" hidden="1">
      <c r="A424" s="9" t="s">
        <v>641</v>
      </c>
      <c r="B424" s="84"/>
      <c r="C424" s="9"/>
      <c r="D424" s="9" t="str">
        <f t="shared" si="1"/>
        <v/>
      </c>
      <c r="E424" s="10" t="str">
        <f t="shared" si="2"/>
        <v>OT Hours</v>
      </c>
      <c r="F424" s="10" t="str">
        <f>IFERROR(VLOOKUP(C424,'Employees List'!$B$1:$I$999,4,0),"")</f>
        <v/>
      </c>
      <c r="G424" s="10" t="str">
        <f t="shared" si="21"/>
        <v>#DIV/0!</v>
      </c>
      <c r="H424" s="72" t="str">
        <f>IFERROR(VLOOKUP(C424,'Employees List'!$B$2:$I$991,7,0),"")</f>
        <v/>
      </c>
      <c r="I424" s="73" t="str">
        <f>IFERROR(VLOOKUP(F424,'Employees List'!$E$1:$AE$991,6,0),"")</f>
        <v/>
      </c>
      <c r="J424" s="71">
        <f t="shared" si="3"/>
        <v>0</v>
      </c>
      <c r="K424" s="71">
        <f t="shared" si="4"/>
        <v>0</v>
      </c>
      <c r="L424" s="10" t="str">
        <f>IFERROR(VLOOKUP(B424,'Employees List'!$A$2:$K$991,11,0),"")</f>
        <v/>
      </c>
      <c r="M424" s="74" t="str">
        <f>IFERROR(VLOOKUP(D424,'Daily Attendance 25-26'!$A$4:BP999,5,0),"")</f>
        <v/>
      </c>
      <c r="N424" s="10" t="str">
        <f>IFERROR(VLOOKUP(E424,'Daily Attendance 25-26'!$A$1:$BO$1741,5,0),"")</f>
        <v/>
      </c>
      <c r="O424" s="10"/>
      <c r="P424" s="10"/>
      <c r="Q424" s="10" t="str">
        <f t="shared" si="5"/>
        <v>#DIV/0!</v>
      </c>
      <c r="R424" s="10" t="str">
        <f t="shared" si="6"/>
        <v>#DIV/0!</v>
      </c>
      <c r="S424" s="10" t="str">
        <f t="shared" si="23"/>
        <v>#DIV/0!</v>
      </c>
      <c r="T424" s="10" t="str">
        <f t="shared" si="22"/>
        <v>#DIV/0!</v>
      </c>
      <c r="U424" s="10" t="str">
        <f t="shared" si="8"/>
        <v>#DIV/0!</v>
      </c>
      <c r="V424" s="10"/>
      <c r="W424" s="10"/>
      <c r="X424" s="10"/>
      <c r="Y424" s="10"/>
      <c r="Z424" s="10"/>
      <c r="AA424" s="10"/>
      <c r="AB424" s="10"/>
      <c r="AC424" s="10"/>
      <c r="AD424" s="10"/>
      <c r="AE424" s="10"/>
      <c r="AF424" s="10"/>
    </row>
    <row r="425" hidden="1">
      <c r="A425" s="9" t="s">
        <v>642</v>
      </c>
      <c r="B425" s="84"/>
      <c r="C425" s="9"/>
      <c r="D425" s="9" t="str">
        <f t="shared" si="1"/>
        <v/>
      </c>
      <c r="E425" s="10" t="str">
        <f t="shared" si="2"/>
        <v>OT Hours</v>
      </c>
      <c r="F425" s="10" t="str">
        <f>IFERROR(VLOOKUP(C425,'Employees List'!$B$1:$I$999,4,0),"")</f>
        <v/>
      </c>
      <c r="G425" s="10" t="str">
        <f t="shared" si="21"/>
        <v>#DIV/0!</v>
      </c>
      <c r="H425" s="72" t="str">
        <f>IFERROR(VLOOKUP(C425,'Employees List'!$B$2:$I$991,7,0),"")</f>
        <v/>
      </c>
      <c r="I425" s="73" t="str">
        <f>IFERROR(VLOOKUP(F425,'Employees List'!$E$1:$AE$991,6,0),"")</f>
        <v/>
      </c>
      <c r="J425" s="71">
        <f t="shared" si="3"/>
        <v>0</v>
      </c>
      <c r="K425" s="71">
        <f t="shared" si="4"/>
        <v>0</v>
      </c>
      <c r="L425" s="10" t="str">
        <f>IFERROR(VLOOKUP(B425,'Employees List'!$A$2:$K$991,11,0),"")</f>
        <v/>
      </c>
      <c r="M425" s="74" t="str">
        <f>IFERROR(VLOOKUP(D425,'Daily Attendance 25-26'!$A$4:BP999,5,0),"")</f>
        <v/>
      </c>
      <c r="N425" s="10" t="str">
        <f>IFERROR(VLOOKUP(E425,'Daily Attendance 25-26'!$A$1:$BO$1741,5,0),"")</f>
        <v/>
      </c>
      <c r="O425" s="10"/>
      <c r="P425" s="10"/>
      <c r="Q425" s="10" t="str">
        <f t="shared" si="5"/>
        <v>#DIV/0!</v>
      </c>
      <c r="R425" s="10" t="str">
        <f t="shared" si="6"/>
        <v>#DIV/0!</v>
      </c>
      <c r="S425" s="10" t="str">
        <f t="shared" si="23"/>
        <v>#DIV/0!</v>
      </c>
      <c r="T425" s="10" t="str">
        <f t="shared" si="22"/>
        <v>#DIV/0!</v>
      </c>
      <c r="U425" s="10" t="str">
        <f t="shared" si="8"/>
        <v>#DIV/0!</v>
      </c>
      <c r="V425" s="10"/>
      <c r="W425" s="10"/>
      <c r="X425" s="10"/>
      <c r="Y425" s="10"/>
      <c r="Z425" s="10"/>
      <c r="AA425" s="10"/>
      <c r="AB425" s="10"/>
      <c r="AC425" s="10"/>
      <c r="AD425" s="10"/>
      <c r="AE425" s="10"/>
      <c r="AF425" s="10"/>
    </row>
    <row r="426" hidden="1">
      <c r="A426" s="9" t="s">
        <v>643</v>
      </c>
      <c r="B426" s="84"/>
      <c r="C426" s="9"/>
      <c r="D426" s="9" t="str">
        <f t="shared" si="1"/>
        <v/>
      </c>
      <c r="E426" s="10" t="str">
        <f t="shared" si="2"/>
        <v>OT Hours</v>
      </c>
      <c r="F426" s="10" t="str">
        <f>IFERROR(VLOOKUP(C426,'Employees List'!$B$1:$I$999,4,0),"")</f>
        <v/>
      </c>
      <c r="G426" s="10" t="str">
        <f t="shared" si="21"/>
        <v>#DIV/0!</v>
      </c>
      <c r="H426" s="72" t="str">
        <f>IFERROR(VLOOKUP(C426,'Employees List'!$B$2:$I$991,7,0),"")</f>
        <v/>
      </c>
      <c r="I426" s="73" t="str">
        <f>IFERROR(VLOOKUP(F426,'Employees List'!$E$1:$AE$991,6,0),"")</f>
        <v/>
      </c>
      <c r="J426" s="71">
        <f t="shared" si="3"/>
        <v>0</v>
      </c>
      <c r="K426" s="71">
        <f t="shared" si="4"/>
        <v>0</v>
      </c>
      <c r="L426" s="10" t="str">
        <f>IFERROR(VLOOKUP(B426,'Employees List'!$A$2:$K$991,11,0),"")</f>
        <v/>
      </c>
      <c r="M426" s="74" t="str">
        <f>IFERROR(VLOOKUP(D426,'Daily Attendance 25-26'!$A$4:BP999,5,0),"")</f>
        <v/>
      </c>
      <c r="N426" s="10" t="str">
        <f>IFERROR(VLOOKUP(E426,'Daily Attendance 25-26'!$A$1:$BO$1741,5,0),"")</f>
        <v/>
      </c>
      <c r="O426" s="10"/>
      <c r="P426" s="10"/>
      <c r="Q426" s="10" t="str">
        <f t="shared" si="5"/>
        <v>#DIV/0!</v>
      </c>
      <c r="R426" s="10" t="str">
        <f t="shared" si="6"/>
        <v>#DIV/0!</v>
      </c>
      <c r="S426" s="10" t="str">
        <f t="shared" si="23"/>
        <v>#DIV/0!</v>
      </c>
      <c r="T426" s="10" t="str">
        <f t="shared" si="22"/>
        <v>#DIV/0!</v>
      </c>
      <c r="U426" s="10" t="str">
        <f t="shared" si="8"/>
        <v>#DIV/0!</v>
      </c>
      <c r="V426" s="10"/>
      <c r="W426" s="10"/>
      <c r="X426" s="10"/>
      <c r="Y426" s="10"/>
      <c r="Z426" s="10"/>
      <c r="AA426" s="10"/>
      <c r="AB426" s="10"/>
      <c r="AC426" s="10"/>
      <c r="AD426" s="10"/>
      <c r="AE426" s="10"/>
      <c r="AF426" s="10"/>
    </row>
    <row r="427" hidden="1">
      <c r="A427" s="9" t="s">
        <v>644</v>
      </c>
      <c r="B427" s="84"/>
      <c r="C427" s="9"/>
      <c r="D427" s="9" t="str">
        <f t="shared" si="1"/>
        <v/>
      </c>
      <c r="E427" s="10" t="str">
        <f t="shared" si="2"/>
        <v>OT Hours</v>
      </c>
      <c r="F427" s="10" t="str">
        <f>IFERROR(VLOOKUP(C427,'Employees List'!$B$1:$I$999,4,0),"")</f>
        <v/>
      </c>
      <c r="G427" s="10" t="str">
        <f t="shared" si="21"/>
        <v>#DIV/0!</v>
      </c>
      <c r="H427" s="72" t="str">
        <f>IFERROR(VLOOKUP(C427,'Employees List'!$B$2:$I$991,7,0),"")</f>
        <v/>
      </c>
      <c r="I427" s="73" t="str">
        <f>IFERROR(VLOOKUP(F427,'Employees List'!$E$1:$AE$991,6,0),"")</f>
        <v/>
      </c>
      <c r="J427" s="71">
        <f t="shared" si="3"/>
        <v>0</v>
      </c>
      <c r="K427" s="71">
        <f t="shared" si="4"/>
        <v>0</v>
      </c>
      <c r="L427" s="10" t="str">
        <f>IFERROR(VLOOKUP(B427,'Employees List'!$A$2:$K$991,11,0),"")</f>
        <v/>
      </c>
      <c r="M427" s="74" t="str">
        <f>IFERROR(VLOOKUP(D427,'Daily Attendance 25-26'!$A$4:BP999,5,0),"")</f>
        <v/>
      </c>
      <c r="N427" s="10" t="str">
        <f>IFERROR(VLOOKUP(E427,'Daily Attendance 25-26'!$A$1:$BO$1741,5,0),"")</f>
        <v/>
      </c>
      <c r="O427" s="10"/>
      <c r="P427" s="10"/>
      <c r="Q427" s="10" t="str">
        <f t="shared" si="5"/>
        <v>#DIV/0!</v>
      </c>
      <c r="R427" s="10" t="str">
        <f t="shared" si="6"/>
        <v>#DIV/0!</v>
      </c>
      <c r="S427" s="10" t="str">
        <f t="shared" si="23"/>
        <v>#DIV/0!</v>
      </c>
      <c r="T427" s="10" t="str">
        <f t="shared" si="22"/>
        <v>#DIV/0!</v>
      </c>
      <c r="U427" s="10" t="str">
        <f t="shared" si="8"/>
        <v>#DIV/0!</v>
      </c>
      <c r="V427" s="10"/>
      <c r="W427" s="10"/>
      <c r="X427" s="10"/>
      <c r="Y427" s="10"/>
      <c r="Z427" s="10"/>
      <c r="AA427" s="10"/>
      <c r="AB427" s="10"/>
      <c r="AC427" s="10"/>
      <c r="AD427" s="10"/>
      <c r="AE427" s="10"/>
      <c r="AF427" s="10"/>
    </row>
    <row r="428" hidden="1">
      <c r="A428" s="9" t="s">
        <v>645</v>
      </c>
      <c r="B428" s="84"/>
      <c r="C428" s="9"/>
      <c r="D428" s="9" t="str">
        <f t="shared" si="1"/>
        <v/>
      </c>
      <c r="E428" s="10" t="str">
        <f t="shared" si="2"/>
        <v>OT Hours</v>
      </c>
      <c r="F428" s="10" t="str">
        <f>IFERROR(VLOOKUP(C428,'Employees List'!$B$1:$I$999,4,0),"")</f>
        <v/>
      </c>
      <c r="G428" s="10" t="str">
        <f t="shared" si="21"/>
        <v>#DIV/0!</v>
      </c>
      <c r="H428" s="72" t="str">
        <f>IFERROR(VLOOKUP(C428,'Employees List'!$B$2:$I$991,7,0),"")</f>
        <v/>
      </c>
      <c r="I428" s="73" t="str">
        <f>IFERROR(VLOOKUP(F428,'Employees List'!$E$1:$AE$991,6,0),"")</f>
        <v/>
      </c>
      <c r="J428" s="71">
        <f t="shared" si="3"/>
        <v>0</v>
      </c>
      <c r="K428" s="71">
        <f t="shared" si="4"/>
        <v>0</v>
      </c>
      <c r="L428" s="10" t="str">
        <f>IFERROR(VLOOKUP(B428,'Employees List'!$A$2:$K$991,11,0),"")</f>
        <v/>
      </c>
      <c r="M428" s="74" t="str">
        <f>IFERROR(VLOOKUP(D428,'Daily Attendance 25-26'!$A$4:BP999,5,0),"")</f>
        <v/>
      </c>
      <c r="N428" s="10" t="str">
        <f>IFERROR(VLOOKUP(E428,'Daily Attendance 25-26'!$A$1:$BO$1741,5,0),"")</f>
        <v/>
      </c>
      <c r="O428" s="10"/>
      <c r="P428" s="10"/>
      <c r="Q428" s="10" t="str">
        <f t="shared" si="5"/>
        <v>#DIV/0!</v>
      </c>
      <c r="R428" s="10" t="str">
        <f t="shared" si="6"/>
        <v>#DIV/0!</v>
      </c>
      <c r="S428" s="10" t="str">
        <f t="shared" si="23"/>
        <v>#DIV/0!</v>
      </c>
      <c r="T428" s="10" t="str">
        <f t="shared" si="22"/>
        <v>#DIV/0!</v>
      </c>
      <c r="U428" s="10" t="str">
        <f t="shared" si="8"/>
        <v>#DIV/0!</v>
      </c>
      <c r="V428" s="10"/>
      <c r="W428" s="10"/>
      <c r="X428" s="10"/>
      <c r="Y428" s="10"/>
      <c r="Z428" s="10"/>
      <c r="AA428" s="10"/>
      <c r="AB428" s="10"/>
      <c r="AC428" s="10"/>
      <c r="AD428" s="10"/>
      <c r="AE428" s="10"/>
      <c r="AF428" s="10"/>
    </row>
    <row r="429" hidden="1">
      <c r="A429" s="9" t="s">
        <v>646</v>
      </c>
      <c r="B429" s="84"/>
      <c r="C429" s="9"/>
      <c r="D429" s="9" t="str">
        <f t="shared" si="1"/>
        <v/>
      </c>
      <c r="E429" s="10" t="str">
        <f t="shared" si="2"/>
        <v>OT Hours</v>
      </c>
      <c r="F429" s="10" t="str">
        <f>IFERROR(VLOOKUP(C429,'Employees List'!$B$1:$I$999,4,0),"")</f>
        <v/>
      </c>
      <c r="G429" s="10" t="str">
        <f t="shared" si="21"/>
        <v>#DIV/0!</v>
      </c>
      <c r="H429" s="72" t="str">
        <f>IFERROR(VLOOKUP(C429,'Employees List'!$B$2:$I$991,7,0),"")</f>
        <v/>
      </c>
      <c r="I429" s="73" t="str">
        <f>IFERROR(VLOOKUP(F429,'Employees List'!$E$1:$AE$991,6,0),"")</f>
        <v/>
      </c>
      <c r="J429" s="71">
        <f t="shared" si="3"/>
        <v>0</v>
      </c>
      <c r="K429" s="71">
        <f t="shared" si="4"/>
        <v>0</v>
      </c>
      <c r="L429" s="10" t="str">
        <f>IFERROR(VLOOKUP(B429,'Employees List'!$A$2:$K$991,11,0),"")</f>
        <v/>
      </c>
      <c r="M429" s="74" t="str">
        <f>IFERROR(VLOOKUP(D429,'Daily Attendance 25-26'!$A$4:BP999,5,0),"")</f>
        <v/>
      </c>
      <c r="N429" s="10" t="str">
        <f>IFERROR(VLOOKUP(E429,'Daily Attendance 25-26'!$A$1:$BO$1741,5,0),"")</f>
        <v/>
      </c>
      <c r="O429" s="10"/>
      <c r="P429" s="10"/>
      <c r="Q429" s="10" t="str">
        <f t="shared" si="5"/>
        <v>#DIV/0!</v>
      </c>
      <c r="R429" s="10" t="str">
        <f t="shared" si="6"/>
        <v>#DIV/0!</v>
      </c>
      <c r="S429" s="10" t="str">
        <f t="shared" si="23"/>
        <v>#DIV/0!</v>
      </c>
      <c r="T429" s="10" t="str">
        <f t="shared" si="22"/>
        <v>#DIV/0!</v>
      </c>
      <c r="U429" s="10" t="str">
        <f t="shared" si="8"/>
        <v>#DIV/0!</v>
      </c>
      <c r="V429" s="10"/>
      <c r="W429" s="10"/>
      <c r="X429" s="10"/>
      <c r="Y429" s="10"/>
      <c r="Z429" s="10"/>
      <c r="AA429" s="10"/>
      <c r="AB429" s="10"/>
      <c r="AC429" s="10"/>
      <c r="AD429" s="10"/>
      <c r="AE429" s="10"/>
      <c r="AF429" s="10"/>
    </row>
    <row r="430" hidden="1">
      <c r="A430" s="9" t="s">
        <v>647</v>
      </c>
      <c r="B430" s="84"/>
      <c r="C430" s="9"/>
      <c r="D430" s="9" t="str">
        <f t="shared" si="1"/>
        <v/>
      </c>
      <c r="E430" s="10" t="str">
        <f t="shared" si="2"/>
        <v>OT Hours</v>
      </c>
      <c r="F430" s="10" t="str">
        <f>IFERROR(VLOOKUP(C430,'Employees List'!$B$1:$I$999,4,0),"")</f>
        <v/>
      </c>
      <c r="G430" s="10" t="str">
        <f t="shared" si="21"/>
        <v>#DIV/0!</v>
      </c>
      <c r="H430" s="72" t="str">
        <f>IFERROR(VLOOKUP(C430,'Employees List'!$B$2:$I$991,7,0),"")</f>
        <v/>
      </c>
      <c r="I430" s="73" t="str">
        <f>IFERROR(VLOOKUP(F430,'Employees List'!$E$1:$AE$991,6,0),"")</f>
        <v/>
      </c>
      <c r="J430" s="71">
        <f t="shared" si="3"/>
        <v>0</v>
      </c>
      <c r="K430" s="71">
        <f t="shared" si="4"/>
        <v>0</v>
      </c>
      <c r="L430" s="10" t="str">
        <f>IFERROR(VLOOKUP(B430,'Employees List'!$A$2:$K$991,11,0),"")</f>
        <v/>
      </c>
      <c r="M430" s="74" t="str">
        <f>IFERROR(VLOOKUP(D430,'Daily Attendance 25-26'!$A$4:BP999,5,0),"")</f>
        <v/>
      </c>
      <c r="N430" s="10" t="str">
        <f>IFERROR(VLOOKUP(E430,'Daily Attendance 25-26'!$A$1:$BO$1741,5,0),"")</f>
        <v/>
      </c>
      <c r="O430" s="10"/>
      <c r="P430" s="10"/>
      <c r="Q430" s="10" t="str">
        <f t="shared" si="5"/>
        <v>#DIV/0!</v>
      </c>
      <c r="R430" s="10" t="str">
        <f t="shared" si="6"/>
        <v>#DIV/0!</v>
      </c>
      <c r="S430" s="10" t="str">
        <f t="shared" si="23"/>
        <v>#DIV/0!</v>
      </c>
      <c r="T430" s="10" t="str">
        <f t="shared" si="22"/>
        <v>#DIV/0!</v>
      </c>
      <c r="U430" s="10" t="str">
        <f t="shared" si="8"/>
        <v>#DIV/0!</v>
      </c>
      <c r="V430" s="10"/>
      <c r="W430" s="10"/>
      <c r="X430" s="10"/>
      <c r="Y430" s="10"/>
      <c r="Z430" s="10"/>
      <c r="AA430" s="10"/>
      <c r="AB430" s="10"/>
      <c r="AC430" s="10"/>
      <c r="AD430" s="10"/>
      <c r="AE430" s="10"/>
      <c r="AF430" s="10"/>
    </row>
    <row r="431" hidden="1">
      <c r="A431" s="9" t="s">
        <v>648</v>
      </c>
      <c r="B431" s="84"/>
      <c r="C431" s="9"/>
      <c r="D431" s="9" t="str">
        <f t="shared" si="1"/>
        <v/>
      </c>
      <c r="E431" s="10" t="str">
        <f t="shared" si="2"/>
        <v>OT Hours</v>
      </c>
      <c r="F431" s="10" t="str">
        <f>IFERROR(VLOOKUP(C431,'Employees List'!$B$1:$I$999,4,0),"")</f>
        <v/>
      </c>
      <c r="G431" s="10" t="str">
        <f t="shared" si="21"/>
        <v>#DIV/0!</v>
      </c>
      <c r="H431" s="72" t="str">
        <f>IFERROR(VLOOKUP(C431,'Employees List'!$B$2:$I$991,7,0),"")</f>
        <v/>
      </c>
      <c r="I431" s="73" t="str">
        <f>IFERROR(VLOOKUP(F431,'Employees List'!$E$1:$AE$991,6,0),"")</f>
        <v/>
      </c>
      <c r="J431" s="71">
        <f t="shared" si="3"/>
        <v>0</v>
      </c>
      <c r="K431" s="71">
        <f t="shared" si="4"/>
        <v>0</v>
      </c>
      <c r="L431" s="10" t="str">
        <f>IFERROR(VLOOKUP(B431,'Employees List'!$A$2:$K$991,11,0),"")</f>
        <v/>
      </c>
      <c r="M431" s="74" t="str">
        <f>IFERROR(VLOOKUP(D431,'Daily Attendance 25-26'!$A$4:BP999,5,0),"")</f>
        <v/>
      </c>
      <c r="N431" s="10" t="str">
        <f>IFERROR(VLOOKUP(E431,'Daily Attendance 25-26'!$A$1:$BO$1741,5,0),"")</f>
        <v/>
      </c>
      <c r="O431" s="10"/>
      <c r="P431" s="10"/>
      <c r="Q431" s="10" t="str">
        <f t="shared" si="5"/>
        <v>#DIV/0!</v>
      </c>
      <c r="R431" s="10" t="str">
        <f t="shared" si="6"/>
        <v>#DIV/0!</v>
      </c>
      <c r="S431" s="10" t="str">
        <f t="shared" si="23"/>
        <v>#DIV/0!</v>
      </c>
      <c r="T431" s="10" t="str">
        <f t="shared" si="22"/>
        <v>#DIV/0!</v>
      </c>
      <c r="U431" s="10" t="str">
        <f t="shared" si="8"/>
        <v>#DIV/0!</v>
      </c>
      <c r="V431" s="10"/>
      <c r="W431" s="10"/>
      <c r="X431" s="10"/>
      <c r="Y431" s="10"/>
      <c r="Z431" s="10"/>
      <c r="AA431" s="10"/>
      <c r="AB431" s="10"/>
      <c r="AC431" s="10"/>
      <c r="AD431" s="10"/>
      <c r="AE431" s="10"/>
      <c r="AF431" s="10"/>
    </row>
    <row r="432" hidden="1">
      <c r="A432" s="9" t="s">
        <v>649</v>
      </c>
      <c r="B432" s="84"/>
      <c r="C432" s="9"/>
      <c r="D432" s="9" t="str">
        <f t="shared" si="1"/>
        <v/>
      </c>
      <c r="E432" s="10" t="str">
        <f t="shared" si="2"/>
        <v>OT Hours</v>
      </c>
      <c r="F432" s="10" t="str">
        <f>IFERROR(VLOOKUP(C432,'Employees List'!$B$1:$I$999,4,0),"")</f>
        <v/>
      </c>
      <c r="G432" s="10" t="str">
        <f t="shared" si="21"/>
        <v>#DIV/0!</v>
      </c>
      <c r="H432" s="72" t="str">
        <f>IFERROR(VLOOKUP(C432,'Employees List'!$B$2:$I$991,7,0),"")</f>
        <v/>
      </c>
      <c r="I432" s="73" t="str">
        <f>IFERROR(VLOOKUP(F432,'Employees List'!$E$1:$AE$991,6,0),"")</f>
        <v/>
      </c>
      <c r="J432" s="71">
        <f t="shared" si="3"/>
        <v>0</v>
      </c>
      <c r="K432" s="71">
        <f t="shared" si="4"/>
        <v>0</v>
      </c>
      <c r="L432" s="10" t="str">
        <f>IFERROR(VLOOKUP(B432,'Employees List'!$A$2:$K$991,11,0),"")</f>
        <v/>
      </c>
      <c r="M432" s="74" t="str">
        <f>IFERROR(VLOOKUP(D432,'Daily Attendance 25-26'!$A$4:BP999,5,0),"")</f>
        <v/>
      </c>
      <c r="N432" s="10" t="str">
        <f>IFERROR(VLOOKUP(E432,'Daily Attendance 25-26'!$A$1:$BO$1741,5,0),"")</f>
        <v/>
      </c>
      <c r="O432" s="10"/>
      <c r="P432" s="10"/>
      <c r="Q432" s="10" t="str">
        <f t="shared" si="5"/>
        <v>#DIV/0!</v>
      </c>
      <c r="R432" s="10" t="str">
        <f t="shared" si="6"/>
        <v>#DIV/0!</v>
      </c>
      <c r="S432" s="10" t="str">
        <f t="shared" si="23"/>
        <v>#DIV/0!</v>
      </c>
      <c r="T432" s="10" t="str">
        <f t="shared" si="22"/>
        <v>#DIV/0!</v>
      </c>
      <c r="U432" s="10" t="str">
        <f t="shared" si="8"/>
        <v>#DIV/0!</v>
      </c>
      <c r="V432" s="10"/>
      <c r="W432" s="10"/>
      <c r="X432" s="10"/>
      <c r="Y432" s="10"/>
      <c r="Z432" s="10"/>
      <c r="AA432" s="10"/>
      <c r="AB432" s="10"/>
      <c r="AC432" s="10"/>
      <c r="AD432" s="10"/>
      <c r="AE432" s="10"/>
      <c r="AF432" s="10"/>
    </row>
    <row r="433" hidden="1">
      <c r="A433" s="9" t="s">
        <v>650</v>
      </c>
      <c r="B433" s="84"/>
      <c r="C433" s="9"/>
      <c r="D433" s="9" t="str">
        <f t="shared" si="1"/>
        <v/>
      </c>
      <c r="E433" s="10" t="str">
        <f t="shared" si="2"/>
        <v>OT Hours</v>
      </c>
      <c r="F433" s="10" t="str">
        <f>IFERROR(VLOOKUP(C433,'Employees List'!$B$1:$I$999,4,0),"")</f>
        <v/>
      </c>
      <c r="G433" s="10" t="str">
        <f t="shared" si="21"/>
        <v>#DIV/0!</v>
      </c>
      <c r="H433" s="72" t="str">
        <f>IFERROR(VLOOKUP(C433,'Employees List'!$B$2:$I$991,7,0),"")</f>
        <v/>
      </c>
      <c r="I433" s="73" t="str">
        <f>IFERROR(VLOOKUP(F433,'Employees List'!$E$1:$AE$991,6,0),"")</f>
        <v/>
      </c>
      <c r="J433" s="71">
        <f t="shared" si="3"/>
        <v>0</v>
      </c>
      <c r="K433" s="71">
        <f t="shared" si="4"/>
        <v>0</v>
      </c>
      <c r="L433" s="10" t="str">
        <f>IFERROR(VLOOKUP(B433,'Employees List'!$A$2:$K$991,11,0),"")</f>
        <v/>
      </c>
      <c r="M433" s="74" t="str">
        <f>IFERROR(VLOOKUP(D433,'Daily Attendance 25-26'!$A$4:BP999,5,0),"")</f>
        <v/>
      </c>
      <c r="N433" s="10" t="str">
        <f>IFERROR(VLOOKUP(E433,'Daily Attendance 25-26'!$A$1:$BO$1741,5,0),"")</f>
        <v/>
      </c>
      <c r="O433" s="10"/>
      <c r="P433" s="10"/>
      <c r="Q433" s="10" t="str">
        <f t="shared" si="5"/>
        <v>#DIV/0!</v>
      </c>
      <c r="R433" s="10" t="str">
        <f t="shared" si="6"/>
        <v>#DIV/0!</v>
      </c>
      <c r="S433" s="10" t="str">
        <f t="shared" si="23"/>
        <v>#DIV/0!</v>
      </c>
      <c r="T433" s="10" t="str">
        <f t="shared" si="22"/>
        <v>#DIV/0!</v>
      </c>
      <c r="U433" s="10" t="str">
        <f t="shared" si="8"/>
        <v>#DIV/0!</v>
      </c>
      <c r="V433" s="10"/>
      <c r="W433" s="10"/>
      <c r="X433" s="10"/>
      <c r="Y433" s="10"/>
      <c r="Z433" s="10"/>
      <c r="AA433" s="10"/>
      <c r="AB433" s="10"/>
      <c r="AC433" s="10"/>
      <c r="AD433" s="10"/>
      <c r="AE433" s="10"/>
      <c r="AF433" s="10"/>
    </row>
    <row r="434" hidden="1">
      <c r="A434" s="9" t="s">
        <v>651</v>
      </c>
      <c r="B434" s="84"/>
      <c r="C434" s="9"/>
      <c r="D434" s="9" t="str">
        <f t="shared" si="1"/>
        <v/>
      </c>
      <c r="E434" s="10" t="str">
        <f t="shared" si="2"/>
        <v>OT Hours</v>
      </c>
      <c r="F434" s="10" t="str">
        <f>IFERROR(VLOOKUP(C434,'Employees List'!$B$1:$I$999,4,0),"")</f>
        <v/>
      </c>
      <c r="G434" s="10" t="str">
        <f t="shared" si="21"/>
        <v>#DIV/0!</v>
      </c>
      <c r="H434" s="72" t="str">
        <f>IFERROR(VLOOKUP(C434,'Employees List'!$B$2:$I$991,7,0),"")</f>
        <v/>
      </c>
      <c r="I434" s="73" t="str">
        <f>IFERROR(VLOOKUP(F434,'Employees List'!$E$1:$AE$991,6,0),"")</f>
        <v/>
      </c>
      <c r="J434" s="71">
        <f t="shared" si="3"/>
        <v>0</v>
      </c>
      <c r="K434" s="71">
        <f t="shared" si="4"/>
        <v>0</v>
      </c>
      <c r="L434" s="10" t="str">
        <f>IFERROR(VLOOKUP(B434,'Employees List'!$A$2:$K$991,11,0),"")</f>
        <v/>
      </c>
      <c r="M434" s="74" t="str">
        <f>IFERROR(VLOOKUP(D434,'Daily Attendance 25-26'!$A$4:BP999,5,0),"")</f>
        <v/>
      </c>
      <c r="N434" s="10" t="str">
        <f>IFERROR(VLOOKUP(E434,'Daily Attendance 25-26'!$A$1:$BO$1741,5,0),"")</f>
        <v/>
      </c>
      <c r="O434" s="10"/>
      <c r="P434" s="10"/>
      <c r="Q434" s="10" t="str">
        <f t="shared" si="5"/>
        <v>#DIV/0!</v>
      </c>
      <c r="R434" s="10" t="str">
        <f t="shared" si="6"/>
        <v>#DIV/0!</v>
      </c>
      <c r="S434" s="10" t="str">
        <f t="shared" si="23"/>
        <v>#DIV/0!</v>
      </c>
      <c r="T434" s="10" t="str">
        <f t="shared" si="22"/>
        <v>#DIV/0!</v>
      </c>
      <c r="U434" s="10" t="str">
        <f t="shared" si="8"/>
        <v>#DIV/0!</v>
      </c>
      <c r="V434" s="10"/>
      <c r="W434" s="10"/>
      <c r="X434" s="10"/>
      <c r="Y434" s="10"/>
      <c r="Z434" s="10"/>
      <c r="AA434" s="10"/>
      <c r="AB434" s="10"/>
      <c r="AC434" s="10"/>
      <c r="AD434" s="10"/>
      <c r="AE434" s="10"/>
      <c r="AF434" s="10"/>
    </row>
    <row r="435" hidden="1">
      <c r="A435" s="9" t="s">
        <v>652</v>
      </c>
      <c r="B435" s="84"/>
      <c r="C435" s="9"/>
      <c r="D435" s="9" t="str">
        <f t="shared" si="1"/>
        <v/>
      </c>
      <c r="E435" s="10" t="str">
        <f t="shared" si="2"/>
        <v>OT Hours</v>
      </c>
      <c r="F435" s="10" t="str">
        <f>IFERROR(VLOOKUP(C435,'Employees List'!$B$1:$I$999,4,0),"")</f>
        <v/>
      </c>
      <c r="G435" s="10" t="str">
        <f t="shared" si="21"/>
        <v>#DIV/0!</v>
      </c>
      <c r="H435" s="72" t="str">
        <f>IFERROR(VLOOKUP(C435,'Employees List'!$B$2:$I$991,7,0),"")</f>
        <v/>
      </c>
      <c r="I435" s="73" t="str">
        <f>IFERROR(VLOOKUP(F435,'Employees List'!$E$1:$AE$991,6,0),"")</f>
        <v/>
      </c>
      <c r="J435" s="71">
        <f t="shared" si="3"/>
        <v>0</v>
      </c>
      <c r="K435" s="71">
        <f t="shared" si="4"/>
        <v>0</v>
      </c>
      <c r="L435" s="10" t="str">
        <f>IFERROR(VLOOKUP(B435,'Employees List'!$A$2:$K$991,11,0),"")</f>
        <v/>
      </c>
      <c r="M435" s="74" t="str">
        <f>IFERROR(VLOOKUP(D435,'Daily Attendance 25-26'!$A$4:BP999,5,0),"")</f>
        <v/>
      </c>
      <c r="N435" s="10" t="str">
        <f>IFERROR(VLOOKUP(E435,'Daily Attendance 25-26'!$A$1:$BO$1741,5,0),"")</f>
        <v/>
      </c>
      <c r="O435" s="10"/>
      <c r="P435" s="10"/>
      <c r="Q435" s="10" t="str">
        <f t="shared" si="5"/>
        <v>#DIV/0!</v>
      </c>
      <c r="R435" s="10" t="str">
        <f t="shared" si="6"/>
        <v>#DIV/0!</v>
      </c>
      <c r="S435" s="10" t="str">
        <f t="shared" si="23"/>
        <v>#DIV/0!</v>
      </c>
      <c r="T435" s="10" t="str">
        <f t="shared" si="22"/>
        <v>#DIV/0!</v>
      </c>
      <c r="U435" s="10" t="str">
        <f t="shared" si="8"/>
        <v>#DIV/0!</v>
      </c>
      <c r="V435" s="10"/>
      <c r="W435" s="10"/>
      <c r="X435" s="10"/>
      <c r="Y435" s="10"/>
      <c r="Z435" s="10"/>
      <c r="AA435" s="10"/>
      <c r="AB435" s="10"/>
      <c r="AC435" s="10"/>
      <c r="AD435" s="10"/>
      <c r="AE435" s="10"/>
      <c r="AF435" s="10"/>
    </row>
    <row r="436" hidden="1">
      <c r="A436" s="9" t="s">
        <v>653</v>
      </c>
      <c r="B436" s="84"/>
      <c r="C436" s="9"/>
      <c r="D436" s="9" t="str">
        <f t="shared" si="1"/>
        <v/>
      </c>
      <c r="E436" s="10" t="str">
        <f t="shared" si="2"/>
        <v>OT Hours</v>
      </c>
      <c r="F436" s="10" t="str">
        <f>IFERROR(VLOOKUP(C436,'Employees List'!$B$1:$I$999,4,0),"")</f>
        <v/>
      </c>
      <c r="G436" s="10" t="str">
        <f t="shared" si="21"/>
        <v>#DIV/0!</v>
      </c>
      <c r="H436" s="72" t="str">
        <f>IFERROR(VLOOKUP(C436,'Employees List'!$B$2:$I$991,7,0),"")</f>
        <v/>
      </c>
      <c r="I436" s="73" t="str">
        <f>IFERROR(VLOOKUP(F436,'Employees List'!$E$1:$AE$991,6,0),"")</f>
        <v/>
      </c>
      <c r="J436" s="71">
        <f t="shared" si="3"/>
        <v>0</v>
      </c>
      <c r="K436" s="71">
        <f t="shared" si="4"/>
        <v>0</v>
      </c>
      <c r="L436" s="10" t="str">
        <f>IFERROR(VLOOKUP(B436,'Employees List'!$A$2:$K$991,11,0),"")</f>
        <v/>
      </c>
      <c r="M436" s="74" t="str">
        <f>IFERROR(VLOOKUP(D436,'Daily Attendance 25-26'!$A$4:BP999,5,0),"")</f>
        <v/>
      </c>
      <c r="N436" s="10" t="str">
        <f>IFERROR(VLOOKUP(E436,'Daily Attendance 25-26'!$A$1:$BO$1741,5,0),"")</f>
        <v/>
      </c>
      <c r="O436" s="10"/>
      <c r="P436" s="10"/>
      <c r="Q436" s="10" t="str">
        <f t="shared" si="5"/>
        <v>#DIV/0!</v>
      </c>
      <c r="R436" s="10" t="str">
        <f t="shared" si="6"/>
        <v>#DIV/0!</v>
      </c>
      <c r="S436" s="10" t="str">
        <f t="shared" si="23"/>
        <v>#DIV/0!</v>
      </c>
      <c r="T436" s="10" t="str">
        <f t="shared" si="22"/>
        <v>#DIV/0!</v>
      </c>
      <c r="U436" s="10" t="str">
        <f t="shared" si="8"/>
        <v>#DIV/0!</v>
      </c>
      <c r="V436" s="10"/>
      <c r="W436" s="10"/>
      <c r="X436" s="10"/>
      <c r="Y436" s="10"/>
      <c r="Z436" s="10"/>
      <c r="AA436" s="10"/>
      <c r="AB436" s="10"/>
      <c r="AC436" s="10"/>
      <c r="AD436" s="10"/>
      <c r="AE436" s="10"/>
      <c r="AF436" s="10"/>
    </row>
    <row r="437" hidden="1">
      <c r="A437" s="9" t="s">
        <v>654</v>
      </c>
      <c r="B437" s="84"/>
      <c r="C437" s="9"/>
      <c r="D437" s="9" t="str">
        <f t="shared" si="1"/>
        <v/>
      </c>
      <c r="E437" s="10" t="str">
        <f t="shared" si="2"/>
        <v>OT Hours</v>
      </c>
      <c r="F437" s="10" t="str">
        <f>IFERROR(VLOOKUP(C437,'Employees List'!$B$1:$I$999,4,0),"")</f>
        <v/>
      </c>
      <c r="G437" s="10" t="str">
        <f t="shared" si="21"/>
        <v>#DIV/0!</v>
      </c>
      <c r="H437" s="72" t="str">
        <f>IFERROR(VLOOKUP(C437,'Employees List'!$B$2:$I$991,7,0),"")</f>
        <v/>
      </c>
      <c r="I437" s="73" t="str">
        <f>IFERROR(VLOOKUP(F437,'Employees List'!$E$1:$AE$991,6,0),"")</f>
        <v/>
      </c>
      <c r="J437" s="71">
        <f t="shared" si="3"/>
        <v>0</v>
      </c>
      <c r="K437" s="71">
        <f t="shared" si="4"/>
        <v>0</v>
      </c>
      <c r="L437" s="10" t="str">
        <f>IFERROR(VLOOKUP(B437,'Employees List'!$A$2:$K$991,11,0),"")</f>
        <v/>
      </c>
      <c r="M437" s="74" t="str">
        <f>IFERROR(VLOOKUP(D437,'Daily Attendance 25-26'!$A$4:BP999,5,0),"")</f>
        <v/>
      </c>
      <c r="N437" s="10" t="str">
        <f>IFERROR(VLOOKUP(E437,'Daily Attendance 25-26'!$A$1:$BO$1741,5,0),"")</f>
        <v/>
      </c>
      <c r="O437" s="10"/>
      <c r="P437" s="10"/>
      <c r="Q437" s="10" t="str">
        <f t="shared" si="5"/>
        <v>#DIV/0!</v>
      </c>
      <c r="R437" s="10" t="str">
        <f t="shared" si="6"/>
        <v>#DIV/0!</v>
      </c>
      <c r="S437" s="10" t="str">
        <f t="shared" si="23"/>
        <v>#DIV/0!</v>
      </c>
      <c r="T437" s="10" t="str">
        <f t="shared" si="22"/>
        <v>#DIV/0!</v>
      </c>
      <c r="U437" s="10" t="str">
        <f t="shared" si="8"/>
        <v>#DIV/0!</v>
      </c>
      <c r="V437" s="10"/>
      <c r="W437" s="10"/>
      <c r="X437" s="10"/>
      <c r="Y437" s="10"/>
      <c r="Z437" s="10"/>
      <c r="AA437" s="10"/>
      <c r="AB437" s="10"/>
      <c r="AC437" s="10"/>
      <c r="AD437" s="10"/>
      <c r="AE437" s="10"/>
      <c r="AF437" s="10"/>
    </row>
    <row r="438" hidden="1">
      <c r="A438" s="9" t="s">
        <v>655</v>
      </c>
      <c r="B438" s="84"/>
      <c r="C438" s="9"/>
      <c r="D438" s="9" t="str">
        <f t="shared" si="1"/>
        <v/>
      </c>
      <c r="E438" s="10" t="str">
        <f t="shared" si="2"/>
        <v>OT Hours</v>
      </c>
      <c r="F438" s="10" t="str">
        <f>IFERROR(VLOOKUP(C438,'Employees List'!$B$1:$I$999,4,0),"")</f>
        <v/>
      </c>
      <c r="G438" s="10" t="str">
        <f t="shared" si="21"/>
        <v>#DIV/0!</v>
      </c>
      <c r="H438" s="72" t="str">
        <f>IFERROR(VLOOKUP(C438,'Employees List'!$B$2:$I$991,7,0),"")</f>
        <v/>
      </c>
      <c r="I438" s="73" t="str">
        <f>IFERROR(VLOOKUP(F438,'Employees List'!$E$1:$AE$991,6,0),"")</f>
        <v/>
      </c>
      <c r="J438" s="71">
        <f t="shared" si="3"/>
        <v>0</v>
      </c>
      <c r="K438" s="71">
        <f t="shared" si="4"/>
        <v>0</v>
      </c>
      <c r="L438" s="10" t="str">
        <f>IFERROR(VLOOKUP(B438,'Employees List'!$A$2:$K$991,11,0),"")</f>
        <v/>
      </c>
      <c r="M438" s="74" t="str">
        <f>IFERROR(VLOOKUP(D438,'Daily Attendance 25-26'!$A$4:BP999,5,0),"")</f>
        <v/>
      </c>
      <c r="N438" s="10" t="str">
        <f>IFERROR(VLOOKUP(E438,'Daily Attendance 25-26'!$A$1:$BO$1741,5,0),"")</f>
        <v/>
      </c>
      <c r="O438" s="10"/>
      <c r="P438" s="10"/>
      <c r="Q438" s="10" t="str">
        <f t="shared" si="5"/>
        <v>#DIV/0!</v>
      </c>
      <c r="R438" s="10" t="str">
        <f t="shared" si="6"/>
        <v>#DIV/0!</v>
      </c>
      <c r="S438" s="10" t="str">
        <f t="shared" si="23"/>
        <v>#DIV/0!</v>
      </c>
      <c r="T438" s="10" t="str">
        <f t="shared" si="22"/>
        <v>#DIV/0!</v>
      </c>
      <c r="U438" s="10" t="str">
        <f t="shared" si="8"/>
        <v>#DIV/0!</v>
      </c>
      <c r="V438" s="10"/>
      <c r="W438" s="10"/>
      <c r="X438" s="10"/>
      <c r="Y438" s="10"/>
      <c r="Z438" s="10"/>
      <c r="AA438" s="10"/>
      <c r="AB438" s="10"/>
      <c r="AC438" s="10"/>
      <c r="AD438" s="10"/>
      <c r="AE438" s="10"/>
      <c r="AF438" s="10"/>
    </row>
    <row r="439" hidden="1">
      <c r="A439" s="9" t="s">
        <v>656</v>
      </c>
      <c r="B439" s="84"/>
      <c r="C439" s="9"/>
      <c r="D439" s="9" t="str">
        <f t="shared" si="1"/>
        <v/>
      </c>
      <c r="E439" s="10" t="str">
        <f t="shared" si="2"/>
        <v>OT Hours</v>
      </c>
      <c r="F439" s="10" t="str">
        <f>IFERROR(VLOOKUP(C439,'Employees List'!$B$1:$I$999,4,0),"")</f>
        <v/>
      </c>
      <c r="G439" s="10" t="str">
        <f t="shared" si="21"/>
        <v>#DIV/0!</v>
      </c>
      <c r="H439" s="72" t="str">
        <f>IFERROR(VLOOKUP(C439,'Employees List'!$B$2:$I$991,7,0),"")</f>
        <v/>
      </c>
      <c r="I439" s="73" t="str">
        <f>IFERROR(VLOOKUP(F439,'Employees List'!$E$1:$AE$991,6,0),"")</f>
        <v/>
      </c>
      <c r="J439" s="71">
        <f t="shared" si="3"/>
        <v>0</v>
      </c>
      <c r="K439" s="71">
        <f t="shared" si="4"/>
        <v>0</v>
      </c>
      <c r="L439" s="10" t="str">
        <f>IFERROR(VLOOKUP(B439,'Employees List'!$A$2:$K$991,11,0),"")</f>
        <v/>
      </c>
      <c r="M439" s="74" t="str">
        <f>IFERROR(VLOOKUP(D439,'Daily Attendance 25-26'!$A$4:BP999,5,0),"")</f>
        <v/>
      </c>
      <c r="N439" s="10" t="str">
        <f>IFERROR(VLOOKUP(E439,'Daily Attendance 25-26'!$A$1:$BO$1741,5,0),"")</f>
        <v/>
      </c>
      <c r="O439" s="10"/>
      <c r="P439" s="10"/>
      <c r="Q439" s="10" t="str">
        <f t="shared" si="5"/>
        <v>#DIV/0!</v>
      </c>
      <c r="R439" s="10" t="str">
        <f t="shared" si="6"/>
        <v>#DIV/0!</v>
      </c>
      <c r="S439" s="10" t="str">
        <f t="shared" si="23"/>
        <v>#DIV/0!</v>
      </c>
      <c r="T439" s="10" t="str">
        <f t="shared" si="22"/>
        <v>#DIV/0!</v>
      </c>
      <c r="U439" s="10" t="str">
        <f t="shared" si="8"/>
        <v>#DIV/0!</v>
      </c>
      <c r="V439" s="10"/>
      <c r="W439" s="10"/>
      <c r="X439" s="10"/>
      <c r="Y439" s="10"/>
      <c r="Z439" s="10"/>
      <c r="AA439" s="10"/>
      <c r="AB439" s="10"/>
      <c r="AC439" s="10"/>
      <c r="AD439" s="10"/>
      <c r="AE439" s="10"/>
      <c r="AF439" s="10"/>
    </row>
    <row r="440" hidden="1">
      <c r="A440" s="9" t="s">
        <v>657</v>
      </c>
      <c r="B440" s="84"/>
      <c r="C440" s="9"/>
      <c r="D440" s="9" t="str">
        <f t="shared" si="1"/>
        <v/>
      </c>
      <c r="E440" s="10" t="str">
        <f t="shared" si="2"/>
        <v>OT Hours</v>
      </c>
      <c r="F440" s="10" t="str">
        <f>IFERROR(VLOOKUP(C440,'Employees List'!$B$1:$I$999,4,0),"")</f>
        <v/>
      </c>
      <c r="G440" s="10" t="str">
        <f t="shared" si="21"/>
        <v>#DIV/0!</v>
      </c>
      <c r="H440" s="72" t="str">
        <f>IFERROR(VLOOKUP(C440,'Employees List'!$B$2:$I$991,7,0),"")</f>
        <v/>
      </c>
      <c r="I440" s="73" t="str">
        <f>IFERROR(VLOOKUP(F440,'Employees List'!$E$1:$AE$991,6,0),"")</f>
        <v/>
      </c>
      <c r="J440" s="71">
        <f t="shared" si="3"/>
        <v>0</v>
      </c>
      <c r="K440" s="71">
        <f t="shared" si="4"/>
        <v>0</v>
      </c>
      <c r="L440" s="10" t="str">
        <f>IFERROR(VLOOKUP(B440,'Employees List'!$A$2:$K$991,11,0),"")</f>
        <v/>
      </c>
      <c r="M440" s="74" t="str">
        <f>IFERROR(VLOOKUP(D440,'Daily Attendance 25-26'!$A$4:BP999,5,0),"")</f>
        <v/>
      </c>
      <c r="N440" s="10" t="str">
        <f>IFERROR(VLOOKUP(E440,'Daily Attendance 25-26'!$A$1:$BO$1741,5,0),"")</f>
        <v/>
      </c>
      <c r="O440" s="10"/>
      <c r="P440" s="10"/>
      <c r="Q440" s="10" t="str">
        <f t="shared" si="5"/>
        <v>#DIV/0!</v>
      </c>
      <c r="R440" s="10" t="str">
        <f t="shared" si="6"/>
        <v>#DIV/0!</v>
      </c>
      <c r="S440" s="10" t="str">
        <f t="shared" si="23"/>
        <v>#DIV/0!</v>
      </c>
      <c r="T440" s="10" t="str">
        <f t="shared" si="22"/>
        <v>#DIV/0!</v>
      </c>
      <c r="U440" s="10" t="str">
        <f t="shared" si="8"/>
        <v>#DIV/0!</v>
      </c>
      <c r="V440" s="10"/>
      <c r="W440" s="10"/>
      <c r="X440" s="10"/>
      <c r="Y440" s="10"/>
      <c r="Z440" s="10"/>
      <c r="AA440" s="10"/>
      <c r="AB440" s="10"/>
      <c r="AC440" s="10"/>
      <c r="AD440" s="10"/>
      <c r="AE440" s="10"/>
      <c r="AF440" s="10"/>
    </row>
    <row r="441" hidden="1">
      <c r="A441" s="9" t="s">
        <v>658</v>
      </c>
      <c r="B441" s="84"/>
      <c r="C441" s="9"/>
      <c r="D441" s="9" t="str">
        <f t="shared" si="1"/>
        <v/>
      </c>
      <c r="E441" s="10" t="str">
        <f t="shared" si="2"/>
        <v>OT Hours</v>
      </c>
      <c r="F441" s="10" t="str">
        <f>IFERROR(VLOOKUP(C441,'Employees List'!$B$1:$I$999,4,0),"")</f>
        <v/>
      </c>
      <c r="G441" s="10" t="str">
        <f t="shared" si="21"/>
        <v>#DIV/0!</v>
      </c>
      <c r="H441" s="72" t="str">
        <f>IFERROR(VLOOKUP(C441,'Employees List'!$B$2:$I$991,7,0),"")</f>
        <v/>
      </c>
      <c r="I441" s="73" t="str">
        <f>IFERROR(VLOOKUP(F441,'Employees List'!$E$1:$AE$991,6,0),"")</f>
        <v/>
      </c>
      <c r="J441" s="71">
        <f t="shared" si="3"/>
        <v>0</v>
      </c>
      <c r="K441" s="71">
        <f t="shared" si="4"/>
        <v>0</v>
      </c>
      <c r="L441" s="10" t="str">
        <f>IFERROR(VLOOKUP(B441,'Employees List'!$A$2:$K$991,11,0),"")</f>
        <v/>
      </c>
      <c r="M441" s="74" t="str">
        <f>IFERROR(VLOOKUP(D441,'Daily Attendance 25-26'!$A$4:BP999,5,0),"")</f>
        <v/>
      </c>
      <c r="N441" s="10" t="str">
        <f>IFERROR(VLOOKUP(E441,'Daily Attendance 25-26'!$A$1:$BO$1741,5,0),"")</f>
        <v/>
      </c>
      <c r="O441" s="10"/>
      <c r="P441" s="10"/>
      <c r="Q441" s="10" t="str">
        <f t="shared" si="5"/>
        <v>#DIV/0!</v>
      </c>
      <c r="R441" s="10" t="str">
        <f t="shared" si="6"/>
        <v>#DIV/0!</v>
      </c>
      <c r="S441" s="10" t="str">
        <f t="shared" si="23"/>
        <v>#DIV/0!</v>
      </c>
      <c r="T441" s="10" t="str">
        <f t="shared" si="22"/>
        <v>#DIV/0!</v>
      </c>
      <c r="U441" s="10" t="str">
        <f t="shared" si="8"/>
        <v>#DIV/0!</v>
      </c>
      <c r="V441" s="10"/>
      <c r="W441" s="10"/>
      <c r="X441" s="10"/>
      <c r="Y441" s="10"/>
      <c r="Z441" s="10"/>
      <c r="AA441" s="10"/>
      <c r="AB441" s="10"/>
      <c r="AC441" s="10"/>
      <c r="AD441" s="10"/>
      <c r="AE441" s="10"/>
      <c r="AF441" s="10"/>
    </row>
    <row r="442" hidden="1">
      <c r="A442" s="9" t="s">
        <v>659</v>
      </c>
      <c r="B442" s="84"/>
      <c r="C442" s="9"/>
      <c r="D442" s="9" t="str">
        <f t="shared" si="1"/>
        <v/>
      </c>
      <c r="E442" s="10" t="str">
        <f t="shared" si="2"/>
        <v>OT Hours</v>
      </c>
      <c r="F442" s="10" t="str">
        <f>IFERROR(VLOOKUP(C442,'Employees List'!$B$1:$I$999,4,0),"")</f>
        <v/>
      </c>
      <c r="G442" s="10" t="str">
        <f t="shared" si="21"/>
        <v>#DIV/0!</v>
      </c>
      <c r="H442" s="72" t="str">
        <f>IFERROR(VLOOKUP(C442,'Employees List'!$B$2:$I$991,7,0),"")</f>
        <v/>
      </c>
      <c r="I442" s="73" t="str">
        <f>IFERROR(VLOOKUP(F442,'Employees List'!$E$1:$AE$991,6,0),"")</f>
        <v/>
      </c>
      <c r="J442" s="71">
        <f t="shared" si="3"/>
        <v>0</v>
      </c>
      <c r="K442" s="71">
        <f t="shared" si="4"/>
        <v>0</v>
      </c>
      <c r="L442" s="10" t="str">
        <f>IFERROR(VLOOKUP(B442,'Employees List'!$A$2:$K$991,11,0),"")</f>
        <v/>
      </c>
      <c r="M442" s="74" t="str">
        <f>IFERROR(VLOOKUP(D442,'Daily Attendance 25-26'!$A$4:BP999,5,0),"")</f>
        <v/>
      </c>
      <c r="N442" s="10" t="str">
        <f>IFERROR(VLOOKUP(E442,'Daily Attendance 25-26'!$A$1:$BO$1741,5,0),"")</f>
        <v/>
      </c>
      <c r="O442" s="10"/>
      <c r="P442" s="10"/>
      <c r="Q442" s="10" t="str">
        <f t="shared" si="5"/>
        <v>#DIV/0!</v>
      </c>
      <c r="R442" s="10" t="str">
        <f t="shared" si="6"/>
        <v>#DIV/0!</v>
      </c>
      <c r="S442" s="10" t="str">
        <f t="shared" si="23"/>
        <v>#DIV/0!</v>
      </c>
      <c r="T442" s="10" t="str">
        <f t="shared" si="22"/>
        <v>#DIV/0!</v>
      </c>
      <c r="U442" s="10" t="str">
        <f t="shared" si="8"/>
        <v>#DIV/0!</v>
      </c>
      <c r="V442" s="10"/>
      <c r="W442" s="10"/>
      <c r="X442" s="10"/>
      <c r="Y442" s="10"/>
      <c r="Z442" s="10"/>
      <c r="AA442" s="10"/>
      <c r="AB442" s="10"/>
      <c r="AC442" s="10"/>
      <c r="AD442" s="10"/>
      <c r="AE442" s="10"/>
      <c r="AF442" s="10"/>
    </row>
    <row r="443" hidden="1">
      <c r="A443" s="9" t="s">
        <v>660</v>
      </c>
      <c r="B443" s="84"/>
      <c r="C443" s="9"/>
      <c r="D443" s="9" t="str">
        <f t="shared" si="1"/>
        <v/>
      </c>
      <c r="E443" s="10" t="str">
        <f t="shared" si="2"/>
        <v>OT Hours</v>
      </c>
      <c r="F443" s="10" t="str">
        <f>IFERROR(VLOOKUP(C443,'Employees List'!$B$1:$I$999,4,0),"")</f>
        <v/>
      </c>
      <c r="G443" s="10" t="str">
        <f t="shared" si="21"/>
        <v>#DIV/0!</v>
      </c>
      <c r="H443" s="72" t="str">
        <f>IFERROR(VLOOKUP(C443,'Employees List'!$B$2:$I$991,7,0),"")</f>
        <v/>
      </c>
      <c r="I443" s="73" t="str">
        <f>IFERROR(VLOOKUP(F443,'Employees List'!$E$1:$AE$991,6,0),"")</f>
        <v/>
      </c>
      <c r="J443" s="71">
        <f t="shared" si="3"/>
        <v>0</v>
      </c>
      <c r="K443" s="71">
        <f t="shared" si="4"/>
        <v>0</v>
      </c>
      <c r="L443" s="10" t="str">
        <f>IFERROR(VLOOKUP(B443,'Employees List'!$A$2:$K$991,11,0),"")</f>
        <v/>
      </c>
      <c r="M443" s="74" t="str">
        <f>IFERROR(VLOOKUP(D443,'Daily Attendance 25-26'!$A$4:BP999,5,0),"")</f>
        <v/>
      </c>
      <c r="N443" s="10" t="str">
        <f>IFERROR(VLOOKUP(E443,'Daily Attendance 25-26'!$A$1:$BO$1741,5,0),"")</f>
        <v/>
      </c>
      <c r="O443" s="10"/>
      <c r="P443" s="10"/>
      <c r="Q443" s="10" t="str">
        <f t="shared" si="5"/>
        <v>#DIV/0!</v>
      </c>
      <c r="R443" s="10" t="str">
        <f t="shared" si="6"/>
        <v>#DIV/0!</v>
      </c>
      <c r="S443" s="10" t="str">
        <f t="shared" si="23"/>
        <v>#DIV/0!</v>
      </c>
      <c r="T443" s="10" t="str">
        <f t="shared" si="22"/>
        <v>#DIV/0!</v>
      </c>
      <c r="U443" s="10" t="str">
        <f t="shared" si="8"/>
        <v>#DIV/0!</v>
      </c>
      <c r="V443" s="10"/>
      <c r="W443" s="10"/>
      <c r="X443" s="10"/>
      <c r="Y443" s="10"/>
      <c r="Z443" s="10"/>
      <c r="AA443" s="10"/>
      <c r="AB443" s="10"/>
      <c r="AC443" s="10"/>
      <c r="AD443" s="10"/>
      <c r="AE443" s="10"/>
      <c r="AF443" s="10"/>
    </row>
    <row r="444" hidden="1">
      <c r="A444" s="9" t="s">
        <v>661</v>
      </c>
      <c r="B444" s="84"/>
      <c r="C444" s="9"/>
      <c r="D444" s="9" t="str">
        <f t="shared" si="1"/>
        <v/>
      </c>
      <c r="E444" s="10" t="str">
        <f t="shared" si="2"/>
        <v>OT Hours</v>
      </c>
      <c r="F444" s="10" t="str">
        <f>IFERROR(VLOOKUP(C444,'Employees List'!$B$1:$I$999,4,0),"")</f>
        <v/>
      </c>
      <c r="G444" s="10" t="str">
        <f t="shared" si="21"/>
        <v>#DIV/0!</v>
      </c>
      <c r="H444" s="72" t="str">
        <f>IFERROR(VLOOKUP(C444,'Employees List'!$B$2:$I$991,7,0),"")</f>
        <v/>
      </c>
      <c r="I444" s="73" t="str">
        <f>IFERROR(VLOOKUP(F444,'Employees List'!$E$1:$AE$991,6,0),"")</f>
        <v/>
      </c>
      <c r="J444" s="71">
        <f t="shared" si="3"/>
        <v>0</v>
      </c>
      <c r="K444" s="71">
        <f t="shared" si="4"/>
        <v>0</v>
      </c>
      <c r="L444" s="10" t="str">
        <f>IFERROR(VLOOKUP(B444,'Employees List'!$A$2:$K$991,11,0),"")</f>
        <v/>
      </c>
      <c r="M444" s="74" t="str">
        <f>IFERROR(VLOOKUP(D444,'Daily Attendance 25-26'!$A$4:BP999,5,0),"")</f>
        <v/>
      </c>
      <c r="N444" s="10" t="str">
        <f>IFERROR(VLOOKUP(E444,'Daily Attendance 25-26'!$A$1:$BO$1741,5,0),"")</f>
        <v/>
      </c>
      <c r="O444" s="10"/>
      <c r="P444" s="10"/>
      <c r="Q444" s="10" t="str">
        <f t="shared" si="5"/>
        <v>#DIV/0!</v>
      </c>
      <c r="R444" s="10" t="str">
        <f t="shared" si="6"/>
        <v>#DIV/0!</v>
      </c>
      <c r="S444" s="10" t="str">
        <f t="shared" si="23"/>
        <v>#DIV/0!</v>
      </c>
      <c r="T444" s="10" t="str">
        <f t="shared" si="22"/>
        <v>#DIV/0!</v>
      </c>
      <c r="U444" s="10" t="str">
        <f t="shared" si="8"/>
        <v>#DIV/0!</v>
      </c>
      <c r="V444" s="10"/>
      <c r="W444" s="10"/>
      <c r="X444" s="10"/>
      <c r="Y444" s="10"/>
      <c r="Z444" s="10"/>
      <c r="AA444" s="10"/>
      <c r="AB444" s="10"/>
      <c r="AC444" s="10"/>
      <c r="AD444" s="10"/>
      <c r="AE444" s="10"/>
      <c r="AF444" s="10"/>
    </row>
    <row r="445" hidden="1">
      <c r="A445" s="9" t="s">
        <v>662</v>
      </c>
      <c r="B445" s="84"/>
      <c r="C445" s="9"/>
      <c r="D445" s="9" t="str">
        <f t="shared" si="1"/>
        <v/>
      </c>
      <c r="E445" s="10" t="str">
        <f t="shared" si="2"/>
        <v>OT Hours</v>
      </c>
      <c r="F445" s="10" t="str">
        <f>IFERROR(VLOOKUP(C445,'Employees List'!$B$1:$I$999,4,0),"")</f>
        <v/>
      </c>
      <c r="G445" s="10" t="str">
        <f t="shared" si="21"/>
        <v>#DIV/0!</v>
      </c>
      <c r="H445" s="72" t="str">
        <f>IFERROR(VLOOKUP(C445,'Employees List'!$B$2:$I$991,7,0),"")</f>
        <v/>
      </c>
      <c r="I445" s="73" t="str">
        <f>IFERROR(VLOOKUP(F445,'Employees List'!$E$1:$AE$991,6,0),"")</f>
        <v/>
      </c>
      <c r="J445" s="71">
        <f t="shared" si="3"/>
        <v>0</v>
      </c>
      <c r="K445" s="71">
        <f t="shared" si="4"/>
        <v>0</v>
      </c>
      <c r="L445" s="10" t="str">
        <f>IFERROR(VLOOKUP(B445,'Employees List'!$A$2:$K$991,11,0),"")</f>
        <v/>
      </c>
      <c r="M445" s="74" t="str">
        <f>IFERROR(VLOOKUP(D445,'Daily Attendance 25-26'!$A$4:BP999,5,0),"")</f>
        <v/>
      </c>
      <c r="N445" s="10" t="str">
        <f>IFERROR(VLOOKUP(E445,'Daily Attendance 25-26'!$A$1:$BO$1741,5,0),"")</f>
        <v/>
      </c>
      <c r="O445" s="10"/>
      <c r="P445" s="10"/>
      <c r="Q445" s="10" t="str">
        <f t="shared" si="5"/>
        <v>#DIV/0!</v>
      </c>
      <c r="R445" s="10" t="str">
        <f t="shared" si="6"/>
        <v>#DIV/0!</v>
      </c>
      <c r="S445" s="10" t="str">
        <f t="shared" si="23"/>
        <v>#DIV/0!</v>
      </c>
      <c r="T445" s="10" t="str">
        <f t="shared" si="22"/>
        <v>#DIV/0!</v>
      </c>
      <c r="U445" s="10" t="str">
        <f t="shared" si="8"/>
        <v>#DIV/0!</v>
      </c>
      <c r="V445" s="10"/>
      <c r="W445" s="10"/>
      <c r="X445" s="10"/>
      <c r="Y445" s="10"/>
      <c r="Z445" s="10"/>
      <c r="AA445" s="10"/>
      <c r="AB445" s="10"/>
      <c r="AC445" s="10"/>
      <c r="AD445" s="10"/>
      <c r="AE445" s="10"/>
      <c r="AF445" s="10"/>
    </row>
    <row r="446" hidden="1">
      <c r="A446" s="9" t="s">
        <v>663</v>
      </c>
      <c r="B446" s="84"/>
      <c r="C446" s="9"/>
      <c r="D446" s="9" t="str">
        <f t="shared" si="1"/>
        <v/>
      </c>
      <c r="E446" s="10" t="str">
        <f t="shared" si="2"/>
        <v>OT Hours</v>
      </c>
      <c r="F446" s="10" t="str">
        <f>IFERROR(VLOOKUP(C446,'Employees List'!$B$1:$I$999,4,0),"")</f>
        <v/>
      </c>
      <c r="G446" s="10" t="str">
        <f t="shared" si="21"/>
        <v>#DIV/0!</v>
      </c>
      <c r="H446" s="72" t="str">
        <f>IFERROR(VLOOKUP(C446,'Employees List'!$B$2:$I$991,7,0),"")</f>
        <v/>
      </c>
      <c r="I446" s="73" t="str">
        <f>IFERROR(VLOOKUP(F446,'Employees List'!$E$1:$AE$991,6,0),"")</f>
        <v/>
      </c>
      <c r="J446" s="71">
        <f t="shared" si="3"/>
        <v>0</v>
      </c>
      <c r="K446" s="71">
        <f t="shared" si="4"/>
        <v>0</v>
      </c>
      <c r="L446" s="10" t="str">
        <f>IFERROR(VLOOKUP(B446,'Employees List'!$A$2:$K$991,11,0),"")</f>
        <v/>
      </c>
      <c r="M446" s="74" t="str">
        <f>IFERROR(VLOOKUP(D446,'Daily Attendance 25-26'!$A$4:BP999,5,0),"")</f>
        <v/>
      </c>
      <c r="N446" s="10" t="str">
        <f>IFERROR(VLOOKUP(E446,'Daily Attendance 25-26'!$A$1:$BO$1741,5,0),"")</f>
        <v/>
      </c>
      <c r="O446" s="10"/>
      <c r="P446" s="10"/>
      <c r="Q446" s="10" t="str">
        <f t="shared" si="5"/>
        <v>#DIV/0!</v>
      </c>
      <c r="R446" s="10" t="str">
        <f t="shared" si="6"/>
        <v>#DIV/0!</v>
      </c>
      <c r="S446" s="10" t="str">
        <f t="shared" si="23"/>
        <v>#DIV/0!</v>
      </c>
      <c r="T446" s="10" t="str">
        <f t="shared" si="22"/>
        <v>#DIV/0!</v>
      </c>
      <c r="U446" s="10" t="str">
        <f t="shared" si="8"/>
        <v>#DIV/0!</v>
      </c>
      <c r="V446" s="10"/>
      <c r="W446" s="10"/>
      <c r="X446" s="10"/>
      <c r="Y446" s="10"/>
      <c r="Z446" s="10"/>
      <c r="AA446" s="10"/>
      <c r="AB446" s="10"/>
      <c r="AC446" s="10"/>
      <c r="AD446" s="10"/>
      <c r="AE446" s="10"/>
      <c r="AF446" s="10"/>
    </row>
    <row r="447" hidden="1">
      <c r="A447" s="9" t="s">
        <v>664</v>
      </c>
      <c r="B447" s="84"/>
      <c r="C447" s="9"/>
      <c r="D447" s="9" t="str">
        <f t="shared" si="1"/>
        <v/>
      </c>
      <c r="E447" s="10" t="str">
        <f t="shared" si="2"/>
        <v>OT Hours</v>
      </c>
      <c r="F447" s="10" t="str">
        <f>IFERROR(VLOOKUP(C447,'Employees List'!$B$1:$I$999,4,0),"")</f>
        <v/>
      </c>
      <c r="G447" s="10" t="str">
        <f t="shared" si="21"/>
        <v>#DIV/0!</v>
      </c>
      <c r="H447" s="72" t="str">
        <f>IFERROR(VLOOKUP(C447,'Employees List'!$B$2:$I$991,7,0),"")</f>
        <v/>
      </c>
      <c r="I447" s="73" t="str">
        <f>IFERROR(VLOOKUP(F447,'Employees List'!$E$1:$AE$991,6,0),"")</f>
        <v/>
      </c>
      <c r="J447" s="71">
        <f t="shared" si="3"/>
        <v>0</v>
      </c>
      <c r="K447" s="71">
        <f t="shared" si="4"/>
        <v>0</v>
      </c>
      <c r="L447" s="10" t="str">
        <f>IFERROR(VLOOKUP(B447,'Employees List'!$A$2:$K$991,11,0),"")</f>
        <v/>
      </c>
      <c r="M447" s="74" t="str">
        <f>IFERROR(VLOOKUP(D447,'Daily Attendance 25-26'!$A$4:BP999,5,0),"")</f>
        <v/>
      </c>
      <c r="N447" s="10" t="str">
        <f>IFERROR(VLOOKUP(E447,'Daily Attendance 25-26'!$A$1:$BO$1741,5,0),"")</f>
        <v/>
      </c>
      <c r="O447" s="10"/>
      <c r="P447" s="10"/>
      <c r="Q447" s="10" t="str">
        <f t="shared" si="5"/>
        <v>#DIV/0!</v>
      </c>
      <c r="R447" s="10" t="str">
        <f t="shared" si="6"/>
        <v>#DIV/0!</v>
      </c>
      <c r="S447" s="10" t="str">
        <f t="shared" si="23"/>
        <v>#DIV/0!</v>
      </c>
      <c r="T447" s="10" t="str">
        <f t="shared" si="22"/>
        <v>#DIV/0!</v>
      </c>
      <c r="U447" s="10" t="str">
        <f t="shared" si="8"/>
        <v>#DIV/0!</v>
      </c>
      <c r="V447" s="10"/>
      <c r="W447" s="10"/>
      <c r="X447" s="10"/>
      <c r="Y447" s="10"/>
      <c r="Z447" s="10"/>
      <c r="AA447" s="10"/>
      <c r="AB447" s="10"/>
      <c r="AC447" s="10"/>
      <c r="AD447" s="10"/>
      <c r="AE447" s="10"/>
      <c r="AF447" s="10"/>
    </row>
    <row r="448" hidden="1">
      <c r="A448" s="9" t="s">
        <v>665</v>
      </c>
      <c r="B448" s="84"/>
      <c r="C448" s="9"/>
      <c r="D448" s="9" t="str">
        <f t="shared" si="1"/>
        <v/>
      </c>
      <c r="E448" s="10" t="str">
        <f t="shared" si="2"/>
        <v>OT Hours</v>
      </c>
      <c r="F448" s="10" t="str">
        <f>IFERROR(VLOOKUP(C448,'Employees List'!$B$1:$I$999,4,0),"")</f>
        <v/>
      </c>
      <c r="G448" s="10" t="str">
        <f t="shared" si="21"/>
        <v>#DIV/0!</v>
      </c>
      <c r="H448" s="72" t="str">
        <f>IFERROR(VLOOKUP(C448,'Employees List'!$B$2:$I$991,7,0),"")</f>
        <v/>
      </c>
      <c r="I448" s="73" t="str">
        <f>IFERROR(VLOOKUP(F448,'Employees List'!$E$1:$AE$991,6,0),"")</f>
        <v/>
      </c>
      <c r="J448" s="71">
        <f t="shared" si="3"/>
        <v>0</v>
      </c>
      <c r="K448" s="71">
        <f t="shared" si="4"/>
        <v>0</v>
      </c>
      <c r="L448" s="10" t="str">
        <f>IFERROR(VLOOKUP(B448,'Employees List'!$A$2:$K$991,11,0),"")</f>
        <v/>
      </c>
      <c r="M448" s="74" t="str">
        <f>IFERROR(VLOOKUP(D448,'Daily Attendance 25-26'!$A$4:BP999,5,0),"")</f>
        <v/>
      </c>
      <c r="N448" s="10" t="str">
        <f>IFERROR(VLOOKUP(E448,'Daily Attendance 25-26'!$A$1:$BO$1741,5,0),"")</f>
        <v/>
      </c>
      <c r="O448" s="10"/>
      <c r="P448" s="10"/>
      <c r="Q448" s="10" t="str">
        <f t="shared" si="5"/>
        <v>#DIV/0!</v>
      </c>
      <c r="R448" s="10" t="str">
        <f t="shared" si="6"/>
        <v>#DIV/0!</v>
      </c>
      <c r="S448" s="10" t="str">
        <f t="shared" si="23"/>
        <v>#DIV/0!</v>
      </c>
      <c r="T448" s="10" t="str">
        <f t="shared" si="22"/>
        <v>#DIV/0!</v>
      </c>
      <c r="U448" s="10" t="str">
        <f t="shared" si="8"/>
        <v>#DIV/0!</v>
      </c>
      <c r="V448" s="10"/>
      <c r="W448" s="10"/>
      <c r="X448" s="10"/>
      <c r="Y448" s="10"/>
      <c r="Z448" s="10"/>
      <c r="AA448" s="10"/>
      <c r="AB448" s="10"/>
      <c r="AC448" s="10"/>
      <c r="AD448" s="10"/>
      <c r="AE448" s="10"/>
      <c r="AF448" s="10"/>
    </row>
    <row r="449" hidden="1">
      <c r="A449" s="9" t="s">
        <v>666</v>
      </c>
      <c r="B449" s="84"/>
      <c r="C449" s="9"/>
      <c r="D449" s="9" t="str">
        <f t="shared" si="1"/>
        <v/>
      </c>
      <c r="E449" s="10" t="str">
        <f t="shared" si="2"/>
        <v>OT Hours</v>
      </c>
      <c r="F449" s="10" t="str">
        <f>IFERROR(VLOOKUP(C449,'Employees List'!$B$1:$I$999,4,0),"")</f>
        <v/>
      </c>
      <c r="G449" s="10" t="str">
        <f t="shared" si="21"/>
        <v>#DIV/0!</v>
      </c>
      <c r="H449" s="72" t="str">
        <f>IFERROR(VLOOKUP(C449,'Employees List'!$B$2:$I$991,7,0),"")</f>
        <v/>
      </c>
      <c r="I449" s="73" t="str">
        <f>IFERROR(VLOOKUP(F449,'Employees List'!$E$1:$AE$991,6,0),"")</f>
        <v/>
      </c>
      <c r="J449" s="71">
        <f t="shared" si="3"/>
        <v>0</v>
      </c>
      <c r="K449" s="71">
        <f t="shared" si="4"/>
        <v>0</v>
      </c>
      <c r="L449" s="10" t="str">
        <f>IFERROR(VLOOKUP(B449,'Employees List'!$A$2:$K$991,11,0),"")</f>
        <v/>
      </c>
      <c r="M449" s="74" t="str">
        <f>IFERROR(VLOOKUP(D449,'Daily Attendance 25-26'!$A$4:BP999,5,0),"")</f>
        <v/>
      </c>
      <c r="N449" s="10" t="str">
        <f>IFERROR(VLOOKUP(E449,'Daily Attendance 25-26'!$A$1:$BO$1741,5,0),"")</f>
        <v/>
      </c>
      <c r="O449" s="10"/>
      <c r="P449" s="10"/>
      <c r="Q449" s="10" t="str">
        <f t="shared" si="5"/>
        <v>#DIV/0!</v>
      </c>
      <c r="R449" s="10" t="str">
        <f t="shared" si="6"/>
        <v>#DIV/0!</v>
      </c>
      <c r="S449" s="10" t="str">
        <f t="shared" si="23"/>
        <v>#DIV/0!</v>
      </c>
      <c r="T449" s="10" t="str">
        <f t="shared" si="22"/>
        <v>#DIV/0!</v>
      </c>
      <c r="U449" s="10" t="str">
        <f t="shared" si="8"/>
        <v>#DIV/0!</v>
      </c>
      <c r="V449" s="10"/>
      <c r="W449" s="10"/>
      <c r="X449" s="10"/>
      <c r="Y449" s="10"/>
      <c r="Z449" s="10"/>
      <c r="AA449" s="10"/>
      <c r="AB449" s="10"/>
      <c r="AC449" s="10"/>
      <c r="AD449" s="10"/>
      <c r="AE449" s="10"/>
      <c r="AF449" s="10"/>
    </row>
    <row r="450" hidden="1">
      <c r="A450" s="9" t="s">
        <v>667</v>
      </c>
      <c r="B450" s="84"/>
      <c r="C450" s="9"/>
      <c r="D450" s="9" t="str">
        <f t="shared" si="1"/>
        <v/>
      </c>
      <c r="E450" s="10" t="str">
        <f t="shared" si="2"/>
        <v>OT Hours</v>
      </c>
      <c r="F450" s="10" t="str">
        <f>IFERROR(VLOOKUP(C450,'Employees List'!$B$1:$I$999,4,0),"")</f>
        <v/>
      </c>
      <c r="G450" s="10" t="str">
        <f t="shared" si="21"/>
        <v>#DIV/0!</v>
      </c>
      <c r="H450" s="72" t="str">
        <f>IFERROR(VLOOKUP(C450,'Employees List'!$B$2:$I$991,7,0),"")</f>
        <v/>
      </c>
      <c r="I450" s="73" t="str">
        <f>IFERROR(VLOOKUP(F450,'Employees List'!$E$1:$AE$991,6,0),"")</f>
        <v/>
      </c>
      <c r="J450" s="71">
        <f t="shared" si="3"/>
        <v>0</v>
      </c>
      <c r="K450" s="71">
        <f t="shared" si="4"/>
        <v>0</v>
      </c>
      <c r="L450" s="10" t="str">
        <f>IFERROR(VLOOKUP(B450,'Employees List'!$A$2:$K$991,11,0),"")</f>
        <v/>
      </c>
      <c r="M450" s="74" t="str">
        <f>IFERROR(VLOOKUP(D450,'Daily Attendance 25-26'!$A$4:BP999,5,0),"")</f>
        <v/>
      </c>
      <c r="N450" s="10" t="str">
        <f>IFERROR(VLOOKUP(E450,'Daily Attendance 25-26'!$A$1:$BO$1741,5,0),"")</f>
        <v/>
      </c>
      <c r="O450" s="10"/>
      <c r="P450" s="10"/>
      <c r="Q450" s="10" t="str">
        <f t="shared" si="5"/>
        <v>#DIV/0!</v>
      </c>
      <c r="R450" s="10" t="str">
        <f t="shared" si="6"/>
        <v>#DIV/0!</v>
      </c>
      <c r="S450" s="10" t="str">
        <f t="shared" si="23"/>
        <v>#DIV/0!</v>
      </c>
      <c r="T450" s="10" t="str">
        <f t="shared" si="22"/>
        <v>#DIV/0!</v>
      </c>
      <c r="U450" s="10" t="str">
        <f t="shared" si="8"/>
        <v>#DIV/0!</v>
      </c>
      <c r="V450" s="10"/>
      <c r="W450" s="10"/>
      <c r="X450" s="10"/>
      <c r="Y450" s="10"/>
      <c r="Z450" s="10"/>
      <c r="AA450" s="10"/>
      <c r="AB450" s="10"/>
      <c r="AC450" s="10"/>
      <c r="AD450" s="10"/>
      <c r="AE450" s="10"/>
      <c r="AF450" s="10"/>
    </row>
    <row r="451" hidden="1">
      <c r="A451" s="9" t="s">
        <v>668</v>
      </c>
      <c r="B451" s="84"/>
      <c r="C451" s="9"/>
      <c r="D451" s="9" t="str">
        <f t="shared" si="1"/>
        <v/>
      </c>
      <c r="E451" s="10" t="str">
        <f t="shared" si="2"/>
        <v>OT Hours</v>
      </c>
      <c r="F451" s="10" t="str">
        <f>IFERROR(VLOOKUP(C451,'Employees List'!$B$1:$I$999,4,0),"")</f>
        <v/>
      </c>
      <c r="G451" s="10" t="str">
        <f t="shared" si="21"/>
        <v>#DIV/0!</v>
      </c>
      <c r="H451" s="72" t="str">
        <f>IFERROR(VLOOKUP(C451,'Employees List'!$B$2:$I$991,7,0),"")</f>
        <v/>
      </c>
      <c r="I451" s="73" t="str">
        <f>IFERROR(VLOOKUP(F451,'Employees List'!$E$1:$AE$991,6,0),"")</f>
        <v/>
      </c>
      <c r="J451" s="71">
        <f t="shared" si="3"/>
        <v>0</v>
      </c>
      <c r="K451" s="71">
        <f t="shared" si="4"/>
        <v>0</v>
      </c>
      <c r="L451" s="10" t="str">
        <f>IFERROR(VLOOKUP(B451,'Employees List'!$A$2:$K$991,11,0),"")</f>
        <v/>
      </c>
      <c r="M451" s="74" t="str">
        <f>IFERROR(VLOOKUP(D451,'Daily Attendance 25-26'!$A$4:BP999,5,0),"")</f>
        <v/>
      </c>
      <c r="N451" s="10" t="str">
        <f>IFERROR(VLOOKUP(E451,'Daily Attendance 25-26'!$A$1:$BO$1741,5,0),"")</f>
        <v/>
      </c>
      <c r="O451" s="10"/>
      <c r="P451" s="10"/>
      <c r="Q451" s="10" t="str">
        <f t="shared" si="5"/>
        <v>#DIV/0!</v>
      </c>
      <c r="R451" s="10" t="str">
        <f t="shared" si="6"/>
        <v>#DIV/0!</v>
      </c>
      <c r="S451" s="10" t="str">
        <f t="shared" si="23"/>
        <v>#DIV/0!</v>
      </c>
      <c r="T451" s="10" t="str">
        <f t="shared" si="22"/>
        <v>#DIV/0!</v>
      </c>
      <c r="U451" s="10" t="str">
        <f t="shared" si="8"/>
        <v>#DIV/0!</v>
      </c>
      <c r="V451" s="10"/>
      <c r="W451" s="10"/>
      <c r="X451" s="10"/>
      <c r="Y451" s="10"/>
      <c r="Z451" s="10"/>
      <c r="AA451" s="10"/>
      <c r="AB451" s="10"/>
      <c r="AC451" s="10"/>
      <c r="AD451" s="10"/>
      <c r="AE451" s="10"/>
      <c r="AF451" s="10"/>
    </row>
    <row r="452" hidden="1">
      <c r="A452" s="9" t="s">
        <v>669</v>
      </c>
      <c r="B452" s="84"/>
      <c r="C452" s="9"/>
      <c r="D452" s="9" t="str">
        <f t="shared" si="1"/>
        <v/>
      </c>
      <c r="E452" s="10" t="str">
        <f t="shared" si="2"/>
        <v>OT Hours</v>
      </c>
      <c r="F452" s="10" t="str">
        <f>IFERROR(VLOOKUP(C452,'Employees List'!$B$1:$I$999,4,0),"")</f>
        <v/>
      </c>
      <c r="G452" s="10" t="str">
        <f t="shared" si="21"/>
        <v>#DIV/0!</v>
      </c>
      <c r="H452" s="72" t="str">
        <f>IFERROR(VLOOKUP(C452,'Employees List'!$B$2:$I$991,7,0),"")</f>
        <v/>
      </c>
      <c r="I452" s="73" t="str">
        <f>IFERROR(VLOOKUP(F452,'Employees List'!$E$1:$AE$991,6,0),"")</f>
        <v/>
      </c>
      <c r="J452" s="71">
        <f t="shared" si="3"/>
        <v>0</v>
      </c>
      <c r="K452" s="71">
        <f t="shared" si="4"/>
        <v>0</v>
      </c>
      <c r="L452" s="10" t="str">
        <f>IFERROR(VLOOKUP(B452,'Employees List'!$A$2:$K$991,11,0),"")</f>
        <v/>
      </c>
      <c r="M452" s="74" t="str">
        <f>IFERROR(VLOOKUP(D452,'Daily Attendance 25-26'!$A$4:BP999,5,0),"")</f>
        <v/>
      </c>
      <c r="N452" s="10" t="str">
        <f>IFERROR(VLOOKUP(E452,'Daily Attendance 25-26'!$A$1:$BO$1741,5,0),"")</f>
        <v/>
      </c>
      <c r="O452" s="10"/>
      <c r="P452" s="10"/>
      <c r="Q452" s="10" t="str">
        <f t="shared" si="5"/>
        <v>#DIV/0!</v>
      </c>
      <c r="R452" s="10" t="str">
        <f t="shared" si="6"/>
        <v>#DIV/0!</v>
      </c>
      <c r="S452" s="10" t="str">
        <f t="shared" si="23"/>
        <v>#DIV/0!</v>
      </c>
      <c r="T452" s="10" t="str">
        <f t="shared" si="22"/>
        <v>#DIV/0!</v>
      </c>
      <c r="U452" s="10" t="str">
        <f t="shared" si="8"/>
        <v>#DIV/0!</v>
      </c>
      <c r="V452" s="10"/>
      <c r="W452" s="10"/>
      <c r="X452" s="10"/>
      <c r="Y452" s="10"/>
      <c r="Z452" s="10"/>
      <c r="AA452" s="10"/>
      <c r="AB452" s="10"/>
      <c r="AC452" s="10"/>
      <c r="AD452" s="10"/>
      <c r="AE452" s="10"/>
      <c r="AF452" s="10"/>
    </row>
    <row r="453" hidden="1">
      <c r="A453" s="9" t="s">
        <v>670</v>
      </c>
      <c r="B453" s="84"/>
      <c r="C453" s="9"/>
      <c r="D453" s="9" t="str">
        <f t="shared" si="1"/>
        <v/>
      </c>
      <c r="E453" s="10" t="str">
        <f t="shared" si="2"/>
        <v>OT Hours</v>
      </c>
      <c r="F453" s="10" t="str">
        <f>IFERROR(VLOOKUP(C453,'Employees List'!$B$1:$I$999,4,0),"")</f>
        <v/>
      </c>
      <c r="G453" s="10" t="str">
        <f t="shared" si="21"/>
        <v>#DIV/0!</v>
      </c>
      <c r="H453" s="72" t="str">
        <f>IFERROR(VLOOKUP(C453,'Employees List'!$B$2:$I$991,7,0),"")</f>
        <v/>
      </c>
      <c r="I453" s="73" t="str">
        <f>IFERROR(VLOOKUP(F453,'Employees List'!$E$1:$AE$991,6,0),"")</f>
        <v/>
      </c>
      <c r="J453" s="71">
        <f t="shared" si="3"/>
        <v>0</v>
      </c>
      <c r="K453" s="71">
        <f t="shared" si="4"/>
        <v>0</v>
      </c>
      <c r="L453" s="10" t="str">
        <f>IFERROR(VLOOKUP(B453,'Employees List'!$A$2:$K$991,11,0),"")</f>
        <v/>
      </c>
      <c r="M453" s="74" t="str">
        <f>IFERROR(VLOOKUP(D453,'Daily Attendance 25-26'!$A$4:BP999,5,0),"")</f>
        <v/>
      </c>
      <c r="N453" s="10" t="str">
        <f>IFERROR(VLOOKUP(E453,'Daily Attendance 25-26'!$A$1:$BO$1741,5,0),"")</f>
        <v/>
      </c>
      <c r="O453" s="10"/>
      <c r="P453" s="10"/>
      <c r="Q453" s="10" t="str">
        <f t="shared" si="5"/>
        <v>#DIV/0!</v>
      </c>
      <c r="R453" s="10" t="str">
        <f t="shared" si="6"/>
        <v>#DIV/0!</v>
      </c>
      <c r="S453" s="10" t="str">
        <f t="shared" si="23"/>
        <v>#DIV/0!</v>
      </c>
      <c r="T453" s="10" t="str">
        <f t="shared" si="22"/>
        <v>#DIV/0!</v>
      </c>
      <c r="U453" s="10" t="str">
        <f t="shared" si="8"/>
        <v>#DIV/0!</v>
      </c>
      <c r="V453" s="10"/>
      <c r="W453" s="10"/>
      <c r="X453" s="10"/>
      <c r="Y453" s="10"/>
      <c r="Z453" s="10"/>
      <c r="AA453" s="10"/>
      <c r="AB453" s="10"/>
      <c r="AC453" s="10"/>
      <c r="AD453" s="10"/>
      <c r="AE453" s="10"/>
      <c r="AF453" s="10"/>
    </row>
    <row r="454" hidden="1">
      <c r="A454" s="9" t="s">
        <v>671</v>
      </c>
      <c r="B454" s="84"/>
      <c r="C454" s="9"/>
      <c r="D454" s="9" t="str">
        <f t="shared" si="1"/>
        <v/>
      </c>
      <c r="E454" s="10" t="str">
        <f t="shared" si="2"/>
        <v>OT Hours</v>
      </c>
      <c r="F454" s="10" t="str">
        <f>IFERROR(VLOOKUP(C454,'Employees List'!$B$1:$I$999,4,0),"")</f>
        <v/>
      </c>
      <c r="G454" s="10" t="str">
        <f t="shared" si="21"/>
        <v>#DIV/0!</v>
      </c>
      <c r="H454" s="72" t="str">
        <f>IFERROR(VLOOKUP(C454,'Employees List'!$B$2:$I$991,7,0),"")</f>
        <v/>
      </c>
      <c r="I454" s="73" t="str">
        <f>IFERROR(VLOOKUP(F454,'Employees List'!$E$1:$AE$991,6,0),"")</f>
        <v/>
      </c>
      <c r="J454" s="71">
        <f t="shared" si="3"/>
        <v>0</v>
      </c>
      <c r="K454" s="71">
        <f t="shared" si="4"/>
        <v>0</v>
      </c>
      <c r="L454" s="10" t="str">
        <f>IFERROR(VLOOKUP(B454,'Employees List'!$A$2:$K$991,11,0),"")</f>
        <v/>
      </c>
      <c r="M454" s="74" t="str">
        <f>IFERROR(VLOOKUP(D454,'Daily Attendance 25-26'!$A$4:BP999,5,0),"")</f>
        <v/>
      </c>
      <c r="N454" s="10" t="str">
        <f>IFERROR(VLOOKUP(E454,'Daily Attendance 25-26'!$A$1:$BO$1741,5,0),"")</f>
        <v/>
      </c>
      <c r="O454" s="10"/>
      <c r="P454" s="10"/>
      <c r="Q454" s="10" t="str">
        <f t="shared" si="5"/>
        <v>#DIV/0!</v>
      </c>
      <c r="R454" s="10" t="str">
        <f t="shared" si="6"/>
        <v>#DIV/0!</v>
      </c>
      <c r="S454" s="10" t="str">
        <f t="shared" si="23"/>
        <v>#DIV/0!</v>
      </c>
      <c r="T454" s="10" t="str">
        <f t="shared" si="22"/>
        <v>#DIV/0!</v>
      </c>
      <c r="U454" s="10" t="str">
        <f t="shared" si="8"/>
        <v>#DIV/0!</v>
      </c>
      <c r="V454" s="10"/>
      <c r="W454" s="10"/>
      <c r="X454" s="10"/>
      <c r="Y454" s="10"/>
      <c r="Z454" s="10"/>
      <c r="AA454" s="10"/>
      <c r="AB454" s="10"/>
      <c r="AC454" s="10"/>
      <c r="AD454" s="10"/>
      <c r="AE454" s="10"/>
      <c r="AF454" s="10"/>
    </row>
    <row r="455" hidden="1">
      <c r="A455" s="9" t="s">
        <v>672</v>
      </c>
      <c r="B455" s="84"/>
      <c r="C455" s="9"/>
      <c r="D455" s="9" t="str">
        <f t="shared" si="1"/>
        <v/>
      </c>
      <c r="E455" s="10" t="str">
        <f t="shared" si="2"/>
        <v>OT Hours</v>
      </c>
      <c r="F455" s="10" t="str">
        <f>IFERROR(VLOOKUP(C455,'Employees List'!$B$1:$I$999,4,0),"")</f>
        <v/>
      </c>
      <c r="G455" s="10" t="str">
        <f t="shared" si="21"/>
        <v>#DIV/0!</v>
      </c>
      <c r="H455" s="72" t="str">
        <f>IFERROR(VLOOKUP(C455,'Employees List'!$B$2:$I$991,7,0),"")</f>
        <v/>
      </c>
      <c r="I455" s="73" t="str">
        <f>IFERROR(VLOOKUP(F455,'Employees List'!$E$1:$AE$991,6,0),"")</f>
        <v/>
      </c>
      <c r="J455" s="71">
        <f t="shared" si="3"/>
        <v>0</v>
      </c>
      <c r="K455" s="71">
        <f t="shared" si="4"/>
        <v>0</v>
      </c>
      <c r="L455" s="10" t="str">
        <f>IFERROR(VLOOKUP(B455,'Employees List'!$A$2:$K$991,11,0),"")</f>
        <v/>
      </c>
      <c r="M455" s="74" t="str">
        <f>IFERROR(VLOOKUP(D455,'Daily Attendance 25-26'!$A$4:BP999,5,0),"")</f>
        <v/>
      </c>
      <c r="N455" s="10" t="str">
        <f>IFERROR(VLOOKUP(E455,'Daily Attendance 25-26'!$A$1:$BO$1741,5,0),"")</f>
        <v/>
      </c>
      <c r="O455" s="10"/>
      <c r="P455" s="10"/>
      <c r="Q455" s="10" t="str">
        <f t="shared" si="5"/>
        <v>#DIV/0!</v>
      </c>
      <c r="R455" s="10" t="str">
        <f t="shared" si="6"/>
        <v>#DIV/0!</v>
      </c>
      <c r="S455" s="10" t="str">
        <f t="shared" si="23"/>
        <v>#DIV/0!</v>
      </c>
      <c r="T455" s="10" t="str">
        <f t="shared" si="22"/>
        <v>#DIV/0!</v>
      </c>
      <c r="U455" s="10" t="str">
        <f t="shared" si="8"/>
        <v>#DIV/0!</v>
      </c>
      <c r="V455" s="10"/>
      <c r="W455" s="10"/>
      <c r="X455" s="10"/>
      <c r="Y455" s="10"/>
      <c r="Z455" s="10"/>
      <c r="AA455" s="10"/>
      <c r="AB455" s="10"/>
      <c r="AC455" s="10"/>
      <c r="AD455" s="10"/>
      <c r="AE455" s="10"/>
      <c r="AF455" s="10"/>
    </row>
    <row r="456" hidden="1">
      <c r="A456" s="9" t="s">
        <v>673</v>
      </c>
      <c r="B456" s="84"/>
      <c r="C456" s="9"/>
      <c r="D456" s="9" t="str">
        <f t="shared" si="1"/>
        <v/>
      </c>
      <c r="E456" s="10" t="str">
        <f t="shared" si="2"/>
        <v>OT Hours</v>
      </c>
      <c r="F456" s="10" t="str">
        <f>IFERROR(VLOOKUP(C456,'Employees List'!$B$1:$I$999,4,0),"")</f>
        <v/>
      </c>
      <c r="G456" s="10" t="str">
        <f t="shared" si="21"/>
        <v>#DIV/0!</v>
      </c>
      <c r="H456" s="72" t="str">
        <f>IFERROR(VLOOKUP(C456,'Employees List'!$B$2:$I$991,7,0),"")</f>
        <v/>
      </c>
      <c r="I456" s="73" t="str">
        <f>IFERROR(VLOOKUP(F456,'Employees List'!$E$1:$AE$991,6,0),"")</f>
        <v/>
      </c>
      <c r="J456" s="71">
        <f t="shared" si="3"/>
        <v>0</v>
      </c>
      <c r="K456" s="71">
        <f t="shared" si="4"/>
        <v>0</v>
      </c>
      <c r="L456" s="10" t="str">
        <f>IFERROR(VLOOKUP(B456,'Employees List'!$A$2:$K$991,11,0),"")</f>
        <v/>
      </c>
      <c r="M456" s="74" t="str">
        <f>IFERROR(VLOOKUP(D456,'Daily Attendance 25-26'!$A$4:BP999,5,0),"")</f>
        <v/>
      </c>
      <c r="N456" s="10" t="str">
        <f>IFERROR(VLOOKUP(E456,'Daily Attendance 25-26'!$A$1:$BO$1741,5,0),"")</f>
        <v/>
      </c>
      <c r="O456" s="10"/>
      <c r="P456" s="10"/>
      <c r="Q456" s="10" t="str">
        <f t="shared" si="5"/>
        <v>#DIV/0!</v>
      </c>
      <c r="R456" s="10" t="str">
        <f t="shared" si="6"/>
        <v>#DIV/0!</v>
      </c>
      <c r="S456" s="10" t="str">
        <f t="shared" si="23"/>
        <v>#DIV/0!</v>
      </c>
      <c r="T456" s="10" t="str">
        <f t="shared" si="22"/>
        <v>#DIV/0!</v>
      </c>
      <c r="U456" s="10" t="str">
        <f t="shared" si="8"/>
        <v>#DIV/0!</v>
      </c>
      <c r="V456" s="10"/>
      <c r="W456" s="10"/>
      <c r="X456" s="10"/>
      <c r="Y456" s="10"/>
      <c r="Z456" s="10"/>
      <c r="AA456" s="10"/>
      <c r="AB456" s="10"/>
      <c r="AC456" s="10"/>
      <c r="AD456" s="10"/>
      <c r="AE456" s="10"/>
      <c r="AF456" s="10"/>
    </row>
    <row r="457" hidden="1">
      <c r="A457" s="9" t="s">
        <v>674</v>
      </c>
      <c r="B457" s="84"/>
      <c r="C457" s="9"/>
      <c r="D457" s="9" t="str">
        <f t="shared" si="1"/>
        <v/>
      </c>
      <c r="E457" s="10" t="str">
        <f t="shared" si="2"/>
        <v>OT Hours</v>
      </c>
      <c r="F457" s="10" t="str">
        <f>IFERROR(VLOOKUP(C457,'Employees List'!$B$1:$I$999,4,0),"")</f>
        <v/>
      </c>
      <c r="G457" s="10" t="str">
        <f t="shared" si="21"/>
        <v>#DIV/0!</v>
      </c>
      <c r="H457" s="72" t="str">
        <f>IFERROR(VLOOKUP(C457,'Employees List'!$B$2:$I$991,7,0),"")</f>
        <v/>
      </c>
      <c r="I457" s="73" t="str">
        <f>IFERROR(VLOOKUP(F457,'Employees List'!$E$1:$AE$991,6,0),"")</f>
        <v/>
      </c>
      <c r="J457" s="71">
        <f t="shared" si="3"/>
        <v>0</v>
      </c>
      <c r="K457" s="71">
        <f t="shared" si="4"/>
        <v>0</v>
      </c>
      <c r="L457" s="10" t="str">
        <f>IFERROR(VLOOKUP(B457,'Employees List'!$A$2:$K$991,11,0),"")</f>
        <v/>
      </c>
      <c r="M457" s="74" t="str">
        <f>IFERROR(VLOOKUP(D457,'Daily Attendance 25-26'!$A$4:BP999,5,0),"")</f>
        <v/>
      </c>
      <c r="N457" s="10" t="str">
        <f>IFERROR(VLOOKUP(E457,'Daily Attendance 25-26'!$A$1:$BO$1741,5,0),"")</f>
        <v/>
      </c>
      <c r="O457" s="10"/>
      <c r="P457" s="10"/>
      <c r="Q457" s="10" t="str">
        <f t="shared" si="5"/>
        <v>#DIV/0!</v>
      </c>
      <c r="R457" s="10" t="str">
        <f t="shared" si="6"/>
        <v>#DIV/0!</v>
      </c>
      <c r="S457" s="10" t="str">
        <f t="shared" si="23"/>
        <v>#DIV/0!</v>
      </c>
      <c r="T457" s="10" t="str">
        <f t="shared" si="22"/>
        <v>#DIV/0!</v>
      </c>
      <c r="U457" s="10" t="str">
        <f t="shared" si="8"/>
        <v>#DIV/0!</v>
      </c>
      <c r="V457" s="10"/>
      <c r="W457" s="10"/>
      <c r="X457" s="10"/>
      <c r="Y457" s="10"/>
      <c r="Z457" s="10"/>
      <c r="AA457" s="10"/>
      <c r="AB457" s="10"/>
      <c r="AC457" s="10"/>
      <c r="AD457" s="10"/>
      <c r="AE457" s="10"/>
      <c r="AF457" s="10"/>
    </row>
    <row r="458" hidden="1">
      <c r="A458" s="9" t="s">
        <v>675</v>
      </c>
      <c r="B458" s="84"/>
      <c r="C458" s="9"/>
      <c r="D458" s="9" t="str">
        <f t="shared" si="1"/>
        <v/>
      </c>
      <c r="E458" s="10" t="str">
        <f t="shared" si="2"/>
        <v>OT Hours</v>
      </c>
      <c r="F458" s="10" t="str">
        <f>IFERROR(VLOOKUP(C458,'Employees List'!$B$1:$I$999,4,0),"")</f>
        <v/>
      </c>
      <c r="G458" s="10" t="str">
        <f t="shared" si="21"/>
        <v>#DIV/0!</v>
      </c>
      <c r="H458" s="72" t="str">
        <f>IFERROR(VLOOKUP(C458,'Employees List'!$B$2:$I$991,7,0),"")</f>
        <v/>
      </c>
      <c r="I458" s="73" t="str">
        <f>IFERROR(VLOOKUP(F458,'Employees List'!$E$1:$AE$991,6,0),"")</f>
        <v/>
      </c>
      <c r="J458" s="71">
        <f t="shared" si="3"/>
        <v>0</v>
      </c>
      <c r="K458" s="71">
        <f t="shared" si="4"/>
        <v>0</v>
      </c>
      <c r="L458" s="10" t="str">
        <f>IFERROR(VLOOKUP(B458,'Employees List'!$A$2:$K$991,11,0),"")</f>
        <v/>
      </c>
      <c r="M458" s="74" t="str">
        <f>IFERROR(VLOOKUP(D458,'Daily Attendance 25-26'!$A$4:BP999,5,0),"")</f>
        <v/>
      </c>
      <c r="N458" s="10" t="str">
        <f>IFERROR(VLOOKUP(E458,'Daily Attendance 25-26'!$A$1:$BO$1741,5,0),"")</f>
        <v/>
      </c>
      <c r="O458" s="10"/>
      <c r="P458" s="10"/>
      <c r="Q458" s="10" t="str">
        <f t="shared" si="5"/>
        <v>#DIV/0!</v>
      </c>
      <c r="R458" s="10" t="str">
        <f t="shared" si="6"/>
        <v>#DIV/0!</v>
      </c>
      <c r="S458" s="10" t="str">
        <f t="shared" si="23"/>
        <v>#DIV/0!</v>
      </c>
      <c r="T458" s="10" t="str">
        <f t="shared" si="22"/>
        <v>#DIV/0!</v>
      </c>
      <c r="U458" s="10" t="str">
        <f t="shared" si="8"/>
        <v>#DIV/0!</v>
      </c>
      <c r="V458" s="10"/>
      <c r="W458" s="10"/>
      <c r="X458" s="10"/>
      <c r="Y458" s="10"/>
      <c r="Z458" s="10"/>
      <c r="AA458" s="10"/>
      <c r="AB458" s="10"/>
      <c r="AC458" s="10"/>
      <c r="AD458" s="10"/>
      <c r="AE458" s="10"/>
      <c r="AF458" s="10"/>
    </row>
    <row r="459" hidden="1">
      <c r="A459" s="9" t="s">
        <v>676</v>
      </c>
      <c r="B459" s="84"/>
      <c r="C459" s="9"/>
      <c r="D459" s="9" t="str">
        <f t="shared" si="1"/>
        <v/>
      </c>
      <c r="E459" s="10" t="str">
        <f t="shared" si="2"/>
        <v>OT Hours</v>
      </c>
      <c r="F459" s="10" t="str">
        <f>IFERROR(VLOOKUP(C459,'Employees List'!$B$1:$I$999,4,0),"")</f>
        <v/>
      </c>
      <c r="G459" s="10" t="str">
        <f t="shared" si="21"/>
        <v>#DIV/0!</v>
      </c>
      <c r="H459" s="72" t="str">
        <f>IFERROR(VLOOKUP(C459,'Employees List'!$B$2:$I$991,7,0),"")</f>
        <v/>
      </c>
      <c r="I459" s="73" t="str">
        <f>IFERROR(VLOOKUP(F459,'Employees List'!$E$1:$AE$991,6,0),"")</f>
        <v/>
      </c>
      <c r="J459" s="71">
        <f t="shared" si="3"/>
        <v>0</v>
      </c>
      <c r="K459" s="71">
        <f t="shared" si="4"/>
        <v>0</v>
      </c>
      <c r="L459" s="10" t="str">
        <f>IFERROR(VLOOKUP(B459,'Employees List'!$A$2:$K$991,11,0),"")</f>
        <v/>
      </c>
      <c r="M459" s="74" t="str">
        <f>IFERROR(VLOOKUP(D459,'Daily Attendance 25-26'!$A$4:BP999,5,0),"")</f>
        <v/>
      </c>
      <c r="N459" s="10" t="str">
        <f>IFERROR(VLOOKUP(E459,'Daily Attendance 25-26'!$A$1:$BO$1741,5,0),"")</f>
        <v/>
      </c>
      <c r="O459" s="10"/>
      <c r="P459" s="10"/>
      <c r="Q459" s="10" t="str">
        <f t="shared" si="5"/>
        <v>#DIV/0!</v>
      </c>
      <c r="R459" s="10" t="str">
        <f t="shared" si="6"/>
        <v>#DIV/0!</v>
      </c>
      <c r="S459" s="10" t="str">
        <f t="shared" si="23"/>
        <v>#DIV/0!</v>
      </c>
      <c r="T459" s="10" t="str">
        <f t="shared" si="22"/>
        <v>#DIV/0!</v>
      </c>
      <c r="U459" s="10" t="str">
        <f t="shared" si="8"/>
        <v>#DIV/0!</v>
      </c>
      <c r="V459" s="10"/>
      <c r="W459" s="10"/>
      <c r="X459" s="10"/>
      <c r="Y459" s="10"/>
      <c r="Z459" s="10"/>
      <c r="AA459" s="10"/>
      <c r="AB459" s="10"/>
      <c r="AC459" s="10"/>
      <c r="AD459" s="10"/>
      <c r="AE459" s="10"/>
      <c r="AF459" s="10"/>
    </row>
    <row r="460" hidden="1">
      <c r="A460" s="9" t="s">
        <v>677</v>
      </c>
      <c r="B460" s="84"/>
      <c r="C460" s="9"/>
      <c r="D460" s="9" t="str">
        <f t="shared" si="1"/>
        <v/>
      </c>
      <c r="E460" s="10" t="str">
        <f t="shared" si="2"/>
        <v>OT Hours</v>
      </c>
      <c r="F460" s="10" t="str">
        <f>IFERROR(VLOOKUP(C460,'Employees List'!$B$1:$I$999,4,0),"")</f>
        <v/>
      </c>
      <c r="G460" s="10" t="str">
        <f t="shared" si="21"/>
        <v>#DIV/0!</v>
      </c>
      <c r="H460" s="72" t="str">
        <f>IFERROR(VLOOKUP(C460,'Employees List'!$B$2:$I$991,7,0),"")</f>
        <v/>
      </c>
      <c r="I460" s="73" t="str">
        <f>IFERROR(VLOOKUP(F460,'Employees List'!$E$1:$AE$991,6,0),"")</f>
        <v/>
      </c>
      <c r="J460" s="71">
        <f t="shared" si="3"/>
        <v>0</v>
      </c>
      <c r="K460" s="71">
        <f t="shared" si="4"/>
        <v>0</v>
      </c>
      <c r="L460" s="10" t="str">
        <f>IFERROR(VLOOKUP(B460,'Employees List'!$A$2:$K$991,11,0),"")</f>
        <v/>
      </c>
      <c r="M460" s="74" t="str">
        <f>IFERROR(VLOOKUP(D460,'Daily Attendance 25-26'!$A$4:BP999,5,0),"")</f>
        <v/>
      </c>
      <c r="N460" s="10" t="str">
        <f>IFERROR(VLOOKUP(E460,'Daily Attendance 25-26'!$A$1:$BO$1741,5,0),"")</f>
        <v/>
      </c>
      <c r="O460" s="10"/>
      <c r="P460" s="10"/>
      <c r="Q460" s="10" t="str">
        <f t="shared" si="5"/>
        <v>#DIV/0!</v>
      </c>
      <c r="R460" s="10" t="str">
        <f t="shared" si="6"/>
        <v>#DIV/0!</v>
      </c>
      <c r="S460" s="10" t="str">
        <f t="shared" si="23"/>
        <v>#DIV/0!</v>
      </c>
      <c r="T460" s="10" t="str">
        <f t="shared" si="22"/>
        <v>#DIV/0!</v>
      </c>
      <c r="U460" s="10" t="str">
        <f t="shared" si="8"/>
        <v>#DIV/0!</v>
      </c>
      <c r="V460" s="10"/>
      <c r="W460" s="10"/>
      <c r="X460" s="10"/>
      <c r="Y460" s="10"/>
      <c r="Z460" s="10"/>
      <c r="AA460" s="10"/>
      <c r="AB460" s="10"/>
      <c r="AC460" s="10"/>
      <c r="AD460" s="10"/>
      <c r="AE460" s="10"/>
      <c r="AF460" s="10"/>
    </row>
    <row r="461" hidden="1">
      <c r="A461" s="9" t="s">
        <v>678</v>
      </c>
      <c r="B461" s="84"/>
      <c r="C461" s="9"/>
      <c r="D461" s="9" t="str">
        <f t="shared" si="1"/>
        <v/>
      </c>
      <c r="E461" s="10" t="str">
        <f t="shared" si="2"/>
        <v>OT Hours</v>
      </c>
      <c r="F461" s="10" t="str">
        <f>IFERROR(VLOOKUP(C461,'Employees List'!$B$1:$I$999,4,0),"")</f>
        <v/>
      </c>
      <c r="G461" s="10" t="str">
        <f t="shared" si="21"/>
        <v>#DIV/0!</v>
      </c>
      <c r="H461" s="72" t="str">
        <f>IFERROR(VLOOKUP(C461,'Employees List'!$B$2:$I$991,7,0),"")</f>
        <v/>
      </c>
      <c r="I461" s="73" t="str">
        <f>IFERROR(VLOOKUP(F461,'Employees List'!$E$1:$AE$991,6,0),"")</f>
        <v/>
      </c>
      <c r="J461" s="71">
        <f t="shared" si="3"/>
        <v>0</v>
      </c>
      <c r="K461" s="71">
        <f t="shared" si="4"/>
        <v>0</v>
      </c>
      <c r="L461" s="10" t="str">
        <f>IFERROR(VLOOKUP(B461,'Employees List'!$A$2:$K$991,11,0),"")</f>
        <v/>
      </c>
      <c r="M461" s="74" t="str">
        <f>IFERROR(VLOOKUP(D461,'Daily Attendance 25-26'!$A$4:BP999,5,0),"")</f>
        <v/>
      </c>
      <c r="N461" s="10" t="str">
        <f>IFERROR(VLOOKUP(E461,'Daily Attendance 25-26'!$A$1:$BO$1741,5,0),"")</f>
        <v/>
      </c>
      <c r="O461" s="10"/>
      <c r="P461" s="10"/>
      <c r="Q461" s="10" t="str">
        <f t="shared" si="5"/>
        <v>#DIV/0!</v>
      </c>
      <c r="R461" s="10" t="str">
        <f t="shared" si="6"/>
        <v>#DIV/0!</v>
      </c>
      <c r="S461" s="10" t="str">
        <f t="shared" si="23"/>
        <v>#DIV/0!</v>
      </c>
      <c r="T461" s="10" t="str">
        <f t="shared" si="22"/>
        <v>#DIV/0!</v>
      </c>
      <c r="U461" s="10" t="str">
        <f t="shared" si="8"/>
        <v>#DIV/0!</v>
      </c>
      <c r="V461" s="10"/>
      <c r="W461" s="10"/>
      <c r="X461" s="10"/>
      <c r="Y461" s="10"/>
      <c r="Z461" s="10"/>
      <c r="AA461" s="10"/>
      <c r="AB461" s="10"/>
      <c r="AC461" s="10"/>
      <c r="AD461" s="10"/>
      <c r="AE461" s="10"/>
      <c r="AF461" s="10"/>
    </row>
    <row r="462" hidden="1">
      <c r="A462" s="9" t="s">
        <v>679</v>
      </c>
      <c r="B462" s="84"/>
      <c r="C462" s="9"/>
      <c r="D462" s="9" t="str">
        <f t="shared" si="1"/>
        <v/>
      </c>
      <c r="E462" s="10" t="str">
        <f t="shared" si="2"/>
        <v>OT Hours</v>
      </c>
      <c r="F462" s="10" t="str">
        <f>IFERROR(VLOOKUP(C462,'Employees List'!$B$1:$I$999,4,0),"")</f>
        <v/>
      </c>
      <c r="G462" s="10" t="str">
        <f t="shared" si="21"/>
        <v>#DIV/0!</v>
      </c>
      <c r="H462" s="72" t="str">
        <f>IFERROR(VLOOKUP(C462,'Employees List'!$B$2:$I$991,7,0),"")</f>
        <v/>
      </c>
      <c r="I462" s="73" t="str">
        <f>IFERROR(VLOOKUP(F462,'Employees List'!$E$1:$AE$991,6,0),"")</f>
        <v/>
      </c>
      <c r="J462" s="71">
        <f t="shared" si="3"/>
        <v>0</v>
      </c>
      <c r="K462" s="71">
        <f t="shared" si="4"/>
        <v>0</v>
      </c>
      <c r="L462" s="10" t="str">
        <f>IFERROR(VLOOKUP(B462,'Employees List'!$A$2:$K$991,11,0),"")</f>
        <v/>
      </c>
      <c r="M462" s="74" t="str">
        <f>IFERROR(VLOOKUP(D462,'Daily Attendance 25-26'!$A$4:BP999,5,0),"")</f>
        <v/>
      </c>
      <c r="N462" s="10" t="str">
        <f>IFERROR(VLOOKUP(E462,'Daily Attendance 25-26'!$A$1:$BO$1741,5,0),"")</f>
        <v/>
      </c>
      <c r="O462" s="10"/>
      <c r="P462" s="10"/>
      <c r="Q462" s="10" t="str">
        <f t="shared" si="5"/>
        <v>#DIV/0!</v>
      </c>
      <c r="R462" s="10" t="str">
        <f t="shared" si="6"/>
        <v>#DIV/0!</v>
      </c>
      <c r="S462" s="10" t="str">
        <f t="shared" si="23"/>
        <v>#DIV/0!</v>
      </c>
      <c r="T462" s="10" t="str">
        <f t="shared" si="22"/>
        <v>#DIV/0!</v>
      </c>
      <c r="U462" s="10" t="str">
        <f t="shared" si="8"/>
        <v>#DIV/0!</v>
      </c>
      <c r="V462" s="10"/>
      <c r="W462" s="10"/>
      <c r="X462" s="10"/>
      <c r="Y462" s="10"/>
      <c r="Z462" s="10"/>
      <c r="AA462" s="10"/>
      <c r="AB462" s="10"/>
      <c r="AC462" s="10"/>
      <c r="AD462" s="10"/>
      <c r="AE462" s="10"/>
      <c r="AF462" s="10"/>
    </row>
    <row r="463" hidden="1">
      <c r="A463" s="9" t="s">
        <v>680</v>
      </c>
      <c r="B463" s="84"/>
      <c r="C463" s="9"/>
      <c r="D463" s="9" t="str">
        <f t="shared" si="1"/>
        <v/>
      </c>
      <c r="E463" s="10" t="str">
        <f t="shared" si="2"/>
        <v>OT Hours</v>
      </c>
      <c r="F463" s="10" t="str">
        <f>IFERROR(VLOOKUP(C463,'Employees List'!$B$1:$I$999,4,0),"")</f>
        <v/>
      </c>
      <c r="G463" s="10" t="str">
        <f t="shared" si="21"/>
        <v>#DIV/0!</v>
      </c>
      <c r="H463" s="72" t="str">
        <f>IFERROR(VLOOKUP(C463,'Employees List'!$B$2:$I$991,7,0),"")</f>
        <v/>
      </c>
      <c r="I463" s="73" t="str">
        <f>IFERROR(VLOOKUP(F463,'Employees List'!$E$1:$AE$991,6,0),"")</f>
        <v/>
      </c>
      <c r="J463" s="71">
        <f t="shared" si="3"/>
        <v>0</v>
      </c>
      <c r="K463" s="71">
        <f t="shared" si="4"/>
        <v>0</v>
      </c>
      <c r="L463" s="10" t="str">
        <f>IFERROR(VLOOKUP(B463,'Employees List'!$A$2:$K$991,11,0),"")</f>
        <v/>
      </c>
      <c r="M463" s="74" t="str">
        <f>IFERROR(VLOOKUP(D463,'Daily Attendance 25-26'!$A$4:BP999,5,0),"")</f>
        <v/>
      </c>
      <c r="N463" s="10" t="str">
        <f>IFERROR(VLOOKUP(E463,'Daily Attendance 25-26'!$A$1:$BO$1741,5,0),"")</f>
        <v/>
      </c>
      <c r="O463" s="10"/>
      <c r="P463" s="10"/>
      <c r="Q463" s="10" t="str">
        <f t="shared" si="5"/>
        <v>#DIV/0!</v>
      </c>
      <c r="R463" s="10" t="str">
        <f t="shared" si="6"/>
        <v>#DIV/0!</v>
      </c>
      <c r="S463" s="10" t="str">
        <f t="shared" si="23"/>
        <v>#DIV/0!</v>
      </c>
      <c r="T463" s="10" t="str">
        <f t="shared" si="22"/>
        <v>#DIV/0!</v>
      </c>
      <c r="U463" s="10" t="str">
        <f t="shared" si="8"/>
        <v>#DIV/0!</v>
      </c>
      <c r="V463" s="10"/>
      <c r="W463" s="10"/>
      <c r="X463" s="10"/>
      <c r="Y463" s="10"/>
      <c r="Z463" s="10"/>
      <c r="AA463" s="10"/>
      <c r="AB463" s="10"/>
      <c r="AC463" s="10"/>
      <c r="AD463" s="10"/>
      <c r="AE463" s="10"/>
      <c r="AF463" s="10"/>
    </row>
    <row r="464" hidden="1">
      <c r="A464" s="9" t="s">
        <v>681</v>
      </c>
      <c r="B464" s="84"/>
      <c r="C464" s="9"/>
      <c r="D464" s="9" t="str">
        <f t="shared" si="1"/>
        <v/>
      </c>
      <c r="E464" s="10" t="str">
        <f t="shared" si="2"/>
        <v>OT Hours</v>
      </c>
      <c r="F464" s="10" t="str">
        <f>IFERROR(VLOOKUP(C464,'Employees List'!$B$1:$I$999,4,0),"")</f>
        <v/>
      </c>
      <c r="G464" s="10" t="str">
        <f t="shared" si="21"/>
        <v>#DIV/0!</v>
      </c>
      <c r="H464" s="72" t="str">
        <f>IFERROR(VLOOKUP(C464,'Employees List'!$B$2:$I$991,7,0),"")</f>
        <v/>
      </c>
      <c r="I464" s="73" t="str">
        <f>IFERROR(VLOOKUP(F464,'Employees List'!$E$1:$AE$991,6,0),"")</f>
        <v/>
      </c>
      <c r="J464" s="71">
        <f t="shared" si="3"/>
        <v>0</v>
      </c>
      <c r="K464" s="71">
        <f t="shared" si="4"/>
        <v>0</v>
      </c>
      <c r="L464" s="10" t="str">
        <f>IFERROR(VLOOKUP(B464,'Employees List'!$A$2:$K$991,11,0),"")</f>
        <v/>
      </c>
      <c r="M464" s="74" t="str">
        <f>IFERROR(VLOOKUP(D464,'Daily Attendance 25-26'!$A$4:BP999,5,0),"")</f>
        <v/>
      </c>
      <c r="N464" s="10" t="str">
        <f>IFERROR(VLOOKUP(E464,'Daily Attendance 25-26'!$A$1:$BO$1741,5,0),"")</f>
        <v/>
      </c>
      <c r="O464" s="10"/>
      <c r="P464" s="10"/>
      <c r="Q464" s="10" t="str">
        <f t="shared" si="5"/>
        <v>#DIV/0!</v>
      </c>
      <c r="R464" s="10" t="str">
        <f t="shared" si="6"/>
        <v>#DIV/0!</v>
      </c>
      <c r="S464" s="10" t="str">
        <f t="shared" si="23"/>
        <v>#DIV/0!</v>
      </c>
      <c r="T464" s="10" t="str">
        <f t="shared" si="22"/>
        <v>#DIV/0!</v>
      </c>
      <c r="U464" s="10" t="str">
        <f t="shared" si="8"/>
        <v>#DIV/0!</v>
      </c>
      <c r="V464" s="10"/>
      <c r="W464" s="10"/>
      <c r="X464" s="10"/>
      <c r="Y464" s="10"/>
      <c r="Z464" s="10"/>
      <c r="AA464" s="10"/>
      <c r="AB464" s="10"/>
      <c r="AC464" s="10"/>
      <c r="AD464" s="10"/>
      <c r="AE464" s="10"/>
      <c r="AF464" s="10"/>
    </row>
    <row r="465" hidden="1">
      <c r="A465" s="9" t="s">
        <v>682</v>
      </c>
      <c r="B465" s="84"/>
      <c r="C465" s="9"/>
      <c r="D465" s="9" t="str">
        <f t="shared" si="1"/>
        <v/>
      </c>
      <c r="E465" s="10" t="str">
        <f t="shared" si="2"/>
        <v>OT Hours</v>
      </c>
      <c r="F465" s="10" t="str">
        <f>IFERROR(VLOOKUP(C465,'Employees List'!$B$1:$I$999,4,0),"")</f>
        <v/>
      </c>
      <c r="G465" s="10" t="str">
        <f t="shared" si="21"/>
        <v>#DIV/0!</v>
      </c>
      <c r="H465" s="72" t="str">
        <f>IFERROR(VLOOKUP(C465,'Employees List'!$B$2:$I$991,7,0),"")</f>
        <v/>
      </c>
      <c r="I465" s="73" t="str">
        <f>IFERROR(VLOOKUP(F465,'Employees List'!$E$1:$AE$991,6,0),"")</f>
        <v/>
      </c>
      <c r="J465" s="71">
        <f t="shared" si="3"/>
        <v>0</v>
      </c>
      <c r="K465" s="71">
        <f t="shared" si="4"/>
        <v>0</v>
      </c>
      <c r="L465" s="10" t="str">
        <f>IFERROR(VLOOKUP(B465,'Employees List'!$A$2:$K$991,11,0),"")</f>
        <v/>
      </c>
      <c r="M465" s="74" t="str">
        <f>IFERROR(VLOOKUP(D465,'Daily Attendance 25-26'!$A$4:BP999,5,0),"")</f>
        <v/>
      </c>
      <c r="N465" s="10" t="str">
        <f>IFERROR(VLOOKUP(E465,'Daily Attendance 25-26'!$A$1:$BO$1741,5,0),"")</f>
        <v/>
      </c>
      <c r="O465" s="10"/>
      <c r="P465" s="10"/>
      <c r="Q465" s="10" t="str">
        <f t="shared" si="5"/>
        <v>#DIV/0!</v>
      </c>
      <c r="R465" s="10" t="str">
        <f t="shared" si="6"/>
        <v>#DIV/0!</v>
      </c>
      <c r="S465" s="10" t="str">
        <f t="shared" si="23"/>
        <v>#DIV/0!</v>
      </c>
      <c r="T465" s="10" t="str">
        <f t="shared" si="22"/>
        <v>#DIV/0!</v>
      </c>
      <c r="U465" s="10" t="str">
        <f t="shared" si="8"/>
        <v>#DIV/0!</v>
      </c>
      <c r="V465" s="10"/>
      <c r="W465" s="10"/>
      <c r="X465" s="10"/>
      <c r="Y465" s="10"/>
      <c r="Z465" s="10"/>
      <c r="AA465" s="10"/>
      <c r="AB465" s="10"/>
      <c r="AC465" s="10"/>
      <c r="AD465" s="10"/>
      <c r="AE465" s="10"/>
      <c r="AF465" s="10"/>
    </row>
    <row r="466" hidden="1">
      <c r="A466" s="9" t="s">
        <v>683</v>
      </c>
      <c r="B466" s="84"/>
      <c r="C466" s="9"/>
      <c r="D466" s="9" t="str">
        <f t="shared" si="1"/>
        <v/>
      </c>
      <c r="E466" s="10" t="str">
        <f t="shared" si="2"/>
        <v>OT Hours</v>
      </c>
      <c r="F466" s="10" t="str">
        <f>IFERROR(VLOOKUP(C466,'Employees List'!$B$1:$I$999,4,0),"")</f>
        <v/>
      </c>
      <c r="G466" s="10" t="str">
        <f t="shared" si="21"/>
        <v>#DIV/0!</v>
      </c>
      <c r="H466" s="72" t="str">
        <f>IFERROR(VLOOKUP(C466,'Employees List'!$B$2:$I$991,7,0),"")</f>
        <v/>
      </c>
      <c r="I466" s="73" t="str">
        <f>IFERROR(VLOOKUP(F466,'Employees List'!$E$1:$AE$991,6,0),"")</f>
        <v/>
      </c>
      <c r="J466" s="71">
        <f t="shared" si="3"/>
        <v>0</v>
      </c>
      <c r="K466" s="71">
        <f t="shared" si="4"/>
        <v>0</v>
      </c>
      <c r="L466" s="10" t="str">
        <f>IFERROR(VLOOKUP(B466,'Employees List'!$A$2:$K$991,11,0),"")</f>
        <v/>
      </c>
      <c r="M466" s="74" t="str">
        <f>IFERROR(VLOOKUP(D466,'Daily Attendance 25-26'!$A$4:BP999,5,0),"")</f>
        <v/>
      </c>
      <c r="N466" s="10" t="str">
        <f>IFERROR(VLOOKUP(E466,'Daily Attendance 25-26'!$A$1:$BO$1741,5,0),"")</f>
        <v/>
      </c>
      <c r="O466" s="10"/>
      <c r="P466" s="10"/>
      <c r="Q466" s="10" t="str">
        <f t="shared" si="5"/>
        <v>#DIV/0!</v>
      </c>
      <c r="R466" s="10" t="str">
        <f t="shared" si="6"/>
        <v>#DIV/0!</v>
      </c>
      <c r="S466" s="10" t="str">
        <f t="shared" si="23"/>
        <v>#DIV/0!</v>
      </c>
      <c r="T466" s="10" t="str">
        <f t="shared" si="22"/>
        <v>#DIV/0!</v>
      </c>
      <c r="U466" s="10" t="str">
        <f t="shared" si="8"/>
        <v>#DIV/0!</v>
      </c>
      <c r="V466" s="10"/>
      <c r="W466" s="10"/>
      <c r="X466" s="10"/>
      <c r="Y466" s="10"/>
      <c r="Z466" s="10"/>
      <c r="AA466" s="10"/>
      <c r="AB466" s="10"/>
      <c r="AC466" s="10"/>
      <c r="AD466" s="10"/>
      <c r="AE466" s="10"/>
      <c r="AF466" s="10"/>
    </row>
    <row r="467" hidden="1">
      <c r="A467" s="9" t="s">
        <v>684</v>
      </c>
      <c r="B467" s="84"/>
      <c r="C467" s="9"/>
      <c r="D467" s="9" t="str">
        <f t="shared" si="1"/>
        <v/>
      </c>
      <c r="E467" s="10" t="str">
        <f t="shared" si="2"/>
        <v>OT Hours</v>
      </c>
      <c r="F467" s="10" t="str">
        <f>IFERROR(VLOOKUP(C467,'Employees List'!$B$1:$I$999,4,0),"")</f>
        <v/>
      </c>
      <c r="G467" s="10" t="str">
        <f t="shared" si="21"/>
        <v>#DIV/0!</v>
      </c>
      <c r="H467" s="72" t="str">
        <f>IFERROR(VLOOKUP(C467,'Employees List'!$B$2:$I$991,7,0),"")</f>
        <v/>
      </c>
      <c r="I467" s="73" t="str">
        <f>IFERROR(VLOOKUP(F467,'Employees List'!$E$1:$AE$991,6,0),"")</f>
        <v/>
      </c>
      <c r="J467" s="71">
        <f t="shared" si="3"/>
        <v>0</v>
      </c>
      <c r="K467" s="71">
        <f t="shared" si="4"/>
        <v>0</v>
      </c>
      <c r="L467" s="10" t="str">
        <f>IFERROR(VLOOKUP(B467,'Employees List'!$A$2:$K$991,11,0),"")</f>
        <v/>
      </c>
      <c r="M467" s="74" t="str">
        <f>IFERROR(VLOOKUP(D467,'Daily Attendance 25-26'!$A$4:BP999,5,0),"")</f>
        <v/>
      </c>
      <c r="N467" s="10" t="str">
        <f>IFERROR(VLOOKUP(E467,'Daily Attendance 25-26'!$A$1:$BO$1741,5,0),"")</f>
        <v/>
      </c>
      <c r="O467" s="10"/>
      <c r="P467" s="10"/>
      <c r="Q467" s="10" t="str">
        <f t="shared" si="5"/>
        <v>#DIV/0!</v>
      </c>
      <c r="R467" s="10" t="str">
        <f t="shared" si="6"/>
        <v>#DIV/0!</v>
      </c>
      <c r="S467" s="10" t="str">
        <f t="shared" si="23"/>
        <v>#DIV/0!</v>
      </c>
      <c r="T467" s="10" t="str">
        <f t="shared" si="22"/>
        <v>#DIV/0!</v>
      </c>
      <c r="U467" s="10" t="str">
        <f t="shared" si="8"/>
        <v>#DIV/0!</v>
      </c>
      <c r="V467" s="10"/>
      <c r="W467" s="10"/>
      <c r="X467" s="10"/>
      <c r="Y467" s="10"/>
      <c r="Z467" s="10"/>
      <c r="AA467" s="10"/>
      <c r="AB467" s="10"/>
      <c r="AC467" s="10"/>
      <c r="AD467" s="10"/>
      <c r="AE467" s="10"/>
      <c r="AF467" s="10"/>
    </row>
    <row r="468" hidden="1">
      <c r="A468" s="9" t="s">
        <v>685</v>
      </c>
      <c r="B468" s="84"/>
      <c r="C468" s="9"/>
      <c r="D468" s="9" t="str">
        <f t="shared" si="1"/>
        <v/>
      </c>
      <c r="E468" s="10" t="str">
        <f t="shared" si="2"/>
        <v>OT Hours</v>
      </c>
      <c r="F468" s="10" t="str">
        <f>IFERROR(VLOOKUP(C468,'Employees List'!$B$1:$I$999,4,0),"")</f>
        <v/>
      </c>
      <c r="G468" s="10" t="str">
        <f t="shared" si="21"/>
        <v>#DIV/0!</v>
      </c>
      <c r="H468" s="72" t="str">
        <f>IFERROR(VLOOKUP(C468,'Employees List'!$B$2:$I$991,7,0),"")</f>
        <v/>
      </c>
      <c r="I468" s="73" t="str">
        <f>IFERROR(VLOOKUP(F468,'Employees List'!$E$1:$AE$991,6,0),"")</f>
        <v/>
      </c>
      <c r="J468" s="71">
        <f t="shared" si="3"/>
        <v>0</v>
      </c>
      <c r="K468" s="71">
        <f t="shared" si="4"/>
        <v>0</v>
      </c>
      <c r="L468" s="10" t="str">
        <f>IFERROR(VLOOKUP(B468,'Employees List'!$A$2:$K$991,11,0),"")</f>
        <v/>
      </c>
      <c r="M468" s="74" t="str">
        <f>IFERROR(VLOOKUP(D468,'Daily Attendance 25-26'!$A$4:BP999,5,0),"")</f>
        <v/>
      </c>
      <c r="N468" s="10" t="str">
        <f>IFERROR(VLOOKUP(E468,'Daily Attendance 25-26'!$A$1:$BO$1741,5,0),"")</f>
        <v/>
      </c>
      <c r="O468" s="10"/>
      <c r="P468" s="10"/>
      <c r="Q468" s="10" t="str">
        <f t="shared" si="5"/>
        <v>#DIV/0!</v>
      </c>
      <c r="R468" s="10" t="str">
        <f t="shared" si="6"/>
        <v>#DIV/0!</v>
      </c>
      <c r="S468" s="10" t="str">
        <f t="shared" si="23"/>
        <v>#DIV/0!</v>
      </c>
      <c r="T468" s="10" t="str">
        <f t="shared" si="22"/>
        <v>#DIV/0!</v>
      </c>
      <c r="U468" s="10" t="str">
        <f t="shared" si="8"/>
        <v>#DIV/0!</v>
      </c>
      <c r="V468" s="10"/>
      <c r="W468" s="10"/>
      <c r="X468" s="10"/>
      <c r="Y468" s="10"/>
      <c r="Z468" s="10"/>
      <c r="AA468" s="10"/>
      <c r="AB468" s="10"/>
      <c r="AC468" s="10"/>
      <c r="AD468" s="10"/>
      <c r="AE468" s="10"/>
      <c r="AF468" s="10"/>
    </row>
    <row r="469" hidden="1">
      <c r="A469" s="9" t="s">
        <v>686</v>
      </c>
      <c r="B469" s="84"/>
      <c r="C469" s="9"/>
      <c r="D469" s="9" t="str">
        <f t="shared" si="1"/>
        <v/>
      </c>
      <c r="E469" s="10" t="str">
        <f t="shared" si="2"/>
        <v>OT Hours</v>
      </c>
      <c r="F469" s="10" t="str">
        <f>IFERROR(VLOOKUP(C469,'Employees List'!$B$1:$I$999,4,0),"")</f>
        <v/>
      </c>
      <c r="G469" s="10" t="str">
        <f t="shared" si="21"/>
        <v>#DIV/0!</v>
      </c>
      <c r="H469" s="72" t="str">
        <f>IFERROR(VLOOKUP(C469,'Employees List'!$B$2:$I$991,7,0),"")</f>
        <v/>
      </c>
      <c r="I469" s="73" t="str">
        <f>IFERROR(VLOOKUP(F469,'Employees List'!$E$1:$AE$991,6,0),"")</f>
        <v/>
      </c>
      <c r="J469" s="71">
        <f t="shared" si="3"/>
        <v>0</v>
      </c>
      <c r="K469" s="71">
        <f t="shared" si="4"/>
        <v>0</v>
      </c>
      <c r="L469" s="10" t="str">
        <f>IFERROR(VLOOKUP(B469,'Employees List'!$A$2:$K$991,11,0),"")</f>
        <v/>
      </c>
      <c r="M469" s="74" t="str">
        <f>IFERROR(VLOOKUP(D469,'Daily Attendance 25-26'!$A$4:BP999,5,0),"")</f>
        <v/>
      </c>
      <c r="N469" s="10" t="str">
        <f>IFERROR(VLOOKUP(E469,'Daily Attendance 25-26'!$A$1:$BO$1741,5,0),"")</f>
        <v/>
      </c>
      <c r="O469" s="10"/>
      <c r="P469" s="10"/>
      <c r="Q469" s="10" t="str">
        <f t="shared" si="5"/>
        <v>#DIV/0!</v>
      </c>
      <c r="R469" s="10" t="str">
        <f t="shared" si="6"/>
        <v>#DIV/0!</v>
      </c>
      <c r="S469" s="10" t="str">
        <f t="shared" si="23"/>
        <v>#DIV/0!</v>
      </c>
      <c r="T469" s="10" t="str">
        <f t="shared" si="22"/>
        <v>#DIV/0!</v>
      </c>
      <c r="U469" s="10" t="str">
        <f t="shared" si="8"/>
        <v>#DIV/0!</v>
      </c>
      <c r="V469" s="10"/>
      <c r="W469" s="10"/>
      <c r="X469" s="10"/>
      <c r="Y469" s="10"/>
      <c r="Z469" s="10"/>
      <c r="AA469" s="10"/>
      <c r="AB469" s="10"/>
      <c r="AC469" s="10"/>
      <c r="AD469" s="10"/>
      <c r="AE469" s="10"/>
      <c r="AF469" s="10"/>
    </row>
    <row r="470" hidden="1">
      <c r="A470" s="9" t="s">
        <v>687</v>
      </c>
      <c r="B470" s="84"/>
      <c r="C470" s="9"/>
      <c r="D470" s="9" t="str">
        <f t="shared" si="1"/>
        <v/>
      </c>
      <c r="E470" s="10" t="str">
        <f t="shared" si="2"/>
        <v>OT Hours</v>
      </c>
      <c r="F470" s="10" t="str">
        <f>IFERROR(VLOOKUP(C470,'Employees List'!$B$1:$I$999,4,0),"")</f>
        <v/>
      </c>
      <c r="G470" s="10" t="str">
        <f t="shared" si="21"/>
        <v>#DIV/0!</v>
      </c>
      <c r="H470" s="72" t="str">
        <f>IFERROR(VLOOKUP(C470,'Employees List'!$B$2:$I$991,7,0),"")</f>
        <v/>
      </c>
      <c r="I470" s="73" t="str">
        <f>IFERROR(VLOOKUP(F470,'Employees List'!$E$1:$AE$991,6,0),"")</f>
        <v/>
      </c>
      <c r="J470" s="71">
        <f t="shared" si="3"/>
        <v>0</v>
      </c>
      <c r="K470" s="71">
        <f t="shared" si="4"/>
        <v>0</v>
      </c>
      <c r="L470" s="10" t="str">
        <f>IFERROR(VLOOKUP(B470,'Employees List'!$A$2:$K$991,11,0),"")</f>
        <v/>
      </c>
      <c r="M470" s="74" t="str">
        <f>IFERROR(VLOOKUP(D470,'Daily Attendance 25-26'!$A$4:BP999,5,0),"")</f>
        <v/>
      </c>
      <c r="N470" s="10" t="str">
        <f>IFERROR(VLOOKUP(E470,'Daily Attendance 25-26'!$A$1:$BO$1741,5,0),"")</f>
        <v/>
      </c>
      <c r="O470" s="10"/>
      <c r="P470" s="10"/>
      <c r="Q470" s="10" t="str">
        <f t="shared" si="5"/>
        <v>#DIV/0!</v>
      </c>
      <c r="R470" s="10" t="str">
        <f t="shared" si="6"/>
        <v>#DIV/0!</v>
      </c>
      <c r="S470" s="10" t="str">
        <f t="shared" si="23"/>
        <v>#DIV/0!</v>
      </c>
      <c r="T470" s="10" t="str">
        <f t="shared" si="22"/>
        <v>#DIV/0!</v>
      </c>
      <c r="U470" s="10" t="str">
        <f t="shared" si="8"/>
        <v>#DIV/0!</v>
      </c>
      <c r="V470" s="10"/>
      <c r="W470" s="10"/>
      <c r="X470" s="10"/>
      <c r="Y470" s="10"/>
      <c r="Z470" s="10"/>
      <c r="AA470" s="10"/>
      <c r="AB470" s="10"/>
      <c r="AC470" s="10"/>
      <c r="AD470" s="10"/>
      <c r="AE470" s="10"/>
      <c r="AF470" s="10"/>
    </row>
    <row r="471" hidden="1">
      <c r="A471" s="9" t="s">
        <v>688</v>
      </c>
      <c r="B471" s="84"/>
      <c r="C471" s="9"/>
      <c r="D471" s="9" t="str">
        <f t="shared" si="1"/>
        <v/>
      </c>
      <c r="E471" s="10" t="str">
        <f t="shared" si="2"/>
        <v>OT Hours</v>
      </c>
      <c r="F471" s="10" t="str">
        <f>IFERROR(VLOOKUP(C471,'Employees List'!$B$1:$I$999,4,0),"")</f>
        <v/>
      </c>
      <c r="G471" s="10" t="str">
        <f t="shared" si="21"/>
        <v>#DIV/0!</v>
      </c>
      <c r="H471" s="72" t="str">
        <f>IFERROR(VLOOKUP(C471,'Employees List'!$B$2:$I$991,7,0),"")</f>
        <v/>
      </c>
      <c r="I471" s="73" t="str">
        <f>IFERROR(VLOOKUP(F471,'Employees List'!$E$1:$AE$991,6,0),"")</f>
        <v/>
      </c>
      <c r="J471" s="71">
        <f t="shared" si="3"/>
        <v>0</v>
      </c>
      <c r="K471" s="71">
        <f t="shared" si="4"/>
        <v>0</v>
      </c>
      <c r="L471" s="10" t="str">
        <f>IFERROR(VLOOKUP(B471,'Employees List'!$A$2:$K$991,11,0),"")</f>
        <v/>
      </c>
      <c r="M471" s="74" t="str">
        <f>IFERROR(VLOOKUP(D471,'Daily Attendance 25-26'!$A$4:BP999,5,0),"")</f>
        <v/>
      </c>
      <c r="N471" s="10" t="str">
        <f>IFERROR(VLOOKUP(E471,'Daily Attendance 25-26'!$A$1:$BO$1741,5,0),"")</f>
        <v/>
      </c>
      <c r="O471" s="10"/>
      <c r="P471" s="10"/>
      <c r="Q471" s="10" t="str">
        <f t="shared" si="5"/>
        <v>#DIV/0!</v>
      </c>
      <c r="R471" s="10" t="str">
        <f t="shared" si="6"/>
        <v>#DIV/0!</v>
      </c>
      <c r="S471" s="10" t="str">
        <f t="shared" si="23"/>
        <v>#DIV/0!</v>
      </c>
      <c r="T471" s="10" t="str">
        <f t="shared" si="22"/>
        <v>#DIV/0!</v>
      </c>
      <c r="U471" s="10" t="str">
        <f t="shared" si="8"/>
        <v>#DIV/0!</v>
      </c>
      <c r="V471" s="10"/>
      <c r="W471" s="10"/>
      <c r="X471" s="10"/>
      <c r="Y471" s="10"/>
      <c r="Z471" s="10"/>
      <c r="AA471" s="10"/>
      <c r="AB471" s="10"/>
      <c r="AC471" s="10"/>
      <c r="AD471" s="10"/>
      <c r="AE471" s="10"/>
      <c r="AF471" s="10"/>
    </row>
    <row r="472" hidden="1">
      <c r="A472" s="9" t="s">
        <v>689</v>
      </c>
      <c r="B472" s="84"/>
      <c r="C472" s="9"/>
      <c r="D472" s="9" t="str">
        <f t="shared" si="1"/>
        <v/>
      </c>
      <c r="E472" s="10" t="str">
        <f t="shared" si="2"/>
        <v>OT Hours</v>
      </c>
      <c r="F472" s="10" t="str">
        <f>IFERROR(VLOOKUP(C472,'Employees List'!$B$1:$I$999,4,0),"")</f>
        <v/>
      </c>
      <c r="G472" s="10" t="str">
        <f t="shared" si="21"/>
        <v>#DIV/0!</v>
      </c>
      <c r="H472" s="72" t="str">
        <f>IFERROR(VLOOKUP(C472,'Employees List'!$B$2:$I$991,7,0),"")</f>
        <v/>
      </c>
      <c r="I472" s="73" t="str">
        <f>IFERROR(VLOOKUP(F472,'Employees List'!$E$1:$AE$991,6,0),"")</f>
        <v/>
      </c>
      <c r="J472" s="71">
        <f t="shared" si="3"/>
        <v>0</v>
      </c>
      <c r="K472" s="71">
        <f t="shared" si="4"/>
        <v>0</v>
      </c>
      <c r="L472" s="10" t="str">
        <f>IFERROR(VLOOKUP(B472,'Employees List'!$A$2:$K$991,11,0),"")</f>
        <v/>
      </c>
      <c r="M472" s="74" t="str">
        <f>IFERROR(VLOOKUP(D472,'Daily Attendance 25-26'!$A$4:BP999,5,0),"")</f>
        <v/>
      </c>
      <c r="N472" s="10" t="str">
        <f>IFERROR(VLOOKUP(E472,'Daily Attendance 25-26'!$A$1:$BO$1741,5,0),"")</f>
        <v/>
      </c>
      <c r="O472" s="10"/>
      <c r="P472" s="10"/>
      <c r="Q472" s="10" t="str">
        <f t="shared" si="5"/>
        <v>#DIV/0!</v>
      </c>
      <c r="R472" s="10" t="str">
        <f t="shared" si="6"/>
        <v>#DIV/0!</v>
      </c>
      <c r="S472" s="10" t="str">
        <f t="shared" si="23"/>
        <v>#DIV/0!</v>
      </c>
      <c r="T472" s="10" t="str">
        <f t="shared" si="22"/>
        <v>#DIV/0!</v>
      </c>
      <c r="U472" s="10" t="str">
        <f t="shared" si="8"/>
        <v>#DIV/0!</v>
      </c>
      <c r="V472" s="10"/>
      <c r="W472" s="10"/>
      <c r="X472" s="10"/>
      <c r="Y472" s="10"/>
      <c r="Z472" s="10"/>
      <c r="AA472" s="10"/>
      <c r="AB472" s="10"/>
      <c r="AC472" s="10"/>
      <c r="AD472" s="10"/>
      <c r="AE472" s="10"/>
      <c r="AF472" s="10"/>
    </row>
    <row r="473" hidden="1">
      <c r="A473" s="9" t="s">
        <v>690</v>
      </c>
      <c r="B473" s="84"/>
      <c r="C473" s="9"/>
      <c r="D473" s="9" t="str">
        <f t="shared" si="1"/>
        <v/>
      </c>
      <c r="E473" s="10" t="str">
        <f t="shared" si="2"/>
        <v>OT Hours</v>
      </c>
      <c r="F473" s="10" t="str">
        <f>IFERROR(VLOOKUP(C473,'Employees List'!$B$1:$I$999,4,0),"")</f>
        <v/>
      </c>
      <c r="G473" s="10" t="str">
        <f t="shared" si="21"/>
        <v>#DIV/0!</v>
      </c>
      <c r="H473" s="72" t="str">
        <f>IFERROR(VLOOKUP(C473,'Employees List'!$B$2:$I$991,7,0),"")</f>
        <v/>
      </c>
      <c r="I473" s="73" t="str">
        <f>IFERROR(VLOOKUP(F473,'Employees List'!$E$1:$AE$991,6,0),"")</f>
        <v/>
      </c>
      <c r="J473" s="71">
        <f t="shared" si="3"/>
        <v>0</v>
      </c>
      <c r="K473" s="71">
        <f t="shared" si="4"/>
        <v>0</v>
      </c>
      <c r="L473" s="10" t="str">
        <f>IFERROR(VLOOKUP(B473,'Employees List'!$A$2:$K$991,11,0),"")</f>
        <v/>
      </c>
      <c r="M473" s="74" t="str">
        <f>IFERROR(VLOOKUP(D473,'Daily Attendance 25-26'!$A$4:BP999,5,0),"")</f>
        <v/>
      </c>
      <c r="N473" s="10" t="str">
        <f>IFERROR(VLOOKUP(E473,'Daily Attendance 25-26'!$A$1:$BO$1741,5,0),"")</f>
        <v/>
      </c>
      <c r="O473" s="10"/>
      <c r="P473" s="10"/>
      <c r="Q473" s="10" t="str">
        <f t="shared" si="5"/>
        <v>#DIV/0!</v>
      </c>
      <c r="R473" s="10" t="str">
        <f t="shared" si="6"/>
        <v>#DIV/0!</v>
      </c>
      <c r="S473" s="10" t="str">
        <f t="shared" si="23"/>
        <v>#DIV/0!</v>
      </c>
      <c r="T473" s="10" t="str">
        <f t="shared" si="22"/>
        <v>#DIV/0!</v>
      </c>
      <c r="U473" s="10" t="str">
        <f t="shared" si="8"/>
        <v>#DIV/0!</v>
      </c>
      <c r="V473" s="10"/>
      <c r="W473" s="10"/>
      <c r="X473" s="10"/>
      <c r="Y473" s="10"/>
      <c r="Z473" s="10"/>
      <c r="AA473" s="10"/>
      <c r="AB473" s="10"/>
      <c r="AC473" s="10"/>
      <c r="AD473" s="10"/>
      <c r="AE473" s="10"/>
      <c r="AF473" s="10"/>
    </row>
    <row r="474" hidden="1">
      <c r="A474" s="9" t="s">
        <v>691</v>
      </c>
      <c r="B474" s="84"/>
      <c r="C474" s="9"/>
      <c r="D474" s="9" t="str">
        <f t="shared" si="1"/>
        <v/>
      </c>
      <c r="E474" s="10" t="str">
        <f t="shared" si="2"/>
        <v>OT Hours</v>
      </c>
      <c r="F474" s="10" t="str">
        <f>IFERROR(VLOOKUP(C474,'Employees List'!$B$1:$I$999,4,0),"")</f>
        <v/>
      </c>
      <c r="G474" s="10" t="str">
        <f t="shared" si="21"/>
        <v>#DIV/0!</v>
      </c>
      <c r="H474" s="72" t="str">
        <f>IFERROR(VLOOKUP(C474,'Employees List'!$B$2:$I$991,7,0),"")</f>
        <v/>
      </c>
      <c r="I474" s="73" t="str">
        <f>IFERROR(VLOOKUP(F474,'Employees List'!$E$1:$AE$991,6,0),"")</f>
        <v/>
      </c>
      <c r="J474" s="71">
        <f t="shared" si="3"/>
        <v>0</v>
      </c>
      <c r="K474" s="71">
        <f t="shared" si="4"/>
        <v>0</v>
      </c>
      <c r="L474" s="10" t="str">
        <f>IFERROR(VLOOKUP(B474,'Employees List'!$A$2:$K$991,11,0),"")</f>
        <v/>
      </c>
      <c r="M474" s="74" t="str">
        <f>IFERROR(VLOOKUP(D474,'Daily Attendance 25-26'!$A$4:BP999,5,0),"")</f>
        <v/>
      </c>
      <c r="N474" s="10" t="str">
        <f>IFERROR(VLOOKUP(E474,'Daily Attendance 25-26'!$A$1:$BO$1741,5,0),"")</f>
        <v/>
      </c>
      <c r="O474" s="10"/>
      <c r="P474" s="10"/>
      <c r="Q474" s="10" t="str">
        <f t="shared" si="5"/>
        <v>#DIV/0!</v>
      </c>
      <c r="R474" s="10" t="str">
        <f t="shared" si="6"/>
        <v>#DIV/0!</v>
      </c>
      <c r="S474" s="10" t="str">
        <f t="shared" si="23"/>
        <v>#DIV/0!</v>
      </c>
      <c r="T474" s="10" t="str">
        <f t="shared" si="22"/>
        <v>#DIV/0!</v>
      </c>
      <c r="U474" s="10" t="str">
        <f t="shared" si="8"/>
        <v>#DIV/0!</v>
      </c>
      <c r="V474" s="10"/>
      <c r="W474" s="10"/>
      <c r="X474" s="10"/>
      <c r="Y474" s="10"/>
      <c r="Z474" s="10"/>
      <c r="AA474" s="10"/>
      <c r="AB474" s="10"/>
      <c r="AC474" s="10"/>
      <c r="AD474" s="10"/>
      <c r="AE474" s="10"/>
      <c r="AF474" s="10"/>
    </row>
    <row r="475" hidden="1">
      <c r="A475" s="9" t="s">
        <v>692</v>
      </c>
      <c r="B475" s="84"/>
      <c r="C475" s="9"/>
      <c r="D475" s="9" t="str">
        <f t="shared" si="1"/>
        <v/>
      </c>
      <c r="E475" s="10" t="str">
        <f t="shared" si="2"/>
        <v>OT Hours</v>
      </c>
      <c r="F475" s="10" t="str">
        <f>IFERROR(VLOOKUP(C475,'Employees List'!$B$1:$I$999,4,0),"")</f>
        <v/>
      </c>
      <c r="G475" s="10" t="str">
        <f t="shared" si="21"/>
        <v>#DIV/0!</v>
      </c>
      <c r="H475" s="72" t="str">
        <f>IFERROR(VLOOKUP(C475,'Employees List'!$B$2:$I$991,7,0),"")</f>
        <v/>
      </c>
      <c r="I475" s="73" t="str">
        <f>IFERROR(VLOOKUP(F475,'Employees List'!$E$1:$AE$991,6,0),"")</f>
        <v/>
      </c>
      <c r="J475" s="71">
        <f t="shared" si="3"/>
        <v>0</v>
      </c>
      <c r="K475" s="71">
        <f t="shared" si="4"/>
        <v>0</v>
      </c>
      <c r="L475" s="10" t="str">
        <f>IFERROR(VLOOKUP(B475,'Employees List'!$A$2:$K$991,11,0),"")</f>
        <v/>
      </c>
      <c r="M475" s="74" t="str">
        <f>IFERROR(VLOOKUP(D475,'Daily Attendance 25-26'!$A$4:BP999,5,0),"")</f>
        <v/>
      </c>
      <c r="N475" s="10" t="str">
        <f>IFERROR(VLOOKUP(E475,'Daily Attendance 25-26'!$A$1:$BO$1741,5,0),"")</f>
        <v/>
      </c>
      <c r="O475" s="10"/>
      <c r="P475" s="10"/>
      <c r="Q475" s="10" t="str">
        <f t="shared" si="5"/>
        <v>#DIV/0!</v>
      </c>
      <c r="R475" s="10" t="str">
        <f t="shared" si="6"/>
        <v>#DIV/0!</v>
      </c>
      <c r="S475" s="10" t="str">
        <f t="shared" si="23"/>
        <v>#DIV/0!</v>
      </c>
      <c r="T475" s="10" t="str">
        <f t="shared" si="22"/>
        <v>#DIV/0!</v>
      </c>
      <c r="U475" s="10" t="str">
        <f t="shared" si="8"/>
        <v>#DIV/0!</v>
      </c>
      <c r="V475" s="10"/>
      <c r="W475" s="10"/>
      <c r="X475" s="10"/>
      <c r="Y475" s="10"/>
      <c r="Z475" s="10"/>
      <c r="AA475" s="10"/>
      <c r="AB475" s="10"/>
      <c r="AC475" s="10"/>
      <c r="AD475" s="10"/>
      <c r="AE475" s="10"/>
      <c r="AF475" s="10"/>
    </row>
    <row r="476" hidden="1">
      <c r="A476" s="9" t="s">
        <v>693</v>
      </c>
      <c r="B476" s="84"/>
      <c r="C476" s="9"/>
      <c r="D476" s="9" t="str">
        <f t="shared" si="1"/>
        <v/>
      </c>
      <c r="E476" s="10" t="str">
        <f t="shared" si="2"/>
        <v>OT Hours</v>
      </c>
      <c r="F476" s="10" t="str">
        <f>IFERROR(VLOOKUP(C476,'Employees List'!$B$1:$I$999,4,0),"")</f>
        <v/>
      </c>
      <c r="G476" s="10" t="str">
        <f t="shared" si="21"/>
        <v>#DIV/0!</v>
      </c>
      <c r="H476" s="72" t="str">
        <f>IFERROR(VLOOKUP(C476,'Employees List'!$B$2:$I$991,7,0),"")</f>
        <v/>
      </c>
      <c r="I476" s="73" t="str">
        <f>IFERROR(VLOOKUP(F476,'Employees List'!$E$1:$AE$991,6,0),"")</f>
        <v/>
      </c>
      <c r="J476" s="71">
        <f t="shared" si="3"/>
        <v>0</v>
      </c>
      <c r="K476" s="71">
        <f t="shared" si="4"/>
        <v>0</v>
      </c>
      <c r="L476" s="10" t="str">
        <f>IFERROR(VLOOKUP(B476,'Employees List'!$A$2:$K$991,11,0),"")</f>
        <v/>
      </c>
      <c r="M476" s="74" t="str">
        <f>IFERROR(VLOOKUP(D476,'Daily Attendance 25-26'!$A$4:BP999,5,0),"")</f>
        <v/>
      </c>
      <c r="N476" s="10" t="str">
        <f>IFERROR(VLOOKUP(E476,'Daily Attendance 25-26'!$A$1:$BO$1741,5,0),"")</f>
        <v/>
      </c>
      <c r="O476" s="10"/>
      <c r="P476" s="10"/>
      <c r="Q476" s="10" t="str">
        <f t="shared" si="5"/>
        <v>#DIV/0!</v>
      </c>
      <c r="R476" s="10" t="str">
        <f t="shared" si="6"/>
        <v>#DIV/0!</v>
      </c>
      <c r="S476" s="10" t="str">
        <f t="shared" si="23"/>
        <v>#DIV/0!</v>
      </c>
      <c r="T476" s="10" t="str">
        <f t="shared" si="22"/>
        <v>#DIV/0!</v>
      </c>
      <c r="U476" s="10" t="str">
        <f t="shared" si="8"/>
        <v>#DIV/0!</v>
      </c>
      <c r="V476" s="10"/>
      <c r="W476" s="10"/>
      <c r="X476" s="10"/>
      <c r="Y476" s="10"/>
      <c r="Z476" s="10"/>
      <c r="AA476" s="10"/>
      <c r="AB476" s="10"/>
      <c r="AC476" s="10"/>
      <c r="AD476" s="10"/>
      <c r="AE476" s="10"/>
      <c r="AF476" s="10"/>
    </row>
    <row r="477" hidden="1">
      <c r="A477" s="9" t="s">
        <v>694</v>
      </c>
      <c r="B477" s="84"/>
      <c r="C477" s="9"/>
      <c r="D477" s="9" t="str">
        <f t="shared" si="1"/>
        <v/>
      </c>
      <c r="E477" s="10" t="str">
        <f t="shared" si="2"/>
        <v>OT Hours</v>
      </c>
      <c r="F477" s="10" t="str">
        <f>IFERROR(VLOOKUP(C477,'Employees List'!$B$1:$I$999,4,0),"")</f>
        <v/>
      </c>
      <c r="G477" s="10" t="str">
        <f t="shared" si="21"/>
        <v>#DIV/0!</v>
      </c>
      <c r="H477" s="72" t="str">
        <f>IFERROR(VLOOKUP(C477,'Employees List'!$B$2:$I$991,7,0),"")</f>
        <v/>
      </c>
      <c r="I477" s="73" t="str">
        <f>IFERROR(VLOOKUP(F477,'Employees List'!$E$1:$AE$991,6,0),"")</f>
        <v/>
      </c>
      <c r="J477" s="71">
        <f t="shared" si="3"/>
        <v>0</v>
      </c>
      <c r="K477" s="71">
        <f t="shared" si="4"/>
        <v>0</v>
      </c>
      <c r="L477" s="10" t="str">
        <f>IFERROR(VLOOKUP(B477,'Employees List'!$A$2:$K$991,11,0),"")</f>
        <v/>
      </c>
      <c r="M477" s="74" t="str">
        <f>IFERROR(VLOOKUP(D477,'Daily Attendance 25-26'!$A$4:BP999,5,0),"")</f>
        <v/>
      </c>
      <c r="N477" s="10" t="str">
        <f>IFERROR(VLOOKUP(E477,'Daily Attendance 25-26'!$A$1:$BO$1741,5,0),"")</f>
        <v/>
      </c>
      <c r="O477" s="10"/>
      <c r="P477" s="10"/>
      <c r="Q477" s="10" t="str">
        <f t="shared" si="5"/>
        <v>#DIV/0!</v>
      </c>
      <c r="R477" s="10" t="str">
        <f t="shared" si="6"/>
        <v>#DIV/0!</v>
      </c>
      <c r="S477" s="10" t="str">
        <f t="shared" si="23"/>
        <v>#DIV/0!</v>
      </c>
      <c r="T477" s="10" t="str">
        <f t="shared" si="22"/>
        <v>#DIV/0!</v>
      </c>
      <c r="U477" s="10" t="str">
        <f t="shared" si="8"/>
        <v>#DIV/0!</v>
      </c>
      <c r="V477" s="10"/>
      <c r="W477" s="10"/>
      <c r="X477" s="10"/>
      <c r="Y477" s="10"/>
      <c r="Z477" s="10"/>
      <c r="AA477" s="10"/>
      <c r="AB477" s="10"/>
      <c r="AC477" s="10"/>
      <c r="AD477" s="10"/>
      <c r="AE477" s="10"/>
      <c r="AF477" s="10"/>
    </row>
    <row r="478" hidden="1">
      <c r="A478" s="9" t="s">
        <v>695</v>
      </c>
      <c r="B478" s="84"/>
      <c r="C478" s="9"/>
      <c r="D478" s="9" t="str">
        <f t="shared" si="1"/>
        <v/>
      </c>
      <c r="E478" s="10" t="str">
        <f t="shared" si="2"/>
        <v>OT Hours</v>
      </c>
      <c r="F478" s="10" t="str">
        <f>IFERROR(VLOOKUP(C478,'Employees List'!$B$1:$I$999,4,0),"")</f>
        <v/>
      </c>
      <c r="G478" s="10" t="str">
        <f t="shared" si="21"/>
        <v>#DIV/0!</v>
      </c>
      <c r="H478" s="72" t="str">
        <f>IFERROR(VLOOKUP(C478,'Employees List'!$B$2:$I$991,7,0),"")</f>
        <v/>
      </c>
      <c r="I478" s="73" t="str">
        <f>IFERROR(VLOOKUP(F478,'Employees List'!$E$1:$AE$991,6,0),"")</f>
        <v/>
      </c>
      <c r="J478" s="71">
        <f t="shared" si="3"/>
        <v>0</v>
      </c>
      <c r="K478" s="71">
        <f t="shared" si="4"/>
        <v>0</v>
      </c>
      <c r="L478" s="10" t="str">
        <f>IFERROR(VLOOKUP(B478,'Employees List'!$A$2:$K$991,11,0),"")</f>
        <v/>
      </c>
      <c r="M478" s="74" t="str">
        <f>IFERROR(VLOOKUP(D478,'Daily Attendance 25-26'!$A$4:BP999,5,0),"")</f>
        <v/>
      </c>
      <c r="N478" s="10" t="str">
        <f>IFERROR(VLOOKUP(E478,'Daily Attendance 25-26'!$A$1:$BO$1741,5,0),"")</f>
        <v/>
      </c>
      <c r="O478" s="10"/>
      <c r="P478" s="10"/>
      <c r="Q478" s="10" t="str">
        <f t="shared" si="5"/>
        <v>#DIV/0!</v>
      </c>
      <c r="R478" s="10" t="str">
        <f t="shared" si="6"/>
        <v>#DIV/0!</v>
      </c>
      <c r="S478" s="10" t="str">
        <f t="shared" si="23"/>
        <v>#DIV/0!</v>
      </c>
      <c r="T478" s="10" t="str">
        <f t="shared" si="22"/>
        <v>#DIV/0!</v>
      </c>
      <c r="U478" s="10" t="str">
        <f t="shared" si="8"/>
        <v>#DIV/0!</v>
      </c>
      <c r="V478" s="10"/>
      <c r="W478" s="10"/>
      <c r="X478" s="10"/>
      <c r="Y478" s="10"/>
      <c r="Z478" s="10"/>
      <c r="AA478" s="10"/>
      <c r="AB478" s="10"/>
      <c r="AC478" s="10"/>
      <c r="AD478" s="10"/>
      <c r="AE478" s="10"/>
      <c r="AF478" s="10"/>
    </row>
    <row r="479" hidden="1">
      <c r="A479" s="9" t="s">
        <v>696</v>
      </c>
      <c r="B479" s="84"/>
      <c r="C479" s="9"/>
      <c r="D479" s="9" t="str">
        <f t="shared" si="1"/>
        <v/>
      </c>
      <c r="E479" s="10" t="str">
        <f t="shared" si="2"/>
        <v>OT Hours</v>
      </c>
      <c r="F479" s="10" t="str">
        <f>IFERROR(VLOOKUP(C479,'Employees List'!$B$1:$I$999,4,0),"")</f>
        <v/>
      </c>
      <c r="G479" s="10" t="str">
        <f t="shared" si="21"/>
        <v>#DIV/0!</v>
      </c>
      <c r="H479" s="72" t="str">
        <f>IFERROR(VLOOKUP(C479,'Employees List'!$B$2:$I$991,7,0),"")</f>
        <v/>
      </c>
      <c r="I479" s="73" t="str">
        <f>IFERROR(VLOOKUP(F479,'Employees List'!$E$1:$AE$991,6,0),"")</f>
        <v/>
      </c>
      <c r="J479" s="71">
        <f t="shared" si="3"/>
        <v>0</v>
      </c>
      <c r="K479" s="71">
        <f t="shared" si="4"/>
        <v>0</v>
      </c>
      <c r="L479" s="10" t="str">
        <f>IFERROR(VLOOKUP(B479,'Employees List'!$A$2:$K$991,11,0),"")</f>
        <v/>
      </c>
      <c r="M479" s="74" t="str">
        <f>IFERROR(VLOOKUP(D479,'Daily Attendance 25-26'!$A$4:BP999,5,0),"")</f>
        <v/>
      </c>
      <c r="N479" s="10" t="str">
        <f>IFERROR(VLOOKUP(E479,'Daily Attendance 25-26'!$A$1:$BO$1741,5,0),"")</f>
        <v/>
      </c>
      <c r="O479" s="10"/>
      <c r="P479" s="10"/>
      <c r="Q479" s="10" t="str">
        <f t="shared" si="5"/>
        <v>#DIV/0!</v>
      </c>
      <c r="R479" s="10" t="str">
        <f t="shared" si="6"/>
        <v>#DIV/0!</v>
      </c>
      <c r="S479" s="10" t="str">
        <f t="shared" si="23"/>
        <v>#DIV/0!</v>
      </c>
      <c r="T479" s="10" t="str">
        <f t="shared" si="22"/>
        <v>#DIV/0!</v>
      </c>
      <c r="U479" s="10" t="str">
        <f t="shared" si="8"/>
        <v>#DIV/0!</v>
      </c>
      <c r="V479" s="10"/>
      <c r="W479" s="10"/>
      <c r="X479" s="10"/>
      <c r="Y479" s="10"/>
      <c r="Z479" s="10"/>
      <c r="AA479" s="10"/>
      <c r="AB479" s="10"/>
      <c r="AC479" s="10"/>
      <c r="AD479" s="10"/>
      <c r="AE479" s="10"/>
      <c r="AF479" s="10"/>
    </row>
    <row r="480" hidden="1">
      <c r="A480" s="9" t="s">
        <v>697</v>
      </c>
      <c r="B480" s="84"/>
      <c r="C480" s="9"/>
      <c r="D480" s="9" t="str">
        <f t="shared" si="1"/>
        <v/>
      </c>
      <c r="E480" s="10" t="str">
        <f t="shared" si="2"/>
        <v>OT Hours</v>
      </c>
      <c r="F480" s="10" t="str">
        <f>IFERROR(VLOOKUP(C480,'Employees List'!$B$1:$I$999,4,0),"")</f>
        <v/>
      </c>
      <c r="G480" s="10" t="str">
        <f t="shared" si="21"/>
        <v>#DIV/0!</v>
      </c>
      <c r="H480" s="72" t="str">
        <f>IFERROR(VLOOKUP(C480,'Employees List'!$B$2:$I$991,7,0),"")</f>
        <v/>
      </c>
      <c r="I480" s="73" t="str">
        <f>IFERROR(VLOOKUP(F480,'Employees List'!$E$1:$AE$991,6,0),"")</f>
        <v/>
      </c>
      <c r="J480" s="71">
        <f t="shared" si="3"/>
        <v>0</v>
      </c>
      <c r="K480" s="71">
        <f t="shared" si="4"/>
        <v>0</v>
      </c>
      <c r="L480" s="10" t="str">
        <f>IFERROR(VLOOKUP(B480,'Employees List'!$A$2:$K$991,11,0),"")</f>
        <v/>
      </c>
      <c r="M480" s="74" t="str">
        <f>IFERROR(VLOOKUP(D480,'Daily Attendance 25-26'!$A$4:BP999,5,0),"")</f>
        <v/>
      </c>
      <c r="N480" s="10" t="str">
        <f>IFERROR(VLOOKUP(E480,'Daily Attendance 25-26'!$A$1:$BO$1741,5,0),"")</f>
        <v/>
      </c>
      <c r="O480" s="10"/>
      <c r="P480" s="10"/>
      <c r="Q480" s="10" t="str">
        <f t="shared" si="5"/>
        <v>#DIV/0!</v>
      </c>
      <c r="R480" s="10" t="str">
        <f t="shared" si="6"/>
        <v>#DIV/0!</v>
      </c>
      <c r="S480" s="10" t="str">
        <f t="shared" si="23"/>
        <v>#DIV/0!</v>
      </c>
      <c r="T480" s="10" t="str">
        <f t="shared" si="22"/>
        <v>#DIV/0!</v>
      </c>
      <c r="U480" s="10" t="str">
        <f t="shared" si="8"/>
        <v>#DIV/0!</v>
      </c>
      <c r="V480" s="10"/>
      <c r="W480" s="10"/>
      <c r="X480" s="10"/>
      <c r="Y480" s="10"/>
      <c r="Z480" s="10"/>
      <c r="AA480" s="10"/>
      <c r="AB480" s="10"/>
      <c r="AC480" s="10"/>
      <c r="AD480" s="10"/>
      <c r="AE480" s="10"/>
      <c r="AF480" s="10"/>
    </row>
    <row r="481" hidden="1">
      <c r="A481" s="9" t="s">
        <v>698</v>
      </c>
      <c r="B481" s="84"/>
      <c r="C481" s="9"/>
      <c r="D481" s="9" t="str">
        <f t="shared" si="1"/>
        <v/>
      </c>
      <c r="E481" s="10" t="str">
        <f t="shared" si="2"/>
        <v>OT Hours</v>
      </c>
      <c r="F481" s="10" t="str">
        <f>IFERROR(VLOOKUP(C481,'Employees List'!$B$1:$I$999,4,0),"")</f>
        <v/>
      </c>
      <c r="G481" s="10" t="str">
        <f t="shared" si="21"/>
        <v>#DIV/0!</v>
      </c>
      <c r="H481" s="72" t="str">
        <f>IFERROR(VLOOKUP(C481,'Employees List'!$B$2:$I$991,7,0),"")</f>
        <v/>
      </c>
      <c r="I481" s="73" t="str">
        <f>IFERROR(VLOOKUP(F481,'Employees List'!$E$1:$AE$991,6,0),"")</f>
        <v/>
      </c>
      <c r="J481" s="71">
        <f t="shared" si="3"/>
        <v>0</v>
      </c>
      <c r="K481" s="71">
        <f t="shared" si="4"/>
        <v>0</v>
      </c>
      <c r="L481" s="10" t="str">
        <f>IFERROR(VLOOKUP(B481,'Employees List'!$A$2:$K$991,11,0),"")</f>
        <v/>
      </c>
      <c r="M481" s="74" t="str">
        <f>IFERROR(VLOOKUP(D481,'Daily Attendance 25-26'!$A$4:BP999,5,0),"")</f>
        <v/>
      </c>
      <c r="N481" s="10" t="str">
        <f>IFERROR(VLOOKUP(E481,'Daily Attendance 25-26'!$A$1:$BO$1741,5,0),"")</f>
        <v/>
      </c>
      <c r="O481" s="10"/>
      <c r="P481" s="10"/>
      <c r="Q481" s="10" t="str">
        <f t="shared" si="5"/>
        <v>#DIV/0!</v>
      </c>
      <c r="R481" s="10" t="str">
        <f t="shared" si="6"/>
        <v>#DIV/0!</v>
      </c>
      <c r="S481" s="10" t="str">
        <f t="shared" si="23"/>
        <v>#DIV/0!</v>
      </c>
      <c r="T481" s="10" t="str">
        <f t="shared" si="22"/>
        <v>#DIV/0!</v>
      </c>
      <c r="U481" s="10" t="str">
        <f t="shared" si="8"/>
        <v>#DIV/0!</v>
      </c>
      <c r="V481" s="10"/>
      <c r="W481" s="10"/>
      <c r="X481" s="10"/>
      <c r="Y481" s="10"/>
      <c r="Z481" s="10"/>
      <c r="AA481" s="10"/>
      <c r="AB481" s="10"/>
      <c r="AC481" s="10"/>
      <c r="AD481" s="10"/>
      <c r="AE481" s="10"/>
      <c r="AF481" s="10"/>
    </row>
    <row r="482" hidden="1">
      <c r="A482" s="9" t="s">
        <v>699</v>
      </c>
      <c r="B482" s="84"/>
      <c r="C482" s="9"/>
      <c r="D482" s="9" t="str">
        <f t="shared" si="1"/>
        <v/>
      </c>
      <c r="E482" s="10" t="str">
        <f t="shared" si="2"/>
        <v>OT Hours</v>
      </c>
      <c r="F482" s="10" t="str">
        <f>IFERROR(VLOOKUP(C482,'Employees List'!$B$1:$I$999,4,0),"")</f>
        <v/>
      </c>
      <c r="G482" s="10" t="str">
        <f t="shared" si="21"/>
        <v>#DIV/0!</v>
      </c>
      <c r="H482" s="72" t="str">
        <f>IFERROR(VLOOKUP(C482,'Employees List'!$B$2:$I$991,7,0),"")</f>
        <v/>
      </c>
      <c r="I482" s="73" t="str">
        <f>IFERROR(VLOOKUP(F482,'Employees List'!$E$1:$AE$991,6,0),"")</f>
        <v/>
      </c>
      <c r="J482" s="71">
        <f t="shared" si="3"/>
        <v>0</v>
      </c>
      <c r="K482" s="71">
        <f t="shared" si="4"/>
        <v>0</v>
      </c>
      <c r="L482" s="10" t="str">
        <f>IFERROR(VLOOKUP(B482,'Employees List'!$A$2:$K$991,11,0),"")</f>
        <v/>
      </c>
      <c r="M482" s="74" t="str">
        <f>IFERROR(VLOOKUP(D482,'Daily Attendance 25-26'!$A$4:BP999,5,0),"")</f>
        <v/>
      </c>
      <c r="N482" s="10" t="str">
        <f>IFERROR(VLOOKUP(E482,'Daily Attendance 25-26'!$A$1:$BO$1741,5,0),"")</f>
        <v/>
      </c>
      <c r="O482" s="10"/>
      <c r="P482" s="10"/>
      <c r="Q482" s="10" t="str">
        <f t="shared" si="5"/>
        <v>#DIV/0!</v>
      </c>
      <c r="R482" s="10" t="str">
        <f t="shared" si="6"/>
        <v>#DIV/0!</v>
      </c>
      <c r="S482" s="10" t="str">
        <f t="shared" si="23"/>
        <v>#DIV/0!</v>
      </c>
      <c r="T482" s="10" t="str">
        <f t="shared" si="22"/>
        <v>#DIV/0!</v>
      </c>
      <c r="U482" s="10" t="str">
        <f t="shared" si="8"/>
        <v>#DIV/0!</v>
      </c>
      <c r="V482" s="10"/>
      <c r="W482" s="10"/>
      <c r="X482" s="10"/>
      <c r="Y482" s="10"/>
      <c r="Z482" s="10"/>
      <c r="AA482" s="10"/>
      <c r="AB482" s="10"/>
      <c r="AC482" s="10"/>
      <c r="AD482" s="10"/>
      <c r="AE482" s="10"/>
      <c r="AF482" s="10"/>
    </row>
    <row r="483" hidden="1">
      <c r="A483" s="9" t="s">
        <v>700</v>
      </c>
      <c r="B483" s="84"/>
      <c r="C483" s="9"/>
      <c r="D483" s="9" t="str">
        <f t="shared" si="1"/>
        <v/>
      </c>
      <c r="E483" s="10" t="str">
        <f t="shared" si="2"/>
        <v>OT Hours</v>
      </c>
      <c r="F483" s="10" t="str">
        <f>IFERROR(VLOOKUP(C483,'Employees List'!$B$1:$I$999,4,0),"")</f>
        <v/>
      </c>
      <c r="G483" s="10" t="str">
        <f t="shared" si="21"/>
        <v>#DIV/0!</v>
      </c>
      <c r="H483" s="72" t="str">
        <f>IFERROR(VLOOKUP(C483,'Employees List'!$B$2:$I$991,7,0),"")</f>
        <v/>
      </c>
      <c r="I483" s="73" t="str">
        <f>IFERROR(VLOOKUP(F483,'Employees List'!$E$1:$AE$991,6,0),"")</f>
        <v/>
      </c>
      <c r="J483" s="71">
        <f t="shared" si="3"/>
        <v>0</v>
      </c>
      <c r="K483" s="71">
        <f t="shared" si="4"/>
        <v>0</v>
      </c>
      <c r="L483" s="10" t="str">
        <f>IFERROR(VLOOKUP(B483,'Employees List'!$A$2:$K$991,11,0),"")</f>
        <v/>
      </c>
      <c r="M483" s="74" t="str">
        <f>IFERROR(VLOOKUP(D483,'Daily Attendance 25-26'!$A$4:BP999,5,0),"")</f>
        <v/>
      </c>
      <c r="N483" s="10" t="str">
        <f>IFERROR(VLOOKUP(E483,'Daily Attendance 25-26'!$A$1:$BO$1741,5,0),"")</f>
        <v/>
      </c>
      <c r="O483" s="10"/>
      <c r="P483" s="10"/>
      <c r="Q483" s="10" t="str">
        <f t="shared" si="5"/>
        <v>#DIV/0!</v>
      </c>
      <c r="R483" s="10" t="str">
        <f t="shared" si="6"/>
        <v>#DIV/0!</v>
      </c>
      <c r="S483" s="10" t="str">
        <f t="shared" si="23"/>
        <v>#DIV/0!</v>
      </c>
      <c r="T483" s="10" t="str">
        <f t="shared" si="22"/>
        <v>#DIV/0!</v>
      </c>
      <c r="U483" s="10" t="str">
        <f t="shared" si="8"/>
        <v>#DIV/0!</v>
      </c>
      <c r="V483" s="10"/>
      <c r="W483" s="10"/>
      <c r="X483" s="10"/>
      <c r="Y483" s="10"/>
      <c r="Z483" s="10"/>
      <c r="AA483" s="10"/>
      <c r="AB483" s="10"/>
      <c r="AC483" s="10"/>
      <c r="AD483" s="10"/>
      <c r="AE483" s="10"/>
      <c r="AF483" s="10"/>
    </row>
    <row r="484" hidden="1">
      <c r="A484" s="9" t="s">
        <v>701</v>
      </c>
      <c r="B484" s="84"/>
      <c r="C484" s="9"/>
      <c r="D484" s="9" t="str">
        <f t="shared" si="1"/>
        <v/>
      </c>
      <c r="E484" s="10" t="str">
        <f t="shared" si="2"/>
        <v>OT Hours</v>
      </c>
      <c r="F484" s="10" t="str">
        <f>IFERROR(VLOOKUP(C484,'Employees List'!$B$1:$I$999,4,0),"")</f>
        <v/>
      </c>
      <c r="G484" s="10" t="str">
        <f t="shared" si="21"/>
        <v>#DIV/0!</v>
      </c>
      <c r="H484" s="72" t="str">
        <f>IFERROR(VLOOKUP(C484,'Employees List'!$B$2:$I$991,7,0),"")</f>
        <v/>
      </c>
      <c r="I484" s="73" t="str">
        <f>IFERROR(VLOOKUP(F484,'Employees List'!$E$1:$AE$991,6,0),"")</f>
        <v/>
      </c>
      <c r="J484" s="71">
        <f t="shared" si="3"/>
        <v>0</v>
      </c>
      <c r="K484" s="71">
        <f t="shared" si="4"/>
        <v>0</v>
      </c>
      <c r="L484" s="10" t="str">
        <f>IFERROR(VLOOKUP(B484,'Employees List'!$A$2:$K$991,11,0),"")</f>
        <v/>
      </c>
      <c r="M484" s="74" t="str">
        <f>IFERROR(VLOOKUP(D484,'Daily Attendance 25-26'!$A$4:BP999,5,0),"")</f>
        <v/>
      </c>
      <c r="N484" s="10" t="str">
        <f>IFERROR(VLOOKUP(E484,'Daily Attendance 25-26'!$A$1:$BO$1741,5,0),"")</f>
        <v/>
      </c>
      <c r="O484" s="10"/>
      <c r="P484" s="10"/>
      <c r="Q484" s="10" t="str">
        <f t="shared" si="5"/>
        <v>#DIV/0!</v>
      </c>
      <c r="R484" s="10" t="str">
        <f t="shared" si="6"/>
        <v>#DIV/0!</v>
      </c>
      <c r="S484" s="10" t="str">
        <f t="shared" si="23"/>
        <v>#DIV/0!</v>
      </c>
      <c r="T484" s="10" t="str">
        <f t="shared" si="22"/>
        <v>#DIV/0!</v>
      </c>
      <c r="U484" s="10" t="str">
        <f t="shared" si="8"/>
        <v>#DIV/0!</v>
      </c>
      <c r="V484" s="10"/>
      <c r="W484" s="10"/>
      <c r="X484" s="10"/>
      <c r="Y484" s="10"/>
      <c r="Z484" s="10"/>
      <c r="AA484" s="10"/>
      <c r="AB484" s="10"/>
      <c r="AC484" s="10"/>
      <c r="AD484" s="10"/>
      <c r="AE484" s="10"/>
      <c r="AF484" s="10"/>
    </row>
    <row r="485" hidden="1">
      <c r="A485" s="9" t="s">
        <v>702</v>
      </c>
      <c r="B485" s="84"/>
      <c r="C485" s="9"/>
      <c r="D485" s="9" t="str">
        <f t="shared" si="1"/>
        <v/>
      </c>
      <c r="E485" s="10" t="str">
        <f t="shared" si="2"/>
        <v>OT Hours</v>
      </c>
      <c r="F485" s="10" t="str">
        <f>IFERROR(VLOOKUP(C485,'Employees List'!$B$1:$I$999,4,0),"")</f>
        <v/>
      </c>
      <c r="G485" s="10" t="str">
        <f t="shared" si="21"/>
        <v>#DIV/0!</v>
      </c>
      <c r="H485" s="72" t="str">
        <f>IFERROR(VLOOKUP(C485,'Employees List'!$B$2:$I$991,7,0),"")</f>
        <v/>
      </c>
      <c r="I485" s="73" t="str">
        <f>IFERROR(VLOOKUP(F485,'Employees List'!$E$1:$AE$991,6,0),"")</f>
        <v/>
      </c>
      <c r="J485" s="71">
        <f t="shared" si="3"/>
        <v>0</v>
      </c>
      <c r="K485" s="71">
        <f t="shared" si="4"/>
        <v>0</v>
      </c>
      <c r="L485" s="10" t="str">
        <f>IFERROR(VLOOKUP(B485,'Employees List'!$A$2:$K$991,11,0),"")</f>
        <v/>
      </c>
      <c r="M485" s="74" t="str">
        <f>IFERROR(VLOOKUP(D485,'Daily Attendance 25-26'!$A$4:BP999,5,0),"")</f>
        <v/>
      </c>
      <c r="N485" s="10" t="str">
        <f>IFERROR(VLOOKUP(E485,'Daily Attendance 25-26'!$A$1:$BO$1741,5,0),"")</f>
        <v/>
      </c>
      <c r="O485" s="10"/>
      <c r="P485" s="10"/>
      <c r="Q485" s="10" t="str">
        <f t="shared" si="5"/>
        <v>#DIV/0!</v>
      </c>
      <c r="R485" s="10" t="str">
        <f t="shared" si="6"/>
        <v>#DIV/0!</v>
      </c>
      <c r="S485" s="10" t="str">
        <f t="shared" si="23"/>
        <v>#DIV/0!</v>
      </c>
      <c r="T485" s="10" t="str">
        <f t="shared" si="22"/>
        <v>#DIV/0!</v>
      </c>
      <c r="U485" s="10" t="str">
        <f t="shared" si="8"/>
        <v>#DIV/0!</v>
      </c>
      <c r="V485" s="10"/>
      <c r="W485" s="10"/>
      <c r="X485" s="10"/>
      <c r="Y485" s="10"/>
      <c r="Z485" s="10"/>
      <c r="AA485" s="10"/>
      <c r="AB485" s="10"/>
      <c r="AC485" s="10"/>
      <c r="AD485" s="10"/>
      <c r="AE485" s="10"/>
      <c r="AF485" s="10"/>
    </row>
    <row r="486" hidden="1">
      <c r="A486" s="9" t="s">
        <v>703</v>
      </c>
      <c r="B486" s="84"/>
      <c r="C486" s="9"/>
      <c r="D486" s="9" t="str">
        <f t="shared" si="1"/>
        <v/>
      </c>
      <c r="E486" s="10" t="str">
        <f t="shared" si="2"/>
        <v>OT Hours</v>
      </c>
      <c r="F486" s="10" t="str">
        <f>IFERROR(VLOOKUP(C486,'Employees List'!$B$1:$I$999,4,0),"")</f>
        <v/>
      </c>
      <c r="G486" s="10" t="str">
        <f t="shared" si="21"/>
        <v>#DIV/0!</v>
      </c>
      <c r="H486" s="72" t="str">
        <f>IFERROR(VLOOKUP(C486,'Employees List'!$B$2:$I$991,7,0),"")</f>
        <v/>
      </c>
      <c r="I486" s="73" t="str">
        <f>IFERROR(VLOOKUP(F486,'Employees List'!$E$1:$AE$991,6,0),"")</f>
        <v/>
      </c>
      <c r="J486" s="71">
        <f t="shared" si="3"/>
        <v>0</v>
      </c>
      <c r="K486" s="71">
        <f t="shared" si="4"/>
        <v>0</v>
      </c>
      <c r="L486" s="10" t="str">
        <f>IFERROR(VLOOKUP(B486,'Employees List'!$A$2:$K$991,11,0),"")</f>
        <v/>
      </c>
      <c r="M486" s="74" t="str">
        <f>IFERROR(VLOOKUP(D486,'Daily Attendance 25-26'!$A$4:BP999,5,0),"")</f>
        <v/>
      </c>
      <c r="N486" s="10" t="str">
        <f>IFERROR(VLOOKUP(E486,'Daily Attendance 25-26'!$A$1:$BO$1741,5,0),"")</f>
        <v/>
      </c>
      <c r="O486" s="10"/>
      <c r="P486" s="10"/>
      <c r="Q486" s="10" t="str">
        <f t="shared" si="5"/>
        <v>#DIV/0!</v>
      </c>
      <c r="R486" s="10" t="str">
        <f t="shared" si="6"/>
        <v>#DIV/0!</v>
      </c>
      <c r="S486" s="10" t="str">
        <f t="shared" si="23"/>
        <v>#DIV/0!</v>
      </c>
      <c r="T486" s="10" t="str">
        <f t="shared" si="22"/>
        <v>#DIV/0!</v>
      </c>
      <c r="U486" s="10" t="str">
        <f t="shared" si="8"/>
        <v>#DIV/0!</v>
      </c>
      <c r="V486" s="10"/>
      <c r="W486" s="10"/>
      <c r="X486" s="10"/>
      <c r="Y486" s="10"/>
      <c r="Z486" s="10"/>
      <c r="AA486" s="10"/>
      <c r="AB486" s="10"/>
      <c r="AC486" s="10"/>
      <c r="AD486" s="10"/>
      <c r="AE486" s="10"/>
      <c r="AF486" s="10"/>
    </row>
    <row r="487" hidden="1">
      <c r="A487" s="9" t="s">
        <v>704</v>
      </c>
      <c r="B487" s="84"/>
      <c r="C487" s="9"/>
      <c r="D487" s="9" t="str">
        <f t="shared" si="1"/>
        <v/>
      </c>
      <c r="E487" s="10" t="str">
        <f t="shared" si="2"/>
        <v>OT Hours</v>
      </c>
      <c r="F487" s="10" t="str">
        <f>IFERROR(VLOOKUP(C487,'Employees List'!$B$1:$I$999,4,0),"")</f>
        <v/>
      </c>
      <c r="G487" s="10" t="str">
        <f t="shared" si="21"/>
        <v>#DIV/0!</v>
      </c>
      <c r="H487" s="72" t="str">
        <f>IFERROR(VLOOKUP(C487,'Employees List'!$B$2:$I$991,7,0),"")</f>
        <v/>
      </c>
      <c r="I487" s="73" t="str">
        <f>IFERROR(VLOOKUP(F487,'Employees List'!$E$1:$AE$991,6,0),"")</f>
        <v/>
      </c>
      <c r="J487" s="71">
        <f t="shared" si="3"/>
        <v>0</v>
      </c>
      <c r="K487" s="71">
        <f t="shared" si="4"/>
        <v>0</v>
      </c>
      <c r="L487" s="10" t="str">
        <f>IFERROR(VLOOKUP(B487,'Employees List'!$A$2:$K$991,11,0),"")</f>
        <v/>
      </c>
      <c r="M487" s="74" t="str">
        <f>IFERROR(VLOOKUP(D487,'Daily Attendance 25-26'!$A$4:BP999,5,0),"")</f>
        <v/>
      </c>
      <c r="N487" s="10" t="str">
        <f>IFERROR(VLOOKUP(E487,'Daily Attendance 25-26'!$A$1:$BO$1741,5,0),"")</f>
        <v/>
      </c>
      <c r="O487" s="10"/>
      <c r="P487" s="10"/>
      <c r="Q487" s="10" t="str">
        <f t="shared" si="5"/>
        <v>#DIV/0!</v>
      </c>
      <c r="R487" s="10" t="str">
        <f t="shared" si="6"/>
        <v>#DIV/0!</v>
      </c>
      <c r="S487" s="10" t="str">
        <f t="shared" si="23"/>
        <v>#DIV/0!</v>
      </c>
      <c r="T487" s="10" t="str">
        <f t="shared" si="22"/>
        <v>#DIV/0!</v>
      </c>
      <c r="U487" s="10" t="str">
        <f t="shared" si="8"/>
        <v>#DIV/0!</v>
      </c>
      <c r="V487" s="10"/>
      <c r="W487" s="10"/>
      <c r="X487" s="10"/>
      <c r="Y487" s="10"/>
      <c r="Z487" s="10"/>
      <c r="AA487" s="10"/>
      <c r="AB487" s="10"/>
      <c r="AC487" s="10"/>
      <c r="AD487" s="10"/>
      <c r="AE487" s="10"/>
      <c r="AF487" s="10"/>
    </row>
    <row r="488" hidden="1">
      <c r="A488" s="9" t="s">
        <v>705</v>
      </c>
      <c r="B488" s="84"/>
      <c r="C488" s="9"/>
      <c r="D488" s="9" t="str">
        <f t="shared" si="1"/>
        <v/>
      </c>
      <c r="E488" s="10" t="str">
        <f t="shared" si="2"/>
        <v>OT Hours</v>
      </c>
      <c r="F488" s="10" t="str">
        <f>IFERROR(VLOOKUP(C488,'Employees List'!$B$1:$I$999,4,0),"")</f>
        <v/>
      </c>
      <c r="G488" s="10" t="str">
        <f t="shared" si="21"/>
        <v>#DIV/0!</v>
      </c>
      <c r="H488" s="72" t="str">
        <f>IFERROR(VLOOKUP(C488,'Employees List'!$B$2:$I$991,7,0),"")</f>
        <v/>
      </c>
      <c r="I488" s="73" t="str">
        <f>IFERROR(VLOOKUP(F488,'Employees List'!$E$1:$AE$991,6,0),"")</f>
        <v/>
      </c>
      <c r="J488" s="71">
        <f t="shared" si="3"/>
        <v>0</v>
      </c>
      <c r="K488" s="71">
        <f t="shared" si="4"/>
        <v>0</v>
      </c>
      <c r="L488" s="10" t="str">
        <f>IFERROR(VLOOKUP(B488,'Employees List'!$A$2:$K$991,11,0),"")</f>
        <v/>
      </c>
      <c r="M488" s="74" t="str">
        <f>IFERROR(VLOOKUP(D488,'Daily Attendance 25-26'!$A$4:BP999,5,0),"")</f>
        <v/>
      </c>
      <c r="N488" s="10" t="str">
        <f>IFERROR(VLOOKUP(E488,'Daily Attendance 25-26'!$A$1:$BO$1741,5,0),"")</f>
        <v/>
      </c>
      <c r="O488" s="10"/>
      <c r="P488" s="10"/>
      <c r="Q488" s="10" t="str">
        <f t="shared" si="5"/>
        <v>#DIV/0!</v>
      </c>
      <c r="R488" s="10" t="str">
        <f t="shared" si="6"/>
        <v>#DIV/0!</v>
      </c>
      <c r="S488" s="10" t="str">
        <f t="shared" si="23"/>
        <v>#DIV/0!</v>
      </c>
      <c r="T488" s="10" t="str">
        <f t="shared" si="22"/>
        <v>#DIV/0!</v>
      </c>
      <c r="U488" s="10" t="str">
        <f t="shared" si="8"/>
        <v>#DIV/0!</v>
      </c>
      <c r="V488" s="10"/>
      <c r="W488" s="10"/>
      <c r="X488" s="10"/>
      <c r="Y488" s="10"/>
      <c r="Z488" s="10"/>
      <c r="AA488" s="10"/>
      <c r="AB488" s="10"/>
      <c r="AC488" s="10"/>
      <c r="AD488" s="10"/>
      <c r="AE488" s="10"/>
      <c r="AF488" s="10"/>
    </row>
    <row r="489" hidden="1">
      <c r="A489" s="9" t="s">
        <v>706</v>
      </c>
      <c r="B489" s="84"/>
      <c r="C489" s="9"/>
      <c r="D489" s="9" t="str">
        <f t="shared" si="1"/>
        <v/>
      </c>
      <c r="E489" s="10" t="str">
        <f t="shared" si="2"/>
        <v>OT Hours</v>
      </c>
      <c r="F489" s="10" t="str">
        <f>IFERROR(VLOOKUP(C489,'Employees List'!$B$1:$I$999,4,0),"")</f>
        <v/>
      </c>
      <c r="G489" s="10" t="str">
        <f t="shared" si="21"/>
        <v>#DIV/0!</v>
      </c>
      <c r="H489" s="72" t="str">
        <f>IFERROR(VLOOKUP(C489,'Employees List'!$B$2:$I$991,7,0),"")</f>
        <v/>
      </c>
      <c r="I489" s="73" t="str">
        <f>IFERROR(VLOOKUP(F489,'Employees List'!$E$1:$AE$991,6,0),"")</f>
        <v/>
      </c>
      <c r="J489" s="71">
        <f t="shared" si="3"/>
        <v>0</v>
      </c>
      <c r="K489" s="71">
        <f t="shared" si="4"/>
        <v>0</v>
      </c>
      <c r="L489" s="10" t="str">
        <f>IFERROR(VLOOKUP(B489,'Employees List'!$A$2:$K$991,11,0),"")</f>
        <v/>
      </c>
      <c r="M489" s="74" t="str">
        <f>IFERROR(VLOOKUP(D489,'Daily Attendance 25-26'!$A$4:BP999,5,0),"")</f>
        <v/>
      </c>
      <c r="N489" s="10" t="str">
        <f>IFERROR(VLOOKUP(E489,'Daily Attendance 25-26'!$A$1:$BO$1741,5,0),"")</f>
        <v/>
      </c>
      <c r="O489" s="10"/>
      <c r="P489" s="10"/>
      <c r="Q489" s="10" t="str">
        <f t="shared" si="5"/>
        <v>#DIV/0!</v>
      </c>
      <c r="R489" s="10" t="str">
        <f t="shared" si="6"/>
        <v>#DIV/0!</v>
      </c>
      <c r="S489" s="10" t="str">
        <f t="shared" si="23"/>
        <v>#DIV/0!</v>
      </c>
      <c r="T489" s="10" t="str">
        <f t="shared" si="22"/>
        <v>#DIV/0!</v>
      </c>
      <c r="U489" s="10" t="str">
        <f t="shared" si="8"/>
        <v>#DIV/0!</v>
      </c>
      <c r="V489" s="10"/>
      <c r="W489" s="10"/>
      <c r="X489" s="10"/>
      <c r="Y489" s="10"/>
      <c r="Z489" s="10"/>
      <c r="AA489" s="10"/>
      <c r="AB489" s="10"/>
      <c r="AC489" s="10"/>
      <c r="AD489" s="10"/>
      <c r="AE489" s="10"/>
      <c r="AF489" s="10"/>
    </row>
    <row r="490" hidden="1">
      <c r="A490" s="9" t="s">
        <v>707</v>
      </c>
      <c r="B490" s="84"/>
      <c r="C490" s="9"/>
      <c r="D490" s="9" t="str">
        <f t="shared" si="1"/>
        <v/>
      </c>
      <c r="E490" s="10" t="str">
        <f t="shared" si="2"/>
        <v>OT Hours</v>
      </c>
      <c r="F490" s="10" t="str">
        <f>IFERROR(VLOOKUP(C490,'Employees List'!$B$1:$I$999,4,0),"")</f>
        <v/>
      </c>
      <c r="G490" s="10" t="str">
        <f t="shared" si="21"/>
        <v>#DIV/0!</v>
      </c>
      <c r="H490" s="72" t="str">
        <f>IFERROR(VLOOKUP(C490,'Employees List'!$B$2:$I$991,7,0),"")</f>
        <v/>
      </c>
      <c r="I490" s="73" t="str">
        <f>IFERROR(VLOOKUP(F490,'Employees List'!$E$1:$AE$991,6,0),"")</f>
        <v/>
      </c>
      <c r="J490" s="71">
        <f t="shared" si="3"/>
        <v>0</v>
      </c>
      <c r="K490" s="71">
        <f t="shared" si="4"/>
        <v>0</v>
      </c>
      <c r="L490" s="10" t="str">
        <f>IFERROR(VLOOKUP(B490,'Employees List'!$A$2:$K$991,11,0),"")</f>
        <v/>
      </c>
      <c r="M490" s="74" t="str">
        <f>IFERROR(VLOOKUP(D490,'Daily Attendance 25-26'!$A$4:BP999,5,0),"")</f>
        <v/>
      </c>
      <c r="N490" s="10" t="str">
        <f>IFERROR(VLOOKUP(E490,'Daily Attendance 25-26'!$A$1:$BO$1741,5,0),"")</f>
        <v/>
      </c>
      <c r="O490" s="10"/>
      <c r="P490" s="10"/>
      <c r="Q490" s="10" t="str">
        <f t="shared" si="5"/>
        <v>#DIV/0!</v>
      </c>
      <c r="R490" s="10" t="str">
        <f t="shared" si="6"/>
        <v>#DIV/0!</v>
      </c>
      <c r="S490" s="10" t="str">
        <f t="shared" si="23"/>
        <v>#DIV/0!</v>
      </c>
      <c r="T490" s="10" t="str">
        <f t="shared" si="22"/>
        <v>#DIV/0!</v>
      </c>
      <c r="U490" s="10" t="str">
        <f t="shared" si="8"/>
        <v>#DIV/0!</v>
      </c>
      <c r="V490" s="10"/>
      <c r="W490" s="10"/>
      <c r="X490" s="10"/>
      <c r="Y490" s="10"/>
      <c r="Z490" s="10"/>
      <c r="AA490" s="10"/>
      <c r="AB490" s="10"/>
      <c r="AC490" s="10"/>
      <c r="AD490" s="10"/>
      <c r="AE490" s="10"/>
      <c r="AF490" s="10"/>
    </row>
    <row r="491" hidden="1">
      <c r="A491" s="9" t="s">
        <v>708</v>
      </c>
      <c r="B491" s="84"/>
      <c r="C491" s="9"/>
      <c r="D491" s="9" t="str">
        <f t="shared" si="1"/>
        <v/>
      </c>
      <c r="E491" s="10" t="str">
        <f t="shared" si="2"/>
        <v>OT Hours</v>
      </c>
      <c r="F491" s="10" t="str">
        <f>IFERROR(VLOOKUP(C491,'Employees List'!$B$1:$I$999,4,0),"")</f>
        <v/>
      </c>
      <c r="G491" s="10" t="str">
        <f t="shared" si="21"/>
        <v>#DIV/0!</v>
      </c>
      <c r="H491" s="72" t="str">
        <f>IFERROR(VLOOKUP(C491,'Employees List'!$B$2:$I$991,7,0),"")</f>
        <v/>
      </c>
      <c r="I491" s="73" t="str">
        <f>IFERROR(VLOOKUP(F491,'Employees List'!$E$1:$AE$991,6,0),"")</f>
        <v/>
      </c>
      <c r="J491" s="71">
        <f t="shared" si="3"/>
        <v>0</v>
      </c>
      <c r="K491" s="71">
        <f t="shared" si="4"/>
        <v>0</v>
      </c>
      <c r="L491" s="10" t="str">
        <f>IFERROR(VLOOKUP(B491,'Employees List'!$A$2:$K$991,11,0),"")</f>
        <v/>
      </c>
      <c r="M491" s="74" t="str">
        <f>IFERROR(VLOOKUP(D491,'Daily Attendance 25-26'!$A$4:BP999,5,0),"")</f>
        <v/>
      </c>
      <c r="N491" s="10" t="str">
        <f>IFERROR(VLOOKUP(E491,'Daily Attendance 25-26'!$A$1:$BO$1741,5,0),"")</f>
        <v/>
      </c>
      <c r="O491" s="10"/>
      <c r="P491" s="10"/>
      <c r="Q491" s="10" t="str">
        <f t="shared" si="5"/>
        <v>#DIV/0!</v>
      </c>
      <c r="R491" s="10" t="str">
        <f t="shared" si="6"/>
        <v>#DIV/0!</v>
      </c>
      <c r="S491" s="10" t="str">
        <f t="shared" si="23"/>
        <v>#DIV/0!</v>
      </c>
      <c r="T491" s="10" t="str">
        <f t="shared" si="22"/>
        <v>#DIV/0!</v>
      </c>
      <c r="U491" s="10" t="str">
        <f t="shared" si="8"/>
        <v>#DIV/0!</v>
      </c>
      <c r="V491" s="10"/>
      <c r="W491" s="10"/>
      <c r="X491" s="10"/>
      <c r="Y491" s="10"/>
      <c r="Z491" s="10"/>
      <c r="AA491" s="10"/>
      <c r="AB491" s="10"/>
      <c r="AC491" s="10"/>
      <c r="AD491" s="10"/>
      <c r="AE491" s="10"/>
      <c r="AF491" s="10"/>
    </row>
    <row r="492" hidden="1">
      <c r="A492" s="9" t="s">
        <v>709</v>
      </c>
      <c r="B492" s="84"/>
      <c r="C492" s="9"/>
      <c r="D492" s="9" t="str">
        <f t="shared" si="1"/>
        <v/>
      </c>
      <c r="E492" s="10" t="str">
        <f t="shared" si="2"/>
        <v>OT Hours</v>
      </c>
      <c r="F492" s="10" t="str">
        <f>IFERROR(VLOOKUP(C492,'Employees List'!$B$1:$I$999,4,0),"")</f>
        <v/>
      </c>
      <c r="G492" s="10" t="str">
        <f t="shared" si="21"/>
        <v>#DIV/0!</v>
      </c>
      <c r="H492" s="72" t="str">
        <f>IFERROR(VLOOKUP(C492,'Employees List'!$B$2:$I$991,7,0),"")</f>
        <v/>
      </c>
      <c r="I492" s="73" t="str">
        <f>IFERROR(VLOOKUP(F492,'Employees List'!$E$1:$AE$991,6,0),"")</f>
        <v/>
      </c>
      <c r="J492" s="71">
        <f t="shared" si="3"/>
        <v>0</v>
      </c>
      <c r="K492" s="71">
        <f t="shared" si="4"/>
        <v>0</v>
      </c>
      <c r="L492" s="10" t="str">
        <f>IFERROR(VLOOKUP(B492,'Employees List'!$A$2:$K$991,11,0),"")</f>
        <v/>
      </c>
      <c r="M492" s="74" t="str">
        <f>IFERROR(VLOOKUP(D492,'Daily Attendance 25-26'!$A$4:BP999,5,0),"")</f>
        <v/>
      </c>
      <c r="N492" s="10" t="str">
        <f>IFERROR(VLOOKUP(E492,'Daily Attendance 25-26'!$A$1:$BO$1741,5,0),"")</f>
        <v/>
      </c>
      <c r="O492" s="10"/>
      <c r="P492" s="10"/>
      <c r="Q492" s="10" t="str">
        <f t="shared" si="5"/>
        <v>#DIV/0!</v>
      </c>
      <c r="R492" s="10" t="str">
        <f t="shared" si="6"/>
        <v>#DIV/0!</v>
      </c>
      <c r="S492" s="10" t="str">
        <f t="shared" si="23"/>
        <v>#DIV/0!</v>
      </c>
      <c r="T492" s="10" t="str">
        <f t="shared" si="22"/>
        <v>#DIV/0!</v>
      </c>
      <c r="U492" s="10" t="str">
        <f t="shared" si="8"/>
        <v>#DIV/0!</v>
      </c>
      <c r="V492" s="10"/>
      <c r="W492" s="10"/>
      <c r="X492" s="10"/>
      <c r="Y492" s="10"/>
      <c r="Z492" s="10"/>
      <c r="AA492" s="10"/>
      <c r="AB492" s="10"/>
      <c r="AC492" s="10"/>
      <c r="AD492" s="10"/>
      <c r="AE492" s="10"/>
      <c r="AF492" s="10"/>
    </row>
    <row r="493" hidden="1">
      <c r="A493" s="9" t="s">
        <v>710</v>
      </c>
      <c r="B493" s="84"/>
      <c r="C493" s="9"/>
      <c r="D493" s="9" t="str">
        <f t="shared" si="1"/>
        <v/>
      </c>
      <c r="E493" s="10" t="str">
        <f t="shared" si="2"/>
        <v>OT Hours</v>
      </c>
      <c r="F493" s="10" t="str">
        <f>IFERROR(VLOOKUP(C493,'Employees List'!$B$1:$I$999,4,0),"")</f>
        <v/>
      </c>
      <c r="G493" s="10" t="str">
        <f t="shared" si="21"/>
        <v>#DIV/0!</v>
      </c>
      <c r="H493" s="72" t="str">
        <f>IFERROR(VLOOKUP(C493,'Employees List'!$B$2:$I$991,7,0),"")</f>
        <v/>
      </c>
      <c r="I493" s="73" t="str">
        <f>IFERROR(VLOOKUP(F493,'Employees List'!$E$1:$AE$991,6,0),"")</f>
        <v/>
      </c>
      <c r="J493" s="71">
        <f t="shared" si="3"/>
        <v>0</v>
      </c>
      <c r="K493" s="71">
        <f t="shared" si="4"/>
        <v>0</v>
      </c>
      <c r="L493" s="10" t="str">
        <f>IFERROR(VLOOKUP(B493,'Employees List'!$A$2:$K$991,11,0),"")</f>
        <v/>
      </c>
      <c r="M493" s="74" t="str">
        <f>IFERROR(VLOOKUP(D493,'Daily Attendance 25-26'!$A$4:BP999,5,0),"")</f>
        <v/>
      </c>
      <c r="N493" s="10" t="str">
        <f>IFERROR(VLOOKUP(E493,'Daily Attendance 25-26'!$A$1:$BO$1741,5,0),"")</f>
        <v/>
      </c>
      <c r="O493" s="10"/>
      <c r="P493" s="10"/>
      <c r="Q493" s="10" t="str">
        <f t="shared" si="5"/>
        <v>#DIV/0!</v>
      </c>
      <c r="R493" s="10" t="str">
        <f t="shared" si="6"/>
        <v>#DIV/0!</v>
      </c>
      <c r="S493" s="10" t="str">
        <f t="shared" si="23"/>
        <v>#DIV/0!</v>
      </c>
      <c r="T493" s="10" t="str">
        <f t="shared" si="22"/>
        <v>#DIV/0!</v>
      </c>
      <c r="U493" s="10" t="str">
        <f t="shared" si="8"/>
        <v>#DIV/0!</v>
      </c>
      <c r="V493" s="10"/>
      <c r="W493" s="10"/>
      <c r="X493" s="10"/>
      <c r="Y493" s="10"/>
      <c r="Z493" s="10"/>
      <c r="AA493" s="10"/>
      <c r="AB493" s="10"/>
      <c r="AC493" s="10"/>
      <c r="AD493" s="10"/>
      <c r="AE493" s="10"/>
      <c r="AF493" s="10"/>
    </row>
    <row r="494" hidden="1">
      <c r="A494" s="9" t="s">
        <v>711</v>
      </c>
      <c r="B494" s="84"/>
      <c r="C494" s="9"/>
      <c r="D494" s="9" t="str">
        <f t="shared" si="1"/>
        <v/>
      </c>
      <c r="E494" s="10" t="str">
        <f t="shared" si="2"/>
        <v>OT Hours</v>
      </c>
      <c r="F494" s="10" t="str">
        <f>IFERROR(VLOOKUP(C494,'Employees List'!$B$1:$I$999,4,0),"")</f>
        <v/>
      </c>
      <c r="G494" s="10" t="str">
        <f t="shared" si="21"/>
        <v>#DIV/0!</v>
      </c>
      <c r="H494" s="72" t="str">
        <f>IFERROR(VLOOKUP(C494,'Employees List'!$B$2:$I$991,7,0),"")</f>
        <v/>
      </c>
      <c r="I494" s="73" t="str">
        <f>IFERROR(VLOOKUP(F494,'Employees List'!$E$1:$AE$991,6,0),"")</f>
        <v/>
      </c>
      <c r="J494" s="71">
        <f t="shared" si="3"/>
        <v>0</v>
      </c>
      <c r="K494" s="71">
        <f t="shared" si="4"/>
        <v>0</v>
      </c>
      <c r="L494" s="10" t="str">
        <f>IFERROR(VLOOKUP(B494,'Employees List'!$A$2:$K$991,11,0),"")</f>
        <v/>
      </c>
      <c r="M494" s="74" t="str">
        <f>IFERROR(VLOOKUP(D494,'Daily Attendance 25-26'!$A$4:BP999,5,0),"")</f>
        <v/>
      </c>
      <c r="N494" s="10" t="str">
        <f>IFERROR(VLOOKUP(E494,'Daily Attendance 25-26'!$A$1:$BO$1741,5,0),"")</f>
        <v/>
      </c>
      <c r="O494" s="10"/>
      <c r="P494" s="10"/>
      <c r="Q494" s="10" t="str">
        <f t="shared" si="5"/>
        <v>#DIV/0!</v>
      </c>
      <c r="R494" s="10" t="str">
        <f t="shared" si="6"/>
        <v>#DIV/0!</v>
      </c>
      <c r="S494" s="10" t="str">
        <f t="shared" si="23"/>
        <v>#DIV/0!</v>
      </c>
      <c r="T494" s="10" t="str">
        <f t="shared" si="22"/>
        <v>#DIV/0!</v>
      </c>
      <c r="U494" s="10" t="str">
        <f t="shared" si="8"/>
        <v>#DIV/0!</v>
      </c>
      <c r="V494" s="10"/>
      <c r="W494" s="10"/>
      <c r="X494" s="10"/>
      <c r="Y494" s="10"/>
      <c r="Z494" s="10"/>
      <c r="AA494" s="10"/>
      <c r="AB494" s="10"/>
      <c r="AC494" s="10"/>
      <c r="AD494" s="10"/>
      <c r="AE494" s="10"/>
      <c r="AF494" s="10"/>
    </row>
    <row r="495" hidden="1">
      <c r="A495" s="9" t="s">
        <v>712</v>
      </c>
      <c r="B495" s="84"/>
      <c r="C495" s="9"/>
      <c r="D495" s="9" t="str">
        <f t="shared" si="1"/>
        <v/>
      </c>
      <c r="E495" s="10" t="str">
        <f t="shared" si="2"/>
        <v>OT Hours</v>
      </c>
      <c r="F495" s="10" t="str">
        <f>IFERROR(VLOOKUP(C495,'Employees List'!$B$1:$I$999,4,0),"")</f>
        <v/>
      </c>
      <c r="G495" s="10" t="str">
        <f t="shared" si="21"/>
        <v>#DIV/0!</v>
      </c>
      <c r="H495" s="72" t="str">
        <f>IFERROR(VLOOKUP(C495,'Employees List'!$B$2:$I$991,7,0),"")</f>
        <v/>
      </c>
      <c r="I495" s="73" t="str">
        <f>IFERROR(VLOOKUP(F495,'Employees List'!$E$1:$AE$991,6,0),"")</f>
        <v/>
      </c>
      <c r="J495" s="71">
        <f t="shared" si="3"/>
        <v>0</v>
      </c>
      <c r="K495" s="71">
        <f t="shared" si="4"/>
        <v>0</v>
      </c>
      <c r="L495" s="10" t="str">
        <f>IFERROR(VLOOKUP(B495,'Employees List'!$A$2:$K$991,11,0),"")</f>
        <v/>
      </c>
      <c r="M495" s="74" t="str">
        <f>IFERROR(VLOOKUP(D495,'Daily Attendance 25-26'!$A$4:BP999,5,0),"")</f>
        <v/>
      </c>
      <c r="N495" s="10" t="str">
        <f>IFERROR(VLOOKUP(E495,'Daily Attendance 25-26'!$A$1:$BO$1741,5,0),"")</f>
        <v/>
      </c>
      <c r="O495" s="10"/>
      <c r="P495" s="10"/>
      <c r="Q495" s="10" t="str">
        <f t="shared" si="5"/>
        <v>#DIV/0!</v>
      </c>
      <c r="R495" s="10" t="str">
        <f t="shared" si="6"/>
        <v>#DIV/0!</v>
      </c>
      <c r="S495" s="10" t="str">
        <f t="shared" si="23"/>
        <v>#DIV/0!</v>
      </c>
      <c r="T495" s="10" t="str">
        <f t="shared" si="22"/>
        <v>#DIV/0!</v>
      </c>
      <c r="U495" s="10" t="str">
        <f t="shared" si="8"/>
        <v>#DIV/0!</v>
      </c>
      <c r="V495" s="10"/>
      <c r="W495" s="10"/>
      <c r="X495" s="10"/>
      <c r="Y495" s="10"/>
      <c r="Z495" s="10"/>
      <c r="AA495" s="10"/>
      <c r="AB495" s="10"/>
      <c r="AC495" s="10"/>
      <c r="AD495" s="10"/>
      <c r="AE495" s="10"/>
      <c r="AF495" s="10"/>
    </row>
    <row r="496" hidden="1">
      <c r="A496" s="9" t="s">
        <v>713</v>
      </c>
      <c r="B496" s="84"/>
      <c r="C496" s="9"/>
      <c r="D496" s="9" t="str">
        <f t="shared" si="1"/>
        <v/>
      </c>
      <c r="E496" s="10" t="str">
        <f t="shared" si="2"/>
        <v>OT Hours</v>
      </c>
      <c r="F496" s="10" t="str">
        <f>IFERROR(VLOOKUP(C496,'Employees List'!$B$1:$I$999,4,0),"")</f>
        <v/>
      </c>
      <c r="G496" s="10" t="str">
        <f t="shared" si="21"/>
        <v>#DIV/0!</v>
      </c>
      <c r="H496" s="72" t="str">
        <f>IFERROR(VLOOKUP(C496,'Employees List'!$B$2:$I$991,7,0),"")</f>
        <v/>
      </c>
      <c r="I496" s="73" t="str">
        <f>IFERROR(VLOOKUP(F496,'Employees List'!$E$1:$AE$991,6,0),"")</f>
        <v/>
      </c>
      <c r="J496" s="71">
        <f t="shared" si="3"/>
        <v>0</v>
      </c>
      <c r="K496" s="71">
        <f t="shared" si="4"/>
        <v>0</v>
      </c>
      <c r="L496" s="10" t="str">
        <f>IFERROR(VLOOKUP(B496,'Employees List'!$A$2:$K$991,11,0),"")</f>
        <v/>
      </c>
      <c r="M496" s="74" t="str">
        <f>IFERROR(VLOOKUP(D496,'Daily Attendance 25-26'!$A$4:BP999,5,0),"")</f>
        <v/>
      </c>
      <c r="N496" s="10" t="str">
        <f>IFERROR(VLOOKUP(E496,'Daily Attendance 25-26'!$A$1:$BO$1741,5,0),"")</f>
        <v/>
      </c>
      <c r="O496" s="10"/>
      <c r="P496" s="10"/>
      <c r="Q496" s="10" t="str">
        <f t="shared" si="5"/>
        <v>#DIV/0!</v>
      </c>
      <c r="R496" s="10" t="str">
        <f t="shared" si="6"/>
        <v>#DIV/0!</v>
      </c>
      <c r="S496" s="10" t="str">
        <f t="shared" si="23"/>
        <v>#DIV/0!</v>
      </c>
      <c r="T496" s="10" t="str">
        <f t="shared" si="22"/>
        <v>#DIV/0!</v>
      </c>
      <c r="U496" s="10" t="str">
        <f t="shared" si="8"/>
        <v>#DIV/0!</v>
      </c>
      <c r="V496" s="10"/>
      <c r="W496" s="10"/>
      <c r="X496" s="10"/>
      <c r="Y496" s="10"/>
      <c r="Z496" s="10"/>
      <c r="AA496" s="10"/>
      <c r="AB496" s="10"/>
      <c r="AC496" s="10"/>
      <c r="AD496" s="10"/>
      <c r="AE496" s="10"/>
      <c r="AF496" s="10"/>
    </row>
    <row r="497" hidden="1">
      <c r="A497" s="9" t="s">
        <v>714</v>
      </c>
      <c r="B497" s="84"/>
      <c r="C497" s="9"/>
      <c r="D497" s="9" t="str">
        <f t="shared" si="1"/>
        <v/>
      </c>
      <c r="E497" s="10" t="str">
        <f t="shared" si="2"/>
        <v>OT Hours</v>
      </c>
      <c r="F497" s="10" t="str">
        <f>IFERROR(VLOOKUP(C497,'Employees List'!$B$1:$I$999,4,0),"")</f>
        <v/>
      </c>
      <c r="G497" s="10" t="str">
        <f t="shared" si="21"/>
        <v>#DIV/0!</v>
      </c>
      <c r="H497" s="72" t="str">
        <f>IFERROR(VLOOKUP(C497,'Employees List'!$B$2:$I$991,7,0),"")</f>
        <v/>
      </c>
      <c r="I497" s="73" t="str">
        <f>IFERROR(VLOOKUP(F497,'Employees List'!$E$1:$AE$991,6,0),"")</f>
        <v/>
      </c>
      <c r="J497" s="71">
        <f t="shared" si="3"/>
        <v>0</v>
      </c>
      <c r="K497" s="71">
        <f t="shared" si="4"/>
        <v>0</v>
      </c>
      <c r="L497" s="10" t="str">
        <f>IFERROR(VLOOKUP(B497,'Employees List'!$A$2:$K$991,11,0),"")</f>
        <v/>
      </c>
      <c r="M497" s="74" t="str">
        <f>IFERROR(VLOOKUP(D497,'Daily Attendance 25-26'!$A$4:BP999,5,0),"")</f>
        <v/>
      </c>
      <c r="N497" s="10" t="str">
        <f>IFERROR(VLOOKUP(E497,'Daily Attendance 25-26'!$A$1:$BO$1741,5,0),"")</f>
        <v/>
      </c>
      <c r="O497" s="10"/>
      <c r="P497" s="10"/>
      <c r="Q497" s="10" t="str">
        <f t="shared" si="5"/>
        <v>#DIV/0!</v>
      </c>
      <c r="R497" s="10" t="str">
        <f t="shared" si="6"/>
        <v>#DIV/0!</v>
      </c>
      <c r="S497" s="10" t="str">
        <f t="shared" si="23"/>
        <v>#DIV/0!</v>
      </c>
      <c r="T497" s="10" t="str">
        <f t="shared" si="22"/>
        <v>#DIV/0!</v>
      </c>
      <c r="U497" s="10" t="str">
        <f t="shared" si="8"/>
        <v>#DIV/0!</v>
      </c>
      <c r="V497" s="10"/>
      <c r="W497" s="10"/>
      <c r="X497" s="10"/>
      <c r="Y497" s="10"/>
      <c r="Z497" s="10"/>
      <c r="AA497" s="10"/>
      <c r="AB497" s="10"/>
      <c r="AC497" s="10"/>
      <c r="AD497" s="10"/>
      <c r="AE497" s="10"/>
      <c r="AF497" s="10"/>
    </row>
    <row r="498" hidden="1">
      <c r="A498" s="9" t="s">
        <v>715</v>
      </c>
      <c r="B498" s="84"/>
      <c r="C498" s="9"/>
      <c r="D498" s="9" t="str">
        <f t="shared" si="1"/>
        <v/>
      </c>
      <c r="E498" s="10" t="str">
        <f t="shared" si="2"/>
        <v>OT Hours</v>
      </c>
      <c r="F498" s="10" t="str">
        <f>IFERROR(VLOOKUP(C498,'Employees List'!$B$1:$I$999,4,0),"")</f>
        <v/>
      </c>
      <c r="G498" s="10" t="str">
        <f t="shared" si="21"/>
        <v>#DIV/0!</v>
      </c>
      <c r="H498" s="72" t="str">
        <f>IFERROR(VLOOKUP(C498,'Employees List'!$B$2:$I$991,7,0),"")</f>
        <v/>
      </c>
      <c r="I498" s="73" t="str">
        <f>IFERROR(VLOOKUP(F498,'Employees List'!$E$1:$AE$991,6,0),"")</f>
        <v/>
      </c>
      <c r="J498" s="71">
        <f t="shared" si="3"/>
        <v>0</v>
      </c>
      <c r="K498" s="71">
        <f t="shared" si="4"/>
        <v>0</v>
      </c>
      <c r="L498" s="10" t="str">
        <f>IFERROR(VLOOKUP(B498,'Employees List'!$A$2:$K$991,11,0),"")</f>
        <v/>
      </c>
      <c r="M498" s="74" t="str">
        <f>IFERROR(VLOOKUP(D498,'Daily Attendance 25-26'!$A$4:BP999,5,0),"")</f>
        <v/>
      </c>
      <c r="N498" s="10" t="str">
        <f>IFERROR(VLOOKUP(E498,'Daily Attendance 25-26'!$A$1:$BO$1741,5,0),"")</f>
        <v/>
      </c>
      <c r="O498" s="10"/>
      <c r="P498" s="10"/>
      <c r="Q498" s="10" t="str">
        <f t="shared" si="5"/>
        <v>#DIV/0!</v>
      </c>
      <c r="R498" s="10" t="str">
        <f t="shared" si="6"/>
        <v>#DIV/0!</v>
      </c>
      <c r="S498" s="10" t="str">
        <f t="shared" si="23"/>
        <v>#DIV/0!</v>
      </c>
      <c r="T498" s="10" t="str">
        <f t="shared" si="22"/>
        <v>#DIV/0!</v>
      </c>
      <c r="U498" s="10" t="str">
        <f t="shared" si="8"/>
        <v>#DIV/0!</v>
      </c>
      <c r="V498" s="10"/>
      <c r="W498" s="10"/>
      <c r="X498" s="10"/>
      <c r="Y498" s="10"/>
      <c r="Z498" s="10"/>
      <c r="AA498" s="10"/>
      <c r="AB498" s="10"/>
      <c r="AC498" s="10"/>
      <c r="AD498" s="10"/>
      <c r="AE498" s="10"/>
      <c r="AF498" s="10"/>
    </row>
    <row r="499" hidden="1">
      <c r="A499" s="9" t="s">
        <v>716</v>
      </c>
      <c r="B499" s="84"/>
      <c r="C499" s="9"/>
      <c r="D499" s="9" t="str">
        <f t="shared" si="1"/>
        <v/>
      </c>
      <c r="E499" s="10" t="str">
        <f t="shared" si="2"/>
        <v>OT Hours</v>
      </c>
      <c r="F499" s="10" t="str">
        <f>IFERROR(VLOOKUP(C499,'Employees List'!$B$1:$I$999,4,0),"")</f>
        <v/>
      </c>
      <c r="G499" s="10" t="str">
        <f t="shared" si="21"/>
        <v>#DIV/0!</v>
      </c>
      <c r="H499" s="72" t="str">
        <f>IFERROR(VLOOKUP(C499,'Employees List'!$B$2:$I$991,7,0),"")</f>
        <v/>
      </c>
      <c r="I499" s="73" t="str">
        <f>IFERROR(VLOOKUP(F499,'Employees List'!$E$1:$AE$991,6,0),"")</f>
        <v/>
      </c>
      <c r="J499" s="71">
        <f t="shared" si="3"/>
        <v>0</v>
      </c>
      <c r="K499" s="71">
        <f t="shared" si="4"/>
        <v>0</v>
      </c>
      <c r="L499" s="10" t="str">
        <f>IFERROR(VLOOKUP(B499,'Employees List'!$A$2:$K$991,11,0),"")</f>
        <v/>
      </c>
      <c r="M499" s="74" t="str">
        <f>IFERROR(VLOOKUP(D499,'Daily Attendance 25-26'!$A$4:BP999,5,0),"")</f>
        <v/>
      </c>
      <c r="N499" s="10" t="str">
        <f>IFERROR(VLOOKUP(E499,'Daily Attendance 25-26'!$A$1:$BO$1741,5,0),"")</f>
        <v/>
      </c>
      <c r="O499" s="10"/>
      <c r="P499" s="10"/>
      <c r="Q499" s="10" t="str">
        <f t="shared" si="5"/>
        <v>#DIV/0!</v>
      </c>
      <c r="R499" s="10" t="str">
        <f t="shared" si="6"/>
        <v>#DIV/0!</v>
      </c>
      <c r="S499" s="10" t="str">
        <f t="shared" si="23"/>
        <v>#DIV/0!</v>
      </c>
      <c r="T499" s="10" t="str">
        <f t="shared" si="22"/>
        <v>#DIV/0!</v>
      </c>
      <c r="U499" s="10" t="str">
        <f t="shared" si="8"/>
        <v>#DIV/0!</v>
      </c>
      <c r="V499" s="10"/>
      <c r="W499" s="10"/>
      <c r="X499" s="10"/>
      <c r="Y499" s="10"/>
      <c r="Z499" s="10"/>
      <c r="AA499" s="10"/>
      <c r="AB499" s="10"/>
      <c r="AC499" s="10"/>
      <c r="AD499" s="10"/>
      <c r="AE499" s="10"/>
      <c r="AF499" s="10"/>
    </row>
    <row r="500" hidden="1">
      <c r="A500" s="9" t="s">
        <v>717</v>
      </c>
      <c r="B500" s="84"/>
      <c r="C500" s="9"/>
      <c r="D500" s="9" t="str">
        <f t="shared" si="1"/>
        <v/>
      </c>
      <c r="E500" s="10" t="str">
        <f t="shared" si="2"/>
        <v>OT Hours</v>
      </c>
      <c r="F500" s="10" t="str">
        <f>IFERROR(VLOOKUP(C500,'Employees List'!$B$1:$I$999,4,0),"")</f>
        <v/>
      </c>
      <c r="G500" s="10" t="str">
        <f t="shared" si="21"/>
        <v>#DIV/0!</v>
      </c>
      <c r="H500" s="72" t="str">
        <f>IFERROR(VLOOKUP(C500,'Employees List'!$B$2:$I$991,7,0),"")</f>
        <v/>
      </c>
      <c r="I500" s="73" t="str">
        <f>IFERROR(VLOOKUP(F500,'Employees List'!$E$1:$AE$991,6,0),"")</f>
        <v/>
      </c>
      <c r="J500" s="71">
        <f t="shared" si="3"/>
        <v>0</v>
      </c>
      <c r="K500" s="71">
        <f t="shared" si="4"/>
        <v>0</v>
      </c>
      <c r="L500" s="10" t="str">
        <f>IFERROR(VLOOKUP(B500,'Employees List'!$A$2:$K$991,11,0),"")</f>
        <v/>
      </c>
      <c r="M500" s="74" t="str">
        <f>IFERROR(VLOOKUP(D500,'Daily Attendance 25-26'!$A$4:BP999,5,0),"")</f>
        <v/>
      </c>
      <c r="N500" s="10" t="str">
        <f>IFERROR(VLOOKUP(E500,'Daily Attendance 25-26'!$A$1:$BO$1741,5,0),"")</f>
        <v/>
      </c>
      <c r="O500" s="10"/>
      <c r="P500" s="10"/>
      <c r="Q500" s="10" t="str">
        <f t="shared" si="5"/>
        <v>#DIV/0!</v>
      </c>
      <c r="R500" s="10" t="str">
        <f t="shared" si="6"/>
        <v>#DIV/0!</v>
      </c>
      <c r="S500" s="10" t="str">
        <f t="shared" si="23"/>
        <v>#DIV/0!</v>
      </c>
      <c r="T500" s="10" t="str">
        <f t="shared" si="22"/>
        <v>#DIV/0!</v>
      </c>
      <c r="U500" s="10" t="str">
        <f t="shared" si="8"/>
        <v>#DIV/0!</v>
      </c>
      <c r="V500" s="10"/>
      <c r="W500" s="10"/>
      <c r="X500" s="10"/>
      <c r="Y500" s="10"/>
      <c r="Z500" s="10"/>
      <c r="AA500" s="10"/>
      <c r="AB500" s="10"/>
      <c r="AC500" s="10"/>
      <c r="AD500" s="10"/>
      <c r="AE500" s="10"/>
      <c r="AF500" s="10"/>
    </row>
    <row r="501" hidden="1">
      <c r="A501" s="9" t="s">
        <v>718</v>
      </c>
      <c r="B501" s="84"/>
      <c r="C501" s="9"/>
      <c r="D501" s="9" t="str">
        <f t="shared" si="1"/>
        <v/>
      </c>
      <c r="E501" s="10" t="str">
        <f t="shared" si="2"/>
        <v>OT Hours</v>
      </c>
      <c r="F501" s="10" t="str">
        <f>IFERROR(VLOOKUP(C501,'Employees List'!$B$1:$I$999,4,0),"")</f>
        <v/>
      </c>
      <c r="G501" s="10" t="str">
        <f t="shared" si="21"/>
        <v>#DIV/0!</v>
      </c>
      <c r="H501" s="72" t="str">
        <f>IFERROR(VLOOKUP(C501,'Employees List'!$B$2:$I$991,7,0),"")</f>
        <v/>
      </c>
      <c r="I501" s="73" t="str">
        <f>IFERROR(VLOOKUP(F501,'Employees List'!$E$1:$AE$991,6,0),"")</f>
        <v/>
      </c>
      <c r="J501" s="71">
        <f t="shared" si="3"/>
        <v>0</v>
      </c>
      <c r="K501" s="71">
        <f t="shared" si="4"/>
        <v>0</v>
      </c>
      <c r="L501" s="10" t="str">
        <f>IFERROR(VLOOKUP(B501,'Employees List'!$A$2:$K$991,11,0),"")</f>
        <v/>
      </c>
      <c r="M501" s="74" t="str">
        <f>IFERROR(VLOOKUP(D501,'Daily Attendance 25-26'!$A$4:BP999,5,0),"")</f>
        <v/>
      </c>
      <c r="N501" s="10" t="str">
        <f>IFERROR(VLOOKUP(E501,'Daily Attendance 25-26'!$A$1:$BO$1741,5,0),"")</f>
        <v/>
      </c>
      <c r="O501" s="10"/>
      <c r="P501" s="10"/>
      <c r="Q501" s="10" t="str">
        <f t="shared" si="5"/>
        <v>#DIV/0!</v>
      </c>
      <c r="R501" s="10" t="str">
        <f t="shared" si="6"/>
        <v>#DIV/0!</v>
      </c>
      <c r="S501" s="10" t="str">
        <f t="shared" si="23"/>
        <v>#DIV/0!</v>
      </c>
      <c r="T501" s="10" t="str">
        <f t="shared" si="22"/>
        <v>#DIV/0!</v>
      </c>
      <c r="U501" s="10" t="str">
        <f t="shared" si="8"/>
        <v>#DIV/0!</v>
      </c>
      <c r="V501" s="10"/>
      <c r="W501" s="10"/>
      <c r="X501" s="10"/>
      <c r="Y501" s="10"/>
      <c r="Z501" s="10"/>
      <c r="AA501" s="10"/>
      <c r="AB501" s="10"/>
      <c r="AC501" s="10"/>
      <c r="AD501" s="10"/>
      <c r="AE501" s="10"/>
      <c r="AF501" s="10"/>
    </row>
    <row r="502" hidden="1">
      <c r="A502" s="9" t="s">
        <v>719</v>
      </c>
      <c r="B502" s="84"/>
      <c r="C502" s="9"/>
      <c r="D502" s="9" t="str">
        <f t="shared" si="1"/>
        <v/>
      </c>
      <c r="E502" s="10" t="str">
        <f t="shared" si="2"/>
        <v>OT Hours</v>
      </c>
      <c r="F502" s="10" t="str">
        <f>IFERROR(VLOOKUP(C502,'Employees List'!$B$1:$I$999,4,0),"")</f>
        <v/>
      </c>
      <c r="G502" s="10" t="str">
        <f t="shared" si="21"/>
        <v>#DIV/0!</v>
      </c>
      <c r="H502" s="72" t="str">
        <f>IFERROR(VLOOKUP(C502,'Employees List'!$B$2:$I$991,7,0),"")</f>
        <v/>
      </c>
      <c r="I502" s="73" t="str">
        <f>IFERROR(VLOOKUP(F502,'Employees List'!$E$1:$AE$991,6,0),"")</f>
        <v/>
      </c>
      <c r="J502" s="71">
        <f t="shared" si="3"/>
        <v>0</v>
      </c>
      <c r="K502" s="71">
        <f t="shared" si="4"/>
        <v>0</v>
      </c>
      <c r="L502" s="10" t="str">
        <f>IFERROR(VLOOKUP(B502,'Employees List'!$A$2:$K$991,11,0),"")</f>
        <v/>
      </c>
      <c r="M502" s="74" t="str">
        <f>IFERROR(VLOOKUP(D502,'Daily Attendance 25-26'!$A$4:BP999,5,0),"")</f>
        <v/>
      </c>
      <c r="N502" s="10" t="str">
        <f>IFERROR(VLOOKUP(E502,'Daily Attendance 25-26'!$A$1:$BO$1741,5,0),"")</f>
        <v/>
      </c>
      <c r="O502" s="10"/>
      <c r="P502" s="10"/>
      <c r="Q502" s="10" t="str">
        <f t="shared" si="5"/>
        <v>#DIV/0!</v>
      </c>
      <c r="R502" s="10" t="str">
        <f t="shared" si="6"/>
        <v>#DIV/0!</v>
      </c>
      <c r="S502" s="10" t="str">
        <f t="shared" si="23"/>
        <v>#DIV/0!</v>
      </c>
      <c r="T502" s="10" t="str">
        <f t="shared" si="22"/>
        <v>#DIV/0!</v>
      </c>
      <c r="U502" s="10" t="str">
        <f t="shared" si="8"/>
        <v>#DIV/0!</v>
      </c>
      <c r="V502" s="10"/>
      <c r="W502" s="10"/>
      <c r="X502" s="10"/>
      <c r="Y502" s="10"/>
      <c r="Z502" s="10"/>
      <c r="AA502" s="10"/>
      <c r="AB502" s="10"/>
      <c r="AC502" s="10"/>
      <c r="AD502" s="10"/>
      <c r="AE502" s="10"/>
      <c r="AF502" s="10"/>
    </row>
    <row r="503" hidden="1">
      <c r="A503" s="9" t="s">
        <v>720</v>
      </c>
      <c r="B503" s="84"/>
      <c r="C503" s="9"/>
      <c r="D503" s="9" t="str">
        <f t="shared" si="1"/>
        <v/>
      </c>
      <c r="E503" s="10" t="str">
        <f t="shared" si="2"/>
        <v>OT Hours</v>
      </c>
      <c r="F503" s="10" t="str">
        <f>IFERROR(VLOOKUP(C503,'Employees List'!$B$1:$I$999,4,0),"")</f>
        <v/>
      </c>
      <c r="G503" s="10" t="str">
        <f t="shared" si="21"/>
        <v>#DIV/0!</v>
      </c>
      <c r="H503" s="72" t="str">
        <f>IFERROR(VLOOKUP(C503,'Employees List'!$B$2:$I$991,7,0),"")</f>
        <v/>
      </c>
      <c r="I503" s="73" t="str">
        <f>IFERROR(VLOOKUP(F503,'Employees List'!$E$1:$AE$991,6,0),"")</f>
        <v/>
      </c>
      <c r="J503" s="71">
        <f t="shared" si="3"/>
        <v>0</v>
      </c>
      <c r="K503" s="71">
        <f t="shared" si="4"/>
        <v>0</v>
      </c>
      <c r="L503" s="10" t="str">
        <f>IFERROR(VLOOKUP(B503,'Employees List'!$A$2:$K$991,11,0),"")</f>
        <v/>
      </c>
      <c r="M503" s="74" t="str">
        <f>IFERROR(VLOOKUP(D503,'Daily Attendance 25-26'!$A$4:BP999,5,0),"")</f>
        <v/>
      </c>
      <c r="N503" s="10" t="str">
        <f>IFERROR(VLOOKUP(E503,'Daily Attendance 25-26'!$A$1:$BO$1741,5,0),"")</f>
        <v/>
      </c>
      <c r="O503" s="10"/>
      <c r="P503" s="10"/>
      <c r="Q503" s="10" t="str">
        <f t="shared" si="5"/>
        <v>#DIV/0!</v>
      </c>
      <c r="R503" s="10" t="str">
        <f t="shared" si="6"/>
        <v>#DIV/0!</v>
      </c>
      <c r="S503" s="10" t="str">
        <f t="shared" si="23"/>
        <v>#DIV/0!</v>
      </c>
      <c r="T503" s="10" t="str">
        <f t="shared" si="22"/>
        <v>#DIV/0!</v>
      </c>
      <c r="U503" s="10" t="str">
        <f t="shared" si="8"/>
        <v>#DIV/0!</v>
      </c>
      <c r="V503" s="10"/>
      <c r="W503" s="10"/>
      <c r="X503" s="10"/>
      <c r="Y503" s="10"/>
      <c r="Z503" s="10"/>
      <c r="AA503" s="10"/>
      <c r="AB503" s="10"/>
      <c r="AC503" s="10"/>
      <c r="AD503" s="10"/>
      <c r="AE503" s="10"/>
      <c r="AF503" s="10"/>
    </row>
    <row r="504" hidden="1">
      <c r="A504" s="9" t="s">
        <v>721</v>
      </c>
      <c r="B504" s="84"/>
      <c r="C504" s="9"/>
      <c r="D504" s="9" t="str">
        <f t="shared" si="1"/>
        <v/>
      </c>
      <c r="E504" s="10" t="str">
        <f t="shared" si="2"/>
        <v>OT Hours</v>
      </c>
      <c r="F504" s="10" t="str">
        <f>IFERROR(VLOOKUP(C504,'Employees List'!$B$1:$I$999,4,0),"")</f>
        <v/>
      </c>
      <c r="G504" s="10" t="str">
        <f t="shared" si="21"/>
        <v>#DIV/0!</v>
      </c>
      <c r="H504" s="72" t="str">
        <f>IFERROR(VLOOKUP(C504,'Employees List'!$B$2:$I$991,7,0),"")</f>
        <v/>
      </c>
      <c r="I504" s="73" t="str">
        <f>IFERROR(VLOOKUP(F504,'Employees List'!$E$1:$AE$991,6,0),"")</f>
        <v/>
      </c>
      <c r="J504" s="71">
        <f t="shared" si="3"/>
        <v>0</v>
      </c>
      <c r="K504" s="71">
        <f t="shared" si="4"/>
        <v>0</v>
      </c>
      <c r="L504" s="10" t="str">
        <f>IFERROR(VLOOKUP(B504,'Employees List'!$A$2:$K$991,11,0),"")</f>
        <v/>
      </c>
      <c r="M504" s="74" t="str">
        <f>IFERROR(VLOOKUP(D504,'Daily Attendance 25-26'!$A$4:BP999,5,0),"")</f>
        <v/>
      </c>
      <c r="N504" s="10" t="str">
        <f>IFERROR(VLOOKUP(E504,'Daily Attendance 25-26'!$A$1:$BO$1741,5,0),"")</f>
        <v/>
      </c>
      <c r="O504" s="10"/>
      <c r="P504" s="10"/>
      <c r="Q504" s="10" t="str">
        <f t="shared" si="5"/>
        <v>#DIV/0!</v>
      </c>
      <c r="R504" s="10" t="str">
        <f t="shared" si="6"/>
        <v>#DIV/0!</v>
      </c>
      <c r="S504" s="10" t="str">
        <f t="shared" si="23"/>
        <v>#DIV/0!</v>
      </c>
      <c r="T504" s="10" t="str">
        <f t="shared" si="22"/>
        <v>#DIV/0!</v>
      </c>
      <c r="U504" s="10" t="str">
        <f t="shared" si="8"/>
        <v>#DIV/0!</v>
      </c>
      <c r="V504" s="10"/>
      <c r="W504" s="10"/>
      <c r="X504" s="10"/>
      <c r="Y504" s="10"/>
      <c r="Z504" s="10"/>
      <c r="AA504" s="10"/>
      <c r="AB504" s="10"/>
      <c r="AC504" s="10"/>
      <c r="AD504" s="10"/>
      <c r="AE504" s="10"/>
      <c r="AF504" s="10"/>
    </row>
    <row r="505" hidden="1">
      <c r="A505" s="9" t="s">
        <v>722</v>
      </c>
      <c r="B505" s="84"/>
      <c r="C505" s="9"/>
      <c r="D505" s="9" t="str">
        <f t="shared" si="1"/>
        <v/>
      </c>
      <c r="E505" s="10" t="str">
        <f t="shared" si="2"/>
        <v>OT Hours</v>
      </c>
      <c r="F505" s="10" t="str">
        <f>IFERROR(VLOOKUP(C505,'Employees List'!$B$1:$I$999,4,0),"")</f>
        <v/>
      </c>
      <c r="G505" s="10" t="str">
        <f t="shared" si="21"/>
        <v>#DIV/0!</v>
      </c>
      <c r="H505" s="72" t="str">
        <f>IFERROR(VLOOKUP(C505,'Employees List'!$B$2:$I$991,7,0),"")</f>
        <v/>
      </c>
      <c r="I505" s="73" t="str">
        <f>IFERROR(VLOOKUP(F505,'Employees List'!$E$1:$AE$991,6,0),"")</f>
        <v/>
      </c>
      <c r="J505" s="71">
        <f t="shared" si="3"/>
        <v>0</v>
      </c>
      <c r="K505" s="71">
        <f t="shared" si="4"/>
        <v>0</v>
      </c>
      <c r="L505" s="10" t="str">
        <f>IFERROR(VLOOKUP(B505,'Employees List'!$A$2:$K$991,11,0),"")</f>
        <v/>
      </c>
      <c r="M505" s="74" t="str">
        <f>IFERROR(VLOOKUP(D505,'Daily Attendance 25-26'!$A$4:BP999,5,0),"")</f>
        <v/>
      </c>
      <c r="N505" s="10" t="str">
        <f>IFERROR(VLOOKUP(E505,'Daily Attendance 25-26'!$A$1:$BO$1741,5,0),"")</f>
        <v/>
      </c>
      <c r="O505" s="10"/>
      <c r="P505" s="10"/>
      <c r="Q505" s="10" t="str">
        <f t="shared" si="5"/>
        <v>#DIV/0!</v>
      </c>
      <c r="R505" s="10" t="str">
        <f t="shared" si="6"/>
        <v>#DIV/0!</v>
      </c>
      <c r="S505" s="10" t="str">
        <f t="shared" si="23"/>
        <v>#DIV/0!</v>
      </c>
      <c r="T505" s="10" t="str">
        <f t="shared" si="22"/>
        <v>#DIV/0!</v>
      </c>
      <c r="U505" s="10" t="str">
        <f t="shared" si="8"/>
        <v>#DIV/0!</v>
      </c>
      <c r="V505" s="10"/>
      <c r="W505" s="10"/>
      <c r="X505" s="10"/>
      <c r="Y505" s="10"/>
      <c r="Z505" s="10"/>
      <c r="AA505" s="10"/>
      <c r="AB505" s="10"/>
      <c r="AC505" s="10"/>
      <c r="AD505" s="10"/>
      <c r="AE505" s="10"/>
      <c r="AF505" s="10"/>
    </row>
    <row r="506" hidden="1">
      <c r="A506" s="9" t="s">
        <v>723</v>
      </c>
      <c r="B506" s="84"/>
      <c r="C506" s="9"/>
      <c r="D506" s="9" t="str">
        <f t="shared" si="1"/>
        <v/>
      </c>
      <c r="E506" s="10" t="str">
        <f t="shared" si="2"/>
        <v>OT Hours</v>
      </c>
      <c r="F506" s="10" t="str">
        <f>IFERROR(VLOOKUP(C506,'Employees List'!$B$1:$I$999,4,0),"")</f>
        <v/>
      </c>
      <c r="G506" s="10" t="str">
        <f t="shared" si="21"/>
        <v>#DIV/0!</v>
      </c>
      <c r="H506" s="72" t="str">
        <f>IFERROR(VLOOKUP(C506,'Employees List'!$B$2:$I$991,7,0),"")</f>
        <v/>
      </c>
      <c r="I506" s="73" t="str">
        <f>IFERROR(VLOOKUP(F506,'Employees List'!$E$1:$AE$991,6,0),"")</f>
        <v/>
      </c>
      <c r="J506" s="71">
        <f t="shared" si="3"/>
        <v>0</v>
      </c>
      <c r="K506" s="71">
        <f t="shared" si="4"/>
        <v>0</v>
      </c>
      <c r="L506" s="10" t="str">
        <f>IFERROR(VLOOKUP(B506,'Employees List'!$A$2:$K$991,11,0),"")</f>
        <v/>
      </c>
      <c r="M506" s="74" t="str">
        <f>IFERROR(VLOOKUP(D506,'Daily Attendance 25-26'!$A$4:BP999,5,0),"")</f>
        <v/>
      </c>
      <c r="N506" s="10" t="str">
        <f>IFERROR(VLOOKUP(E506,'Daily Attendance 25-26'!$A$1:$BO$1741,5,0),"")</f>
        <v/>
      </c>
      <c r="O506" s="10"/>
      <c r="P506" s="10"/>
      <c r="Q506" s="10" t="str">
        <f t="shared" si="5"/>
        <v>#DIV/0!</v>
      </c>
      <c r="R506" s="10" t="str">
        <f t="shared" si="6"/>
        <v>#DIV/0!</v>
      </c>
      <c r="S506" s="10" t="str">
        <f t="shared" si="23"/>
        <v>#DIV/0!</v>
      </c>
      <c r="T506" s="10" t="str">
        <f t="shared" si="22"/>
        <v>#DIV/0!</v>
      </c>
      <c r="U506" s="10" t="str">
        <f t="shared" si="8"/>
        <v>#DIV/0!</v>
      </c>
      <c r="V506" s="10"/>
      <c r="W506" s="10"/>
      <c r="X506" s="10"/>
      <c r="Y506" s="10"/>
      <c r="Z506" s="10"/>
      <c r="AA506" s="10"/>
      <c r="AB506" s="10"/>
      <c r="AC506" s="10"/>
      <c r="AD506" s="10"/>
      <c r="AE506" s="10"/>
      <c r="AF506" s="10"/>
    </row>
    <row r="507" hidden="1">
      <c r="A507" s="9" t="s">
        <v>724</v>
      </c>
      <c r="B507" s="84"/>
      <c r="C507" s="9"/>
      <c r="D507" s="9" t="str">
        <f t="shared" si="1"/>
        <v/>
      </c>
      <c r="E507" s="10" t="str">
        <f t="shared" si="2"/>
        <v>OT Hours</v>
      </c>
      <c r="F507" s="10" t="str">
        <f>IFERROR(VLOOKUP(C507,'Employees List'!$B$1:$I$999,4,0),"")</f>
        <v/>
      </c>
      <c r="G507" s="10" t="str">
        <f t="shared" si="21"/>
        <v>#DIV/0!</v>
      </c>
      <c r="H507" s="72" t="str">
        <f>IFERROR(VLOOKUP(C507,'Employees List'!$B$2:$I$991,7,0),"")</f>
        <v/>
      </c>
      <c r="I507" s="73" t="str">
        <f>IFERROR(VLOOKUP(F507,'Employees List'!$E$1:$AE$991,6,0),"")</f>
        <v/>
      </c>
      <c r="J507" s="71">
        <f t="shared" si="3"/>
        <v>0</v>
      </c>
      <c r="K507" s="71">
        <f t="shared" si="4"/>
        <v>0</v>
      </c>
      <c r="L507" s="10" t="str">
        <f>IFERROR(VLOOKUP(B507,'Employees List'!$A$2:$K$991,11,0),"")</f>
        <v/>
      </c>
      <c r="M507" s="74" t="str">
        <f>IFERROR(VLOOKUP(D507,'Daily Attendance 25-26'!$A$4:BP999,5,0),"")</f>
        <v/>
      </c>
      <c r="N507" s="10" t="str">
        <f>IFERROR(VLOOKUP(E507,'Daily Attendance 25-26'!$A$1:$BO$1741,5,0),"")</f>
        <v/>
      </c>
      <c r="O507" s="10"/>
      <c r="P507" s="10"/>
      <c r="Q507" s="10" t="str">
        <f t="shared" si="5"/>
        <v>#DIV/0!</v>
      </c>
      <c r="R507" s="10" t="str">
        <f t="shared" si="6"/>
        <v>#DIV/0!</v>
      </c>
      <c r="S507" s="10" t="str">
        <f t="shared" si="23"/>
        <v>#DIV/0!</v>
      </c>
      <c r="T507" s="10" t="str">
        <f t="shared" si="22"/>
        <v>#DIV/0!</v>
      </c>
      <c r="U507" s="10" t="str">
        <f t="shared" si="8"/>
        <v>#DIV/0!</v>
      </c>
      <c r="V507" s="10"/>
      <c r="W507" s="10"/>
      <c r="X507" s="10"/>
      <c r="Y507" s="10"/>
      <c r="Z507" s="10"/>
      <c r="AA507" s="10"/>
      <c r="AB507" s="10"/>
      <c r="AC507" s="10"/>
      <c r="AD507" s="10"/>
      <c r="AE507" s="10"/>
      <c r="AF507" s="10"/>
    </row>
    <row r="508" hidden="1">
      <c r="A508" s="9" t="s">
        <v>725</v>
      </c>
      <c r="B508" s="84"/>
      <c r="C508" s="9"/>
      <c r="D508" s="9" t="str">
        <f t="shared" si="1"/>
        <v/>
      </c>
      <c r="E508" s="10" t="str">
        <f t="shared" si="2"/>
        <v>OT Hours</v>
      </c>
      <c r="F508" s="10" t="str">
        <f>IFERROR(VLOOKUP(C508,'Employees List'!$B$1:$I$999,4,0),"")</f>
        <v/>
      </c>
      <c r="G508" s="10" t="str">
        <f t="shared" si="21"/>
        <v>#DIV/0!</v>
      </c>
      <c r="H508" s="72" t="str">
        <f>IFERROR(VLOOKUP(C508,'Employees List'!$B$2:$I$991,7,0),"")</f>
        <v/>
      </c>
      <c r="I508" s="73" t="str">
        <f>IFERROR(VLOOKUP(F508,'Employees List'!$E$1:$AE$991,6,0),"")</f>
        <v/>
      </c>
      <c r="J508" s="71">
        <f t="shared" si="3"/>
        <v>0</v>
      </c>
      <c r="K508" s="71">
        <f t="shared" si="4"/>
        <v>0</v>
      </c>
      <c r="L508" s="10" t="str">
        <f>IFERROR(VLOOKUP(B508,'Employees List'!$A$2:$K$991,11,0),"")</f>
        <v/>
      </c>
      <c r="M508" s="74" t="str">
        <f>IFERROR(VLOOKUP(D508,'Daily Attendance 25-26'!$A$4:BP999,5,0),"")</f>
        <v/>
      </c>
      <c r="N508" s="10" t="str">
        <f>IFERROR(VLOOKUP(E508,'Daily Attendance 25-26'!$A$1:$BO$1741,5,0),"")</f>
        <v/>
      </c>
      <c r="O508" s="10"/>
      <c r="P508" s="10"/>
      <c r="Q508" s="10" t="str">
        <f t="shared" si="5"/>
        <v>#DIV/0!</v>
      </c>
      <c r="R508" s="10" t="str">
        <f t="shared" si="6"/>
        <v>#DIV/0!</v>
      </c>
      <c r="S508" s="10" t="str">
        <f t="shared" si="23"/>
        <v>#DIV/0!</v>
      </c>
      <c r="T508" s="10" t="str">
        <f t="shared" si="22"/>
        <v>#DIV/0!</v>
      </c>
      <c r="U508" s="10" t="str">
        <f t="shared" si="8"/>
        <v>#DIV/0!</v>
      </c>
      <c r="V508" s="10"/>
      <c r="W508" s="10"/>
      <c r="X508" s="10"/>
      <c r="Y508" s="10"/>
      <c r="Z508" s="10"/>
      <c r="AA508" s="10"/>
      <c r="AB508" s="10"/>
      <c r="AC508" s="10"/>
      <c r="AD508" s="10"/>
      <c r="AE508" s="10"/>
      <c r="AF508" s="10"/>
    </row>
    <row r="509" hidden="1">
      <c r="A509" s="9" t="s">
        <v>726</v>
      </c>
      <c r="B509" s="84"/>
      <c r="C509" s="9"/>
      <c r="D509" s="9" t="str">
        <f t="shared" si="1"/>
        <v/>
      </c>
      <c r="E509" s="10" t="str">
        <f t="shared" si="2"/>
        <v>OT Hours</v>
      </c>
      <c r="F509" s="10" t="str">
        <f>IFERROR(VLOOKUP(C509,'Employees List'!$B$1:$I$999,4,0),"")</f>
        <v/>
      </c>
      <c r="G509" s="10" t="str">
        <f t="shared" si="21"/>
        <v>#DIV/0!</v>
      </c>
      <c r="H509" s="72" t="str">
        <f>IFERROR(VLOOKUP(C509,'Employees List'!$B$2:$I$991,7,0),"")</f>
        <v/>
      </c>
      <c r="I509" s="73" t="str">
        <f>IFERROR(VLOOKUP(F509,'Employees List'!$E$1:$AE$991,6,0),"")</f>
        <v/>
      </c>
      <c r="J509" s="71">
        <f t="shared" si="3"/>
        <v>0</v>
      </c>
      <c r="K509" s="71">
        <f t="shared" si="4"/>
        <v>0</v>
      </c>
      <c r="L509" s="10" t="str">
        <f>IFERROR(VLOOKUP(B509,'Employees List'!$A$2:$K$991,11,0),"")</f>
        <v/>
      </c>
      <c r="M509" s="74" t="str">
        <f>IFERROR(VLOOKUP(D509,'Daily Attendance 25-26'!$A$4:BP999,5,0),"")</f>
        <v/>
      </c>
      <c r="N509" s="10" t="str">
        <f>IFERROR(VLOOKUP(E509,'Daily Attendance 25-26'!$A$1:$BO$1741,5,0),"")</f>
        <v/>
      </c>
      <c r="O509" s="10"/>
      <c r="P509" s="10"/>
      <c r="Q509" s="10" t="str">
        <f t="shared" si="5"/>
        <v>#DIV/0!</v>
      </c>
      <c r="R509" s="10" t="str">
        <f t="shared" si="6"/>
        <v>#DIV/0!</v>
      </c>
      <c r="S509" s="10" t="str">
        <f t="shared" si="23"/>
        <v>#DIV/0!</v>
      </c>
      <c r="T509" s="10" t="str">
        <f t="shared" si="22"/>
        <v>#DIV/0!</v>
      </c>
      <c r="U509" s="10" t="str">
        <f t="shared" si="8"/>
        <v>#DIV/0!</v>
      </c>
      <c r="V509" s="10"/>
      <c r="W509" s="10"/>
      <c r="X509" s="10"/>
      <c r="Y509" s="10"/>
      <c r="Z509" s="10"/>
      <c r="AA509" s="10"/>
      <c r="AB509" s="10"/>
      <c r="AC509" s="10"/>
      <c r="AD509" s="10"/>
      <c r="AE509" s="10"/>
      <c r="AF509" s="10"/>
    </row>
    <row r="510" hidden="1">
      <c r="A510" s="9" t="s">
        <v>727</v>
      </c>
      <c r="B510" s="84"/>
      <c r="C510" s="9"/>
      <c r="D510" s="9" t="str">
        <f t="shared" si="1"/>
        <v/>
      </c>
      <c r="E510" s="10" t="str">
        <f t="shared" si="2"/>
        <v>OT Hours</v>
      </c>
      <c r="F510" s="10" t="str">
        <f>IFERROR(VLOOKUP(C510,'Employees List'!$B$1:$I$999,4,0),"")</f>
        <v/>
      </c>
      <c r="G510" s="10" t="str">
        <f t="shared" si="21"/>
        <v>#DIV/0!</v>
      </c>
      <c r="H510" s="72" t="str">
        <f>IFERROR(VLOOKUP(C510,'Employees List'!$B$2:$I$991,7,0),"")</f>
        <v/>
      </c>
      <c r="I510" s="73" t="str">
        <f>IFERROR(VLOOKUP(F510,'Employees List'!$E$1:$AE$991,6,0),"")</f>
        <v/>
      </c>
      <c r="J510" s="71">
        <f t="shared" si="3"/>
        <v>0</v>
      </c>
      <c r="K510" s="71">
        <f t="shared" si="4"/>
        <v>0</v>
      </c>
      <c r="L510" s="10" t="str">
        <f>IFERROR(VLOOKUP(B510,'Employees List'!$A$2:$K$991,11,0),"")</f>
        <v/>
      </c>
      <c r="M510" s="74" t="str">
        <f>IFERROR(VLOOKUP(D510,'Daily Attendance 25-26'!$A$4:BP999,5,0),"")</f>
        <v/>
      </c>
      <c r="N510" s="10" t="str">
        <f>IFERROR(VLOOKUP(E510,'Daily Attendance 25-26'!$A$1:$BO$1741,5,0),"")</f>
        <v/>
      </c>
      <c r="O510" s="10"/>
      <c r="P510" s="10"/>
      <c r="Q510" s="10" t="str">
        <f t="shared" si="5"/>
        <v>#DIV/0!</v>
      </c>
      <c r="R510" s="10" t="str">
        <f t="shared" si="6"/>
        <v>#DIV/0!</v>
      </c>
      <c r="S510" s="10" t="str">
        <f t="shared" si="23"/>
        <v>#DIV/0!</v>
      </c>
      <c r="T510" s="10" t="str">
        <f t="shared" si="22"/>
        <v>#DIV/0!</v>
      </c>
      <c r="U510" s="10" t="str">
        <f t="shared" si="8"/>
        <v>#DIV/0!</v>
      </c>
      <c r="V510" s="10"/>
      <c r="W510" s="10"/>
      <c r="X510" s="10"/>
      <c r="Y510" s="10"/>
      <c r="Z510" s="10"/>
      <c r="AA510" s="10"/>
      <c r="AB510" s="10"/>
      <c r="AC510" s="10"/>
      <c r="AD510" s="10"/>
      <c r="AE510" s="10"/>
      <c r="AF510" s="10"/>
    </row>
    <row r="511" hidden="1">
      <c r="A511" s="9" t="s">
        <v>728</v>
      </c>
      <c r="B511" s="84"/>
      <c r="C511" s="9"/>
      <c r="D511" s="9" t="str">
        <f t="shared" si="1"/>
        <v/>
      </c>
      <c r="E511" s="10" t="str">
        <f t="shared" si="2"/>
        <v>OT Hours</v>
      </c>
      <c r="F511" s="10" t="str">
        <f>IFERROR(VLOOKUP(C511,'Employees List'!$B$1:$I$999,4,0),"")</f>
        <v/>
      </c>
      <c r="G511" s="10" t="str">
        <f t="shared" si="21"/>
        <v>#DIV/0!</v>
      </c>
      <c r="H511" s="72" t="str">
        <f>IFERROR(VLOOKUP(C511,'Employees List'!$B$2:$I$991,7,0),"")</f>
        <v/>
      </c>
      <c r="I511" s="73" t="str">
        <f>IFERROR(VLOOKUP(F511,'Employees List'!$E$1:$AE$991,6,0),"")</f>
        <v/>
      </c>
      <c r="J511" s="71">
        <f t="shared" si="3"/>
        <v>0</v>
      </c>
      <c r="K511" s="71">
        <f t="shared" si="4"/>
        <v>0</v>
      </c>
      <c r="L511" s="10" t="str">
        <f>IFERROR(VLOOKUP(B511,'Employees List'!$A$2:$K$991,11,0),"")</f>
        <v/>
      </c>
      <c r="M511" s="74" t="str">
        <f>IFERROR(VLOOKUP(D511,'Daily Attendance 25-26'!$A$4:BP999,5,0),"")</f>
        <v/>
      </c>
      <c r="N511" s="10" t="str">
        <f>IFERROR(VLOOKUP(E511,'Daily Attendance 25-26'!$A$1:$BO$1741,5,0),"")</f>
        <v/>
      </c>
      <c r="O511" s="10"/>
      <c r="P511" s="10"/>
      <c r="Q511" s="10" t="str">
        <f t="shared" si="5"/>
        <v>#DIV/0!</v>
      </c>
      <c r="R511" s="10" t="str">
        <f t="shared" si="6"/>
        <v>#DIV/0!</v>
      </c>
      <c r="S511" s="10" t="str">
        <f t="shared" si="23"/>
        <v>#DIV/0!</v>
      </c>
      <c r="T511" s="10" t="str">
        <f t="shared" si="22"/>
        <v>#DIV/0!</v>
      </c>
      <c r="U511" s="10" t="str">
        <f t="shared" si="8"/>
        <v>#DIV/0!</v>
      </c>
      <c r="V511" s="10"/>
      <c r="W511" s="10"/>
      <c r="X511" s="10"/>
      <c r="Y511" s="10"/>
      <c r="Z511" s="10"/>
      <c r="AA511" s="10"/>
      <c r="AB511" s="10"/>
      <c r="AC511" s="10"/>
      <c r="AD511" s="10"/>
      <c r="AE511" s="10"/>
      <c r="AF511" s="10"/>
    </row>
    <row r="512" hidden="1">
      <c r="A512" s="9" t="s">
        <v>729</v>
      </c>
      <c r="B512" s="84"/>
      <c r="C512" s="9"/>
      <c r="D512" s="9" t="str">
        <f t="shared" si="1"/>
        <v/>
      </c>
      <c r="E512" s="10" t="str">
        <f t="shared" si="2"/>
        <v>OT Hours</v>
      </c>
      <c r="F512" s="10" t="str">
        <f>IFERROR(VLOOKUP(C512,'Employees List'!$B$1:$I$999,4,0),"")</f>
        <v/>
      </c>
      <c r="G512" s="10" t="str">
        <f t="shared" si="21"/>
        <v>#DIV/0!</v>
      </c>
      <c r="H512" s="72" t="str">
        <f>IFERROR(VLOOKUP(C512,'Employees List'!$B$2:$I$991,7,0),"")</f>
        <v/>
      </c>
      <c r="I512" s="73" t="str">
        <f>IFERROR(VLOOKUP(F512,'Employees List'!$E$1:$AE$991,6,0),"")</f>
        <v/>
      </c>
      <c r="J512" s="71">
        <f t="shared" si="3"/>
        <v>0</v>
      </c>
      <c r="K512" s="71">
        <f t="shared" si="4"/>
        <v>0</v>
      </c>
      <c r="L512" s="10" t="str">
        <f>IFERROR(VLOOKUP(B512,'Employees List'!$A$2:$K$991,11,0),"")</f>
        <v/>
      </c>
      <c r="M512" s="74" t="str">
        <f>IFERROR(VLOOKUP(D512,'Daily Attendance 25-26'!$A$4:BP999,5,0),"")</f>
        <v/>
      </c>
      <c r="N512" s="10" t="str">
        <f>IFERROR(VLOOKUP(E512,'Daily Attendance 25-26'!$A$1:$BO$1741,5,0),"")</f>
        <v/>
      </c>
      <c r="O512" s="10"/>
      <c r="P512" s="10"/>
      <c r="Q512" s="10" t="str">
        <f t="shared" si="5"/>
        <v>#DIV/0!</v>
      </c>
      <c r="R512" s="10" t="str">
        <f t="shared" si="6"/>
        <v>#DIV/0!</v>
      </c>
      <c r="S512" s="10" t="str">
        <f t="shared" si="23"/>
        <v>#DIV/0!</v>
      </c>
      <c r="T512" s="10" t="str">
        <f t="shared" si="22"/>
        <v>#DIV/0!</v>
      </c>
      <c r="U512" s="10" t="str">
        <f t="shared" si="8"/>
        <v>#DIV/0!</v>
      </c>
      <c r="V512" s="10"/>
      <c r="W512" s="10"/>
      <c r="X512" s="10"/>
      <c r="Y512" s="10"/>
      <c r="Z512" s="10"/>
      <c r="AA512" s="10"/>
      <c r="AB512" s="10"/>
      <c r="AC512" s="10"/>
      <c r="AD512" s="10"/>
      <c r="AE512" s="10"/>
      <c r="AF512" s="10"/>
    </row>
    <row r="513" hidden="1">
      <c r="A513" s="9" t="s">
        <v>730</v>
      </c>
      <c r="B513" s="84"/>
      <c r="C513" s="9"/>
      <c r="D513" s="9" t="str">
        <f t="shared" si="1"/>
        <v/>
      </c>
      <c r="E513" s="10" t="str">
        <f t="shared" si="2"/>
        <v>OT Hours</v>
      </c>
      <c r="F513" s="10" t="str">
        <f>IFERROR(VLOOKUP(C513,'Employees List'!$B$1:$I$999,4,0),"")</f>
        <v/>
      </c>
      <c r="G513" s="10" t="str">
        <f t="shared" si="21"/>
        <v>#DIV/0!</v>
      </c>
      <c r="H513" s="72" t="str">
        <f>IFERROR(VLOOKUP(C513,'Employees List'!$B$2:$I$991,7,0),"")</f>
        <v/>
      </c>
      <c r="I513" s="73" t="str">
        <f>IFERROR(VLOOKUP(F513,'Employees List'!$E$1:$AE$991,6,0),"")</f>
        <v/>
      </c>
      <c r="J513" s="71">
        <f t="shared" si="3"/>
        <v>0</v>
      </c>
      <c r="K513" s="71">
        <f t="shared" si="4"/>
        <v>0</v>
      </c>
      <c r="L513" s="10" t="str">
        <f>IFERROR(VLOOKUP(B513,'Employees List'!$A$2:$K$991,11,0),"")</f>
        <v/>
      </c>
      <c r="M513" s="74" t="str">
        <f>IFERROR(VLOOKUP(D513,'Daily Attendance 25-26'!$A$4:BP999,5,0),"")</f>
        <v/>
      </c>
      <c r="N513" s="10" t="str">
        <f>IFERROR(VLOOKUP(E513,'Daily Attendance 25-26'!$A$1:$BO$1741,5,0),"")</f>
        <v/>
      </c>
      <c r="O513" s="10"/>
      <c r="P513" s="10"/>
      <c r="Q513" s="10" t="str">
        <f t="shared" si="5"/>
        <v>#DIV/0!</v>
      </c>
      <c r="R513" s="10" t="str">
        <f t="shared" si="6"/>
        <v>#DIV/0!</v>
      </c>
      <c r="S513" s="10" t="str">
        <f t="shared" si="23"/>
        <v>#DIV/0!</v>
      </c>
      <c r="T513" s="10" t="str">
        <f t="shared" si="22"/>
        <v>#DIV/0!</v>
      </c>
      <c r="U513" s="10" t="str">
        <f t="shared" si="8"/>
        <v>#DIV/0!</v>
      </c>
      <c r="V513" s="10"/>
      <c r="W513" s="10"/>
      <c r="X513" s="10"/>
      <c r="Y513" s="10"/>
      <c r="Z513" s="10"/>
      <c r="AA513" s="10"/>
      <c r="AB513" s="10"/>
      <c r="AC513" s="10"/>
      <c r="AD513" s="10"/>
      <c r="AE513" s="10"/>
      <c r="AF513" s="10"/>
    </row>
    <row r="514" hidden="1">
      <c r="A514" s="9" t="s">
        <v>731</v>
      </c>
      <c r="B514" s="84"/>
      <c r="C514" s="9"/>
      <c r="D514" s="9" t="str">
        <f t="shared" si="1"/>
        <v/>
      </c>
      <c r="E514" s="10" t="str">
        <f t="shared" si="2"/>
        <v>OT Hours</v>
      </c>
      <c r="F514" s="10" t="str">
        <f>IFERROR(VLOOKUP(C514,'Employees List'!$B$1:$I$999,4,0),"")</f>
        <v/>
      </c>
      <c r="G514" s="10" t="str">
        <f t="shared" si="21"/>
        <v>#DIV/0!</v>
      </c>
      <c r="H514" s="72" t="str">
        <f>IFERROR(VLOOKUP(C514,'Employees List'!$B$2:$I$991,7,0),"")</f>
        <v/>
      </c>
      <c r="I514" s="73" t="str">
        <f>IFERROR(VLOOKUP(F514,'Employees List'!$E$1:$AE$991,6,0),"")</f>
        <v/>
      </c>
      <c r="J514" s="71">
        <f t="shared" si="3"/>
        <v>0</v>
      </c>
      <c r="K514" s="71">
        <f t="shared" si="4"/>
        <v>0</v>
      </c>
      <c r="L514" s="10" t="str">
        <f>IFERROR(VLOOKUP(B514,'Employees List'!$A$2:$K$991,11,0),"")</f>
        <v/>
      </c>
      <c r="M514" s="74" t="str">
        <f>IFERROR(VLOOKUP(D514,'Daily Attendance 25-26'!$A$4:BP999,5,0),"")</f>
        <v/>
      </c>
      <c r="N514" s="10" t="str">
        <f>IFERROR(VLOOKUP(E514,'Daily Attendance 25-26'!$A$1:$BO$1741,5,0),"")</f>
        <v/>
      </c>
      <c r="O514" s="10"/>
      <c r="P514" s="10"/>
      <c r="Q514" s="10" t="str">
        <f t="shared" si="5"/>
        <v>#DIV/0!</v>
      </c>
      <c r="R514" s="10" t="str">
        <f t="shared" si="6"/>
        <v>#DIV/0!</v>
      </c>
      <c r="S514" s="10" t="str">
        <f t="shared" si="23"/>
        <v>#DIV/0!</v>
      </c>
      <c r="T514" s="10" t="str">
        <f t="shared" si="22"/>
        <v>#DIV/0!</v>
      </c>
      <c r="U514" s="10" t="str">
        <f t="shared" si="8"/>
        <v>#DIV/0!</v>
      </c>
      <c r="V514" s="10"/>
      <c r="W514" s="10"/>
      <c r="X514" s="10"/>
      <c r="Y514" s="10"/>
      <c r="Z514" s="10"/>
      <c r="AA514" s="10"/>
      <c r="AB514" s="10"/>
      <c r="AC514" s="10"/>
      <c r="AD514" s="10"/>
      <c r="AE514" s="10"/>
      <c r="AF514" s="10"/>
    </row>
    <row r="515" hidden="1">
      <c r="A515" s="9" t="s">
        <v>732</v>
      </c>
      <c r="B515" s="84"/>
      <c r="C515" s="9"/>
      <c r="D515" s="9" t="str">
        <f t="shared" si="1"/>
        <v/>
      </c>
      <c r="E515" s="10" t="str">
        <f t="shared" si="2"/>
        <v>OT Hours</v>
      </c>
      <c r="F515" s="10" t="str">
        <f>IFERROR(VLOOKUP(C515,'Employees List'!$B$1:$I$999,4,0),"")</f>
        <v/>
      </c>
      <c r="G515" s="10" t="str">
        <f t="shared" si="21"/>
        <v>#DIV/0!</v>
      </c>
      <c r="H515" s="72" t="str">
        <f>IFERROR(VLOOKUP(C515,'Employees List'!$B$2:$I$991,7,0),"")</f>
        <v/>
      </c>
      <c r="I515" s="73" t="str">
        <f>IFERROR(VLOOKUP(F515,'Employees List'!$E$1:$AE$991,6,0),"")</f>
        <v/>
      </c>
      <c r="J515" s="71">
        <f t="shared" si="3"/>
        <v>0</v>
      </c>
      <c r="K515" s="71">
        <f t="shared" si="4"/>
        <v>0</v>
      </c>
      <c r="L515" s="10" t="str">
        <f>IFERROR(VLOOKUP(B515,'Employees List'!$A$2:$K$991,11,0),"")</f>
        <v/>
      </c>
      <c r="M515" s="74" t="str">
        <f>IFERROR(VLOOKUP(D515,'Daily Attendance 25-26'!$A$4:BP999,5,0),"")</f>
        <v/>
      </c>
      <c r="N515" s="10" t="str">
        <f>IFERROR(VLOOKUP(E515,'Daily Attendance 25-26'!$A$1:$BO$1741,5,0),"")</f>
        <v/>
      </c>
      <c r="O515" s="10"/>
      <c r="P515" s="10"/>
      <c r="Q515" s="10" t="str">
        <f t="shared" si="5"/>
        <v>#DIV/0!</v>
      </c>
      <c r="R515" s="10" t="str">
        <f t="shared" si="6"/>
        <v>#DIV/0!</v>
      </c>
      <c r="S515" s="10" t="str">
        <f t="shared" si="23"/>
        <v>#DIV/0!</v>
      </c>
      <c r="T515" s="10" t="str">
        <f t="shared" si="22"/>
        <v>#DIV/0!</v>
      </c>
      <c r="U515" s="10" t="str">
        <f t="shared" si="8"/>
        <v>#DIV/0!</v>
      </c>
      <c r="V515" s="10"/>
      <c r="W515" s="10"/>
      <c r="X515" s="10"/>
      <c r="Y515" s="10"/>
      <c r="Z515" s="10"/>
      <c r="AA515" s="10"/>
      <c r="AB515" s="10"/>
      <c r="AC515" s="10"/>
      <c r="AD515" s="10"/>
      <c r="AE515" s="10"/>
      <c r="AF515" s="10"/>
    </row>
    <row r="516" hidden="1">
      <c r="A516" s="9" t="s">
        <v>733</v>
      </c>
      <c r="B516" s="84"/>
      <c r="C516" s="9"/>
      <c r="D516" s="9" t="str">
        <f t="shared" si="1"/>
        <v/>
      </c>
      <c r="E516" s="10" t="str">
        <f t="shared" si="2"/>
        <v>OT Hours</v>
      </c>
      <c r="F516" s="10" t="str">
        <f>IFERROR(VLOOKUP(C516,'Employees List'!$B$1:$I$999,4,0),"")</f>
        <v/>
      </c>
      <c r="G516" s="10" t="str">
        <f t="shared" si="21"/>
        <v>#DIV/0!</v>
      </c>
      <c r="H516" s="72" t="str">
        <f>IFERROR(VLOOKUP(C516,'Employees List'!$B$2:$I$991,7,0),"")</f>
        <v/>
      </c>
      <c r="I516" s="73" t="str">
        <f>IFERROR(VLOOKUP(F516,'Employees List'!$E$1:$AE$991,6,0),"")</f>
        <v/>
      </c>
      <c r="J516" s="71">
        <f t="shared" si="3"/>
        <v>0</v>
      </c>
      <c r="K516" s="71">
        <f t="shared" si="4"/>
        <v>0</v>
      </c>
      <c r="L516" s="10" t="str">
        <f>IFERROR(VLOOKUP(B516,'Employees List'!$A$2:$K$991,11,0),"")</f>
        <v/>
      </c>
      <c r="M516" s="74" t="str">
        <f>IFERROR(VLOOKUP(D516,'Daily Attendance 25-26'!$A$4:BP999,5,0),"")</f>
        <v/>
      </c>
      <c r="N516" s="10" t="str">
        <f>IFERROR(VLOOKUP(E516,'Daily Attendance 25-26'!$A$1:$BO$1741,5,0),"")</f>
        <v/>
      </c>
      <c r="O516" s="10"/>
      <c r="P516" s="10"/>
      <c r="Q516" s="10" t="str">
        <f t="shared" si="5"/>
        <v>#DIV/0!</v>
      </c>
      <c r="R516" s="10" t="str">
        <f t="shared" si="6"/>
        <v>#DIV/0!</v>
      </c>
      <c r="S516" s="10" t="str">
        <f t="shared" si="23"/>
        <v>#DIV/0!</v>
      </c>
      <c r="T516" s="10" t="str">
        <f t="shared" si="22"/>
        <v>#DIV/0!</v>
      </c>
      <c r="U516" s="10" t="str">
        <f t="shared" si="8"/>
        <v>#DIV/0!</v>
      </c>
      <c r="V516" s="10"/>
      <c r="W516" s="10"/>
      <c r="X516" s="10"/>
      <c r="Y516" s="10"/>
      <c r="Z516" s="10"/>
      <c r="AA516" s="10"/>
      <c r="AB516" s="10"/>
      <c r="AC516" s="10"/>
      <c r="AD516" s="10"/>
      <c r="AE516" s="10"/>
      <c r="AF516" s="10"/>
    </row>
    <row r="517" hidden="1">
      <c r="A517" s="9" t="s">
        <v>734</v>
      </c>
      <c r="B517" s="84"/>
      <c r="C517" s="9"/>
      <c r="D517" s="9" t="str">
        <f t="shared" si="1"/>
        <v/>
      </c>
      <c r="E517" s="10" t="str">
        <f t="shared" si="2"/>
        <v>OT Hours</v>
      </c>
      <c r="F517" s="10" t="str">
        <f>IFERROR(VLOOKUP(C517,'Employees List'!$B$1:$I$999,4,0),"")</f>
        <v/>
      </c>
      <c r="G517" s="10" t="str">
        <f t="shared" si="21"/>
        <v>#DIV/0!</v>
      </c>
      <c r="H517" s="72" t="str">
        <f>IFERROR(VLOOKUP(C517,'Employees List'!$B$2:$I$991,7,0),"")</f>
        <v/>
      </c>
      <c r="I517" s="73" t="str">
        <f>IFERROR(VLOOKUP(F517,'Employees List'!$E$1:$AE$991,6,0),"")</f>
        <v/>
      </c>
      <c r="J517" s="71">
        <f t="shared" si="3"/>
        <v>0</v>
      </c>
      <c r="K517" s="71">
        <f t="shared" si="4"/>
        <v>0</v>
      </c>
      <c r="L517" s="10" t="str">
        <f>IFERROR(VLOOKUP(B517,'Employees List'!$A$2:$K$991,11,0),"")</f>
        <v/>
      </c>
      <c r="M517" s="74" t="str">
        <f>IFERROR(VLOOKUP(D517,'Daily Attendance 25-26'!$A$4:BP999,5,0),"")</f>
        <v/>
      </c>
      <c r="N517" s="10" t="str">
        <f>IFERROR(VLOOKUP(E517,'Daily Attendance 25-26'!$A$1:$BO$1741,5,0),"")</f>
        <v/>
      </c>
      <c r="O517" s="10"/>
      <c r="P517" s="10"/>
      <c r="Q517" s="10" t="str">
        <f t="shared" si="5"/>
        <v>#DIV/0!</v>
      </c>
      <c r="R517" s="10" t="str">
        <f t="shared" si="6"/>
        <v>#DIV/0!</v>
      </c>
      <c r="S517" s="10" t="str">
        <f t="shared" si="23"/>
        <v>#DIV/0!</v>
      </c>
      <c r="T517" s="10" t="str">
        <f t="shared" si="22"/>
        <v>#DIV/0!</v>
      </c>
      <c r="U517" s="10" t="str">
        <f t="shared" si="8"/>
        <v>#DIV/0!</v>
      </c>
      <c r="V517" s="10"/>
      <c r="W517" s="10"/>
      <c r="X517" s="10"/>
      <c r="Y517" s="10"/>
      <c r="Z517" s="10"/>
      <c r="AA517" s="10"/>
      <c r="AB517" s="10"/>
      <c r="AC517" s="10"/>
      <c r="AD517" s="10"/>
      <c r="AE517" s="10"/>
      <c r="AF517" s="10"/>
    </row>
    <row r="518" hidden="1">
      <c r="A518" s="9" t="s">
        <v>735</v>
      </c>
      <c r="B518" s="84"/>
      <c r="C518" s="9"/>
      <c r="D518" s="9" t="str">
        <f t="shared" si="1"/>
        <v/>
      </c>
      <c r="E518" s="10" t="str">
        <f t="shared" si="2"/>
        <v>OT Hours</v>
      </c>
      <c r="F518" s="10" t="str">
        <f>IFERROR(VLOOKUP(C518,'Employees List'!$B$1:$I$999,4,0),"")</f>
        <v/>
      </c>
      <c r="G518" s="10" t="str">
        <f t="shared" si="21"/>
        <v>#DIV/0!</v>
      </c>
      <c r="H518" s="72" t="str">
        <f>IFERROR(VLOOKUP(C518,'Employees List'!$B$2:$I$991,7,0),"")</f>
        <v/>
      </c>
      <c r="I518" s="73" t="str">
        <f>IFERROR(VLOOKUP(F518,'Employees List'!$E$1:$AE$991,6,0),"")</f>
        <v/>
      </c>
      <c r="J518" s="71">
        <f t="shared" si="3"/>
        <v>0</v>
      </c>
      <c r="K518" s="71">
        <f t="shared" si="4"/>
        <v>0</v>
      </c>
      <c r="L518" s="10" t="str">
        <f>IFERROR(VLOOKUP(B518,'Employees List'!$A$2:$K$991,11,0),"")</f>
        <v/>
      </c>
      <c r="M518" s="74" t="str">
        <f>IFERROR(VLOOKUP(D518,'Daily Attendance 25-26'!$A$4:BP999,5,0),"")</f>
        <v/>
      </c>
      <c r="N518" s="10" t="str">
        <f>IFERROR(VLOOKUP(E518,'Daily Attendance 25-26'!$A$1:$BO$1741,5,0),"")</f>
        <v/>
      </c>
      <c r="O518" s="10"/>
      <c r="P518" s="10"/>
      <c r="Q518" s="10" t="str">
        <f t="shared" si="5"/>
        <v>#DIV/0!</v>
      </c>
      <c r="R518" s="10" t="str">
        <f t="shared" si="6"/>
        <v>#DIV/0!</v>
      </c>
      <c r="S518" s="10" t="str">
        <f t="shared" si="23"/>
        <v>#DIV/0!</v>
      </c>
      <c r="T518" s="10" t="str">
        <f t="shared" si="22"/>
        <v>#DIV/0!</v>
      </c>
      <c r="U518" s="10" t="str">
        <f t="shared" si="8"/>
        <v>#DIV/0!</v>
      </c>
      <c r="V518" s="10"/>
      <c r="W518" s="10"/>
      <c r="X518" s="10"/>
      <c r="Y518" s="10"/>
      <c r="Z518" s="10"/>
      <c r="AA518" s="10"/>
      <c r="AB518" s="10"/>
      <c r="AC518" s="10"/>
      <c r="AD518" s="10"/>
      <c r="AE518" s="10"/>
      <c r="AF518" s="10"/>
    </row>
    <row r="519" hidden="1">
      <c r="A519" s="9" t="s">
        <v>736</v>
      </c>
      <c r="B519" s="84"/>
      <c r="C519" s="9"/>
      <c r="D519" s="9" t="str">
        <f t="shared" si="1"/>
        <v/>
      </c>
      <c r="E519" s="10" t="str">
        <f t="shared" si="2"/>
        <v>OT Hours</v>
      </c>
      <c r="F519" s="10" t="str">
        <f>IFERROR(VLOOKUP(C519,'Employees List'!$B$1:$I$999,4,0),"")</f>
        <v/>
      </c>
      <c r="G519" s="10" t="str">
        <f t="shared" si="21"/>
        <v>#DIV/0!</v>
      </c>
      <c r="H519" s="72" t="str">
        <f>IFERROR(VLOOKUP(C519,'Employees List'!$B$2:$I$991,7,0),"")</f>
        <v/>
      </c>
      <c r="I519" s="73" t="str">
        <f>IFERROR(VLOOKUP(F519,'Employees List'!$E$1:$AE$991,6,0),"")</f>
        <v/>
      </c>
      <c r="J519" s="71">
        <f t="shared" si="3"/>
        <v>0</v>
      </c>
      <c r="K519" s="71">
        <f t="shared" si="4"/>
        <v>0</v>
      </c>
      <c r="L519" s="10" t="str">
        <f>IFERROR(VLOOKUP(B519,'Employees List'!$A$2:$K$991,11,0),"")</f>
        <v/>
      </c>
      <c r="M519" s="74" t="str">
        <f>IFERROR(VLOOKUP(D519,'Daily Attendance 25-26'!$A$4:BP999,5,0),"")</f>
        <v/>
      </c>
      <c r="N519" s="10" t="str">
        <f>IFERROR(VLOOKUP(E519,'Daily Attendance 25-26'!$A$1:$BO$1741,5,0),"")</f>
        <v/>
      </c>
      <c r="O519" s="10"/>
      <c r="P519" s="10"/>
      <c r="Q519" s="10" t="str">
        <f t="shared" si="5"/>
        <v>#DIV/0!</v>
      </c>
      <c r="R519" s="10" t="str">
        <f t="shared" si="6"/>
        <v>#DIV/0!</v>
      </c>
      <c r="S519" s="10" t="str">
        <f t="shared" si="23"/>
        <v>#DIV/0!</v>
      </c>
      <c r="T519" s="10" t="str">
        <f t="shared" si="22"/>
        <v>#DIV/0!</v>
      </c>
      <c r="U519" s="10" t="str">
        <f t="shared" si="8"/>
        <v>#DIV/0!</v>
      </c>
      <c r="V519" s="10"/>
      <c r="W519" s="10"/>
      <c r="X519" s="10"/>
      <c r="Y519" s="10"/>
      <c r="Z519" s="10"/>
      <c r="AA519" s="10"/>
      <c r="AB519" s="10"/>
      <c r="AC519" s="10"/>
      <c r="AD519" s="10"/>
      <c r="AE519" s="10"/>
      <c r="AF519" s="10"/>
    </row>
    <row r="520" hidden="1">
      <c r="A520" s="9" t="s">
        <v>737</v>
      </c>
      <c r="B520" s="84"/>
      <c r="C520" s="9"/>
      <c r="D520" s="9" t="str">
        <f t="shared" si="1"/>
        <v/>
      </c>
      <c r="E520" s="10" t="str">
        <f t="shared" si="2"/>
        <v>OT Hours</v>
      </c>
      <c r="F520" s="10" t="str">
        <f>IFERROR(VLOOKUP(C520,'Employees List'!$B$1:$I$999,4,0),"")</f>
        <v/>
      </c>
      <c r="G520" s="10" t="str">
        <f t="shared" si="21"/>
        <v>#DIV/0!</v>
      </c>
      <c r="H520" s="72" t="str">
        <f>IFERROR(VLOOKUP(C520,'Employees List'!$B$2:$I$991,7,0),"")</f>
        <v/>
      </c>
      <c r="I520" s="73" t="str">
        <f>IFERROR(VLOOKUP(F520,'Employees List'!$E$1:$AE$991,6,0),"")</f>
        <v/>
      </c>
      <c r="J520" s="71">
        <f t="shared" si="3"/>
        <v>0</v>
      </c>
      <c r="K520" s="71">
        <f t="shared" si="4"/>
        <v>0</v>
      </c>
      <c r="L520" s="10" t="str">
        <f>IFERROR(VLOOKUP(B520,'Employees List'!$A$2:$K$991,11,0),"")</f>
        <v/>
      </c>
      <c r="M520" s="74" t="str">
        <f>IFERROR(VLOOKUP(D520,'Daily Attendance 25-26'!$A$4:BP999,5,0),"")</f>
        <v/>
      </c>
      <c r="N520" s="10" t="str">
        <f>IFERROR(VLOOKUP(E520,'Daily Attendance 25-26'!$A$1:$BO$1741,5,0),"")</f>
        <v/>
      </c>
      <c r="O520" s="10"/>
      <c r="P520" s="10"/>
      <c r="Q520" s="10" t="str">
        <f t="shared" si="5"/>
        <v>#DIV/0!</v>
      </c>
      <c r="R520" s="10" t="str">
        <f t="shared" si="6"/>
        <v>#DIV/0!</v>
      </c>
      <c r="S520" s="10" t="str">
        <f t="shared" si="23"/>
        <v>#DIV/0!</v>
      </c>
      <c r="T520" s="10" t="str">
        <f t="shared" si="22"/>
        <v>#DIV/0!</v>
      </c>
      <c r="U520" s="10" t="str">
        <f t="shared" si="8"/>
        <v>#DIV/0!</v>
      </c>
      <c r="V520" s="10"/>
      <c r="W520" s="10"/>
      <c r="X520" s="10"/>
      <c r="Y520" s="10"/>
      <c r="Z520" s="10"/>
      <c r="AA520" s="10"/>
      <c r="AB520" s="10"/>
      <c r="AC520" s="10"/>
      <c r="AD520" s="10"/>
      <c r="AE520" s="10"/>
      <c r="AF520" s="10"/>
    </row>
    <row r="521" hidden="1">
      <c r="A521" s="9" t="s">
        <v>738</v>
      </c>
      <c r="B521" s="84"/>
      <c r="C521" s="9"/>
      <c r="D521" s="9" t="str">
        <f t="shared" si="1"/>
        <v/>
      </c>
      <c r="E521" s="10" t="str">
        <f t="shared" si="2"/>
        <v>OT Hours</v>
      </c>
      <c r="F521" s="10" t="str">
        <f>IFERROR(VLOOKUP(C521,'Employees List'!$B$1:$I$999,4,0),"")</f>
        <v/>
      </c>
      <c r="G521" s="10" t="str">
        <f t="shared" si="21"/>
        <v>#DIV/0!</v>
      </c>
      <c r="H521" s="72" t="str">
        <f>IFERROR(VLOOKUP(C521,'Employees List'!$B$2:$I$991,7,0),"")</f>
        <v/>
      </c>
      <c r="I521" s="73" t="str">
        <f>IFERROR(VLOOKUP(F521,'Employees List'!$E$1:$AE$991,6,0),"")</f>
        <v/>
      </c>
      <c r="J521" s="71">
        <f t="shared" si="3"/>
        <v>0</v>
      </c>
      <c r="K521" s="71">
        <f t="shared" si="4"/>
        <v>0</v>
      </c>
      <c r="L521" s="10" t="str">
        <f>IFERROR(VLOOKUP(B521,'Employees List'!$A$2:$K$991,11,0),"")</f>
        <v/>
      </c>
      <c r="M521" s="74" t="str">
        <f>IFERROR(VLOOKUP(D521,'Daily Attendance 25-26'!$A$4:BP999,5,0),"")</f>
        <v/>
      </c>
      <c r="N521" s="10" t="str">
        <f>IFERROR(VLOOKUP(E521,'Daily Attendance 25-26'!$A$1:$BO$1741,5,0),"")</f>
        <v/>
      </c>
      <c r="O521" s="10"/>
      <c r="P521" s="10"/>
      <c r="Q521" s="10" t="str">
        <f t="shared" si="5"/>
        <v>#DIV/0!</v>
      </c>
      <c r="R521" s="10" t="str">
        <f t="shared" si="6"/>
        <v>#DIV/0!</v>
      </c>
      <c r="S521" s="10" t="str">
        <f t="shared" si="23"/>
        <v>#DIV/0!</v>
      </c>
      <c r="T521" s="10" t="str">
        <f t="shared" si="22"/>
        <v>#DIV/0!</v>
      </c>
      <c r="U521" s="10" t="str">
        <f t="shared" si="8"/>
        <v>#DIV/0!</v>
      </c>
      <c r="V521" s="10"/>
      <c r="W521" s="10"/>
      <c r="X521" s="10"/>
      <c r="Y521" s="10"/>
      <c r="Z521" s="10"/>
      <c r="AA521" s="10"/>
      <c r="AB521" s="10"/>
      <c r="AC521" s="10"/>
      <c r="AD521" s="10"/>
      <c r="AE521" s="10"/>
      <c r="AF521" s="10"/>
    </row>
    <row r="522" hidden="1">
      <c r="A522" s="9" t="s">
        <v>739</v>
      </c>
      <c r="B522" s="84"/>
      <c r="C522" s="9"/>
      <c r="D522" s="9" t="str">
        <f t="shared" si="1"/>
        <v/>
      </c>
      <c r="E522" s="10" t="str">
        <f t="shared" si="2"/>
        <v>OT Hours</v>
      </c>
      <c r="F522" s="10" t="str">
        <f>IFERROR(VLOOKUP(C522,'Employees List'!$B$1:$I$999,4,0),"")</f>
        <v/>
      </c>
      <c r="G522" s="10" t="str">
        <f t="shared" si="21"/>
        <v>#DIV/0!</v>
      </c>
      <c r="H522" s="72" t="str">
        <f>IFERROR(VLOOKUP(C522,'Employees List'!$B$2:$I$991,7,0),"")</f>
        <v/>
      </c>
      <c r="I522" s="73" t="str">
        <f>IFERROR(VLOOKUP(F522,'Employees List'!$E$1:$AE$991,6,0),"")</f>
        <v/>
      </c>
      <c r="J522" s="71">
        <f t="shared" si="3"/>
        <v>0</v>
      </c>
      <c r="K522" s="71">
        <f t="shared" si="4"/>
        <v>0</v>
      </c>
      <c r="L522" s="10" t="str">
        <f>IFERROR(VLOOKUP(B522,'Employees List'!$A$2:$K$991,11,0),"")</f>
        <v/>
      </c>
      <c r="M522" s="74" t="str">
        <f>IFERROR(VLOOKUP(D522,'Daily Attendance 25-26'!$A$4:BP999,5,0),"")</f>
        <v/>
      </c>
      <c r="N522" s="10" t="str">
        <f>IFERROR(VLOOKUP(E522,'Daily Attendance 25-26'!$A$1:$BO$1741,5,0),"")</f>
        <v/>
      </c>
      <c r="O522" s="10"/>
      <c r="P522" s="10"/>
      <c r="Q522" s="10" t="str">
        <f t="shared" si="5"/>
        <v>#DIV/0!</v>
      </c>
      <c r="R522" s="10" t="str">
        <f t="shared" si="6"/>
        <v>#DIV/0!</v>
      </c>
      <c r="S522" s="10" t="str">
        <f t="shared" si="23"/>
        <v>#DIV/0!</v>
      </c>
      <c r="T522" s="10" t="str">
        <f t="shared" si="22"/>
        <v>#DIV/0!</v>
      </c>
      <c r="U522" s="10" t="str">
        <f t="shared" si="8"/>
        <v>#DIV/0!</v>
      </c>
      <c r="V522" s="10"/>
      <c r="W522" s="10"/>
      <c r="X522" s="10"/>
      <c r="Y522" s="10"/>
      <c r="Z522" s="10"/>
      <c r="AA522" s="10"/>
      <c r="AB522" s="10"/>
      <c r="AC522" s="10"/>
      <c r="AD522" s="10"/>
      <c r="AE522" s="10"/>
      <c r="AF522" s="10"/>
    </row>
    <row r="523" hidden="1">
      <c r="A523" s="9" t="s">
        <v>740</v>
      </c>
      <c r="B523" s="84"/>
      <c r="C523" s="9"/>
      <c r="D523" s="9" t="str">
        <f t="shared" si="1"/>
        <v/>
      </c>
      <c r="E523" s="10" t="str">
        <f t="shared" si="2"/>
        <v>OT Hours</v>
      </c>
      <c r="F523" s="10" t="str">
        <f>IFERROR(VLOOKUP(C523,'Employees List'!$B$1:$I$999,4,0),"")</f>
        <v/>
      </c>
      <c r="G523" s="10" t="str">
        <f t="shared" si="21"/>
        <v>#DIV/0!</v>
      </c>
      <c r="H523" s="72" t="str">
        <f>IFERROR(VLOOKUP(C523,'Employees List'!$B$2:$I$991,7,0),"")</f>
        <v/>
      </c>
      <c r="I523" s="73" t="str">
        <f>IFERROR(VLOOKUP(F523,'Employees List'!$E$1:$AE$991,6,0),"")</f>
        <v/>
      </c>
      <c r="J523" s="71">
        <f t="shared" si="3"/>
        <v>0</v>
      </c>
      <c r="K523" s="71">
        <f t="shared" si="4"/>
        <v>0</v>
      </c>
      <c r="L523" s="10" t="str">
        <f>IFERROR(VLOOKUP(B523,'Employees List'!$A$2:$K$991,11,0),"")</f>
        <v/>
      </c>
      <c r="M523" s="74" t="str">
        <f>IFERROR(VLOOKUP(D523,'Daily Attendance 25-26'!$A$4:BP999,5,0),"")</f>
        <v/>
      </c>
      <c r="N523" s="10" t="str">
        <f>IFERROR(VLOOKUP(E523,'Daily Attendance 25-26'!$A$1:$BO$1741,5,0),"")</f>
        <v/>
      </c>
      <c r="O523" s="10"/>
      <c r="P523" s="10"/>
      <c r="Q523" s="10" t="str">
        <f t="shared" si="5"/>
        <v>#DIV/0!</v>
      </c>
      <c r="R523" s="10" t="str">
        <f t="shared" si="6"/>
        <v>#DIV/0!</v>
      </c>
      <c r="S523" s="10" t="str">
        <f t="shared" si="23"/>
        <v>#DIV/0!</v>
      </c>
      <c r="T523" s="10" t="str">
        <f t="shared" si="22"/>
        <v>#DIV/0!</v>
      </c>
      <c r="U523" s="10" t="str">
        <f t="shared" si="8"/>
        <v>#DIV/0!</v>
      </c>
      <c r="V523" s="10"/>
      <c r="W523" s="10"/>
      <c r="X523" s="10"/>
      <c r="Y523" s="10"/>
      <c r="Z523" s="10"/>
      <c r="AA523" s="10"/>
      <c r="AB523" s="10"/>
      <c r="AC523" s="10"/>
      <c r="AD523" s="10"/>
      <c r="AE523" s="10"/>
      <c r="AF523" s="10"/>
    </row>
    <row r="524" hidden="1">
      <c r="A524" s="9" t="s">
        <v>741</v>
      </c>
      <c r="B524" s="84"/>
      <c r="C524" s="9"/>
      <c r="D524" s="9" t="str">
        <f t="shared" si="1"/>
        <v/>
      </c>
      <c r="E524" s="10" t="str">
        <f t="shared" si="2"/>
        <v>OT Hours</v>
      </c>
      <c r="F524" s="10" t="str">
        <f>IFERROR(VLOOKUP(C524,'Employees List'!$B$1:$I$999,4,0),"")</f>
        <v/>
      </c>
      <c r="G524" s="10" t="str">
        <f t="shared" si="21"/>
        <v>#DIV/0!</v>
      </c>
      <c r="H524" s="72" t="str">
        <f>IFERROR(VLOOKUP(C524,'Employees List'!$B$2:$I$991,7,0),"")</f>
        <v/>
      </c>
      <c r="I524" s="73" t="str">
        <f>IFERROR(VLOOKUP(F524,'Employees List'!$E$1:$AE$991,6,0),"")</f>
        <v/>
      </c>
      <c r="J524" s="71">
        <f t="shared" si="3"/>
        <v>0</v>
      </c>
      <c r="K524" s="71">
        <f t="shared" si="4"/>
        <v>0</v>
      </c>
      <c r="L524" s="10" t="str">
        <f>IFERROR(VLOOKUP(B524,'Employees List'!$A$2:$K$991,11,0),"")</f>
        <v/>
      </c>
      <c r="M524" s="74" t="str">
        <f>IFERROR(VLOOKUP(D524,'Daily Attendance 25-26'!$A$4:BP999,5,0),"")</f>
        <v/>
      </c>
      <c r="N524" s="10" t="str">
        <f>IFERROR(VLOOKUP(E524,'Daily Attendance 25-26'!$A$1:$BO$1741,5,0),"")</f>
        <v/>
      </c>
      <c r="O524" s="10"/>
      <c r="P524" s="10"/>
      <c r="Q524" s="10" t="str">
        <f t="shared" si="5"/>
        <v>#DIV/0!</v>
      </c>
      <c r="R524" s="10" t="str">
        <f t="shared" si="6"/>
        <v>#DIV/0!</v>
      </c>
      <c r="S524" s="10" t="str">
        <f t="shared" si="23"/>
        <v>#DIV/0!</v>
      </c>
      <c r="T524" s="10" t="str">
        <f t="shared" si="22"/>
        <v>#DIV/0!</v>
      </c>
      <c r="U524" s="10" t="str">
        <f t="shared" si="8"/>
        <v>#DIV/0!</v>
      </c>
      <c r="V524" s="10"/>
      <c r="W524" s="10"/>
      <c r="X524" s="10"/>
      <c r="Y524" s="10"/>
      <c r="Z524" s="10"/>
      <c r="AA524" s="10"/>
      <c r="AB524" s="10"/>
      <c r="AC524" s="10"/>
      <c r="AD524" s="10"/>
      <c r="AE524" s="10"/>
      <c r="AF524" s="10"/>
    </row>
    <row r="525" hidden="1">
      <c r="A525" s="9" t="s">
        <v>742</v>
      </c>
      <c r="B525" s="84"/>
      <c r="C525" s="9"/>
      <c r="D525" s="9" t="str">
        <f t="shared" si="1"/>
        <v/>
      </c>
      <c r="E525" s="10" t="str">
        <f t="shared" si="2"/>
        <v>OT Hours</v>
      </c>
      <c r="F525" s="10" t="str">
        <f>IFERROR(VLOOKUP(C525,'Employees List'!$B$1:$I$999,4,0),"")</f>
        <v/>
      </c>
      <c r="G525" s="10" t="str">
        <f t="shared" si="21"/>
        <v>#DIV/0!</v>
      </c>
      <c r="H525" s="72" t="str">
        <f>IFERROR(VLOOKUP(C525,'Employees List'!$B$2:$I$991,7,0),"")</f>
        <v/>
      </c>
      <c r="I525" s="73" t="str">
        <f>IFERROR(VLOOKUP(F525,'Employees List'!$E$1:$AE$991,6,0),"")</f>
        <v/>
      </c>
      <c r="J525" s="71">
        <f t="shared" si="3"/>
        <v>0</v>
      </c>
      <c r="K525" s="71">
        <f t="shared" si="4"/>
        <v>0</v>
      </c>
      <c r="L525" s="10" t="str">
        <f>IFERROR(VLOOKUP(B525,'Employees List'!$A$2:$K$991,11,0),"")</f>
        <v/>
      </c>
      <c r="M525" s="74" t="str">
        <f>IFERROR(VLOOKUP(D525,'Daily Attendance 25-26'!$A$4:BP999,5,0),"")</f>
        <v/>
      </c>
      <c r="N525" s="10" t="str">
        <f>IFERROR(VLOOKUP(E525,'Daily Attendance 25-26'!$A$1:$BO$1741,5,0),"")</f>
        <v/>
      </c>
      <c r="O525" s="10"/>
      <c r="P525" s="10"/>
      <c r="Q525" s="10" t="str">
        <f t="shared" si="5"/>
        <v>#DIV/0!</v>
      </c>
      <c r="R525" s="10" t="str">
        <f t="shared" si="6"/>
        <v>#DIV/0!</v>
      </c>
      <c r="S525" s="10" t="str">
        <f t="shared" si="23"/>
        <v>#DIV/0!</v>
      </c>
      <c r="T525" s="10" t="str">
        <f t="shared" si="22"/>
        <v>#DIV/0!</v>
      </c>
      <c r="U525" s="10" t="str">
        <f t="shared" si="8"/>
        <v>#DIV/0!</v>
      </c>
      <c r="V525" s="10"/>
      <c r="W525" s="10"/>
      <c r="X525" s="10"/>
      <c r="Y525" s="10"/>
      <c r="Z525" s="10"/>
      <c r="AA525" s="10"/>
      <c r="AB525" s="10"/>
      <c r="AC525" s="10"/>
      <c r="AD525" s="10"/>
      <c r="AE525" s="10"/>
      <c r="AF525" s="10"/>
    </row>
    <row r="526" hidden="1">
      <c r="A526" s="9" t="s">
        <v>743</v>
      </c>
      <c r="B526" s="84"/>
      <c r="C526" s="9"/>
      <c r="D526" s="9" t="str">
        <f t="shared" si="1"/>
        <v/>
      </c>
      <c r="E526" s="10" t="str">
        <f t="shared" si="2"/>
        <v>OT Hours</v>
      </c>
      <c r="F526" s="10" t="str">
        <f>IFERROR(VLOOKUP(C526,'Employees List'!$B$1:$I$999,4,0),"")</f>
        <v/>
      </c>
      <c r="G526" s="10" t="str">
        <f t="shared" si="21"/>
        <v>#DIV/0!</v>
      </c>
      <c r="H526" s="72" t="str">
        <f>IFERROR(VLOOKUP(C526,'Employees List'!$B$2:$I$991,7,0),"")</f>
        <v/>
      </c>
      <c r="I526" s="73" t="str">
        <f>IFERROR(VLOOKUP(F526,'Employees List'!$E$1:$AE$991,6,0),"")</f>
        <v/>
      </c>
      <c r="J526" s="71">
        <f t="shared" si="3"/>
        <v>0</v>
      </c>
      <c r="K526" s="71">
        <f t="shared" si="4"/>
        <v>0</v>
      </c>
      <c r="L526" s="10" t="str">
        <f>IFERROR(VLOOKUP(B526,'Employees List'!$A$2:$K$991,11,0),"")</f>
        <v/>
      </c>
      <c r="M526" s="74" t="str">
        <f>IFERROR(VLOOKUP(D526,'Daily Attendance 25-26'!$A$4:BP999,5,0),"")</f>
        <v/>
      </c>
      <c r="N526" s="10" t="str">
        <f>IFERROR(VLOOKUP(E526,'Daily Attendance 25-26'!$A$1:$BO$1741,5,0),"")</f>
        <v/>
      </c>
      <c r="O526" s="10"/>
      <c r="P526" s="10"/>
      <c r="Q526" s="10" t="str">
        <f t="shared" si="5"/>
        <v>#DIV/0!</v>
      </c>
      <c r="R526" s="10" t="str">
        <f t="shared" si="6"/>
        <v>#DIV/0!</v>
      </c>
      <c r="S526" s="10" t="str">
        <f t="shared" si="23"/>
        <v>#DIV/0!</v>
      </c>
      <c r="T526" s="10" t="str">
        <f t="shared" si="22"/>
        <v>#DIV/0!</v>
      </c>
      <c r="U526" s="10" t="str">
        <f t="shared" si="8"/>
        <v>#DIV/0!</v>
      </c>
      <c r="V526" s="10"/>
      <c r="W526" s="10"/>
      <c r="X526" s="10"/>
      <c r="Y526" s="10"/>
      <c r="Z526" s="10"/>
      <c r="AA526" s="10"/>
      <c r="AB526" s="10"/>
      <c r="AC526" s="10"/>
      <c r="AD526" s="10"/>
      <c r="AE526" s="10"/>
      <c r="AF526" s="10"/>
    </row>
    <row r="527" hidden="1">
      <c r="A527" s="9" t="s">
        <v>744</v>
      </c>
      <c r="B527" s="84"/>
      <c r="C527" s="9"/>
      <c r="D527" s="9" t="str">
        <f t="shared" si="1"/>
        <v/>
      </c>
      <c r="E527" s="10" t="str">
        <f t="shared" si="2"/>
        <v>OT Hours</v>
      </c>
      <c r="F527" s="10" t="str">
        <f>IFERROR(VLOOKUP(C527,'Employees List'!$B$1:$I$999,4,0),"")</f>
        <v/>
      </c>
      <c r="G527" s="10" t="str">
        <f t="shared" si="21"/>
        <v>#DIV/0!</v>
      </c>
      <c r="H527" s="72" t="str">
        <f>IFERROR(VLOOKUP(C527,'Employees List'!$B$2:$I$991,7,0),"")</f>
        <v/>
      </c>
      <c r="I527" s="73" t="str">
        <f>IFERROR(VLOOKUP(F527,'Employees List'!$E$1:$AE$991,6,0),"")</f>
        <v/>
      </c>
      <c r="J527" s="71">
        <f t="shared" si="3"/>
        <v>0</v>
      </c>
      <c r="K527" s="71">
        <f t="shared" si="4"/>
        <v>0</v>
      </c>
      <c r="L527" s="10" t="str">
        <f>IFERROR(VLOOKUP(B527,'Employees List'!$A$2:$K$991,11,0),"")</f>
        <v/>
      </c>
      <c r="M527" s="74" t="str">
        <f>IFERROR(VLOOKUP(D527,'Daily Attendance 25-26'!$A$4:BP999,5,0),"")</f>
        <v/>
      </c>
      <c r="N527" s="10" t="str">
        <f>IFERROR(VLOOKUP(E527,'Daily Attendance 25-26'!$A$1:$BO$1741,5,0),"")</f>
        <v/>
      </c>
      <c r="O527" s="10"/>
      <c r="P527" s="10"/>
      <c r="Q527" s="10" t="str">
        <f t="shared" si="5"/>
        <v>#DIV/0!</v>
      </c>
      <c r="R527" s="10" t="str">
        <f t="shared" si="6"/>
        <v>#DIV/0!</v>
      </c>
      <c r="S527" s="10" t="str">
        <f t="shared" si="23"/>
        <v>#DIV/0!</v>
      </c>
      <c r="T527" s="10" t="str">
        <f t="shared" si="22"/>
        <v>#DIV/0!</v>
      </c>
      <c r="U527" s="10" t="str">
        <f t="shared" si="8"/>
        <v>#DIV/0!</v>
      </c>
      <c r="V527" s="10"/>
      <c r="W527" s="10"/>
      <c r="X527" s="10"/>
      <c r="Y527" s="10"/>
      <c r="Z527" s="10"/>
      <c r="AA527" s="10"/>
      <c r="AB527" s="10"/>
      <c r="AC527" s="10"/>
      <c r="AD527" s="10"/>
      <c r="AE527" s="10"/>
      <c r="AF527" s="10"/>
    </row>
    <row r="528" hidden="1">
      <c r="A528" s="9" t="s">
        <v>745</v>
      </c>
      <c r="B528" s="84"/>
      <c r="C528" s="9"/>
      <c r="D528" s="9" t="str">
        <f t="shared" si="1"/>
        <v/>
      </c>
      <c r="E528" s="10" t="str">
        <f t="shared" si="2"/>
        <v>OT Hours</v>
      </c>
      <c r="F528" s="10" t="str">
        <f>IFERROR(VLOOKUP(C528,'Employees List'!$B$1:$I$999,4,0),"")</f>
        <v/>
      </c>
      <c r="G528" s="10" t="str">
        <f t="shared" si="21"/>
        <v>#DIV/0!</v>
      </c>
      <c r="H528" s="72" t="str">
        <f>IFERROR(VLOOKUP(C528,'Employees List'!$B$2:$I$991,7,0),"")</f>
        <v/>
      </c>
      <c r="I528" s="73" t="str">
        <f>IFERROR(VLOOKUP(F528,'Employees List'!$E$1:$AE$991,6,0),"")</f>
        <v/>
      </c>
      <c r="J528" s="71">
        <f t="shared" si="3"/>
        <v>0</v>
      </c>
      <c r="K528" s="71">
        <f t="shared" si="4"/>
        <v>0</v>
      </c>
      <c r="L528" s="10" t="str">
        <f>IFERROR(VLOOKUP(B528,'Employees List'!$A$2:$K$991,11,0),"")</f>
        <v/>
      </c>
      <c r="M528" s="74" t="str">
        <f>IFERROR(VLOOKUP(D528,'Daily Attendance 25-26'!$A$4:BP999,5,0),"")</f>
        <v/>
      </c>
      <c r="N528" s="10" t="str">
        <f>IFERROR(VLOOKUP(E528,'Daily Attendance 25-26'!$A$1:$BO$1741,5,0),"")</f>
        <v/>
      </c>
      <c r="O528" s="10"/>
      <c r="P528" s="10"/>
      <c r="Q528" s="10" t="str">
        <f t="shared" si="5"/>
        <v>#DIV/0!</v>
      </c>
      <c r="R528" s="10" t="str">
        <f t="shared" si="6"/>
        <v>#DIV/0!</v>
      </c>
      <c r="S528" s="10" t="str">
        <f t="shared" si="23"/>
        <v>#DIV/0!</v>
      </c>
      <c r="T528" s="10" t="str">
        <f t="shared" si="22"/>
        <v>#DIV/0!</v>
      </c>
      <c r="U528" s="10" t="str">
        <f t="shared" si="8"/>
        <v>#DIV/0!</v>
      </c>
      <c r="V528" s="10"/>
      <c r="W528" s="10"/>
      <c r="X528" s="10"/>
      <c r="Y528" s="10"/>
      <c r="Z528" s="10"/>
      <c r="AA528" s="10"/>
      <c r="AB528" s="10"/>
      <c r="AC528" s="10"/>
      <c r="AD528" s="10"/>
      <c r="AE528" s="10"/>
      <c r="AF528" s="10"/>
    </row>
    <row r="529" hidden="1">
      <c r="A529" s="9" t="s">
        <v>746</v>
      </c>
      <c r="B529" s="84"/>
      <c r="C529" s="9"/>
      <c r="D529" s="9" t="str">
        <f t="shared" si="1"/>
        <v/>
      </c>
      <c r="E529" s="10" t="str">
        <f t="shared" si="2"/>
        <v>OT Hours</v>
      </c>
      <c r="F529" s="10" t="str">
        <f>IFERROR(VLOOKUP(C529,'Employees List'!$B$1:$I$999,4,0),"")</f>
        <v/>
      </c>
      <c r="G529" s="10" t="str">
        <f t="shared" si="21"/>
        <v>#DIV/0!</v>
      </c>
      <c r="H529" s="72" t="str">
        <f>IFERROR(VLOOKUP(C529,'Employees List'!$B$2:$I$991,7,0),"")</f>
        <v/>
      </c>
      <c r="I529" s="73" t="str">
        <f>IFERROR(VLOOKUP(F529,'Employees List'!$E$1:$AE$991,6,0),"")</f>
        <v/>
      </c>
      <c r="J529" s="71">
        <f t="shared" si="3"/>
        <v>0</v>
      </c>
      <c r="K529" s="71">
        <f t="shared" si="4"/>
        <v>0</v>
      </c>
      <c r="L529" s="10" t="str">
        <f>IFERROR(VLOOKUP(B529,'Employees List'!$A$2:$K$991,11,0),"")</f>
        <v/>
      </c>
      <c r="M529" s="74" t="str">
        <f>IFERROR(VLOOKUP(D529,'Daily Attendance 25-26'!$A$4:BP999,5,0),"")</f>
        <v/>
      </c>
      <c r="N529" s="10" t="str">
        <f>IFERROR(VLOOKUP(E529,'Daily Attendance 25-26'!$A$1:$BO$1741,5,0),"")</f>
        <v/>
      </c>
      <c r="O529" s="10"/>
      <c r="P529" s="10"/>
      <c r="Q529" s="10" t="str">
        <f t="shared" si="5"/>
        <v>#DIV/0!</v>
      </c>
      <c r="R529" s="10" t="str">
        <f t="shared" si="6"/>
        <v>#DIV/0!</v>
      </c>
      <c r="S529" s="10" t="str">
        <f t="shared" si="23"/>
        <v>#DIV/0!</v>
      </c>
      <c r="T529" s="10" t="str">
        <f t="shared" si="22"/>
        <v>#DIV/0!</v>
      </c>
      <c r="U529" s="10" t="str">
        <f t="shared" si="8"/>
        <v>#DIV/0!</v>
      </c>
      <c r="V529" s="10"/>
      <c r="W529" s="10"/>
      <c r="X529" s="10"/>
      <c r="Y529" s="10"/>
      <c r="Z529" s="10"/>
      <c r="AA529" s="10"/>
      <c r="AB529" s="10"/>
      <c r="AC529" s="10"/>
      <c r="AD529" s="10"/>
      <c r="AE529" s="10"/>
      <c r="AF529" s="10"/>
    </row>
    <row r="530" hidden="1">
      <c r="A530" s="9" t="s">
        <v>747</v>
      </c>
      <c r="B530" s="84"/>
      <c r="C530" s="9"/>
      <c r="D530" s="9" t="str">
        <f t="shared" si="1"/>
        <v/>
      </c>
      <c r="E530" s="10" t="str">
        <f t="shared" si="2"/>
        <v>OT Hours</v>
      </c>
      <c r="F530" s="10" t="str">
        <f>IFERROR(VLOOKUP(C530,'Employees List'!$B$1:$I$999,4,0),"")</f>
        <v/>
      </c>
      <c r="G530" s="10" t="str">
        <f t="shared" si="21"/>
        <v>#DIV/0!</v>
      </c>
      <c r="H530" s="72" t="str">
        <f>IFERROR(VLOOKUP(C530,'Employees List'!$B$2:$I$991,7,0),"")</f>
        <v/>
      </c>
      <c r="I530" s="73" t="str">
        <f>IFERROR(VLOOKUP(F530,'Employees List'!$E$1:$AE$991,6,0),"")</f>
        <v/>
      </c>
      <c r="J530" s="71">
        <f t="shared" si="3"/>
        <v>0</v>
      </c>
      <c r="K530" s="71">
        <f t="shared" si="4"/>
        <v>0</v>
      </c>
      <c r="L530" s="10" t="str">
        <f>IFERROR(VLOOKUP(B530,'Employees List'!$A$2:$K$991,11,0),"")</f>
        <v/>
      </c>
      <c r="M530" s="74" t="str">
        <f>IFERROR(VLOOKUP(D530,'Daily Attendance 25-26'!$A$4:BP999,5,0),"")</f>
        <v/>
      </c>
      <c r="N530" s="10" t="str">
        <f>IFERROR(VLOOKUP(E530,'Daily Attendance 25-26'!$A$1:$BO$1741,5,0),"")</f>
        <v/>
      </c>
      <c r="O530" s="10"/>
      <c r="P530" s="10"/>
      <c r="Q530" s="10" t="str">
        <f t="shared" si="5"/>
        <v>#DIV/0!</v>
      </c>
      <c r="R530" s="10" t="str">
        <f t="shared" si="6"/>
        <v>#DIV/0!</v>
      </c>
      <c r="S530" s="10" t="str">
        <f t="shared" si="23"/>
        <v>#DIV/0!</v>
      </c>
      <c r="T530" s="10" t="str">
        <f t="shared" si="22"/>
        <v>#DIV/0!</v>
      </c>
      <c r="U530" s="10" t="str">
        <f t="shared" si="8"/>
        <v>#DIV/0!</v>
      </c>
      <c r="V530" s="10"/>
      <c r="W530" s="10"/>
      <c r="X530" s="10"/>
      <c r="Y530" s="10"/>
      <c r="Z530" s="10"/>
      <c r="AA530" s="10"/>
      <c r="AB530" s="10"/>
      <c r="AC530" s="10"/>
      <c r="AD530" s="10"/>
      <c r="AE530" s="10"/>
      <c r="AF530" s="10"/>
    </row>
    <row r="531" hidden="1">
      <c r="A531" s="9" t="s">
        <v>748</v>
      </c>
      <c r="B531" s="84"/>
      <c r="C531" s="9"/>
      <c r="D531" s="9" t="str">
        <f t="shared" si="1"/>
        <v/>
      </c>
      <c r="E531" s="10" t="str">
        <f t="shared" si="2"/>
        <v>OT Hours</v>
      </c>
      <c r="F531" s="10" t="str">
        <f>IFERROR(VLOOKUP(C531,'Employees List'!$B$1:$I$999,4,0),"")</f>
        <v/>
      </c>
      <c r="G531" s="10" t="str">
        <f t="shared" si="21"/>
        <v>#DIV/0!</v>
      </c>
      <c r="H531" s="72" t="str">
        <f>IFERROR(VLOOKUP(C531,'Employees List'!$B$2:$I$991,7,0),"")</f>
        <v/>
      </c>
      <c r="I531" s="73" t="str">
        <f>IFERROR(VLOOKUP(F531,'Employees List'!$E$1:$AE$991,6,0),"")</f>
        <v/>
      </c>
      <c r="J531" s="71">
        <f t="shared" si="3"/>
        <v>0</v>
      </c>
      <c r="K531" s="71">
        <f t="shared" si="4"/>
        <v>0</v>
      </c>
      <c r="L531" s="10" t="str">
        <f>IFERROR(VLOOKUP(B531,'Employees List'!$A$2:$K$991,11,0),"")</f>
        <v/>
      </c>
      <c r="M531" s="74" t="str">
        <f>IFERROR(VLOOKUP(D531,'Daily Attendance 25-26'!$A$4:BP999,5,0),"")</f>
        <v/>
      </c>
      <c r="N531" s="10" t="str">
        <f>IFERROR(VLOOKUP(E531,'Daily Attendance 25-26'!$A$1:$BO$1741,5,0),"")</f>
        <v/>
      </c>
      <c r="O531" s="10"/>
      <c r="P531" s="10"/>
      <c r="Q531" s="10" t="str">
        <f t="shared" si="5"/>
        <v>#DIV/0!</v>
      </c>
      <c r="R531" s="10" t="str">
        <f t="shared" si="6"/>
        <v>#DIV/0!</v>
      </c>
      <c r="S531" s="10" t="str">
        <f t="shared" si="23"/>
        <v>#DIV/0!</v>
      </c>
      <c r="T531" s="10" t="str">
        <f t="shared" si="22"/>
        <v>#DIV/0!</v>
      </c>
      <c r="U531" s="10" t="str">
        <f t="shared" si="8"/>
        <v>#DIV/0!</v>
      </c>
      <c r="V531" s="10"/>
      <c r="W531" s="10"/>
      <c r="X531" s="10"/>
      <c r="Y531" s="10"/>
      <c r="Z531" s="10"/>
      <c r="AA531" s="10"/>
      <c r="AB531" s="10"/>
      <c r="AC531" s="10"/>
      <c r="AD531" s="10"/>
      <c r="AE531" s="10"/>
      <c r="AF531" s="10"/>
    </row>
    <row r="532" hidden="1">
      <c r="A532" s="9" t="s">
        <v>749</v>
      </c>
      <c r="B532" s="84"/>
      <c r="C532" s="9"/>
      <c r="D532" s="9" t="str">
        <f t="shared" si="1"/>
        <v/>
      </c>
      <c r="E532" s="10" t="str">
        <f t="shared" si="2"/>
        <v>OT Hours</v>
      </c>
      <c r="F532" s="10" t="str">
        <f>IFERROR(VLOOKUP(C532,'Employees List'!$B$1:$I$999,4,0),"")</f>
        <v/>
      </c>
      <c r="G532" s="10" t="str">
        <f t="shared" si="21"/>
        <v>#DIV/0!</v>
      </c>
      <c r="H532" s="72" t="str">
        <f>IFERROR(VLOOKUP(C532,'Employees List'!$B$2:$I$991,7,0),"")</f>
        <v/>
      </c>
      <c r="I532" s="73" t="str">
        <f>IFERROR(VLOOKUP(F532,'Employees List'!$E$1:$AE$991,6,0),"")</f>
        <v/>
      </c>
      <c r="J532" s="71">
        <f t="shared" si="3"/>
        <v>0</v>
      </c>
      <c r="K532" s="71">
        <f t="shared" si="4"/>
        <v>0</v>
      </c>
      <c r="L532" s="10" t="str">
        <f>IFERROR(VLOOKUP(B532,'Employees List'!$A$2:$K$991,11,0),"")</f>
        <v/>
      </c>
      <c r="M532" s="74" t="str">
        <f>IFERROR(VLOOKUP(D532,'Daily Attendance 25-26'!$A$4:BP999,5,0),"")</f>
        <v/>
      </c>
      <c r="N532" s="10" t="str">
        <f>IFERROR(VLOOKUP(E532,'Daily Attendance 25-26'!$A$1:$BO$1741,5,0),"")</f>
        <v/>
      </c>
      <c r="O532" s="10"/>
      <c r="P532" s="10"/>
      <c r="Q532" s="10" t="str">
        <f t="shared" si="5"/>
        <v>#DIV/0!</v>
      </c>
      <c r="R532" s="10" t="str">
        <f t="shared" si="6"/>
        <v>#DIV/0!</v>
      </c>
      <c r="S532" s="10" t="str">
        <f t="shared" si="23"/>
        <v>#DIV/0!</v>
      </c>
      <c r="T532" s="10" t="str">
        <f t="shared" si="22"/>
        <v>#DIV/0!</v>
      </c>
      <c r="U532" s="10" t="str">
        <f t="shared" si="8"/>
        <v>#DIV/0!</v>
      </c>
      <c r="V532" s="10"/>
      <c r="W532" s="10"/>
      <c r="X532" s="10"/>
      <c r="Y532" s="10"/>
      <c r="Z532" s="10"/>
      <c r="AA532" s="10"/>
      <c r="AB532" s="10"/>
      <c r="AC532" s="10"/>
      <c r="AD532" s="10"/>
      <c r="AE532" s="10"/>
      <c r="AF532" s="10"/>
    </row>
    <row r="533" hidden="1">
      <c r="A533" s="9" t="s">
        <v>750</v>
      </c>
      <c r="B533" s="84"/>
      <c r="C533" s="9"/>
      <c r="D533" s="9" t="str">
        <f t="shared" si="1"/>
        <v/>
      </c>
      <c r="E533" s="10" t="str">
        <f t="shared" si="2"/>
        <v>OT Hours</v>
      </c>
      <c r="F533" s="10" t="str">
        <f>IFERROR(VLOOKUP(C533,'Employees List'!$B$1:$I$999,4,0),"")</f>
        <v/>
      </c>
      <c r="G533" s="10" t="str">
        <f t="shared" si="21"/>
        <v>#DIV/0!</v>
      </c>
      <c r="H533" s="72" t="str">
        <f>IFERROR(VLOOKUP(C533,'Employees List'!$B$2:$I$991,7,0),"")</f>
        <v/>
      </c>
      <c r="I533" s="73" t="str">
        <f>IFERROR(VLOOKUP(F533,'Employees List'!$E$1:$AE$991,6,0),"")</f>
        <v/>
      </c>
      <c r="J533" s="71">
        <f t="shared" si="3"/>
        <v>0</v>
      </c>
      <c r="K533" s="71">
        <f t="shared" si="4"/>
        <v>0</v>
      </c>
      <c r="L533" s="10" t="str">
        <f>IFERROR(VLOOKUP(B533,'Employees List'!$A$2:$K$991,11,0),"")</f>
        <v/>
      </c>
      <c r="M533" s="74" t="str">
        <f>IFERROR(VLOOKUP(D533,'Daily Attendance 25-26'!$A$4:BP999,5,0),"")</f>
        <v/>
      </c>
      <c r="N533" s="10" t="str">
        <f>IFERROR(VLOOKUP(E533,'Daily Attendance 25-26'!$A$1:$BO$1741,5,0),"")</f>
        <v/>
      </c>
      <c r="O533" s="10"/>
      <c r="P533" s="10"/>
      <c r="Q533" s="10" t="str">
        <f t="shared" si="5"/>
        <v>#DIV/0!</v>
      </c>
      <c r="R533" s="10" t="str">
        <f t="shared" si="6"/>
        <v>#DIV/0!</v>
      </c>
      <c r="S533" s="10" t="str">
        <f t="shared" si="23"/>
        <v>#DIV/0!</v>
      </c>
      <c r="T533" s="10" t="str">
        <f t="shared" si="22"/>
        <v>#DIV/0!</v>
      </c>
      <c r="U533" s="10" t="str">
        <f t="shared" si="8"/>
        <v>#DIV/0!</v>
      </c>
      <c r="V533" s="10"/>
      <c r="W533" s="10"/>
      <c r="X533" s="10"/>
      <c r="Y533" s="10"/>
      <c r="Z533" s="10"/>
      <c r="AA533" s="10"/>
      <c r="AB533" s="10"/>
      <c r="AC533" s="10"/>
      <c r="AD533" s="10"/>
      <c r="AE533" s="10"/>
      <c r="AF533" s="10"/>
    </row>
    <row r="534" hidden="1">
      <c r="A534" s="9" t="s">
        <v>751</v>
      </c>
      <c r="B534" s="84"/>
      <c r="C534" s="9"/>
      <c r="D534" s="9" t="str">
        <f t="shared" si="1"/>
        <v/>
      </c>
      <c r="E534" s="10" t="str">
        <f t="shared" si="2"/>
        <v>OT Hours</v>
      </c>
      <c r="F534" s="10" t="str">
        <f>IFERROR(VLOOKUP(C534,'Employees List'!$B$1:$I$999,4,0),"")</f>
        <v/>
      </c>
      <c r="G534" s="10" t="str">
        <f t="shared" si="21"/>
        <v>#DIV/0!</v>
      </c>
      <c r="H534" s="72" t="str">
        <f>IFERROR(VLOOKUP(C534,'Employees List'!$B$2:$I$991,7,0),"")</f>
        <v/>
      </c>
      <c r="I534" s="73" t="str">
        <f>IFERROR(VLOOKUP(F534,'Employees List'!$E$1:$AE$991,6,0),"")</f>
        <v/>
      </c>
      <c r="J534" s="71">
        <f t="shared" si="3"/>
        <v>0</v>
      </c>
      <c r="K534" s="71">
        <f t="shared" si="4"/>
        <v>0</v>
      </c>
      <c r="L534" s="10" t="str">
        <f>IFERROR(VLOOKUP(B534,'Employees List'!$A$2:$K$991,11,0),"")</f>
        <v/>
      </c>
      <c r="M534" s="74" t="str">
        <f>IFERROR(VLOOKUP(D534,'Daily Attendance 25-26'!$A$4:BP999,5,0),"")</f>
        <v/>
      </c>
      <c r="N534" s="10" t="str">
        <f>IFERROR(VLOOKUP(E534,'Daily Attendance 25-26'!$A$1:$BO$1741,5,0),"")</f>
        <v/>
      </c>
      <c r="O534" s="10"/>
      <c r="P534" s="10"/>
      <c r="Q534" s="10" t="str">
        <f t="shared" si="5"/>
        <v>#DIV/0!</v>
      </c>
      <c r="R534" s="10" t="str">
        <f t="shared" si="6"/>
        <v>#DIV/0!</v>
      </c>
      <c r="S534" s="10" t="str">
        <f t="shared" si="23"/>
        <v>#DIV/0!</v>
      </c>
      <c r="T534" s="10" t="str">
        <f t="shared" si="22"/>
        <v>#DIV/0!</v>
      </c>
      <c r="U534" s="10" t="str">
        <f t="shared" si="8"/>
        <v>#DIV/0!</v>
      </c>
      <c r="V534" s="10"/>
      <c r="W534" s="10"/>
      <c r="X534" s="10"/>
      <c r="Y534" s="10"/>
      <c r="Z534" s="10"/>
      <c r="AA534" s="10"/>
      <c r="AB534" s="10"/>
      <c r="AC534" s="10"/>
      <c r="AD534" s="10"/>
      <c r="AE534" s="10"/>
      <c r="AF534" s="10"/>
    </row>
    <row r="535" hidden="1">
      <c r="A535" s="9" t="s">
        <v>752</v>
      </c>
      <c r="B535" s="84"/>
      <c r="C535" s="9"/>
      <c r="D535" s="9" t="str">
        <f t="shared" si="1"/>
        <v/>
      </c>
      <c r="E535" s="10" t="str">
        <f t="shared" si="2"/>
        <v>OT Hours</v>
      </c>
      <c r="F535" s="10" t="str">
        <f>IFERROR(VLOOKUP(C535,'Employees List'!$B$1:$I$999,4,0),"")</f>
        <v/>
      </c>
      <c r="G535" s="10" t="str">
        <f t="shared" si="21"/>
        <v>#DIV/0!</v>
      </c>
      <c r="H535" s="72" t="str">
        <f>IFERROR(VLOOKUP(C535,'Employees List'!$B$2:$I$991,7,0),"")</f>
        <v/>
      </c>
      <c r="I535" s="73" t="str">
        <f>IFERROR(VLOOKUP(F535,'Employees List'!$E$1:$AE$991,6,0),"")</f>
        <v/>
      </c>
      <c r="J535" s="71">
        <f t="shared" si="3"/>
        <v>0</v>
      </c>
      <c r="K535" s="71">
        <f t="shared" si="4"/>
        <v>0</v>
      </c>
      <c r="L535" s="10" t="str">
        <f>IFERROR(VLOOKUP(B535,'Employees List'!$A$2:$K$991,11,0),"")</f>
        <v/>
      </c>
      <c r="M535" s="74" t="str">
        <f>IFERROR(VLOOKUP(D535,'Daily Attendance 25-26'!$A$4:BP999,5,0),"")</f>
        <v/>
      </c>
      <c r="N535" s="10" t="str">
        <f>IFERROR(VLOOKUP(E535,'Daily Attendance 25-26'!$A$1:$BO$1741,5,0),"")</f>
        <v/>
      </c>
      <c r="O535" s="10"/>
      <c r="P535" s="10"/>
      <c r="Q535" s="10" t="str">
        <f t="shared" si="5"/>
        <v>#DIV/0!</v>
      </c>
      <c r="R535" s="10" t="str">
        <f t="shared" si="6"/>
        <v>#DIV/0!</v>
      </c>
      <c r="S535" s="10" t="str">
        <f t="shared" si="23"/>
        <v>#DIV/0!</v>
      </c>
      <c r="T535" s="10" t="str">
        <f t="shared" si="22"/>
        <v>#DIV/0!</v>
      </c>
      <c r="U535" s="10" t="str">
        <f t="shared" si="8"/>
        <v>#DIV/0!</v>
      </c>
      <c r="V535" s="10"/>
      <c r="W535" s="10"/>
      <c r="X535" s="10"/>
      <c r="Y535" s="10"/>
      <c r="Z535" s="10"/>
      <c r="AA535" s="10"/>
      <c r="AB535" s="10"/>
      <c r="AC535" s="10"/>
      <c r="AD535" s="10"/>
      <c r="AE535" s="10"/>
      <c r="AF535" s="10"/>
    </row>
    <row r="536" hidden="1">
      <c r="A536" s="9" t="s">
        <v>753</v>
      </c>
      <c r="B536" s="84"/>
      <c r="C536" s="9"/>
      <c r="D536" s="9" t="str">
        <f t="shared" si="1"/>
        <v/>
      </c>
      <c r="E536" s="10" t="str">
        <f t="shared" si="2"/>
        <v>OT Hours</v>
      </c>
      <c r="F536" s="10" t="str">
        <f>IFERROR(VLOOKUP(C536,'Employees List'!$B$1:$I$999,4,0),"")</f>
        <v/>
      </c>
      <c r="G536" s="10" t="str">
        <f t="shared" si="21"/>
        <v>#DIV/0!</v>
      </c>
      <c r="H536" s="72" t="str">
        <f>IFERROR(VLOOKUP(C536,'Employees List'!$B$2:$I$991,7,0),"")</f>
        <v/>
      </c>
      <c r="I536" s="73" t="str">
        <f>IFERROR(VLOOKUP(F536,'Employees List'!$E$1:$AE$991,6,0),"")</f>
        <v/>
      </c>
      <c r="J536" s="71">
        <f t="shared" si="3"/>
        <v>0</v>
      </c>
      <c r="K536" s="71">
        <f t="shared" si="4"/>
        <v>0</v>
      </c>
      <c r="L536" s="10" t="str">
        <f>IFERROR(VLOOKUP(B536,'Employees List'!$A$2:$K$991,11,0),"")</f>
        <v/>
      </c>
      <c r="M536" s="74" t="str">
        <f>IFERROR(VLOOKUP(D536,'Daily Attendance 25-26'!$A$4:BP999,5,0),"")</f>
        <v/>
      </c>
      <c r="N536" s="10" t="str">
        <f>IFERROR(VLOOKUP(E536,'Daily Attendance 25-26'!$A$1:$BO$1741,5,0),"")</f>
        <v/>
      </c>
      <c r="O536" s="10"/>
      <c r="P536" s="10"/>
      <c r="Q536" s="10" t="str">
        <f t="shared" si="5"/>
        <v>#DIV/0!</v>
      </c>
      <c r="R536" s="10" t="str">
        <f t="shared" si="6"/>
        <v>#DIV/0!</v>
      </c>
      <c r="S536" s="10" t="str">
        <f t="shared" si="23"/>
        <v>#DIV/0!</v>
      </c>
      <c r="T536" s="10" t="str">
        <f t="shared" si="22"/>
        <v>#DIV/0!</v>
      </c>
      <c r="U536" s="10" t="str">
        <f t="shared" si="8"/>
        <v>#DIV/0!</v>
      </c>
      <c r="V536" s="10"/>
      <c r="W536" s="10"/>
      <c r="X536" s="10"/>
      <c r="Y536" s="10"/>
      <c r="Z536" s="10"/>
      <c r="AA536" s="10"/>
      <c r="AB536" s="10"/>
      <c r="AC536" s="10"/>
      <c r="AD536" s="10"/>
      <c r="AE536" s="10"/>
      <c r="AF536" s="10"/>
    </row>
    <row r="537" hidden="1">
      <c r="A537" s="9" t="s">
        <v>754</v>
      </c>
      <c r="B537" s="84"/>
      <c r="C537" s="9"/>
      <c r="D537" s="9" t="str">
        <f t="shared" si="1"/>
        <v/>
      </c>
      <c r="E537" s="10" t="str">
        <f t="shared" si="2"/>
        <v>OT Hours</v>
      </c>
      <c r="F537" s="10" t="str">
        <f>IFERROR(VLOOKUP(C537,'Employees List'!$B$1:$I$999,4,0),"")</f>
        <v/>
      </c>
      <c r="G537" s="10" t="str">
        <f t="shared" si="21"/>
        <v>#DIV/0!</v>
      </c>
      <c r="H537" s="72" t="str">
        <f>IFERROR(VLOOKUP(C537,'Employees List'!$B$2:$I$991,7,0),"")</f>
        <v/>
      </c>
      <c r="I537" s="73" t="str">
        <f>IFERROR(VLOOKUP(F537,'Employees List'!$E$1:$AE$991,6,0),"")</f>
        <v/>
      </c>
      <c r="J537" s="71">
        <f t="shared" si="3"/>
        <v>0</v>
      </c>
      <c r="K537" s="71">
        <f t="shared" si="4"/>
        <v>0</v>
      </c>
      <c r="L537" s="10" t="str">
        <f>IFERROR(VLOOKUP(B537,'Employees List'!$A$2:$K$991,11,0),"")</f>
        <v/>
      </c>
      <c r="M537" s="74" t="str">
        <f>IFERROR(VLOOKUP(D537,'Daily Attendance 25-26'!$A$4:BP999,5,0),"")</f>
        <v/>
      </c>
      <c r="N537" s="10" t="str">
        <f>IFERROR(VLOOKUP(E537,'Daily Attendance 25-26'!$A$1:$BO$1741,5,0),"")</f>
        <v/>
      </c>
      <c r="O537" s="10"/>
      <c r="P537" s="10"/>
      <c r="Q537" s="10" t="str">
        <f t="shared" si="5"/>
        <v>#DIV/0!</v>
      </c>
      <c r="R537" s="10" t="str">
        <f t="shared" si="6"/>
        <v>#DIV/0!</v>
      </c>
      <c r="S537" s="10" t="str">
        <f t="shared" si="23"/>
        <v>#DIV/0!</v>
      </c>
      <c r="T537" s="10" t="str">
        <f t="shared" si="22"/>
        <v>#DIV/0!</v>
      </c>
      <c r="U537" s="10" t="str">
        <f t="shared" si="8"/>
        <v>#DIV/0!</v>
      </c>
      <c r="V537" s="10"/>
      <c r="W537" s="10"/>
      <c r="X537" s="10"/>
      <c r="Y537" s="10"/>
      <c r="Z537" s="10"/>
      <c r="AA537" s="10"/>
      <c r="AB537" s="10"/>
      <c r="AC537" s="10"/>
      <c r="AD537" s="10"/>
      <c r="AE537" s="10"/>
      <c r="AF537" s="10"/>
    </row>
    <row r="538" hidden="1">
      <c r="A538" s="9" t="s">
        <v>755</v>
      </c>
      <c r="B538" s="84"/>
      <c r="C538" s="9"/>
      <c r="D538" s="9" t="str">
        <f t="shared" si="1"/>
        <v/>
      </c>
      <c r="E538" s="10" t="str">
        <f t="shared" si="2"/>
        <v>OT Hours</v>
      </c>
      <c r="F538" s="10" t="str">
        <f>IFERROR(VLOOKUP(C538,'Employees List'!$B$1:$I$999,4,0),"")</f>
        <v/>
      </c>
      <c r="G538" s="10" t="str">
        <f t="shared" si="21"/>
        <v>#DIV/0!</v>
      </c>
      <c r="H538" s="72" t="str">
        <f>IFERROR(VLOOKUP(C538,'Employees List'!$B$2:$I$991,7,0),"")</f>
        <v/>
      </c>
      <c r="I538" s="73" t="str">
        <f>IFERROR(VLOOKUP(F538,'Employees List'!$E$1:$AE$991,6,0),"")</f>
        <v/>
      </c>
      <c r="J538" s="71">
        <f t="shared" si="3"/>
        <v>0</v>
      </c>
      <c r="K538" s="71">
        <f t="shared" si="4"/>
        <v>0</v>
      </c>
      <c r="L538" s="10" t="str">
        <f>IFERROR(VLOOKUP(B538,'Employees List'!$A$2:$K$991,11,0),"")</f>
        <v/>
      </c>
      <c r="M538" s="74" t="str">
        <f>IFERROR(VLOOKUP(D538,'Daily Attendance 25-26'!$A$4:BP999,5,0),"")</f>
        <v/>
      </c>
      <c r="N538" s="10" t="str">
        <f>IFERROR(VLOOKUP(E538,'Daily Attendance 25-26'!$A$1:$BO$1741,5,0),"")</f>
        <v/>
      </c>
      <c r="O538" s="10"/>
      <c r="P538" s="10"/>
      <c r="Q538" s="10" t="str">
        <f t="shared" si="5"/>
        <v>#DIV/0!</v>
      </c>
      <c r="R538" s="10" t="str">
        <f t="shared" si="6"/>
        <v>#DIV/0!</v>
      </c>
      <c r="S538" s="10" t="str">
        <f t="shared" si="23"/>
        <v>#DIV/0!</v>
      </c>
      <c r="T538" s="10" t="str">
        <f t="shared" si="22"/>
        <v>#DIV/0!</v>
      </c>
      <c r="U538" s="10" t="str">
        <f t="shared" si="8"/>
        <v>#DIV/0!</v>
      </c>
      <c r="V538" s="10"/>
      <c r="W538" s="10"/>
      <c r="X538" s="10"/>
      <c r="Y538" s="10"/>
      <c r="Z538" s="10"/>
      <c r="AA538" s="10"/>
      <c r="AB538" s="10"/>
      <c r="AC538" s="10"/>
      <c r="AD538" s="10"/>
      <c r="AE538" s="10"/>
      <c r="AF538" s="10"/>
    </row>
    <row r="539" hidden="1">
      <c r="A539" s="9" t="s">
        <v>756</v>
      </c>
      <c r="B539" s="84"/>
      <c r="C539" s="9"/>
      <c r="D539" s="9" t="str">
        <f t="shared" si="1"/>
        <v/>
      </c>
      <c r="E539" s="10" t="str">
        <f t="shared" si="2"/>
        <v>OT Hours</v>
      </c>
      <c r="F539" s="10" t="str">
        <f>IFERROR(VLOOKUP(C539,'Employees List'!$B$1:$I$999,4,0),"")</f>
        <v/>
      </c>
      <c r="G539" s="10" t="str">
        <f t="shared" si="21"/>
        <v>#DIV/0!</v>
      </c>
      <c r="H539" s="72" t="str">
        <f>IFERROR(VLOOKUP(C539,'Employees List'!$B$2:$I$991,7,0),"")</f>
        <v/>
      </c>
      <c r="I539" s="73" t="str">
        <f>IFERROR(VLOOKUP(F539,'Employees List'!$E$1:$AE$991,6,0),"")</f>
        <v/>
      </c>
      <c r="J539" s="71">
        <f t="shared" si="3"/>
        <v>0</v>
      </c>
      <c r="K539" s="71">
        <f t="shared" si="4"/>
        <v>0</v>
      </c>
      <c r="L539" s="10" t="str">
        <f>IFERROR(VLOOKUP(B539,'Employees List'!$A$2:$K$991,11,0),"")</f>
        <v/>
      </c>
      <c r="M539" s="74" t="str">
        <f>IFERROR(VLOOKUP(D539,'Daily Attendance 25-26'!$A$4:BP999,5,0),"")</f>
        <v/>
      </c>
      <c r="N539" s="10" t="str">
        <f>IFERROR(VLOOKUP(E539,'Daily Attendance 25-26'!$A$1:$BO$1741,5,0),"")</f>
        <v/>
      </c>
      <c r="O539" s="10"/>
      <c r="P539" s="10"/>
      <c r="Q539" s="10" t="str">
        <f t="shared" si="5"/>
        <v>#DIV/0!</v>
      </c>
      <c r="R539" s="10" t="str">
        <f t="shared" si="6"/>
        <v>#DIV/0!</v>
      </c>
      <c r="S539" s="10" t="str">
        <f t="shared" si="23"/>
        <v>#DIV/0!</v>
      </c>
      <c r="T539" s="10" t="str">
        <f t="shared" si="22"/>
        <v>#DIV/0!</v>
      </c>
      <c r="U539" s="10" t="str">
        <f t="shared" si="8"/>
        <v>#DIV/0!</v>
      </c>
      <c r="V539" s="10"/>
      <c r="W539" s="10"/>
      <c r="X539" s="10"/>
      <c r="Y539" s="10"/>
      <c r="Z539" s="10"/>
      <c r="AA539" s="10"/>
      <c r="AB539" s="10"/>
      <c r="AC539" s="10"/>
      <c r="AD539" s="10"/>
      <c r="AE539" s="10"/>
      <c r="AF539" s="10"/>
    </row>
    <row r="540" hidden="1">
      <c r="A540" s="9" t="s">
        <v>757</v>
      </c>
      <c r="B540" s="84"/>
      <c r="C540" s="9"/>
      <c r="D540" s="9" t="str">
        <f t="shared" si="1"/>
        <v/>
      </c>
      <c r="E540" s="10" t="str">
        <f t="shared" si="2"/>
        <v>OT Hours</v>
      </c>
      <c r="F540" s="10" t="str">
        <f>IFERROR(VLOOKUP(C540,'Employees List'!$B$1:$I$999,4,0),"")</f>
        <v/>
      </c>
      <c r="G540" s="10" t="str">
        <f t="shared" si="21"/>
        <v>#DIV/0!</v>
      </c>
      <c r="H540" s="72" t="str">
        <f>IFERROR(VLOOKUP(C540,'Employees List'!$B$2:$I$991,7,0),"")</f>
        <v/>
      </c>
      <c r="I540" s="73" t="str">
        <f>IFERROR(VLOOKUP(F540,'Employees List'!$E$1:$AE$991,6,0),"")</f>
        <v/>
      </c>
      <c r="J540" s="71">
        <f t="shared" si="3"/>
        <v>0</v>
      </c>
      <c r="K540" s="71">
        <f t="shared" si="4"/>
        <v>0</v>
      </c>
      <c r="L540" s="10" t="str">
        <f>IFERROR(VLOOKUP(B540,'Employees List'!$A$2:$K$991,11,0),"")</f>
        <v/>
      </c>
      <c r="M540" s="74" t="str">
        <f>IFERROR(VLOOKUP(D540,'Daily Attendance 25-26'!$A$4:BP999,5,0),"")</f>
        <v/>
      </c>
      <c r="N540" s="10" t="str">
        <f>IFERROR(VLOOKUP(E540,'Daily Attendance 25-26'!$A$1:$BO$1741,5,0),"")</f>
        <v/>
      </c>
      <c r="O540" s="10"/>
      <c r="P540" s="10"/>
      <c r="Q540" s="10" t="str">
        <f t="shared" si="5"/>
        <v>#DIV/0!</v>
      </c>
      <c r="R540" s="10" t="str">
        <f t="shared" si="6"/>
        <v>#DIV/0!</v>
      </c>
      <c r="S540" s="10" t="str">
        <f t="shared" si="23"/>
        <v>#DIV/0!</v>
      </c>
      <c r="T540" s="10" t="str">
        <f t="shared" si="22"/>
        <v>#DIV/0!</v>
      </c>
      <c r="U540" s="10" t="str">
        <f t="shared" si="8"/>
        <v>#DIV/0!</v>
      </c>
      <c r="V540" s="10"/>
      <c r="W540" s="10"/>
      <c r="X540" s="10"/>
      <c r="Y540" s="10"/>
      <c r="Z540" s="10"/>
      <c r="AA540" s="10"/>
      <c r="AB540" s="10"/>
      <c r="AC540" s="10"/>
      <c r="AD540" s="10"/>
      <c r="AE540" s="10"/>
      <c r="AF540" s="10"/>
    </row>
    <row r="541" hidden="1">
      <c r="A541" s="9" t="s">
        <v>758</v>
      </c>
      <c r="B541" s="84"/>
      <c r="C541" s="9"/>
      <c r="D541" s="9" t="str">
        <f t="shared" si="1"/>
        <v/>
      </c>
      <c r="E541" s="10" t="str">
        <f t="shared" si="2"/>
        <v>OT Hours</v>
      </c>
      <c r="F541" s="10" t="str">
        <f>IFERROR(VLOOKUP(C541,'Employees List'!$B$1:$I$999,4,0),"")</f>
        <v/>
      </c>
      <c r="G541" s="10" t="str">
        <f t="shared" si="21"/>
        <v>#DIV/0!</v>
      </c>
      <c r="H541" s="72" t="str">
        <f>IFERROR(VLOOKUP(C541,'Employees List'!$B$2:$I$991,7,0),"")</f>
        <v/>
      </c>
      <c r="I541" s="73" t="str">
        <f>IFERROR(VLOOKUP(F541,'Employees List'!$E$1:$AE$991,6,0),"")</f>
        <v/>
      </c>
      <c r="J541" s="71">
        <f t="shared" si="3"/>
        <v>0</v>
      </c>
      <c r="K541" s="71">
        <f t="shared" si="4"/>
        <v>0</v>
      </c>
      <c r="L541" s="10" t="str">
        <f>IFERROR(VLOOKUP(B541,'Employees List'!$A$2:$K$991,11,0),"")</f>
        <v/>
      </c>
      <c r="M541" s="74" t="str">
        <f>IFERROR(VLOOKUP(D541,'Daily Attendance 25-26'!$A$4:BP999,5,0),"")</f>
        <v/>
      </c>
      <c r="N541" s="10" t="str">
        <f>IFERROR(VLOOKUP(E541,'Daily Attendance 25-26'!$A$1:$BO$1741,5,0),"")</f>
        <v/>
      </c>
      <c r="O541" s="10"/>
      <c r="P541" s="10"/>
      <c r="Q541" s="10" t="str">
        <f t="shared" si="5"/>
        <v>#DIV/0!</v>
      </c>
      <c r="R541" s="10" t="str">
        <f t="shared" si="6"/>
        <v>#DIV/0!</v>
      </c>
      <c r="S541" s="10" t="str">
        <f t="shared" si="23"/>
        <v>#DIV/0!</v>
      </c>
      <c r="T541" s="10" t="str">
        <f t="shared" si="22"/>
        <v>#DIV/0!</v>
      </c>
      <c r="U541" s="10" t="str">
        <f t="shared" si="8"/>
        <v>#DIV/0!</v>
      </c>
      <c r="V541" s="10"/>
      <c r="W541" s="10"/>
      <c r="X541" s="10"/>
      <c r="Y541" s="10"/>
      <c r="Z541" s="10"/>
      <c r="AA541" s="10"/>
      <c r="AB541" s="10"/>
      <c r="AC541" s="10"/>
      <c r="AD541" s="10"/>
      <c r="AE541" s="10"/>
      <c r="AF541" s="10"/>
    </row>
    <row r="542" hidden="1">
      <c r="A542" s="9" t="s">
        <v>759</v>
      </c>
      <c r="B542" s="84"/>
      <c r="C542" s="9"/>
      <c r="D542" s="9" t="str">
        <f t="shared" si="1"/>
        <v/>
      </c>
      <c r="E542" s="10" t="str">
        <f t="shared" si="2"/>
        <v>OT Hours</v>
      </c>
      <c r="F542" s="10" t="str">
        <f>IFERROR(VLOOKUP(C542,'Employees List'!$B$1:$I$999,4,0),"")</f>
        <v/>
      </c>
      <c r="G542" s="10" t="str">
        <f t="shared" si="21"/>
        <v>#DIV/0!</v>
      </c>
      <c r="H542" s="72" t="str">
        <f>IFERROR(VLOOKUP(C542,'Employees List'!$B$2:$I$991,7,0),"")</f>
        <v/>
      </c>
      <c r="I542" s="73" t="str">
        <f>IFERROR(VLOOKUP(F542,'Employees List'!$E$1:$AE$991,6,0),"")</f>
        <v/>
      </c>
      <c r="J542" s="71">
        <f t="shared" si="3"/>
        <v>0</v>
      </c>
      <c r="K542" s="71">
        <f t="shared" si="4"/>
        <v>0</v>
      </c>
      <c r="L542" s="10" t="str">
        <f>IFERROR(VLOOKUP(B542,'Employees List'!$A$2:$K$991,11,0),"")</f>
        <v/>
      </c>
      <c r="M542" s="74" t="str">
        <f>IFERROR(VLOOKUP(D542,'Daily Attendance 25-26'!$A$4:BP999,5,0),"")</f>
        <v/>
      </c>
      <c r="N542" s="10" t="str">
        <f>IFERROR(VLOOKUP(E542,'Daily Attendance 25-26'!$A$1:$BO$1741,5,0),"")</f>
        <v/>
      </c>
      <c r="O542" s="10"/>
      <c r="P542" s="10"/>
      <c r="Q542" s="10" t="str">
        <f t="shared" si="5"/>
        <v>#DIV/0!</v>
      </c>
      <c r="R542" s="10" t="str">
        <f t="shared" si="6"/>
        <v>#DIV/0!</v>
      </c>
      <c r="S542" s="10" t="str">
        <f t="shared" si="23"/>
        <v>#DIV/0!</v>
      </c>
      <c r="T542" s="10" t="str">
        <f t="shared" si="22"/>
        <v>#DIV/0!</v>
      </c>
      <c r="U542" s="10" t="str">
        <f t="shared" si="8"/>
        <v>#DIV/0!</v>
      </c>
      <c r="V542" s="10"/>
      <c r="W542" s="10"/>
      <c r="X542" s="10"/>
      <c r="Y542" s="10"/>
      <c r="Z542" s="10"/>
      <c r="AA542" s="10"/>
      <c r="AB542" s="10"/>
      <c r="AC542" s="10"/>
      <c r="AD542" s="10"/>
      <c r="AE542" s="10"/>
      <c r="AF542" s="10"/>
    </row>
    <row r="543" hidden="1">
      <c r="A543" s="9" t="s">
        <v>760</v>
      </c>
      <c r="B543" s="84"/>
      <c r="C543" s="9"/>
      <c r="D543" s="9" t="str">
        <f t="shared" si="1"/>
        <v/>
      </c>
      <c r="E543" s="10" t="str">
        <f t="shared" si="2"/>
        <v>OT Hours</v>
      </c>
      <c r="F543" s="10" t="str">
        <f>IFERROR(VLOOKUP(C543,'Employees List'!$B$1:$I$999,4,0),"")</f>
        <v/>
      </c>
      <c r="G543" s="10" t="str">
        <f t="shared" si="21"/>
        <v>#DIV/0!</v>
      </c>
      <c r="H543" s="72" t="str">
        <f>IFERROR(VLOOKUP(C543,'Employees List'!$B$2:$I$991,7,0),"")</f>
        <v/>
      </c>
      <c r="I543" s="73" t="str">
        <f>IFERROR(VLOOKUP(F543,'Employees List'!$E$1:$AE$991,6,0),"")</f>
        <v/>
      </c>
      <c r="J543" s="71">
        <f t="shared" si="3"/>
        <v>0</v>
      </c>
      <c r="K543" s="71">
        <f t="shared" si="4"/>
        <v>0</v>
      </c>
      <c r="L543" s="10" t="str">
        <f>IFERROR(VLOOKUP(B543,'Employees List'!$A$2:$K$991,11,0),"")</f>
        <v/>
      </c>
      <c r="M543" s="74" t="str">
        <f>IFERROR(VLOOKUP(D543,'Daily Attendance 25-26'!$A$4:BP999,5,0),"")</f>
        <v/>
      </c>
      <c r="N543" s="10" t="str">
        <f>IFERROR(VLOOKUP(E543,'Daily Attendance 25-26'!$A$1:$BO$1741,5,0),"")</f>
        <v/>
      </c>
      <c r="O543" s="10"/>
      <c r="P543" s="10"/>
      <c r="Q543" s="10" t="str">
        <f t="shared" si="5"/>
        <v>#DIV/0!</v>
      </c>
      <c r="R543" s="10" t="str">
        <f t="shared" si="6"/>
        <v>#DIV/0!</v>
      </c>
      <c r="S543" s="10" t="str">
        <f t="shared" si="23"/>
        <v>#DIV/0!</v>
      </c>
      <c r="T543" s="10" t="str">
        <f t="shared" si="22"/>
        <v>#DIV/0!</v>
      </c>
      <c r="U543" s="10" t="str">
        <f t="shared" si="8"/>
        <v>#DIV/0!</v>
      </c>
      <c r="V543" s="10"/>
      <c r="W543" s="10"/>
      <c r="X543" s="10"/>
      <c r="Y543" s="10"/>
      <c r="Z543" s="10"/>
      <c r="AA543" s="10"/>
      <c r="AB543" s="10"/>
      <c r="AC543" s="10"/>
      <c r="AD543" s="10"/>
      <c r="AE543" s="10"/>
      <c r="AF543" s="10"/>
    </row>
    <row r="544" hidden="1">
      <c r="A544" s="9" t="s">
        <v>761</v>
      </c>
      <c r="B544" s="84"/>
      <c r="C544" s="9"/>
      <c r="D544" s="9" t="str">
        <f t="shared" si="1"/>
        <v/>
      </c>
      <c r="E544" s="10" t="str">
        <f t="shared" si="2"/>
        <v>OT Hours</v>
      </c>
      <c r="F544" s="10" t="str">
        <f>IFERROR(VLOOKUP(C544,'Employees List'!$B$1:$I$999,4,0),"")</f>
        <v/>
      </c>
      <c r="G544" s="10" t="str">
        <f t="shared" si="21"/>
        <v>#DIV/0!</v>
      </c>
      <c r="H544" s="72" t="str">
        <f>IFERROR(VLOOKUP(C544,'Employees List'!$B$2:$I$991,7,0),"")</f>
        <v/>
      </c>
      <c r="I544" s="73" t="str">
        <f>IFERROR(VLOOKUP(F544,'Employees List'!$E$1:$AE$991,6,0),"")</f>
        <v/>
      </c>
      <c r="J544" s="71">
        <f t="shared" si="3"/>
        <v>0</v>
      </c>
      <c r="K544" s="71">
        <f t="shared" si="4"/>
        <v>0</v>
      </c>
      <c r="L544" s="10" t="str">
        <f>IFERROR(VLOOKUP(B544,'Employees List'!$A$2:$K$991,11,0),"")</f>
        <v/>
      </c>
      <c r="M544" s="74" t="str">
        <f>IFERROR(VLOOKUP(D544,'Daily Attendance 25-26'!$A$4:BP999,5,0),"")</f>
        <v/>
      </c>
      <c r="N544" s="10" t="str">
        <f>IFERROR(VLOOKUP(E544,'Daily Attendance 25-26'!$A$1:$BO$1741,5,0),"")</f>
        <v/>
      </c>
      <c r="O544" s="10"/>
      <c r="P544" s="10"/>
      <c r="Q544" s="10" t="str">
        <f t="shared" si="5"/>
        <v>#DIV/0!</v>
      </c>
      <c r="R544" s="10" t="str">
        <f t="shared" si="6"/>
        <v>#DIV/0!</v>
      </c>
      <c r="S544" s="10" t="str">
        <f t="shared" si="23"/>
        <v>#DIV/0!</v>
      </c>
      <c r="T544" s="10" t="str">
        <f t="shared" si="22"/>
        <v>#DIV/0!</v>
      </c>
      <c r="U544" s="10" t="str">
        <f t="shared" si="8"/>
        <v>#DIV/0!</v>
      </c>
      <c r="V544" s="10"/>
      <c r="W544" s="10"/>
      <c r="X544" s="10"/>
      <c r="Y544" s="10"/>
      <c r="Z544" s="10"/>
      <c r="AA544" s="10"/>
      <c r="AB544" s="10"/>
      <c r="AC544" s="10"/>
      <c r="AD544" s="10"/>
      <c r="AE544" s="10"/>
      <c r="AF544" s="10"/>
    </row>
    <row r="545" hidden="1">
      <c r="A545" s="9" t="s">
        <v>762</v>
      </c>
      <c r="B545" s="84"/>
      <c r="C545" s="9"/>
      <c r="D545" s="9" t="str">
        <f t="shared" si="1"/>
        <v/>
      </c>
      <c r="E545" s="10" t="str">
        <f t="shared" si="2"/>
        <v>OT Hours</v>
      </c>
      <c r="F545" s="10" t="str">
        <f>IFERROR(VLOOKUP(C545,'Employees List'!$B$1:$I$999,4,0),"")</f>
        <v/>
      </c>
      <c r="G545" s="10" t="str">
        <f t="shared" si="21"/>
        <v>#DIV/0!</v>
      </c>
      <c r="H545" s="72" t="str">
        <f>IFERROR(VLOOKUP(C545,'Employees List'!$B$2:$I$991,7,0),"")</f>
        <v/>
      </c>
      <c r="I545" s="73" t="str">
        <f>IFERROR(VLOOKUP(F545,'Employees List'!$E$1:$AE$991,6,0),"")</f>
        <v/>
      </c>
      <c r="J545" s="71">
        <f t="shared" si="3"/>
        <v>0</v>
      </c>
      <c r="K545" s="71">
        <f t="shared" si="4"/>
        <v>0</v>
      </c>
      <c r="L545" s="10" t="str">
        <f>IFERROR(VLOOKUP(B545,'Employees List'!$A$2:$K$991,11,0),"")</f>
        <v/>
      </c>
      <c r="M545" s="74" t="str">
        <f>IFERROR(VLOOKUP(D545,'Daily Attendance 25-26'!$A$4:BP999,5,0),"")</f>
        <v/>
      </c>
      <c r="N545" s="10" t="str">
        <f>IFERROR(VLOOKUP(E545,'Daily Attendance 25-26'!$A$1:$BO$1741,5,0),"")</f>
        <v/>
      </c>
      <c r="O545" s="10"/>
      <c r="P545" s="10"/>
      <c r="Q545" s="10" t="str">
        <f t="shared" si="5"/>
        <v>#DIV/0!</v>
      </c>
      <c r="R545" s="10" t="str">
        <f t="shared" si="6"/>
        <v>#DIV/0!</v>
      </c>
      <c r="S545" s="10" t="str">
        <f t="shared" si="23"/>
        <v>#DIV/0!</v>
      </c>
      <c r="T545" s="10" t="str">
        <f t="shared" si="22"/>
        <v>#DIV/0!</v>
      </c>
      <c r="U545" s="10" t="str">
        <f t="shared" si="8"/>
        <v>#DIV/0!</v>
      </c>
      <c r="V545" s="10"/>
      <c r="W545" s="10"/>
      <c r="X545" s="10"/>
      <c r="Y545" s="10"/>
      <c r="Z545" s="10"/>
      <c r="AA545" s="10"/>
      <c r="AB545" s="10"/>
      <c r="AC545" s="10"/>
      <c r="AD545" s="10"/>
      <c r="AE545" s="10"/>
      <c r="AF545" s="10"/>
    </row>
    <row r="546" hidden="1">
      <c r="A546" s="9" t="s">
        <v>763</v>
      </c>
      <c r="B546" s="84"/>
      <c r="C546" s="9"/>
      <c r="D546" s="9" t="str">
        <f t="shared" si="1"/>
        <v/>
      </c>
      <c r="E546" s="10" t="str">
        <f t="shared" si="2"/>
        <v>OT Hours</v>
      </c>
      <c r="F546" s="10" t="str">
        <f>IFERROR(VLOOKUP(C546,'Employees List'!$B$1:$I$999,4,0),"")</f>
        <v/>
      </c>
      <c r="G546" s="10" t="str">
        <f t="shared" si="21"/>
        <v>#DIV/0!</v>
      </c>
      <c r="H546" s="72" t="str">
        <f>IFERROR(VLOOKUP(C546,'Employees List'!$B$2:$I$991,7,0),"")</f>
        <v/>
      </c>
      <c r="I546" s="73" t="str">
        <f>IFERROR(VLOOKUP(F546,'Employees List'!$E$1:$AE$991,6,0),"")</f>
        <v/>
      </c>
      <c r="J546" s="71">
        <f t="shared" si="3"/>
        <v>0</v>
      </c>
      <c r="K546" s="71">
        <f t="shared" si="4"/>
        <v>0</v>
      </c>
      <c r="L546" s="10" t="str">
        <f>IFERROR(VLOOKUP(B546,'Employees List'!$A$2:$K$991,11,0),"")</f>
        <v/>
      </c>
      <c r="M546" s="74" t="str">
        <f>IFERROR(VLOOKUP(D546,'Daily Attendance 25-26'!$A$4:BP999,5,0),"")</f>
        <v/>
      </c>
      <c r="N546" s="10" t="str">
        <f>IFERROR(VLOOKUP(E546,'Daily Attendance 25-26'!$A$1:$BO$1741,5,0),"")</f>
        <v/>
      </c>
      <c r="O546" s="10"/>
      <c r="P546" s="10"/>
      <c r="Q546" s="10" t="str">
        <f t="shared" si="5"/>
        <v>#DIV/0!</v>
      </c>
      <c r="R546" s="10" t="str">
        <f t="shared" si="6"/>
        <v>#DIV/0!</v>
      </c>
      <c r="S546" s="10" t="str">
        <f t="shared" si="23"/>
        <v>#DIV/0!</v>
      </c>
      <c r="T546" s="10" t="str">
        <f t="shared" si="22"/>
        <v>#DIV/0!</v>
      </c>
      <c r="U546" s="10" t="str">
        <f t="shared" si="8"/>
        <v>#DIV/0!</v>
      </c>
      <c r="V546" s="10"/>
      <c r="W546" s="10"/>
      <c r="X546" s="10"/>
      <c r="Y546" s="10"/>
      <c r="Z546" s="10"/>
      <c r="AA546" s="10"/>
      <c r="AB546" s="10"/>
      <c r="AC546" s="10"/>
      <c r="AD546" s="10"/>
      <c r="AE546" s="10"/>
      <c r="AF546" s="10"/>
    </row>
    <row r="547" hidden="1">
      <c r="A547" s="9" t="s">
        <v>764</v>
      </c>
      <c r="B547" s="84"/>
      <c r="C547" s="9"/>
      <c r="D547" s="9" t="str">
        <f t="shared" si="1"/>
        <v/>
      </c>
      <c r="E547" s="10" t="str">
        <f t="shared" si="2"/>
        <v>OT Hours</v>
      </c>
      <c r="F547" s="10" t="str">
        <f>IFERROR(VLOOKUP(C547,'Employees List'!$B$1:$I$999,4,0),"")</f>
        <v/>
      </c>
      <c r="G547" s="10" t="str">
        <f t="shared" si="21"/>
        <v>#DIV/0!</v>
      </c>
      <c r="H547" s="72" t="str">
        <f>IFERROR(VLOOKUP(C547,'Employees List'!$B$2:$I$991,7,0),"")</f>
        <v/>
      </c>
      <c r="I547" s="73" t="str">
        <f>IFERROR(VLOOKUP(F547,'Employees List'!$E$1:$AE$991,6,0),"")</f>
        <v/>
      </c>
      <c r="J547" s="71">
        <f t="shared" si="3"/>
        <v>0</v>
      </c>
      <c r="K547" s="71">
        <f t="shared" si="4"/>
        <v>0</v>
      </c>
      <c r="L547" s="10" t="str">
        <f>IFERROR(VLOOKUP(B547,'Employees List'!$A$2:$K$991,11,0),"")</f>
        <v/>
      </c>
      <c r="M547" s="74" t="str">
        <f>IFERROR(VLOOKUP(D547,'Daily Attendance 25-26'!$A$4:BP999,5,0),"")</f>
        <v/>
      </c>
      <c r="N547" s="10" t="str">
        <f>IFERROR(VLOOKUP(E547,'Daily Attendance 25-26'!$A$1:$BO$1741,5,0),"")</f>
        <v/>
      </c>
      <c r="O547" s="10"/>
      <c r="P547" s="10"/>
      <c r="Q547" s="10" t="str">
        <f t="shared" si="5"/>
        <v>#DIV/0!</v>
      </c>
      <c r="R547" s="10" t="str">
        <f t="shared" si="6"/>
        <v>#DIV/0!</v>
      </c>
      <c r="S547" s="10" t="str">
        <f t="shared" si="23"/>
        <v>#DIV/0!</v>
      </c>
      <c r="T547" s="10" t="str">
        <f t="shared" si="22"/>
        <v>#DIV/0!</v>
      </c>
      <c r="U547" s="10" t="str">
        <f t="shared" si="8"/>
        <v>#DIV/0!</v>
      </c>
      <c r="V547" s="10"/>
      <c r="W547" s="10"/>
      <c r="X547" s="10"/>
      <c r="Y547" s="10"/>
      <c r="Z547" s="10"/>
      <c r="AA547" s="10"/>
      <c r="AB547" s="10"/>
      <c r="AC547" s="10"/>
      <c r="AD547" s="10"/>
      <c r="AE547" s="10"/>
      <c r="AF547" s="10"/>
    </row>
    <row r="548" hidden="1">
      <c r="A548" s="9" t="s">
        <v>765</v>
      </c>
      <c r="B548" s="84"/>
      <c r="C548" s="9"/>
      <c r="D548" s="9" t="str">
        <f t="shared" si="1"/>
        <v/>
      </c>
      <c r="E548" s="10" t="str">
        <f t="shared" si="2"/>
        <v>OT Hours</v>
      </c>
      <c r="F548" s="10" t="str">
        <f>IFERROR(VLOOKUP(C548,'Employees List'!$B$1:$I$999,4,0),"")</f>
        <v/>
      </c>
      <c r="G548" s="10" t="str">
        <f t="shared" si="21"/>
        <v>#DIV/0!</v>
      </c>
      <c r="H548" s="72" t="str">
        <f>IFERROR(VLOOKUP(C548,'Employees List'!$B$2:$I$991,7,0),"")</f>
        <v/>
      </c>
      <c r="I548" s="73" t="str">
        <f>IFERROR(VLOOKUP(F548,'Employees List'!$E$1:$AE$991,6,0),"")</f>
        <v/>
      </c>
      <c r="J548" s="71">
        <f t="shared" si="3"/>
        <v>0</v>
      </c>
      <c r="K548" s="71">
        <f t="shared" si="4"/>
        <v>0</v>
      </c>
      <c r="L548" s="10" t="str">
        <f>IFERROR(VLOOKUP(B548,'Employees List'!$A$2:$K$991,11,0),"")</f>
        <v/>
      </c>
      <c r="M548" s="74" t="str">
        <f>IFERROR(VLOOKUP(D548,'Daily Attendance 25-26'!$A$4:BP999,5,0),"")</f>
        <v/>
      </c>
      <c r="N548" s="10" t="str">
        <f>IFERROR(VLOOKUP(E548,'Daily Attendance 25-26'!$A$1:$BO$1741,5,0),"")</f>
        <v/>
      </c>
      <c r="O548" s="10"/>
      <c r="P548" s="10"/>
      <c r="Q548" s="10" t="str">
        <f t="shared" si="5"/>
        <v>#DIV/0!</v>
      </c>
      <c r="R548" s="10" t="str">
        <f t="shared" si="6"/>
        <v>#DIV/0!</v>
      </c>
      <c r="S548" s="10" t="str">
        <f t="shared" si="23"/>
        <v>#DIV/0!</v>
      </c>
      <c r="T548" s="10" t="str">
        <f t="shared" si="22"/>
        <v>#DIV/0!</v>
      </c>
      <c r="U548" s="10" t="str">
        <f t="shared" si="8"/>
        <v>#DIV/0!</v>
      </c>
      <c r="V548" s="10"/>
      <c r="W548" s="10"/>
      <c r="X548" s="10"/>
      <c r="Y548" s="10"/>
      <c r="Z548" s="10"/>
      <c r="AA548" s="10"/>
      <c r="AB548" s="10"/>
      <c r="AC548" s="10"/>
      <c r="AD548" s="10"/>
      <c r="AE548" s="10"/>
      <c r="AF548" s="10"/>
    </row>
    <row r="549" hidden="1">
      <c r="A549" s="9" t="s">
        <v>766</v>
      </c>
      <c r="B549" s="84"/>
      <c r="C549" s="9"/>
      <c r="D549" s="9" t="str">
        <f t="shared" si="1"/>
        <v/>
      </c>
      <c r="E549" s="10" t="str">
        <f t="shared" si="2"/>
        <v>OT Hours</v>
      </c>
      <c r="F549" s="10" t="str">
        <f>IFERROR(VLOOKUP(C549,'Employees List'!$B$1:$I$999,4,0),"")</f>
        <v/>
      </c>
      <c r="G549" s="10" t="str">
        <f t="shared" si="21"/>
        <v>#DIV/0!</v>
      </c>
      <c r="H549" s="72" t="str">
        <f>IFERROR(VLOOKUP(C549,'Employees List'!$B$2:$I$991,7,0),"")</f>
        <v/>
      </c>
      <c r="I549" s="73" t="str">
        <f>IFERROR(VLOOKUP(F549,'Employees List'!$E$1:$AE$991,6,0),"")</f>
        <v/>
      </c>
      <c r="J549" s="71">
        <f t="shared" si="3"/>
        <v>0</v>
      </c>
      <c r="K549" s="71">
        <f t="shared" si="4"/>
        <v>0</v>
      </c>
      <c r="L549" s="10" t="str">
        <f>IFERROR(VLOOKUP(B549,'Employees List'!$A$2:$K$991,11,0),"")</f>
        <v/>
      </c>
      <c r="M549" s="74" t="str">
        <f>IFERROR(VLOOKUP(D549,'Daily Attendance 25-26'!$A$4:BP999,5,0),"")</f>
        <v/>
      </c>
      <c r="N549" s="10" t="str">
        <f>IFERROR(VLOOKUP(E549,'Daily Attendance 25-26'!$A$1:$BO$1741,5,0),"")</f>
        <v/>
      </c>
      <c r="O549" s="10"/>
      <c r="P549" s="10"/>
      <c r="Q549" s="10" t="str">
        <f t="shared" si="5"/>
        <v>#DIV/0!</v>
      </c>
      <c r="R549" s="10" t="str">
        <f t="shared" si="6"/>
        <v>#DIV/0!</v>
      </c>
      <c r="S549" s="10" t="str">
        <f t="shared" si="23"/>
        <v>#DIV/0!</v>
      </c>
      <c r="T549" s="10" t="str">
        <f t="shared" si="22"/>
        <v>#DIV/0!</v>
      </c>
      <c r="U549" s="10" t="str">
        <f t="shared" si="8"/>
        <v>#DIV/0!</v>
      </c>
      <c r="V549" s="10"/>
      <c r="W549" s="10"/>
      <c r="X549" s="10"/>
      <c r="Y549" s="10"/>
      <c r="Z549" s="10"/>
      <c r="AA549" s="10"/>
      <c r="AB549" s="10"/>
      <c r="AC549" s="10"/>
      <c r="AD549" s="10"/>
      <c r="AE549" s="10"/>
      <c r="AF549" s="10"/>
    </row>
    <row r="550" hidden="1">
      <c r="A550" s="9" t="s">
        <v>767</v>
      </c>
      <c r="B550" s="84"/>
      <c r="C550" s="9"/>
      <c r="D550" s="9" t="str">
        <f t="shared" si="1"/>
        <v/>
      </c>
      <c r="E550" s="10" t="str">
        <f t="shared" si="2"/>
        <v>OT Hours</v>
      </c>
      <c r="F550" s="10" t="str">
        <f>IFERROR(VLOOKUP(C550,'Employees List'!$B$1:$I$999,4,0),"")</f>
        <v/>
      </c>
      <c r="G550" s="10" t="str">
        <f t="shared" si="21"/>
        <v>#DIV/0!</v>
      </c>
      <c r="H550" s="72" t="str">
        <f>IFERROR(VLOOKUP(C550,'Employees List'!$B$2:$I$991,7,0),"")</f>
        <v/>
      </c>
      <c r="I550" s="73" t="str">
        <f>IFERROR(VLOOKUP(F550,'Employees List'!$E$1:$AE$991,6,0),"")</f>
        <v/>
      </c>
      <c r="J550" s="71">
        <f t="shared" si="3"/>
        <v>0</v>
      </c>
      <c r="K550" s="71">
        <f t="shared" si="4"/>
        <v>0</v>
      </c>
      <c r="L550" s="10" t="str">
        <f>IFERROR(VLOOKUP(B550,'Employees List'!$A$2:$K$991,11,0),"")</f>
        <v/>
      </c>
      <c r="M550" s="74" t="str">
        <f>IFERROR(VLOOKUP(D550,'Daily Attendance 25-26'!$A$4:BP999,5,0),"")</f>
        <v/>
      </c>
      <c r="N550" s="10" t="str">
        <f>IFERROR(VLOOKUP(E550,'Daily Attendance 25-26'!$A$1:$BO$1741,5,0),"")</f>
        <v/>
      </c>
      <c r="O550" s="10"/>
      <c r="P550" s="10"/>
      <c r="Q550" s="10" t="str">
        <f t="shared" si="5"/>
        <v>#DIV/0!</v>
      </c>
      <c r="R550" s="10" t="str">
        <f t="shared" si="6"/>
        <v>#DIV/0!</v>
      </c>
      <c r="S550" s="10" t="str">
        <f t="shared" si="23"/>
        <v>#DIV/0!</v>
      </c>
      <c r="T550" s="10" t="str">
        <f t="shared" si="22"/>
        <v>#DIV/0!</v>
      </c>
      <c r="U550" s="10" t="str">
        <f t="shared" si="8"/>
        <v>#DIV/0!</v>
      </c>
      <c r="V550" s="10"/>
      <c r="W550" s="10"/>
      <c r="X550" s="10"/>
      <c r="Y550" s="10"/>
      <c r="Z550" s="10"/>
      <c r="AA550" s="10"/>
      <c r="AB550" s="10"/>
      <c r="AC550" s="10"/>
      <c r="AD550" s="10"/>
      <c r="AE550" s="10"/>
      <c r="AF550" s="10"/>
    </row>
    <row r="551" hidden="1">
      <c r="A551" s="9" t="s">
        <v>768</v>
      </c>
      <c r="B551" s="84"/>
      <c r="C551" s="9"/>
      <c r="D551" s="9" t="str">
        <f t="shared" si="1"/>
        <v/>
      </c>
      <c r="E551" s="10" t="str">
        <f t="shared" si="2"/>
        <v>OT Hours</v>
      </c>
      <c r="F551" s="10" t="str">
        <f>IFERROR(VLOOKUP(C551,'Employees List'!$B$1:$I$999,4,0),"")</f>
        <v/>
      </c>
      <c r="G551" s="10" t="str">
        <f t="shared" si="21"/>
        <v>#DIV/0!</v>
      </c>
      <c r="H551" s="72" t="str">
        <f>IFERROR(VLOOKUP(C551,'Employees List'!$B$2:$I$991,7,0),"")</f>
        <v/>
      </c>
      <c r="I551" s="73" t="str">
        <f>IFERROR(VLOOKUP(F551,'Employees List'!$E$1:$AE$991,6,0),"")</f>
        <v/>
      </c>
      <c r="J551" s="71">
        <f t="shared" si="3"/>
        <v>0</v>
      </c>
      <c r="K551" s="71">
        <f t="shared" si="4"/>
        <v>0</v>
      </c>
      <c r="L551" s="10" t="str">
        <f>IFERROR(VLOOKUP(B551,'Employees List'!$A$2:$K$991,11,0),"")</f>
        <v/>
      </c>
      <c r="M551" s="74" t="str">
        <f>IFERROR(VLOOKUP(D551,'Daily Attendance 25-26'!$A$4:BP999,5,0),"")</f>
        <v/>
      </c>
      <c r="N551" s="10" t="str">
        <f>IFERROR(VLOOKUP(E551,'Daily Attendance 25-26'!$A$1:$BO$1741,5,0),"")</f>
        <v/>
      </c>
      <c r="O551" s="10"/>
      <c r="P551" s="10"/>
      <c r="Q551" s="10" t="str">
        <f t="shared" si="5"/>
        <v>#DIV/0!</v>
      </c>
      <c r="R551" s="10" t="str">
        <f t="shared" si="6"/>
        <v>#DIV/0!</v>
      </c>
      <c r="S551" s="10" t="str">
        <f t="shared" si="23"/>
        <v>#DIV/0!</v>
      </c>
      <c r="T551" s="10" t="str">
        <f t="shared" si="22"/>
        <v>#DIV/0!</v>
      </c>
      <c r="U551" s="10" t="str">
        <f t="shared" si="8"/>
        <v>#DIV/0!</v>
      </c>
      <c r="V551" s="10"/>
      <c r="W551" s="10"/>
      <c r="X551" s="10"/>
      <c r="Y551" s="10"/>
      <c r="Z551" s="10"/>
      <c r="AA551" s="10"/>
      <c r="AB551" s="10"/>
      <c r="AC551" s="10"/>
      <c r="AD551" s="10"/>
      <c r="AE551" s="10"/>
      <c r="AF551" s="10"/>
    </row>
    <row r="552" hidden="1">
      <c r="A552" s="9" t="s">
        <v>769</v>
      </c>
      <c r="B552" s="84"/>
      <c r="C552" s="9"/>
      <c r="D552" s="9" t="str">
        <f t="shared" si="1"/>
        <v/>
      </c>
      <c r="E552" s="10" t="str">
        <f t="shared" si="2"/>
        <v>OT Hours</v>
      </c>
      <c r="F552" s="10" t="str">
        <f>IFERROR(VLOOKUP(C552,'Employees List'!$B$1:$I$999,4,0),"")</f>
        <v/>
      </c>
      <c r="G552" s="10" t="str">
        <f t="shared" si="21"/>
        <v>#DIV/0!</v>
      </c>
      <c r="H552" s="72" t="str">
        <f>IFERROR(VLOOKUP(C552,'Employees List'!$B$2:$I$991,7,0),"")</f>
        <v/>
      </c>
      <c r="I552" s="73" t="str">
        <f>IFERROR(VLOOKUP(F552,'Employees List'!$E$1:$AE$991,6,0),"")</f>
        <v/>
      </c>
      <c r="J552" s="71">
        <f t="shared" si="3"/>
        <v>0</v>
      </c>
      <c r="K552" s="71">
        <f t="shared" si="4"/>
        <v>0</v>
      </c>
      <c r="L552" s="10" t="str">
        <f>IFERROR(VLOOKUP(B552,'Employees List'!$A$2:$K$991,11,0),"")</f>
        <v/>
      </c>
      <c r="M552" s="74" t="str">
        <f>IFERROR(VLOOKUP(D552,'Daily Attendance 25-26'!$A$4:BP999,5,0),"")</f>
        <v/>
      </c>
      <c r="N552" s="10" t="str">
        <f>IFERROR(VLOOKUP(E552,'Daily Attendance 25-26'!$A$1:$BO$1741,5,0),"")</f>
        <v/>
      </c>
      <c r="O552" s="10"/>
      <c r="P552" s="10"/>
      <c r="Q552" s="10" t="str">
        <f t="shared" si="5"/>
        <v>#DIV/0!</v>
      </c>
      <c r="R552" s="10" t="str">
        <f t="shared" si="6"/>
        <v>#DIV/0!</v>
      </c>
      <c r="S552" s="10" t="str">
        <f t="shared" si="23"/>
        <v>#DIV/0!</v>
      </c>
      <c r="T552" s="10" t="str">
        <f t="shared" si="22"/>
        <v>#DIV/0!</v>
      </c>
      <c r="U552" s="10" t="str">
        <f t="shared" si="8"/>
        <v>#DIV/0!</v>
      </c>
      <c r="V552" s="10"/>
      <c r="W552" s="10"/>
      <c r="X552" s="10"/>
      <c r="Y552" s="10"/>
      <c r="Z552" s="10"/>
      <c r="AA552" s="10"/>
      <c r="AB552" s="10"/>
      <c r="AC552" s="10"/>
      <c r="AD552" s="10"/>
      <c r="AE552" s="10"/>
      <c r="AF552" s="10"/>
    </row>
    <row r="553" hidden="1">
      <c r="A553" s="9" t="s">
        <v>770</v>
      </c>
      <c r="B553" s="84"/>
      <c r="C553" s="9"/>
      <c r="D553" s="9" t="str">
        <f t="shared" si="1"/>
        <v/>
      </c>
      <c r="E553" s="10" t="str">
        <f t="shared" si="2"/>
        <v>OT Hours</v>
      </c>
      <c r="F553" s="10" t="str">
        <f>IFERROR(VLOOKUP(C553,'Employees List'!$B$1:$I$999,4,0),"")</f>
        <v/>
      </c>
      <c r="G553" s="10" t="str">
        <f t="shared" si="21"/>
        <v>#DIV/0!</v>
      </c>
      <c r="H553" s="72" t="str">
        <f>IFERROR(VLOOKUP(C553,'Employees List'!$B$2:$I$991,7,0),"")</f>
        <v/>
      </c>
      <c r="I553" s="73" t="str">
        <f>IFERROR(VLOOKUP(F553,'Employees List'!$E$1:$AE$991,6,0),"")</f>
        <v/>
      </c>
      <c r="J553" s="71">
        <f t="shared" si="3"/>
        <v>0</v>
      </c>
      <c r="K553" s="71">
        <f t="shared" si="4"/>
        <v>0</v>
      </c>
      <c r="L553" s="10" t="str">
        <f>IFERROR(VLOOKUP(B553,'Employees List'!$A$2:$K$991,11,0),"")</f>
        <v/>
      </c>
      <c r="M553" s="74" t="str">
        <f>IFERROR(VLOOKUP(D553,'Daily Attendance 25-26'!$A$4:BP999,5,0),"")</f>
        <v/>
      </c>
      <c r="N553" s="10" t="str">
        <f>IFERROR(VLOOKUP(E553,'Daily Attendance 25-26'!$A$1:$BO$1741,5,0),"")</f>
        <v/>
      </c>
      <c r="O553" s="10"/>
      <c r="P553" s="10"/>
      <c r="Q553" s="10" t="str">
        <f t="shared" si="5"/>
        <v>#DIV/0!</v>
      </c>
      <c r="R553" s="10" t="str">
        <f t="shared" si="6"/>
        <v>#DIV/0!</v>
      </c>
      <c r="S553" s="10" t="str">
        <f t="shared" si="23"/>
        <v>#DIV/0!</v>
      </c>
      <c r="T553" s="10" t="str">
        <f t="shared" si="22"/>
        <v>#DIV/0!</v>
      </c>
      <c r="U553" s="10" t="str">
        <f t="shared" si="8"/>
        <v>#DIV/0!</v>
      </c>
      <c r="V553" s="10"/>
      <c r="W553" s="10"/>
      <c r="X553" s="10"/>
      <c r="Y553" s="10"/>
      <c r="Z553" s="10"/>
      <c r="AA553" s="10"/>
      <c r="AB553" s="10"/>
      <c r="AC553" s="10"/>
      <c r="AD553" s="10"/>
      <c r="AE553" s="10"/>
      <c r="AF553" s="10"/>
    </row>
    <row r="554" hidden="1">
      <c r="A554" s="9" t="s">
        <v>771</v>
      </c>
      <c r="B554" s="84"/>
      <c r="C554" s="9"/>
      <c r="D554" s="9" t="str">
        <f t="shared" si="1"/>
        <v/>
      </c>
      <c r="E554" s="10" t="str">
        <f t="shared" si="2"/>
        <v>OT Hours</v>
      </c>
      <c r="F554" s="10" t="str">
        <f>IFERROR(VLOOKUP(C554,'Employees List'!$B$1:$I$999,4,0),"")</f>
        <v/>
      </c>
      <c r="G554" s="10" t="str">
        <f t="shared" si="21"/>
        <v>#DIV/0!</v>
      </c>
      <c r="H554" s="72" t="str">
        <f>IFERROR(VLOOKUP(C554,'Employees List'!$B$2:$I$991,7,0),"")</f>
        <v/>
      </c>
      <c r="I554" s="73" t="str">
        <f>IFERROR(VLOOKUP(F554,'Employees List'!$E$1:$AE$991,6,0),"")</f>
        <v/>
      </c>
      <c r="J554" s="71">
        <f t="shared" si="3"/>
        <v>0</v>
      </c>
      <c r="K554" s="71">
        <f t="shared" si="4"/>
        <v>0</v>
      </c>
      <c r="L554" s="10" t="str">
        <f>IFERROR(VLOOKUP(B554,'Employees List'!$A$2:$K$991,11,0),"")</f>
        <v/>
      </c>
      <c r="M554" s="74" t="str">
        <f>IFERROR(VLOOKUP(D554,'Daily Attendance 25-26'!$A$4:BP999,5,0),"")</f>
        <v/>
      </c>
      <c r="N554" s="10" t="str">
        <f>IFERROR(VLOOKUP(E554,'Daily Attendance 25-26'!$A$1:$BO$1741,5,0),"")</f>
        <v/>
      </c>
      <c r="O554" s="10"/>
      <c r="P554" s="10"/>
      <c r="Q554" s="10" t="str">
        <f t="shared" si="5"/>
        <v>#DIV/0!</v>
      </c>
      <c r="R554" s="10" t="str">
        <f t="shared" si="6"/>
        <v>#DIV/0!</v>
      </c>
      <c r="S554" s="10" t="str">
        <f t="shared" si="23"/>
        <v>#DIV/0!</v>
      </c>
      <c r="T554" s="10" t="str">
        <f t="shared" si="22"/>
        <v>#DIV/0!</v>
      </c>
      <c r="U554" s="10" t="str">
        <f t="shared" si="8"/>
        <v>#DIV/0!</v>
      </c>
      <c r="V554" s="10"/>
      <c r="W554" s="10"/>
      <c r="X554" s="10"/>
      <c r="Y554" s="10"/>
      <c r="Z554" s="10"/>
      <c r="AA554" s="10"/>
      <c r="AB554" s="10"/>
      <c r="AC554" s="10"/>
      <c r="AD554" s="10"/>
      <c r="AE554" s="10"/>
      <c r="AF554" s="10"/>
    </row>
    <row r="555" hidden="1">
      <c r="A555" s="9" t="s">
        <v>772</v>
      </c>
      <c r="B555" s="84"/>
      <c r="C555" s="9"/>
      <c r="D555" s="9" t="str">
        <f t="shared" si="1"/>
        <v/>
      </c>
      <c r="E555" s="10" t="str">
        <f t="shared" si="2"/>
        <v>OT Hours</v>
      </c>
      <c r="F555" s="10" t="str">
        <f>IFERROR(VLOOKUP(C555,'Employees List'!$B$1:$I$999,4,0),"")</f>
        <v/>
      </c>
      <c r="G555" s="10" t="str">
        <f t="shared" si="21"/>
        <v>#DIV/0!</v>
      </c>
      <c r="H555" s="72" t="str">
        <f>IFERROR(VLOOKUP(C555,'Employees List'!$B$2:$I$991,7,0),"")</f>
        <v/>
      </c>
      <c r="I555" s="73" t="str">
        <f>IFERROR(VLOOKUP(F555,'Employees List'!$E$1:$AE$991,6,0),"")</f>
        <v/>
      </c>
      <c r="J555" s="71">
        <f t="shared" si="3"/>
        <v>0</v>
      </c>
      <c r="K555" s="71">
        <f t="shared" si="4"/>
        <v>0</v>
      </c>
      <c r="L555" s="10" t="str">
        <f>IFERROR(VLOOKUP(B555,'Employees List'!$A$2:$K$991,11,0),"")</f>
        <v/>
      </c>
      <c r="M555" s="74" t="str">
        <f>IFERROR(VLOOKUP(D555,'Daily Attendance 25-26'!$A$4:BP999,5,0),"")</f>
        <v/>
      </c>
      <c r="N555" s="10" t="str">
        <f>IFERROR(VLOOKUP(E555,'Daily Attendance 25-26'!$A$1:$BO$1741,5,0),"")</f>
        <v/>
      </c>
      <c r="O555" s="10"/>
      <c r="P555" s="10"/>
      <c r="Q555" s="10" t="str">
        <f t="shared" si="5"/>
        <v>#DIV/0!</v>
      </c>
      <c r="R555" s="10" t="str">
        <f t="shared" si="6"/>
        <v>#DIV/0!</v>
      </c>
      <c r="S555" s="10" t="str">
        <f t="shared" si="23"/>
        <v>#DIV/0!</v>
      </c>
      <c r="T555" s="10" t="str">
        <f t="shared" si="22"/>
        <v>#DIV/0!</v>
      </c>
      <c r="U555" s="10" t="str">
        <f t="shared" si="8"/>
        <v>#DIV/0!</v>
      </c>
      <c r="V555" s="10"/>
      <c r="W555" s="10"/>
      <c r="X555" s="10"/>
      <c r="Y555" s="10"/>
      <c r="Z555" s="10"/>
      <c r="AA555" s="10"/>
      <c r="AB555" s="10"/>
      <c r="AC555" s="10"/>
      <c r="AD555" s="10"/>
      <c r="AE555" s="10"/>
      <c r="AF555" s="10"/>
    </row>
    <row r="556" hidden="1">
      <c r="A556" s="9" t="s">
        <v>773</v>
      </c>
      <c r="B556" s="84"/>
      <c r="C556" s="9"/>
      <c r="D556" s="9" t="str">
        <f t="shared" si="1"/>
        <v/>
      </c>
      <c r="E556" s="10" t="str">
        <f t="shared" si="2"/>
        <v>OT Hours</v>
      </c>
      <c r="F556" s="10" t="str">
        <f>IFERROR(VLOOKUP(C556,'Employees List'!$B$1:$I$999,4,0),"")</f>
        <v/>
      </c>
      <c r="G556" s="10" t="str">
        <f t="shared" si="21"/>
        <v>#DIV/0!</v>
      </c>
      <c r="H556" s="72" t="str">
        <f>IFERROR(VLOOKUP(C556,'Employees List'!$B$2:$I$991,7,0),"")</f>
        <v/>
      </c>
      <c r="I556" s="73" t="str">
        <f>IFERROR(VLOOKUP(F556,'Employees List'!$E$1:$AE$991,6,0),"")</f>
        <v/>
      </c>
      <c r="J556" s="71">
        <f t="shared" si="3"/>
        <v>0</v>
      </c>
      <c r="K556" s="71">
        <f t="shared" si="4"/>
        <v>0</v>
      </c>
      <c r="L556" s="10" t="str">
        <f>IFERROR(VLOOKUP(B556,'Employees List'!$A$2:$K$991,11,0),"")</f>
        <v/>
      </c>
      <c r="M556" s="74" t="str">
        <f>IFERROR(VLOOKUP(D556,'Daily Attendance 25-26'!$A$4:BP999,5,0),"")</f>
        <v/>
      </c>
      <c r="N556" s="10" t="str">
        <f>IFERROR(VLOOKUP(E556,'Daily Attendance 25-26'!$A$1:$BO$1741,5,0),"")</f>
        <v/>
      </c>
      <c r="O556" s="10"/>
      <c r="P556" s="10"/>
      <c r="Q556" s="10" t="str">
        <f t="shared" si="5"/>
        <v>#DIV/0!</v>
      </c>
      <c r="R556" s="10" t="str">
        <f t="shared" si="6"/>
        <v>#DIV/0!</v>
      </c>
      <c r="S556" s="10" t="str">
        <f t="shared" si="23"/>
        <v>#DIV/0!</v>
      </c>
      <c r="T556" s="10" t="str">
        <f t="shared" si="22"/>
        <v>#DIV/0!</v>
      </c>
      <c r="U556" s="10" t="str">
        <f t="shared" si="8"/>
        <v>#DIV/0!</v>
      </c>
      <c r="V556" s="10"/>
      <c r="W556" s="10"/>
      <c r="X556" s="10"/>
      <c r="Y556" s="10"/>
      <c r="Z556" s="10"/>
      <c r="AA556" s="10"/>
      <c r="AB556" s="10"/>
      <c r="AC556" s="10"/>
      <c r="AD556" s="10"/>
      <c r="AE556" s="10"/>
      <c r="AF556" s="10"/>
    </row>
    <row r="557" hidden="1">
      <c r="A557" s="9" t="s">
        <v>774</v>
      </c>
      <c r="B557" s="84"/>
      <c r="C557" s="9"/>
      <c r="D557" s="9" t="str">
        <f t="shared" si="1"/>
        <v/>
      </c>
      <c r="E557" s="10" t="str">
        <f t="shared" si="2"/>
        <v>OT Hours</v>
      </c>
      <c r="F557" s="10" t="str">
        <f>IFERROR(VLOOKUP(C557,'Employees List'!$B$1:$I$999,4,0),"")</f>
        <v/>
      </c>
      <c r="G557" s="10" t="str">
        <f t="shared" si="21"/>
        <v>#DIV/0!</v>
      </c>
      <c r="H557" s="72" t="str">
        <f>IFERROR(VLOOKUP(C557,'Employees List'!$B$2:$I$991,7,0),"")</f>
        <v/>
      </c>
      <c r="I557" s="73" t="str">
        <f>IFERROR(VLOOKUP(F557,'Employees List'!$E$1:$AE$991,6,0),"")</f>
        <v/>
      </c>
      <c r="J557" s="71">
        <f t="shared" si="3"/>
        <v>0</v>
      </c>
      <c r="K557" s="71">
        <f t="shared" si="4"/>
        <v>0</v>
      </c>
      <c r="L557" s="10" t="str">
        <f>IFERROR(VLOOKUP(B557,'Employees List'!$A$2:$K$991,11,0),"")</f>
        <v/>
      </c>
      <c r="M557" s="74" t="str">
        <f>IFERROR(VLOOKUP(D557,'Daily Attendance 25-26'!$A$4:BP999,5,0),"")</f>
        <v/>
      </c>
      <c r="N557" s="10" t="str">
        <f>IFERROR(VLOOKUP(E557,'Daily Attendance 25-26'!$A$1:$BO$1741,5,0),"")</f>
        <v/>
      </c>
      <c r="O557" s="10"/>
      <c r="P557" s="10"/>
      <c r="Q557" s="10" t="str">
        <f t="shared" si="5"/>
        <v>#DIV/0!</v>
      </c>
      <c r="R557" s="10" t="str">
        <f t="shared" si="6"/>
        <v>#DIV/0!</v>
      </c>
      <c r="S557" s="10" t="str">
        <f t="shared" si="23"/>
        <v>#DIV/0!</v>
      </c>
      <c r="T557" s="10" t="str">
        <f t="shared" si="22"/>
        <v>#DIV/0!</v>
      </c>
      <c r="U557" s="10" t="str">
        <f t="shared" si="8"/>
        <v>#DIV/0!</v>
      </c>
      <c r="V557" s="10"/>
      <c r="W557" s="10"/>
      <c r="X557" s="10"/>
      <c r="Y557" s="10"/>
      <c r="Z557" s="10"/>
      <c r="AA557" s="10"/>
      <c r="AB557" s="10"/>
      <c r="AC557" s="10"/>
      <c r="AD557" s="10"/>
      <c r="AE557" s="10"/>
      <c r="AF557" s="10"/>
    </row>
    <row r="558" hidden="1">
      <c r="A558" s="9" t="s">
        <v>775</v>
      </c>
      <c r="B558" s="84"/>
      <c r="C558" s="9"/>
      <c r="D558" s="9" t="str">
        <f t="shared" si="1"/>
        <v/>
      </c>
      <c r="E558" s="10" t="str">
        <f t="shared" si="2"/>
        <v>OT Hours</v>
      </c>
      <c r="F558" s="10" t="str">
        <f>IFERROR(VLOOKUP(C558,'Employees List'!$B$1:$I$999,4,0),"")</f>
        <v/>
      </c>
      <c r="G558" s="10" t="str">
        <f t="shared" si="21"/>
        <v>#DIV/0!</v>
      </c>
      <c r="H558" s="72" t="str">
        <f>IFERROR(VLOOKUP(C558,'Employees List'!$B$2:$I$991,7,0),"")</f>
        <v/>
      </c>
      <c r="I558" s="73" t="str">
        <f>IFERROR(VLOOKUP(F558,'Employees List'!$E$1:$AE$991,6,0),"")</f>
        <v/>
      </c>
      <c r="J558" s="71">
        <f t="shared" si="3"/>
        <v>0</v>
      </c>
      <c r="K558" s="71">
        <f t="shared" si="4"/>
        <v>0</v>
      </c>
      <c r="L558" s="10" t="str">
        <f>IFERROR(VLOOKUP(B558,'Employees List'!$A$2:$K$991,11,0),"")</f>
        <v/>
      </c>
      <c r="M558" s="74" t="str">
        <f>IFERROR(VLOOKUP(D558,'Daily Attendance 25-26'!$A$4:BP999,5,0),"")</f>
        <v/>
      </c>
      <c r="N558" s="10" t="str">
        <f>IFERROR(VLOOKUP(E558,'Daily Attendance 25-26'!$A$1:$BO$1741,5,0),"")</f>
        <v/>
      </c>
      <c r="O558" s="10"/>
      <c r="P558" s="10"/>
      <c r="Q558" s="10" t="str">
        <f t="shared" si="5"/>
        <v>#DIV/0!</v>
      </c>
      <c r="R558" s="10" t="str">
        <f t="shared" si="6"/>
        <v>#DIV/0!</v>
      </c>
      <c r="S558" s="10" t="str">
        <f t="shared" si="23"/>
        <v>#DIV/0!</v>
      </c>
      <c r="T558" s="10" t="str">
        <f t="shared" si="22"/>
        <v>#DIV/0!</v>
      </c>
      <c r="U558" s="10" t="str">
        <f t="shared" si="8"/>
        <v>#DIV/0!</v>
      </c>
      <c r="V558" s="10"/>
      <c r="W558" s="10"/>
      <c r="X558" s="10"/>
      <c r="Y558" s="10"/>
      <c r="Z558" s="10"/>
      <c r="AA558" s="10"/>
      <c r="AB558" s="10"/>
      <c r="AC558" s="10"/>
      <c r="AD558" s="10"/>
      <c r="AE558" s="10"/>
      <c r="AF558" s="10"/>
    </row>
    <row r="559" hidden="1">
      <c r="A559" s="9" t="s">
        <v>776</v>
      </c>
      <c r="B559" s="84"/>
      <c r="C559" s="9"/>
      <c r="D559" s="9" t="str">
        <f t="shared" si="1"/>
        <v/>
      </c>
      <c r="E559" s="10" t="str">
        <f t="shared" si="2"/>
        <v>OT Hours</v>
      </c>
      <c r="F559" s="10" t="str">
        <f>IFERROR(VLOOKUP(C559,'Employees List'!$B$1:$I$999,4,0),"")</f>
        <v/>
      </c>
      <c r="G559" s="10" t="str">
        <f t="shared" si="21"/>
        <v>#DIV/0!</v>
      </c>
      <c r="H559" s="72" t="str">
        <f>IFERROR(VLOOKUP(C559,'Employees List'!$B$2:$I$991,7,0),"")</f>
        <v/>
      </c>
      <c r="I559" s="73" t="str">
        <f>IFERROR(VLOOKUP(F559,'Employees List'!$E$1:$AE$991,6,0),"")</f>
        <v/>
      </c>
      <c r="J559" s="71">
        <f t="shared" si="3"/>
        <v>0</v>
      </c>
      <c r="K559" s="71">
        <f t="shared" si="4"/>
        <v>0</v>
      </c>
      <c r="L559" s="10" t="str">
        <f>IFERROR(VLOOKUP(B559,'Employees List'!$A$2:$K$991,11,0),"")</f>
        <v/>
      </c>
      <c r="M559" s="74" t="str">
        <f>IFERROR(VLOOKUP(D559,'Daily Attendance 25-26'!$A$4:BP999,5,0),"")</f>
        <v/>
      </c>
      <c r="N559" s="10" t="str">
        <f>IFERROR(VLOOKUP(E559,'Daily Attendance 25-26'!$A$1:$BO$1741,5,0),"")</f>
        <v/>
      </c>
      <c r="O559" s="10"/>
      <c r="P559" s="10"/>
      <c r="Q559" s="10" t="str">
        <f t="shared" si="5"/>
        <v>#DIV/0!</v>
      </c>
      <c r="R559" s="10" t="str">
        <f t="shared" si="6"/>
        <v>#DIV/0!</v>
      </c>
      <c r="S559" s="10" t="str">
        <f t="shared" si="23"/>
        <v>#DIV/0!</v>
      </c>
      <c r="T559" s="10" t="str">
        <f t="shared" si="22"/>
        <v>#DIV/0!</v>
      </c>
      <c r="U559" s="10" t="str">
        <f t="shared" si="8"/>
        <v>#DIV/0!</v>
      </c>
      <c r="V559" s="10"/>
      <c r="W559" s="10"/>
      <c r="X559" s="10"/>
      <c r="Y559" s="10"/>
      <c r="Z559" s="10"/>
      <c r="AA559" s="10"/>
      <c r="AB559" s="10"/>
      <c r="AC559" s="10"/>
      <c r="AD559" s="10"/>
      <c r="AE559" s="10"/>
      <c r="AF559" s="10"/>
    </row>
    <row r="560" hidden="1">
      <c r="A560" s="9" t="s">
        <v>777</v>
      </c>
      <c r="B560" s="84"/>
      <c r="C560" s="9"/>
      <c r="D560" s="9" t="str">
        <f t="shared" si="1"/>
        <v/>
      </c>
      <c r="E560" s="10" t="str">
        <f t="shared" si="2"/>
        <v>OT Hours</v>
      </c>
      <c r="F560" s="10" t="str">
        <f>IFERROR(VLOOKUP(C560,'Employees List'!$B$1:$I$999,4,0),"")</f>
        <v/>
      </c>
      <c r="G560" s="10" t="str">
        <f t="shared" si="21"/>
        <v>#DIV/0!</v>
      </c>
      <c r="H560" s="72" t="str">
        <f>IFERROR(VLOOKUP(C560,'Employees List'!$B$2:$I$991,7,0),"")</f>
        <v/>
      </c>
      <c r="I560" s="73" t="str">
        <f>IFERROR(VLOOKUP(F560,'Employees List'!$E$1:$AE$991,6,0),"")</f>
        <v/>
      </c>
      <c r="J560" s="71">
        <f t="shared" si="3"/>
        <v>0</v>
      </c>
      <c r="K560" s="71">
        <f t="shared" si="4"/>
        <v>0</v>
      </c>
      <c r="L560" s="10" t="str">
        <f>IFERROR(VLOOKUP(B560,'Employees List'!$A$2:$K$991,11,0),"")</f>
        <v/>
      </c>
      <c r="M560" s="74" t="str">
        <f>IFERROR(VLOOKUP(D560,'Daily Attendance 25-26'!$A$4:BP999,5,0),"")</f>
        <v/>
      </c>
      <c r="N560" s="10" t="str">
        <f>IFERROR(VLOOKUP(E560,'Daily Attendance 25-26'!$A$1:$BO$1741,5,0),"")</f>
        <v/>
      </c>
      <c r="O560" s="10"/>
      <c r="P560" s="10"/>
      <c r="Q560" s="10" t="str">
        <f t="shared" si="5"/>
        <v>#DIV/0!</v>
      </c>
      <c r="R560" s="10" t="str">
        <f t="shared" si="6"/>
        <v>#DIV/0!</v>
      </c>
      <c r="S560" s="10" t="str">
        <f t="shared" si="23"/>
        <v>#DIV/0!</v>
      </c>
      <c r="T560" s="10" t="str">
        <f t="shared" si="22"/>
        <v>#DIV/0!</v>
      </c>
      <c r="U560" s="10" t="str">
        <f t="shared" si="8"/>
        <v>#DIV/0!</v>
      </c>
      <c r="V560" s="10"/>
      <c r="W560" s="10"/>
      <c r="X560" s="10"/>
      <c r="Y560" s="10"/>
      <c r="Z560" s="10"/>
      <c r="AA560" s="10"/>
      <c r="AB560" s="10"/>
      <c r="AC560" s="10"/>
      <c r="AD560" s="10"/>
      <c r="AE560" s="10"/>
      <c r="AF560" s="10"/>
    </row>
    <row r="561" hidden="1">
      <c r="A561" s="9" t="s">
        <v>778</v>
      </c>
      <c r="B561" s="84"/>
      <c r="C561" s="9"/>
      <c r="D561" s="9" t="str">
        <f t="shared" si="1"/>
        <v/>
      </c>
      <c r="E561" s="10" t="str">
        <f t="shared" si="2"/>
        <v>OT Hours</v>
      </c>
      <c r="F561" s="10" t="str">
        <f>IFERROR(VLOOKUP(C561,'Employees List'!$B$1:$I$999,4,0),"")</f>
        <v/>
      </c>
      <c r="G561" s="10" t="str">
        <f t="shared" si="21"/>
        <v>#DIV/0!</v>
      </c>
      <c r="H561" s="72" t="str">
        <f>IFERROR(VLOOKUP(C561,'Employees List'!$B$2:$I$991,7,0),"")</f>
        <v/>
      </c>
      <c r="I561" s="73" t="str">
        <f>IFERROR(VLOOKUP(F561,'Employees List'!$E$1:$AE$991,6,0),"")</f>
        <v/>
      </c>
      <c r="J561" s="71">
        <f t="shared" si="3"/>
        <v>0</v>
      </c>
      <c r="K561" s="71">
        <f t="shared" si="4"/>
        <v>0</v>
      </c>
      <c r="L561" s="10" t="str">
        <f>IFERROR(VLOOKUP(B561,'Employees List'!$A$2:$K$991,11,0),"")</f>
        <v/>
      </c>
      <c r="M561" s="74" t="str">
        <f>IFERROR(VLOOKUP(D561,'Daily Attendance 25-26'!$A$4:BP999,5,0),"")</f>
        <v/>
      </c>
      <c r="N561" s="10" t="str">
        <f>IFERROR(VLOOKUP(E561,'Daily Attendance 25-26'!$A$1:$BO$1741,5,0),"")</f>
        <v/>
      </c>
      <c r="O561" s="10"/>
      <c r="P561" s="10"/>
      <c r="Q561" s="10" t="str">
        <f t="shared" si="5"/>
        <v>#DIV/0!</v>
      </c>
      <c r="R561" s="10" t="str">
        <f t="shared" si="6"/>
        <v>#DIV/0!</v>
      </c>
      <c r="S561" s="10" t="str">
        <f t="shared" si="23"/>
        <v>#DIV/0!</v>
      </c>
      <c r="T561" s="10" t="str">
        <f t="shared" si="22"/>
        <v>#DIV/0!</v>
      </c>
      <c r="U561" s="10" t="str">
        <f t="shared" si="8"/>
        <v>#DIV/0!</v>
      </c>
      <c r="V561" s="10"/>
      <c r="W561" s="10"/>
      <c r="X561" s="10"/>
      <c r="Y561" s="10"/>
      <c r="Z561" s="10"/>
      <c r="AA561" s="10"/>
      <c r="AB561" s="10"/>
      <c r="AC561" s="10"/>
      <c r="AD561" s="10"/>
      <c r="AE561" s="10"/>
      <c r="AF561" s="10"/>
    </row>
    <row r="562" hidden="1">
      <c r="A562" s="9" t="s">
        <v>779</v>
      </c>
      <c r="B562" s="84"/>
      <c r="C562" s="9"/>
      <c r="D562" s="9" t="str">
        <f t="shared" si="1"/>
        <v/>
      </c>
      <c r="E562" s="10" t="str">
        <f t="shared" si="2"/>
        <v>OT Hours</v>
      </c>
      <c r="F562" s="10" t="str">
        <f>IFERROR(VLOOKUP(C562,'Employees List'!$B$1:$I$999,4,0),"")</f>
        <v/>
      </c>
      <c r="G562" s="10" t="str">
        <f t="shared" si="21"/>
        <v>#DIV/0!</v>
      </c>
      <c r="H562" s="72" t="str">
        <f>IFERROR(VLOOKUP(C562,'Employees List'!$B$2:$I$991,7,0),"")</f>
        <v/>
      </c>
      <c r="I562" s="73" t="str">
        <f>IFERROR(VLOOKUP(F562,'Employees List'!$E$1:$AE$991,6,0),"")</f>
        <v/>
      </c>
      <c r="J562" s="71">
        <f t="shared" si="3"/>
        <v>0</v>
      </c>
      <c r="K562" s="71">
        <f t="shared" si="4"/>
        <v>0</v>
      </c>
      <c r="L562" s="10" t="str">
        <f>IFERROR(VLOOKUP(B562,'Employees List'!$A$2:$K$991,11,0),"")</f>
        <v/>
      </c>
      <c r="M562" s="74" t="str">
        <f>IFERROR(VLOOKUP(D562,'Daily Attendance 25-26'!$A$4:BP999,5,0),"")</f>
        <v/>
      </c>
      <c r="N562" s="10" t="str">
        <f>IFERROR(VLOOKUP(E562,'Daily Attendance 25-26'!$A$1:$BO$1741,5,0),"")</f>
        <v/>
      </c>
      <c r="O562" s="10"/>
      <c r="P562" s="10"/>
      <c r="Q562" s="10" t="str">
        <f t="shared" si="5"/>
        <v>#DIV/0!</v>
      </c>
      <c r="R562" s="10" t="str">
        <f t="shared" si="6"/>
        <v>#DIV/0!</v>
      </c>
      <c r="S562" s="10" t="str">
        <f t="shared" si="23"/>
        <v>#DIV/0!</v>
      </c>
      <c r="T562" s="10" t="str">
        <f t="shared" si="22"/>
        <v>#DIV/0!</v>
      </c>
      <c r="U562" s="10" t="str">
        <f t="shared" si="8"/>
        <v>#DIV/0!</v>
      </c>
      <c r="V562" s="10"/>
      <c r="W562" s="10"/>
      <c r="X562" s="10"/>
      <c r="Y562" s="10"/>
      <c r="Z562" s="10"/>
      <c r="AA562" s="10"/>
      <c r="AB562" s="10"/>
      <c r="AC562" s="10"/>
      <c r="AD562" s="10"/>
      <c r="AE562" s="10"/>
      <c r="AF562" s="10"/>
    </row>
    <row r="563" hidden="1">
      <c r="A563" s="9" t="s">
        <v>780</v>
      </c>
      <c r="B563" s="84"/>
      <c r="C563" s="9"/>
      <c r="D563" s="9" t="str">
        <f t="shared" si="1"/>
        <v/>
      </c>
      <c r="E563" s="10" t="str">
        <f t="shared" si="2"/>
        <v>OT Hours</v>
      </c>
      <c r="F563" s="10" t="str">
        <f>IFERROR(VLOOKUP(C563,'Employees List'!$B$1:$I$999,4,0),"")</f>
        <v/>
      </c>
      <c r="G563" s="10" t="str">
        <f t="shared" si="21"/>
        <v>#DIV/0!</v>
      </c>
      <c r="H563" s="72" t="str">
        <f>IFERROR(VLOOKUP(C563,'Employees List'!$B$2:$I$991,7,0),"")</f>
        <v/>
      </c>
      <c r="I563" s="73" t="str">
        <f>IFERROR(VLOOKUP(F563,'Employees List'!$E$1:$AE$991,6,0),"")</f>
        <v/>
      </c>
      <c r="J563" s="71">
        <f t="shared" si="3"/>
        <v>0</v>
      </c>
      <c r="K563" s="71">
        <f t="shared" si="4"/>
        <v>0</v>
      </c>
      <c r="L563" s="10" t="str">
        <f>IFERROR(VLOOKUP(B563,'Employees List'!$A$2:$K$991,11,0),"")</f>
        <v/>
      </c>
      <c r="M563" s="74" t="str">
        <f>IFERROR(VLOOKUP(D563,'Daily Attendance 25-26'!$A$4:BP999,5,0),"")</f>
        <v/>
      </c>
      <c r="N563" s="10" t="str">
        <f>IFERROR(VLOOKUP(E563,'Daily Attendance 25-26'!$A$1:$BO$1741,5,0),"")</f>
        <v/>
      </c>
      <c r="O563" s="10"/>
      <c r="P563" s="10"/>
      <c r="Q563" s="10" t="str">
        <f t="shared" si="5"/>
        <v>#DIV/0!</v>
      </c>
      <c r="R563" s="10" t="str">
        <f t="shared" si="6"/>
        <v>#DIV/0!</v>
      </c>
      <c r="S563" s="10" t="str">
        <f t="shared" si="23"/>
        <v>#DIV/0!</v>
      </c>
      <c r="T563" s="10" t="str">
        <f t="shared" si="22"/>
        <v>#DIV/0!</v>
      </c>
      <c r="U563" s="10" t="str">
        <f t="shared" si="8"/>
        <v>#DIV/0!</v>
      </c>
      <c r="V563" s="10"/>
      <c r="W563" s="10"/>
      <c r="X563" s="10"/>
      <c r="Y563" s="10"/>
      <c r="Z563" s="10"/>
      <c r="AA563" s="10"/>
      <c r="AB563" s="10"/>
      <c r="AC563" s="10"/>
      <c r="AD563" s="10"/>
      <c r="AE563" s="10"/>
      <c r="AF563" s="10"/>
    </row>
    <row r="564" hidden="1">
      <c r="A564" s="9" t="s">
        <v>781</v>
      </c>
      <c r="B564" s="84"/>
      <c r="C564" s="9"/>
      <c r="D564" s="9" t="str">
        <f t="shared" si="1"/>
        <v/>
      </c>
      <c r="E564" s="10" t="str">
        <f t="shared" si="2"/>
        <v>OT Hours</v>
      </c>
      <c r="F564" s="10" t="str">
        <f>IFERROR(VLOOKUP(C564,'Employees List'!$B$1:$I$999,4,0),"")</f>
        <v/>
      </c>
      <c r="G564" s="10" t="str">
        <f t="shared" si="21"/>
        <v>#DIV/0!</v>
      </c>
      <c r="H564" s="72" t="str">
        <f>IFERROR(VLOOKUP(C564,'Employees List'!$B$2:$I$991,7,0),"")</f>
        <v/>
      </c>
      <c r="I564" s="73" t="str">
        <f>IFERROR(VLOOKUP(F564,'Employees List'!$E$1:$AE$991,6,0),"")</f>
        <v/>
      </c>
      <c r="J564" s="71">
        <f t="shared" si="3"/>
        <v>0</v>
      </c>
      <c r="K564" s="71">
        <f t="shared" si="4"/>
        <v>0</v>
      </c>
      <c r="L564" s="10" t="str">
        <f>IFERROR(VLOOKUP(B564,'Employees List'!$A$2:$K$991,11,0),"")</f>
        <v/>
      </c>
      <c r="M564" s="74" t="str">
        <f>IFERROR(VLOOKUP(D564,'Daily Attendance 25-26'!$A$4:BP999,5,0),"")</f>
        <v/>
      </c>
      <c r="N564" s="10" t="str">
        <f>IFERROR(VLOOKUP(E564,'Daily Attendance 25-26'!$A$1:$BO$1741,5,0),"")</f>
        <v/>
      </c>
      <c r="O564" s="10"/>
      <c r="P564" s="10"/>
      <c r="Q564" s="10" t="str">
        <f t="shared" si="5"/>
        <v>#DIV/0!</v>
      </c>
      <c r="R564" s="10" t="str">
        <f t="shared" si="6"/>
        <v>#DIV/0!</v>
      </c>
      <c r="S564" s="10" t="str">
        <f t="shared" si="23"/>
        <v>#DIV/0!</v>
      </c>
      <c r="T564" s="10" t="str">
        <f t="shared" si="22"/>
        <v>#DIV/0!</v>
      </c>
      <c r="U564" s="10" t="str">
        <f t="shared" si="8"/>
        <v>#DIV/0!</v>
      </c>
      <c r="V564" s="10"/>
      <c r="W564" s="10"/>
      <c r="X564" s="10"/>
      <c r="Y564" s="10"/>
      <c r="Z564" s="10"/>
      <c r="AA564" s="10"/>
      <c r="AB564" s="10"/>
      <c r="AC564" s="10"/>
      <c r="AD564" s="10"/>
      <c r="AE564" s="10"/>
      <c r="AF564" s="10"/>
    </row>
    <row r="565" hidden="1">
      <c r="A565" s="9" t="s">
        <v>782</v>
      </c>
      <c r="B565" s="84"/>
      <c r="C565" s="9"/>
      <c r="D565" s="9" t="str">
        <f t="shared" si="1"/>
        <v/>
      </c>
      <c r="E565" s="10" t="str">
        <f t="shared" si="2"/>
        <v>OT Hours</v>
      </c>
      <c r="F565" s="10" t="str">
        <f>IFERROR(VLOOKUP(C565,'Employees List'!$B$1:$I$999,4,0),"")</f>
        <v/>
      </c>
      <c r="G565" s="10" t="str">
        <f t="shared" si="21"/>
        <v>#DIV/0!</v>
      </c>
      <c r="H565" s="72" t="str">
        <f>IFERROR(VLOOKUP(C565,'Employees List'!$B$2:$I$991,7,0),"")</f>
        <v/>
      </c>
      <c r="I565" s="73" t="str">
        <f>IFERROR(VLOOKUP(F565,'Employees List'!$E$1:$AE$991,6,0),"")</f>
        <v/>
      </c>
      <c r="J565" s="71">
        <f t="shared" si="3"/>
        <v>0</v>
      </c>
      <c r="K565" s="71">
        <f t="shared" si="4"/>
        <v>0</v>
      </c>
      <c r="L565" s="10" t="str">
        <f>IFERROR(VLOOKUP(B565,'Employees List'!$A$2:$K$991,11,0),"")</f>
        <v/>
      </c>
      <c r="M565" s="74" t="str">
        <f>IFERROR(VLOOKUP(D565,'Daily Attendance 25-26'!$A$4:BP999,5,0),"")</f>
        <v/>
      </c>
      <c r="N565" s="10" t="str">
        <f>IFERROR(VLOOKUP(E565,'Daily Attendance 25-26'!$A$1:$BO$1741,5,0),"")</f>
        <v/>
      </c>
      <c r="O565" s="10"/>
      <c r="P565" s="10"/>
      <c r="Q565" s="10" t="str">
        <f t="shared" si="5"/>
        <v>#DIV/0!</v>
      </c>
      <c r="R565" s="10" t="str">
        <f t="shared" si="6"/>
        <v>#DIV/0!</v>
      </c>
      <c r="S565" s="10" t="str">
        <f t="shared" si="23"/>
        <v>#DIV/0!</v>
      </c>
      <c r="T565" s="10" t="str">
        <f t="shared" si="22"/>
        <v>#DIV/0!</v>
      </c>
      <c r="U565" s="10" t="str">
        <f t="shared" si="8"/>
        <v>#DIV/0!</v>
      </c>
      <c r="V565" s="10"/>
      <c r="W565" s="10"/>
      <c r="X565" s="10"/>
      <c r="Y565" s="10"/>
      <c r="Z565" s="10"/>
      <c r="AA565" s="10"/>
      <c r="AB565" s="10"/>
      <c r="AC565" s="10"/>
      <c r="AD565" s="10"/>
      <c r="AE565" s="10"/>
      <c r="AF565" s="10"/>
    </row>
    <row r="566" hidden="1">
      <c r="A566" s="9" t="s">
        <v>783</v>
      </c>
      <c r="B566" s="84"/>
      <c r="C566" s="9"/>
      <c r="D566" s="9" t="str">
        <f t="shared" si="1"/>
        <v/>
      </c>
      <c r="E566" s="10" t="str">
        <f t="shared" si="2"/>
        <v>OT Hours</v>
      </c>
      <c r="F566" s="10" t="str">
        <f>IFERROR(VLOOKUP(C566,'Employees List'!$B$1:$I$999,4,0),"")</f>
        <v/>
      </c>
      <c r="G566" s="10" t="str">
        <f t="shared" si="21"/>
        <v>#DIV/0!</v>
      </c>
      <c r="H566" s="72" t="str">
        <f>IFERROR(VLOOKUP(C566,'Employees List'!$B$2:$I$991,7,0),"")</f>
        <v/>
      </c>
      <c r="I566" s="73" t="str">
        <f>IFERROR(VLOOKUP(F566,'Employees List'!$E$1:$AE$991,6,0),"")</f>
        <v/>
      </c>
      <c r="J566" s="71">
        <f t="shared" si="3"/>
        <v>0</v>
      </c>
      <c r="K566" s="71">
        <f t="shared" si="4"/>
        <v>0</v>
      </c>
      <c r="L566" s="10" t="str">
        <f>IFERROR(VLOOKUP(B566,'Employees List'!$A$2:$K$991,11,0),"")</f>
        <v/>
      </c>
      <c r="M566" s="74" t="str">
        <f>IFERROR(VLOOKUP(D566,'Daily Attendance 25-26'!$A$4:BP999,5,0),"")</f>
        <v/>
      </c>
      <c r="N566" s="10" t="str">
        <f>IFERROR(VLOOKUP(E566,'Daily Attendance 25-26'!$A$1:$BO$1741,5,0),"")</f>
        <v/>
      </c>
      <c r="O566" s="10"/>
      <c r="P566" s="10"/>
      <c r="Q566" s="10" t="str">
        <f t="shared" si="5"/>
        <v>#DIV/0!</v>
      </c>
      <c r="R566" s="10" t="str">
        <f t="shared" si="6"/>
        <v>#DIV/0!</v>
      </c>
      <c r="S566" s="10" t="str">
        <f t="shared" si="23"/>
        <v>#DIV/0!</v>
      </c>
      <c r="T566" s="10" t="str">
        <f t="shared" si="22"/>
        <v>#DIV/0!</v>
      </c>
      <c r="U566" s="10" t="str">
        <f t="shared" si="8"/>
        <v>#DIV/0!</v>
      </c>
      <c r="V566" s="10"/>
      <c r="W566" s="10"/>
      <c r="X566" s="10"/>
      <c r="Y566" s="10"/>
      <c r="Z566" s="10"/>
      <c r="AA566" s="10"/>
      <c r="AB566" s="10"/>
      <c r="AC566" s="10"/>
      <c r="AD566" s="10"/>
      <c r="AE566" s="10"/>
      <c r="AF566" s="10"/>
    </row>
    <row r="567" hidden="1">
      <c r="A567" s="9" t="s">
        <v>784</v>
      </c>
      <c r="B567" s="84"/>
      <c r="C567" s="9"/>
      <c r="D567" s="9" t="str">
        <f t="shared" si="1"/>
        <v/>
      </c>
      <c r="E567" s="10" t="str">
        <f t="shared" si="2"/>
        <v>OT Hours</v>
      </c>
      <c r="F567" s="10" t="str">
        <f>IFERROR(VLOOKUP(C567,'Employees List'!$B$1:$I$999,4,0),"")</f>
        <v/>
      </c>
      <c r="G567" s="10" t="str">
        <f t="shared" si="21"/>
        <v>#DIV/0!</v>
      </c>
      <c r="H567" s="72" t="str">
        <f>IFERROR(VLOOKUP(C567,'Employees List'!$B$2:$I$991,7,0),"")</f>
        <v/>
      </c>
      <c r="I567" s="73" t="str">
        <f>IFERROR(VLOOKUP(F567,'Employees List'!$E$1:$AE$991,6,0),"")</f>
        <v/>
      </c>
      <c r="J567" s="71">
        <f t="shared" si="3"/>
        <v>0</v>
      </c>
      <c r="K567" s="71">
        <f t="shared" si="4"/>
        <v>0</v>
      </c>
      <c r="L567" s="10" t="str">
        <f>IFERROR(VLOOKUP(B567,'Employees List'!$A$2:$K$991,11,0),"")</f>
        <v/>
      </c>
      <c r="M567" s="74" t="str">
        <f>IFERROR(VLOOKUP(D567,'Daily Attendance 25-26'!$A$4:BP999,5,0),"")</f>
        <v/>
      </c>
      <c r="N567" s="10" t="str">
        <f>IFERROR(VLOOKUP(E567,'Daily Attendance 25-26'!$A$1:$BO$1741,5,0),"")</f>
        <v/>
      </c>
      <c r="O567" s="10"/>
      <c r="P567" s="10"/>
      <c r="Q567" s="10" t="str">
        <f t="shared" si="5"/>
        <v>#DIV/0!</v>
      </c>
      <c r="R567" s="10" t="str">
        <f t="shared" si="6"/>
        <v>#DIV/0!</v>
      </c>
      <c r="S567" s="10" t="str">
        <f t="shared" si="23"/>
        <v>#DIV/0!</v>
      </c>
      <c r="T567" s="10" t="str">
        <f t="shared" si="22"/>
        <v>#DIV/0!</v>
      </c>
      <c r="U567" s="10" t="str">
        <f t="shared" si="8"/>
        <v>#DIV/0!</v>
      </c>
      <c r="V567" s="10"/>
      <c r="W567" s="10"/>
      <c r="X567" s="10"/>
      <c r="Y567" s="10"/>
      <c r="Z567" s="10"/>
      <c r="AA567" s="10"/>
      <c r="AB567" s="10"/>
      <c r="AC567" s="10"/>
      <c r="AD567" s="10"/>
      <c r="AE567" s="10"/>
      <c r="AF567" s="10"/>
    </row>
    <row r="568" hidden="1">
      <c r="A568" s="9" t="s">
        <v>785</v>
      </c>
      <c r="B568" s="84"/>
      <c r="C568" s="9"/>
      <c r="D568" s="9" t="str">
        <f t="shared" si="1"/>
        <v/>
      </c>
      <c r="E568" s="10" t="str">
        <f t="shared" si="2"/>
        <v>OT Hours</v>
      </c>
      <c r="F568" s="10" t="str">
        <f>IFERROR(VLOOKUP(C568,'Employees List'!$B$1:$I$999,4,0),"")</f>
        <v/>
      </c>
      <c r="G568" s="10" t="str">
        <f t="shared" si="21"/>
        <v>#DIV/0!</v>
      </c>
      <c r="H568" s="72" t="str">
        <f>IFERROR(VLOOKUP(C568,'Employees List'!$B$2:$I$991,7,0),"")</f>
        <v/>
      </c>
      <c r="I568" s="73" t="str">
        <f>IFERROR(VLOOKUP(F568,'Employees List'!$E$1:$AE$991,6,0),"")</f>
        <v/>
      </c>
      <c r="J568" s="71">
        <f t="shared" si="3"/>
        <v>0</v>
      </c>
      <c r="K568" s="71">
        <f t="shared" si="4"/>
        <v>0</v>
      </c>
      <c r="L568" s="10" t="str">
        <f>IFERROR(VLOOKUP(B568,'Employees List'!$A$2:$K$991,11,0),"")</f>
        <v/>
      </c>
      <c r="M568" s="74" t="str">
        <f>IFERROR(VLOOKUP(D568,'Daily Attendance 25-26'!$A$4:BP999,5,0),"")</f>
        <v/>
      </c>
      <c r="N568" s="10" t="str">
        <f>IFERROR(VLOOKUP(E568,'Daily Attendance 25-26'!$A$1:$BO$1741,5,0),"")</f>
        <v/>
      </c>
      <c r="O568" s="10"/>
      <c r="P568" s="10"/>
      <c r="Q568" s="10" t="str">
        <f t="shared" si="5"/>
        <v>#DIV/0!</v>
      </c>
      <c r="R568" s="10" t="str">
        <f t="shared" si="6"/>
        <v>#DIV/0!</v>
      </c>
      <c r="S568" s="10" t="str">
        <f t="shared" si="23"/>
        <v>#DIV/0!</v>
      </c>
      <c r="T568" s="10" t="str">
        <f t="shared" si="22"/>
        <v>#DIV/0!</v>
      </c>
      <c r="U568" s="10" t="str">
        <f t="shared" si="8"/>
        <v>#DIV/0!</v>
      </c>
      <c r="V568" s="10"/>
      <c r="W568" s="10"/>
      <c r="X568" s="10"/>
      <c r="Y568" s="10"/>
      <c r="Z568" s="10"/>
      <c r="AA568" s="10"/>
      <c r="AB568" s="10"/>
      <c r="AC568" s="10"/>
      <c r="AD568" s="10"/>
      <c r="AE568" s="10"/>
      <c r="AF568" s="10"/>
    </row>
    <row r="569" hidden="1">
      <c r="A569" s="9" t="s">
        <v>786</v>
      </c>
      <c r="B569" s="84"/>
      <c r="C569" s="9"/>
      <c r="D569" s="9" t="str">
        <f t="shared" si="1"/>
        <v/>
      </c>
      <c r="E569" s="10" t="str">
        <f t="shared" si="2"/>
        <v>OT Hours</v>
      </c>
      <c r="F569" s="10" t="str">
        <f>IFERROR(VLOOKUP(C569,'Employees List'!$B$1:$I$999,4,0),"")</f>
        <v/>
      </c>
      <c r="G569" s="10" t="str">
        <f t="shared" si="21"/>
        <v>#DIV/0!</v>
      </c>
      <c r="H569" s="72" t="str">
        <f>IFERROR(VLOOKUP(C569,'Employees List'!$B$2:$I$991,7,0),"")</f>
        <v/>
      </c>
      <c r="I569" s="73" t="str">
        <f>IFERROR(VLOOKUP(F569,'Employees List'!$E$1:$AE$991,6,0),"")</f>
        <v/>
      </c>
      <c r="J569" s="71">
        <f t="shared" si="3"/>
        <v>0</v>
      </c>
      <c r="K569" s="71">
        <f t="shared" si="4"/>
        <v>0</v>
      </c>
      <c r="L569" s="10" t="str">
        <f>IFERROR(VLOOKUP(B569,'Employees List'!$A$2:$K$991,11,0),"")</f>
        <v/>
      </c>
      <c r="M569" s="74" t="str">
        <f>IFERROR(VLOOKUP(D569,'Daily Attendance 25-26'!$A$4:BP999,5,0),"")</f>
        <v/>
      </c>
      <c r="N569" s="10" t="str">
        <f>IFERROR(VLOOKUP(E569,'Daily Attendance 25-26'!$A$1:$BO$1741,5,0),"")</f>
        <v/>
      </c>
      <c r="O569" s="10"/>
      <c r="P569" s="10"/>
      <c r="Q569" s="10" t="str">
        <f t="shared" si="5"/>
        <v>#DIV/0!</v>
      </c>
      <c r="R569" s="10" t="str">
        <f t="shared" si="6"/>
        <v>#DIV/0!</v>
      </c>
      <c r="S569" s="10" t="str">
        <f t="shared" si="23"/>
        <v>#DIV/0!</v>
      </c>
      <c r="T569" s="10" t="str">
        <f t="shared" si="22"/>
        <v>#DIV/0!</v>
      </c>
      <c r="U569" s="10" t="str">
        <f t="shared" si="8"/>
        <v>#DIV/0!</v>
      </c>
      <c r="V569" s="10"/>
      <c r="W569" s="10"/>
      <c r="X569" s="10"/>
      <c r="Y569" s="10"/>
      <c r="Z569" s="10"/>
      <c r="AA569" s="10"/>
      <c r="AB569" s="10"/>
      <c r="AC569" s="10"/>
      <c r="AD569" s="10"/>
      <c r="AE569" s="10"/>
      <c r="AF569" s="10"/>
    </row>
    <row r="570" hidden="1">
      <c r="A570" s="9" t="s">
        <v>787</v>
      </c>
      <c r="B570" s="84"/>
      <c r="C570" s="9"/>
      <c r="D570" s="9" t="str">
        <f t="shared" si="1"/>
        <v/>
      </c>
      <c r="E570" s="10" t="str">
        <f t="shared" si="2"/>
        <v>OT Hours</v>
      </c>
      <c r="F570" s="10" t="str">
        <f>IFERROR(VLOOKUP(C570,'Employees List'!$B$1:$I$999,4,0),"")</f>
        <v/>
      </c>
      <c r="G570" s="10" t="str">
        <f t="shared" si="21"/>
        <v>#DIV/0!</v>
      </c>
      <c r="H570" s="72" t="str">
        <f>IFERROR(VLOOKUP(C570,'Employees List'!$B$2:$I$991,7,0),"")</f>
        <v/>
      </c>
      <c r="I570" s="73" t="str">
        <f>IFERROR(VLOOKUP(F570,'Employees List'!$E$1:$AE$991,6,0),"")</f>
        <v/>
      </c>
      <c r="J570" s="71">
        <f t="shared" si="3"/>
        <v>0</v>
      </c>
      <c r="K570" s="71">
        <f t="shared" si="4"/>
        <v>0</v>
      </c>
      <c r="L570" s="10" t="str">
        <f>IFERROR(VLOOKUP(B570,'Employees List'!$A$2:$K$991,11,0),"")</f>
        <v/>
      </c>
      <c r="M570" s="74" t="str">
        <f>IFERROR(VLOOKUP(D570,'Daily Attendance 25-26'!$A$4:BP999,5,0),"")</f>
        <v/>
      </c>
      <c r="N570" s="10" t="str">
        <f>IFERROR(VLOOKUP(E570,'Daily Attendance 25-26'!$A$1:$BO$1741,5,0),"")</f>
        <v/>
      </c>
      <c r="O570" s="10"/>
      <c r="P570" s="10"/>
      <c r="Q570" s="10" t="str">
        <f t="shared" si="5"/>
        <v>#DIV/0!</v>
      </c>
      <c r="R570" s="10" t="str">
        <f t="shared" si="6"/>
        <v>#DIV/0!</v>
      </c>
      <c r="S570" s="10" t="str">
        <f t="shared" si="23"/>
        <v>#DIV/0!</v>
      </c>
      <c r="T570" s="10" t="str">
        <f t="shared" si="22"/>
        <v>#DIV/0!</v>
      </c>
      <c r="U570" s="10" t="str">
        <f t="shared" si="8"/>
        <v>#DIV/0!</v>
      </c>
      <c r="V570" s="10"/>
      <c r="W570" s="10"/>
      <c r="X570" s="10"/>
      <c r="Y570" s="10"/>
      <c r="Z570" s="10"/>
      <c r="AA570" s="10"/>
      <c r="AB570" s="10"/>
      <c r="AC570" s="10"/>
      <c r="AD570" s="10"/>
      <c r="AE570" s="10"/>
      <c r="AF570" s="10"/>
    </row>
    <row r="571" hidden="1">
      <c r="A571" s="9" t="s">
        <v>788</v>
      </c>
      <c r="B571" s="84"/>
      <c r="C571" s="9"/>
      <c r="D571" s="9" t="str">
        <f t="shared" si="1"/>
        <v/>
      </c>
      <c r="E571" s="10" t="str">
        <f t="shared" si="2"/>
        <v>OT Hours</v>
      </c>
      <c r="F571" s="10" t="str">
        <f>IFERROR(VLOOKUP(C571,'Employees List'!$B$1:$I$999,4,0),"")</f>
        <v/>
      </c>
      <c r="G571" s="10" t="str">
        <f t="shared" si="21"/>
        <v>#DIV/0!</v>
      </c>
      <c r="H571" s="72" t="str">
        <f>IFERROR(VLOOKUP(C571,'Employees List'!$B$2:$I$991,7,0),"")</f>
        <v/>
      </c>
      <c r="I571" s="73" t="str">
        <f>IFERROR(VLOOKUP(F571,'Employees List'!$E$1:$AE$991,6,0),"")</f>
        <v/>
      </c>
      <c r="J571" s="71">
        <f t="shared" si="3"/>
        <v>0</v>
      </c>
      <c r="K571" s="71">
        <f t="shared" si="4"/>
        <v>0</v>
      </c>
      <c r="L571" s="10" t="str">
        <f>IFERROR(VLOOKUP(B571,'Employees List'!$A$2:$K$991,11,0),"")</f>
        <v/>
      </c>
      <c r="M571" s="74" t="str">
        <f>IFERROR(VLOOKUP(D571,'Daily Attendance 25-26'!$A$4:BP999,5,0),"")</f>
        <v/>
      </c>
      <c r="N571" s="10" t="str">
        <f>IFERROR(VLOOKUP(E571,'Daily Attendance 25-26'!$A$1:$BO$1741,5,0),"")</f>
        <v/>
      </c>
      <c r="O571" s="10"/>
      <c r="P571" s="10"/>
      <c r="Q571" s="10" t="str">
        <f t="shared" si="5"/>
        <v>#DIV/0!</v>
      </c>
      <c r="R571" s="10" t="str">
        <f t="shared" si="6"/>
        <v>#DIV/0!</v>
      </c>
      <c r="S571" s="10" t="str">
        <f t="shared" si="23"/>
        <v>#DIV/0!</v>
      </c>
      <c r="T571" s="10" t="str">
        <f t="shared" si="22"/>
        <v>#DIV/0!</v>
      </c>
      <c r="U571" s="10" t="str">
        <f t="shared" si="8"/>
        <v>#DIV/0!</v>
      </c>
      <c r="V571" s="10"/>
      <c r="W571" s="10"/>
      <c r="X571" s="10"/>
      <c r="Y571" s="10"/>
      <c r="Z571" s="10"/>
      <c r="AA571" s="10"/>
      <c r="AB571" s="10"/>
      <c r="AC571" s="10"/>
      <c r="AD571" s="10"/>
      <c r="AE571" s="10"/>
      <c r="AF571" s="10"/>
    </row>
    <row r="572" hidden="1">
      <c r="A572" s="9" t="s">
        <v>789</v>
      </c>
      <c r="B572" s="84"/>
      <c r="C572" s="9"/>
      <c r="D572" s="9" t="str">
        <f t="shared" si="1"/>
        <v/>
      </c>
      <c r="E572" s="10" t="str">
        <f t="shared" si="2"/>
        <v>OT Hours</v>
      </c>
      <c r="F572" s="10" t="str">
        <f>IFERROR(VLOOKUP(C572,'Employees List'!$B$1:$I$999,4,0),"")</f>
        <v/>
      </c>
      <c r="G572" s="10" t="str">
        <f t="shared" si="21"/>
        <v>#DIV/0!</v>
      </c>
      <c r="H572" s="72" t="str">
        <f>IFERROR(VLOOKUP(C572,'Employees List'!$B$2:$I$991,7,0),"")</f>
        <v/>
      </c>
      <c r="I572" s="73" t="str">
        <f>IFERROR(VLOOKUP(F572,'Employees List'!$E$1:$AE$991,6,0),"")</f>
        <v/>
      </c>
      <c r="J572" s="71">
        <f t="shared" si="3"/>
        <v>0</v>
      </c>
      <c r="K572" s="71">
        <f t="shared" si="4"/>
        <v>0</v>
      </c>
      <c r="L572" s="10" t="str">
        <f>IFERROR(VLOOKUP(B572,'Employees List'!$A$2:$K$991,11,0),"")</f>
        <v/>
      </c>
      <c r="M572" s="74" t="str">
        <f>IFERROR(VLOOKUP(D572,'Daily Attendance 25-26'!$A$4:BP999,5,0),"")</f>
        <v/>
      </c>
      <c r="N572" s="10" t="str">
        <f>IFERROR(VLOOKUP(E572,'Daily Attendance 25-26'!$A$1:$BO$1741,5,0),"")</f>
        <v/>
      </c>
      <c r="O572" s="10"/>
      <c r="P572" s="10"/>
      <c r="Q572" s="10" t="str">
        <f t="shared" si="5"/>
        <v>#DIV/0!</v>
      </c>
      <c r="R572" s="10" t="str">
        <f t="shared" si="6"/>
        <v>#DIV/0!</v>
      </c>
      <c r="S572" s="10" t="str">
        <f t="shared" si="23"/>
        <v>#DIV/0!</v>
      </c>
      <c r="T572" s="10" t="str">
        <f t="shared" si="22"/>
        <v>#DIV/0!</v>
      </c>
      <c r="U572" s="10" t="str">
        <f t="shared" si="8"/>
        <v>#DIV/0!</v>
      </c>
      <c r="V572" s="10"/>
      <c r="W572" s="10"/>
      <c r="X572" s="10"/>
      <c r="Y572" s="10"/>
      <c r="Z572" s="10"/>
      <c r="AA572" s="10"/>
      <c r="AB572" s="10"/>
      <c r="AC572" s="10"/>
      <c r="AD572" s="10"/>
      <c r="AE572" s="10"/>
      <c r="AF572" s="10"/>
    </row>
    <row r="573" hidden="1">
      <c r="A573" s="9" t="s">
        <v>790</v>
      </c>
      <c r="B573" s="84"/>
      <c r="C573" s="9"/>
      <c r="D573" s="9" t="str">
        <f t="shared" si="1"/>
        <v/>
      </c>
      <c r="E573" s="10" t="str">
        <f t="shared" si="2"/>
        <v>OT Hours</v>
      </c>
      <c r="F573" s="10" t="str">
        <f>IFERROR(VLOOKUP(C573,'Employees List'!$B$1:$I$999,4,0),"")</f>
        <v/>
      </c>
      <c r="G573" s="10" t="str">
        <f t="shared" si="21"/>
        <v>#DIV/0!</v>
      </c>
      <c r="H573" s="72" t="str">
        <f>IFERROR(VLOOKUP(C573,'Employees List'!$B$2:$I$991,7,0),"")</f>
        <v/>
      </c>
      <c r="I573" s="73" t="str">
        <f>IFERROR(VLOOKUP(F573,'Employees List'!$E$1:$AE$991,6,0),"")</f>
        <v/>
      </c>
      <c r="J573" s="71">
        <f t="shared" si="3"/>
        <v>0</v>
      </c>
      <c r="K573" s="71">
        <f t="shared" si="4"/>
        <v>0</v>
      </c>
      <c r="L573" s="10" t="str">
        <f>IFERROR(VLOOKUP(B573,'Employees List'!$A$2:$K$991,11,0),"")</f>
        <v/>
      </c>
      <c r="M573" s="74" t="str">
        <f>IFERROR(VLOOKUP(D573,'Daily Attendance 25-26'!$A$4:BP999,5,0),"")</f>
        <v/>
      </c>
      <c r="N573" s="10" t="str">
        <f>IFERROR(VLOOKUP(E573,'Daily Attendance 25-26'!$A$1:$BO$1741,5,0),"")</f>
        <v/>
      </c>
      <c r="O573" s="10"/>
      <c r="P573" s="10"/>
      <c r="Q573" s="10" t="str">
        <f t="shared" si="5"/>
        <v>#DIV/0!</v>
      </c>
      <c r="R573" s="10" t="str">
        <f t="shared" si="6"/>
        <v>#DIV/0!</v>
      </c>
      <c r="S573" s="10" t="str">
        <f t="shared" si="23"/>
        <v>#DIV/0!</v>
      </c>
      <c r="T573" s="10" t="str">
        <f t="shared" si="22"/>
        <v>#DIV/0!</v>
      </c>
      <c r="U573" s="10" t="str">
        <f t="shared" si="8"/>
        <v>#DIV/0!</v>
      </c>
      <c r="V573" s="10"/>
      <c r="W573" s="10"/>
      <c r="X573" s="10"/>
      <c r="Y573" s="10"/>
      <c r="Z573" s="10"/>
      <c r="AA573" s="10"/>
      <c r="AB573" s="10"/>
      <c r="AC573" s="10"/>
      <c r="AD573" s="10"/>
      <c r="AE573" s="10"/>
      <c r="AF573" s="10"/>
    </row>
    <row r="574" hidden="1">
      <c r="A574" s="9" t="s">
        <v>791</v>
      </c>
      <c r="B574" s="84"/>
      <c r="C574" s="9"/>
      <c r="D574" s="9" t="str">
        <f t="shared" si="1"/>
        <v/>
      </c>
      <c r="E574" s="10" t="str">
        <f t="shared" si="2"/>
        <v>OT Hours</v>
      </c>
      <c r="F574" s="10" t="str">
        <f>IFERROR(VLOOKUP(C574,'Employees List'!$B$1:$I$999,4,0),"")</f>
        <v/>
      </c>
      <c r="G574" s="10" t="str">
        <f t="shared" si="21"/>
        <v>#DIV/0!</v>
      </c>
      <c r="H574" s="72" t="str">
        <f>IFERROR(VLOOKUP(C574,'Employees List'!$B$2:$I$991,7,0),"")</f>
        <v/>
      </c>
      <c r="I574" s="73" t="str">
        <f>IFERROR(VLOOKUP(F574,'Employees List'!$E$1:$AE$991,6,0),"")</f>
        <v/>
      </c>
      <c r="J574" s="71">
        <f t="shared" si="3"/>
        <v>0</v>
      </c>
      <c r="K574" s="71">
        <f t="shared" si="4"/>
        <v>0</v>
      </c>
      <c r="L574" s="10" t="str">
        <f>IFERROR(VLOOKUP(B574,'Employees List'!$A$2:$K$991,11,0),"")</f>
        <v/>
      </c>
      <c r="M574" s="74" t="str">
        <f>IFERROR(VLOOKUP(D574,'Daily Attendance 25-26'!$A$4:BP999,5,0),"")</f>
        <v/>
      </c>
      <c r="N574" s="10" t="str">
        <f>IFERROR(VLOOKUP(E574,'Daily Attendance 25-26'!$A$1:$BO$1741,5,0),"")</f>
        <v/>
      </c>
      <c r="O574" s="10"/>
      <c r="P574" s="10"/>
      <c r="Q574" s="10" t="str">
        <f t="shared" si="5"/>
        <v>#DIV/0!</v>
      </c>
      <c r="R574" s="10" t="str">
        <f t="shared" si="6"/>
        <v>#DIV/0!</v>
      </c>
      <c r="S574" s="10" t="str">
        <f t="shared" si="23"/>
        <v>#DIV/0!</v>
      </c>
      <c r="T574" s="10" t="str">
        <f t="shared" si="22"/>
        <v>#DIV/0!</v>
      </c>
      <c r="U574" s="10" t="str">
        <f t="shared" si="8"/>
        <v>#DIV/0!</v>
      </c>
      <c r="V574" s="10"/>
      <c r="W574" s="10"/>
      <c r="X574" s="10"/>
      <c r="Y574" s="10"/>
      <c r="Z574" s="10"/>
      <c r="AA574" s="10"/>
      <c r="AB574" s="10"/>
      <c r="AC574" s="10"/>
      <c r="AD574" s="10"/>
      <c r="AE574" s="10"/>
      <c r="AF574" s="10"/>
    </row>
    <row r="575" hidden="1">
      <c r="A575" s="9" t="s">
        <v>792</v>
      </c>
      <c r="B575" s="84"/>
      <c r="C575" s="9"/>
      <c r="D575" s="9" t="str">
        <f t="shared" si="1"/>
        <v/>
      </c>
      <c r="E575" s="10" t="str">
        <f t="shared" si="2"/>
        <v>OT Hours</v>
      </c>
      <c r="F575" s="10" t="str">
        <f>IFERROR(VLOOKUP(C575,'Employees List'!$B$1:$I$999,4,0),"")</f>
        <v/>
      </c>
      <c r="G575" s="10" t="str">
        <f t="shared" si="21"/>
        <v>#DIV/0!</v>
      </c>
      <c r="H575" s="72" t="str">
        <f>IFERROR(VLOOKUP(C575,'Employees List'!$B$2:$I$991,7,0),"")</f>
        <v/>
      </c>
      <c r="I575" s="73" t="str">
        <f>IFERROR(VLOOKUP(F575,'Employees List'!$E$1:$AE$991,6,0),"")</f>
        <v/>
      </c>
      <c r="J575" s="71">
        <f t="shared" si="3"/>
        <v>0</v>
      </c>
      <c r="K575" s="71">
        <f t="shared" si="4"/>
        <v>0</v>
      </c>
      <c r="L575" s="10" t="str">
        <f>IFERROR(VLOOKUP(B575,'Employees List'!$A$2:$K$991,11,0),"")</f>
        <v/>
      </c>
      <c r="M575" s="74" t="str">
        <f>IFERROR(VLOOKUP(D575,'Daily Attendance 25-26'!$A$4:BP999,5,0),"")</f>
        <v/>
      </c>
      <c r="N575" s="10" t="str">
        <f>IFERROR(VLOOKUP(E575,'Daily Attendance 25-26'!$A$1:$BO$1741,5,0),"")</f>
        <v/>
      </c>
      <c r="O575" s="10"/>
      <c r="P575" s="10"/>
      <c r="Q575" s="10" t="str">
        <f t="shared" si="5"/>
        <v>#DIV/0!</v>
      </c>
      <c r="R575" s="10" t="str">
        <f t="shared" si="6"/>
        <v>#DIV/0!</v>
      </c>
      <c r="S575" s="10" t="str">
        <f t="shared" si="23"/>
        <v>#DIV/0!</v>
      </c>
      <c r="T575" s="10" t="str">
        <f t="shared" si="22"/>
        <v>#DIV/0!</v>
      </c>
      <c r="U575" s="10" t="str">
        <f t="shared" si="8"/>
        <v>#DIV/0!</v>
      </c>
      <c r="V575" s="10"/>
      <c r="W575" s="10"/>
      <c r="X575" s="10"/>
      <c r="Y575" s="10"/>
      <c r="Z575" s="10"/>
      <c r="AA575" s="10"/>
      <c r="AB575" s="10"/>
      <c r="AC575" s="10"/>
      <c r="AD575" s="10"/>
      <c r="AE575" s="10"/>
      <c r="AF575" s="10"/>
    </row>
    <row r="576" hidden="1">
      <c r="A576" s="9" t="s">
        <v>793</v>
      </c>
      <c r="B576" s="84"/>
      <c r="C576" s="9"/>
      <c r="D576" s="9" t="str">
        <f t="shared" si="1"/>
        <v/>
      </c>
      <c r="E576" s="10" t="str">
        <f t="shared" si="2"/>
        <v>OT Hours</v>
      </c>
      <c r="F576" s="10" t="str">
        <f>IFERROR(VLOOKUP(C576,'Employees List'!$B$1:$I$999,4,0),"")</f>
        <v/>
      </c>
      <c r="G576" s="10" t="str">
        <f t="shared" si="21"/>
        <v>#DIV/0!</v>
      </c>
      <c r="H576" s="72" t="str">
        <f>IFERROR(VLOOKUP(C576,'Employees List'!$B$2:$I$991,7,0),"")</f>
        <v/>
      </c>
      <c r="I576" s="73" t="str">
        <f>IFERROR(VLOOKUP(F576,'Employees List'!$E$1:$AE$991,6,0),"")</f>
        <v/>
      </c>
      <c r="J576" s="71">
        <f t="shared" si="3"/>
        <v>0</v>
      </c>
      <c r="K576" s="71">
        <f t="shared" si="4"/>
        <v>0</v>
      </c>
      <c r="L576" s="10" t="str">
        <f>IFERROR(VLOOKUP(B576,'Employees List'!$A$2:$K$991,11,0),"")</f>
        <v/>
      </c>
      <c r="M576" s="74" t="str">
        <f>IFERROR(VLOOKUP(D576,'Daily Attendance 25-26'!$A$4:BP999,5,0),"")</f>
        <v/>
      </c>
      <c r="N576" s="10" t="str">
        <f>IFERROR(VLOOKUP(E576,'Daily Attendance 25-26'!$A$1:$BO$1741,5,0),"")</f>
        <v/>
      </c>
      <c r="O576" s="10"/>
      <c r="P576" s="10"/>
      <c r="Q576" s="10" t="str">
        <f t="shared" si="5"/>
        <v>#DIV/0!</v>
      </c>
      <c r="R576" s="10" t="str">
        <f t="shared" si="6"/>
        <v>#DIV/0!</v>
      </c>
      <c r="S576" s="10" t="str">
        <f t="shared" si="23"/>
        <v>#DIV/0!</v>
      </c>
      <c r="T576" s="10" t="str">
        <f t="shared" si="22"/>
        <v>#DIV/0!</v>
      </c>
      <c r="U576" s="10" t="str">
        <f t="shared" si="8"/>
        <v>#DIV/0!</v>
      </c>
      <c r="V576" s="10"/>
      <c r="W576" s="10"/>
      <c r="X576" s="10"/>
      <c r="Y576" s="10"/>
      <c r="Z576" s="10"/>
      <c r="AA576" s="10"/>
      <c r="AB576" s="10"/>
      <c r="AC576" s="10"/>
      <c r="AD576" s="10"/>
      <c r="AE576" s="10"/>
      <c r="AF576" s="10"/>
    </row>
    <row r="577" hidden="1">
      <c r="A577" s="9" t="s">
        <v>794</v>
      </c>
      <c r="B577" s="84"/>
      <c r="C577" s="9"/>
      <c r="D577" s="9" t="str">
        <f t="shared" si="1"/>
        <v/>
      </c>
      <c r="E577" s="10" t="str">
        <f t="shared" si="2"/>
        <v>OT Hours</v>
      </c>
      <c r="F577" s="10" t="str">
        <f>IFERROR(VLOOKUP(C577,'Employees List'!$B$1:$I$999,4,0),"")</f>
        <v/>
      </c>
      <c r="G577" s="10" t="str">
        <f t="shared" si="21"/>
        <v>#DIV/0!</v>
      </c>
      <c r="H577" s="72" t="str">
        <f>IFERROR(VLOOKUP(C577,'Employees List'!$B$2:$I$991,7,0),"")</f>
        <v/>
      </c>
      <c r="I577" s="73" t="str">
        <f>IFERROR(VLOOKUP(F577,'Employees List'!$E$1:$AE$991,6,0),"")</f>
        <v/>
      </c>
      <c r="J577" s="71">
        <f t="shared" si="3"/>
        <v>0</v>
      </c>
      <c r="K577" s="71">
        <f t="shared" si="4"/>
        <v>0</v>
      </c>
      <c r="L577" s="10" t="str">
        <f>IFERROR(VLOOKUP(B577,'Employees List'!$A$2:$K$991,11,0),"")</f>
        <v/>
      </c>
      <c r="M577" s="74" t="str">
        <f>IFERROR(VLOOKUP(D577,'Daily Attendance 25-26'!$A$4:BP999,5,0),"")</f>
        <v/>
      </c>
      <c r="N577" s="10" t="str">
        <f>IFERROR(VLOOKUP(E577,'Daily Attendance 25-26'!$A$1:$BO$1741,5,0),"")</f>
        <v/>
      </c>
      <c r="O577" s="10"/>
      <c r="P577" s="10"/>
      <c r="Q577" s="10" t="str">
        <f t="shared" si="5"/>
        <v>#DIV/0!</v>
      </c>
      <c r="R577" s="10" t="str">
        <f t="shared" si="6"/>
        <v>#DIV/0!</v>
      </c>
      <c r="S577" s="10" t="str">
        <f t="shared" si="23"/>
        <v>#DIV/0!</v>
      </c>
      <c r="T577" s="10" t="str">
        <f t="shared" si="22"/>
        <v>#DIV/0!</v>
      </c>
      <c r="U577" s="10" t="str">
        <f t="shared" si="8"/>
        <v>#DIV/0!</v>
      </c>
      <c r="V577" s="10"/>
      <c r="W577" s="10"/>
      <c r="X577" s="10"/>
      <c r="Y577" s="10"/>
      <c r="Z577" s="10"/>
      <c r="AA577" s="10"/>
      <c r="AB577" s="10"/>
      <c r="AC577" s="10"/>
      <c r="AD577" s="10"/>
      <c r="AE577" s="10"/>
      <c r="AF577" s="10"/>
    </row>
    <row r="578" hidden="1">
      <c r="A578" s="9" t="s">
        <v>795</v>
      </c>
      <c r="B578" s="84"/>
      <c r="C578" s="9"/>
      <c r="D578" s="9" t="str">
        <f t="shared" si="1"/>
        <v/>
      </c>
      <c r="E578" s="10" t="str">
        <f t="shared" si="2"/>
        <v>OT Hours</v>
      </c>
      <c r="F578" s="10" t="str">
        <f>IFERROR(VLOOKUP(C578,'Employees List'!$B$1:$I$999,4,0),"")</f>
        <v/>
      </c>
      <c r="G578" s="10" t="str">
        <f t="shared" si="21"/>
        <v>#DIV/0!</v>
      </c>
      <c r="H578" s="72" t="str">
        <f>IFERROR(VLOOKUP(C578,'Employees List'!$B$2:$I$991,7,0),"")</f>
        <v/>
      </c>
      <c r="I578" s="73" t="str">
        <f>IFERROR(VLOOKUP(F578,'Employees List'!$E$1:$AE$991,6,0),"")</f>
        <v/>
      </c>
      <c r="J578" s="71">
        <f t="shared" si="3"/>
        <v>0</v>
      </c>
      <c r="K578" s="71">
        <f t="shared" si="4"/>
        <v>0</v>
      </c>
      <c r="L578" s="10" t="str">
        <f>IFERROR(VLOOKUP(B578,'Employees List'!$A$2:$K$991,11,0),"")</f>
        <v/>
      </c>
      <c r="M578" s="74" t="str">
        <f>IFERROR(VLOOKUP(D578,'Daily Attendance 25-26'!$A$4:BP999,5,0),"")</f>
        <v/>
      </c>
      <c r="N578" s="10" t="str">
        <f>IFERROR(VLOOKUP(E578,'Daily Attendance 25-26'!$A$1:$BO$1741,5,0),"")</f>
        <v/>
      </c>
      <c r="O578" s="10"/>
      <c r="P578" s="10"/>
      <c r="Q578" s="10" t="str">
        <f t="shared" si="5"/>
        <v>#DIV/0!</v>
      </c>
      <c r="R578" s="10" t="str">
        <f t="shared" si="6"/>
        <v>#DIV/0!</v>
      </c>
      <c r="S578" s="10" t="str">
        <f t="shared" si="23"/>
        <v>#DIV/0!</v>
      </c>
      <c r="T578" s="10" t="str">
        <f t="shared" si="22"/>
        <v>#DIV/0!</v>
      </c>
      <c r="U578" s="10" t="str">
        <f t="shared" si="8"/>
        <v>#DIV/0!</v>
      </c>
      <c r="V578" s="10"/>
      <c r="W578" s="10"/>
      <c r="X578" s="10"/>
      <c r="Y578" s="10"/>
      <c r="Z578" s="10"/>
      <c r="AA578" s="10"/>
      <c r="AB578" s="10"/>
      <c r="AC578" s="10"/>
      <c r="AD578" s="10"/>
      <c r="AE578" s="10"/>
      <c r="AF578" s="10"/>
    </row>
    <row r="579" hidden="1">
      <c r="A579" s="9" t="s">
        <v>796</v>
      </c>
      <c r="B579" s="84"/>
      <c r="C579" s="9"/>
      <c r="D579" s="9" t="str">
        <f t="shared" si="1"/>
        <v/>
      </c>
      <c r="E579" s="10" t="str">
        <f t="shared" si="2"/>
        <v>OT Hours</v>
      </c>
      <c r="F579" s="10" t="str">
        <f>IFERROR(VLOOKUP(C579,'Employees List'!$B$1:$I$999,4,0),"")</f>
        <v/>
      </c>
      <c r="G579" s="10" t="str">
        <f t="shared" si="21"/>
        <v>#DIV/0!</v>
      </c>
      <c r="H579" s="72" t="str">
        <f>IFERROR(VLOOKUP(C579,'Employees List'!$B$2:$I$991,7,0),"")</f>
        <v/>
      </c>
      <c r="I579" s="73" t="str">
        <f>IFERROR(VLOOKUP(F579,'Employees List'!$E$1:$AE$991,6,0),"")</f>
        <v/>
      </c>
      <c r="J579" s="71">
        <f t="shared" si="3"/>
        <v>0</v>
      </c>
      <c r="K579" s="71">
        <f t="shared" si="4"/>
        <v>0</v>
      </c>
      <c r="L579" s="10" t="str">
        <f>IFERROR(VLOOKUP(B579,'Employees List'!$A$2:$K$991,11,0),"")</f>
        <v/>
      </c>
      <c r="M579" s="74" t="str">
        <f>IFERROR(VLOOKUP(D579,'Daily Attendance 25-26'!$A$4:BP999,5,0),"")</f>
        <v/>
      </c>
      <c r="N579" s="10" t="str">
        <f>IFERROR(VLOOKUP(E579,'Daily Attendance 25-26'!$A$1:$BO$1741,5,0),"")</f>
        <v/>
      </c>
      <c r="O579" s="10"/>
      <c r="P579" s="10"/>
      <c r="Q579" s="10" t="str">
        <f t="shared" si="5"/>
        <v>#DIV/0!</v>
      </c>
      <c r="R579" s="10" t="str">
        <f t="shared" si="6"/>
        <v>#DIV/0!</v>
      </c>
      <c r="S579" s="10" t="str">
        <f t="shared" si="23"/>
        <v>#DIV/0!</v>
      </c>
      <c r="T579" s="10" t="str">
        <f t="shared" si="22"/>
        <v>#DIV/0!</v>
      </c>
      <c r="U579" s="10" t="str">
        <f t="shared" si="8"/>
        <v>#DIV/0!</v>
      </c>
      <c r="V579" s="10"/>
      <c r="W579" s="10"/>
      <c r="X579" s="10"/>
      <c r="Y579" s="10"/>
      <c r="Z579" s="10"/>
      <c r="AA579" s="10"/>
      <c r="AB579" s="10"/>
      <c r="AC579" s="10"/>
      <c r="AD579" s="10"/>
      <c r="AE579" s="10"/>
      <c r="AF579" s="10"/>
    </row>
    <row r="580" hidden="1">
      <c r="A580" s="9" t="s">
        <v>797</v>
      </c>
      <c r="B580" s="84"/>
      <c r="C580" s="9"/>
      <c r="D580" s="9" t="str">
        <f t="shared" si="1"/>
        <v/>
      </c>
      <c r="E580" s="10" t="str">
        <f t="shared" si="2"/>
        <v>OT Hours</v>
      </c>
      <c r="F580" s="10" t="str">
        <f>IFERROR(VLOOKUP(C580,'Employees List'!$B$1:$I$999,4,0),"")</f>
        <v/>
      </c>
      <c r="G580" s="10" t="str">
        <f t="shared" si="21"/>
        <v>#DIV/0!</v>
      </c>
      <c r="H580" s="72" t="str">
        <f>IFERROR(VLOOKUP(C580,'Employees List'!$B$2:$I$991,7,0),"")</f>
        <v/>
      </c>
      <c r="I580" s="73" t="str">
        <f>IFERROR(VLOOKUP(F580,'Employees List'!$E$1:$AE$991,6,0),"")</f>
        <v/>
      </c>
      <c r="J580" s="71">
        <f t="shared" si="3"/>
        <v>0</v>
      </c>
      <c r="K580" s="71">
        <f t="shared" si="4"/>
        <v>0</v>
      </c>
      <c r="L580" s="10" t="str">
        <f>IFERROR(VLOOKUP(B580,'Employees List'!$A$2:$K$991,11,0),"")</f>
        <v/>
      </c>
      <c r="M580" s="74" t="str">
        <f>IFERROR(VLOOKUP(D580,'Daily Attendance 25-26'!$A$4:BP999,5,0),"")</f>
        <v/>
      </c>
      <c r="N580" s="10" t="str">
        <f>IFERROR(VLOOKUP(E580,'Daily Attendance 25-26'!$A$1:$BO$1741,5,0),"")</f>
        <v/>
      </c>
      <c r="O580" s="10"/>
      <c r="P580" s="10"/>
      <c r="Q580" s="10" t="str">
        <f t="shared" si="5"/>
        <v>#DIV/0!</v>
      </c>
      <c r="R580" s="10" t="str">
        <f t="shared" si="6"/>
        <v>#DIV/0!</v>
      </c>
      <c r="S580" s="10" t="str">
        <f t="shared" si="23"/>
        <v>#DIV/0!</v>
      </c>
      <c r="T580" s="10" t="str">
        <f t="shared" si="22"/>
        <v>#DIV/0!</v>
      </c>
      <c r="U580" s="10" t="str">
        <f t="shared" si="8"/>
        <v>#DIV/0!</v>
      </c>
      <c r="V580" s="10"/>
      <c r="W580" s="10"/>
      <c r="X580" s="10"/>
      <c r="Y580" s="10"/>
      <c r="Z580" s="10"/>
      <c r="AA580" s="10"/>
      <c r="AB580" s="10"/>
      <c r="AC580" s="10"/>
      <c r="AD580" s="10"/>
      <c r="AE580" s="10"/>
      <c r="AF580" s="10"/>
    </row>
    <row r="581" hidden="1">
      <c r="A581" s="9" t="s">
        <v>798</v>
      </c>
      <c r="B581" s="84"/>
      <c r="C581" s="9"/>
      <c r="D581" s="9" t="str">
        <f t="shared" si="1"/>
        <v/>
      </c>
      <c r="E581" s="10" t="str">
        <f t="shared" si="2"/>
        <v>OT Hours</v>
      </c>
      <c r="F581" s="10" t="str">
        <f>IFERROR(VLOOKUP(C581,'Employees List'!$B$1:$I$999,4,0),"")</f>
        <v/>
      </c>
      <c r="G581" s="10" t="str">
        <f t="shared" si="21"/>
        <v>#DIV/0!</v>
      </c>
      <c r="H581" s="72" t="str">
        <f>IFERROR(VLOOKUP(C581,'Employees List'!$B$2:$I$991,7,0),"")</f>
        <v/>
      </c>
      <c r="I581" s="73" t="str">
        <f>IFERROR(VLOOKUP(F581,'Employees List'!$E$1:$AE$991,6,0),"")</f>
        <v/>
      </c>
      <c r="J581" s="71">
        <f t="shared" si="3"/>
        <v>0</v>
      </c>
      <c r="K581" s="71">
        <f t="shared" si="4"/>
        <v>0</v>
      </c>
      <c r="L581" s="10" t="str">
        <f>IFERROR(VLOOKUP(B581,'Employees List'!$A$2:$K$991,11,0),"")</f>
        <v/>
      </c>
      <c r="M581" s="74" t="str">
        <f>IFERROR(VLOOKUP(D581,'Daily Attendance 25-26'!$A$4:BP999,5,0),"")</f>
        <v/>
      </c>
      <c r="N581" s="10" t="str">
        <f>IFERROR(VLOOKUP(E581,'Daily Attendance 25-26'!$A$1:$BO$1741,5,0),"")</f>
        <v/>
      </c>
      <c r="O581" s="10"/>
      <c r="P581" s="10"/>
      <c r="Q581" s="10" t="str">
        <f t="shared" si="5"/>
        <v>#DIV/0!</v>
      </c>
      <c r="R581" s="10" t="str">
        <f t="shared" si="6"/>
        <v>#DIV/0!</v>
      </c>
      <c r="S581" s="10" t="str">
        <f t="shared" si="23"/>
        <v>#DIV/0!</v>
      </c>
      <c r="T581" s="10" t="str">
        <f t="shared" si="22"/>
        <v>#DIV/0!</v>
      </c>
      <c r="U581" s="10" t="str">
        <f t="shared" si="8"/>
        <v>#DIV/0!</v>
      </c>
      <c r="V581" s="10"/>
      <c r="W581" s="10"/>
      <c r="X581" s="10"/>
      <c r="Y581" s="10"/>
      <c r="Z581" s="10"/>
      <c r="AA581" s="10"/>
      <c r="AB581" s="10"/>
      <c r="AC581" s="10"/>
      <c r="AD581" s="10"/>
      <c r="AE581" s="10"/>
      <c r="AF581" s="10"/>
    </row>
    <row r="582" hidden="1">
      <c r="A582" s="9" t="s">
        <v>799</v>
      </c>
      <c r="B582" s="84"/>
      <c r="C582" s="9"/>
      <c r="D582" s="9" t="str">
        <f t="shared" si="1"/>
        <v/>
      </c>
      <c r="E582" s="10" t="str">
        <f t="shared" si="2"/>
        <v>OT Hours</v>
      </c>
      <c r="F582" s="10" t="str">
        <f>IFERROR(VLOOKUP(C582,'Employees List'!$B$1:$I$999,4,0),"")</f>
        <v/>
      </c>
      <c r="G582" s="10" t="str">
        <f t="shared" si="21"/>
        <v>#DIV/0!</v>
      </c>
      <c r="H582" s="72" t="str">
        <f>IFERROR(VLOOKUP(C582,'Employees List'!$B$2:$I$991,7,0),"")</f>
        <v/>
      </c>
      <c r="I582" s="73" t="str">
        <f>IFERROR(VLOOKUP(F582,'Employees List'!$E$1:$AE$991,6,0),"")</f>
        <v/>
      </c>
      <c r="J582" s="71">
        <f t="shared" si="3"/>
        <v>0</v>
      </c>
      <c r="K582" s="71">
        <f t="shared" si="4"/>
        <v>0</v>
      </c>
      <c r="L582" s="10" t="str">
        <f>IFERROR(VLOOKUP(B582,'Employees List'!$A$2:$K$991,11,0),"")</f>
        <v/>
      </c>
      <c r="M582" s="74" t="str">
        <f>IFERROR(VLOOKUP(D582,'Daily Attendance 25-26'!$A$4:BP999,5,0),"")</f>
        <v/>
      </c>
      <c r="N582" s="10" t="str">
        <f>IFERROR(VLOOKUP(E582,'Daily Attendance 25-26'!$A$1:$BO$1741,5,0),"")</f>
        <v/>
      </c>
      <c r="O582" s="10"/>
      <c r="P582" s="10"/>
      <c r="Q582" s="10" t="str">
        <f t="shared" si="5"/>
        <v>#DIV/0!</v>
      </c>
      <c r="R582" s="10" t="str">
        <f t="shared" si="6"/>
        <v>#DIV/0!</v>
      </c>
      <c r="S582" s="10" t="str">
        <f t="shared" si="23"/>
        <v>#DIV/0!</v>
      </c>
      <c r="T582" s="10" t="str">
        <f t="shared" si="22"/>
        <v>#DIV/0!</v>
      </c>
      <c r="U582" s="10" t="str">
        <f t="shared" si="8"/>
        <v>#DIV/0!</v>
      </c>
      <c r="V582" s="10"/>
      <c r="W582" s="10"/>
      <c r="X582" s="10"/>
      <c r="Y582" s="10"/>
      <c r="Z582" s="10"/>
      <c r="AA582" s="10"/>
      <c r="AB582" s="10"/>
      <c r="AC582" s="10"/>
      <c r="AD582" s="10"/>
      <c r="AE582" s="10"/>
      <c r="AF582" s="10"/>
    </row>
    <row r="583" hidden="1">
      <c r="A583" s="9" t="s">
        <v>800</v>
      </c>
      <c r="B583" s="84"/>
      <c r="C583" s="9"/>
      <c r="D583" s="9" t="str">
        <f t="shared" si="1"/>
        <v/>
      </c>
      <c r="E583" s="10" t="str">
        <f t="shared" si="2"/>
        <v>OT Hours</v>
      </c>
      <c r="F583" s="10" t="str">
        <f>IFERROR(VLOOKUP(C583,'Employees List'!$B$1:$I$999,4,0),"")</f>
        <v/>
      </c>
      <c r="G583" s="10" t="str">
        <f t="shared" si="21"/>
        <v>#DIV/0!</v>
      </c>
      <c r="H583" s="72" t="str">
        <f>IFERROR(VLOOKUP(C583,'Employees List'!$B$2:$I$991,7,0),"")</f>
        <v/>
      </c>
      <c r="I583" s="73" t="str">
        <f>IFERROR(VLOOKUP(F583,'Employees List'!$E$1:$AE$991,6,0),"")</f>
        <v/>
      </c>
      <c r="J583" s="71">
        <f t="shared" si="3"/>
        <v>0</v>
      </c>
      <c r="K583" s="71">
        <f t="shared" si="4"/>
        <v>0</v>
      </c>
      <c r="L583" s="10" t="str">
        <f>IFERROR(VLOOKUP(B583,'Employees List'!$A$2:$K$991,11,0),"")</f>
        <v/>
      </c>
      <c r="M583" s="74" t="str">
        <f>IFERROR(VLOOKUP(D583,'Daily Attendance 25-26'!$A$4:BP999,5,0),"")</f>
        <v/>
      </c>
      <c r="N583" s="10" t="str">
        <f>IFERROR(VLOOKUP(E583,'Daily Attendance 25-26'!$A$1:$BO$1741,5,0),"")</f>
        <v/>
      </c>
      <c r="O583" s="10"/>
      <c r="P583" s="10"/>
      <c r="Q583" s="10" t="str">
        <f t="shared" si="5"/>
        <v>#DIV/0!</v>
      </c>
      <c r="R583" s="10" t="str">
        <f t="shared" si="6"/>
        <v>#DIV/0!</v>
      </c>
      <c r="S583" s="10" t="str">
        <f t="shared" si="23"/>
        <v>#DIV/0!</v>
      </c>
      <c r="T583" s="10" t="str">
        <f t="shared" si="22"/>
        <v>#DIV/0!</v>
      </c>
      <c r="U583" s="10" t="str">
        <f t="shared" si="8"/>
        <v>#DIV/0!</v>
      </c>
      <c r="V583" s="10"/>
      <c r="W583" s="10"/>
      <c r="X583" s="10"/>
      <c r="Y583" s="10"/>
      <c r="Z583" s="10"/>
      <c r="AA583" s="10"/>
      <c r="AB583" s="10"/>
      <c r="AC583" s="10"/>
      <c r="AD583" s="10"/>
      <c r="AE583" s="10"/>
      <c r="AF583" s="10"/>
    </row>
    <row r="584" hidden="1">
      <c r="A584" s="9" t="s">
        <v>801</v>
      </c>
      <c r="B584" s="84"/>
      <c r="C584" s="9"/>
      <c r="D584" s="9" t="str">
        <f t="shared" si="1"/>
        <v/>
      </c>
      <c r="E584" s="10" t="str">
        <f t="shared" si="2"/>
        <v>OT Hours</v>
      </c>
      <c r="F584" s="10" t="str">
        <f>IFERROR(VLOOKUP(C584,'Employees List'!$B$1:$I$999,4,0),"")</f>
        <v/>
      </c>
      <c r="G584" s="10" t="str">
        <f t="shared" si="21"/>
        <v>#DIV/0!</v>
      </c>
      <c r="H584" s="72" t="str">
        <f>IFERROR(VLOOKUP(C584,'Employees List'!$B$2:$I$991,7,0),"")</f>
        <v/>
      </c>
      <c r="I584" s="73" t="str">
        <f>IFERROR(VLOOKUP(F584,'Employees List'!$E$1:$AE$991,6,0),"")</f>
        <v/>
      </c>
      <c r="J584" s="71">
        <f t="shared" si="3"/>
        <v>0</v>
      </c>
      <c r="K584" s="71">
        <f t="shared" si="4"/>
        <v>0</v>
      </c>
      <c r="L584" s="10" t="str">
        <f>IFERROR(VLOOKUP(B584,'Employees List'!$A$2:$K$991,11,0),"")</f>
        <v/>
      </c>
      <c r="M584" s="74" t="str">
        <f>IFERROR(VLOOKUP(D584,'Daily Attendance 25-26'!$A$4:BP999,5,0),"")</f>
        <v/>
      </c>
      <c r="N584" s="10" t="str">
        <f>IFERROR(VLOOKUP(E584,'Daily Attendance 25-26'!$A$1:$BO$1741,5,0),"")</f>
        <v/>
      </c>
      <c r="O584" s="10"/>
      <c r="P584" s="10"/>
      <c r="Q584" s="10" t="str">
        <f t="shared" si="5"/>
        <v>#DIV/0!</v>
      </c>
      <c r="R584" s="10" t="str">
        <f t="shared" si="6"/>
        <v>#DIV/0!</v>
      </c>
      <c r="S584" s="10" t="str">
        <f t="shared" si="23"/>
        <v>#DIV/0!</v>
      </c>
      <c r="T584" s="10" t="str">
        <f t="shared" si="22"/>
        <v>#DIV/0!</v>
      </c>
      <c r="U584" s="10" t="str">
        <f t="shared" si="8"/>
        <v>#DIV/0!</v>
      </c>
      <c r="V584" s="10"/>
      <c r="W584" s="10"/>
      <c r="X584" s="10"/>
      <c r="Y584" s="10"/>
      <c r="Z584" s="10"/>
      <c r="AA584" s="10"/>
      <c r="AB584" s="10"/>
      <c r="AC584" s="10"/>
      <c r="AD584" s="10"/>
      <c r="AE584" s="10"/>
      <c r="AF584" s="10"/>
    </row>
    <row r="585" hidden="1">
      <c r="A585" s="9" t="s">
        <v>802</v>
      </c>
      <c r="B585" s="84"/>
      <c r="C585" s="9"/>
      <c r="D585" s="9" t="str">
        <f t="shared" si="1"/>
        <v/>
      </c>
      <c r="E585" s="10" t="str">
        <f t="shared" si="2"/>
        <v>OT Hours</v>
      </c>
      <c r="F585" s="10" t="str">
        <f>IFERROR(VLOOKUP(C585,'Employees List'!$B$1:$I$999,4,0),"")</f>
        <v/>
      </c>
      <c r="G585" s="10" t="str">
        <f t="shared" si="21"/>
        <v>#DIV/0!</v>
      </c>
      <c r="H585" s="72" t="str">
        <f>IFERROR(VLOOKUP(C585,'Employees List'!$B$2:$I$991,7,0),"")</f>
        <v/>
      </c>
      <c r="I585" s="73" t="str">
        <f>IFERROR(VLOOKUP(F585,'Employees List'!$E$1:$AE$991,6,0),"")</f>
        <v/>
      </c>
      <c r="J585" s="71">
        <f t="shared" si="3"/>
        <v>0</v>
      </c>
      <c r="K585" s="71">
        <f t="shared" si="4"/>
        <v>0</v>
      </c>
      <c r="L585" s="10" t="str">
        <f>IFERROR(VLOOKUP(B585,'Employees List'!$A$2:$K$991,11,0),"")</f>
        <v/>
      </c>
      <c r="M585" s="74" t="str">
        <f>IFERROR(VLOOKUP(D585,'Daily Attendance 25-26'!$A$4:BP999,5,0),"")</f>
        <v/>
      </c>
      <c r="N585" s="10" t="str">
        <f>IFERROR(VLOOKUP(E585,'Daily Attendance 25-26'!$A$1:$BO$1741,5,0),"")</f>
        <v/>
      </c>
      <c r="O585" s="10"/>
      <c r="P585" s="10"/>
      <c r="Q585" s="10" t="str">
        <f t="shared" si="5"/>
        <v>#DIV/0!</v>
      </c>
      <c r="R585" s="10" t="str">
        <f t="shared" si="6"/>
        <v>#DIV/0!</v>
      </c>
      <c r="S585" s="10" t="str">
        <f t="shared" si="23"/>
        <v>#DIV/0!</v>
      </c>
      <c r="T585" s="10" t="str">
        <f t="shared" si="22"/>
        <v>#DIV/0!</v>
      </c>
      <c r="U585" s="10" t="str">
        <f t="shared" si="8"/>
        <v>#DIV/0!</v>
      </c>
      <c r="V585" s="10"/>
      <c r="W585" s="10"/>
      <c r="X585" s="10"/>
      <c r="Y585" s="10"/>
      <c r="Z585" s="10"/>
      <c r="AA585" s="10"/>
      <c r="AB585" s="10"/>
      <c r="AC585" s="10"/>
      <c r="AD585" s="10"/>
      <c r="AE585" s="10"/>
      <c r="AF585" s="10"/>
    </row>
    <row r="586" hidden="1">
      <c r="A586" s="9" t="s">
        <v>803</v>
      </c>
      <c r="B586" s="84"/>
      <c r="C586" s="9"/>
      <c r="D586" s="9" t="str">
        <f t="shared" si="1"/>
        <v/>
      </c>
      <c r="E586" s="10" t="str">
        <f t="shared" si="2"/>
        <v>OT Hours</v>
      </c>
      <c r="F586" s="10" t="str">
        <f>IFERROR(VLOOKUP(C586,'Employees List'!$B$1:$I$999,4,0),"")</f>
        <v/>
      </c>
      <c r="G586" s="10" t="str">
        <f t="shared" si="21"/>
        <v>#DIV/0!</v>
      </c>
      <c r="H586" s="72" t="str">
        <f>IFERROR(VLOOKUP(C586,'Employees List'!$B$2:$I$991,7,0),"")</f>
        <v/>
      </c>
      <c r="I586" s="73" t="str">
        <f>IFERROR(VLOOKUP(F586,'Employees List'!$E$1:$AE$991,6,0),"")</f>
        <v/>
      </c>
      <c r="J586" s="71">
        <f t="shared" si="3"/>
        <v>0</v>
      </c>
      <c r="K586" s="71">
        <f t="shared" si="4"/>
        <v>0</v>
      </c>
      <c r="L586" s="10" t="str">
        <f>IFERROR(VLOOKUP(B586,'Employees List'!$A$2:$K$991,11,0),"")</f>
        <v/>
      </c>
      <c r="M586" s="74" t="str">
        <f>IFERROR(VLOOKUP(D586,'Daily Attendance 25-26'!$A$4:BP999,5,0),"")</f>
        <v/>
      </c>
      <c r="N586" s="10" t="str">
        <f>IFERROR(VLOOKUP(E586,'Daily Attendance 25-26'!$A$1:$BO$1741,5,0),"")</f>
        <v/>
      </c>
      <c r="O586" s="10"/>
      <c r="P586" s="10"/>
      <c r="Q586" s="10" t="str">
        <f t="shared" si="5"/>
        <v>#DIV/0!</v>
      </c>
      <c r="R586" s="10" t="str">
        <f t="shared" si="6"/>
        <v>#DIV/0!</v>
      </c>
      <c r="S586" s="10" t="str">
        <f t="shared" si="23"/>
        <v>#DIV/0!</v>
      </c>
      <c r="T586" s="10" t="str">
        <f t="shared" si="22"/>
        <v>#DIV/0!</v>
      </c>
      <c r="U586" s="10" t="str">
        <f t="shared" si="8"/>
        <v>#DIV/0!</v>
      </c>
      <c r="V586" s="10"/>
      <c r="W586" s="10"/>
      <c r="X586" s="10"/>
      <c r="Y586" s="10"/>
      <c r="Z586" s="10"/>
      <c r="AA586" s="10"/>
      <c r="AB586" s="10"/>
      <c r="AC586" s="10"/>
      <c r="AD586" s="10"/>
      <c r="AE586" s="10"/>
      <c r="AF586" s="10"/>
    </row>
    <row r="587" hidden="1">
      <c r="A587" s="9" t="s">
        <v>804</v>
      </c>
      <c r="B587" s="84"/>
      <c r="C587" s="9"/>
      <c r="D587" s="9" t="str">
        <f t="shared" si="1"/>
        <v/>
      </c>
      <c r="E587" s="10" t="str">
        <f t="shared" si="2"/>
        <v>OT Hours</v>
      </c>
      <c r="F587" s="10" t="str">
        <f>IFERROR(VLOOKUP(C587,'Employees List'!$B$1:$I$999,4,0),"")</f>
        <v/>
      </c>
      <c r="G587" s="10" t="str">
        <f t="shared" si="21"/>
        <v>#DIV/0!</v>
      </c>
      <c r="H587" s="72" t="str">
        <f>IFERROR(VLOOKUP(C587,'Employees List'!$B$2:$I$991,7,0),"")</f>
        <v/>
      </c>
      <c r="I587" s="73" t="str">
        <f>IFERROR(VLOOKUP(F587,'Employees List'!$E$1:$AE$991,6,0),"")</f>
        <v/>
      </c>
      <c r="J587" s="71">
        <f t="shared" si="3"/>
        <v>0</v>
      </c>
      <c r="K587" s="71">
        <f t="shared" si="4"/>
        <v>0</v>
      </c>
      <c r="L587" s="10" t="str">
        <f>IFERROR(VLOOKUP(B587,'Employees List'!$A$2:$K$991,11,0),"")</f>
        <v/>
      </c>
      <c r="M587" s="74" t="str">
        <f>IFERROR(VLOOKUP(D587,'Daily Attendance 25-26'!$A$4:BP999,5,0),"")</f>
        <v/>
      </c>
      <c r="N587" s="10" t="str">
        <f>IFERROR(VLOOKUP(E587,'Daily Attendance 25-26'!$A$1:$BO$1741,5,0),"")</f>
        <v/>
      </c>
      <c r="O587" s="10"/>
      <c r="P587" s="10"/>
      <c r="Q587" s="10" t="str">
        <f t="shared" si="5"/>
        <v>#DIV/0!</v>
      </c>
      <c r="R587" s="10" t="str">
        <f t="shared" si="6"/>
        <v>#DIV/0!</v>
      </c>
      <c r="S587" s="10" t="str">
        <f t="shared" si="23"/>
        <v>#DIV/0!</v>
      </c>
      <c r="T587" s="10" t="str">
        <f t="shared" si="22"/>
        <v>#DIV/0!</v>
      </c>
      <c r="U587" s="10" t="str">
        <f t="shared" si="8"/>
        <v>#DIV/0!</v>
      </c>
      <c r="V587" s="10"/>
      <c r="W587" s="10"/>
      <c r="X587" s="10"/>
      <c r="Y587" s="10"/>
      <c r="Z587" s="10"/>
      <c r="AA587" s="10"/>
      <c r="AB587" s="10"/>
      <c r="AC587" s="10"/>
      <c r="AD587" s="10"/>
      <c r="AE587" s="10"/>
      <c r="AF587" s="10"/>
    </row>
    <row r="588" hidden="1">
      <c r="A588" s="9" t="s">
        <v>805</v>
      </c>
      <c r="B588" s="84"/>
      <c r="C588" s="9"/>
      <c r="D588" s="9" t="str">
        <f t="shared" si="1"/>
        <v/>
      </c>
      <c r="E588" s="10" t="str">
        <f t="shared" si="2"/>
        <v>OT Hours</v>
      </c>
      <c r="F588" s="10" t="str">
        <f>IFERROR(VLOOKUP(C588,'Employees List'!$B$1:$I$999,4,0),"")</f>
        <v/>
      </c>
      <c r="G588" s="10" t="str">
        <f t="shared" si="21"/>
        <v>#DIV/0!</v>
      </c>
      <c r="H588" s="72" t="str">
        <f>IFERROR(VLOOKUP(C588,'Employees List'!$B$2:$I$991,7,0),"")</f>
        <v/>
      </c>
      <c r="I588" s="73" t="str">
        <f>IFERROR(VLOOKUP(F588,'Employees List'!$E$1:$AE$991,6,0),"")</f>
        <v/>
      </c>
      <c r="J588" s="71">
        <f t="shared" si="3"/>
        <v>0</v>
      </c>
      <c r="K588" s="71">
        <f t="shared" si="4"/>
        <v>0</v>
      </c>
      <c r="L588" s="10" t="str">
        <f>IFERROR(VLOOKUP(B588,'Employees List'!$A$2:$K$991,11,0),"")</f>
        <v/>
      </c>
      <c r="M588" s="74" t="str">
        <f>IFERROR(VLOOKUP(D588,'Daily Attendance 25-26'!$A$4:BP999,5,0),"")</f>
        <v/>
      </c>
      <c r="N588" s="10" t="str">
        <f>IFERROR(VLOOKUP(E588,'Daily Attendance 25-26'!$A$1:$BO$1741,5,0),"")</f>
        <v/>
      </c>
      <c r="O588" s="10"/>
      <c r="P588" s="10"/>
      <c r="Q588" s="10" t="str">
        <f t="shared" si="5"/>
        <v>#DIV/0!</v>
      </c>
      <c r="R588" s="10" t="str">
        <f t="shared" si="6"/>
        <v>#DIV/0!</v>
      </c>
      <c r="S588" s="10" t="str">
        <f t="shared" si="23"/>
        <v>#DIV/0!</v>
      </c>
      <c r="T588" s="10" t="str">
        <f t="shared" si="22"/>
        <v>#DIV/0!</v>
      </c>
      <c r="U588" s="10" t="str">
        <f t="shared" si="8"/>
        <v>#DIV/0!</v>
      </c>
      <c r="V588" s="10"/>
      <c r="W588" s="10"/>
      <c r="X588" s="10"/>
      <c r="Y588" s="10"/>
      <c r="Z588" s="10"/>
      <c r="AA588" s="10"/>
      <c r="AB588" s="10"/>
      <c r="AC588" s="10"/>
      <c r="AD588" s="10"/>
      <c r="AE588" s="10"/>
      <c r="AF588" s="10"/>
    </row>
    <row r="589" hidden="1">
      <c r="A589" s="9" t="s">
        <v>806</v>
      </c>
      <c r="B589" s="84"/>
      <c r="C589" s="9"/>
      <c r="D589" s="9" t="str">
        <f t="shared" si="1"/>
        <v/>
      </c>
      <c r="E589" s="10" t="str">
        <f t="shared" si="2"/>
        <v>OT Hours</v>
      </c>
      <c r="F589" s="10" t="str">
        <f>IFERROR(VLOOKUP(C589,'Employees List'!$B$1:$I$999,4,0),"")</f>
        <v/>
      </c>
      <c r="G589" s="10" t="str">
        <f t="shared" si="21"/>
        <v>#DIV/0!</v>
      </c>
      <c r="H589" s="72" t="str">
        <f>IFERROR(VLOOKUP(C589,'Employees List'!$B$2:$I$991,7,0),"")</f>
        <v/>
      </c>
      <c r="I589" s="73" t="str">
        <f>IFERROR(VLOOKUP(F589,'Employees List'!$E$1:$AE$991,6,0),"")</f>
        <v/>
      </c>
      <c r="J589" s="71">
        <f t="shared" si="3"/>
        <v>0</v>
      </c>
      <c r="K589" s="71">
        <f t="shared" si="4"/>
        <v>0</v>
      </c>
      <c r="L589" s="10" t="str">
        <f>IFERROR(VLOOKUP(B589,'Employees List'!$A$2:$K$991,11,0),"")</f>
        <v/>
      </c>
      <c r="M589" s="74" t="str">
        <f>IFERROR(VLOOKUP(D589,'Daily Attendance 25-26'!$A$4:BP999,5,0),"")</f>
        <v/>
      </c>
      <c r="N589" s="10" t="str">
        <f>IFERROR(VLOOKUP(E589,'Daily Attendance 25-26'!$A$1:$BO$1741,5,0),"")</f>
        <v/>
      </c>
      <c r="O589" s="10"/>
      <c r="P589" s="10"/>
      <c r="Q589" s="10" t="str">
        <f t="shared" si="5"/>
        <v>#DIV/0!</v>
      </c>
      <c r="R589" s="10" t="str">
        <f t="shared" si="6"/>
        <v>#DIV/0!</v>
      </c>
      <c r="S589" s="10" t="str">
        <f t="shared" si="23"/>
        <v>#DIV/0!</v>
      </c>
      <c r="T589" s="10" t="str">
        <f t="shared" si="22"/>
        <v>#DIV/0!</v>
      </c>
      <c r="U589" s="10" t="str">
        <f t="shared" si="8"/>
        <v>#DIV/0!</v>
      </c>
      <c r="V589" s="10"/>
      <c r="W589" s="10"/>
      <c r="X589" s="10"/>
      <c r="Y589" s="10"/>
      <c r="Z589" s="10"/>
      <c r="AA589" s="10"/>
      <c r="AB589" s="10"/>
      <c r="AC589" s="10"/>
      <c r="AD589" s="10"/>
      <c r="AE589" s="10"/>
      <c r="AF589" s="10"/>
    </row>
    <row r="590" hidden="1">
      <c r="A590" s="9" t="s">
        <v>807</v>
      </c>
      <c r="B590" s="84"/>
      <c r="C590" s="9"/>
      <c r="D590" s="9" t="str">
        <f t="shared" si="1"/>
        <v/>
      </c>
      <c r="E590" s="10" t="str">
        <f t="shared" si="2"/>
        <v>OT Hours</v>
      </c>
      <c r="F590" s="10" t="str">
        <f>IFERROR(VLOOKUP(C590,'Employees List'!$B$1:$I$999,4,0),"")</f>
        <v/>
      </c>
      <c r="G590" s="10" t="str">
        <f t="shared" si="21"/>
        <v>#DIV/0!</v>
      </c>
      <c r="H590" s="72" t="str">
        <f>IFERROR(VLOOKUP(C590,'Employees List'!$B$2:$I$991,7,0),"")</f>
        <v/>
      </c>
      <c r="I590" s="73" t="str">
        <f>IFERROR(VLOOKUP(F590,'Employees List'!$E$1:$AE$991,6,0),"")</f>
        <v/>
      </c>
      <c r="J590" s="71">
        <f t="shared" si="3"/>
        <v>0</v>
      </c>
      <c r="K590" s="71">
        <f t="shared" si="4"/>
        <v>0</v>
      </c>
      <c r="L590" s="10" t="str">
        <f>IFERROR(VLOOKUP(B590,'Employees List'!$A$2:$K$991,11,0),"")</f>
        <v/>
      </c>
      <c r="M590" s="74" t="str">
        <f>IFERROR(VLOOKUP(D590,'Daily Attendance 25-26'!$A$4:BP999,5,0),"")</f>
        <v/>
      </c>
      <c r="N590" s="10" t="str">
        <f>IFERROR(VLOOKUP(E590,'Daily Attendance 25-26'!$A$1:$BO$1741,5,0),"")</f>
        <v/>
      </c>
      <c r="O590" s="10"/>
      <c r="P590" s="10"/>
      <c r="Q590" s="10" t="str">
        <f t="shared" si="5"/>
        <v>#DIV/0!</v>
      </c>
      <c r="R590" s="10" t="str">
        <f t="shared" si="6"/>
        <v>#DIV/0!</v>
      </c>
      <c r="S590" s="10" t="str">
        <f t="shared" si="23"/>
        <v>#DIV/0!</v>
      </c>
      <c r="T590" s="10" t="str">
        <f t="shared" si="22"/>
        <v>#DIV/0!</v>
      </c>
      <c r="U590" s="10" t="str">
        <f t="shared" si="8"/>
        <v>#DIV/0!</v>
      </c>
      <c r="V590" s="10"/>
      <c r="W590" s="10"/>
      <c r="X590" s="10"/>
      <c r="Y590" s="10"/>
      <c r="Z590" s="10"/>
      <c r="AA590" s="10"/>
      <c r="AB590" s="10"/>
      <c r="AC590" s="10"/>
      <c r="AD590" s="10"/>
      <c r="AE590" s="10"/>
      <c r="AF590" s="10"/>
    </row>
    <row r="591" hidden="1">
      <c r="A591" s="9" t="s">
        <v>808</v>
      </c>
      <c r="B591" s="84"/>
      <c r="C591" s="9"/>
      <c r="D591" s="9" t="str">
        <f t="shared" si="1"/>
        <v/>
      </c>
      <c r="E591" s="10" t="str">
        <f t="shared" si="2"/>
        <v>OT Hours</v>
      </c>
      <c r="F591" s="10" t="str">
        <f>IFERROR(VLOOKUP(C591,'Employees List'!$B$1:$I$999,4,0),"")</f>
        <v/>
      </c>
      <c r="G591" s="10" t="str">
        <f t="shared" si="21"/>
        <v>#DIV/0!</v>
      </c>
      <c r="H591" s="72" t="str">
        <f>IFERROR(VLOOKUP(C591,'Employees List'!$B$2:$I$991,7,0),"")</f>
        <v/>
      </c>
      <c r="I591" s="73" t="str">
        <f>IFERROR(VLOOKUP(F591,'Employees List'!$E$1:$AE$991,6,0),"")</f>
        <v/>
      </c>
      <c r="J591" s="71">
        <f t="shared" si="3"/>
        <v>0</v>
      </c>
      <c r="K591" s="71">
        <f t="shared" si="4"/>
        <v>0</v>
      </c>
      <c r="L591" s="10" t="str">
        <f>IFERROR(VLOOKUP(B591,'Employees List'!$A$2:$K$991,11,0),"")</f>
        <v/>
      </c>
      <c r="M591" s="74" t="str">
        <f>IFERROR(VLOOKUP(D591,'Daily Attendance 25-26'!$A$4:BP999,5,0),"")</f>
        <v/>
      </c>
      <c r="N591" s="10" t="str">
        <f>IFERROR(VLOOKUP(E591,'Daily Attendance 25-26'!$A$1:$BO$1741,5,0),"")</f>
        <v/>
      </c>
      <c r="O591" s="10"/>
      <c r="P591" s="10"/>
      <c r="Q591" s="10" t="str">
        <f t="shared" si="5"/>
        <v>#DIV/0!</v>
      </c>
      <c r="R591" s="10" t="str">
        <f t="shared" si="6"/>
        <v>#DIV/0!</v>
      </c>
      <c r="S591" s="10" t="str">
        <f t="shared" si="23"/>
        <v>#DIV/0!</v>
      </c>
      <c r="T591" s="10" t="str">
        <f t="shared" si="22"/>
        <v>#DIV/0!</v>
      </c>
      <c r="U591" s="10" t="str">
        <f t="shared" si="8"/>
        <v>#DIV/0!</v>
      </c>
      <c r="V591" s="10"/>
      <c r="W591" s="10"/>
      <c r="X591" s="10"/>
      <c r="Y591" s="10"/>
      <c r="Z591" s="10"/>
      <c r="AA591" s="10"/>
      <c r="AB591" s="10"/>
      <c r="AC591" s="10"/>
      <c r="AD591" s="10"/>
      <c r="AE591" s="10"/>
      <c r="AF591" s="10"/>
    </row>
    <row r="592" hidden="1">
      <c r="A592" s="9" t="s">
        <v>809</v>
      </c>
      <c r="B592" s="84"/>
      <c r="C592" s="9"/>
      <c r="D592" s="9" t="str">
        <f t="shared" si="1"/>
        <v/>
      </c>
      <c r="E592" s="10" t="str">
        <f t="shared" si="2"/>
        <v>OT Hours</v>
      </c>
      <c r="F592" s="10" t="str">
        <f>IFERROR(VLOOKUP(C592,'Employees List'!$B$1:$I$999,4,0),"")</f>
        <v/>
      </c>
      <c r="G592" s="10" t="str">
        <f t="shared" si="21"/>
        <v>#DIV/0!</v>
      </c>
      <c r="H592" s="72" t="str">
        <f>IFERROR(VLOOKUP(C592,'Employees List'!$B$2:$I$991,7,0),"")</f>
        <v/>
      </c>
      <c r="I592" s="73" t="str">
        <f>IFERROR(VLOOKUP(F592,'Employees List'!$E$1:$AE$991,6,0),"")</f>
        <v/>
      </c>
      <c r="J592" s="71">
        <f t="shared" si="3"/>
        <v>0</v>
      </c>
      <c r="K592" s="71">
        <f t="shared" si="4"/>
        <v>0</v>
      </c>
      <c r="L592" s="10" t="str">
        <f>IFERROR(VLOOKUP(B592,'Employees List'!$A$2:$K$991,11,0),"")</f>
        <v/>
      </c>
      <c r="M592" s="74" t="str">
        <f>IFERROR(VLOOKUP(D592,'Daily Attendance 25-26'!$A$4:BP999,5,0),"")</f>
        <v/>
      </c>
      <c r="N592" s="10" t="str">
        <f>IFERROR(VLOOKUP(E592,'Daily Attendance 25-26'!$A$1:$BO$1741,5,0),"")</f>
        <v/>
      </c>
      <c r="O592" s="10"/>
      <c r="P592" s="10"/>
      <c r="Q592" s="10" t="str">
        <f t="shared" si="5"/>
        <v>#DIV/0!</v>
      </c>
      <c r="R592" s="10" t="str">
        <f t="shared" si="6"/>
        <v>#DIV/0!</v>
      </c>
      <c r="S592" s="10" t="str">
        <f t="shared" si="23"/>
        <v>#DIV/0!</v>
      </c>
      <c r="T592" s="10" t="str">
        <f t="shared" si="22"/>
        <v>#DIV/0!</v>
      </c>
      <c r="U592" s="10" t="str">
        <f t="shared" si="8"/>
        <v>#DIV/0!</v>
      </c>
      <c r="V592" s="10"/>
      <c r="W592" s="10"/>
      <c r="X592" s="10"/>
      <c r="Y592" s="10"/>
      <c r="Z592" s="10"/>
      <c r="AA592" s="10"/>
      <c r="AB592" s="10"/>
      <c r="AC592" s="10"/>
      <c r="AD592" s="10"/>
      <c r="AE592" s="10"/>
      <c r="AF592" s="10"/>
    </row>
    <row r="593" hidden="1">
      <c r="A593" s="9" t="s">
        <v>810</v>
      </c>
      <c r="B593" s="84"/>
      <c r="C593" s="9"/>
      <c r="D593" s="9" t="str">
        <f t="shared" si="1"/>
        <v/>
      </c>
      <c r="E593" s="10" t="str">
        <f t="shared" si="2"/>
        <v>OT Hours</v>
      </c>
      <c r="F593" s="10" t="str">
        <f>IFERROR(VLOOKUP(C593,'Employees List'!$B$1:$I$999,4,0),"")</f>
        <v/>
      </c>
      <c r="G593" s="10" t="str">
        <f t="shared" si="21"/>
        <v>#DIV/0!</v>
      </c>
      <c r="H593" s="72" t="str">
        <f>IFERROR(VLOOKUP(C593,'Employees List'!$B$2:$I$991,7,0),"")</f>
        <v/>
      </c>
      <c r="I593" s="73" t="str">
        <f>IFERROR(VLOOKUP(F593,'Employees List'!$E$1:$AE$991,6,0),"")</f>
        <v/>
      </c>
      <c r="J593" s="71">
        <f t="shared" si="3"/>
        <v>0</v>
      </c>
      <c r="K593" s="71">
        <f t="shared" si="4"/>
        <v>0</v>
      </c>
      <c r="L593" s="10" t="str">
        <f>IFERROR(VLOOKUP(B593,'Employees List'!$A$2:$K$991,11,0),"")</f>
        <v/>
      </c>
      <c r="M593" s="74" t="str">
        <f>IFERROR(VLOOKUP(D593,'Daily Attendance 25-26'!$A$4:BP999,5,0),"")</f>
        <v/>
      </c>
      <c r="N593" s="10" t="str">
        <f>IFERROR(VLOOKUP(E593,'Daily Attendance 25-26'!$A$1:$BO$1741,5,0),"")</f>
        <v/>
      </c>
      <c r="O593" s="10"/>
      <c r="P593" s="10"/>
      <c r="Q593" s="10" t="str">
        <f t="shared" si="5"/>
        <v>#DIV/0!</v>
      </c>
      <c r="R593" s="10" t="str">
        <f t="shared" si="6"/>
        <v>#DIV/0!</v>
      </c>
      <c r="S593" s="10" t="str">
        <f t="shared" si="23"/>
        <v>#DIV/0!</v>
      </c>
      <c r="T593" s="10" t="str">
        <f t="shared" si="22"/>
        <v>#DIV/0!</v>
      </c>
      <c r="U593" s="10" t="str">
        <f t="shared" si="8"/>
        <v>#DIV/0!</v>
      </c>
      <c r="V593" s="10"/>
      <c r="W593" s="10"/>
      <c r="X593" s="10"/>
      <c r="Y593" s="10"/>
      <c r="Z593" s="10"/>
      <c r="AA593" s="10"/>
      <c r="AB593" s="10"/>
      <c r="AC593" s="10"/>
      <c r="AD593" s="10"/>
      <c r="AE593" s="10"/>
      <c r="AF593" s="10"/>
    </row>
    <row r="594" hidden="1">
      <c r="A594" s="9" t="s">
        <v>811</v>
      </c>
      <c r="B594" s="84"/>
      <c r="C594" s="9"/>
      <c r="D594" s="9" t="str">
        <f t="shared" si="1"/>
        <v/>
      </c>
      <c r="E594" s="10" t="str">
        <f t="shared" si="2"/>
        <v>OT Hours</v>
      </c>
      <c r="F594" s="10" t="str">
        <f>IFERROR(VLOOKUP(C594,'Employees List'!$B$1:$I$999,4,0),"")</f>
        <v/>
      </c>
      <c r="G594" s="10" t="str">
        <f t="shared" si="21"/>
        <v>#DIV/0!</v>
      </c>
      <c r="H594" s="72" t="str">
        <f>IFERROR(VLOOKUP(C594,'Employees List'!$B$2:$I$991,7,0),"")</f>
        <v/>
      </c>
      <c r="I594" s="73" t="str">
        <f>IFERROR(VLOOKUP(F594,'Employees List'!$E$1:$AE$991,6,0),"")</f>
        <v/>
      </c>
      <c r="J594" s="71">
        <f t="shared" si="3"/>
        <v>0</v>
      </c>
      <c r="K594" s="71">
        <f t="shared" si="4"/>
        <v>0</v>
      </c>
      <c r="L594" s="10" t="str">
        <f>IFERROR(VLOOKUP(B594,'Employees List'!$A$2:$K$991,11,0),"")</f>
        <v/>
      </c>
      <c r="M594" s="74" t="str">
        <f>IFERROR(VLOOKUP(D594,'Daily Attendance 25-26'!$A$4:BP999,5,0),"")</f>
        <v/>
      </c>
      <c r="N594" s="10" t="str">
        <f>IFERROR(VLOOKUP(E594,'Daily Attendance 25-26'!$A$1:$BO$1741,5,0),"")</f>
        <v/>
      </c>
      <c r="O594" s="10"/>
      <c r="P594" s="10"/>
      <c r="Q594" s="10" t="str">
        <f t="shared" si="5"/>
        <v>#DIV/0!</v>
      </c>
      <c r="R594" s="10" t="str">
        <f t="shared" si="6"/>
        <v>#DIV/0!</v>
      </c>
      <c r="S594" s="10" t="str">
        <f t="shared" si="23"/>
        <v>#DIV/0!</v>
      </c>
      <c r="T594" s="10" t="str">
        <f t="shared" si="22"/>
        <v>#DIV/0!</v>
      </c>
      <c r="U594" s="10" t="str">
        <f t="shared" si="8"/>
        <v>#DIV/0!</v>
      </c>
      <c r="V594" s="10"/>
      <c r="W594" s="10"/>
      <c r="X594" s="10"/>
      <c r="Y594" s="10"/>
      <c r="Z594" s="10"/>
      <c r="AA594" s="10"/>
      <c r="AB594" s="10"/>
      <c r="AC594" s="10"/>
      <c r="AD594" s="10"/>
      <c r="AE594" s="10"/>
      <c r="AF594" s="10"/>
    </row>
    <row r="595" hidden="1">
      <c r="A595" s="9" t="s">
        <v>812</v>
      </c>
      <c r="B595" s="84"/>
      <c r="C595" s="9"/>
      <c r="D595" s="9" t="str">
        <f t="shared" si="1"/>
        <v/>
      </c>
      <c r="E595" s="10" t="str">
        <f t="shared" si="2"/>
        <v>OT Hours</v>
      </c>
      <c r="F595" s="10" t="str">
        <f>IFERROR(VLOOKUP(C595,'Employees List'!$B$1:$I$999,4,0),"")</f>
        <v/>
      </c>
      <c r="G595" s="10" t="str">
        <f t="shared" si="21"/>
        <v>#DIV/0!</v>
      </c>
      <c r="H595" s="72" t="str">
        <f>IFERROR(VLOOKUP(C595,'Employees List'!$B$2:$I$991,7,0),"")</f>
        <v/>
      </c>
      <c r="I595" s="73" t="str">
        <f>IFERROR(VLOOKUP(F595,'Employees List'!$E$1:$AE$991,6,0),"")</f>
        <v/>
      </c>
      <c r="J595" s="71">
        <f t="shared" si="3"/>
        <v>0</v>
      </c>
      <c r="K595" s="71">
        <f t="shared" si="4"/>
        <v>0</v>
      </c>
      <c r="L595" s="10" t="str">
        <f>IFERROR(VLOOKUP(B595,'Employees List'!$A$2:$K$991,11,0),"")</f>
        <v/>
      </c>
      <c r="M595" s="74" t="str">
        <f>IFERROR(VLOOKUP(D595,'Daily Attendance 25-26'!$A$4:BP999,5,0),"")</f>
        <v/>
      </c>
      <c r="N595" s="10" t="str">
        <f>IFERROR(VLOOKUP(E595,'Daily Attendance 25-26'!$A$1:$BO$1741,5,0),"")</f>
        <v/>
      </c>
      <c r="O595" s="10"/>
      <c r="P595" s="10"/>
      <c r="Q595" s="10" t="str">
        <f t="shared" si="5"/>
        <v>#DIV/0!</v>
      </c>
      <c r="R595" s="10" t="str">
        <f t="shared" si="6"/>
        <v>#DIV/0!</v>
      </c>
      <c r="S595" s="10" t="str">
        <f t="shared" si="23"/>
        <v>#DIV/0!</v>
      </c>
      <c r="T595" s="10" t="str">
        <f t="shared" si="22"/>
        <v>#DIV/0!</v>
      </c>
      <c r="U595" s="10" t="str">
        <f t="shared" si="8"/>
        <v>#DIV/0!</v>
      </c>
      <c r="V595" s="10"/>
      <c r="W595" s="10"/>
      <c r="X595" s="10"/>
      <c r="Y595" s="10"/>
      <c r="Z595" s="10"/>
      <c r="AA595" s="10"/>
      <c r="AB595" s="10"/>
      <c r="AC595" s="10"/>
      <c r="AD595" s="10"/>
      <c r="AE595" s="10"/>
      <c r="AF595" s="10"/>
    </row>
    <row r="596" hidden="1">
      <c r="A596" s="9" t="s">
        <v>813</v>
      </c>
      <c r="B596" s="84"/>
      <c r="C596" s="9"/>
      <c r="D596" s="9" t="str">
        <f t="shared" si="1"/>
        <v/>
      </c>
      <c r="E596" s="10" t="str">
        <f t="shared" si="2"/>
        <v>OT Hours</v>
      </c>
      <c r="F596" s="10" t="str">
        <f>IFERROR(VLOOKUP(C596,'Employees List'!$B$1:$I$999,4,0),"")</f>
        <v/>
      </c>
      <c r="G596" s="10" t="str">
        <f t="shared" si="21"/>
        <v>#DIV/0!</v>
      </c>
      <c r="H596" s="72" t="str">
        <f>IFERROR(VLOOKUP(C596,'Employees List'!$B$2:$I$991,7,0),"")</f>
        <v/>
      </c>
      <c r="I596" s="73" t="str">
        <f>IFERROR(VLOOKUP(F596,'Employees List'!$E$1:$AE$991,6,0),"")</f>
        <v/>
      </c>
      <c r="J596" s="71">
        <f t="shared" si="3"/>
        <v>0</v>
      </c>
      <c r="K596" s="71">
        <f t="shared" si="4"/>
        <v>0</v>
      </c>
      <c r="L596" s="10" t="str">
        <f>IFERROR(VLOOKUP(B596,'Employees List'!$A$2:$K$991,11,0),"")</f>
        <v/>
      </c>
      <c r="M596" s="74" t="str">
        <f>IFERROR(VLOOKUP(D596,'Daily Attendance 25-26'!$A$4:BP999,5,0),"")</f>
        <v/>
      </c>
      <c r="N596" s="10" t="str">
        <f>IFERROR(VLOOKUP(E596,'Daily Attendance 25-26'!$A$1:$BO$1741,5,0),"")</f>
        <v/>
      </c>
      <c r="O596" s="10"/>
      <c r="P596" s="10"/>
      <c r="Q596" s="10" t="str">
        <f t="shared" si="5"/>
        <v>#DIV/0!</v>
      </c>
      <c r="R596" s="10" t="str">
        <f t="shared" si="6"/>
        <v>#DIV/0!</v>
      </c>
      <c r="S596" s="10" t="str">
        <f t="shared" si="23"/>
        <v>#DIV/0!</v>
      </c>
      <c r="T596" s="10" t="str">
        <f t="shared" si="22"/>
        <v>#DIV/0!</v>
      </c>
      <c r="U596" s="10" t="str">
        <f t="shared" si="8"/>
        <v>#DIV/0!</v>
      </c>
      <c r="V596" s="10"/>
      <c r="W596" s="10"/>
      <c r="X596" s="10"/>
      <c r="Y596" s="10"/>
      <c r="Z596" s="10"/>
      <c r="AA596" s="10"/>
      <c r="AB596" s="10"/>
      <c r="AC596" s="10"/>
      <c r="AD596" s="10"/>
      <c r="AE596" s="10"/>
      <c r="AF596" s="10"/>
    </row>
    <row r="597" hidden="1">
      <c r="A597" s="9" t="s">
        <v>814</v>
      </c>
      <c r="B597" s="84"/>
      <c r="C597" s="9"/>
      <c r="D597" s="9" t="str">
        <f t="shared" si="1"/>
        <v/>
      </c>
      <c r="E597" s="10" t="str">
        <f t="shared" si="2"/>
        <v>OT Hours</v>
      </c>
      <c r="F597" s="10" t="str">
        <f>IFERROR(VLOOKUP(C597,'Employees List'!$B$1:$I$999,4,0),"")</f>
        <v/>
      </c>
      <c r="G597" s="10" t="str">
        <f t="shared" si="21"/>
        <v>#DIV/0!</v>
      </c>
      <c r="H597" s="72" t="str">
        <f>IFERROR(VLOOKUP(C597,'Employees List'!$B$2:$I$991,7,0),"")</f>
        <v/>
      </c>
      <c r="I597" s="73" t="str">
        <f>IFERROR(VLOOKUP(F597,'Employees List'!$E$1:$AE$991,6,0),"")</f>
        <v/>
      </c>
      <c r="J597" s="71">
        <f t="shared" si="3"/>
        <v>0</v>
      </c>
      <c r="K597" s="71">
        <f t="shared" si="4"/>
        <v>0</v>
      </c>
      <c r="L597" s="10" t="str">
        <f>IFERROR(VLOOKUP(B597,'Employees List'!$A$2:$K$991,11,0),"")</f>
        <v/>
      </c>
      <c r="M597" s="74" t="str">
        <f>IFERROR(VLOOKUP(D597,'Daily Attendance 25-26'!$A$4:BP999,5,0),"")</f>
        <v/>
      </c>
      <c r="N597" s="10" t="str">
        <f>IFERROR(VLOOKUP(E597,'Daily Attendance 25-26'!$A$1:$BO$1741,5,0),"")</f>
        <v/>
      </c>
      <c r="O597" s="10"/>
      <c r="P597" s="10"/>
      <c r="Q597" s="10" t="str">
        <f t="shared" si="5"/>
        <v>#DIV/0!</v>
      </c>
      <c r="R597" s="10" t="str">
        <f t="shared" si="6"/>
        <v>#DIV/0!</v>
      </c>
      <c r="S597" s="10" t="str">
        <f t="shared" si="23"/>
        <v>#DIV/0!</v>
      </c>
      <c r="T597" s="10" t="str">
        <f t="shared" si="22"/>
        <v>#DIV/0!</v>
      </c>
      <c r="U597" s="10" t="str">
        <f t="shared" si="8"/>
        <v>#DIV/0!</v>
      </c>
      <c r="V597" s="10"/>
      <c r="W597" s="10"/>
      <c r="X597" s="10"/>
      <c r="Y597" s="10"/>
      <c r="Z597" s="10"/>
      <c r="AA597" s="10"/>
      <c r="AB597" s="10"/>
      <c r="AC597" s="10"/>
      <c r="AD597" s="10"/>
      <c r="AE597" s="10"/>
      <c r="AF597" s="10"/>
    </row>
    <row r="598" hidden="1">
      <c r="A598" s="9" t="s">
        <v>815</v>
      </c>
      <c r="B598" s="84"/>
      <c r="C598" s="9"/>
      <c r="D598" s="9" t="str">
        <f t="shared" si="1"/>
        <v/>
      </c>
      <c r="E598" s="10" t="str">
        <f t="shared" si="2"/>
        <v>OT Hours</v>
      </c>
      <c r="F598" s="10" t="str">
        <f>IFERROR(VLOOKUP(C598,'Employees List'!$B$1:$I$999,4,0),"")</f>
        <v/>
      </c>
      <c r="G598" s="10" t="str">
        <f t="shared" si="21"/>
        <v>#DIV/0!</v>
      </c>
      <c r="H598" s="72" t="str">
        <f>IFERROR(VLOOKUP(C598,'Employees List'!$B$2:$I$991,7,0),"")</f>
        <v/>
      </c>
      <c r="I598" s="73" t="str">
        <f>IFERROR(VLOOKUP(F598,'Employees List'!$E$1:$AE$991,6,0),"")</f>
        <v/>
      </c>
      <c r="J598" s="71">
        <f t="shared" si="3"/>
        <v>0</v>
      </c>
      <c r="K598" s="71">
        <f t="shared" si="4"/>
        <v>0</v>
      </c>
      <c r="L598" s="10" t="str">
        <f>IFERROR(VLOOKUP(B598,'Employees List'!$A$2:$K$991,11,0),"")</f>
        <v/>
      </c>
      <c r="M598" s="74" t="str">
        <f>IFERROR(VLOOKUP(D598,'Daily Attendance 25-26'!$A$4:BP999,5,0),"")</f>
        <v/>
      </c>
      <c r="N598" s="10" t="str">
        <f>IFERROR(VLOOKUP(E598,'Daily Attendance 25-26'!$A$1:$BO$1741,5,0),"")</f>
        <v/>
      </c>
      <c r="O598" s="10"/>
      <c r="P598" s="10"/>
      <c r="Q598" s="10" t="str">
        <f t="shared" si="5"/>
        <v>#DIV/0!</v>
      </c>
      <c r="R598" s="10" t="str">
        <f t="shared" si="6"/>
        <v>#DIV/0!</v>
      </c>
      <c r="S598" s="10" t="str">
        <f t="shared" si="23"/>
        <v>#DIV/0!</v>
      </c>
      <c r="T598" s="10" t="str">
        <f t="shared" si="22"/>
        <v>#DIV/0!</v>
      </c>
      <c r="U598" s="10" t="str">
        <f t="shared" si="8"/>
        <v>#DIV/0!</v>
      </c>
      <c r="V598" s="10"/>
      <c r="W598" s="10"/>
      <c r="X598" s="10"/>
      <c r="Y598" s="10"/>
      <c r="Z598" s="10"/>
      <c r="AA598" s="10"/>
      <c r="AB598" s="10"/>
      <c r="AC598" s="10"/>
      <c r="AD598" s="10"/>
      <c r="AE598" s="10"/>
      <c r="AF598" s="10"/>
    </row>
    <row r="599" hidden="1">
      <c r="A599" s="9" t="s">
        <v>816</v>
      </c>
      <c r="B599" s="84"/>
      <c r="C599" s="9"/>
      <c r="D599" s="9" t="str">
        <f t="shared" si="1"/>
        <v/>
      </c>
      <c r="E599" s="10" t="str">
        <f t="shared" si="2"/>
        <v>OT Hours</v>
      </c>
      <c r="F599" s="10" t="str">
        <f>IFERROR(VLOOKUP(C599,'Employees List'!$B$1:$I$999,4,0),"")</f>
        <v/>
      </c>
      <c r="G599" s="10" t="str">
        <f t="shared" si="21"/>
        <v>#DIV/0!</v>
      </c>
      <c r="H599" s="72" t="str">
        <f>IFERROR(VLOOKUP(C599,'Employees List'!$B$2:$I$991,7,0),"")</f>
        <v/>
      </c>
      <c r="I599" s="73" t="str">
        <f>IFERROR(VLOOKUP(F599,'Employees List'!$E$1:$AE$991,6,0),"")</f>
        <v/>
      </c>
      <c r="J599" s="71">
        <f t="shared" si="3"/>
        <v>0</v>
      </c>
      <c r="K599" s="71">
        <f t="shared" si="4"/>
        <v>0</v>
      </c>
      <c r="L599" s="10" t="str">
        <f>IFERROR(VLOOKUP(B599,'Employees List'!$A$2:$K$991,11,0),"")</f>
        <v/>
      </c>
      <c r="M599" s="74" t="str">
        <f>IFERROR(VLOOKUP(D599,'Daily Attendance 25-26'!$A$4:BP999,5,0),"")</f>
        <v/>
      </c>
      <c r="N599" s="10" t="str">
        <f>IFERROR(VLOOKUP(E599,'Daily Attendance 25-26'!$A$1:$BO$1741,5,0),"")</f>
        <v/>
      </c>
      <c r="O599" s="10"/>
      <c r="P599" s="10"/>
      <c r="Q599" s="10" t="str">
        <f t="shared" si="5"/>
        <v>#DIV/0!</v>
      </c>
      <c r="R599" s="10" t="str">
        <f t="shared" si="6"/>
        <v>#DIV/0!</v>
      </c>
      <c r="S599" s="10" t="str">
        <f t="shared" si="23"/>
        <v>#DIV/0!</v>
      </c>
      <c r="T599" s="10" t="str">
        <f t="shared" si="22"/>
        <v>#DIV/0!</v>
      </c>
      <c r="U599" s="10" t="str">
        <f t="shared" si="8"/>
        <v>#DIV/0!</v>
      </c>
      <c r="V599" s="10"/>
      <c r="W599" s="10"/>
      <c r="X599" s="10"/>
      <c r="Y599" s="10"/>
      <c r="Z599" s="10"/>
      <c r="AA599" s="10"/>
      <c r="AB599" s="10"/>
      <c r="AC599" s="10"/>
      <c r="AD599" s="10"/>
      <c r="AE599" s="10"/>
      <c r="AF599" s="10"/>
    </row>
    <row r="600" hidden="1">
      <c r="A600" s="9" t="s">
        <v>817</v>
      </c>
      <c r="B600" s="84"/>
      <c r="C600" s="9"/>
      <c r="D600" s="9" t="str">
        <f t="shared" si="1"/>
        <v/>
      </c>
      <c r="E600" s="10" t="str">
        <f t="shared" si="2"/>
        <v>OT Hours</v>
      </c>
      <c r="F600" s="10" t="str">
        <f>IFERROR(VLOOKUP(C600,'Employees List'!$B$1:$I$999,4,0),"")</f>
        <v/>
      </c>
      <c r="G600" s="10" t="str">
        <f t="shared" si="21"/>
        <v>#DIV/0!</v>
      </c>
      <c r="H600" s="72" t="str">
        <f>IFERROR(VLOOKUP(C600,'Employees List'!$B$2:$I$991,7,0),"")</f>
        <v/>
      </c>
      <c r="I600" s="73" t="str">
        <f>IFERROR(VLOOKUP(F600,'Employees List'!$E$1:$AE$991,6,0),"")</f>
        <v/>
      </c>
      <c r="J600" s="71">
        <f t="shared" si="3"/>
        <v>0</v>
      </c>
      <c r="K600" s="71">
        <f t="shared" si="4"/>
        <v>0</v>
      </c>
      <c r="L600" s="10" t="str">
        <f>IFERROR(VLOOKUP(B600,'Employees List'!$A$2:$K$991,11,0),"")</f>
        <v/>
      </c>
      <c r="M600" s="74" t="str">
        <f>IFERROR(VLOOKUP(D600,'Daily Attendance 25-26'!$A$4:BP999,5,0),"")</f>
        <v/>
      </c>
      <c r="N600" s="10" t="str">
        <f>IFERROR(VLOOKUP(E600,'Daily Attendance 25-26'!$A$1:$BO$1741,5,0),"")</f>
        <v/>
      </c>
      <c r="O600" s="10"/>
      <c r="P600" s="10"/>
      <c r="Q600" s="10" t="str">
        <f t="shared" si="5"/>
        <v>#DIV/0!</v>
      </c>
      <c r="R600" s="10" t="str">
        <f t="shared" si="6"/>
        <v>#DIV/0!</v>
      </c>
      <c r="S600" s="10" t="str">
        <f t="shared" si="23"/>
        <v>#DIV/0!</v>
      </c>
      <c r="T600" s="10" t="str">
        <f t="shared" si="22"/>
        <v>#DIV/0!</v>
      </c>
      <c r="U600" s="10" t="str">
        <f t="shared" si="8"/>
        <v>#DIV/0!</v>
      </c>
      <c r="V600" s="10"/>
      <c r="W600" s="10"/>
      <c r="X600" s="10"/>
      <c r="Y600" s="10"/>
      <c r="Z600" s="10"/>
      <c r="AA600" s="10"/>
      <c r="AB600" s="10"/>
      <c r="AC600" s="10"/>
      <c r="AD600" s="10"/>
      <c r="AE600" s="10"/>
      <c r="AF600" s="10"/>
    </row>
    <row r="601" hidden="1">
      <c r="A601" s="9" t="s">
        <v>818</v>
      </c>
      <c r="B601" s="84"/>
      <c r="C601" s="9"/>
      <c r="D601" s="9" t="str">
        <f t="shared" si="1"/>
        <v/>
      </c>
      <c r="E601" s="10" t="str">
        <f t="shared" si="2"/>
        <v>OT Hours</v>
      </c>
      <c r="F601" s="10" t="str">
        <f>IFERROR(VLOOKUP(C601,'Employees List'!$B$1:$I$999,4,0),"")</f>
        <v/>
      </c>
      <c r="G601" s="10" t="str">
        <f t="shared" si="21"/>
        <v>#DIV/0!</v>
      </c>
      <c r="H601" s="72" t="str">
        <f>IFERROR(VLOOKUP(C601,'Employees List'!$B$2:$I$991,7,0),"")</f>
        <v/>
      </c>
      <c r="I601" s="73" t="str">
        <f>IFERROR(VLOOKUP(F601,'Employees List'!$E$1:$AE$991,6,0),"")</f>
        <v/>
      </c>
      <c r="J601" s="71">
        <f t="shared" si="3"/>
        <v>0</v>
      </c>
      <c r="K601" s="71">
        <f t="shared" si="4"/>
        <v>0</v>
      </c>
      <c r="L601" s="10" t="str">
        <f>IFERROR(VLOOKUP(B601,'Employees List'!$A$2:$K$991,11,0),"")</f>
        <v/>
      </c>
      <c r="M601" s="74" t="str">
        <f>IFERROR(VLOOKUP(D601,'Daily Attendance 25-26'!$A$4:BP999,5,0),"")</f>
        <v/>
      </c>
      <c r="N601" s="10" t="str">
        <f>IFERROR(VLOOKUP(E601,'Daily Attendance 25-26'!$A$1:$BO$1741,5,0),"")</f>
        <v/>
      </c>
      <c r="O601" s="10"/>
      <c r="P601" s="10"/>
      <c r="Q601" s="10" t="str">
        <f t="shared" si="5"/>
        <v>#DIV/0!</v>
      </c>
      <c r="R601" s="10" t="str">
        <f t="shared" si="6"/>
        <v>#DIV/0!</v>
      </c>
      <c r="S601" s="10" t="str">
        <f t="shared" si="23"/>
        <v>#DIV/0!</v>
      </c>
      <c r="T601" s="10" t="str">
        <f t="shared" si="22"/>
        <v>#DIV/0!</v>
      </c>
      <c r="U601" s="10" t="str">
        <f t="shared" si="8"/>
        <v>#DIV/0!</v>
      </c>
      <c r="V601" s="10"/>
      <c r="W601" s="10"/>
      <c r="X601" s="10"/>
      <c r="Y601" s="10"/>
      <c r="Z601" s="10"/>
      <c r="AA601" s="10"/>
      <c r="AB601" s="10"/>
      <c r="AC601" s="10"/>
      <c r="AD601" s="10"/>
      <c r="AE601" s="10"/>
      <c r="AF601" s="10"/>
    </row>
    <row r="602" hidden="1">
      <c r="A602" s="9" t="s">
        <v>819</v>
      </c>
      <c r="B602" s="84"/>
      <c r="C602" s="9"/>
      <c r="D602" s="9" t="str">
        <f t="shared" si="1"/>
        <v/>
      </c>
      <c r="E602" s="10" t="str">
        <f t="shared" si="2"/>
        <v>OT Hours</v>
      </c>
      <c r="F602" s="10" t="str">
        <f>IFERROR(VLOOKUP(C602,'Employees List'!$B$1:$I$999,4,0),"")</f>
        <v/>
      </c>
      <c r="G602" s="10" t="str">
        <f t="shared" si="21"/>
        <v>#DIV/0!</v>
      </c>
      <c r="H602" s="72" t="str">
        <f>IFERROR(VLOOKUP(C602,'Employees List'!$B$2:$I$991,7,0),"")</f>
        <v/>
      </c>
      <c r="I602" s="73" t="str">
        <f>IFERROR(VLOOKUP(F602,'Employees List'!$E$1:$AE$991,6,0),"")</f>
        <v/>
      </c>
      <c r="J602" s="71">
        <f t="shared" si="3"/>
        <v>0</v>
      </c>
      <c r="K602" s="71">
        <f t="shared" si="4"/>
        <v>0</v>
      </c>
      <c r="L602" s="10" t="str">
        <f>IFERROR(VLOOKUP(B602,'Employees List'!$A$2:$K$991,11,0),"")</f>
        <v/>
      </c>
      <c r="M602" s="74" t="str">
        <f>IFERROR(VLOOKUP(D602,'Daily Attendance 25-26'!$A$4:BP999,5,0),"")</f>
        <v/>
      </c>
      <c r="N602" s="10" t="str">
        <f>IFERROR(VLOOKUP(E602,'Daily Attendance 25-26'!$A$1:$BO$1741,5,0),"")</f>
        <v/>
      </c>
      <c r="O602" s="10"/>
      <c r="P602" s="10"/>
      <c r="Q602" s="10" t="str">
        <f t="shared" si="5"/>
        <v>#DIV/0!</v>
      </c>
      <c r="R602" s="10" t="str">
        <f t="shared" si="6"/>
        <v>#DIV/0!</v>
      </c>
      <c r="S602" s="10" t="str">
        <f t="shared" si="23"/>
        <v>#DIV/0!</v>
      </c>
      <c r="T602" s="10" t="str">
        <f t="shared" si="22"/>
        <v>#DIV/0!</v>
      </c>
      <c r="U602" s="10" t="str">
        <f t="shared" si="8"/>
        <v>#DIV/0!</v>
      </c>
      <c r="V602" s="10"/>
      <c r="W602" s="10"/>
      <c r="X602" s="10"/>
      <c r="Y602" s="10"/>
      <c r="Z602" s="10"/>
      <c r="AA602" s="10"/>
      <c r="AB602" s="10"/>
      <c r="AC602" s="10"/>
      <c r="AD602" s="10"/>
      <c r="AE602" s="10"/>
      <c r="AF602" s="10"/>
    </row>
    <row r="603" hidden="1">
      <c r="A603" s="9" t="s">
        <v>820</v>
      </c>
      <c r="B603" s="84"/>
      <c r="C603" s="9"/>
      <c r="D603" s="9" t="str">
        <f t="shared" si="1"/>
        <v/>
      </c>
      <c r="E603" s="10" t="str">
        <f t="shared" si="2"/>
        <v>OT Hours</v>
      </c>
      <c r="F603" s="10" t="str">
        <f>IFERROR(VLOOKUP(C603,'Employees List'!$B$1:$I$999,4,0),"")</f>
        <v/>
      </c>
      <c r="G603" s="10" t="str">
        <f t="shared" si="21"/>
        <v>#DIV/0!</v>
      </c>
      <c r="H603" s="72" t="str">
        <f>IFERROR(VLOOKUP(C603,'Employees List'!$B$2:$I$991,7,0),"")</f>
        <v/>
      </c>
      <c r="I603" s="73" t="str">
        <f>IFERROR(VLOOKUP(F603,'Employees List'!$E$1:$AE$991,6,0),"")</f>
        <v/>
      </c>
      <c r="J603" s="71">
        <f t="shared" si="3"/>
        <v>0</v>
      </c>
      <c r="K603" s="71">
        <f t="shared" si="4"/>
        <v>0</v>
      </c>
      <c r="L603" s="10" t="str">
        <f>IFERROR(VLOOKUP(B603,'Employees List'!$A$2:$K$991,11,0),"")</f>
        <v/>
      </c>
      <c r="M603" s="74" t="str">
        <f>IFERROR(VLOOKUP(D603,'Daily Attendance 25-26'!$A$4:BP999,5,0),"")</f>
        <v/>
      </c>
      <c r="N603" s="10" t="str">
        <f>IFERROR(VLOOKUP(E603,'Daily Attendance 25-26'!$A$1:$BO$1741,5,0),"")</f>
        <v/>
      </c>
      <c r="O603" s="10"/>
      <c r="P603" s="10"/>
      <c r="Q603" s="10" t="str">
        <f t="shared" si="5"/>
        <v>#DIV/0!</v>
      </c>
      <c r="R603" s="10" t="str">
        <f t="shared" si="6"/>
        <v>#DIV/0!</v>
      </c>
      <c r="S603" s="10" t="str">
        <f t="shared" si="23"/>
        <v>#DIV/0!</v>
      </c>
      <c r="T603" s="10" t="str">
        <f t="shared" si="22"/>
        <v>#DIV/0!</v>
      </c>
      <c r="U603" s="10" t="str">
        <f t="shared" si="8"/>
        <v>#DIV/0!</v>
      </c>
      <c r="V603" s="10"/>
      <c r="W603" s="10"/>
      <c r="X603" s="10"/>
      <c r="Y603" s="10"/>
      <c r="Z603" s="10"/>
      <c r="AA603" s="10"/>
      <c r="AB603" s="10"/>
      <c r="AC603" s="10"/>
      <c r="AD603" s="10"/>
      <c r="AE603" s="10"/>
      <c r="AF603" s="10"/>
    </row>
    <row r="604" hidden="1">
      <c r="A604" s="9" t="s">
        <v>821</v>
      </c>
      <c r="B604" s="84"/>
      <c r="C604" s="9"/>
      <c r="D604" s="9" t="str">
        <f t="shared" si="1"/>
        <v/>
      </c>
      <c r="E604" s="10" t="str">
        <f t="shared" si="2"/>
        <v>OT Hours</v>
      </c>
      <c r="F604" s="10" t="str">
        <f>IFERROR(VLOOKUP(C604,'Employees List'!$B$1:$I$999,4,0),"")</f>
        <v/>
      </c>
      <c r="G604" s="10" t="str">
        <f t="shared" si="21"/>
        <v>#DIV/0!</v>
      </c>
      <c r="H604" s="72" t="str">
        <f>IFERROR(VLOOKUP(C604,'Employees List'!$B$2:$I$991,7,0),"")</f>
        <v/>
      </c>
      <c r="I604" s="73" t="str">
        <f>IFERROR(VLOOKUP(F604,'Employees List'!$E$1:$AE$991,6,0),"")</f>
        <v/>
      </c>
      <c r="J604" s="71">
        <f t="shared" si="3"/>
        <v>0</v>
      </c>
      <c r="K604" s="71">
        <f t="shared" si="4"/>
        <v>0</v>
      </c>
      <c r="L604" s="10" t="str">
        <f>IFERROR(VLOOKUP(B604,'Employees List'!$A$2:$K$991,11,0),"")</f>
        <v/>
      </c>
      <c r="M604" s="74" t="str">
        <f>IFERROR(VLOOKUP(D604,'Daily Attendance 25-26'!$A$4:BP999,5,0),"")</f>
        <v/>
      </c>
      <c r="N604" s="10" t="str">
        <f>IFERROR(VLOOKUP(E604,'Daily Attendance 25-26'!$A$1:$BO$1741,5,0),"")</f>
        <v/>
      </c>
      <c r="O604" s="10"/>
      <c r="P604" s="10"/>
      <c r="Q604" s="10" t="str">
        <f t="shared" si="5"/>
        <v>#DIV/0!</v>
      </c>
      <c r="R604" s="10" t="str">
        <f t="shared" si="6"/>
        <v>#DIV/0!</v>
      </c>
      <c r="S604" s="10" t="str">
        <f t="shared" si="23"/>
        <v>#DIV/0!</v>
      </c>
      <c r="T604" s="10" t="str">
        <f t="shared" si="22"/>
        <v>#DIV/0!</v>
      </c>
      <c r="U604" s="10" t="str">
        <f t="shared" si="8"/>
        <v>#DIV/0!</v>
      </c>
      <c r="V604" s="10"/>
      <c r="W604" s="10"/>
      <c r="X604" s="10"/>
      <c r="Y604" s="10"/>
      <c r="Z604" s="10"/>
      <c r="AA604" s="10"/>
      <c r="AB604" s="10"/>
      <c r="AC604" s="10"/>
      <c r="AD604" s="10"/>
      <c r="AE604" s="10"/>
      <c r="AF604" s="10"/>
    </row>
    <row r="605" hidden="1">
      <c r="A605" s="9" t="s">
        <v>822</v>
      </c>
      <c r="B605" s="84"/>
      <c r="C605" s="9"/>
      <c r="D605" s="9" t="str">
        <f t="shared" si="1"/>
        <v/>
      </c>
      <c r="E605" s="10" t="str">
        <f t="shared" si="2"/>
        <v>OT Hours</v>
      </c>
      <c r="F605" s="10" t="str">
        <f>IFERROR(VLOOKUP(C605,'Employees List'!$B$1:$I$999,4,0),"")</f>
        <v/>
      </c>
      <c r="G605" s="10" t="str">
        <f t="shared" si="21"/>
        <v>#DIV/0!</v>
      </c>
      <c r="H605" s="72" t="str">
        <f>IFERROR(VLOOKUP(C605,'Employees List'!$B$2:$I$991,7,0),"")</f>
        <v/>
      </c>
      <c r="I605" s="73" t="str">
        <f>IFERROR(VLOOKUP(F605,'Employees List'!$E$1:$AE$991,6,0),"")</f>
        <v/>
      </c>
      <c r="J605" s="71">
        <f t="shared" si="3"/>
        <v>0</v>
      </c>
      <c r="K605" s="71">
        <f t="shared" si="4"/>
        <v>0</v>
      </c>
      <c r="L605" s="10" t="str">
        <f>IFERROR(VLOOKUP(B605,'Employees List'!$A$2:$K$991,11,0),"")</f>
        <v/>
      </c>
      <c r="M605" s="74" t="str">
        <f>IFERROR(VLOOKUP(D605,'Daily Attendance 25-26'!$A$4:BP999,5,0),"")</f>
        <v/>
      </c>
      <c r="N605" s="10" t="str">
        <f>IFERROR(VLOOKUP(E605,'Daily Attendance 25-26'!$A$1:$BO$1741,5,0),"")</f>
        <v/>
      </c>
      <c r="O605" s="10"/>
      <c r="P605" s="10"/>
      <c r="Q605" s="10" t="str">
        <f t="shared" si="5"/>
        <v>#DIV/0!</v>
      </c>
      <c r="R605" s="10" t="str">
        <f t="shared" si="6"/>
        <v>#DIV/0!</v>
      </c>
      <c r="S605" s="10" t="str">
        <f t="shared" si="23"/>
        <v>#DIV/0!</v>
      </c>
      <c r="T605" s="10" t="str">
        <f t="shared" si="22"/>
        <v>#DIV/0!</v>
      </c>
      <c r="U605" s="10" t="str">
        <f t="shared" si="8"/>
        <v>#DIV/0!</v>
      </c>
      <c r="V605" s="10"/>
      <c r="W605" s="10"/>
      <c r="X605" s="10"/>
      <c r="Y605" s="10"/>
      <c r="Z605" s="10"/>
      <c r="AA605" s="10"/>
      <c r="AB605" s="10"/>
      <c r="AC605" s="10"/>
      <c r="AD605" s="10"/>
      <c r="AE605" s="10"/>
      <c r="AF605" s="10"/>
    </row>
    <row r="606" hidden="1">
      <c r="A606" s="9" t="s">
        <v>823</v>
      </c>
      <c r="B606" s="84"/>
      <c r="C606" s="9"/>
      <c r="D606" s="9" t="str">
        <f t="shared" si="1"/>
        <v/>
      </c>
      <c r="E606" s="10" t="str">
        <f t="shared" si="2"/>
        <v>OT Hours</v>
      </c>
      <c r="F606" s="10" t="str">
        <f>IFERROR(VLOOKUP(C606,'Employees List'!$B$1:$I$999,4,0),"")</f>
        <v/>
      </c>
      <c r="G606" s="10" t="str">
        <f t="shared" si="21"/>
        <v>#DIV/0!</v>
      </c>
      <c r="H606" s="72" t="str">
        <f>IFERROR(VLOOKUP(C606,'Employees List'!$B$2:$I$991,7,0),"")</f>
        <v/>
      </c>
      <c r="I606" s="73" t="str">
        <f>IFERROR(VLOOKUP(F606,'Employees List'!$E$1:$AE$991,6,0),"")</f>
        <v/>
      </c>
      <c r="J606" s="71">
        <f t="shared" si="3"/>
        <v>0</v>
      </c>
      <c r="K606" s="71">
        <f t="shared" si="4"/>
        <v>0</v>
      </c>
      <c r="L606" s="10" t="str">
        <f>IFERROR(VLOOKUP(B606,'Employees List'!$A$2:$K$991,11,0),"")</f>
        <v/>
      </c>
      <c r="M606" s="74" t="str">
        <f>IFERROR(VLOOKUP(D606,'Daily Attendance 25-26'!$A$4:BP999,5,0),"")</f>
        <v/>
      </c>
      <c r="N606" s="10" t="str">
        <f>IFERROR(VLOOKUP(E606,'Daily Attendance 25-26'!$A$1:$BO$1741,5,0),"")</f>
        <v/>
      </c>
      <c r="O606" s="10"/>
      <c r="P606" s="10"/>
      <c r="Q606" s="10" t="str">
        <f t="shared" si="5"/>
        <v>#DIV/0!</v>
      </c>
      <c r="R606" s="10" t="str">
        <f t="shared" si="6"/>
        <v>#DIV/0!</v>
      </c>
      <c r="S606" s="10" t="str">
        <f t="shared" si="23"/>
        <v>#DIV/0!</v>
      </c>
      <c r="T606" s="10" t="str">
        <f t="shared" si="22"/>
        <v>#DIV/0!</v>
      </c>
      <c r="U606" s="10" t="str">
        <f t="shared" si="8"/>
        <v>#DIV/0!</v>
      </c>
      <c r="V606" s="10"/>
      <c r="W606" s="10"/>
      <c r="X606" s="10"/>
      <c r="Y606" s="10"/>
      <c r="Z606" s="10"/>
      <c r="AA606" s="10"/>
      <c r="AB606" s="10"/>
      <c r="AC606" s="10"/>
      <c r="AD606" s="10"/>
      <c r="AE606" s="10"/>
      <c r="AF606" s="10"/>
    </row>
    <row r="607" hidden="1">
      <c r="A607" s="9" t="s">
        <v>824</v>
      </c>
      <c r="B607" s="84"/>
      <c r="C607" s="9"/>
      <c r="D607" s="9" t="str">
        <f t="shared" si="1"/>
        <v/>
      </c>
      <c r="E607" s="10" t="str">
        <f t="shared" si="2"/>
        <v>OT Hours</v>
      </c>
      <c r="F607" s="10" t="str">
        <f>IFERROR(VLOOKUP(C607,'Employees List'!$B$1:$I$999,4,0),"")</f>
        <v/>
      </c>
      <c r="G607" s="10" t="str">
        <f t="shared" si="21"/>
        <v>#DIV/0!</v>
      </c>
      <c r="H607" s="72" t="str">
        <f>IFERROR(VLOOKUP(C607,'Employees List'!$B$2:$I$991,7,0),"")</f>
        <v/>
      </c>
      <c r="I607" s="73" t="str">
        <f>IFERROR(VLOOKUP(F607,'Employees List'!$E$1:$AE$991,6,0),"")</f>
        <v/>
      </c>
      <c r="J607" s="71">
        <f t="shared" si="3"/>
        <v>0</v>
      </c>
      <c r="K607" s="71">
        <f t="shared" si="4"/>
        <v>0</v>
      </c>
      <c r="L607" s="10" t="str">
        <f>IFERROR(VLOOKUP(B607,'Employees List'!$A$2:$K$991,11,0),"")</f>
        <v/>
      </c>
      <c r="M607" s="74" t="str">
        <f>IFERROR(VLOOKUP(D607,'Daily Attendance 25-26'!$A$4:BP999,5,0),"")</f>
        <v/>
      </c>
      <c r="N607" s="10" t="str">
        <f>IFERROR(VLOOKUP(E607,'Daily Attendance 25-26'!$A$1:$BO$1741,5,0),"")</f>
        <v/>
      </c>
      <c r="O607" s="10"/>
      <c r="P607" s="10"/>
      <c r="Q607" s="10" t="str">
        <f t="shared" si="5"/>
        <v>#DIV/0!</v>
      </c>
      <c r="R607" s="10" t="str">
        <f t="shared" si="6"/>
        <v>#DIV/0!</v>
      </c>
      <c r="S607" s="10" t="str">
        <f t="shared" si="23"/>
        <v>#DIV/0!</v>
      </c>
      <c r="T607" s="10" t="str">
        <f t="shared" si="22"/>
        <v>#DIV/0!</v>
      </c>
      <c r="U607" s="10" t="str">
        <f t="shared" si="8"/>
        <v>#DIV/0!</v>
      </c>
      <c r="V607" s="10"/>
      <c r="W607" s="10"/>
      <c r="X607" s="10"/>
      <c r="Y607" s="10"/>
      <c r="Z607" s="10"/>
      <c r="AA607" s="10"/>
      <c r="AB607" s="10"/>
      <c r="AC607" s="10"/>
      <c r="AD607" s="10"/>
      <c r="AE607" s="10"/>
      <c r="AF607" s="10"/>
    </row>
    <row r="608" hidden="1">
      <c r="A608" s="9" t="s">
        <v>825</v>
      </c>
      <c r="B608" s="84"/>
      <c r="C608" s="9"/>
      <c r="D608" s="9" t="str">
        <f t="shared" si="1"/>
        <v/>
      </c>
      <c r="E608" s="10" t="str">
        <f t="shared" si="2"/>
        <v>OT Hours</v>
      </c>
      <c r="F608" s="10" t="str">
        <f>IFERROR(VLOOKUP(C608,'Employees List'!$B$1:$I$999,4,0),"")</f>
        <v/>
      </c>
      <c r="G608" s="10" t="str">
        <f t="shared" si="21"/>
        <v>#DIV/0!</v>
      </c>
      <c r="H608" s="72" t="str">
        <f>IFERROR(VLOOKUP(C608,'Employees List'!$B$2:$I$991,7,0),"")</f>
        <v/>
      </c>
      <c r="I608" s="73" t="str">
        <f>IFERROR(VLOOKUP(F608,'Employees List'!$E$1:$AE$991,6,0),"")</f>
        <v/>
      </c>
      <c r="J608" s="71">
        <f t="shared" si="3"/>
        <v>0</v>
      </c>
      <c r="K608" s="71">
        <f t="shared" si="4"/>
        <v>0</v>
      </c>
      <c r="L608" s="10" t="str">
        <f>IFERROR(VLOOKUP(B608,'Employees List'!$A$2:$K$991,11,0),"")</f>
        <v/>
      </c>
      <c r="M608" s="74" t="str">
        <f>IFERROR(VLOOKUP(D608,'Daily Attendance 25-26'!$A$4:BP999,5,0),"")</f>
        <v/>
      </c>
      <c r="N608" s="10" t="str">
        <f>IFERROR(VLOOKUP(E608,'Daily Attendance 25-26'!$A$1:$BO$1741,5,0),"")</f>
        <v/>
      </c>
      <c r="O608" s="10"/>
      <c r="P608" s="10"/>
      <c r="Q608" s="10" t="str">
        <f t="shared" si="5"/>
        <v>#DIV/0!</v>
      </c>
      <c r="R608" s="10" t="str">
        <f t="shared" si="6"/>
        <v>#DIV/0!</v>
      </c>
      <c r="S608" s="10" t="str">
        <f t="shared" si="23"/>
        <v>#DIV/0!</v>
      </c>
      <c r="T608" s="10" t="str">
        <f t="shared" si="22"/>
        <v>#DIV/0!</v>
      </c>
      <c r="U608" s="10" t="str">
        <f t="shared" si="8"/>
        <v>#DIV/0!</v>
      </c>
      <c r="V608" s="10"/>
      <c r="W608" s="10"/>
      <c r="X608" s="10"/>
      <c r="Y608" s="10"/>
      <c r="Z608" s="10"/>
      <c r="AA608" s="10"/>
      <c r="AB608" s="10"/>
      <c r="AC608" s="10"/>
      <c r="AD608" s="10"/>
      <c r="AE608" s="10"/>
      <c r="AF608" s="10"/>
    </row>
    <row r="609" hidden="1">
      <c r="A609" s="9" t="s">
        <v>826</v>
      </c>
      <c r="B609" s="84"/>
      <c r="C609" s="9"/>
      <c r="D609" s="9" t="str">
        <f t="shared" si="1"/>
        <v/>
      </c>
      <c r="E609" s="10" t="str">
        <f t="shared" si="2"/>
        <v>OT Hours</v>
      </c>
      <c r="F609" s="10" t="str">
        <f>IFERROR(VLOOKUP(C609,'Employees List'!$B$1:$I$999,4,0),"")</f>
        <v/>
      </c>
      <c r="G609" s="10" t="str">
        <f t="shared" si="21"/>
        <v>#DIV/0!</v>
      </c>
      <c r="H609" s="72" t="str">
        <f>IFERROR(VLOOKUP(C609,'Employees List'!$B$2:$I$991,7,0),"")</f>
        <v/>
      </c>
      <c r="I609" s="73" t="str">
        <f>IFERROR(VLOOKUP(F609,'Employees List'!$E$1:$AE$991,6,0),"")</f>
        <v/>
      </c>
      <c r="J609" s="71">
        <f t="shared" si="3"/>
        <v>0</v>
      </c>
      <c r="K609" s="71">
        <f t="shared" si="4"/>
        <v>0</v>
      </c>
      <c r="L609" s="10" t="str">
        <f>IFERROR(VLOOKUP(B609,'Employees List'!$A$2:$K$991,11,0),"")</f>
        <v/>
      </c>
      <c r="M609" s="74" t="str">
        <f>IFERROR(VLOOKUP(D609,'Daily Attendance 25-26'!$A$4:BP999,5,0),"")</f>
        <v/>
      </c>
      <c r="N609" s="10" t="str">
        <f>IFERROR(VLOOKUP(E609,'Daily Attendance 25-26'!$A$1:$BO$1741,5,0),"")</f>
        <v/>
      </c>
      <c r="O609" s="10"/>
      <c r="P609" s="10"/>
      <c r="Q609" s="10" t="str">
        <f t="shared" si="5"/>
        <v>#DIV/0!</v>
      </c>
      <c r="R609" s="10" t="str">
        <f t="shared" si="6"/>
        <v>#DIV/0!</v>
      </c>
      <c r="S609" s="10" t="str">
        <f t="shared" si="23"/>
        <v>#DIV/0!</v>
      </c>
      <c r="T609" s="10" t="str">
        <f t="shared" si="22"/>
        <v>#DIV/0!</v>
      </c>
      <c r="U609" s="10" t="str">
        <f t="shared" si="8"/>
        <v>#DIV/0!</v>
      </c>
      <c r="V609" s="10"/>
      <c r="W609" s="10"/>
      <c r="X609" s="10"/>
      <c r="Y609" s="10"/>
      <c r="Z609" s="10"/>
      <c r="AA609" s="10"/>
      <c r="AB609" s="10"/>
      <c r="AC609" s="10"/>
      <c r="AD609" s="10"/>
      <c r="AE609" s="10"/>
      <c r="AF609" s="10"/>
    </row>
    <row r="610" hidden="1">
      <c r="A610" s="9" t="s">
        <v>827</v>
      </c>
      <c r="B610" s="84"/>
      <c r="C610" s="9"/>
      <c r="D610" s="9" t="str">
        <f t="shared" si="1"/>
        <v/>
      </c>
      <c r="E610" s="10" t="str">
        <f t="shared" si="2"/>
        <v>OT Hours</v>
      </c>
      <c r="F610" s="10" t="str">
        <f>IFERROR(VLOOKUP(C610,'Employees List'!$B$1:$I$999,4,0),"")</f>
        <v/>
      </c>
      <c r="G610" s="10" t="str">
        <f t="shared" si="21"/>
        <v>#DIV/0!</v>
      </c>
      <c r="H610" s="72" t="str">
        <f>IFERROR(VLOOKUP(C610,'Employees List'!$B$2:$I$991,7,0),"")</f>
        <v/>
      </c>
      <c r="I610" s="73" t="str">
        <f>IFERROR(VLOOKUP(F610,'Employees List'!$E$1:$AE$991,6,0),"")</f>
        <v/>
      </c>
      <c r="J610" s="71">
        <f t="shared" si="3"/>
        <v>0</v>
      </c>
      <c r="K610" s="71">
        <f t="shared" si="4"/>
        <v>0</v>
      </c>
      <c r="L610" s="10" t="str">
        <f>IFERROR(VLOOKUP(B610,'Employees List'!$A$2:$K$991,11,0),"")</f>
        <v/>
      </c>
      <c r="M610" s="74" t="str">
        <f>IFERROR(VLOOKUP(D610,'Daily Attendance 25-26'!$A$4:BP999,5,0),"")</f>
        <v/>
      </c>
      <c r="N610" s="10" t="str">
        <f>IFERROR(VLOOKUP(E610,'Daily Attendance 25-26'!$A$1:$BO$1741,5,0),"")</f>
        <v/>
      </c>
      <c r="O610" s="10"/>
      <c r="P610" s="10"/>
      <c r="Q610" s="10" t="str">
        <f t="shared" si="5"/>
        <v>#DIV/0!</v>
      </c>
      <c r="R610" s="10" t="str">
        <f t="shared" si="6"/>
        <v>#DIV/0!</v>
      </c>
      <c r="S610" s="10" t="str">
        <f t="shared" si="23"/>
        <v>#DIV/0!</v>
      </c>
      <c r="T610" s="10" t="str">
        <f t="shared" si="22"/>
        <v>#DIV/0!</v>
      </c>
      <c r="U610" s="10" t="str">
        <f t="shared" si="8"/>
        <v>#DIV/0!</v>
      </c>
      <c r="V610" s="10"/>
      <c r="W610" s="10"/>
      <c r="X610" s="10"/>
      <c r="Y610" s="10"/>
      <c r="Z610" s="10"/>
      <c r="AA610" s="10"/>
      <c r="AB610" s="10"/>
      <c r="AC610" s="10"/>
      <c r="AD610" s="10"/>
      <c r="AE610" s="10"/>
      <c r="AF610" s="10"/>
    </row>
    <row r="611" hidden="1">
      <c r="A611" s="9" t="s">
        <v>828</v>
      </c>
      <c r="B611" s="84"/>
      <c r="C611" s="9"/>
      <c r="D611" s="9" t="str">
        <f t="shared" si="1"/>
        <v/>
      </c>
      <c r="E611" s="10" t="str">
        <f t="shared" si="2"/>
        <v>OT Hours</v>
      </c>
      <c r="F611" s="10" t="str">
        <f>IFERROR(VLOOKUP(C611,'Employees List'!$B$1:$I$999,4,0),"")</f>
        <v/>
      </c>
      <c r="G611" s="10" t="str">
        <f t="shared" si="21"/>
        <v>#DIV/0!</v>
      </c>
      <c r="H611" s="72" t="str">
        <f>IFERROR(VLOOKUP(C611,'Employees List'!$B$2:$I$991,7,0),"")</f>
        <v/>
      </c>
      <c r="I611" s="73" t="str">
        <f>IFERROR(VLOOKUP(F611,'Employees List'!$E$1:$AE$991,6,0),"")</f>
        <v/>
      </c>
      <c r="J611" s="71">
        <f t="shared" si="3"/>
        <v>0</v>
      </c>
      <c r="K611" s="71">
        <f t="shared" si="4"/>
        <v>0</v>
      </c>
      <c r="L611" s="10" t="str">
        <f>IFERROR(VLOOKUP(B611,'Employees List'!$A$2:$K$991,11,0),"")</f>
        <v/>
      </c>
      <c r="M611" s="74" t="str">
        <f>IFERROR(VLOOKUP(D611,'Daily Attendance 25-26'!$A$4:BP999,5,0),"")</f>
        <v/>
      </c>
      <c r="N611" s="10" t="str">
        <f>IFERROR(VLOOKUP(E611,'Daily Attendance 25-26'!$A$1:$BO$1741,5,0),"")</f>
        <v/>
      </c>
      <c r="O611" s="10"/>
      <c r="P611" s="10"/>
      <c r="Q611" s="10" t="str">
        <f t="shared" si="5"/>
        <v>#DIV/0!</v>
      </c>
      <c r="R611" s="10" t="str">
        <f t="shared" si="6"/>
        <v>#DIV/0!</v>
      </c>
      <c r="S611" s="10" t="str">
        <f t="shared" si="23"/>
        <v>#DIV/0!</v>
      </c>
      <c r="T611" s="10" t="str">
        <f t="shared" si="22"/>
        <v>#DIV/0!</v>
      </c>
      <c r="U611" s="10" t="str">
        <f t="shared" si="8"/>
        <v>#DIV/0!</v>
      </c>
      <c r="V611" s="10"/>
      <c r="W611" s="10"/>
      <c r="X611" s="10"/>
      <c r="Y611" s="10"/>
      <c r="Z611" s="10"/>
      <c r="AA611" s="10"/>
      <c r="AB611" s="10"/>
      <c r="AC611" s="10"/>
      <c r="AD611" s="10"/>
      <c r="AE611" s="10"/>
      <c r="AF611" s="10"/>
    </row>
    <row r="612" hidden="1">
      <c r="A612" s="9" t="s">
        <v>829</v>
      </c>
      <c r="B612" s="84"/>
      <c r="C612" s="9"/>
      <c r="D612" s="9" t="str">
        <f t="shared" si="1"/>
        <v/>
      </c>
      <c r="E612" s="10" t="str">
        <f t="shared" si="2"/>
        <v>OT Hours</v>
      </c>
      <c r="F612" s="10" t="str">
        <f>IFERROR(VLOOKUP(C612,'Employees List'!$B$1:$I$999,4,0),"")</f>
        <v/>
      </c>
      <c r="G612" s="10" t="str">
        <f t="shared" si="21"/>
        <v>#DIV/0!</v>
      </c>
      <c r="H612" s="72" t="str">
        <f>IFERROR(VLOOKUP(C612,'Employees List'!$B$2:$I$991,7,0),"")</f>
        <v/>
      </c>
      <c r="I612" s="73" t="str">
        <f>IFERROR(VLOOKUP(F612,'Employees List'!$E$1:$AE$991,6,0),"")</f>
        <v/>
      </c>
      <c r="J612" s="71">
        <f t="shared" si="3"/>
        <v>0</v>
      </c>
      <c r="K612" s="71">
        <f t="shared" si="4"/>
        <v>0</v>
      </c>
      <c r="L612" s="10" t="str">
        <f>IFERROR(VLOOKUP(B612,'Employees List'!$A$2:$K$991,11,0),"")</f>
        <v/>
      </c>
      <c r="M612" s="74" t="str">
        <f>IFERROR(VLOOKUP(D612,'Daily Attendance 25-26'!$A$4:BP999,5,0),"")</f>
        <v/>
      </c>
      <c r="N612" s="10" t="str">
        <f>IFERROR(VLOOKUP(E612,'Daily Attendance 25-26'!$A$1:$BO$1741,5,0),"")</f>
        <v/>
      </c>
      <c r="O612" s="10"/>
      <c r="P612" s="10"/>
      <c r="Q612" s="10" t="str">
        <f t="shared" si="5"/>
        <v>#DIV/0!</v>
      </c>
      <c r="R612" s="10" t="str">
        <f t="shared" si="6"/>
        <v>#DIV/0!</v>
      </c>
      <c r="S612" s="10" t="str">
        <f t="shared" si="23"/>
        <v>#DIV/0!</v>
      </c>
      <c r="T612" s="10" t="str">
        <f t="shared" si="22"/>
        <v>#DIV/0!</v>
      </c>
      <c r="U612" s="10" t="str">
        <f t="shared" si="8"/>
        <v>#DIV/0!</v>
      </c>
      <c r="V612" s="10"/>
      <c r="W612" s="10"/>
      <c r="X612" s="10"/>
      <c r="Y612" s="10"/>
      <c r="Z612" s="10"/>
      <c r="AA612" s="10"/>
      <c r="AB612" s="10"/>
      <c r="AC612" s="10"/>
      <c r="AD612" s="10"/>
      <c r="AE612" s="10"/>
      <c r="AF612" s="10"/>
    </row>
    <row r="613" hidden="1">
      <c r="A613" s="9" t="s">
        <v>830</v>
      </c>
      <c r="B613" s="84"/>
      <c r="C613" s="9"/>
      <c r="D613" s="9" t="str">
        <f t="shared" si="1"/>
        <v/>
      </c>
      <c r="E613" s="10" t="str">
        <f t="shared" si="2"/>
        <v>OT Hours</v>
      </c>
      <c r="F613" s="10" t="str">
        <f>IFERROR(VLOOKUP(C613,'Employees List'!$B$1:$I$999,4,0),"")</f>
        <v/>
      </c>
      <c r="G613" s="10" t="str">
        <f t="shared" si="21"/>
        <v>#DIV/0!</v>
      </c>
      <c r="H613" s="72" t="str">
        <f>IFERROR(VLOOKUP(C613,'Employees List'!$B$2:$I$991,7,0),"")</f>
        <v/>
      </c>
      <c r="I613" s="73" t="str">
        <f>IFERROR(VLOOKUP(F613,'Employees List'!$E$1:$AE$991,6,0),"")</f>
        <v/>
      </c>
      <c r="J613" s="71">
        <f t="shared" si="3"/>
        <v>0</v>
      </c>
      <c r="K613" s="71">
        <f t="shared" si="4"/>
        <v>0</v>
      </c>
      <c r="L613" s="10" t="str">
        <f>IFERROR(VLOOKUP(B613,'Employees List'!$A$2:$K$991,11,0),"")</f>
        <v/>
      </c>
      <c r="M613" s="74" t="str">
        <f>IFERROR(VLOOKUP(D613,'Daily Attendance 25-26'!$A$4:BP999,5,0),"")</f>
        <v/>
      </c>
      <c r="N613" s="10" t="str">
        <f>IFERROR(VLOOKUP(E613,'Daily Attendance 25-26'!$A$1:$BO$1741,5,0),"")</f>
        <v/>
      </c>
      <c r="O613" s="10"/>
      <c r="P613" s="10"/>
      <c r="Q613" s="10" t="str">
        <f t="shared" si="5"/>
        <v>#DIV/0!</v>
      </c>
      <c r="R613" s="10" t="str">
        <f t="shared" si="6"/>
        <v>#DIV/0!</v>
      </c>
      <c r="S613" s="10" t="str">
        <f t="shared" si="23"/>
        <v>#DIV/0!</v>
      </c>
      <c r="T613" s="10" t="str">
        <f t="shared" si="22"/>
        <v>#DIV/0!</v>
      </c>
      <c r="U613" s="10" t="str">
        <f t="shared" si="8"/>
        <v>#DIV/0!</v>
      </c>
      <c r="V613" s="10"/>
      <c r="W613" s="10"/>
      <c r="X613" s="10"/>
      <c r="Y613" s="10"/>
      <c r="Z613" s="10"/>
      <c r="AA613" s="10"/>
      <c r="AB613" s="10"/>
      <c r="AC613" s="10"/>
      <c r="AD613" s="10"/>
      <c r="AE613" s="10"/>
      <c r="AF613" s="10"/>
    </row>
    <row r="614" hidden="1">
      <c r="A614" s="9" t="s">
        <v>831</v>
      </c>
      <c r="B614" s="84"/>
      <c r="C614" s="9"/>
      <c r="D614" s="9" t="str">
        <f t="shared" si="1"/>
        <v/>
      </c>
      <c r="E614" s="10" t="str">
        <f t="shared" si="2"/>
        <v>OT Hours</v>
      </c>
      <c r="F614" s="10" t="str">
        <f>IFERROR(VLOOKUP(C614,'Employees List'!$B$1:$I$999,4,0),"")</f>
        <v/>
      </c>
      <c r="G614" s="10" t="str">
        <f t="shared" si="21"/>
        <v>#DIV/0!</v>
      </c>
      <c r="H614" s="72" t="str">
        <f>IFERROR(VLOOKUP(C614,'Employees List'!$B$2:$I$991,7,0),"")</f>
        <v/>
      </c>
      <c r="I614" s="73" t="str">
        <f>IFERROR(VLOOKUP(F614,'Employees List'!$E$1:$AE$991,6,0),"")</f>
        <v/>
      </c>
      <c r="J614" s="71">
        <f t="shared" si="3"/>
        <v>0</v>
      </c>
      <c r="K614" s="71">
        <f t="shared" si="4"/>
        <v>0</v>
      </c>
      <c r="L614" s="10" t="str">
        <f>IFERROR(VLOOKUP(B614,'Employees List'!$A$2:$K$991,11,0),"")</f>
        <v/>
      </c>
      <c r="M614" s="74" t="str">
        <f>IFERROR(VLOOKUP(D614,'Daily Attendance 25-26'!$A$4:BP999,5,0),"")</f>
        <v/>
      </c>
      <c r="N614" s="10" t="str">
        <f>IFERROR(VLOOKUP(E614,'Daily Attendance 25-26'!$A$1:$BO$1741,5,0),"")</f>
        <v/>
      </c>
      <c r="O614" s="10"/>
      <c r="P614" s="10"/>
      <c r="Q614" s="10" t="str">
        <f t="shared" si="5"/>
        <v>#DIV/0!</v>
      </c>
      <c r="R614" s="10" t="str">
        <f t="shared" si="6"/>
        <v>#DIV/0!</v>
      </c>
      <c r="S614" s="10" t="str">
        <f t="shared" si="23"/>
        <v>#DIV/0!</v>
      </c>
      <c r="T614" s="10" t="str">
        <f t="shared" si="22"/>
        <v>#DIV/0!</v>
      </c>
      <c r="U614" s="10" t="str">
        <f t="shared" si="8"/>
        <v>#DIV/0!</v>
      </c>
      <c r="V614" s="10"/>
      <c r="W614" s="10"/>
      <c r="X614" s="10"/>
      <c r="Y614" s="10"/>
      <c r="Z614" s="10"/>
      <c r="AA614" s="10"/>
      <c r="AB614" s="10"/>
      <c r="AC614" s="10"/>
      <c r="AD614" s="10"/>
      <c r="AE614" s="10"/>
      <c r="AF614" s="10"/>
    </row>
    <row r="615" hidden="1">
      <c r="A615" s="9" t="s">
        <v>832</v>
      </c>
      <c r="B615" s="84"/>
      <c r="C615" s="9"/>
      <c r="D615" s="9" t="str">
        <f t="shared" si="1"/>
        <v/>
      </c>
      <c r="E615" s="10" t="str">
        <f t="shared" si="2"/>
        <v>OT Hours</v>
      </c>
      <c r="F615" s="10" t="str">
        <f>IFERROR(VLOOKUP(C615,'Employees List'!$B$1:$I$999,4,0),"")</f>
        <v/>
      </c>
      <c r="G615" s="10" t="str">
        <f t="shared" si="21"/>
        <v>#DIV/0!</v>
      </c>
      <c r="H615" s="72" t="str">
        <f>IFERROR(VLOOKUP(C615,'Employees List'!$B$2:$I$991,7,0),"")</f>
        <v/>
      </c>
      <c r="I615" s="73" t="str">
        <f>IFERROR(VLOOKUP(F615,'Employees List'!$E$1:$AE$991,6,0),"")</f>
        <v/>
      </c>
      <c r="J615" s="71">
        <f t="shared" si="3"/>
        <v>0</v>
      </c>
      <c r="K615" s="71">
        <f t="shared" si="4"/>
        <v>0</v>
      </c>
      <c r="L615" s="10" t="str">
        <f>IFERROR(VLOOKUP(B615,'Employees List'!$A$2:$K$991,11,0),"")</f>
        <v/>
      </c>
      <c r="M615" s="74" t="str">
        <f>IFERROR(VLOOKUP(D615,'Daily Attendance 25-26'!$A$4:BP999,5,0),"")</f>
        <v/>
      </c>
      <c r="N615" s="10" t="str">
        <f>IFERROR(VLOOKUP(E615,'Daily Attendance 25-26'!$A$1:$BO$1741,5,0),"")</f>
        <v/>
      </c>
      <c r="O615" s="10"/>
      <c r="P615" s="10"/>
      <c r="Q615" s="10" t="str">
        <f t="shared" si="5"/>
        <v>#DIV/0!</v>
      </c>
      <c r="R615" s="10" t="str">
        <f t="shared" si="6"/>
        <v>#DIV/0!</v>
      </c>
      <c r="S615" s="10" t="str">
        <f t="shared" si="23"/>
        <v>#DIV/0!</v>
      </c>
      <c r="T615" s="10" t="str">
        <f t="shared" si="22"/>
        <v>#DIV/0!</v>
      </c>
      <c r="U615" s="10" t="str">
        <f t="shared" si="8"/>
        <v>#DIV/0!</v>
      </c>
      <c r="V615" s="10"/>
      <c r="W615" s="10"/>
      <c r="X615" s="10"/>
      <c r="Y615" s="10"/>
      <c r="Z615" s="10"/>
      <c r="AA615" s="10"/>
      <c r="AB615" s="10"/>
      <c r="AC615" s="10"/>
      <c r="AD615" s="10"/>
      <c r="AE615" s="10"/>
      <c r="AF615" s="10"/>
    </row>
    <row r="616" hidden="1">
      <c r="A616" s="9" t="s">
        <v>833</v>
      </c>
      <c r="B616" s="84"/>
      <c r="C616" s="9"/>
      <c r="D616" s="9" t="str">
        <f t="shared" si="1"/>
        <v/>
      </c>
      <c r="E616" s="10" t="str">
        <f t="shared" si="2"/>
        <v>OT Hours</v>
      </c>
      <c r="F616" s="10" t="str">
        <f>IFERROR(VLOOKUP(C616,'Employees List'!$B$1:$I$999,4,0),"")</f>
        <v/>
      </c>
      <c r="G616" s="10" t="str">
        <f t="shared" si="21"/>
        <v>#DIV/0!</v>
      </c>
      <c r="H616" s="72" t="str">
        <f>IFERROR(VLOOKUP(C616,'Employees List'!$B$2:$I$991,7,0),"")</f>
        <v/>
      </c>
      <c r="I616" s="73" t="str">
        <f>IFERROR(VLOOKUP(F616,'Employees List'!$E$1:$AE$991,6,0),"")</f>
        <v/>
      </c>
      <c r="J616" s="71">
        <f t="shared" si="3"/>
        <v>0</v>
      </c>
      <c r="K616" s="71">
        <f t="shared" si="4"/>
        <v>0</v>
      </c>
      <c r="L616" s="10" t="str">
        <f>IFERROR(VLOOKUP(B616,'Employees List'!$A$2:$K$991,11,0),"")</f>
        <v/>
      </c>
      <c r="M616" s="74" t="str">
        <f>IFERROR(VLOOKUP(D616,'Daily Attendance 25-26'!$A$4:BP999,5,0),"")</f>
        <v/>
      </c>
      <c r="N616" s="10" t="str">
        <f>IFERROR(VLOOKUP(E616,'Daily Attendance 25-26'!$A$1:$BO$1741,5,0),"")</f>
        <v/>
      </c>
      <c r="O616" s="10"/>
      <c r="P616" s="10"/>
      <c r="Q616" s="10" t="str">
        <f t="shared" si="5"/>
        <v>#DIV/0!</v>
      </c>
      <c r="R616" s="10" t="str">
        <f t="shared" si="6"/>
        <v>#DIV/0!</v>
      </c>
      <c r="S616" s="10" t="str">
        <f t="shared" si="23"/>
        <v>#DIV/0!</v>
      </c>
      <c r="T616" s="10" t="str">
        <f t="shared" si="22"/>
        <v>#DIV/0!</v>
      </c>
      <c r="U616" s="10" t="str">
        <f t="shared" si="8"/>
        <v>#DIV/0!</v>
      </c>
      <c r="V616" s="10"/>
      <c r="W616" s="10"/>
      <c r="X616" s="10"/>
      <c r="Y616" s="10"/>
      <c r="Z616" s="10"/>
      <c r="AA616" s="10"/>
      <c r="AB616" s="10"/>
      <c r="AC616" s="10"/>
      <c r="AD616" s="10"/>
      <c r="AE616" s="10"/>
      <c r="AF616" s="10"/>
    </row>
    <row r="617" hidden="1">
      <c r="A617" s="9" t="s">
        <v>834</v>
      </c>
      <c r="B617" s="84"/>
      <c r="C617" s="9"/>
      <c r="D617" s="9" t="str">
        <f t="shared" si="1"/>
        <v/>
      </c>
      <c r="E617" s="10" t="str">
        <f t="shared" si="2"/>
        <v>OT Hours</v>
      </c>
      <c r="F617" s="10" t="str">
        <f>IFERROR(VLOOKUP(C617,'Employees List'!$B$1:$I$999,4,0),"")</f>
        <v/>
      </c>
      <c r="G617" s="10" t="str">
        <f t="shared" si="21"/>
        <v>#DIV/0!</v>
      </c>
      <c r="H617" s="72" t="str">
        <f>IFERROR(VLOOKUP(C617,'Employees List'!$B$2:$I$991,7,0),"")</f>
        <v/>
      </c>
      <c r="I617" s="73" t="str">
        <f>IFERROR(VLOOKUP(F617,'Employees List'!$E$1:$AE$991,6,0),"")</f>
        <v/>
      </c>
      <c r="J617" s="71">
        <f t="shared" si="3"/>
        <v>0</v>
      </c>
      <c r="K617" s="71">
        <f t="shared" si="4"/>
        <v>0</v>
      </c>
      <c r="L617" s="10" t="str">
        <f>IFERROR(VLOOKUP(B617,'Employees List'!$A$2:$K$991,11,0),"")</f>
        <v/>
      </c>
      <c r="M617" s="74" t="str">
        <f>IFERROR(VLOOKUP(D617,'Daily Attendance 25-26'!$A$4:BP999,5,0),"")</f>
        <v/>
      </c>
      <c r="N617" s="10" t="str">
        <f>IFERROR(VLOOKUP(E617,'Daily Attendance 25-26'!$A$1:$BO$1741,5,0),"")</f>
        <v/>
      </c>
      <c r="O617" s="10"/>
      <c r="P617" s="10"/>
      <c r="Q617" s="10" t="str">
        <f t="shared" si="5"/>
        <v>#DIV/0!</v>
      </c>
      <c r="R617" s="10" t="str">
        <f t="shared" si="6"/>
        <v>#DIV/0!</v>
      </c>
      <c r="S617" s="10" t="str">
        <f t="shared" si="23"/>
        <v>#DIV/0!</v>
      </c>
      <c r="T617" s="10" t="str">
        <f t="shared" si="22"/>
        <v>#DIV/0!</v>
      </c>
      <c r="U617" s="10" t="str">
        <f t="shared" si="8"/>
        <v>#DIV/0!</v>
      </c>
      <c r="V617" s="10"/>
      <c r="W617" s="10"/>
      <c r="X617" s="10"/>
      <c r="Y617" s="10"/>
      <c r="Z617" s="10"/>
      <c r="AA617" s="10"/>
      <c r="AB617" s="10"/>
      <c r="AC617" s="10"/>
      <c r="AD617" s="10"/>
      <c r="AE617" s="10"/>
      <c r="AF617" s="10"/>
    </row>
    <row r="618" hidden="1">
      <c r="A618" s="9" t="s">
        <v>835</v>
      </c>
      <c r="B618" s="84"/>
      <c r="C618" s="9"/>
      <c r="D618" s="9" t="str">
        <f t="shared" si="1"/>
        <v/>
      </c>
      <c r="E618" s="10" t="str">
        <f t="shared" si="2"/>
        <v>OT Hours</v>
      </c>
      <c r="F618" s="10" t="str">
        <f>IFERROR(VLOOKUP(C618,'Employees List'!$B$1:$I$999,4,0),"")</f>
        <v/>
      </c>
      <c r="G618" s="10" t="str">
        <f t="shared" si="21"/>
        <v>#DIV/0!</v>
      </c>
      <c r="H618" s="72" t="str">
        <f>IFERROR(VLOOKUP(C618,'Employees List'!$B$2:$I$991,7,0),"")</f>
        <v/>
      </c>
      <c r="I618" s="73" t="str">
        <f>IFERROR(VLOOKUP(F618,'Employees List'!$E$1:$AE$991,6,0),"")</f>
        <v/>
      </c>
      <c r="J618" s="71">
        <f t="shared" si="3"/>
        <v>0</v>
      </c>
      <c r="K618" s="71">
        <f t="shared" si="4"/>
        <v>0</v>
      </c>
      <c r="L618" s="10" t="str">
        <f>IFERROR(VLOOKUP(B618,'Employees List'!$A$2:$K$991,11,0),"")</f>
        <v/>
      </c>
      <c r="M618" s="74" t="str">
        <f>IFERROR(VLOOKUP(D618,'Daily Attendance 25-26'!$A$4:BP999,5,0),"")</f>
        <v/>
      </c>
      <c r="N618" s="10" t="str">
        <f>IFERROR(VLOOKUP(E618,'Daily Attendance 25-26'!$A$1:$BO$1741,5,0),"")</f>
        <v/>
      </c>
      <c r="O618" s="10"/>
      <c r="P618" s="10"/>
      <c r="Q618" s="10" t="str">
        <f t="shared" si="5"/>
        <v>#DIV/0!</v>
      </c>
      <c r="R618" s="10" t="str">
        <f t="shared" si="6"/>
        <v>#DIV/0!</v>
      </c>
      <c r="S618" s="10" t="str">
        <f t="shared" si="23"/>
        <v>#DIV/0!</v>
      </c>
      <c r="T618" s="10" t="str">
        <f t="shared" si="22"/>
        <v>#DIV/0!</v>
      </c>
      <c r="U618" s="10" t="str">
        <f t="shared" si="8"/>
        <v>#DIV/0!</v>
      </c>
      <c r="V618" s="10"/>
      <c r="W618" s="10"/>
      <c r="X618" s="10"/>
      <c r="Y618" s="10"/>
      <c r="Z618" s="10"/>
      <c r="AA618" s="10"/>
      <c r="AB618" s="10"/>
      <c r="AC618" s="10"/>
      <c r="AD618" s="10"/>
      <c r="AE618" s="10"/>
      <c r="AF618" s="10"/>
    </row>
    <row r="619" hidden="1">
      <c r="A619" s="9" t="s">
        <v>836</v>
      </c>
      <c r="B619" s="84"/>
      <c r="C619" s="9"/>
      <c r="D619" s="9" t="str">
        <f t="shared" si="1"/>
        <v/>
      </c>
      <c r="E619" s="10" t="str">
        <f t="shared" si="2"/>
        <v>OT Hours</v>
      </c>
      <c r="F619" s="10" t="str">
        <f>IFERROR(VLOOKUP(C619,'Employees List'!$B$1:$I$999,4,0),"")</f>
        <v/>
      </c>
      <c r="G619" s="10" t="str">
        <f t="shared" si="21"/>
        <v>#DIV/0!</v>
      </c>
      <c r="H619" s="72" t="str">
        <f>IFERROR(VLOOKUP(C619,'Employees List'!$B$2:$I$991,7,0),"")</f>
        <v/>
      </c>
      <c r="I619" s="73" t="str">
        <f>IFERROR(VLOOKUP(F619,'Employees List'!$E$1:$AE$991,6,0),"")</f>
        <v/>
      </c>
      <c r="J619" s="71">
        <f t="shared" si="3"/>
        <v>0</v>
      </c>
      <c r="K619" s="71">
        <f t="shared" si="4"/>
        <v>0</v>
      </c>
      <c r="L619" s="10" t="str">
        <f>IFERROR(VLOOKUP(B619,'Employees List'!$A$2:$K$991,11,0),"")</f>
        <v/>
      </c>
      <c r="M619" s="74" t="str">
        <f>IFERROR(VLOOKUP(D619,'Daily Attendance 25-26'!$A$4:BP999,5,0),"")</f>
        <v/>
      </c>
      <c r="N619" s="10" t="str">
        <f>IFERROR(VLOOKUP(E619,'Daily Attendance 25-26'!$A$1:$BO$1741,5,0),"")</f>
        <v/>
      </c>
      <c r="O619" s="10"/>
      <c r="P619" s="10"/>
      <c r="Q619" s="10" t="str">
        <f t="shared" si="5"/>
        <v>#DIV/0!</v>
      </c>
      <c r="R619" s="10" t="str">
        <f t="shared" si="6"/>
        <v>#DIV/0!</v>
      </c>
      <c r="S619" s="10" t="str">
        <f t="shared" si="23"/>
        <v>#DIV/0!</v>
      </c>
      <c r="T619" s="10" t="str">
        <f t="shared" si="22"/>
        <v>#DIV/0!</v>
      </c>
      <c r="U619" s="10" t="str">
        <f t="shared" si="8"/>
        <v>#DIV/0!</v>
      </c>
      <c r="V619" s="10"/>
      <c r="W619" s="10"/>
      <c r="X619" s="10"/>
      <c r="Y619" s="10"/>
      <c r="Z619" s="10"/>
      <c r="AA619" s="10"/>
      <c r="AB619" s="10"/>
      <c r="AC619" s="10"/>
      <c r="AD619" s="10"/>
      <c r="AE619" s="10"/>
      <c r="AF619" s="10"/>
    </row>
    <row r="620" hidden="1">
      <c r="A620" s="9" t="s">
        <v>837</v>
      </c>
      <c r="B620" s="84"/>
      <c r="C620" s="9"/>
      <c r="D620" s="9" t="str">
        <f t="shared" si="1"/>
        <v/>
      </c>
      <c r="E620" s="10" t="str">
        <f t="shared" si="2"/>
        <v>OT Hours</v>
      </c>
      <c r="F620" s="10" t="str">
        <f>IFERROR(VLOOKUP(C620,'Employees List'!$B$1:$I$999,4,0),"")</f>
        <v/>
      </c>
      <c r="G620" s="10" t="str">
        <f t="shared" si="21"/>
        <v>#DIV/0!</v>
      </c>
      <c r="H620" s="72" t="str">
        <f>IFERROR(VLOOKUP(C620,'Employees List'!$B$2:$I$991,7,0),"")</f>
        <v/>
      </c>
      <c r="I620" s="73" t="str">
        <f>IFERROR(VLOOKUP(F620,'Employees List'!$E$1:$AE$991,6,0),"")</f>
        <v/>
      </c>
      <c r="J620" s="71">
        <f t="shared" si="3"/>
        <v>0</v>
      </c>
      <c r="K620" s="71">
        <f t="shared" si="4"/>
        <v>0</v>
      </c>
      <c r="L620" s="10" t="str">
        <f>IFERROR(VLOOKUP(B620,'Employees List'!$A$2:$K$991,11,0),"")</f>
        <v/>
      </c>
      <c r="M620" s="74" t="str">
        <f>IFERROR(VLOOKUP(D620,'Daily Attendance 25-26'!$A$4:BP999,5,0),"")</f>
        <v/>
      </c>
      <c r="N620" s="10" t="str">
        <f>IFERROR(VLOOKUP(E620,'Daily Attendance 25-26'!$A$1:$BO$1741,5,0),"")</f>
        <v/>
      </c>
      <c r="O620" s="10"/>
      <c r="P620" s="10"/>
      <c r="Q620" s="10" t="str">
        <f t="shared" si="5"/>
        <v>#DIV/0!</v>
      </c>
      <c r="R620" s="10" t="str">
        <f t="shared" si="6"/>
        <v>#DIV/0!</v>
      </c>
      <c r="S620" s="10" t="str">
        <f t="shared" si="23"/>
        <v>#DIV/0!</v>
      </c>
      <c r="T620" s="10" t="str">
        <f t="shared" si="22"/>
        <v>#DIV/0!</v>
      </c>
      <c r="U620" s="10" t="str">
        <f t="shared" si="8"/>
        <v>#DIV/0!</v>
      </c>
      <c r="V620" s="10"/>
      <c r="W620" s="10"/>
      <c r="X620" s="10"/>
      <c r="Y620" s="10"/>
      <c r="Z620" s="10"/>
      <c r="AA620" s="10"/>
      <c r="AB620" s="10"/>
      <c r="AC620" s="10"/>
      <c r="AD620" s="10"/>
      <c r="AE620" s="10"/>
      <c r="AF620" s="10"/>
    </row>
    <row r="621" hidden="1">
      <c r="A621" s="9" t="s">
        <v>838</v>
      </c>
      <c r="B621" s="84"/>
      <c r="C621" s="9"/>
      <c r="D621" s="9" t="str">
        <f t="shared" si="1"/>
        <v/>
      </c>
      <c r="E621" s="10" t="str">
        <f t="shared" si="2"/>
        <v>OT Hours</v>
      </c>
      <c r="F621" s="10" t="str">
        <f>IFERROR(VLOOKUP(C621,'Employees List'!$B$1:$I$999,4,0),"")</f>
        <v/>
      </c>
      <c r="G621" s="10" t="str">
        <f t="shared" si="21"/>
        <v>#DIV/0!</v>
      </c>
      <c r="H621" s="72" t="str">
        <f>IFERROR(VLOOKUP(C621,'Employees List'!$B$2:$I$991,7,0),"")</f>
        <v/>
      </c>
      <c r="I621" s="73" t="str">
        <f>IFERROR(VLOOKUP(F621,'Employees List'!$E$1:$AE$991,6,0),"")</f>
        <v/>
      </c>
      <c r="J621" s="71">
        <f t="shared" si="3"/>
        <v>0</v>
      </c>
      <c r="K621" s="71">
        <f t="shared" si="4"/>
        <v>0</v>
      </c>
      <c r="L621" s="10" t="str">
        <f>IFERROR(VLOOKUP(B621,'Employees List'!$A$2:$K$991,11,0),"")</f>
        <v/>
      </c>
      <c r="M621" s="74" t="str">
        <f>IFERROR(VLOOKUP(D621,'Daily Attendance 25-26'!$A$4:BP999,5,0),"")</f>
        <v/>
      </c>
      <c r="N621" s="10" t="str">
        <f>IFERROR(VLOOKUP(E621,'Daily Attendance 25-26'!$A$1:$BO$1741,5,0),"")</f>
        <v/>
      </c>
      <c r="O621" s="10"/>
      <c r="P621" s="10"/>
      <c r="Q621" s="10" t="str">
        <f t="shared" si="5"/>
        <v>#DIV/0!</v>
      </c>
      <c r="R621" s="10" t="str">
        <f t="shared" si="6"/>
        <v>#DIV/0!</v>
      </c>
      <c r="S621" s="10" t="str">
        <f t="shared" si="23"/>
        <v>#DIV/0!</v>
      </c>
      <c r="T621" s="10" t="str">
        <f t="shared" si="22"/>
        <v>#DIV/0!</v>
      </c>
      <c r="U621" s="10" t="str">
        <f t="shared" si="8"/>
        <v>#DIV/0!</v>
      </c>
      <c r="V621" s="10"/>
      <c r="W621" s="10"/>
      <c r="X621" s="10"/>
      <c r="Y621" s="10"/>
      <c r="Z621" s="10"/>
      <c r="AA621" s="10"/>
      <c r="AB621" s="10"/>
      <c r="AC621" s="10"/>
      <c r="AD621" s="10"/>
      <c r="AE621" s="10"/>
      <c r="AF621" s="10"/>
    </row>
    <row r="622" hidden="1">
      <c r="A622" s="9" t="s">
        <v>839</v>
      </c>
      <c r="B622" s="84"/>
      <c r="C622" s="9"/>
      <c r="D622" s="9" t="str">
        <f t="shared" si="1"/>
        <v/>
      </c>
      <c r="E622" s="10" t="str">
        <f t="shared" si="2"/>
        <v>OT Hours</v>
      </c>
      <c r="F622" s="10" t="str">
        <f>IFERROR(VLOOKUP(C622,'Employees List'!$B$1:$I$999,4,0),"")</f>
        <v/>
      </c>
      <c r="G622" s="10" t="str">
        <f t="shared" si="21"/>
        <v>#DIV/0!</v>
      </c>
      <c r="H622" s="72" t="str">
        <f>IFERROR(VLOOKUP(C622,'Employees List'!$B$2:$I$991,7,0),"")</f>
        <v/>
      </c>
      <c r="I622" s="73" t="str">
        <f>IFERROR(VLOOKUP(F622,'Employees List'!$E$1:$AE$991,6,0),"")</f>
        <v/>
      </c>
      <c r="J622" s="71">
        <f t="shared" si="3"/>
        <v>0</v>
      </c>
      <c r="K622" s="71">
        <f t="shared" si="4"/>
        <v>0</v>
      </c>
      <c r="L622" s="10" t="str">
        <f>IFERROR(VLOOKUP(B622,'Employees List'!$A$2:$K$991,11,0),"")</f>
        <v/>
      </c>
      <c r="M622" s="74" t="str">
        <f>IFERROR(VLOOKUP(D622,'Daily Attendance 25-26'!$A$4:BP999,5,0),"")</f>
        <v/>
      </c>
      <c r="N622" s="10" t="str">
        <f>IFERROR(VLOOKUP(E622,'Daily Attendance 25-26'!$A$1:$BO$1741,5,0),"")</f>
        <v/>
      </c>
      <c r="O622" s="10"/>
      <c r="P622" s="10"/>
      <c r="Q622" s="10" t="str">
        <f t="shared" si="5"/>
        <v>#DIV/0!</v>
      </c>
      <c r="R622" s="10" t="str">
        <f t="shared" si="6"/>
        <v>#DIV/0!</v>
      </c>
      <c r="S622" s="10" t="str">
        <f t="shared" si="23"/>
        <v>#DIV/0!</v>
      </c>
      <c r="T622" s="10" t="str">
        <f t="shared" si="22"/>
        <v>#DIV/0!</v>
      </c>
      <c r="U622" s="10" t="str">
        <f t="shared" si="8"/>
        <v>#DIV/0!</v>
      </c>
      <c r="V622" s="10"/>
      <c r="W622" s="10"/>
      <c r="X622" s="10"/>
      <c r="Y622" s="10"/>
      <c r="Z622" s="10"/>
      <c r="AA622" s="10"/>
      <c r="AB622" s="10"/>
      <c r="AC622" s="10"/>
      <c r="AD622" s="10"/>
      <c r="AE622" s="10"/>
      <c r="AF622" s="10"/>
    </row>
    <row r="623" hidden="1">
      <c r="A623" s="9" t="s">
        <v>840</v>
      </c>
      <c r="B623" s="84"/>
      <c r="C623" s="9"/>
      <c r="D623" s="9" t="str">
        <f t="shared" si="1"/>
        <v/>
      </c>
      <c r="E623" s="10" t="str">
        <f t="shared" si="2"/>
        <v>OT Hours</v>
      </c>
      <c r="F623" s="10" t="str">
        <f>IFERROR(VLOOKUP(C623,'Employees List'!$B$1:$I$999,4,0),"")</f>
        <v/>
      </c>
      <c r="G623" s="10" t="str">
        <f t="shared" si="21"/>
        <v>#DIV/0!</v>
      </c>
      <c r="H623" s="72" t="str">
        <f>IFERROR(VLOOKUP(C623,'Employees List'!$B$2:$I$991,7,0),"")</f>
        <v/>
      </c>
      <c r="I623" s="73" t="str">
        <f>IFERROR(VLOOKUP(F623,'Employees List'!$E$1:$AE$991,6,0),"")</f>
        <v/>
      </c>
      <c r="J623" s="71">
        <f t="shared" si="3"/>
        <v>0</v>
      </c>
      <c r="K623" s="71">
        <f t="shared" si="4"/>
        <v>0</v>
      </c>
      <c r="L623" s="10" t="str">
        <f>IFERROR(VLOOKUP(B623,'Employees List'!$A$2:$K$991,11,0),"")</f>
        <v/>
      </c>
      <c r="M623" s="74" t="str">
        <f>IFERROR(VLOOKUP(D623,'Daily Attendance 25-26'!$A$4:BP999,5,0),"")</f>
        <v/>
      </c>
      <c r="N623" s="10" t="str">
        <f>IFERROR(VLOOKUP(E623,'Daily Attendance 25-26'!$A$1:$BO$1741,5,0),"")</f>
        <v/>
      </c>
      <c r="O623" s="10"/>
      <c r="P623" s="10"/>
      <c r="Q623" s="10" t="str">
        <f t="shared" si="5"/>
        <v>#DIV/0!</v>
      </c>
      <c r="R623" s="10" t="str">
        <f t="shared" si="6"/>
        <v>#DIV/0!</v>
      </c>
      <c r="S623" s="10" t="str">
        <f t="shared" si="23"/>
        <v>#DIV/0!</v>
      </c>
      <c r="T623" s="10" t="str">
        <f t="shared" si="22"/>
        <v>#DIV/0!</v>
      </c>
      <c r="U623" s="10" t="str">
        <f t="shared" si="8"/>
        <v>#DIV/0!</v>
      </c>
      <c r="V623" s="10"/>
      <c r="W623" s="10"/>
      <c r="X623" s="10"/>
      <c r="Y623" s="10"/>
      <c r="Z623" s="10"/>
      <c r="AA623" s="10"/>
      <c r="AB623" s="10"/>
      <c r="AC623" s="10"/>
      <c r="AD623" s="10"/>
      <c r="AE623" s="10"/>
      <c r="AF623" s="10"/>
    </row>
    <row r="624" hidden="1">
      <c r="A624" s="9" t="s">
        <v>841</v>
      </c>
      <c r="B624" s="84"/>
      <c r="C624" s="9"/>
      <c r="D624" s="9" t="str">
        <f t="shared" si="1"/>
        <v/>
      </c>
      <c r="E624" s="10" t="str">
        <f t="shared" si="2"/>
        <v>OT Hours</v>
      </c>
      <c r="F624" s="10" t="str">
        <f>IFERROR(VLOOKUP(C624,'Employees List'!$B$1:$I$999,4,0),"")</f>
        <v/>
      </c>
      <c r="G624" s="10" t="str">
        <f t="shared" si="21"/>
        <v>#DIV/0!</v>
      </c>
      <c r="H624" s="72" t="str">
        <f>IFERROR(VLOOKUP(C624,'Employees List'!$B$2:$I$991,7,0),"")</f>
        <v/>
      </c>
      <c r="I624" s="73" t="str">
        <f>IFERROR(VLOOKUP(F624,'Employees List'!$E$1:$AE$991,6,0),"")</f>
        <v/>
      </c>
      <c r="J624" s="71">
        <f t="shared" si="3"/>
        <v>0</v>
      </c>
      <c r="K624" s="71">
        <f t="shared" si="4"/>
        <v>0</v>
      </c>
      <c r="L624" s="10" t="str">
        <f>IFERROR(VLOOKUP(B624,'Employees List'!$A$2:$K$991,11,0),"")</f>
        <v/>
      </c>
      <c r="M624" s="74" t="str">
        <f>IFERROR(VLOOKUP(D624,'Daily Attendance 25-26'!$A$4:BP999,5,0),"")</f>
        <v/>
      </c>
      <c r="N624" s="10" t="str">
        <f>IFERROR(VLOOKUP(E624,'Daily Attendance 25-26'!$A$1:$BO$1741,5,0),"")</f>
        <v/>
      </c>
      <c r="O624" s="10"/>
      <c r="P624" s="10"/>
      <c r="Q624" s="10" t="str">
        <f t="shared" si="5"/>
        <v>#DIV/0!</v>
      </c>
      <c r="R624" s="10" t="str">
        <f t="shared" si="6"/>
        <v>#DIV/0!</v>
      </c>
      <c r="S624" s="10" t="str">
        <f t="shared" si="23"/>
        <v>#DIV/0!</v>
      </c>
      <c r="T624" s="10" t="str">
        <f t="shared" si="22"/>
        <v>#DIV/0!</v>
      </c>
      <c r="U624" s="10" t="str">
        <f t="shared" si="8"/>
        <v>#DIV/0!</v>
      </c>
      <c r="V624" s="10"/>
      <c r="W624" s="10"/>
      <c r="X624" s="10"/>
      <c r="Y624" s="10"/>
      <c r="Z624" s="10"/>
      <c r="AA624" s="10"/>
      <c r="AB624" s="10"/>
      <c r="AC624" s="10"/>
      <c r="AD624" s="10"/>
      <c r="AE624" s="10"/>
      <c r="AF624" s="10"/>
    </row>
    <row r="625" hidden="1">
      <c r="A625" s="9" t="s">
        <v>842</v>
      </c>
      <c r="B625" s="84"/>
      <c r="C625" s="9"/>
      <c r="D625" s="9" t="str">
        <f t="shared" si="1"/>
        <v/>
      </c>
      <c r="E625" s="10" t="str">
        <f t="shared" si="2"/>
        <v>OT Hours</v>
      </c>
      <c r="F625" s="10" t="str">
        <f>IFERROR(VLOOKUP(C625,'Employees List'!$B$1:$I$999,4,0),"")</f>
        <v/>
      </c>
      <c r="G625" s="10" t="str">
        <f t="shared" si="21"/>
        <v>#DIV/0!</v>
      </c>
      <c r="H625" s="72" t="str">
        <f>IFERROR(VLOOKUP(C625,'Employees List'!$B$2:$I$991,7,0),"")</f>
        <v/>
      </c>
      <c r="I625" s="73" t="str">
        <f>IFERROR(VLOOKUP(F625,'Employees List'!$E$1:$AE$991,6,0),"")</f>
        <v/>
      </c>
      <c r="J625" s="71">
        <f t="shared" si="3"/>
        <v>0</v>
      </c>
      <c r="K625" s="71">
        <f t="shared" si="4"/>
        <v>0</v>
      </c>
      <c r="L625" s="10" t="str">
        <f>IFERROR(VLOOKUP(B625,'Employees List'!$A$2:$K$991,11,0),"")</f>
        <v/>
      </c>
      <c r="M625" s="74" t="str">
        <f>IFERROR(VLOOKUP(D625,'Daily Attendance 25-26'!$A$4:BP999,5,0),"")</f>
        <v/>
      </c>
      <c r="N625" s="10" t="str">
        <f>IFERROR(VLOOKUP(E625,'Daily Attendance 25-26'!$A$1:$BO$1741,5,0),"")</f>
        <v/>
      </c>
      <c r="O625" s="10"/>
      <c r="P625" s="10"/>
      <c r="Q625" s="10" t="str">
        <f t="shared" si="5"/>
        <v>#DIV/0!</v>
      </c>
      <c r="R625" s="10" t="str">
        <f t="shared" si="6"/>
        <v>#DIV/0!</v>
      </c>
      <c r="S625" s="10" t="str">
        <f t="shared" si="23"/>
        <v>#DIV/0!</v>
      </c>
      <c r="T625" s="10" t="str">
        <f t="shared" si="22"/>
        <v>#DIV/0!</v>
      </c>
      <c r="U625" s="10" t="str">
        <f t="shared" si="8"/>
        <v>#DIV/0!</v>
      </c>
      <c r="V625" s="10"/>
      <c r="W625" s="10"/>
      <c r="X625" s="10"/>
      <c r="Y625" s="10"/>
      <c r="Z625" s="10"/>
      <c r="AA625" s="10"/>
      <c r="AB625" s="10"/>
      <c r="AC625" s="10"/>
      <c r="AD625" s="10"/>
      <c r="AE625" s="10"/>
      <c r="AF625" s="10"/>
    </row>
    <row r="626" hidden="1">
      <c r="A626" s="9" t="s">
        <v>843</v>
      </c>
      <c r="B626" s="84"/>
      <c r="C626" s="9"/>
      <c r="D626" s="9" t="str">
        <f t="shared" si="1"/>
        <v/>
      </c>
      <c r="E626" s="10" t="str">
        <f t="shared" si="2"/>
        <v>OT Hours</v>
      </c>
      <c r="F626" s="10" t="str">
        <f>IFERROR(VLOOKUP(C626,'Employees List'!$B$1:$I$999,4,0),"")</f>
        <v/>
      </c>
      <c r="G626" s="10" t="str">
        <f t="shared" si="21"/>
        <v>#DIV/0!</v>
      </c>
      <c r="H626" s="72" t="str">
        <f>IFERROR(VLOOKUP(C626,'Employees List'!$B$2:$I$991,7,0),"")</f>
        <v/>
      </c>
      <c r="I626" s="73" t="str">
        <f>IFERROR(VLOOKUP(F626,'Employees List'!$E$1:$AE$991,6,0),"")</f>
        <v/>
      </c>
      <c r="J626" s="71">
        <f t="shared" si="3"/>
        <v>0</v>
      </c>
      <c r="K626" s="71">
        <f t="shared" si="4"/>
        <v>0</v>
      </c>
      <c r="L626" s="10" t="str">
        <f>IFERROR(VLOOKUP(B626,'Employees List'!$A$2:$K$991,11,0),"")</f>
        <v/>
      </c>
      <c r="M626" s="74" t="str">
        <f>IFERROR(VLOOKUP(D626,'Daily Attendance 25-26'!$A$4:BP999,5,0),"")</f>
        <v/>
      </c>
      <c r="N626" s="10" t="str">
        <f>IFERROR(VLOOKUP(E626,'Daily Attendance 25-26'!$A$1:$BO$1741,5,0),"")</f>
        <v/>
      </c>
      <c r="O626" s="10"/>
      <c r="P626" s="10"/>
      <c r="Q626" s="10" t="str">
        <f t="shared" si="5"/>
        <v>#DIV/0!</v>
      </c>
      <c r="R626" s="10" t="str">
        <f t="shared" si="6"/>
        <v>#DIV/0!</v>
      </c>
      <c r="S626" s="10" t="str">
        <f t="shared" si="23"/>
        <v>#DIV/0!</v>
      </c>
      <c r="T626" s="10" t="str">
        <f t="shared" si="22"/>
        <v>#DIV/0!</v>
      </c>
      <c r="U626" s="10" t="str">
        <f t="shared" si="8"/>
        <v>#DIV/0!</v>
      </c>
      <c r="V626" s="10"/>
      <c r="W626" s="10"/>
      <c r="X626" s="10"/>
      <c r="Y626" s="10"/>
      <c r="Z626" s="10"/>
      <c r="AA626" s="10"/>
      <c r="AB626" s="10"/>
      <c r="AC626" s="10"/>
      <c r="AD626" s="10"/>
      <c r="AE626" s="10"/>
      <c r="AF626" s="10"/>
    </row>
    <row r="627" hidden="1">
      <c r="A627" s="9" t="s">
        <v>844</v>
      </c>
      <c r="B627" s="84"/>
      <c r="C627" s="9"/>
      <c r="D627" s="9" t="str">
        <f t="shared" si="1"/>
        <v/>
      </c>
      <c r="E627" s="10" t="str">
        <f t="shared" si="2"/>
        <v>OT Hours</v>
      </c>
      <c r="F627" s="10" t="str">
        <f>IFERROR(VLOOKUP(C627,'Employees List'!$B$1:$I$999,4,0),"")</f>
        <v/>
      </c>
      <c r="G627" s="10" t="str">
        <f t="shared" si="21"/>
        <v>#DIV/0!</v>
      </c>
      <c r="H627" s="72" t="str">
        <f>IFERROR(VLOOKUP(C627,'Employees List'!$B$2:$I$991,7,0),"")</f>
        <v/>
      </c>
      <c r="I627" s="73" t="str">
        <f>IFERROR(VLOOKUP(F627,'Employees List'!$E$1:$AE$991,6,0),"")</f>
        <v/>
      </c>
      <c r="J627" s="71">
        <f t="shared" si="3"/>
        <v>0</v>
      </c>
      <c r="K627" s="71">
        <f t="shared" si="4"/>
        <v>0</v>
      </c>
      <c r="L627" s="10" t="str">
        <f>IFERROR(VLOOKUP(B627,'Employees List'!$A$2:$K$991,11,0),"")</f>
        <v/>
      </c>
      <c r="M627" s="74" t="str">
        <f>IFERROR(VLOOKUP(D627,'Daily Attendance 25-26'!$A$4:BP999,5,0),"")</f>
        <v/>
      </c>
      <c r="N627" s="10" t="str">
        <f>IFERROR(VLOOKUP(E627,'Daily Attendance 25-26'!$A$1:$BO$1741,5,0),"")</f>
        <v/>
      </c>
      <c r="O627" s="10"/>
      <c r="P627" s="10"/>
      <c r="Q627" s="10" t="str">
        <f t="shared" si="5"/>
        <v>#DIV/0!</v>
      </c>
      <c r="R627" s="10" t="str">
        <f t="shared" si="6"/>
        <v>#DIV/0!</v>
      </c>
      <c r="S627" s="10" t="str">
        <f t="shared" si="23"/>
        <v>#DIV/0!</v>
      </c>
      <c r="T627" s="10" t="str">
        <f t="shared" si="22"/>
        <v>#DIV/0!</v>
      </c>
      <c r="U627" s="10" t="str">
        <f t="shared" si="8"/>
        <v>#DIV/0!</v>
      </c>
      <c r="V627" s="10"/>
      <c r="W627" s="10"/>
      <c r="X627" s="10"/>
      <c r="Y627" s="10"/>
      <c r="Z627" s="10"/>
      <c r="AA627" s="10"/>
      <c r="AB627" s="10"/>
      <c r="AC627" s="10"/>
      <c r="AD627" s="10"/>
      <c r="AE627" s="10"/>
      <c r="AF627" s="10"/>
    </row>
    <row r="628" hidden="1">
      <c r="A628" s="9" t="s">
        <v>845</v>
      </c>
      <c r="B628" s="84"/>
      <c r="C628" s="9"/>
      <c r="D628" s="9" t="str">
        <f t="shared" si="1"/>
        <v/>
      </c>
      <c r="E628" s="10" t="str">
        <f t="shared" si="2"/>
        <v>OT Hours</v>
      </c>
      <c r="F628" s="10" t="str">
        <f>IFERROR(VLOOKUP(C628,'Employees List'!$B$1:$I$999,4,0),"")</f>
        <v/>
      </c>
      <c r="G628" s="10" t="str">
        <f t="shared" si="21"/>
        <v>#DIV/0!</v>
      </c>
      <c r="H628" s="72" t="str">
        <f>IFERROR(VLOOKUP(C628,'Employees List'!$B$2:$I$991,7,0),"")</f>
        <v/>
      </c>
      <c r="I628" s="73" t="str">
        <f>IFERROR(VLOOKUP(F628,'Employees List'!$E$1:$AE$991,6,0),"")</f>
        <v/>
      </c>
      <c r="J628" s="71">
        <f t="shared" si="3"/>
        <v>0</v>
      </c>
      <c r="K628" s="71">
        <f t="shared" si="4"/>
        <v>0</v>
      </c>
      <c r="L628" s="10" t="str">
        <f>IFERROR(VLOOKUP(B628,'Employees List'!$A$2:$K$991,11,0),"")</f>
        <v/>
      </c>
      <c r="M628" s="74" t="str">
        <f>IFERROR(VLOOKUP(D628,'Daily Attendance 25-26'!$A$4:BP999,5,0),"")</f>
        <v/>
      </c>
      <c r="N628" s="10" t="str">
        <f>IFERROR(VLOOKUP(E628,'Daily Attendance 25-26'!$A$1:$BO$1741,5,0),"")</f>
        <v/>
      </c>
      <c r="O628" s="10"/>
      <c r="P628" s="10"/>
      <c r="Q628" s="10" t="str">
        <f t="shared" si="5"/>
        <v>#DIV/0!</v>
      </c>
      <c r="R628" s="10" t="str">
        <f t="shared" si="6"/>
        <v>#DIV/0!</v>
      </c>
      <c r="S628" s="10" t="str">
        <f t="shared" si="23"/>
        <v>#DIV/0!</v>
      </c>
      <c r="T628" s="10" t="str">
        <f t="shared" si="22"/>
        <v>#DIV/0!</v>
      </c>
      <c r="U628" s="10" t="str">
        <f t="shared" si="8"/>
        <v>#DIV/0!</v>
      </c>
      <c r="V628" s="10"/>
      <c r="W628" s="10"/>
      <c r="X628" s="10"/>
      <c r="Y628" s="10"/>
      <c r="Z628" s="10"/>
      <c r="AA628" s="10"/>
      <c r="AB628" s="10"/>
      <c r="AC628" s="10"/>
      <c r="AD628" s="10"/>
      <c r="AE628" s="10"/>
      <c r="AF628" s="10"/>
    </row>
    <row r="629" hidden="1">
      <c r="A629" s="9" t="s">
        <v>846</v>
      </c>
      <c r="B629" s="84"/>
      <c r="C629" s="9"/>
      <c r="D629" s="9" t="str">
        <f t="shared" si="1"/>
        <v/>
      </c>
      <c r="E629" s="10" t="str">
        <f t="shared" si="2"/>
        <v>OT Hours</v>
      </c>
      <c r="F629" s="10" t="str">
        <f>IFERROR(VLOOKUP(C629,'Employees List'!$B$1:$I$999,4,0),"")</f>
        <v/>
      </c>
      <c r="G629" s="10" t="str">
        <f t="shared" si="21"/>
        <v>#DIV/0!</v>
      </c>
      <c r="H629" s="72" t="str">
        <f>IFERROR(VLOOKUP(C629,'Employees List'!$B$2:$I$991,7,0),"")</f>
        <v/>
      </c>
      <c r="I629" s="73" t="str">
        <f>IFERROR(VLOOKUP(F629,'Employees List'!$E$1:$AE$991,6,0),"")</f>
        <v/>
      </c>
      <c r="J629" s="71">
        <f t="shared" si="3"/>
        <v>0</v>
      </c>
      <c r="K629" s="71">
        <f t="shared" si="4"/>
        <v>0</v>
      </c>
      <c r="L629" s="10" t="str">
        <f>IFERROR(VLOOKUP(B629,'Employees List'!$A$2:$K$991,11,0),"")</f>
        <v/>
      </c>
      <c r="M629" s="74" t="str">
        <f>IFERROR(VLOOKUP(D629,'Daily Attendance 25-26'!$A$4:BP999,5,0),"")</f>
        <v/>
      </c>
      <c r="N629" s="10" t="str">
        <f>IFERROR(VLOOKUP(E629,'Daily Attendance 25-26'!$A$1:$BO$1741,5,0),"")</f>
        <v/>
      </c>
      <c r="O629" s="10"/>
      <c r="P629" s="10"/>
      <c r="Q629" s="10" t="str">
        <f t="shared" si="5"/>
        <v>#DIV/0!</v>
      </c>
      <c r="R629" s="10" t="str">
        <f t="shared" si="6"/>
        <v>#DIV/0!</v>
      </c>
      <c r="S629" s="10" t="str">
        <f t="shared" si="23"/>
        <v>#DIV/0!</v>
      </c>
      <c r="T629" s="10" t="str">
        <f t="shared" si="22"/>
        <v>#DIV/0!</v>
      </c>
      <c r="U629" s="10" t="str">
        <f t="shared" si="8"/>
        <v>#DIV/0!</v>
      </c>
      <c r="V629" s="10"/>
      <c r="W629" s="10"/>
      <c r="X629" s="10"/>
      <c r="Y629" s="10"/>
      <c r="Z629" s="10"/>
      <c r="AA629" s="10"/>
      <c r="AB629" s="10"/>
      <c r="AC629" s="10"/>
      <c r="AD629" s="10"/>
      <c r="AE629" s="10"/>
      <c r="AF629" s="10"/>
    </row>
    <row r="630" hidden="1">
      <c r="A630" s="9" t="s">
        <v>847</v>
      </c>
      <c r="B630" s="84"/>
      <c r="C630" s="9"/>
      <c r="D630" s="9" t="str">
        <f t="shared" si="1"/>
        <v/>
      </c>
      <c r="E630" s="10" t="str">
        <f t="shared" si="2"/>
        <v>OT Hours</v>
      </c>
      <c r="F630" s="10" t="str">
        <f>IFERROR(VLOOKUP(C630,'Employees List'!$B$1:$I$999,4,0),"")</f>
        <v/>
      </c>
      <c r="G630" s="10" t="str">
        <f t="shared" si="21"/>
        <v>#DIV/0!</v>
      </c>
      <c r="H630" s="72" t="str">
        <f>IFERROR(VLOOKUP(C630,'Employees List'!$B$2:$I$991,7,0),"")</f>
        <v/>
      </c>
      <c r="I630" s="73" t="str">
        <f>IFERROR(VLOOKUP(F630,'Employees List'!$E$1:$AE$991,6,0),"")</f>
        <v/>
      </c>
      <c r="J630" s="71">
        <f t="shared" si="3"/>
        <v>0</v>
      </c>
      <c r="K630" s="71">
        <f t="shared" si="4"/>
        <v>0</v>
      </c>
      <c r="L630" s="10" t="str">
        <f>IFERROR(VLOOKUP(B630,'Employees List'!$A$2:$K$991,11,0),"")</f>
        <v/>
      </c>
      <c r="M630" s="74" t="str">
        <f>IFERROR(VLOOKUP(D630,'Daily Attendance 25-26'!$A$4:BP999,5,0),"")</f>
        <v/>
      </c>
      <c r="N630" s="10" t="str">
        <f>IFERROR(VLOOKUP(E630,'Daily Attendance 25-26'!$A$1:$BO$1741,5,0),"")</f>
        <v/>
      </c>
      <c r="O630" s="10"/>
      <c r="P630" s="10"/>
      <c r="Q630" s="10" t="str">
        <f t="shared" si="5"/>
        <v>#DIV/0!</v>
      </c>
      <c r="R630" s="10" t="str">
        <f t="shared" si="6"/>
        <v>#DIV/0!</v>
      </c>
      <c r="S630" s="10" t="str">
        <f t="shared" si="23"/>
        <v>#DIV/0!</v>
      </c>
      <c r="T630" s="10" t="str">
        <f t="shared" si="22"/>
        <v>#DIV/0!</v>
      </c>
      <c r="U630" s="10" t="str">
        <f t="shared" si="8"/>
        <v>#DIV/0!</v>
      </c>
      <c r="V630" s="10"/>
      <c r="W630" s="10"/>
      <c r="X630" s="10"/>
      <c r="Y630" s="10"/>
      <c r="Z630" s="10"/>
      <c r="AA630" s="10"/>
      <c r="AB630" s="10"/>
      <c r="AC630" s="10"/>
      <c r="AD630" s="10"/>
      <c r="AE630" s="10"/>
      <c r="AF630" s="10"/>
    </row>
    <row r="631" hidden="1">
      <c r="A631" s="9" t="s">
        <v>848</v>
      </c>
      <c r="B631" s="84"/>
      <c r="C631" s="9"/>
      <c r="D631" s="9" t="str">
        <f t="shared" si="1"/>
        <v/>
      </c>
      <c r="E631" s="10" t="str">
        <f t="shared" si="2"/>
        <v>OT Hours</v>
      </c>
      <c r="F631" s="10" t="str">
        <f>IFERROR(VLOOKUP(C631,'Employees List'!$B$1:$I$999,4,0),"")</f>
        <v/>
      </c>
      <c r="G631" s="10" t="str">
        <f t="shared" si="21"/>
        <v>#DIV/0!</v>
      </c>
      <c r="H631" s="72" t="str">
        <f>IFERROR(VLOOKUP(C631,'Employees List'!$B$2:$I$991,7,0),"")</f>
        <v/>
      </c>
      <c r="I631" s="73" t="str">
        <f>IFERROR(VLOOKUP(F631,'Employees List'!$E$1:$AE$991,6,0),"")</f>
        <v/>
      </c>
      <c r="J631" s="71">
        <f t="shared" si="3"/>
        <v>0</v>
      </c>
      <c r="K631" s="71">
        <f t="shared" si="4"/>
        <v>0</v>
      </c>
      <c r="L631" s="10" t="str">
        <f>IFERROR(VLOOKUP(B631,'Employees List'!$A$2:$K$991,11,0),"")</f>
        <v/>
      </c>
      <c r="M631" s="74" t="str">
        <f>IFERROR(VLOOKUP(D631,'Daily Attendance 25-26'!$A$4:BP999,5,0),"")</f>
        <v/>
      </c>
      <c r="N631" s="10" t="str">
        <f>IFERROR(VLOOKUP(E631,'Daily Attendance 25-26'!$A$1:$BO$1741,5,0),"")</f>
        <v/>
      </c>
      <c r="O631" s="10"/>
      <c r="P631" s="10"/>
      <c r="Q631" s="10" t="str">
        <f t="shared" si="5"/>
        <v>#DIV/0!</v>
      </c>
      <c r="R631" s="10" t="str">
        <f t="shared" si="6"/>
        <v>#DIV/0!</v>
      </c>
      <c r="S631" s="10" t="str">
        <f t="shared" si="23"/>
        <v>#DIV/0!</v>
      </c>
      <c r="T631" s="10" t="str">
        <f t="shared" si="22"/>
        <v>#DIV/0!</v>
      </c>
      <c r="U631" s="10" t="str">
        <f t="shared" si="8"/>
        <v>#DIV/0!</v>
      </c>
      <c r="V631" s="10"/>
      <c r="W631" s="10"/>
      <c r="X631" s="10"/>
      <c r="Y631" s="10"/>
      <c r="Z631" s="10"/>
      <c r="AA631" s="10"/>
      <c r="AB631" s="10"/>
      <c r="AC631" s="10"/>
      <c r="AD631" s="10"/>
      <c r="AE631" s="10"/>
      <c r="AF631" s="10"/>
    </row>
    <row r="632" hidden="1">
      <c r="A632" s="9" t="s">
        <v>849</v>
      </c>
      <c r="B632" s="84"/>
      <c r="C632" s="9"/>
      <c r="D632" s="9" t="str">
        <f t="shared" si="1"/>
        <v/>
      </c>
      <c r="E632" s="10" t="str">
        <f t="shared" si="2"/>
        <v>OT Hours</v>
      </c>
      <c r="F632" s="10" t="str">
        <f>IFERROR(VLOOKUP(C632,'Employees List'!$B$1:$I$999,4,0),"")</f>
        <v/>
      </c>
      <c r="G632" s="10" t="str">
        <f t="shared" si="21"/>
        <v>#DIV/0!</v>
      </c>
      <c r="H632" s="72" t="str">
        <f>IFERROR(VLOOKUP(C632,'Employees List'!$B$2:$I$991,7,0),"")</f>
        <v/>
      </c>
      <c r="I632" s="73" t="str">
        <f>IFERROR(VLOOKUP(F632,'Employees List'!$E$1:$AE$991,6,0),"")</f>
        <v/>
      </c>
      <c r="J632" s="71">
        <f t="shared" si="3"/>
        <v>0</v>
      </c>
      <c r="K632" s="71">
        <f t="shared" si="4"/>
        <v>0</v>
      </c>
      <c r="L632" s="10" t="str">
        <f>IFERROR(VLOOKUP(B632,'Employees List'!$A$2:$K$991,11,0),"")</f>
        <v/>
      </c>
      <c r="M632" s="74" t="str">
        <f>IFERROR(VLOOKUP(D632,'Daily Attendance 25-26'!$A$4:BP999,5,0),"")</f>
        <v/>
      </c>
      <c r="N632" s="10" t="str">
        <f>IFERROR(VLOOKUP(E632,'Daily Attendance 25-26'!$A$1:$BO$1741,5,0),"")</f>
        <v/>
      </c>
      <c r="O632" s="10"/>
      <c r="P632" s="10"/>
      <c r="Q632" s="10" t="str">
        <f t="shared" si="5"/>
        <v>#DIV/0!</v>
      </c>
      <c r="R632" s="10" t="str">
        <f t="shared" si="6"/>
        <v>#DIV/0!</v>
      </c>
      <c r="S632" s="10" t="str">
        <f t="shared" si="23"/>
        <v>#DIV/0!</v>
      </c>
      <c r="T632" s="10" t="str">
        <f t="shared" si="22"/>
        <v>#DIV/0!</v>
      </c>
      <c r="U632" s="10" t="str">
        <f t="shared" si="8"/>
        <v>#DIV/0!</v>
      </c>
      <c r="V632" s="10"/>
      <c r="W632" s="10"/>
      <c r="X632" s="10"/>
      <c r="Y632" s="10"/>
      <c r="Z632" s="10"/>
      <c r="AA632" s="10"/>
      <c r="AB632" s="10"/>
      <c r="AC632" s="10"/>
      <c r="AD632" s="10"/>
      <c r="AE632" s="10"/>
      <c r="AF632" s="10"/>
    </row>
    <row r="633" hidden="1">
      <c r="A633" s="9" t="s">
        <v>850</v>
      </c>
      <c r="B633" s="84"/>
      <c r="C633" s="9"/>
      <c r="D633" s="9" t="str">
        <f t="shared" si="1"/>
        <v/>
      </c>
      <c r="E633" s="10" t="str">
        <f t="shared" si="2"/>
        <v>OT Hours</v>
      </c>
      <c r="F633" s="10" t="str">
        <f>IFERROR(VLOOKUP(C633,'Employees List'!$B$1:$I$999,4,0),"")</f>
        <v/>
      </c>
      <c r="G633" s="10" t="str">
        <f t="shared" si="21"/>
        <v>#DIV/0!</v>
      </c>
      <c r="H633" s="72" t="str">
        <f>IFERROR(VLOOKUP(C633,'Employees List'!$B$2:$I$991,7,0),"")</f>
        <v/>
      </c>
      <c r="I633" s="73" t="str">
        <f>IFERROR(VLOOKUP(F633,'Employees List'!$E$1:$AE$991,6,0),"")</f>
        <v/>
      </c>
      <c r="J633" s="71">
        <f t="shared" si="3"/>
        <v>0</v>
      </c>
      <c r="K633" s="71">
        <f t="shared" si="4"/>
        <v>0</v>
      </c>
      <c r="L633" s="10" t="str">
        <f>IFERROR(VLOOKUP(B633,'Employees List'!$A$2:$K$991,11,0),"")</f>
        <v/>
      </c>
      <c r="M633" s="74" t="str">
        <f>IFERROR(VLOOKUP(D633,'Daily Attendance 25-26'!$A$4:BP999,5,0),"")</f>
        <v/>
      </c>
      <c r="N633" s="10" t="str">
        <f>IFERROR(VLOOKUP(E633,'Daily Attendance 25-26'!$A$1:$BO$1741,5,0),"")</f>
        <v/>
      </c>
      <c r="O633" s="10"/>
      <c r="P633" s="10"/>
      <c r="Q633" s="10" t="str">
        <f t="shared" si="5"/>
        <v>#DIV/0!</v>
      </c>
      <c r="R633" s="10" t="str">
        <f t="shared" si="6"/>
        <v>#DIV/0!</v>
      </c>
      <c r="S633" s="10" t="str">
        <f t="shared" si="23"/>
        <v>#DIV/0!</v>
      </c>
      <c r="T633" s="10" t="str">
        <f t="shared" si="22"/>
        <v>#DIV/0!</v>
      </c>
      <c r="U633" s="10" t="str">
        <f t="shared" si="8"/>
        <v>#DIV/0!</v>
      </c>
      <c r="V633" s="10"/>
      <c r="W633" s="10"/>
      <c r="X633" s="10"/>
      <c r="Y633" s="10"/>
      <c r="Z633" s="10"/>
      <c r="AA633" s="10"/>
      <c r="AB633" s="10"/>
      <c r="AC633" s="10"/>
      <c r="AD633" s="10"/>
      <c r="AE633" s="10"/>
      <c r="AF633" s="10"/>
    </row>
    <row r="634" hidden="1">
      <c r="A634" s="9" t="s">
        <v>851</v>
      </c>
      <c r="B634" s="84"/>
      <c r="C634" s="9"/>
      <c r="D634" s="9" t="str">
        <f t="shared" si="1"/>
        <v/>
      </c>
      <c r="E634" s="10" t="str">
        <f t="shared" si="2"/>
        <v>OT Hours</v>
      </c>
      <c r="F634" s="10" t="str">
        <f>IFERROR(VLOOKUP(C634,'Employees List'!$B$1:$I$999,4,0),"")</f>
        <v/>
      </c>
      <c r="G634" s="10" t="str">
        <f t="shared" si="21"/>
        <v>#DIV/0!</v>
      </c>
      <c r="H634" s="72" t="str">
        <f>IFERROR(VLOOKUP(C634,'Employees List'!$B$2:$I$991,7,0),"")</f>
        <v/>
      </c>
      <c r="I634" s="73" t="str">
        <f>IFERROR(VLOOKUP(F634,'Employees List'!$E$1:$AE$991,6,0),"")</f>
        <v/>
      </c>
      <c r="J634" s="71">
        <f t="shared" si="3"/>
        <v>0</v>
      </c>
      <c r="K634" s="71">
        <f t="shared" si="4"/>
        <v>0</v>
      </c>
      <c r="L634" s="10" t="str">
        <f>IFERROR(VLOOKUP(B634,'Employees List'!$A$2:$K$991,11,0),"")</f>
        <v/>
      </c>
      <c r="M634" s="74" t="str">
        <f>IFERROR(VLOOKUP(D634,'Daily Attendance 25-26'!$A$4:BP999,5,0),"")</f>
        <v/>
      </c>
      <c r="N634" s="10" t="str">
        <f>IFERROR(VLOOKUP(E634,'Daily Attendance 25-26'!$A$1:$BO$1741,5,0),"")</f>
        <v/>
      </c>
      <c r="O634" s="10"/>
      <c r="P634" s="10"/>
      <c r="Q634" s="10" t="str">
        <f t="shared" si="5"/>
        <v>#DIV/0!</v>
      </c>
      <c r="R634" s="10" t="str">
        <f t="shared" si="6"/>
        <v>#DIV/0!</v>
      </c>
      <c r="S634" s="10" t="str">
        <f t="shared" si="23"/>
        <v>#DIV/0!</v>
      </c>
      <c r="T634" s="10" t="str">
        <f t="shared" si="22"/>
        <v>#DIV/0!</v>
      </c>
      <c r="U634" s="10" t="str">
        <f t="shared" si="8"/>
        <v>#DIV/0!</v>
      </c>
      <c r="V634" s="10"/>
      <c r="W634" s="10"/>
      <c r="X634" s="10"/>
      <c r="Y634" s="10"/>
      <c r="Z634" s="10"/>
      <c r="AA634" s="10"/>
      <c r="AB634" s="10"/>
      <c r="AC634" s="10"/>
      <c r="AD634" s="10"/>
      <c r="AE634" s="10"/>
      <c r="AF634" s="10"/>
    </row>
    <row r="635" hidden="1">
      <c r="A635" s="9" t="s">
        <v>852</v>
      </c>
      <c r="B635" s="84"/>
      <c r="C635" s="9"/>
      <c r="D635" s="9" t="str">
        <f t="shared" si="1"/>
        <v/>
      </c>
      <c r="E635" s="10" t="str">
        <f t="shared" si="2"/>
        <v>OT Hours</v>
      </c>
      <c r="F635" s="10" t="str">
        <f>IFERROR(VLOOKUP(C635,'Employees List'!$B$1:$I$999,4,0),"")</f>
        <v/>
      </c>
      <c r="G635" s="10" t="str">
        <f t="shared" si="21"/>
        <v>#DIV/0!</v>
      </c>
      <c r="H635" s="72" t="str">
        <f>IFERROR(VLOOKUP(C635,'Employees List'!$B$2:$I$991,7,0),"")</f>
        <v/>
      </c>
      <c r="I635" s="73" t="str">
        <f>IFERROR(VLOOKUP(F635,'Employees List'!$E$1:$AE$991,6,0),"")</f>
        <v/>
      </c>
      <c r="J635" s="71">
        <f t="shared" si="3"/>
        <v>0</v>
      </c>
      <c r="K635" s="71">
        <f t="shared" si="4"/>
        <v>0</v>
      </c>
      <c r="L635" s="10" t="str">
        <f>IFERROR(VLOOKUP(B635,'Employees List'!$A$2:$K$991,11,0),"")</f>
        <v/>
      </c>
      <c r="M635" s="74" t="str">
        <f>IFERROR(VLOOKUP(D635,'Daily Attendance 25-26'!$A$4:BP999,5,0),"")</f>
        <v/>
      </c>
      <c r="N635" s="10" t="str">
        <f>IFERROR(VLOOKUP(E635,'Daily Attendance 25-26'!$A$1:$BO$1741,5,0),"")</f>
        <v/>
      </c>
      <c r="O635" s="10"/>
      <c r="P635" s="10"/>
      <c r="Q635" s="10" t="str">
        <f t="shared" si="5"/>
        <v>#DIV/0!</v>
      </c>
      <c r="R635" s="10" t="str">
        <f t="shared" si="6"/>
        <v>#DIV/0!</v>
      </c>
      <c r="S635" s="10" t="str">
        <f t="shared" si="23"/>
        <v>#DIV/0!</v>
      </c>
      <c r="T635" s="10" t="str">
        <f t="shared" si="22"/>
        <v>#DIV/0!</v>
      </c>
      <c r="U635" s="10" t="str">
        <f t="shared" si="8"/>
        <v>#DIV/0!</v>
      </c>
      <c r="V635" s="10"/>
      <c r="W635" s="10"/>
      <c r="X635" s="10"/>
      <c r="Y635" s="10"/>
      <c r="Z635" s="10"/>
      <c r="AA635" s="10"/>
      <c r="AB635" s="10"/>
      <c r="AC635" s="10"/>
      <c r="AD635" s="10"/>
      <c r="AE635" s="10"/>
      <c r="AF635" s="10"/>
    </row>
    <row r="636" hidden="1">
      <c r="A636" s="9" t="s">
        <v>853</v>
      </c>
      <c r="B636" s="84"/>
      <c r="C636" s="9"/>
      <c r="D636" s="9" t="str">
        <f t="shared" si="1"/>
        <v/>
      </c>
      <c r="E636" s="10" t="str">
        <f t="shared" si="2"/>
        <v>OT Hours</v>
      </c>
      <c r="F636" s="10" t="str">
        <f>IFERROR(VLOOKUP(C636,'Employees List'!$B$1:$I$999,4,0),"")</f>
        <v/>
      </c>
      <c r="G636" s="10" t="str">
        <f t="shared" si="21"/>
        <v>#DIV/0!</v>
      </c>
      <c r="H636" s="72" t="str">
        <f>IFERROR(VLOOKUP(C636,'Employees List'!$B$2:$I$991,7,0),"")</f>
        <v/>
      </c>
      <c r="I636" s="73" t="str">
        <f>IFERROR(VLOOKUP(F636,'Employees List'!$E$1:$AE$991,6,0),"")</f>
        <v/>
      </c>
      <c r="J636" s="71">
        <f t="shared" si="3"/>
        <v>0</v>
      </c>
      <c r="K636" s="71">
        <f t="shared" si="4"/>
        <v>0</v>
      </c>
      <c r="L636" s="10" t="str">
        <f>IFERROR(VLOOKUP(B636,'Employees List'!$A$2:$K$991,11,0),"")</f>
        <v/>
      </c>
      <c r="M636" s="74" t="str">
        <f>IFERROR(VLOOKUP(D636,'Daily Attendance 25-26'!$A$4:BP999,5,0),"")</f>
        <v/>
      </c>
      <c r="N636" s="10" t="str">
        <f>IFERROR(VLOOKUP(E636,'Daily Attendance 25-26'!$A$1:$BO$1741,5,0),"")</f>
        <v/>
      </c>
      <c r="O636" s="10"/>
      <c r="P636" s="10"/>
      <c r="Q636" s="10" t="str">
        <f t="shared" si="5"/>
        <v>#DIV/0!</v>
      </c>
      <c r="R636" s="10" t="str">
        <f t="shared" si="6"/>
        <v>#DIV/0!</v>
      </c>
      <c r="S636" s="10" t="str">
        <f t="shared" si="23"/>
        <v>#DIV/0!</v>
      </c>
      <c r="T636" s="10" t="str">
        <f t="shared" si="22"/>
        <v>#DIV/0!</v>
      </c>
      <c r="U636" s="10" t="str">
        <f t="shared" si="8"/>
        <v>#DIV/0!</v>
      </c>
      <c r="V636" s="10"/>
      <c r="W636" s="10"/>
      <c r="X636" s="10"/>
      <c r="Y636" s="10"/>
      <c r="Z636" s="10"/>
      <c r="AA636" s="10"/>
      <c r="AB636" s="10"/>
      <c r="AC636" s="10"/>
      <c r="AD636" s="10"/>
      <c r="AE636" s="10"/>
      <c r="AF636" s="10"/>
    </row>
    <row r="637" hidden="1">
      <c r="A637" s="9" t="s">
        <v>854</v>
      </c>
      <c r="B637" s="84"/>
      <c r="C637" s="9"/>
      <c r="D637" s="9" t="str">
        <f t="shared" si="1"/>
        <v/>
      </c>
      <c r="E637" s="10" t="str">
        <f t="shared" si="2"/>
        <v>OT Hours</v>
      </c>
      <c r="F637" s="10" t="str">
        <f>IFERROR(VLOOKUP(C637,'Employees List'!$B$1:$I$999,4,0),"")</f>
        <v/>
      </c>
      <c r="G637" s="10" t="str">
        <f t="shared" si="21"/>
        <v>#DIV/0!</v>
      </c>
      <c r="H637" s="72" t="str">
        <f>IFERROR(VLOOKUP(C637,'Employees List'!$B$2:$I$991,7,0),"")</f>
        <v/>
      </c>
      <c r="I637" s="73" t="str">
        <f>IFERROR(VLOOKUP(F637,'Employees List'!$E$1:$AE$991,6,0),"")</f>
        <v/>
      </c>
      <c r="J637" s="71">
        <f t="shared" si="3"/>
        <v>0</v>
      </c>
      <c r="K637" s="71">
        <f t="shared" si="4"/>
        <v>0</v>
      </c>
      <c r="L637" s="10" t="str">
        <f>IFERROR(VLOOKUP(B637,'Employees List'!$A$2:$K$991,11,0),"")</f>
        <v/>
      </c>
      <c r="M637" s="74" t="str">
        <f>IFERROR(VLOOKUP(D637,'Daily Attendance 25-26'!$A$4:BP999,5,0),"")</f>
        <v/>
      </c>
      <c r="N637" s="10" t="str">
        <f>IFERROR(VLOOKUP(E637,'Daily Attendance 25-26'!$A$1:$BO$1741,5,0),"")</f>
        <v/>
      </c>
      <c r="O637" s="10"/>
      <c r="P637" s="10"/>
      <c r="Q637" s="10" t="str">
        <f t="shared" si="5"/>
        <v>#DIV/0!</v>
      </c>
      <c r="R637" s="10" t="str">
        <f t="shared" si="6"/>
        <v>#DIV/0!</v>
      </c>
      <c r="S637" s="10" t="str">
        <f t="shared" si="23"/>
        <v>#DIV/0!</v>
      </c>
      <c r="T637" s="10" t="str">
        <f t="shared" si="22"/>
        <v>#DIV/0!</v>
      </c>
      <c r="U637" s="10" t="str">
        <f t="shared" si="8"/>
        <v>#DIV/0!</v>
      </c>
      <c r="V637" s="10"/>
      <c r="W637" s="10"/>
      <c r="X637" s="10"/>
      <c r="Y637" s="10"/>
      <c r="Z637" s="10"/>
      <c r="AA637" s="10"/>
      <c r="AB637" s="10"/>
      <c r="AC637" s="10"/>
      <c r="AD637" s="10"/>
      <c r="AE637" s="10"/>
      <c r="AF637" s="10"/>
    </row>
    <row r="638" hidden="1">
      <c r="A638" s="9" t="s">
        <v>855</v>
      </c>
      <c r="B638" s="84"/>
      <c r="C638" s="9"/>
      <c r="D638" s="9" t="str">
        <f t="shared" si="1"/>
        <v/>
      </c>
      <c r="E638" s="10" t="str">
        <f t="shared" si="2"/>
        <v>OT Hours</v>
      </c>
      <c r="F638" s="10" t="str">
        <f>IFERROR(VLOOKUP(C638,'Employees List'!$B$1:$I$999,4,0),"")</f>
        <v/>
      </c>
      <c r="G638" s="10" t="str">
        <f t="shared" si="21"/>
        <v>#DIV/0!</v>
      </c>
      <c r="H638" s="72" t="str">
        <f>IFERROR(VLOOKUP(C638,'Employees List'!$B$2:$I$991,7,0),"")</f>
        <v/>
      </c>
      <c r="I638" s="73" t="str">
        <f>IFERROR(VLOOKUP(F638,'Employees List'!$E$1:$AE$991,6,0),"")</f>
        <v/>
      </c>
      <c r="J638" s="71">
        <f t="shared" si="3"/>
        <v>0</v>
      </c>
      <c r="K638" s="71">
        <f t="shared" si="4"/>
        <v>0</v>
      </c>
      <c r="L638" s="10" t="str">
        <f>IFERROR(VLOOKUP(B638,'Employees List'!$A$2:$K$991,11,0),"")</f>
        <v/>
      </c>
      <c r="M638" s="74" t="str">
        <f>IFERROR(VLOOKUP(D638,'Daily Attendance 25-26'!$A$4:BP999,5,0),"")</f>
        <v/>
      </c>
      <c r="N638" s="10" t="str">
        <f>IFERROR(VLOOKUP(E638,'Daily Attendance 25-26'!$A$1:$BO$1741,5,0),"")</f>
        <v/>
      </c>
      <c r="O638" s="10"/>
      <c r="P638" s="10"/>
      <c r="Q638" s="10" t="str">
        <f t="shared" si="5"/>
        <v>#DIV/0!</v>
      </c>
      <c r="R638" s="10" t="str">
        <f t="shared" si="6"/>
        <v>#DIV/0!</v>
      </c>
      <c r="S638" s="10" t="str">
        <f t="shared" si="23"/>
        <v>#DIV/0!</v>
      </c>
      <c r="T638" s="10" t="str">
        <f t="shared" si="22"/>
        <v>#DIV/0!</v>
      </c>
      <c r="U638" s="10" t="str">
        <f t="shared" si="8"/>
        <v>#DIV/0!</v>
      </c>
      <c r="V638" s="10"/>
      <c r="W638" s="10"/>
      <c r="X638" s="10"/>
      <c r="Y638" s="10"/>
      <c r="Z638" s="10"/>
      <c r="AA638" s="10"/>
      <c r="AB638" s="10"/>
      <c r="AC638" s="10"/>
      <c r="AD638" s="10"/>
      <c r="AE638" s="10"/>
      <c r="AF638" s="10"/>
    </row>
    <row r="639" hidden="1">
      <c r="A639" s="9" t="s">
        <v>856</v>
      </c>
      <c r="B639" s="84"/>
      <c r="C639" s="9"/>
      <c r="D639" s="9" t="str">
        <f t="shared" si="1"/>
        <v/>
      </c>
      <c r="E639" s="10" t="str">
        <f t="shared" si="2"/>
        <v>OT Hours</v>
      </c>
      <c r="F639" s="10" t="str">
        <f>IFERROR(VLOOKUP(C639,'Employees List'!$B$1:$I$999,4,0),"")</f>
        <v/>
      </c>
      <c r="G639" s="10" t="str">
        <f t="shared" si="21"/>
        <v>#DIV/0!</v>
      </c>
      <c r="H639" s="72" t="str">
        <f>IFERROR(VLOOKUP(C639,'Employees List'!$B$2:$I$991,7,0),"")</f>
        <v/>
      </c>
      <c r="I639" s="73" t="str">
        <f>IFERROR(VLOOKUP(F639,'Employees List'!$E$1:$AE$991,6,0),"")</f>
        <v/>
      </c>
      <c r="J639" s="71">
        <f t="shared" si="3"/>
        <v>0</v>
      </c>
      <c r="K639" s="71">
        <f t="shared" si="4"/>
        <v>0</v>
      </c>
      <c r="L639" s="10" t="str">
        <f>IFERROR(VLOOKUP(B639,'Employees List'!$A$2:$K$991,11,0),"")</f>
        <v/>
      </c>
      <c r="M639" s="74" t="str">
        <f>IFERROR(VLOOKUP(D639,'Daily Attendance 25-26'!$A$4:BP999,5,0),"")</f>
        <v/>
      </c>
      <c r="N639" s="10" t="str">
        <f>IFERROR(VLOOKUP(E639,'Daily Attendance 25-26'!$A$1:$BO$1741,5,0),"")</f>
        <v/>
      </c>
      <c r="O639" s="10"/>
      <c r="P639" s="10"/>
      <c r="Q639" s="10" t="str">
        <f t="shared" si="5"/>
        <v>#DIV/0!</v>
      </c>
      <c r="R639" s="10" t="str">
        <f t="shared" si="6"/>
        <v>#DIV/0!</v>
      </c>
      <c r="S639" s="10" t="str">
        <f t="shared" si="23"/>
        <v>#DIV/0!</v>
      </c>
      <c r="T639" s="10" t="str">
        <f t="shared" si="22"/>
        <v>#DIV/0!</v>
      </c>
      <c r="U639" s="10" t="str">
        <f t="shared" si="8"/>
        <v>#DIV/0!</v>
      </c>
      <c r="V639" s="10"/>
      <c r="W639" s="10"/>
      <c r="X639" s="10"/>
      <c r="Y639" s="10"/>
      <c r="Z639" s="10"/>
      <c r="AA639" s="10"/>
      <c r="AB639" s="10"/>
      <c r="AC639" s="10"/>
      <c r="AD639" s="10"/>
      <c r="AE639" s="10"/>
      <c r="AF639" s="10"/>
    </row>
    <row r="640" hidden="1">
      <c r="A640" s="9" t="s">
        <v>857</v>
      </c>
      <c r="B640" s="84"/>
      <c r="C640" s="9"/>
      <c r="D640" s="9" t="str">
        <f t="shared" si="1"/>
        <v/>
      </c>
      <c r="E640" s="10" t="str">
        <f t="shared" si="2"/>
        <v>OT Hours</v>
      </c>
      <c r="F640" s="10" t="str">
        <f>IFERROR(VLOOKUP(C640,'Employees List'!$B$1:$I$999,4,0),"")</f>
        <v/>
      </c>
      <c r="G640" s="10" t="str">
        <f t="shared" si="21"/>
        <v>#DIV/0!</v>
      </c>
      <c r="H640" s="72" t="str">
        <f>IFERROR(VLOOKUP(C640,'Employees List'!$B$2:$I$991,7,0),"")</f>
        <v/>
      </c>
      <c r="I640" s="73" t="str">
        <f>IFERROR(VLOOKUP(F640,'Employees List'!$E$1:$AE$991,6,0),"")</f>
        <v/>
      </c>
      <c r="J640" s="71">
        <f t="shared" si="3"/>
        <v>0</v>
      </c>
      <c r="K640" s="71">
        <f t="shared" si="4"/>
        <v>0</v>
      </c>
      <c r="L640" s="10" t="str">
        <f>IFERROR(VLOOKUP(B640,'Employees List'!$A$2:$K$991,11,0),"")</f>
        <v/>
      </c>
      <c r="M640" s="74" t="str">
        <f>IFERROR(VLOOKUP(D640,'Daily Attendance 25-26'!$A$4:BP999,5,0),"")</f>
        <v/>
      </c>
      <c r="N640" s="10" t="str">
        <f>IFERROR(VLOOKUP(E640,'Daily Attendance 25-26'!$A$1:$BO$1741,5,0),"")</f>
        <v/>
      </c>
      <c r="O640" s="10"/>
      <c r="P640" s="10"/>
      <c r="Q640" s="10" t="str">
        <f t="shared" si="5"/>
        <v>#DIV/0!</v>
      </c>
      <c r="R640" s="10" t="str">
        <f t="shared" si="6"/>
        <v>#DIV/0!</v>
      </c>
      <c r="S640" s="10" t="str">
        <f t="shared" si="23"/>
        <v>#DIV/0!</v>
      </c>
      <c r="T640" s="10" t="str">
        <f t="shared" si="22"/>
        <v>#DIV/0!</v>
      </c>
      <c r="U640" s="10" t="str">
        <f t="shared" si="8"/>
        <v>#DIV/0!</v>
      </c>
      <c r="V640" s="10"/>
      <c r="W640" s="10"/>
      <c r="X640" s="10"/>
      <c r="Y640" s="10"/>
      <c r="Z640" s="10"/>
      <c r="AA640" s="10"/>
      <c r="AB640" s="10"/>
      <c r="AC640" s="10"/>
      <c r="AD640" s="10"/>
      <c r="AE640" s="10"/>
      <c r="AF640" s="10"/>
    </row>
    <row r="641" hidden="1">
      <c r="A641" s="9" t="s">
        <v>858</v>
      </c>
      <c r="B641" s="84"/>
      <c r="C641" s="9"/>
      <c r="D641" s="9" t="str">
        <f t="shared" si="1"/>
        <v/>
      </c>
      <c r="E641" s="10" t="str">
        <f t="shared" si="2"/>
        <v>OT Hours</v>
      </c>
      <c r="F641" s="10" t="str">
        <f>IFERROR(VLOOKUP(C641,'Employees List'!$B$1:$I$999,4,0),"")</f>
        <v/>
      </c>
      <c r="G641" s="10" t="str">
        <f t="shared" si="21"/>
        <v>#DIV/0!</v>
      </c>
      <c r="H641" s="72" t="str">
        <f>IFERROR(VLOOKUP(C641,'Employees List'!$B$2:$I$991,7,0),"")</f>
        <v/>
      </c>
      <c r="I641" s="73" t="str">
        <f>IFERROR(VLOOKUP(F641,'Employees List'!$E$1:$AE$991,6,0),"")</f>
        <v/>
      </c>
      <c r="J641" s="71">
        <f t="shared" si="3"/>
        <v>0</v>
      </c>
      <c r="K641" s="71">
        <f t="shared" si="4"/>
        <v>0</v>
      </c>
      <c r="L641" s="10" t="str">
        <f>IFERROR(VLOOKUP(B641,'Employees List'!$A$2:$K$991,11,0),"")</f>
        <v/>
      </c>
      <c r="M641" s="74" t="str">
        <f>IFERROR(VLOOKUP(D641,'Daily Attendance 25-26'!$A$4:BP999,5,0),"")</f>
        <v/>
      </c>
      <c r="N641" s="10" t="str">
        <f>IFERROR(VLOOKUP(E641,'Daily Attendance 25-26'!$A$1:$BO$1741,5,0),"")</f>
        <v/>
      </c>
      <c r="O641" s="10"/>
      <c r="P641" s="10"/>
      <c r="Q641" s="10" t="str">
        <f t="shared" si="5"/>
        <v>#DIV/0!</v>
      </c>
      <c r="R641" s="10" t="str">
        <f t="shared" si="6"/>
        <v>#DIV/0!</v>
      </c>
      <c r="S641" s="10" t="str">
        <f t="shared" si="23"/>
        <v>#DIV/0!</v>
      </c>
      <c r="T641" s="10" t="str">
        <f t="shared" si="22"/>
        <v>#DIV/0!</v>
      </c>
      <c r="U641" s="10" t="str">
        <f t="shared" si="8"/>
        <v>#DIV/0!</v>
      </c>
      <c r="V641" s="10"/>
      <c r="W641" s="10"/>
      <c r="X641" s="10"/>
      <c r="Y641" s="10"/>
      <c r="Z641" s="10"/>
      <c r="AA641" s="10"/>
      <c r="AB641" s="10"/>
      <c r="AC641" s="10"/>
      <c r="AD641" s="10"/>
      <c r="AE641" s="10"/>
      <c r="AF641" s="10"/>
    </row>
    <row r="642" hidden="1">
      <c r="A642" s="9" t="s">
        <v>859</v>
      </c>
      <c r="B642" s="84"/>
      <c r="C642" s="9"/>
      <c r="D642" s="9" t="str">
        <f t="shared" si="1"/>
        <v/>
      </c>
      <c r="E642" s="10" t="str">
        <f t="shared" si="2"/>
        <v>OT Hours</v>
      </c>
      <c r="F642" s="10" t="str">
        <f>IFERROR(VLOOKUP(C642,'Employees List'!$B$1:$I$999,4,0),"")</f>
        <v/>
      </c>
      <c r="G642" s="10" t="str">
        <f t="shared" si="21"/>
        <v>#DIV/0!</v>
      </c>
      <c r="H642" s="72" t="str">
        <f>IFERROR(VLOOKUP(C642,'Employees List'!$B$2:$I$991,7,0),"")</f>
        <v/>
      </c>
      <c r="I642" s="73" t="str">
        <f>IFERROR(VLOOKUP(F642,'Employees List'!$E$1:$AE$991,6,0),"")</f>
        <v/>
      </c>
      <c r="J642" s="71">
        <f t="shared" si="3"/>
        <v>0</v>
      </c>
      <c r="K642" s="71">
        <f t="shared" si="4"/>
        <v>0</v>
      </c>
      <c r="L642" s="10" t="str">
        <f>IFERROR(VLOOKUP(B642,'Employees List'!$A$2:$K$991,11,0),"")</f>
        <v/>
      </c>
      <c r="M642" s="74" t="str">
        <f>IFERROR(VLOOKUP(D642,'Daily Attendance 25-26'!$A$4:BP999,5,0),"")</f>
        <v/>
      </c>
      <c r="N642" s="10" t="str">
        <f>IFERROR(VLOOKUP(E642,'Daily Attendance 25-26'!$A$1:$BO$1741,5,0),"")</f>
        <v/>
      </c>
      <c r="O642" s="10"/>
      <c r="P642" s="10"/>
      <c r="Q642" s="10" t="str">
        <f t="shared" si="5"/>
        <v>#DIV/0!</v>
      </c>
      <c r="R642" s="10" t="str">
        <f t="shared" si="6"/>
        <v>#DIV/0!</v>
      </c>
      <c r="S642" s="10" t="str">
        <f t="shared" si="23"/>
        <v>#DIV/0!</v>
      </c>
      <c r="T642" s="10" t="str">
        <f t="shared" si="22"/>
        <v>#DIV/0!</v>
      </c>
      <c r="U642" s="10" t="str">
        <f t="shared" si="8"/>
        <v>#DIV/0!</v>
      </c>
      <c r="V642" s="10"/>
      <c r="W642" s="10"/>
      <c r="X642" s="10"/>
      <c r="Y642" s="10"/>
      <c r="Z642" s="10"/>
      <c r="AA642" s="10"/>
      <c r="AB642" s="10"/>
      <c r="AC642" s="10"/>
      <c r="AD642" s="10"/>
      <c r="AE642" s="10"/>
      <c r="AF642" s="10"/>
    </row>
    <row r="643" hidden="1">
      <c r="A643" s="9" t="s">
        <v>860</v>
      </c>
      <c r="B643" s="84"/>
      <c r="C643" s="9"/>
      <c r="D643" s="9" t="str">
        <f t="shared" si="1"/>
        <v/>
      </c>
      <c r="E643" s="10" t="str">
        <f t="shared" si="2"/>
        <v>OT Hours</v>
      </c>
      <c r="F643" s="10" t="str">
        <f>IFERROR(VLOOKUP(C643,'Employees List'!$B$1:$I$999,4,0),"")</f>
        <v/>
      </c>
      <c r="G643" s="10" t="str">
        <f t="shared" si="21"/>
        <v>#DIV/0!</v>
      </c>
      <c r="H643" s="72" t="str">
        <f>IFERROR(VLOOKUP(C643,'Employees List'!$B$2:$I$991,7,0),"")</f>
        <v/>
      </c>
      <c r="I643" s="73" t="str">
        <f>IFERROR(VLOOKUP(F643,'Employees List'!$E$1:$AE$991,6,0),"")</f>
        <v/>
      </c>
      <c r="J643" s="71">
        <f t="shared" si="3"/>
        <v>0</v>
      </c>
      <c r="K643" s="71">
        <f t="shared" si="4"/>
        <v>0</v>
      </c>
      <c r="L643" s="10" t="str">
        <f>IFERROR(VLOOKUP(B643,'Employees List'!$A$2:$K$991,11,0),"")</f>
        <v/>
      </c>
      <c r="M643" s="74" t="str">
        <f>IFERROR(VLOOKUP(D643,'Daily Attendance 25-26'!$A$4:BP999,5,0),"")</f>
        <v/>
      </c>
      <c r="N643" s="10" t="str">
        <f>IFERROR(VLOOKUP(E643,'Daily Attendance 25-26'!$A$1:$BO$1741,5,0),"")</f>
        <v/>
      </c>
      <c r="O643" s="10"/>
      <c r="P643" s="10"/>
      <c r="Q643" s="10" t="str">
        <f t="shared" si="5"/>
        <v>#DIV/0!</v>
      </c>
      <c r="R643" s="10" t="str">
        <f t="shared" si="6"/>
        <v>#DIV/0!</v>
      </c>
      <c r="S643" s="10" t="str">
        <f t="shared" si="23"/>
        <v>#DIV/0!</v>
      </c>
      <c r="T643" s="10" t="str">
        <f t="shared" si="22"/>
        <v>#DIV/0!</v>
      </c>
      <c r="U643" s="10" t="str">
        <f t="shared" si="8"/>
        <v>#DIV/0!</v>
      </c>
      <c r="V643" s="10"/>
      <c r="W643" s="10"/>
      <c r="X643" s="10"/>
      <c r="Y643" s="10"/>
      <c r="Z643" s="10"/>
      <c r="AA643" s="10"/>
      <c r="AB643" s="10"/>
      <c r="AC643" s="10"/>
      <c r="AD643" s="10"/>
      <c r="AE643" s="10"/>
      <c r="AF643" s="10"/>
    </row>
    <row r="644" hidden="1">
      <c r="A644" s="9" t="s">
        <v>861</v>
      </c>
      <c r="B644" s="84"/>
      <c r="C644" s="9"/>
      <c r="D644" s="9" t="str">
        <f t="shared" si="1"/>
        <v/>
      </c>
      <c r="E644" s="10" t="str">
        <f t="shared" si="2"/>
        <v>OT Hours</v>
      </c>
      <c r="F644" s="10" t="str">
        <f>IFERROR(VLOOKUP(C644,'Employees List'!$B$1:$I$999,4,0),"")</f>
        <v/>
      </c>
      <c r="G644" s="10" t="str">
        <f t="shared" si="21"/>
        <v>#DIV/0!</v>
      </c>
      <c r="H644" s="72" t="str">
        <f>IFERROR(VLOOKUP(C644,'Employees List'!$B$2:$I$991,7,0),"")</f>
        <v/>
      </c>
      <c r="I644" s="73" t="str">
        <f>IFERROR(VLOOKUP(F644,'Employees List'!$E$1:$AE$991,6,0),"")</f>
        <v/>
      </c>
      <c r="J644" s="71">
        <f t="shared" si="3"/>
        <v>0</v>
      </c>
      <c r="K644" s="71">
        <f t="shared" si="4"/>
        <v>0</v>
      </c>
      <c r="L644" s="10" t="str">
        <f>IFERROR(VLOOKUP(B644,'Employees List'!$A$2:$K$991,11,0),"")</f>
        <v/>
      </c>
      <c r="M644" s="74" t="str">
        <f>IFERROR(VLOOKUP(D644,'Daily Attendance 25-26'!$A$4:BP999,5,0),"")</f>
        <v/>
      </c>
      <c r="N644" s="10" t="str">
        <f>IFERROR(VLOOKUP(E644,'Daily Attendance 25-26'!$A$1:$BO$1741,5,0),"")</f>
        <v/>
      </c>
      <c r="O644" s="10"/>
      <c r="P644" s="10"/>
      <c r="Q644" s="10" t="str">
        <f t="shared" si="5"/>
        <v>#DIV/0!</v>
      </c>
      <c r="R644" s="10" t="str">
        <f t="shared" si="6"/>
        <v>#DIV/0!</v>
      </c>
      <c r="S644" s="10" t="str">
        <f t="shared" si="23"/>
        <v>#DIV/0!</v>
      </c>
      <c r="T644" s="10" t="str">
        <f t="shared" si="22"/>
        <v>#DIV/0!</v>
      </c>
      <c r="U644" s="10" t="str">
        <f t="shared" si="8"/>
        <v>#DIV/0!</v>
      </c>
      <c r="V644" s="10"/>
      <c r="W644" s="10"/>
      <c r="X644" s="10"/>
      <c r="Y644" s="10"/>
      <c r="Z644" s="10"/>
      <c r="AA644" s="10"/>
      <c r="AB644" s="10"/>
      <c r="AC644" s="10"/>
      <c r="AD644" s="10"/>
      <c r="AE644" s="10"/>
      <c r="AF644" s="10"/>
    </row>
    <row r="645" hidden="1">
      <c r="A645" s="9" t="s">
        <v>862</v>
      </c>
      <c r="B645" s="84"/>
      <c r="C645" s="9"/>
      <c r="D645" s="9" t="str">
        <f t="shared" si="1"/>
        <v/>
      </c>
      <c r="E645" s="10" t="str">
        <f t="shared" si="2"/>
        <v>OT Hours</v>
      </c>
      <c r="F645" s="10" t="str">
        <f>IFERROR(VLOOKUP(C645,'Employees List'!$B$1:$I$999,4,0),"")</f>
        <v/>
      </c>
      <c r="G645" s="10" t="str">
        <f t="shared" si="21"/>
        <v>#DIV/0!</v>
      </c>
      <c r="H645" s="72" t="str">
        <f>IFERROR(VLOOKUP(C645,'Employees List'!$B$2:$I$991,7,0),"")</f>
        <v/>
      </c>
      <c r="I645" s="73" t="str">
        <f>IFERROR(VLOOKUP(F645,'Employees List'!$E$1:$AE$991,6,0),"")</f>
        <v/>
      </c>
      <c r="J645" s="71">
        <f t="shared" si="3"/>
        <v>0</v>
      </c>
      <c r="K645" s="71">
        <f t="shared" si="4"/>
        <v>0</v>
      </c>
      <c r="L645" s="10" t="str">
        <f>IFERROR(VLOOKUP(B645,'Employees List'!$A$2:$K$991,11,0),"")</f>
        <v/>
      </c>
      <c r="M645" s="74" t="str">
        <f>IFERROR(VLOOKUP(D645,'Daily Attendance 25-26'!$A$4:BP999,5,0),"")</f>
        <v/>
      </c>
      <c r="N645" s="10" t="str">
        <f>IFERROR(VLOOKUP(E645,'Daily Attendance 25-26'!$A$1:$BO$1741,5,0),"")</f>
        <v/>
      </c>
      <c r="O645" s="10"/>
      <c r="P645" s="10"/>
      <c r="Q645" s="10" t="str">
        <f t="shared" si="5"/>
        <v>#DIV/0!</v>
      </c>
      <c r="R645" s="10" t="str">
        <f t="shared" si="6"/>
        <v>#DIV/0!</v>
      </c>
      <c r="S645" s="10" t="str">
        <f t="shared" si="23"/>
        <v>#DIV/0!</v>
      </c>
      <c r="T645" s="10" t="str">
        <f t="shared" si="22"/>
        <v>#DIV/0!</v>
      </c>
      <c r="U645" s="10" t="str">
        <f t="shared" si="8"/>
        <v>#DIV/0!</v>
      </c>
      <c r="V645" s="10"/>
      <c r="W645" s="10"/>
      <c r="X645" s="10"/>
      <c r="Y645" s="10"/>
      <c r="Z645" s="10"/>
      <c r="AA645" s="10"/>
      <c r="AB645" s="10"/>
      <c r="AC645" s="10"/>
      <c r="AD645" s="10"/>
      <c r="AE645" s="10"/>
      <c r="AF645" s="10"/>
    </row>
    <row r="646" hidden="1">
      <c r="A646" s="9" t="s">
        <v>863</v>
      </c>
      <c r="B646" s="84"/>
      <c r="C646" s="9"/>
      <c r="D646" s="9" t="str">
        <f t="shared" si="1"/>
        <v/>
      </c>
      <c r="E646" s="10" t="str">
        <f t="shared" si="2"/>
        <v>OT Hours</v>
      </c>
      <c r="F646" s="10" t="str">
        <f>IFERROR(VLOOKUP(C646,'Employees List'!$B$1:$I$999,4,0),"")</f>
        <v/>
      </c>
      <c r="G646" s="10" t="str">
        <f t="shared" si="21"/>
        <v>#DIV/0!</v>
      </c>
      <c r="H646" s="72" t="str">
        <f>IFERROR(VLOOKUP(C646,'Employees List'!$B$2:$I$991,7,0),"")</f>
        <v/>
      </c>
      <c r="I646" s="73" t="str">
        <f>IFERROR(VLOOKUP(F646,'Employees List'!$E$1:$AE$991,6,0),"")</f>
        <v/>
      </c>
      <c r="J646" s="71">
        <f t="shared" si="3"/>
        <v>0</v>
      </c>
      <c r="K646" s="71">
        <f t="shared" si="4"/>
        <v>0</v>
      </c>
      <c r="L646" s="10" t="str">
        <f>IFERROR(VLOOKUP(B646,'Employees List'!$A$2:$K$991,11,0),"")</f>
        <v/>
      </c>
      <c r="M646" s="74" t="str">
        <f>IFERROR(VLOOKUP(D646,'Daily Attendance 25-26'!$A$4:BP999,5,0),"")</f>
        <v/>
      </c>
      <c r="N646" s="10" t="str">
        <f>IFERROR(VLOOKUP(E646,'Daily Attendance 25-26'!$A$1:$BO$1741,5,0),"")</f>
        <v/>
      </c>
      <c r="O646" s="10"/>
      <c r="P646" s="10"/>
      <c r="Q646" s="10" t="str">
        <f t="shared" si="5"/>
        <v>#DIV/0!</v>
      </c>
      <c r="R646" s="10" t="str">
        <f t="shared" si="6"/>
        <v>#DIV/0!</v>
      </c>
      <c r="S646" s="10" t="str">
        <f t="shared" si="23"/>
        <v>#DIV/0!</v>
      </c>
      <c r="T646" s="10" t="str">
        <f t="shared" si="22"/>
        <v>#DIV/0!</v>
      </c>
      <c r="U646" s="10" t="str">
        <f t="shared" si="8"/>
        <v>#DIV/0!</v>
      </c>
      <c r="V646" s="10"/>
      <c r="W646" s="10"/>
      <c r="X646" s="10"/>
      <c r="Y646" s="10"/>
      <c r="Z646" s="10"/>
      <c r="AA646" s="10"/>
      <c r="AB646" s="10"/>
      <c r="AC646" s="10"/>
      <c r="AD646" s="10"/>
      <c r="AE646" s="10"/>
      <c r="AF646" s="10"/>
    </row>
    <row r="647" hidden="1">
      <c r="A647" s="9" t="s">
        <v>864</v>
      </c>
      <c r="B647" s="84"/>
      <c r="C647" s="9"/>
      <c r="D647" s="9" t="str">
        <f t="shared" si="1"/>
        <v/>
      </c>
      <c r="E647" s="10" t="str">
        <f t="shared" si="2"/>
        <v>OT Hours</v>
      </c>
      <c r="F647" s="10" t="str">
        <f>IFERROR(VLOOKUP(C647,'Employees List'!$B$1:$I$999,4,0),"")</f>
        <v/>
      </c>
      <c r="G647" s="10" t="str">
        <f t="shared" si="21"/>
        <v>#DIV/0!</v>
      </c>
      <c r="H647" s="72" t="str">
        <f>IFERROR(VLOOKUP(C647,'Employees List'!$B$2:$I$991,7,0),"")</f>
        <v/>
      </c>
      <c r="I647" s="73" t="str">
        <f>IFERROR(VLOOKUP(F647,'Employees List'!$E$1:$AE$991,6,0),"")</f>
        <v/>
      </c>
      <c r="J647" s="71">
        <f t="shared" si="3"/>
        <v>0</v>
      </c>
      <c r="K647" s="71">
        <f t="shared" si="4"/>
        <v>0</v>
      </c>
      <c r="L647" s="10" t="str">
        <f>IFERROR(VLOOKUP(B647,'Employees List'!$A$2:$K$991,11,0),"")</f>
        <v/>
      </c>
      <c r="M647" s="74" t="str">
        <f>IFERROR(VLOOKUP(D647,'Daily Attendance 25-26'!$A$4:BP999,5,0),"")</f>
        <v/>
      </c>
      <c r="N647" s="10" t="str">
        <f>IFERROR(VLOOKUP(E647,'Daily Attendance 25-26'!$A$1:$BO$1741,5,0),"")</f>
        <v/>
      </c>
      <c r="O647" s="10"/>
      <c r="P647" s="10"/>
      <c r="Q647" s="10" t="str">
        <f t="shared" si="5"/>
        <v>#DIV/0!</v>
      </c>
      <c r="R647" s="10" t="str">
        <f t="shared" si="6"/>
        <v>#DIV/0!</v>
      </c>
      <c r="S647" s="10" t="str">
        <f t="shared" si="23"/>
        <v>#DIV/0!</v>
      </c>
      <c r="T647" s="10" t="str">
        <f t="shared" si="22"/>
        <v>#DIV/0!</v>
      </c>
      <c r="U647" s="10" t="str">
        <f t="shared" si="8"/>
        <v>#DIV/0!</v>
      </c>
      <c r="V647" s="10"/>
      <c r="W647" s="10"/>
      <c r="X647" s="10"/>
      <c r="Y647" s="10"/>
      <c r="Z647" s="10"/>
      <c r="AA647" s="10"/>
      <c r="AB647" s="10"/>
      <c r="AC647" s="10"/>
      <c r="AD647" s="10"/>
      <c r="AE647" s="10"/>
      <c r="AF647" s="10"/>
    </row>
    <row r="648" hidden="1">
      <c r="A648" s="9" t="s">
        <v>865</v>
      </c>
      <c r="B648" s="84"/>
      <c r="C648" s="9"/>
      <c r="D648" s="9" t="str">
        <f t="shared" si="1"/>
        <v/>
      </c>
      <c r="E648" s="10" t="str">
        <f t="shared" si="2"/>
        <v>OT Hours</v>
      </c>
      <c r="F648" s="10" t="str">
        <f>IFERROR(VLOOKUP(C648,'Employees List'!$B$1:$I$999,4,0),"")</f>
        <v/>
      </c>
      <c r="G648" s="10" t="str">
        <f t="shared" si="21"/>
        <v>#DIV/0!</v>
      </c>
      <c r="H648" s="72" t="str">
        <f>IFERROR(VLOOKUP(C648,'Employees List'!$B$2:$I$991,7,0),"")</f>
        <v/>
      </c>
      <c r="I648" s="73" t="str">
        <f>IFERROR(VLOOKUP(F648,'Employees List'!$E$1:$AE$991,6,0),"")</f>
        <v/>
      </c>
      <c r="J648" s="71">
        <f t="shared" si="3"/>
        <v>0</v>
      </c>
      <c r="K648" s="71">
        <f t="shared" si="4"/>
        <v>0</v>
      </c>
      <c r="L648" s="10" t="str">
        <f>IFERROR(VLOOKUP(B648,'Employees List'!$A$2:$K$991,11,0),"")</f>
        <v/>
      </c>
      <c r="M648" s="74" t="str">
        <f>IFERROR(VLOOKUP(D648,'Daily Attendance 25-26'!$A$4:BP999,5,0),"")</f>
        <v/>
      </c>
      <c r="N648" s="10" t="str">
        <f>IFERROR(VLOOKUP(E648,'Daily Attendance 25-26'!$A$1:$BO$1741,5,0),"")</f>
        <v/>
      </c>
      <c r="O648" s="10"/>
      <c r="P648" s="10"/>
      <c r="Q648" s="10" t="str">
        <f t="shared" si="5"/>
        <v>#DIV/0!</v>
      </c>
      <c r="R648" s="10" t="str">
        <f t="shared" si="6"/>
        <v>#DIV/0!</v>
      </c>
      <c r="S648" s="10" t="str">
        <f t="shared" si="23"/>
        <v>#DIV/0!</v>
      </c>
      <c r="T648" s="10" t="str">
        <f t="shared" si="22"/>
        <v>#DIV/0!</v>
      </c>
      <c r="U648" s="10" t="str">
        <f t="shared" si="8"/>
        <v>#DIV/0!</v>
      </c>
      <c r="V648" s="10"/>
      <c r="W648" s="10"/>
      <c r="X648" s="10"/>
      <c r="Y648" s="10"/>
      <c r="Z648" s="10"/>
      <c r="AA648" s="10"/>
      <c r="AB648" s="10"/>
      <c r="AC648" s="10"/>
      <c r="AD648" s="10"/>
      <c r="AE648" s="10"/>
      <c r="AF648" s="10"/>
    </row>
    <row r="649" hidden="1">
      <c r="A649" s="9" t="s">
        <v>866</v>
      </c>
      <c r="B649" s="84"/>
      <c r="C649" s="9"/>
      <c r="D649" s="9" t="str">
        <f t="shared" si="1"/>
        <v/>
      </c>
      <c r="E649" s="10" t="str">
        <f t="shared" si="2"/>
        <v>OT Hours</v>
      </c>
      <c r="F649" s="10" t="str">
        <f>IFERROR(VLOOKUP(C649,'Employees List'!$B$1:$I$999,4,0),"")</f>
        <v/>
      </c>
      <c r="G649" s="10" t="str">
        <f t="shared" si="21"/>
        <v>#DIV/0!</v>
      </c>
      <c r="H649" s="72" t="str">
        <f>IFERROR(VLOOKUP(C649,'Employees List'!$B$2:$I$991,7,0),"")</f>
        <v/>
      </c>
      <c r="I649" s="73" t="str">
        <f>IFERROR(VLOOKUP(F649,'Employees List'!$E$1:$AE$991,6,0),"")</f>
        <v/>
      </c>
      <c r="J649" s="71">
        <f t="shared" si="3"/>
        <v>0</v>
      </c>
      <c r="K649" s="71">
        <f t="shared" si="4"/>
        <v>0</v>
      </c>
      <c r="L649" s="10" t="str">
        <f>IFERROR(VLOOKUP(B649,'Employees List'!$A$2:$K$991,11,0),"")</f>
        <v/>
      </c>
      <c r="M649" s="74" t="str">
        <f>IFERROR(VLOOKUP(D649,'Daily Attendance 25-26'!$A$4:BP999,5,0),"")</f>
        <v/>
      </c>
      <c r="N649" s="10" t="str">
        <f>IFERROR(VLOOKUP(E649,'Daily Attendance 25-26'!$A$1:$BO$1741,5,0),"")</f>
        <v/>
      </c>
      <c r="O649" s="10"/>
      <c r="P649" s="10"/>
      <c r="Q649" s="10" t="str">
        <f t="shared" si="5"/>
        <v>#DIV/0!</v>
      </c>
      <c r="R649" s="10" t="str">
        <f t="shared" si="6"/>
        <v>#DIV/0!</v>
      </c>
      <c r="S649" s="10" t="str">
        <f t="shared" si="23"/>
        <v>#DIV/0!</v>
      </c>
      <c r="T649" s="10" t="str">
        <f t="shared" si="22"/>
        <v>#DIV/0!</v>
      </c>
      <c r="U649" s="10" t="str">
        <f t="shared" si="8"/>
        <v>#DIV/0!</v>
      </c>
      <c r="V649" s="10"/>
      <c r="W649" s="10"/>
      <c r="X649" s="10"/>
      <c r="Y649" s="10"/>
      <c r="Z649" s="10"/>
      <c r="AA649" s="10"/>
      <c r="AB649" s="10"/>
      <c r="AC649" s="10"/>
      <c r="AD649" s="10"/>
      <c r="AE649" s="10"/>
      <c r="AF649" s="10"/>
    </row>
    <row r="650" hidden="1">
      <c r="A650" s="9" t="s">
        <v>867</v>
      </c>
      <c r="B650" s="84"/>
      <c r="C650" s="9"/>
      <c r="D650" s="9" t="str">
        <f t="shared" si="1"/>
        <v/>
      </c>
      <c r="E650" s="10" t="str">
        <f t="shared" si="2"/>
        <v>OT Hours</v>
      </c>
      <c r="F650" s="10" t="str">
        <f>IFERROR(VLOOKUP(C650,'Employees List'!$B$1:$I$999,4,0),"")</f>
        <v/>
      </c>
      <c r="G650" s="10" t="str">
        <f t="shared" si="21"/>
        <v>#DIV/0!</v>
      </c>
      <c r="H650" s="72" t="str">
        <f>IFERROR(VLOOKUP(C650,'Employees List'!$B$2:$I$991,7,0),"")</f>
        <v/>
      </c>
      <c r="I650" s="73" t="str">
        <f>IFERROR(VLOOKUP(F650,'Employees List'!$E$1:$AE$991,6,0),"")</f>
        <v/>
      </c>
      <c r="J650" s="71">
        <f t="shared" si="3"/>
        <v>0</v>
      </c>
      <c r="K650" s="71">
        <f t="shared" si="4"/>
        <v>0</v>
      </c>
      <c r="L650" s="10" t="str">
        <f>IFERROR(VLOOKUP(B650,'Employees List'!$A$2:$K$991,11,0),"")</f>
        <v/>
      </c>
      <c r="M650" s="74" t="str">
        <f>IFERROR(VLOOKUP(D650,'Daily Attendance 25-26'!$A$4:BP999,5,0),"")</f>
        <v/>
      </c>
      <c r="N650" s="10" t="str">
        <f>IFERROR(VLOOKUP(E650,'Daily Attendance 25-26'!$A$1:$BO$1741,5,0),"")</f>
        <v/>
      </c>
      <c r="O650" s="10"/>
      <c r="P650" s="10"/>
      <c r="Q650" s="10" t="str">
        <f t="shared" si="5"/>
        <v>#DIV/0!</v>
      </c>
      <c r="R650" s="10" t="str">
        <f t="shared" si="6"/>
        <v>#DIV/0!</v>
      </c>
      <c r="S650" s="10" t="str">
        <f t="shared" si="23"/>
        <v>#DIV/0!</v>
      </c>
      <c r="T650" s="10" t="str">
        <f t="shared" si="22"/>
        <v>#DIV/0!</v>
      </c>
      <c r="U650" s="10" t="str">
        <f t="shared" si="8"/>
        <v>#DIV/0!</v>
      </c>
      <c r="V650" s="10"/>
      <c r="W650" s="10"/>
      <c r="X650" s="10"/>
      <c r="Y650" s="10"/>
      <c r="Z650" s="10"/>
      <c r="AA650" s="10"/>
      <c r="AB650" s="10"/>
      <c r="AC650" s="10"/>
      <c r="AD650" s="10"/>
      <c r="AE650" s="10"/>
      <c r="AF650" s="10"/>
    </row>
    <row r="651" hidden="1">
      <c r="A651" s="9" t="s">
        <v>868</v>
      </c>
      <c r="B651" s="84"/>
      <c r="C651" s="9"/>
      <c r="D651" s="9" t="str">
        <f t="shared" si="1"/>
        <v/>
      </c>
      <c r="E651" s="10" t="str">
        <f t="shared" si="2"/>
        <v>OT Hours</v>
      </c>
      <c r="F651" s="10" t="str">
        <f>IFERROR(VLOOKUP(C651,'Employees List'!$B$1:$I$999,4,0),"")</f>
        <v/>
      </c>
      <c r="G651" s="10" t="str">
        <f t="shared" si="21"/>
        <v>#DIV/0!</v>
      </c>
      <c r="H651" s="72" t="str">
        <f>IFERROR(VLOOKUP(C651,'Employees List'!$B$2:$I$991,7,0),"")</f>
        <v/>
      </c>
      <c r="I651" s="73" t="str">
        <f>IFERROR(VLOOKUP(F651,'Employees List'!$E$1:$AE$991,6,0),"")</f>
        <v/>
      </c>
      <c r="J651" s="71">
        <f t="shared" si="3"/>
        <v>0</v>
      </c>
      <c r="K651" s="71">
        <f t="shared" si="4"/>
        <v>0</v>
      </c>
      <c r="L651" s="10" t="str">
        <f>IFERROR(VLOOKUP(B651,'Employees List'!$A$2:$K$991,11,0),"")</f>
        <v/>
      </c>
      <c r="M651" s="74" t="str">
        <f>IFERROR(VLOOKUP(D651,'Daily Attendance 25-26'!$A$4:BP999,5,0),"")</f>
        <v/>
      </c>
      <c r="N651" s="10" t="str">
        <f>IFERROR(VLOOKUP(E651,'Daily Attendance 25-26'!$A$1:$BO$1741,5,0),"")</f>
        <v/>
      </c>
      <c r="O651" s="10"/>
      <c r="P651" s="10"/>
      <c r="Q651" s="10" t="str">
        <f t="shared" si="5"/>
        <v>#DIV/0!</v>
      </c>
      <c r="R651" s="10" t="str">
        <f t="shared" si="6"/>
        <v>#DIV/0!</v>
      </c>
      <c r="S651" s="10" t="str">
        <f t="shared" si="23"/>
        <v>#DIV/0!</v>
      </c>
      <c r="T651" s="10" t="str">
        <f t="shared" si="22"/>
        <v>#DIV/0!</v>
      </c>
      <c r="U651" s="10" t="str">
        <f t="shared" si="8"/>
        <v>#DIV/0!</v>
      </c>
      <c r="V651" s="10"/>
      <c r="W651" s="10"/>
      <c r="X651" s="10"/>
      <c r="Y651" s="10"/>
      <c r="Z651" s="10"/>
      <c r="AA651" s="10"/>
      <c r="AB651" s="10"/>
      <c r="AC651" s="10"/>
      <c r="AD651" s="10"/>
      <c r="AE651" s="10"/>
      <c r="AF651" s="10"/>
    </row>
    <row r="652" hidden="1">
      <c r="A652" s="9" t="s">
        <v>869</v>
      </c>
      <c r="B652" s="84"/>
      <c r="C652" s="9"/>
      <c r="D652" s="9" t="str">
        <f t="shared" si="1"/>
        <v/>
      </c>
      <c r="E652" s="10" t="str">
        <f t="shared" si="2"/>
        <v>OT Hours</v>
      </c>
      <c r="F652" s="10" t="str">
        <f>IFERROR(VLOOKUP(C652,'Employees List'!$B$1:$I$999,4,0),"")</f>
        <v/>
      </c>
      <c r="G652" s="10" t="str">
        <f t="shared" si="21"/>
        <v>#DIV/0!</v>
      </c>
      <c r="H652" s="72" t="str">
        <f>IFERROR(VLOOKUP(C652,'Employees List'!$B$2:$I$991,7,0),"")</f>
        <v/>
      </c>
      <c r="I652" s="73" t="str">
        <f>IFERROR(VLOOKUP(F652,'Employees List'!$E$1:$AE$991,6,0),"")</f>
        <v/>
      </c>
      <c r="J652" s="71">
        <f t="shared" si="3"/>
        <v>0</v>
      </c>
      <c r="K652" s="71">
        <f t="shared" si="4"/>
        <v>0</v>
      </c>
      <c r="L652" s="10" t="str">
        <f>IFERROR(VLOOKUP(B652,'Employees List'!$A$2:$K$991,11,0),"")</f>
        <v/>
      </c>
      <c r="M652" s="74" t="str">
        <f>IFERROR(VLOOKUP(D652,'Daily Attendance 25-26'!$A$4:BP999,5,0),"")</f>
        <v/>
      </c>
      <c r="N652" s="10" t="str">
        <f>IFERROR(VLOOKUP(E652,'Daily Attendance 25-26'!$A$1:$BO$1741,5,0),"")</f>
        <v/>
      </c>
      <c r="O652" s="10"/>
      <c r="P652" s="10"/>
      <c r="Q652" s="10" t="str">
        <f t="shared" si="5"/>
        <v>#DIV/0!</v>
      </c>
      <c r="R652" s="10" t="str">
        <f t="shared" si="6"/>
        <v>#DIV/0!</v>
      </c>
      <c r="S652" s="10" t="str">
        <f t="shared" si="23"/>
        <v>#DIV/0!</v>
      </c>
      <c r="T652" s="10" t="str">
        <f t="shared" si="22"/>
        <v>#DIV/0!</v>
      </c>
      <c r="U652" s="10" t="str">
        <f t="shared" si="8"/>
        <v>#DIV/0!</v>
      </c>
      <c r="V652" s="10"/>
      <c r="W652" s="10"/>
      <c r="X652" s="10"/>
      <c r="Y652" s="10"/>
      <c r="Z652" s="10"/>
      <c r="AA652" s="10"/>
      <c r="AB652" s="10"/>
      <c r="AC652" s="10"/>
      <c r="AD652" s="10"/>
      <c r="AE652" s="10"/>
      <c r="AF652" s="10"/>
    </row>
    <row r="653" hidden="1">
      <c r="A653" s="9" t="s">
        <v>870</v>
      </c>
      <c r="B653" s="84"/>
      <c r="C653" s="9"/>
      <c r="D653" s="9" t="str">
        <f t="shared" si="1"/>
        <v/>
      </c>
      <c r="E653" s="10" t="str">
        <f t="shared" si="2"/>
        <v>OT Hours</v>
      </c>
      <c r="F653" s="10" t="str">
        <f>IFERROR(VLOOKUP(C653,'Employees List'!$B$1:$I$999,4,0),"")</f>
        <v/>
      </c>
      <c r="G653" s="10" t="str">
        <f t="shared" si="21"/>
        <v>#DIV/0!</v>
      </c>
      <c r="H653" s="72" t="str">
        <f>IFERROR(VLOOKUP(C653,'Employees List'!$B$2:$I$991,7,0),"")</f>
        <v/>
      </c>
      <c r="I653" s="73" t="str">
        <f>IFERROR(VLOOKUP(F653,'Employees List'!$E$1:$AE$991,6,0),"")</f>
        <v/>
      </c>
      <c r="J653" s="71">
        <f t="shared" si="3"/>
        <v>0</v>
      </c>
      <c r="K653" s="71">
        <f t="shared" si="4"/>
        <v>0</v>
      </c>
      <c r="L653" s="10" t="str">
        <f>IFERROR(VLOOKUP(B653,'Employees List'!$A$2:$K$991,11,0),"")</f>
        <v/>
      </c>
      <c r="M653" s="74" t="str">
        <f>IFERROR(VLOOKUP(D653,'Daily Attendance 25-26'!$A$4:BP999,5,0),"")</f>
        <v/>
      </c>
      <c r="N653" s="10" t="str">
        <f>IFERROR(VLOOKUP(E653,'Daily Attendance 25-26'!$A$1:$BO$1741,5,0),"")</f>
        <v/>
      </c>
      <c r="O653" s="10"/>
      <c r="P653" s="10"/>
      <c r="Q653" s="10" t="str">
        <f t="shared" si="5"/>
        <v>#DIV/0!</v>
      </c>
      <c r="R653" s="10" t="str">
        <f t="shared" si="6"/>
        <v>#DIV/0!</v>
      </c>
      <c r="S653" s="10" t="str">
        <f t="shared" si="23"/>
        <v>#DIV/0!</v>
      </c>
      <c r="T653" s="10" t="str">
        <f t="shared" si="22"/>
        <v>#DIV/0!</v>
      </c>
      <c r="U653" s="10" t="str">
        <f t="shared" si="8"/>
        <v>#DIV/0!</v>
      </c>
      <c r="V653" s="10"/>
      <c r="W653" s="10"/>
      <c r="X653" s="10"/>
      <c r="Y653" s="10"/>
      <c r="Z653" s="10"/>
      <c r="AA653" s="10"/>
      <c r="AB653" s="10"/>
      <c r="AC653" s="10"/>
      <c r="AD653" s="10"/>
      <c r="AE653" s="10"/>
      <c r="AF653" s="10"/>
    </row>
    <row r="654" hidden="1">
      <c r="A654" s="9" t="s">
        <v>871</v>
      </c>
      <c r="B654" s="84"/>
      <c r="C654" s="9"/>
      <c r="D654" s="9" t="str">
        <f t="shared" si="1"/>
        <v/>
      </c>
      <c r="E654" s="10" t="str">
        <f t="shared" si="2"/>
        <v>OT Hours</v>
      </c>
      <c r="F654" s="10" t="str">
        <f>IFERROR(VLOOKUP(C654,'Employees List'!$B$1:$I$999,4,0),"")</f>
        <v/>
      </c>
      <c r="G654" s="10" t="str">
        <f t="shared" si="21"/>
        <v>#DIV/0!</v>
      </c>
      <c r="H654" s="72" t="str">
        <f>IFERROR(VLOOKUP(C654,'Employees List'!$B$2:$I$991,7,0),"")</f>
        <v/>
      </c>
      <c r="I654" s="73" t="str">
        <f>IFERROR(VLOOKUP(F654,'Employees List'!$E$1:$AE$991,6,0),"")</f>
        <v/>
      </c>
      <c r="J654" s="71">
        <f t="shared" si="3"/>
        <v>0</v>
      </c>
      <c r="K654" s="71">
        <f t="shared" si="4"/>
        <v>0</v>
      </c>
      <c r="L654" s="10" t="str">
        <f>IFERROR(VLOOKUP(B654,'Employees List'!$A$2:$K$991,11,0),"")</f>
        <v/>
      </c>
      <c r="M654" s="74" t="str">
        <f>IFERROR(VLOOKUP(D654,'Daily Attendance 25-26'!$A$4:BP999,5,0),"")</f>
        <v/>
      </c>
      <c r="N654" s="10" t="str">
        <f>IFERROR(VLOOKUP(E654,'Daily Attendance 25-26'!$A$1:$BO$1741,5,0),"")</f>
        <v/>
      </c>
      <c r="O654" s="10"/>
      <c r="P654" s="10"/>
      <c r="Q654" s="10" t="str">
        <f t="shared" si="5"/>
        <v>#DIV/0!</v>
      </c>
      <c r="R654" s="10" t="str">
        <f t="shared" si="6"/>
        <v>#DIV/0!</v>
      </c>
      <c r="S654" s="10" t="str">
        <f t="shared" si="23"/>
        <v>#DIV/0!</v>
      </c>
      <c r="T654" s="10" t="str">
        <f t="shared" si="22"/>
        <v>#DIV/0!</v>
      </c>
      <c r="U654" s="10" t="str">
        <f t="shared" si="8"/>
        <v>#DIV/0!</v>
      </c>
      <c r="V654" s="10"/>
      <c r="W654" s="10"/>
      <c r="X654" s="10"/>
      <c r="Y654" s="10"/>
      <c r="Z654" s="10"/>
      <c r="AA654" s="10"/>
      <c r="AB654" s="10"/>
      <c r="AC654" s="10"/>
      <c r="AD654" s="10"/>
      <c r="AE654" s="10"/>
      <c r="AF654" s="10"/>
    </row>
    <row r="655" hidden="1">
      <c r="A655" s="9" t="s">
        <v>872</v>
      </c>
      <c r="B655" s="84"/>
      <c r="C655" s="9"/>
      <c r="D655" s="9" t="str">
        <f t="shared" si="1"/>
        <v/>
      </c>
      <c r="E655" s="10" t="str">
        <f t="shared" si="2"/>
        <v>OT Hours</v>
      </c>
      <c r="F655" s="10" t="str">
        <f>IFERROR(VLOOKUP(C655,'Employees List'!$B$1:$I$999,4,0),"")</f>
        <v/>
      </c>
      <c r="G655" s="10" t="str">
        <f t="shared" si="21"/>
        <v>#DIV/0!</v>
      </c>
      <c r="H655" s="72" t="str">
        <f>IFERROR(VLOOKUP(C655,'Employees List'!$B$2:$I$991,7,0),"")</f>
        <v/>
      </c>
      <c r="I655" s="73" t="str">
        <f>IFERROR(VLOOKUP(F655,'Employees List'!$E$1:$AE$991,6,0),"")</f>
        <v/>
      </c>
      <c r="J655" s="71">
        <f t="shared" si="3"/>
        <v>0</v>
      </c>
      <c r="K655" s="71">
        <f t="shared" si="4"/>
        <v>0</v>
      </c>
      <c r="L655" s="10" t="str">
        <f>IFERROR(VLOOKUP(B655,'Employees List'!$A$2:$K$991,11,0),"")</f>
        <v/>
      </c>
      <c r="M655" s="74" t="str">
        <f>IFERROR(VLOOKUP(D655,'Daily Attendance 25-26'!$A$4:BP999,5,0),"")</f>
        <v/>
      </c>
      <c r="N655" s="10" t="str">
        <f>IFERROR(VLOOKUP(E655,'Daily Attendance 25-26'!$A$1:$BO$1741,5,0),"")</f>
        <v/>
      </c>
      <c r="O655" s="10"/>
      <c r="P655" s="10"/>
      <c r="Q655" s="10" t="str">
        <f t="shared" si="5"/>
        <v>#DIV/0!</v>
      </c>
      <c r="R655" s="10" t="str">
        <f t="shared" si="6"/>
        <v>#DIV/0!</v>
      </c>
      <c r="S655" s="10" t="str">
        <f t="shared" si="23"/>
        <v>#DIV/0!</v>
      </c>
      <c r="T655" s="10" t="str">
        <f t="shared" si="22"/>
        <v>#DIV/0!</v>
      </c>
      <c r="U655" s="10" t="str">
        <f t="shared" si="8"/>
        <v>#DIV/0!</v>
      </c>
      <c r="V655" s="10"/>
      <c r="W655" s="10"/>
      <c r="X655" s="10"/>
      <c r="Y655" s="10"/>
      <c r="Z655" s="10"/>
      <c r="AA655" s="10"/>
      <c r="AB655" s="10"/>
      <c r="AC655" s="10"/>
      <c r="AD655" s="10"/>
      <c r="AE655" s="10"/>
      <c r="AF655" s="10"/>
    </row>
    <row r="656" hidden="1">
      <c r="A656" s="9" t="s">
        <v>873</v>
      </c>
      <c r="B656" s="84"/>
      <c r="C656" s="9"/>
      <c r="D656" s="9" t="str">
        <f t="shared" si="1"/>
        <v/>
      </c>
      <c r="E656" s="10" t="str">
        <f t="shared" si="2"/>
        <v>OT Hours</v>
      </c>
      <c r="F656" s="10" t="str">
        <f>IFERROR(VLOOKUP(C656,'Employees List'!$B$1:$I$999,4,0),"")</f>
        <v/>
      </c>
      <c r="G656" s="10" t="str">
        <f t="shared" si="21"/>
        <v>#DIV/0!</v>
      </c>
      <c r="H656" s="72" t="str">
        <f>IFERROR(VLOOKUP(C656,'Employees List'!$B$2:$I$991,7,0),"")</f>
        <v/>
      </c>
      <c r="I656" s="73" t="str">
        <f>IFERROR(VLOOKUP(F656,'Employees List'!$E$1:$AE$991,6,0),"")</f>
        <v/>
      </c>
      <c r="J656" s="71">
        <f t="shared" si="3"/>
        <v>0</v>
      </c>
      <c r="K656" s="71">
        <f t="shared" si="4"/>
        <v>0</v>
      </c>
      <c r="L656" s="10" t="str">
        <f>IFERROR(VLOOKUP(B656,'Employees List'!$A$2:$K$991,11,0),"")</f>
        <v/>
      </c>
      <c r="M656" s="74" t="str">
        <f>IFERROR(VLOOKUP(D656,'Daily Attendance 25-26'!$A$4:BP999,5,0),"")</f>
        <v/>
      </c>
      <c r="N656" s="10" t="str">
        <f>IFERROR(VLOOKUP(E656,'Daily Attendance 25-26'!$A$1:$BO$1741,5,0),"")</f>
        <v/>
      </c>
      <c r="O656" s="10"/>
      <c r="P656" s="10"/>
      <c r="Q656" s="10" t="str">
        <f t="shared" si="5"/>
        <v>#DIV/0!</v>
      </c>
      <c r="R656" s="10" t="str">
        <f t="shared" si="6"/>
        <v>#DIV/0!</v>
      </c>
      <c r="S656" s="10" t="str">
        <f t="shared" si="23"/>
        <v>#DIV/0!</v>
      </c>
      <c r="T656" s="10" t="str">
        <f t="shared" si="22"/>
        <v>#DIV/0!</v>
      </c>
      <c r="U656" s="10" t="str">
        <f t="shared" si="8"/>
        <v>#DIV/0!</v>
      </c>
      <c r="V656" s="10"/>
      <c r="W656" s="10"/>
      <c r="X656" s="10"/>
      <c r="Y656" s="10"/>
      <c r="Z656" s="10"/>
      <c r="AA656" s="10"/>
      <c r="AB656" s="10"/>
      <c r="AC656" s="10"/>
      <c r="AD656" s="10"/>
      <c r="AE656" s="10"/>
      <c r="AF656" s="10"/>
    </row>
    <row r="657" hidden="1">
      <c r="A657" s="9" t="s">
        <v>874</v>
      </c>
      <c r="B657" s="84"/>
      <c r="C657" s="9"/>
      <c r="D657" s="9" t="str">
        <f t="shared" si="1"/>
        <v/>
      </c>
      <c r="E657" s="10" t="str">
        <f t="shared" si="2"/>
        <v>OT Hours</v>
      </c>
      <c r="F657" s="10" t="str">
        <f>IFERROR(VLOOKUP(C657,'Employees List'!$B$1:$I$999,4,0),"")</f>
        <v/>
      </c>
      <c r="G657" s="10" t="str">
        <f t="shared" si="21"/>
        <v>#DIV/0!</v>
      </c>
      <c r="H657" s="72" t="str">
        <f>IFERROR(VLOOKUP(C657,'Employees List'!$B$2:$I$991,7,0),"")</f>
        <v/>
      </c>
      <c r="I657" s="73" t="str">
        <f>IFERROR(VLOOKUP(F657,'Employees List'!$E$1:$AE$991,6,0),"")</f>
        <v/>
      </c>
      <c r="J657" s="71">
        <f t="shared" si="3"/>
        <v>0</v>
      </c>
      <c r="K657" s="71">
        <f t="shared" si="4"/>
        <v>0</v>
      </c>
      <c r="L657" s="10" t="str">
        <f>IFERROR(VLOOKUP(B657,'Employees List'!$A$2:$K$991,11,0),"")</f>
        <v/>
      </c>
      <c r="M657" s="74" t="str">
        <f>IFERROR(VLOOKUP(D657,'Daily Attendance 25-26'!$A$4:BP999,5,0),"")</f>
        <v/>
      </c>
      <c r="N657" s="10" t="str">
        <f>IFERROR(VLOOKUP(E657,'Daily Attendance 25-26'!$A$1:$BO$1741,5,0),"")</f>
        <v/>
      </c>
      <c r="O657" s="10"/>
      <c r="P657" s="10"/>
      <c r="Q657" s="10" t="str">
        <f t="shared" si="5"/>
        <v>#DIV/0!</v>
      </c>
      <c r="R657" s="10" t="str">
        <f t="shared" si="6"/>
        <v>#DIV/0!</v>
      </c>
      <c r="S657" s="10" t="str">
        <f t="shared" si="23"/>
        <v>#DIV/0!</v>
      </c>
      <c r="T657" s="10" t="str">
        <f t="shared" si="22"/>
        <v>#DIV/0!</v>
      </c>
      <c r="U657" s="10" t="str">
        <f t="shared" si="8"/>
        <v>#DIV/0!</v>
      </c>
      <c r="V657" s="10"/>
      <c r="W657" s="10"/>
      <c r="X657" s="10"/>
      <c r="Y657" s="10"/>
      <c r="Z657" s="10"/>
      <c r="AA657" s="10"/>
      <c r="AB657" s="10"/>
      <c r="AC657" s="10"/>
      <c r="AD657" s="10"/>
      <c r="AE657" s="10"/>
      <c r="AF657" s="10"/>
    </row>
    <row r="658" hidden="1">
      <c r="A658" s="9" t="s">
        <v>875</v>
      </c>
      <c r="B658" s="84"/>
      <c r="C658" s="9"/>
      <c r="D658" s="9" t="str">
        <f t="shared" si="1"/>
        <v/>
      </c>
      <c r="E658" s="10" t="str">
        <f t="shared" si="2"/>
        <v>OT Hours</v>
      </c>
      <c r="F658" s="10" t="str">
        <f>IFERROR(VLOOKUP(C658,'Employees List'!$B$1:$I$999,4,0),"")</f>
        <v/>
      </c>
      <c r="G658" s="10" t="str">
        <f t="shared" si="21"/>
        <v>#DIV/0!</v>
      </c>
      <c r="H658" s="72" t="str">
        <f>IFERROR(VLOOKUP(C658,'Employees List'!$B$2:$I$991,7,0),"")</f>
        <v/>
      </c>
      <c r="I658" s="73" t="str">
        <f>IFERROR(VLOOKUP(F658,'Employees List'!$E$1:$AE$991,6,0),"")</f>
        <v/>
      </c>
      <c r="J658" s="71">
        <f t="shared" si="3"/>
        <v>0</v>
      </c>
      <c r="K658" s="71">
        <f t="shared" si="4"/>
        <v>0</v>
      </c>
      <c r="L658" s="10" t="str">
        <f>IFERROR(VLOOKUP(B658,'Employees List'!$A$2:$K$991,11,0),"")</f>
        <v/>
      </c>
      <c r="M658" s="74" t="str">
        <f>IFERROR(VLOOKUP(D658,'Daily Attendance 25-26'!$A$4:BP999,5,0),"")</f>
        <v/>
      </c>
      <c r="N658" s="10" t="str">
        <f>IFERROR(VLOOKUP(E658,'Daily Attendance 25-26'!$A$1:$BO$1741,5,0),"")</f>
        <v/>
      </c>
      <c r="O658" s="10"/>
      <c r="P658" s="10"/>
      <c r="Q658" s="10" t="str">
        <f t="shared" si="5"/>
        <v>#DIV/0!</v>
      </c>
      <c r="R658" s="10" t="str">
        <f t="shared" si="6"/>
        <v>#DIV/0!</v>
      </c>
      <c r="S658" s="10" t="str">
        <f t="shared" si="23"/>
        <v>#DIV/0!</v>
      </c>
      <c r="T658" s="10" t="str">
        <f t="shared" si="22"/>
        <v>#DIV/0!</v>
      </c>
      <c r="U658" s="10" t="str">
        <f t="shared" si="8"/>
        <v>#DIV/0!</v>
      </c>
      <c r="V658" s="10"/>
      <c r="W658" s="10"/>
      <c r="X658" s="10"/>
      <c r="Y658" s="10"/>
      <c r="Z658" s="10"/>
      <c r="AA658" s="10"/>
      <c r="AB658" s="10"/>
      <c r="AC658" s="10"/>
      <c r="AD658" s="10"/>
      <c r="AE658" s="10"/>
      <c r="AF658" s="10"/>
    </row>
    <row r="659" hidden="1">
      <c r="A659" s="9" t="s">
        <v>876</v>
      </c>
      <c r="B659" s="84"/>
      <c r="C659" s="9"/>
      <c r="D659" s="9" t="str">
        <f t="shared" si="1"/>
        <v/>
      </c>
      <c r="E659" s="10" t="str">
        <f t="shared" si="2"/>
        <v>OT Hours</v>
      </c>
      <c r="F659" s="10" t="str">
        <f>IFERROR(VLOOKUP(C659,'Employees List'!$B$1:$I$999,4,0),"")</f>
        <v/>
      </c>
      <c r="G659" s="10" t="str">
        <f t="shared" si="21"/>
        <v>#DIV/0!</v>
      </c>
      <c r="H659" s="72" t="str">
        <f>IFERROR(VLOOKUP(C659,'Employees List'!$B$2:$I$991,7,0),"")</f>
        <v/>
      </c>
      <c r="I659" s="73" t="str">
        <f>IFERROR(VLOOKUP(F659,'Employees List'!$E$1:$AE$991,6,0),"")</f>
        <v/>
      </c>
      <c r="J659" s="71">
        <f t="shared" si="3"/>
        <v>0</v>
      </c>
      <c r="K659" s="71">
        <f t="shared" si="4"/>
        <v>0</v>
      </c>
      <c r="L659" s="10" t="str">
        <f>IFERROR(VLOOKUP(B659,'Employees List'!$A$2:$K$991,11,0),"")</f>
        <v/>
      </c>
      <c r="M659" s="74" t="str">
        <f>IFERROR(VLOOKUP(D659,'Daily Attendance 25-26'!$A$4:BP999,5,0),"")</f>
        <v/>
      </c>
      <c r="N659" s="10" t="str">
        <f>IFERROR(VLOOKUP(E659,'Daily Attendance 25-26'!$A$1:$BO$1741,5,0),"")</f>
        <v/>
      </c>
      <c r="O659" s="10"/>
      <c r="P659" s="10"/>
      <c r="Q659" s="10" t="str">
        <f t="shared" si="5"/>
        <v>#DIV/0!</v>
      </c>
      <c r="R659" s="10" t="str">
        <f t="shared" si="6"/>
        <v>#DIV/0!</v>
      </c>
      <c r="S659" s="10" t="str">
        <f t="shared" si="23"/>
        <v>#DIV/0!</v>
      </c>
      <c r="T659" s="10" t="str">
        <f t="shared" si="22"/>
        <v>#DIV/0!</v>
      </c>
      <c r="U659" s="10" t="str">
        <f t="shared" si="8"/>
        <v>#DIV/0!</v>
      </c>
      <c r="V659" s="10"/>
      <c r="W659" s="10"/>
      <c r="X659" s="10"/>
      <c r="Y659" s="10"/>
      <c r="Z659" s="10"/>
      <c r="AA659" s="10"/>
      <c r="AB659" s="10"/>
      <c r="AC659" s="10"/>
      <c r="AD659" s="10"/>
      <c r="AE659" s="10"/>
      <c r="AF659" s="10"/>
    </row>
    <row r="660" hidden="1">
      <c r="A660" s="9" t="s">
        <v>877</v>
      </c>
      <c r="B660" s="84"/>
      <c r="C660" s="9"/>
      <c r="D660" s="9" t="str">
        <f t="shared" si="1"/>
        <v/>
      </c>
      <c r="E660" s="10" t="str">
        <f t="shared" si="2"/>
        <v>OT Hours</v>
      </c>
      <c r="F660" s="10" t="str">
        <f>IFERROR(VLOOKUP(C660,'Employees List'!$B$1:$I$999,4,0),"")</f>
        <v/>
      </c>
      <c r="G660" s="10" t="str">
        <f t="shared" si="21"/>
        <v>#DIV/0!</v>
      </c>
      <c r="H660" s="72" t="str">
        <f>IFERROR(VLOOKUP(C660,'Employees List'!$B$2:$I$991,7,0),"")</f>
        <v/>
      </c>
      <c r="I660" s="73" t="str">
        <f>IFERROR(VLOOKUP(F660,'Employees List'!$E$1:$AE$991,6,0),"")</f>
        <v/>
      </c>
      <c r="J660" s="71">
        <f t="shared" si="3"/>
        <v>0</v>
      </c>
      <c r="K660" s="71">
        <f t="shared" si="4"/>
        <v>0</v>
      </c>
      <c r="L660" s="10" t="str">
        <f>IFERROR(VLOOKUP(B660,'Employees List'!$A$2:$K$991,11,0),"")</f>
        <v/>
      </c>
      <c r="M660" s="74" t="str">
        <f>IFERROR(VLOOKUP(D660,'Daily Attendance 25-26'!$A$4:BP999,5,0),"")</f>
        <v/>
      </c>
      <c r="N660" s="10" t="str">
        <f>IFERROR(VLOOKUP(E660,'Daily Attendance 25-26'!$A$1:$BO$1741,5,0),"")</f>
        <v/>
      </c>
      <c r="O660" s="10"/>
      <c r="P660" s="10"/>
      <c r="Q660" s="10" t="str">
        <f t="shared" si="5"/>
        <v>#DIV/0!</v>
      </c>
      <c r="R660" s="10" t="str">
        <f t="shared" si="6"/>
        <v>#DIV/0!</v>
      </c>
      <c r="S660" s="10" t="str">
        <f t="shared" si="23"/>
        <v>#DIV/0!</v>
      </c>
      <c r="T660" s="10" t="str">
        <f t="shared" si="22"/>
        <v>#DIV/0!</v>
      </c>
      <c r="U660" s="10" t="str">
        <f t="shared" si="8"/>
        <v>#DIV/0!</v>
      </c>
      <c r="V660" s="10"/>
      <c r="W660" s="10"/>
      <c r="X660" s="10"/>
      <c r="Y660" s="10"/>
      <c r="Z660" s="10"/>
      <c r="AA660" s="10"/>
      <c r="AB660" s="10"/>
      <c r="AC660" s="10"/>
      <c r="AD660" s="10"/>
      <c r="AE660" s="10"/>
      <c r="AF660" s="10"/>
    </row>
    <row r="661" hidden="1">
      <c r="A661" s="9" t="s">
        <v>878</v>
      </c>
      <c r="B661" s="84"/>
      <c r="C661" s="9"/>
      <c r="D661" s="9" t="str">
        <f t="shared" si="1"/>
        <v/>
      </c>
      <c r="E661" s="10" t="str">
        <f t="shared" si="2"/>
        <v>OT Hours</v>
      </c>
      <c r="F661" s="10" t="str">
        <f>IFERROR(VLOOKUP(C661,'Employees List'!$B$1:$I$999,4,0),"")</f>
        <v/>
      </c>
      <c r="G661" s="10" t="str">
        <f t="shared" si="21"/>
        <v>#DIV/0!</v>
      </c>
      <c r="H661" s="72" t="str">
        <f>IFERROR(VLOOKUP(C661,'Employees List'!$B$2:$I$991,7,0),"")</f>
        <v/>
      </c>
      <c r="I661" s="73" t="str">
        <f>IFERROR(VLOOKUP(F661,'Employees List'!$E$1:$AE$991,6,0),"")</f>
        <v/>
      </c>
      <c r="J661" s="71">
        <f t="shared" si="3"/>
        <v>0</v>
      </c>
      <c r="K661" s="71">
        <f t="shared" si="4"/>
        <v>0</v>
      </c>
      <c r="L661" s="10" t="str">
        <f>IFERROR(VLOOKUP(B661,'Employees List'!$A$2:$K$991,11,0),"")</f>
        <v/>
      </c>
      <c r="M661" s="74" t="str">
        <f>IFERROR(VLOOKUP(D661,'Daily Attendance 25-26'!$A$4:BP999,5,0),"")</f>
        <v/>
      </c>
      <c r="N661" s="10" t="str">
        <f>IFERROR(VLOOKUP(E661,'Daily Attendance 25-26'!$A$1:$BO$1741,5,0),"")</f>
        <v/>
      </c>
      <c r="O661" s="10"/>
      <c r="P661" s="10"/>
      <c r="Q661" s="10" t="str">
        <f t="shared" si="5"/>
        <v>#DIV/0!</v>
      </c>
      <c r="R661" s="10" t="str">
        <f t="shared" si="6"/>
        <v>#DIV/0!</v>
      </c>
      <c r="S661" s="10" t="str">
        <f t="shared" si="23"/>
        <v>#DIV/0!</v>
      </c>
      <c r="T661" s="10" t="str">
        <f t="shared" si="22"/>
        <v>#DIV/0!</v>
      </c>
      <c r="U661" s="10" t="str">
        <f t="shared" si="8"/>
        <v>#DIV/0!</v>
      </c>
      <c r="V661" s="10"/>
      <c r="W661" s="10"/>
      <c r="X661" s="10"/>
      <c r="Y661" s="10"/>
      <c r="Z661" s="10"/>
      <c r="AA661" s="10"/>
      <c r="AB661" s="10"/>
      <c r="AC661" s="10"/>
      <c r="AD661" s="10"/>
      <c r="AE661" s="10"/>
      <c r="AF661" s="10"/>
    </row>
    <row r="662" hidden="1">
      <c r="A662" s="9" t="s">
        <v>879</v>
      </c>
      <c r="B662" s="84"/>
      <c r="C662" s="9"/>
      <c r="D662" s="9" t="str">
        <f t="shared" si="1"/>
        <v/>
      </c>
      <c r="E662" s="10" t="str">
        <f t="shared" si="2"/>
        <v>OT Hours</v>
      </c>
      <c r="F662" s="10" t="str">
        <f>IFERROR(VLOOKUP(C662,'Employees List'!$B$1:$I$999,4,0),"")</f>
        <v/>
      </c>
      <c r="G662" s="10" t="str">
        <f t="shared" si="21"/>
        <v>#DIV/0!</v>
      </c>
      <c r="H662" s="72" t="str">
        <f>IFERROR(VLOOKUP(C662,'Employees List'!$B$2:$I$991,7,0),"")</f>
        <v/>
      </c>
      <c r="I662" s="73" t="str">
        <f>IFERROR(VLOOKUP(F662,'Employees List'!$E$1:$AE$991,6,0),"")</f>
        <v/>
      </c>
      <c r="J662" s="71">
        <f t="shared" si="3"/>
        <v>0</v>
      </c>
      <c r="K662" s="71">
        <f t="shared" si="4"/>
        <v>0</v>
      </c>
      <c r="L662" s="10" t="str">
        <f>IFERROR(VLOOKUP(B662,'Employees List'!$A$2:$K$991,11,0),"")</f>
        <v/>
      </c>
      <c r="M662" s="74" t="str">
        <f>IFERROR(VLOOKUP(D662,'Daily Attendance 25-26'!$A$4:BP999,5,0),"")</f>
        <v/>
      </c>
      <c r="N662" s="10" t="str">
        <f>IFERROR(VLOOKUP(E662,'Daily Attendance 25-26'!$A$1:$BO$1741,5,0),"")</f>
        <v/>
      </c>
      <c r="O662" s="10"/>
      <c r="P662" s="10"/>
      <c r="Q662" s="10" t="str">
        <f t="shared" si="5"/>
        <v>#DIV/0!</v>
      </c>
      <c r="R662" s="10" t="str">
        <f t="shared" si="6"/>
        <v>#DIV/0!</v>
      </c>
      <c r="S662" s="10" t="str">
        <f t="shared" si="23"/>
        <v>#DIV/0!</v>
      </c>
      <c r="T662" s="10" t="str">
        <f t="shared" si="22"/>
        <v>#DIV/0!</v>
      </c>
      <c r="U662" s="10" t="str">
        <f t="shared" si="8"/>
        <v>#DIV/0!</v>
      </c>
      <c r="V662" s="10"/>
      <c r="W662" s="10"/>
      <c r="X662" s="10"/>
      <c r="Y662" s="10"/>
      <c r="Z662" s="10"/>
      <c r="AA662" s="10"/>
      <c r="AB662" s="10"/>
      <c r="AC662" s="10"/>
      <c r="AD662" s="10"/>
      <c r="AE662" s="10"/>
      <c r="AF662" s="10"/>
    </row>
    <row r="663" hidden="1">
      <c r="A663" s="9" t="s">
        <v>880</v>
      </c>
      <c r="B663" s="84"/>
      <c r="C663" s="9"/>
      <c r="D663" s="9" t="str">
        <f t="shared" si="1"/>
        <v/>
      </c>
      <c r="E663" s="10" t="str">
        <f t="shared" si="2"/>
        <v>OT Hours</v>
      </c>
      <c r="F663" s="10" t="str">
        <f>IFERROR(VLOOKUP(C663,'Employees List'!$B$1:$I$999,4,0),"")</f>
        <v/>
      </c>
      <c r="G663" s="10" t="str">
        <f t="shared" si="21"/>
        <v>#DIV/0!</v>
      </c>
      <c r="H663" s="72" t="str">
        <f>IFERROR(VLOOKUP(C663,'Employees List'!$B$2:$I$991,7,0),"")</f>
        <v/>
      </c>
      <c r="I663" s="73" t="str">
        <f>IFERROR(VLOOKUP(F663,'Employees List'!$E$1:$AE$991,6,0),"")</f>
        <v/>
      </c>
      <c r="J663" s="71">
        <f t="shared" si="3"/>
        <v>0</v>
      </c>
      <c r="K663" s="71">
        <f t="shared" si="4"/>
        <v>0</v>
      </c>
      <c r="L663" s="10" t="str">
        <f>IFERROR(VLOOKUP(B663,'Employees List'!$A$2:$K$991,11,0),"")</f>
        <v/>
      </c>
      <c r="M663" s="74" t="str">
        <f>IFERROR(VLOOKUP(D663,'Daily Attendance 25-26'!$A$4:BP999,5,0),"")</f>
        <v/>
      </c>
      <c r="N663" s="10" t="str">
        <f>IFERROR(VLOOKUP(E663,'Daily Attendance 25-26'!$A$1:$BO$1741,5,0),"")</f>
        <v/>
      </c>
      <c r="O663" s="10"/>
      <c r="P663" s="10"/>
      <c r="Q663" s="10" t="str">
        <f t="shared" si="5"/>
        <v>#DIV/0!</v>
      </c>
      <c r="R663" s="10" t="str">
        <f t="shared" si="6"/>
        <v>#DIV/0!</v>
      </c>
      <c r="S663" s="10" t="str">
        <f t="shared" si="23"/>
        <v>#DIV/0!</v>
      </c>
      <c r="T663" s="10" t="str">
        <f t="shared" si="22"/>
        <v>#DIV/0!</v>
      </c>
      <c r="U663" s="10" t="str">
        <f t="shared" si="8"/>
        <v>#DIV/0!</v>
      </c>
      <c r="V663" s="10"/>
      <c r="W663" s="10"/>
      <c r="X663" s="10"/>
      <c r="Y663" s="10"/>
      <c r="Z663" s="10"/>
      <c r="AA663" s="10"/>
      <c r="AB663" s="10"/>
      <c r="AC663" s="10"/>
      <c r="AD663" s="10"/>
      <c r="AE663" s="10"/>
      <c r="AF663" s="10"/>
    </row>
    <row r="664" hidden="1">
      <c r="A664" s="9" t="s">
        <v>881</v>
      </c>
      <c r="B664" s="84"/>
      <c r="C664" s="9"/>
      <c r="D664" s="9" t="str">
        <f t="shared" si="1"/>
        <v/>
      </c>
      <c r="E664" s="10" t="str">
        <f t="shared" si="2"/>
        <v>OT Hours</v>
      </c>
      <c r="F664" s="10" t="str">
        <f>IFERROR(VLOOKUP(C664,'Employees List'!$B$1:$I$999,4,0),"")</f>
        <v/>
      </c>
      <c r="G664" s="10" t="str">
        <f t="shared" si="21"/>
        <v>#DIV/0!</v>
      </c>
      <c r="H664" s="72" t="str">
        <f>IFERROR(VLOOKUP(C664,'Employees List'!$B$2:$I$991,7,0),"")</f>
        <v/>
      </c>
      <c r="I664" s="73" t="str">
        <f>IFERROR(VLOOKUP(F664,'Employees List'!$E$1:$AE$991,6,0),"")</f>
        <v/>
      </c>
      <c r="J664" s="71">
        <f t="shared" si="3"/>
        <v>0</v>
      </c>
      <c r="K664" s="71">
        <f t="shared" si="4"/>
        <v>0</v>
      </c>
      <c r="L664" s="10" t="str">
        <f>IFERROR(VLOOKUP(B664,'Employees List'!$A$2:$K$991,11,0),"")</f>
        <v/>
      </c>
      <c r="M664" s="74" t="str">
        <f>IFERROR(VLOOKUP(D664,'Daily Attendance 25-26'!$A$4:BP999,5,0),"")</f>
        <v/>
      </c>
      <c r="N664" s="10" t="str">
        <f>IFERROR(VLOOKUP(E664,'Daily Attendance 25-26'!$A$1:$BO$1741,5,0),"")</f>
        <v/>
      </c>
      <c r="O664" s="10"/>
      <c r="P664" s="10"/>
      <c r="Q664" s="10" t="str">
        <f t="shared" si="5"/>
        <v>#DIV/0!</v>
      </c>
      <c r="R664" s="10" t="str">
        <f t="shared" si="6"/>
        <v>#DIV/0!</v>
      </c>
      <c r="S664" s="10" t="str">
        <f t="shared" si="23"/>
        <v>#DIV/0!</v>
      </c>
      <c r="T664" s="10" t="str">
        <f t="shared" si="22"/>
        <v>#DIV/0!</v>
      </c>
      <c r="U664" s="10" t="str">
        <f t="shared" si="8"/>
        <v>#DIV/0!</v>
      </c>
      <c r="V664" s="10"/>
      <c r="W664" s="10"/>
      <c r="X664" s="10"/>
      <c r="Y664" s="10"/>
      <c r="Z664" s="10"/>
      <c r="AA664" s="10"/>
      <c r="AB664" s="10"/>
      <c r="AC664" s="10"/>
      <c r="AD664" s="10"/>
      <c r="AE664" s="10"/>
      <c r="AF664" s="10"/>
    </row>
    <row r="665" hidden="1">
      <c r="A665" s="9" t="s">
        <v>882</v>
      </c>
      <c r="B665" s="84"/>
      <c r="C665" s="9"/>
      <c r="D665" s="9" t="str">
        <f t="shared" si="1"/>
        <v/>
      </c>
      <c r="E665" s="10" t="str">
        <f t="shared" si="2"/>
        <v>OT Hours</v>
      </c>
      <c r="F665" s="10" t="str">
        <f>IFERROR(VLOOKUP(C665,'Employees List'!$B$1:$I$999,4,0),"")</f>
        <v/>
      </c>
      <c r="G665" s="10" t="str">
        <f t="shared" si="21"/>
        <v>#DIV/0!</v>
      </c>
      <c r="H665" s="72" t="str">
        <f>IFERROR(VLOOKUP(C665,'Employees List'!$B$2:$I$991,7,0),"")</f>
        <v/>
      </c>
      <c r="I665" s="73" t="str">
        <f>IFERROR(VLOOKUP(F665,'Employees List'!$E$1:$AE$991,6,0),"")</f>
        <v/>
      </c>
      <c r="J665" s="71">
        <f t="shared" si="3"/>
        <v>0</v>
      </c>
      <c r="K665" s="71">
        <f t="shared" si="4"/>
        <v>0</v>
      </c>
      <c r="L665" s="10" t="str">
        <f>IFERROR(VLOOKUP(B665,'Employees List'!$A$2:$K$991,11,0),"")</f>
        <v/>
      </c>
      <c r="M665" s="74" t="str">
        <f>IFERROR(VLOOKUP(D665,'Daily Attendance 25-26'!$A$4:BP999,5,0),"")</f>
        <v/>
      </c>
      <c r="N665" s="10" t="str">
        <f>IFERROR(VLOOKUP(E665,'Daily Attendance 25-26'!$A$1:$BO$1741,5,0),"")</f>
        <v/>
      </c>
      <c r="O665" s="10"/>
      <c r="P665" s="10"/>
      <c r="Q665" s="10" t="str">
        <f t="shared" si="5"/>
        <v>#DIV/0!</v>
      </c>
      <c r="R665" s="10" t="str">
        <f t="shared" si="6"/>
        <v>#DIV/0!</v>
      </c>
      <c r="S665" s="10" t="str">
        <f t="shared" si="23"/>
        <v>#DIV/0!</v>
      </c>
      <c r="T665" s="10" t="str">
        <f t="shared" si="22"/>
        <v>#DIV/0!</v>
      </c>
      <c r="U665" s="10" t="str">
        <f t="shared" si="8"/>
        <v>#DIV/0!</v>
      </c>
      <c r="V665" s="10"/>
      <c r="W665" s="10"/>
      <c r="X665" s="10"/>
      <c r="Y665" s="10"/>
      <c r="Z665" s="10"/>
      <c r="AA665" s="10"/>
      <c r="AB665" s="10"/>
      <c r="AC665" s="10"/>
      <c r="AD665" s="10"/>
      <c r="AE665" s="10"/>
      <c r="AF665" s="10"/>
    </row>
    <row r="666" hidden="1">
      <c r="A666" s="9" t="s">
        <v>883</v>
      </c>
      <c r="B666" s="84"/>
      <c r="C666" s="9"/>
      <c r="D666" s="9" t="str">
        <f t="shared" si="1"/>
        <v/>
      </c>
      <c r="E666" s="10" t="str">
        <f t="shared" si="2"/>
        <v>OT Hours</v>
      </c>
      <c r="F666" s="10" t="str">
        <f>IFERROR(VLOOKUP(C666,'Employees List'!$B$1:$I$999,4,0),"")</f>
        <v/>
      </c>
      <c r="G666" s="10" t="str">
        <f t="shared" si="21"/>
        <v>#DIV/0!</v>
      </c>
      <c r="H666" s="72" t="str">
        <f>IFERROR(VLOOKUP(C666,'Employees List'!$B$2:$I$991,7,0),"")</f>
        <v/>
      </c>
      <c r="I666" s="73" t="str">
        <f>IFERROR(VLOOKUP(F666,'Employees List'!$E$1:$AE$991,6,0),"")</f>
        <v/>
      </c>
      <c r="J666" s="71">
        <f t="shared" si="3"/>
        <v>0</v>
      </c>
      <c r="K666" s="71">
        <f t="shared" si="4"/>
        <v>0</v>
      </c>
      <c r="L666" s="10" t="str">
        <f>IFERROR(VLOOKUP(B666,'Employees List'!$A$2:$K$991,11,0),"")</f>
        <v/>
      </c>
      <c r="M666" s="74" t="str">
        <f>IFERROR(VLOOKUP(D666,'Daily Attendance 25-26'!$A$4:BP999,5,0),"")</f>
        <v/>
      </c>
      <c r="N666" s="10" t="str">
        <f>IFERROR(VLOOKUP(E666,'Daily Attendance 25-26'!$A$1:$BO$1741,5,0),"")</f>
        <v/>
      </c>
      <c r="O666" s="10"/>
      <c r="P666" s="10"/>
      <c r="Q666" s="10" t="str">
        <f t="shared" si="5"/>
        <v>#DIV/0!</v>
      </c>
      <c r="R666" s="10" t="str">
        <f t="shared" si="6"/>
        <v>#DIV/0!</v>
      </c>
      <c r="S666" s="10" t="str">
        <f t="shared" si="23"/>
        <v>#DIV/0!</v>
      </c>
      <c r="T666" s="10" t="str">
        <f t="shared" si="22"/>
        <v>#DIV/0!</v>
      </c>
      <c r="U666" s="10" t="str">
        <f t="shared" si="8"/>
        <v>#DIV/0!</v>
      </c>
      <c r="V666" s="10"/>
      <c r="W666" s="10"/>
      <c r="X666" s="10"/>
      <c r="Y666" s="10"/>
      <c r="Z666" s="10"/>
      <c r="AA666" s="10"/>
      <c r="AB666" s="10"/>
      <c r="AC666" s="10"/>
      <c r="AD666" s="10"/>
      <c r="AE666" s="10"/>
      <c r="AF666" s="10"/>
    </row>
    <row r="667" hidden="1">
      <c r="A667" s="9" t="s">
        <v>884</v>
      </c>
      <c r="B667" s="84"/>
      <c r="C667" s="9"/>
      <c r="D667" s="9" t="str">
        <f t="shared" si="1"/>
        <v/>
      </c>
      <c r="E667" s="10" t="str">
        <f t="shared" si="2"/>
        <v>OT Hours</v>
      </c>
      <c r="F667" s="10" t="str">
        <f>IFERROR(VLOOKUP(C667,'Employees List'!$B$1:$I$999,4,0),"")</f>
        <v/>
      </c>
      <c r="G667" s="10" t="str">
        <f t="shared" si="21"/>
        <v>#DIV/0!</v>
      </c>
      <c r="H667" s="72" t="str">
        <f>IFERROR(VLOOKUP(C667,'Employees List'!$B$2:$I$991,7,0),"")</f>
        <v/>
      </c>
      <c r="I667" s="73" t="str">
        <f>IFERROR(VLOOKUP(F667,'Employees List'!$E$1:$AE$991,6,0),"")</f>
        <v/>
      </c>
      <c r="J667" s="71">
        <f t="shared" si="3"/>
        <v>0</v>
      </c>
      <c r="K667" s="71">
        <f t="shared" si="4"/>
        <v>0</v>
      </c>
      <c r="L667" s="10" t="str">
        <f>IFERROR(VLOOKUP(B667,'Employees List'!$A$2:$K$991,11,0),"")</f>
        <v/>
      </c>
      <c r="M667" s="74" t="str">
        <f>IFERROR(VLOOKUP(D667,'Daily Attendance 25-26'!$A$4:BP999,5,0),"")</f>
        <v/>
      </c>
      <c r="N667" s="10" t="str">
        <f>IFERROR(VLOOKUP(E667,'Daily Attendance 25-26'!$A$1:$BO$1741,5,0),"")</f>
        <v/>
      </c>
      <c r="O667" s="10"/>
      <c r="P667" s="10"/>
      <c r="Q667" s="10" t="str">
        <f t="shared" si="5"/>
        <v>#DIV/0!</v>
      </c>
      <c r="R667" s="10" t="str">
        <f t="shared" si="6"/>
        <v>#DIV/0!</v>
      </c>
      <c r="S667" s="10" t="str">
        <f t="shared" si="23"/>
        <v>#DIV/0!</v>
      </c>
      <c r="T667" s="10" t="str">
        <f t="shared" si="22"/>
        <v>#DIV/0!</v>
      </c>
      <c r="U667" s="10" t="str">
        <f t="shared" si="8"/>
        <v>#DIV/0!</v>
      </c>
      <c r="V667" s="10"/>
      <c r="W667" s="10"/>
      <c r="X667" s="10"/>
      <c r="Y667" s="10"/>
      <c r="Z667" s="10"/>
      <c r="AA667" s="10"/>
      <c r="AB667" s="10"/>
      <c r="AC667" s="10"/>
      <c r="AD667" s="10"/>
      <c r="AE667" s="10"/>
      <c r="AF667" s="10"/>
    </row>
    <row r="668" hidden="1">
      <c r="A668" s="9" t="s">
        <v>885</v>
      </c>
      <c r="B668" s="84"/>
      <c r="C668" s="9"/>
      <c r="D668" s="9" t="str">
        <f t="shared" si="1"/>
        <v/>
      </c>
      <c r="E668" s="10" t="str">
        <f t="shared" si="2"/>
        <v>OT Hours</v>
      </c>
      <c r="F668" s="10" t="str">
        <f>IFERROR(VLOOKUP(C668,'Employees List'!$B$1:$I$999,4,0),"")</f>
        <v/>
      </c>
      <c r="G668" s="10" t="str">
        <f t="shared" si="21"/>
        <v>#DIV/0!</v>
      </c>
      <c r="H668" s="72" t="str">
        <f>IFERROR(VLOOKUP(C668,'Employees List'!$B$2:$I$991,7,0),"")</f>
        <v/>
      </c>
      <c r="I668" s="73" t="str">
        <f>IFERROR(VLOOKUP(F668,'Employees List'!$E$1:$AE$991,6,0),"")</f>
        <v/>
      </c>
      <c r="J668" s="71">
        <f t="shared" si="3"/>
        <v>0</v>
      </c>
      <c r="K668" s="71">
        <f t="shared" si="4"/>
        <v>0</v>
      </c>
      <c r="L668" s="10" t="str">
        <f>IFERROR(VLOOKUP(B668,'Employees List'!$A$2:$K$991,11,0),"")</f>
        <v/>
      </c>
      <c r="M668" s="74" t="str">
        <f>IFERROR(VLOOKUP(D668,'Daily Attendance 25-26'!$A$4:BP999,5,0),"")</f>
        <v/>
      </c>
      <c r="N668" s="10" t="str">
        <f>IFERROR(VLOOKUP(E668,'Daily Attendance 25-26'!$A$1:$BO$1741,5,0),"")</f>
        <v/>
      </c>
      <c r="O668" s="10"/>
      <c r="P668" s="10"/>
      <c r="Q668" s="10" t="str">
        <f t="shared" si="5"/>
        <v>#DIV/0!</v>
      </c>
      <c r="R668" s="10" t="str">
        <f t="shared" si="6"/>
        <v>#DIV/0!</v>
      </c>
      <c r="S668" s="10" t="str">
        <f t="shared" si="23"/>
        <v>#DIV/0!</v>
      </c>
      <c r="T668" s="10" t="str">
        <f t="shared" si="22"/>
        <v>#DIV/0!</v>
      </c>
      <c r="U668" s="10" t="str">
        <f t="shared" si="8"/>
        <v>#DIV/0!</v>
      </c>
      <c r="V668" s="10"/>
      <c r="W668" s="10"/>
      <c r="X668" s="10"/>
      <c r="Y668" s="10"/>
      <c r="Z668" s="10"/>
      <c r="AA668" s="10"/>
      <c r="AB668" s="10"/>
      <c r="AC668" s="10"/>
      <c r="AD668" s="10"/>
      <c r="AE668" s="10"/>
      <c r="AF668" s="10"/>
    </row>
    <row r="669" hidden="1">
      <c r="A669" s="9" t="s">
        <v>886</v>
      </c>
      <c r="B669" s="84"/>
      <c r="C669" s="9"/>
      <c r="D669" s="9" t="str">
        <f t="shared" si="1"/>
        <v/>
      </c>
      <c r="E669" s="10" t="str">
        <f t="shared" si="2"/>
        <v>OT Hours</v>
      </c>
      <c r="F669" s="10" t="str">
        <f>IFERROR(VLOOKUP(C669,'Employees List'!$B$1:$I$999,4,0),"")</f>
        <v/>
      </c>
      <c r="G669" s="10" t="str">
        <f t="shared" si="21"/>
        <v>#DIV/0!</v>
      </c>
      <c r="H669" s="72" t="str">
        <f>IFERROR(VLOOKUP(C669,'Employees List'!$B$2:$I$991,7,0),"")</f>
        <v/>
      </c>
      <c r="I669" s="73" t="str">
        <f>IFERROR(VLOOKUP(F669,'Employees List'!$E$1:$AE$991,6,0),"")</f>
        <v/>
      </c>
      <c r="J669" s="71">
        <f t="shared" si="3"/>
        <v>0</v>
      </c>
      <c r="K669" s="71">
        <f t="shared" si="4"/>
        <v>0</v>
      </c>
      <c r="L669" s="10" t="str">
        <f>IFERROR(VLOOKUP(B669,'Employees List'!$A$2:$K$991,11,0),"")</f>
        <v/>
      </c>
      <c r="M669" s="74" t="str">
        <f>IFERROR(VLOOKUP(D669,'Daily Attendance 25-26'!$A$4:BP999,5,0),"")</f>
        <v/>
      </c>
      <c r="N669" s="10" t="str">
        <f>IFERROR(VLOOKUP(E669,'Daily Attendance 25-26'!$A$1:$BO$1741,5,0),"")</f>
        <v/>
      </c>
      <c r="O669" s="10"/>
      <c r="P669" s="10"/>
      <c r="Q669" s="10" t="str">
        <f t="shared" si="5"/>
        <v>#DIV/0!</v>
      </c>
      <c r="R669" s="10" t="str">
        <f t="shared" si="6"/>
        <v>#DIV/0!</v>
      </c>
      <c r="S669" s="10" t="str">
        <f t="shared" si="23"/>
        <v>#DIV/0!</v>
      </c>
      <c r="T669" s="10" t="str">
        <f t="shared" si="22"/>
        <v>#DIV/0!</v>
      </c>
      <c r="U669" s="10" t="str">
        <f t="shared" si="8"/>
        <v>#DIV/0!</v>
      </c>
      <c r="V669" s="10"/>
      <c r="W669" s="10"/>
      <c r="X669" s="10"/>
      <c r="Y669" s="10"/>
      <c r="Z669" s="10"/>
      <c r="AA669" s="10"/>
      <c r="AB669" s="10"/>
      <c r="AC669" s="10"/>
      <c r="AD669" s="10"/>
      <c r="AE669" s="10"/>
      <c r="AF669" s="10"/>
    </row>
    <row r="670" hidden="1">
      <c r="A670" s="9" t="s">
        <v>887</v>
      </c>
      <c r="B670" s="84"/>
      <c r="C670" s="9"/>
      <c r="D670" s="9" t="str">
        <f t="shared" si="1"/>
        <v/>
      </c>
      <c r="E670" s="10" t="str">
        <f t="shared" si="2"/>
        <v>OT Hours</v>
      </c>
      <c r="F670" s="10" t="str">
        <f>IFERROR(VLOOKUP(C670,'Employees List'!$B$1:$I$999,4,0),"")</f>
        <v/>
      </c>
      <c r="G670" s="10" t="str">
        <f t="shared" si="21"/>
        <v>#DIV/0!</v>
      </c>
      <c r="H670" s="72" t="str">
        <f>IFERROR(VLOOKUP(C670,'Employees List'!$B$2:$I$991,7,0),"")</f>
        <v/>
      </c>
      <c r="I670" s="73" t="str">
        <f>IFERROR(VLOOKUP(F670,'Employees List'!$E$1:$AE$991,6,0),"")</f>
        <v/>
      </c>
      <c r="J670" s="71">
        <f t="shared" si="3"/>
        <v>0</v>
      </c>
      <c r="K670" s="71">
        <f t="shared" si="4"/>
        <v>0</v>
      </c>
      <c r="L670" s="10" t="str">
        <f>IFERROR(VLOOKUP(B670,'Employees List'!$A$2:$K$991,11,0),"")</f>
        <v/>
      </c>
      <c r="M670" s="74" t="str">
        <f>IFERROR(VLOOKUP(D670,'Daily Attendance 25-26'!$A$4:BP999,5,0),"")</f>
        <v/>
      </c>
      <c r="N670" s="10" t="str">
        <f>IFERROR(VLOOKUP(E670,'Daily Attendance 25-26'!$A$1:$BO$1741,5,0),"")</f>
        <v/>
      </c>
      <c r="O670" s="10"/>
      <c r="P670" s="10"/>
      <c r="Q670" s="10" t="str">
        <f t="shared" si="5"/>
        <v>#DIV/0!</v>
      </c>
      <c r="R670" s="10" t="str">
        <f t="shared" si="6"/>
        <v>#DIV/0!</v>
      </c>
      <c r="S670" s="10" t="str">
        <f t="shared" si="23"/>
        <v>#DIV/0!</v>
      </c>
      <c r="T670" s="10" t="str">
        <f t="shared" si="22"/>
        <v>#DIV/0!</v>
      </c>
      <c r="U670" s="10" t="str">
        <f t="shared" si="8"/>
        <v>#DIV/0!</v>
      </c>
      <c r="V670" s="10"/>
      <c r="W670" s="10"/>
      <c r="X670" s="10"/>
      <c r="Y670" s="10"/>
      <c r="Z670" s="10"/>
      <c r="AA670" s="10"/>
      <c r="AB670" s="10"/>
      <c r="AC670" s="10"/>
      <c r="AD670" s="10"/>
      <c r="AE670" s="10"/>
      <c r="AF670" s="10"/>
    </row>
    <row r="671" hidden="1">
      <c r="A671" s="9" t="s">
        <v>888</v>
      </c>
      <c r="B671" s="84"/>
      <c r="C671" s="9"/>
      <c r="D671" s="9" t="str">
        <f t="shared" si="1"/>
        <v/>
      </c>
      <c r="E671" s="10" t="str">
        <f t="shared" si="2"/>
        <v>OT Hours</v>
      </c>
      <c r="F671" s="10" t="str">
        <f>IFERROR(VLOOKUP(C671,'Employees List'!$B$1:$I$999,4,0),"")</f>
        <v/>
      </c>
      <c r="G671" s="10" t="str">
        <f t="shared" si="21"/>
        <v>#DIV/0!</v>
      </c>
      <c r="H671" s="72" t="str">
        <f>IFERROR(VLOOKUP(C671,'Employees List'!$B$2:$I$991,7,0),"")</f>
        <v/>
      </c>
      <c r="I671" s="73" t="str">
        <f>IFERROR(VLOOKUP(F671,'Employees List'!$E$1:$AE$991,6,0),"")</f>
        <v/>
      </c>
      <c r="J671" s="71">
        <f t="shared" si="3"/>
        <v>0</v>
      </c>
      <c r="K671" s="71">
        <f t="shared" si="4"/>
        <v>0</v>
      </c>
      <c r="L671" s="10" t="str">
        <f>IFERROR(VLOOKUP(B671,'Employees List'!$A$2:$K$991,11,0),"")</f>
        <v/>
      </c>
      <c r="M671" s="74" t="str">
        <f>IFERROR(VLOOKUP(D671,'Daily Attendance 25-26'!$A$4:BP999,5,0),"")</f>
        <v/>
      </c>
      <c r="N671" s="10" t="str">
        <f>IFERROR(VLOOKUP(E671,'Daily Attendance 25-26'!$A$1:$BO$1741,5,0),"")</f>
        <v/>
      </c>
      <c r="O671" s="10"/>
      <c r="P671" s="10"/>
      <c r="Q671" s="10" t="str">
        <f t="shared" si="5"/>
        <v>#DIV/0!</v>
      </c>
      <c r="R671" s="10" t="str">
        <f t="shared" si="6"/>
        <v>#DIV/0!</v>
      </c>
      <c r="S671" s="10" t="str">
        <f t="shared" si="23"/>
        <v>#DIV/0!</v>
      </c>
      <c r="T671" s="10" t="str">
        <f t="shared" si="22"/>
        <v>#DIV/0!</v>
      </c>
      <c r="U671" s="10" t="str">
        <f t="shared" si="8"/>
        <v>#DIV/0!</v>
      </c>
      <c r="V671" s="10"/>
      <c r="W671" s="10"/>
      <c r="X671" s="10"/>
      <c r="Y671" s="10"/>
      <c r="Z671" s="10"/>
      <c r="AA671" s="10"/>
      <c r="AB671" s="10"/>
      <c r="AC671" s="10"/>
      <c r="AD671" s="10"/>
      <c r="AE671" s="10"/>
      <c r="AF671" s="10"/>
    </row>
    <row r="672" hidden="1">
      <c r="A672" s="9" t="s">
        <v>889</v>
      </c>
      <c r="B672" s="84"/>
      <c r="C672" s="9"/>
      <c r="D672" s="9" t="str">
        <f t="shared" si="1"/>
        <v/>
      </c>
      <c r="E672" s="10" t="str">
        <f t="shared" si="2"/>
        <v>OT Hours</v>
      </c>
      <c r="F672" s="10" t="str">
        <f>IFERROR(VLOOKUP(C672,'Employees List'!$B$1:$I$999,4,0),"")</f>
        <v/>
      </c>
      <c r="G672" s="10" t="str">
        <f t="shared" si="21"/>
        <v>#DIV/0!</v>
      </c>
      <c r="H672" s="72" t="str">
        <f>IFERROR(VLOOKUP(C672,'Employees List'!$B$2:$I$991,7,0),"")</f>
        <v/>
      </c>
      <c r="I672" s="73" t="str">
        <f>IFERROR(VLOOKUP(F672,'Employees List'!$E$1:$AE$991,6,0),"")</f>
        <v/>
      </c>
      <c r="J672" s="71">
        <f t="shared" si="3"/>
        <v>0</v>
      </c>
      <c r="K672" s="71">
        <f t="shared" si="4"/>
        <v>0</v>
      </c>
      <c r="L672" s="10" t="str">
        <f>IFERROR(VLOOKUP(B672,'Employees List'!$A$2:$K$991,11,0),"")</f>
        <v/>
      </c>
      <c r="M672" s="74" t="str">
        <f>IFERROR(VLOOKUP(D672,'Daily Attendance 25-26'!$A$4:BP999,5,0),"")</f>
        <v/>
      </c>
      <c r="N672" s="10" t="str">
        <f>IFERROR(VLOOKUP(E672,'Daily Attendance 25-26'!$A$1:$BO$1741,5,0),"")</f>
        <v/>
      </c>
      <c r="O672" s="10"/>
      <c r="P672" s="10"/>
      <c r="Q672" s="10" t="str">
        <f t="shared" si="5"/>
        <v>#DIV/0!</v>
      </c>
      <c r="R672" s="10" t="str">
        <f t="shared" si="6"/>
        <v>#DIV/0!</v>
      </c>
      <c r="S672" s="10" t="str">
        <f t="shared" si="23"/>
        <v>#DIV/0!</v>
      </c>
      <c r="T672" s="10" t="str">
        <f t="shared" si="22"/>
        <v>#DIV/0!</v>
      </c>
      <c r="U672" s="10" t="str">
        <f t="shared" si="8"/>
        <v>#DIV/0!</v>
      </c>
      <c r="V672" s="10"/>
      <c r="W672" s="10"/>
      <c r="X672" s="10"/>
      <c r="Y672" s="10"/>
      <c r="Z672" s="10"/>
      <c r="AA672" s="10"/>
      <c r="AB672" s="10"/>
      <c r="AC672" s="10"/>
      <c r="AD672" s="10"/>
      <c r="AE672" s="10"/>
      <c r="AF672" s="10"/>
    </row>
    <row r="673" hidden="1">
      <c r="A673" s="9" t="s">
        <v>890</v>
      </c>
      <c r="B673" s="84"/>
      <c r="C673" s="9"/>
      <c r="D673" s="9" t="str">
        <f t="shared" si="1"/>
        <v/>
      </c>
      <c r="E673" s="10" t="str">
        <f t="shared" si="2"/>
        <v>OT Hours</v>
      </c>
      <c r="F673" s="10" t="str">
        <f>IFERROR(VLOOKUP(C673,'Employees List'!$B$1:$I$999,4,0),"")</f>
        <v/>
      </c>
      <c r="G673" s="10" t="str">
        <f t="shared" si="21"/>
        <v>#DIV/0!</v>
      </c>
      <c r="H673" s="72" t="str">
        <f>IFERROR(VLOOKUP(C673,'Employees List'!$B$2:$I$991,7,0),"")</f>
        <v/>
      </c>
      <c r="I673" s="73" t="str">
        <f>IFERROR(VLOOKUP(F673,'Employees List'!$E$1:$AE$991,6,0),"")</f>
        <v/>
      </c>
      <c r="J673" s="71">
        <f t="shared" si="3"/>
        <v>0</v>
      </c>
      <c r="K673" s="71">
        <f t="shared" si="4"/>
        <v>0</v>
      </c>
      <c r="L673" s="10" t="str">
        <f>IFERROR(VLOOKUP(B673,'Employees List'!$A$2:$K$991,11,0),"")</f>
        <v/>
      </c>
      <c r="M673" s="74" t="str">
        <f>IFERROR(VLOOKUP(D673,'Daily Attendance 25-26'!$A$4:BP999,5,0),"")</f>
        <v/>
      </c>
      <c r="N673" s="10" t="str">
        <f>IFERROR(VLOOKUP(E673,'Daily Attendance 25-26'!$A$1:$BO$1741,5,0),"")</f>
        <v/>
      </c>
      <c r="O673" s="10"/>
      <c r="P673" s="10"/>
      <c r="Q673" s="10" t="str">
        <f t="shared" si="5"/>
        <v>#DIV/0!</v>
      </c>
      <c r="R673" s="10" t="str">
        <f t="shared" si="6"/>
        <v>#DIV/0!</v>
      </c>
      <c r="S673" s="10" t="str">
        <f t="shared" si="23"/>
        <v>#DIV/0!</v>
      </c>
      <c r="T673" s="10" t="str">
        <f t="shared" si="22"/>
        <v>#DIV/0!</v>
      </c>
      <c r="U673" s="10" t="str">
        <f t="shared" si="8"/>
        <v>#DIV/0!</v>
      </c>
      <c r="V673" s="10"/>
      <c r="W673" s="10"/>
      <c r="X673" s="10"/>
      <c r="Y673" s="10"/>
      <c r="Z673" s="10"/>
      <c r="AA673" s="10"/>
      <c r="AB673" s="10"/>
      <c r="AC673" s="10"/>
      <c r="AD673" s="10"/>
      <c r="AE673" s="10"/>
      <c r="AF673" s="10"/>
    </row>
    <row r="674" hidden="1">
      <c r="A674" s="9" t="s">
        <v>891</v>
      </c>
      <c r="B674" s="84"/>
      <c r="C674" s="9"/>
      <c r="D674" s="9" t="str">
        <f t="shared" si="1"/>
        <v/>
      </c>
      <c r="E674" s="10" t="str">
        <f t="shared" si="2"/>
        <v>OT Hours</v>
      </c>
      <c r="F674" s="10" t="str">
        <f>IFERROR(VLOOKUP(C674,'Employees List'!$B$1:$I$999,4,0),"")</f>
        <v/>
      </c>
      <c r="G674" s="10" t="str">
        <f t="shared" si="21"/>
        <v>#DIV/0!</v>
      </c>
      <c r="H674" s="72" t="str">
        <f>IFERROR(VLOOKUP(C674,'Employees List'!$B$2:$I$991,7,0),"")</f>
        <v/>
      </c>
      <c r="I674" s="73" t="str">
        <f>IFERROR(VLOOKUP(F674,'Employees List'!$E$1:$AE$991,6,0),"")</f>
        <v/>
      </c>
      <c r="J674" s="71">
        <f t="shared" si="3"/>
        <v>0</v>
      </c>
      <c r="K674" s="71">
        <f t="shared" si="4"/>
        <v>0</v>
      </c>
      <c r="L674" s="10" t="str">
        <f>IFERROR(VLOOKUP(B674,'Employees List'!$A$2:$K$991,11,0),"")</f>
        <v/>
      </c>
      <c r="M674" s="74" t="str">
        <f>IFERROR(VLOOKUP(D674,'Daily Attendance 25-26'!$A$4:BP999,5,0),"")</f>
        <v/>
      </c>
      <c r="N674" s="10" t="str">
        <f>IFERROR(VLOOKUP(E674,'Daily Attendance 25-26'!$A$1:$BO$1741,5,0),"")</f>
        <v/>
      </c>
      <c r="O674" s="10"/>
      <c r="P674" s="10"/>
      <c r="Q674" s="10" t="str">
        <f t="shared" si="5"/>
        <v>#DIV/0!</v>
      </c>
      <c r="R674" s="10" t="str">
        <f t="shared" si="6"/>
        <v>#DIV/0!</v>
      </c>
      <c r="S674" s="10" t="str">
        <f t="shared" si="23"/>
        <v>#DIV/0!</v>
      </c>
      <c r="T674" s="10" t="str">
        <f t="shared" si="22"/>
        <v>#DIV/0!</v>
      </c>
      <c r="U674" s="10" t="str">
        <f t="shared" si="8"/>
        <v>#DIV/0!</v>
      </c>
      <c r="V674" s="10"/>
      <c r="W674" s="10"/>
      <c r="X674" s="10"/>
      <c r="Y674" s="10"/>
      <c r="Z674" s="10"/>
      <c r="AA674" s="10"/>
      <c r="AB674" s="10"/>
      <c r="AC674" s="10"/>
      <c r="AD674" s="10"/>
      <c r="AE674" s="10"/>
      <c r="AF674" s="10"/>
    </row>
    <row r="675" hidden="1">
      <c r="A675" s="9" t="s">
        <v>892</v>
      </c>
      <c r="B675" s="84"/>
      <c r="C675" s="9"/>
      <c r="D675" s="9" t="str">
        <f t="shared" si="1"/>
        <v/>
      </c>
      <c r="E675" s="10" t="str">
        <f t="shared" si="2"/>
        <v>OT Hours</v>
      </c>
      <c r="F675" s="10" t="str">
        <f>IFERROR(VLOOKUP(C675,'Employees List'!$B$1:$I$999,4,0),"")</f>
        <v/>
      </c>
      <c r="G675" s="10" t="str">
        <f t="shared" si="21"/>
        <v>#DIV/0!</v>
      </c>
      <c r="H675" s="72" t="str">
        <f>IFERROR(VLOOKUP(C675,'Employees List'!$B$2:$I$991,7,0),"")</f>
        <v/>
      </c>
      <c r="I675" s="73" t="str">
        <f>IFERROR(VLOOKUP(F675,'Employees List'!$E$1:$AE$991,6,0),"")</f>
        <v/>
      </c>
      <c r="J675" s="71">
        <f t="shared" si="3"/>
        <v>0</v>
      </c>
      <c r="K675" s="71">
        <f t="shared" si="4"/>
        <v>0</v>
      </c>
      <c r="L675" s="10" t="str">
        <f>IFERROR(VLOOKUP(B675,'Employees List'!$A$2:$K$991,11,0),"")</f>
        <v/>
      </c>
      <c r="M675" s="74" t="str">
        <f>IFERROR(VLOOKUP(D675,'Daily Attendance 25-26'!$A$4:BP999,5,0),"")</f>
        <v/>
      </c>
      <c r="N675" s="10" t="str">
        <f>IFERROR(VLOOKUP(E675,'Daily Attendance 25-26'!$A$1:$BO$1741,5,0),"")</f>
        <v/>
      </c>
      <c r="O675" s="10"/>
      <c r="P675" s="10"/>
      <c r="Q675" s="10" t="str">
        <f t="shared" si="5"/>
        <v>#DIV/0!</v>
      </c>
      <c r="R675" s="10" t="str">
        <f t="shared" si="6"/>
        <v>#DIV/0!</v>
      </c>
      <c r="S675" s="10" t="str">
        <f t="shared" si="23"/>
        <v>#DIV/0!</v>
      </c>
      <c r="T675" s="10" t="str">
        <f t="shared" si="22"/>
        <v>#DIV/0!</v>
      </c>
      <c r="U675" s="10" t="str">
        <f t="shared" si="8"/>
        <v>#DIV/0!</v>
      </c>
      <c r="V675" s="10"/>
      <c r="W675" s="10"/>
      <c r="X675" s="10"/>
      <c r="Y675" s="10"/>
      <c r="Z675" s="10"/>
      <c r="AA675" s="10"/>
      <c r="AB675" s="10"/>
      <c r="AC675" s="10"/>
      <c r="AD675" s="10"/>
      <c r="AE675" s="10"/>
      <c r="AF675" s="10"/>
    </row>
    <row r="676" hidden="1">
      <c r="A676" s="9" t="s">
        <v>893</v>
      </c>
      <c r="B676" s="84"/>
      <c r="C676" s="9"/>
      <c r="D676" s="9" t="str">
        <f t="shared" si="1"/>
        <v/>
      </c>
      <c r="E676" s="10" t="str">
        <f t="shared" si="2"/>
        <v>OT Hours</v>
      </c>
      <c r="F676" s="10" t="str">
        <f>IFERROR(VLOOKUP(C676,'Employees List'!$B$1:$I$999,4,0),"")</f>
        <v/>
      </c>
      <c r="G676" s="10" t="str">
        <f t="shared" si="21"/>
        <v>#DIV/0!</v>
      </c>
      <c r="H676" s="72" t="str">
        <f>IFERROR(VLOOKUP(C676,'Employees List'!$B$2:$I$991,7,0),"")</f>
        <v/>
      </c>
      <c r="I676" s="73" t="str">
        <f>IFERROR(VLOOKUP(F676,'Employees List'!$E$1:$AE$991,6,0),"")</f>
        <v/>
      </c>
      <c r="J676" s="71">
        <f t="shared" si="3"/>
        <v>0</v>
      </c>
      <c r="K676" s="71">
        <f t="shared" si="4"/>
        <v>0</v>
      </c>
      <c r="L676" s="10" t="str">
        <f>IFERROR(VLOOKUP(B676,'Employees List'!$A$2:$K$991,11,0),"")</f>
        <v/>
      </c>
      <c r="M676" s="74" t="str">
        <f>IFERROR(VLOOKUP(D676,'Daily Attendance 25-26'!$A$4:BP999,5,0),"")</f>
        <v/>
      </c>
      <c r="N676" s="10" t="str">
        <f>IFERROR(VLOOKUP(E676,'Daily Attendance 25-26'!$A$1:$BO$1741,5,0),"")</f>
        <v/>
      </c>
      <c r="O676" s="10"/>
      <c r="P676" s="10"/>
      <c r="Q676" s="10" t="str">
        <f t="shared" si="5"/>
        <v>#DIV/0!</v>
      </c>
      <c r="R676" s="10" t="str">
        <f t="shared" si="6"/>
        <v>#DIV/0!</v>
      </c>
      <c r="S676" s="10" t="str">
        <f t="shared" si="23"/>
        <v>#DIV/0!</v>
      </c>
      <c r="T676" s="10" t="str">
        <f t="shared" si="22"/>
        <v>#DIV/0!</v>
      </c>
      <c r="U676" s="10" t="str">
        <f t="shared" si="8"/>
        <v>#DIV/0!</v>
      </c>
      <c r="V676" s="10"/>
      <c r="W676" s="10"/>
      <c r="X676" s="10"/>
      <c r="Y676" s="10"/>
      <c r="Z676" s="10"/>
      <c r="AA676" s="10"/>
      <c r="AB676" s="10"/>
      <c r="AC676" s="10"/>
      <c r="AD676" s="10"/>
      <c r="AE676" s="10"/>
      <c r="AF676" s="10"/>
    </row>
    <row r="677" hidden="1">
      <c r="A677" s="9" t="s">
        <v>894</v>
      </c>
      <c r="B677" s="84"/>
      <c r="C677" s="9"/>
      <c r="D677" s="9" t="str">
        <f t="shared" si="1"/>
        <v/>
      </c>
      <c r="E677" s="10" t="str">
        <f t="shared" si="2"/>
        <v>OT Hours</v>
      </c>
      <c r="F677" s="10" t="str">
        <f>IFERROR(VLOOKUP(C677,'Employees List'!$B$1:$I$999,4,0),"")</f>
        <v/>
      </c>
      <c r="G677" s="10" t="str">
        <f t="shared" si="21"/>
        <v>#DIV/0!</v>
      </c>
      <c r="H677" s="72" t="str">
        <f>IFERROR(VLOOKUP(C677,'Employees List'!$B$2:$I$991,7,0),"")</f>
        <v/>
      </c>
      <c r="I677" s="73" t="str">
        <f>IFERROR(VLOOKUP(F677,'Employees List'!$E$1:$AE$991,6,0),"")</f>
        <v/>
      </c>
      <c r="J677" s="71">
        <f t="shared" si="3"/>
        <v>0</v>
      </c>
      <c r="K677" s="71">
        <f t="shared" si="4"/>
        <v>0</v>
      </c>
      <c r="L677" s="10" t="str">
        <f>IFERROR(VLOOKUP(B677,'Employees List'!$A$2:$K$991,11,0),"")</f>
        <v/>
      </c>
      <c r="M677" s="74" t="str">
        <f>IFERROR(VLOOKUP(D677,'Daily Attendance 25-26'!$A$4:BP999,5,0),"")</f>
        <v/>
      </c>
      <c r="N677" s="10" t="str">
        <f>IFERROR(VLOOKUP(E677,'Daily Attendance 25-26'!$A$1:$BO$1741,5,0),"")</f>
        <v/>
      </c>
      <c r="O677" s="10"/>
      <c r="P677" s="10"/>
      <c r="Q677" s="10" t="str">
        <f t="shared" si="5"/>
        <v>#DIV/0!</v>
      </c>
      <c r="R677" s="10" t="str">
        <f t="shared" si="6"/>
        <v>#DIV/0!</v>
      </c>
      <c r="S677" s="10" t="str">
        <f t="shared" si="23"/>
        <v>#DIV/0!</v>
      </c>
      <c r="T677" s="10" t="str">
        <f t="shared" si="22"/>
        <v>#DIV/0!</v>
      </c>
      <c r="U677" s="10" t="str">
        <f t="shared" si="8"/>
        <v>#DIV/0!</v>
      </c>
      <c r="V677" s="10"/>
      <c r="W677" s="10"/>
      <c r="X677" s="10"/>
      <c r="Y677" s="10"/>
      <c r="Z677" s="10"/>
      <c r="AA677" s="10"/>
      <c r="AB677" s="10"/>
      <c r="AC677" s="10"/>
      <c r="AD677" s="10"/>
      <c r="AE677" s="10"/>
      <c r="AF677" s="10"/>
    </row>
    <row r="678" hidden="1">
      <c r="A678" s="9" t="s">
        <v>895</v>
      </c>
      <c r="B678" s="84"/>
      <c r="C678" s="9"/>
      <c r="D678" s="9" t="str">
        <f t="shared" si="1"/>
        <v/>
      </c>
      <c r="E678" s="10" t="str">
        <f t="shared" si="2"/>
        <v>OT Hours</v>
      </c>
      <c r="F678" s="10" t="str">
        <f>IFERROR(VLOOKUP(C678,'Employees List'!$B$1:$I$999,4,0),"")</f>
        <v/>
      </c>
      <c r="G678" s="10" t="str">
        <f t="shared" si="21"/>
        <v>#DIV/0!</v>
      </c>
      <c r="H678" s="72" t="str">
        <f>IFERROR(VLOOKUP(C678,'Employees List'!$B$2:$I$991,7,0),"")</f>
        <v/>
      </c>
      <c r="I678" s="73" t="str">
        <f>IFERROR(VLOOKUP(F678,'Employees List'!$E$1:$AE$991,6,0),"")</f>
        <v/>
      </c>
      <c r="J678" s="71">
        <f t="shared" si="3"/>
        <v>0</v>
      </c>
      <c r="K678" s="71">
        <f t="shared" si="4"/>
        <v>0</v>
      </c>
      <c r="L678" s="10" t="str">
        <f>IFERROR(VLOOKUP(B678,'Employees List'!$A$2:$K$991,11,0),"")</f>
        <v/>
      </c>
      <c r="M678" s="74" t="str">
        <f>IFERROR(VLOOKUP(D678,'Daily Attendance 25-26'!$A$4:BP999,5,0),"")</f>
        <v/>
      </c>
      <c r="N678" s="10" t="str">
        <f>IFERROR(VLOOKUP(E678,'Daily Attendance 25-26'!$A$1:$BO$1741,5,0),"")</f>
        <v/>
      </c>
      <c r="O678" s="10"/>
      <c r="P678" s="10"/>
      <c r="Q678" s="10" t="str">
        <f t="shared" si="5"/>
        <v>#DIV/0!</v>
      </c>
      <c r="R678" s="10" t="str">
        <f t="shared" si="6"/>
        <v>#DIV/0!</v>
      </c>
      <c r="S678" s="10" t="str">
        <f t="shared" si="23"/>
        <v>#DIV/0!</v>
      </c>
      <c r="T678" s="10" t="str">
        <f t="shared" si="22"/>
        <v>#DIV/0!</v>
      </c>
      <c r="U678" s="10" t="str">
        <f t="shared" si="8"/>
        <v>#DIV/0!</v>
      </c>
      <c r="V678" s="10"/>
      <c r="W678" s="10"/>
      <c r="X678" s="10"/>
      <c r="Y678" s="10"/>
      <c r="Z678" s="10"/>
      <c r="AA678" s="10"/>
      <c r="AB678" s="10"/>
      <c r="AC678" s="10"/>
      <c r="AD678" s="10"/>
      <c r="AE678" s="10"/>
      <c r="AF678" s="10"/>
    </row>
    <row r="679" hidden="1">
      <c r="A679" s="9" t="s">
        <v>896</v>
      </c>
      <c r="B679" s="84"/>
      <c r="C679" s="9"/>
      <c r="D679" s="9" t="str">
        <f t="shared" si="1"/>
        <v/>
      </c>
      <c r="E679" s="10" t="str">
        <f t="shared" si="2"/>
        <v>OT Hours</v>
      </c>
      <c r="F679" s="10" t="str">
        <f>IFERROR(VLOOKUP(C679,'Employees List'!$B$1:$I$999,4,0),"")</f>
        <v/>
      </c>
      <c r="G679" s="10" t="str">
        <f t="shared" si="21"/>
        <v>#DIV/0!</v>
      </c>
      <c r="H679" s="72" t="str">
        <f>IFERROR(VLOOKUP(C679,'Employees List'!$B$2:$I$991,7,0),"")</f>
        <v/>
      </c>
      <c r="I679" s="73" t="str">
        <f>IFERROR(VLOOKUP(F679,'Employees List'!$E$1:$AE$991,6,0),"")</f>
        <v/>
      </c>
      <c r="J679" s="71">
        <f t="shared" si="3"/>
        <v>0</v>
      </c>
      <c r="K679" s="71">
        <f t="shared" si="4"/>
        <v>0</v>
      </c>
      <c r="L679" s="10" t="str">
        <f>IFERROR(VLOOKUP(B679,'Employees List'!$A$2:$K$991,11,0),"")</f>
        <v/>
      </c>
      <c r="M679" s="74" t="str">
        <f>IFERROR(VLOOKUP(D679,'Daily Attendance 25-26'!$A$4:BP999,5,0),"")</f>
        <v/>
      </c>
      <c r="N679" s="10" t="str">
        <f>IFERROR(VLOOKUP(E679,'Daily Attendance 25-26'!$A$1:$BO$1741,5,0),"")</f>
        <v/>
      </c>
      <c r="O679" s="10"/>
      <c r="P679" s="10"/>
      <c r="Q679" s="10" t="str">
        <f t="shared" si="5"/>
        <v>#DIV/0!</v>
      </c>
      <c r="R679" s="10" t="str">
        <f t="shared" si="6"/>
        <v>#DIV/0!</v>
      </c>
      <c r="S679" s="10" t="str">
        <f t="shared" si="23"/>
        <v>#DIV/0!</v>
      </c>
      <c r="T679" s="10" t="str">
        <f t="shared" si="22"/>
        <v>#DIV/0!</v>
      </c>
      <c r="U679" s="10" t="str">
        <f t="shared" si="8"/>
        <v>#DIV/0!</v>
      </c>
      <c r="V679" s="10"/>
      <c r="W679" s="10"/>
      <c r="X679" s="10"/>
      <c r="Y679" s="10"/>
      <c r="Z679" s="10"/>
      <c r="AA679" s="10"/>
      <c r="AB679" s="10"/>
      <c r="AC679" s="10"/>
      <c r="AD679" s="10"/>
      <c r="AE679" s="10"/>
      <c r="AF679" s="10"/>
    </row>
    <row r="680" hidden="1">
      <c r="A680" s="9" t="s">
        <v>897</v>
      </c>
      <c r="B680" s="84"/>
      <c r="C680" s="9"/>
      <c r="D680" s="9" t="str">
        <f t="shared" si="1"/>
        <v/>
      </c>
      <c r="E680" s="10" t="str">
        <f t="shared" si="2"/>
        <v>OT Hours</v>
      </c>
      <c r="F680" s="10" t="str">
        <f>IFERROR(VLOOKUP(C680,'Employees List'!$B$1:$I$999,4,0),"")</f>
        <v/>
      </c>
      <c r="G680" s="10" t="str">
        <f t="shared" si="21"/>
        <v>#DIV/0!</v>
      </c>
      <c r="H680" s="72" t="str">
        <f>IFERROR(VLOOKUP(C680,'Employees List'!$B$2:$I$991,7,0),"")</f>
        <v/>
      </c>
      <c r="I680" s="73" t="str">
        <f>IFERROR(VLOOKUP(F680,'Employees List'!$E$1:$AE$991,6,0),"")</f>
        <v/>
      </c>
      <c r="J680" s="71">
        <f t="shared" si="3"/>
        <v>0</v>
      </c>
      <c r="K680" s="71">
        <f t="shared" si="4"/>
        <v>0</v>
      </c>
      <c r="L680" s="10" t="str">
        <f>IFERROR(VLOOKUP(B680,'Employees List'!$A$2:$K$991,11,0),"")</f>
        <v/>
      </c>
      <c r="M680" s="74" t="str">
        <f>IFERROR(VLOOKUP(D680,'Daily Attendance 25-26'!$A$4:BP999,5,0),"")</f>
        <v/>
      </c>
      <c r="N680" s="10" t="str">
        <f>IFERROR(VLOOKUP(E680,'Daily Attendance 25-26'!$A$1:$BO$1741,5,0),"")</f>
        <v/>
      </c>
      <c r="O680" s="10"/>
      <c r="P680" s="10"/>
      <c r="Q680" s="10" t="str">
        <f t="shared" si="5"/>
        <v>#DIV/0!</v>
      </c>
      <c r="R680" s="10" t="str">
        <f t="shared" si="6"/>
        <v>#DIV/0!</v>
      </c>
      <c r="S680" s="10" t="str">
        <f t="shared" si="23"/>
        <v>#DIV/0!</v>
      </c>
      <c r="T680" s="10" t="str">
        <f t="shared" si="22"/>
        <v>#DIV/0!</v>
      </c>
      <c r="U680" s="10" t="str">
        <f t="shared" si="8"/>
        <v>#DIV/0!</v>
      </c>
      <c r="V680" s="10"/>
      <c r="W680" s="10"/>
      <c r="X680" s="10"/>
      <c r="Y680" s="10"/>
      <c r="Z680" s="10"/>
      <c r="AA680" s="10"/>
      <c r="AB680" s="10"/>
      <c r="AC680" s="10"/>
      <c r="AD680" s="10"/>
      <c r="AE680" s="10"/>
      <c r="AF680" s="10"/>
    </row>
    <row r="681" hidden="1">
      <c r="A681" s="9" t="s">
        <v>898</v>
      </c>
      <c r="B681" s="84"/>
      <c r="C681" s="9"/>
      <c r="D681" s="9" t="str">
        <f t="shared" si="1"/>
        <v/>
      </c>
      <c r="E681" s="10" t="str">
        <f t="shared" si="2"/>
        <v>OT Hours</v>
      </c>
      <c r="F681" s="10" t="str">
        <f>IFERROR(VLOOKUP(C681,'Employees List'!$B$1:$I$999,4,0),"")</f>
        <v/>
      </c>
      <c r="G681" s="10" t="str">
        <f t="shared" si="21"/>
        <v>#DIV/0!</v>
      </c>
      <c r="H681" s="72" t="str">
        <f>IFERROR(VLOOKUP(C681,'Employees List'!$B$2:$I$991,7,0),"")</f>
        <v/>
      </c>
      <c r="I681" s="73" t="str">
        <f>IFERROR(VLOOKUP(F681,'Employees List'!$E$1:$AE$991,6,0),"")</f>
        <v/>
      </c>
      <c r="J681" s="71">
        <f t="shared" si="3"/>
        <v>0</v>
      </c>
      <c r="K681" s="71">
        <f t="shared" si="4"/>
        <v>0</v>
      </c>
      <c r="L681" s="10" t="str">
        <f>IFERROR(VLOOKUP(B681,'Employees List'!$A$2:$K$991,11,0),"")</f>
        <v/>
      </c>
      <c r="M681" s="74" t="str">
        <f>IFERROR(VLOOKUP(D681,'Daily Attendance 25-26'!$A$4:BP999,5,0),"")</f>
        <v/>
      </c>
      <c r="N681" s="10" t="str">
        <f>IFERROR(VLOOKUP(E681,'Daily Attendance 25-26'!$A$1:$BO$1741,5,0),"")</f>
        <v/>
      </c>
      <c r="O681" s="10"/>
      <c r="P681" s="10"/>
      <c r="Q681" s="10" t="str">
        <f t="shared" si="5"/>
        <v>#DIV/0!</v>
      </c>
      <c r="R681" s="10" t="str">
        <f t="shared" si="6"/>
        <v>#DIV/0!</v>
      </c>
      <c r="S681" s="10" t="str">
        <f t="shared" si="23"/>
        <v>#DIV/0!</v>
      </c>
      <c r="T681" s="10" t="str">
        <f t="shared" si="22"/>
        <v>#DIV/0!</v>
      </c>
      <c r="U681" s="10" t="str">
        <f t="shared" si="8"/>
        <v>#DIV/0!</v>
      </c>
      <c r="V681" s="10"/>
      <c r="W681" s="10"/>
      <c r="X681" s="10"/>
      <c r="Y681" s="10"/>
      <c r="Z681" s="10"/>
      <c r="AA681" s="10"/>
      <c r="AB681" s="10"/>
      <c r="AC681" s="10"/>
      <c r="AD681" s="10"/>
      <c r="AE681" s="10"/>
      <c r="AF681" s="10"/>
    </row>
    <row r="682" hidden="1">
      <c r="A682" s="9" t="s">
        <v>899</v>
      </c>
      <c r="B682" s="84"/>
      <c r="C682" s="9"/>
      <c r="D682" s="9" t="str">
        <f t="shared" si="1"/>
        <v/>
      </c>
      <c r="E682" s="10" t="str">
        <f t="shared" si="2"/>
        <v>OT Hours</v>
      </c>
      <c r="F682" s="10" t="str">
        <f>IFERROR(VLOOKUP(C682,'Employees List'!$B$1:$I$999,4,0),"")</f>
        <v/>
      </c>
      <c r="G682" s="10" t="str">
        <f t="shared" si="21"/>
        <v>#DIV/0!</v>
      </c>
      <c r="H682" s="72" t="str">
        <f>IFERROR(VLOOKUP(C682,'Employees List'!$B$2:$I$991,7,0),"")</f>
        <v/>
      </c>
      <c r="I682" s="73" t="str">
        <f>IFERROR(VLOOKUP(F682,'Employees List'!$E$1:$AE$991,6,0),"")</f>
        <v/>
      </c>
      <c r="J682" s="71">
        <f t="shared" si="3"/>
        <v>0</v>
      </c>
      <c r="K682" s="71">
        <f t="shared" si="4"/>
        <v>0</v>
      </c>
      <c r="L682" s="10" t="str">
        <f>IFERROR(VLOOKUP(B682,'Employees List'!$A$2:$K$991,11,0),"")</f>
        <v/>
      </c>
      <c r="M682" s="74" t="str">
        <f>IFERROR(VLOOKUP(D682,'Daily Attendance 25-26'!$A$4:BP999,5,0),"")</f>
        <v/>
      </c>
      <c r="N682" s="10" t="str">
        <f>IFERROR(VLOOKUP(E682,'Daily Attendance 25-26'!$A$1:$BO$1741,5,0),"")</f>
        <v/>
      </c>
      <c r="O682" s="10"/>
      <c r="P682" s="10"/>
      <c r="Q682" s="10" t="str">
        <f t="shared" si="5"/>
        <v>#DIV/0!</v>
      </c>
      <c r="R682" s="10" t="str">
        <f t="shared" si="6"/>
        <v>#DIV/0!</v>
      </c>
      <c r="S682" s="10" t="str">
        <f t="shared" si="23"/>
        <v>#DIV/0!</v>
      </c>
      <c r="T682" s="10" t="str">
        <f t="shared" si="22"/>
        <v>#DIV/0!</v>
      </c>
      <c r="U682" s="10" t="str">
        <f t="shared" si="8"/>
        <v>#DIV/0!</v>
      </c>
      <c r="V682" s="10"/>
      <c r="W682" s="10"/>
      <c r="X682" s="10"/>
      <c r="Y682" s="10"/>
      <c r="Z682" s="10"/>
      <c r="AA682" s="10"/>
      <c r="AB682" s="10"/>
      <c r="AC682" s="10"/>
      <c r="AD682" s="10"/>
      <c r="AE682" s="10"/>
      <c r="AF682" s="10"/>
    </row>
    <row r="683" hidden="1">
      <c r="A683" s="9" t="s">
        <v>900</v>
      </c>
      <c r="B683" s="84"/>
      <c r="C683" s="9"/>
      <c r="D683" s="9" t="str">
        <f t="shared" si="1"/>
        <v/>
      </c>
      <c r="E683" s="10" t="str">
        <f t="shared" si="2"/>
        <v>OT Hours</v>
      </c>
      <c r="F683" s="10" t="str">
        <f>IFERROR(VLOOKUP(C683,'Employees List'!$B$1:$I$999,4,0),"")</f>
        <v/>
      </c>
      <c r="G683" s="10" t="str">
        <f t="shared" si="21"/>
        <v>#DIV/0!</v>
      </c>
      <c r="H683" s="72" t="str">
        <f>IFERROR(VLOOKUP(C683,'Employees List'!$B$2:$I$991,7,0),"")</f>
        <v/>
      </c>
      <c r="I683" s="73" t="str">
        <f>IFERROR(VLOOKUP(F683,'Employees List'!$E$1:$AE$991,6,0),"")</f>
        <v/>
      </c>
      <c r="J683" s="71">
        <f t="shared" si="3"/>
        <v>0</v>
      </c>
      <c r="K683" s="71">
        <f t="shared" si="4"/>
        <v>0</v>
      </c>
      <c r="L683" s="10" t="str">
        <f>IFERROR(VLOOKUP(B683,'Employees List'!$A$2:$K$991,11,0),"")</f>
        <v/>
      </c>
      <c r="M683" s="74" t="str">
        <f>IFERROR(VLOOKUP(D683,'Daily Attendance 25-26'!$A$4:BP999,5,0),"")</f>
        <v/>
      </c>
      <c r="N683" s="10" t="str">
        <f>IFERROR(VLOOKUP(E683,'Daily Attendance 25-26'!$A$1:$BO$1741,5,0),"")</f>
        <v/>
      </c>
      <c r="O683" s="10"/>
      <c r="P683" s="10"/>
      <c r="Q683" s="10" t="str">
        <f t="shared" si="5"/>
        <v>#DIV/0!</v>
      </c>
      <c r="R683" s="10" t="str">
        <f t="shared" si="6"/>
        <v>#DIV/0!</v>
      </c>
      <c r="S683" s="10" t="str">
        <f t="shared" si="23"/>
        <v>#DIV/0!</v>
      </c>
      <c r="T683" s="10" t="str">
        <f t="shared" si="22"/>
        <v>#DIV/0!</v>
      </c>
      <c r="U683" s="10" t="str">
        <f t="shared" si="8"/>
        <v>#DIV/0!</v>
      </c>
      <c r="V683" s="10"/>
      <c r="W683" s="10"/>
      <c r="X683" s="10"/>
      <c r="Y683" s="10"/>
      <c r="Z683" s="10"/>
      <c r="AA683" s="10"/>
      <c r="AB683" s="10"/>
      <c r="AC683" s="10"/>
      <c r="AD683" s="10"/>
      <c r="AE683" s="10"/>
      <c r="AF683" s="10"/>
    </row>
    <row r="684" hidden="1">
      <c r="A684" s="9" t="s">
        <v>901</v>
      </c>
      <c r="B684" s="84"/>
      <c r="C684" s="9"/>
      <c r="D684" s="9" t="str">
        <f t="shared" si="1"/>
        <v/>
      </c>
      <c r="E684" s="10" t="str">
        <f t="shared" si="2"/>
        <v>OT Hours</v>
      </c>
      <c r="F684" s="10" t="str">
        <f>IFERROR(VLOOKUP(C684,'Employees List'!$B$1:$I$999,4,0),"")</f>
        <v/>
      </c>
      <c r="G684" s="10" t="str">
        <f t="shared" si="21"/>
        <v>#DIV/0!</v>
      </c>
      <c r="H684" s="72" t="str">
        <f>IFERROR(VLOOKUP(C684,'Employees List'!$B$2:$I$991,7,0),"")</f>
        <v/>
      </c>
      <c r="I684" s="73" t="str">
        <f>IFERROR(VLOOKUP(F684,'Employees List'!$E$1:$AE$991,6,0),"")</f>
        <v/>
      </c>
      <c r="J684" s="71">
        <f t="shared" si="3"/>
        <v>0</v>
      </c>
      <c r="K684" s="71">
        <f t="shared" si="4"/>
        <v>0</v>
      </c>
      <c r="L684" s="10" t="str">
        <f>IFERROR(VLOOKUP(B684,'Employees List'!$A$2:$K$991,11,0),"")</f>
        <v/>
      </c>
      <c r="M684" s="74" t="str">
        <f>IFERROR(VLOOKUP(D684,'Daily Attendance 25-26'!$A$4:BP999,5,0),"")</f>
        <v/>
      </c>
      <c r="N684" s="10" t="str">
        <f>IFERROR(VLOOKUP(E684,'Daily Attendance 25-26'!$A$1:$BO$1741,5,0),"")</f>
        <v/>
      </c>
      <c r="O684" s="10"/>
      <c r="P684" s="10"/>
      <c r="Q684" s="10" t="str">
        <f t="shared" si="5"/>
        <v>#DIV/0!</v>
      </c>
      <c r="R684" s="10" t="str">
        <f t="shared" si="6"/>
        <v>#DIV/0!</v>
      </c>
      <c r="S684" s="10" t="str">
        <f t="shared" si="23"/>
        <v>#DIV/0!</v>
      </c>
      <c r="T684" s="10" t="str">
        <f t="shared" si="22"/>
        <v>#DIV/0!</v>
      </c>
      <c r="U684" s="10" t="str">
        <f t="shared" si="8"/>
        <v>#DIV/0!</v>
      </c>
      <c r="V684" s="10"/>
      <c r="W684" s="10"/>
      <c r="X684" s="10"/>
      <c r="Y684" s="10"/>
      <c r="Z684" s="10"/>
      <c r="AA684" s="10"/>
      <c r="AB684" s="10"/>
      <c r="AC684" s="10"/>
      <c r="AD684" s="10"/>
      <c r="AE684" s="10"/>
      <c r="AF684" s="10"/>
    </row>
    <row r="685" hidden="1">
      <c r="A685" s="9" t="s">
        <v>902</v>
      </c>
      <c r="B685" s="84"/>
      <c r="C685" s="9"/>
      <c r="D685" s="9" t="str">
        <f t="shared" si="1"/>
        <v/>
      </c>
      <c r="E685" s="10" t="str">
        <f t="shared" si="2"/>
        <v>OT Hours</v>
      </c>
      <c r="F685" s="10" t="str">
        <f>IFERROR(VLOOKUP(C685,'Employees List'!$B$1:$I$999,4,0),"")</f>
        <v/>
      </c>
      <c r="G685" s="10" t="str">
        <f t="shared" si="21"/>
        <v>#DIV/0!</v>
      </c>
      <c r="H685" s="72" t="str">
        <f>IFERROR(VLOOKUP(C685,'Employees List'!$B$2:$I$991,7,0),"")</f>
        <v/>
      </c>
      <c r="I685" s="73" t="str">
        <f>IFERROR(VLOOKUP(F685,'Employees List'!$E$1:$AE$991,6,0),"")</f>
        <v/>
      </c>
      <c r="J685" s="71">
        <f t="shared" si="3"/>
        <v>0</v>
      </c>
      <c r="K685" s="71">
        <f t="shared" si="4"/>
        <v>0</v>
      </c>
      <c r="L685" s="10" t="str">
        <f>IFERROR(VLOOKUP(B685,'Employees List'!$A$2:$K$991,11,0),"")</f>
        <v/>
      </c>
      <c r="M685" s="74" t="str">
        <f>IFERROR(VLOOKUP(D685,'Daily Attendance 25-26'!$A$4:BP999,5,0),"")</f>
        <v/>
      </c>
      <c r="N685" s="10" t="str">
        <f>IFERROR(VLOOKUP(E685,'Daily Attendance 25-26'!$A$1:$BO$1741,5,0),"")</f>
        <v/>
      </c>
      <c r="O685" s="10"/>
      <c r="P685" s="10"/>
      <c r="Q685" s="10" t="str">
        <f t="shared" si="5"/>
        <v>#DIV/0!</v>
      </c>
      <c r="R685" s="10" t="str">
        <f t="shared" si="6"/>
        <v>#DIV/0!</v>
      </c>
      <c r="S685" s="10" t="str">
        <f t="shared" si="23"/>
        <v>#DIV/0!</v>
      </c>
      <c r="T685" s="10" t="str">
        <f t="shared" si="22"/>
        <v>#DIV/0!</v>
      </c>
      <c r="U685" s="10" t="str">
        <f t="shared" si="8"/>
        <v>#DIV/0!</v>
      </c>
      <c r="V685" s="10"/>
      <c r="W685" s="10"/>
      <c r="X685" s="10"/>
      <c r="Y685" s="10"/>
      <c r="Z685" s="10"/>
      <c r="AA685" s="10"/>
      <c r="AB685" s="10"/>
      <c r="AC685" s="10"/>
      <c r="AD685" s="10"/>
      <c r="AE685" s="10"/>
      <c r="AF685" s="10"/>
    </row>
    <row r="686" hidden="1">
      <c r="A686" s="9" t="s">
        <v>903</v>
      </c>
      <c r="B686" s="84"/>
      <c r="C686" s="9"/>
      <c r="D686" s="9" t="str">
        <f t="shared" si="1"/>
        <v/>
      </c>
      <c r="E686" s="10" t="str">
        <f t="shared" si="2"/>
        <v>OT Hours</v>
      </c>
      <c r="F686" s="10" t="str">
        <f>IFERROR(VLOOKUP(C686,'Employees List'!$B$1:$I$999,4,0),"")</f>
        <v/>
      </c>
      <c r="G686" s="10" t="str">
        <f t="shared" si="21"/>
        <v>#DIV/0!</v>
      </c>
      <c r="H686" s="72" t="str">
        <f>IFERROR(VLOOKUP(C686,'Employees List'!$B$2:$I$991,7,0),"")</f>
        <v/>
      </c>
      <c r="I686" s="73" t="str">
        <f>IFERROR(VLOOKUP(F686,'Employees List'!$E$1:$AE$991,6,0),"")</f>
        <v/>
      </c>
      <c r="J686" s="71">
        <f t="shared" si="3"/>
        <v>0</v>
      </c>
      <c r="K686" s="71">
        <f t="shared" si="4"/>
        <v>0</v>
      </c>
      <c r="L686" s="10" t="str">
        <f>IFERROR(VLOOKUP(B686,'Employees List'!$A$2:$K$991,11,0),"")</f>
        <v/>
      </c>
      <c r="M686" s="74" t="str">
        <f>IFERROR(VLOOKUP(D686,'Daily Attendance 25-26'!$A$4:BP999,5,0),"")</f>
        <v/>
      </c>
      <c r="N686" s="10" t="str">
        <f>IFERROR(VLOOKUP(E686,'Daily Attendance 25-26'!$A$1:$BO$1741,5,0),"")</f>
        <v/>
      </c>
      <c r="O686" s="10"/>
      <c r="P686" s="10"/>
      <c r="Q686" s="10" t="str">
        <f t="shared" si="5"/>
        <v>#DIV/0!</v>
      </c>
      <c r="R686" s="10" t="str">
        <f t="shared" si="6"/>
        <v>#DIV/0!</v>
      </c>
      <c r="S686" s="10" t="str">
        <f t="shared" si="23"/>
        <v>#DIV/0!</v>
      </c>
      <c r="T686" s="10" t="str">
        <f t="shared" si="22"/>
        <v>#DIV/0!</v>
      </c>
      <c r="U686" s="10" t="str">
        <f t="shared" si="8"/>
        <v>#DIV/0!</v>
      </c>
      <c r="V686" s="10"/>
      <c r="W686" s="10"/>
      <c r="X686" s="10"/>
      <c r="Y686" s="10"/>
      <c r="Z686" s="10"/>
      <c r="AA686" s="10"/>
      <c r="AB686" s="10"/>
      <c r="AC686" s="10"/>
      <c r="AD686" s="10"/>
      <c r="AE686" s="10"/>
      <c r="AF686" s="10"/>
    </row>
    <row r="687" hidden="1">
      <c r="A687" s="9" t="s">
        <v>904</v>
      </c>
      <c r="B687" s="84"/>
      <c r="C687" s="9"/>
      <c r="D687" s="9" t="str">
        <f t="shared" si="1"/>
        <v/>
      </c>
      <c r="E687" s="10" t="str">
        <f t="shared" si="2"/>
        <v>OT Hours</v>
      </c>
      <c r="F687" s="10" t="str">
        <f>IFERROR(VLOOKUP(C687,'Employees List'!$B$1:$I$999,4,0),"")</f>
        <v/>
      </c>
      <c r="G687" s="10" t="str">
        <f t="shared" si="21"/>
        <v>#DIV/0!</v>
      </c>
      <c r="H687" s="72" t="str">
        <f>IFERROR(VLOOKUP(C687,'Employees List'!$B$2:$I$991,7,0),"")</f>
        <v/>
      </c>
      <c r="I687" s="73" t="str">
        <f>IFERROR(VLOOKUP(F687,'Employees List'!$E$1:$AE$991,6,0),"")</f>
        <v/>
      </c>
      <c r="J687" s="71">
        <f t="shared" si="3"/>
        <v>0</v>
      </c>
      <c r="K687" s="71">
        <f t="shared" si="4"/>
        <v>0</v>
      </c>
      <c r="L687" s="10" t="str">
        <f>IFERROR(VLOOKUP(B687,'Employees List'!$A$2:$K$991,11,0),"")</f>
        <v/>
      </c>
      <c r="M687" s="74" t="str">
        <f>IFERROR(VLOOKUP(D687,'Daily Attendance 25-26'!$A$4:BP999,5,0),"")</f>
        <v/>
      </c>
      <c r="N687" s="10" t="str">
        <f>IFERROR(VLOOKUP(E687,'Daily Attendance 25-26'!$A$1:$BO$1741,5,0),"")</f>
        <v/>
      </c>
      <c r="O687" s="10"/>
      <c r="P687" s="10"/>
      <c r="Q687" s="10" t="str">
        <f t="shared" si="5"/>
        <v>#DIV/0!</v>
      </c>
      <c r="R687" s="10" t="str">
        <f t="shared" si="6"/>
        <v>#DIV/0!</v>
      </c>
      <c r="S687" s="10" t="str">
        <f t="shared" si="23"/>
        <v>#DIV/0!</v>
      </c>
      <c r="T687" s="10" t="str">
        <f t="shared" si="22"/>
        <v>#DIV/0!</v>
      </c>
      <c r="U687" s="10" t="str">
        <f t="shared" si="8"/>
        <v>#DIV/0!</v>
      </c>
      <c r="V687" s="10"/>
      <c r="W687" s="10"/>
      <c r="X687" s="10"/>
      <c r="Y687" s="10"/>
      <c r="Z687" s="10"/>
      <c r="AA687" s="10"/>
      <c r="AB687" s="10"/>
      <c r="AC687" s="10"/>
      <c r="AD687" s="10"/>
      <c r="AE687" s="10"/>
      <c r="AF687" s="10"/>
    </row>
    <row r="688" hidden="1">
      <c r="A688" s="9" t="s">
        <v>905</v>
      </c>
      <c r="B688" s="84"/>
      <c r="C688" s="9"/>
      <c r="D688" s="9" t="str">
        <f t="shared" si="1"/>
        <v/>
      </c>
      <c r="E688" s="10" t="str">
        <f t="shared" si="2"/>
        <v>OT Hours</v>
      </c>
      <c r="F688" s="10" t="str">
        <f>IFERROR(VLOOKUP(C688,'Employees List'!$B$1:$I$999,4,0),"")</f>
        <v/>
      </c>
      <c r="G688" s="10" t="str">
        <f t="shared" si="21"/>
        <v>#DIV/0!</v>
      </c>
      <c r="H688" s="72" t="str">
        <f>IFERROR(VLOOKUP(C688,'Employees List'!$B$2:$I$991,7,0),"")</f>
        <v/>
      </c>
      <c r="I688" s="73" t="str">
        <f>IFERROR(VLOOKUP(F688,'Employees List'!$E$1:$AE$991,6,0),"")</f>
        <v/>
      </c>
      <c r="J688" s="71">
        <f t="shared" si="3"/>
        <v>0</v>
      </c>
      <c r="K688" s="71">
        <f t="shared" si="4"/>
        <v>0</v>
      </c>
      <c r="L688" s="10" t="str">
        <f>IFERROR(VLOOKUP(B688,'Employees List'!$A$2:$K$991,11,0),"")</f>
        <v/>
      </c>
      <c r="M688" s="74" t="str">
        <f>IFERROR(VLOOKUP(D688,'Daily Attendance 25-26'!$A$4:BP999,5,0),"")</f>
        <v/>
      </c>
      <c r="N688" s="10" t="str">
        <f>IFERROR(VLOOKUP(E688,'Daily Attendance 25-26'!$A$1:$BO$1741,5,0),"")</f>
        <v/>
      </c>
      <c r="O688" s="10"/>
      <c r="P688" s="10"/>
      <c r="Q688" s="10" t="str">
        <f t="shared" si="5"/>
        <v>#DIV/0!</v>
      </c>
      <c r="R688" s="10" t="str">
        <f t="shared" si="6"/>
        <v>#DIV/0!</v>
      </c>
      <c r="S688" s="10" t="str">
        <f t="shared" si="23"/>
        <v>#DIV/0!</v>
      </c>
      <c r="T688" s="10" t="str">
        <f t="shared" si="22"/>
        <v>#DIV/0!</v>
      </c>
      <c r="U688" s="10" t="str">
        <f t="shared" si="8"/>
        <v>#DIV/0!</v>
      </c>
      <c r="V688" s="10"/>
      <c r="W688" s="10"/>
      <c r="X688" s="10"/>
      <c r="Y688" s="10"/>
      <c r="Z688" s="10"/>
      <c r="AA688" s="10"/>
      <c r="AB688" s="10"/>
      <c r="AC688" s="10"/>
      <c r="AD688" s="10"/>
      <c r="AE688" s="10"/>
      <c r="AF688" s="10"/>
    </row>
    <row r="689" hidden="1">
      <c r="A689" s="9" t="s">
        <v>906</v>
      </c>
      <c r="B689" s="84"/>
      <c r="C689" s="9"/>
      <c r="D689" s="9" t="str">
        <f t="shared" si="1"/>
        <v/>
      </c>
      <c r="E689" s="10" t="str">
        <f t="shared" si="2"/>
        <v>OT Hours</v>
      </c>
      <c r="F689" s="10" t="str">
        <f>IFERROR(VLOOKUP(C689,'Employees List'!$B$1:$I$999,4,0),"")</f>
        <v/>
      </c>
      <c r="G689" s="10" t="str">
        <f t="shared" si="21"/>
        <v>#DIV/0!</v>
      </c>
      <c r="H689" s="72" t="str">
        <f>IFERROR(VLOOKUP(C689,'Employees List'!$B$2:$I$991,7,0),"")</f>
        <v/>
      </c>
      <c r="I689" s="73" t="str">
        <f>IFERROR(VLOOKUP(F689,'Employees List'!$E$1:$AE$991,6,0),"")</f>
        <v/>
      </c>
      <c r="J689" s="71">
        <f t="shared" si="3"/>
        <v>0</v>
      </c>
      <c r="K689" s="71">
        <f t="shared" si="4"/>
        <v>0</v>
      </c>
      <c r="L689" s="10" t="str">
        <f>IFERROR(VLOOKUP(B689,'Employees List'!$A$2:$K$991,11,0),"")</f>
        <v/>
      </c>
      <c r="M689" s="74" t="str">
        <f>IFERROR(VLOOKUP(D689,'Daily Attendance 25-26'!$A$4:BP999,5,0),"")</f>
        <v/>
      </c>
      <c r="N689" s="10" t="str">
        <f>IFERROR(VLOOKUP(E689,'Daily Attendance 25-26'!$A$1:$BO$1741,5,0),"")</f>
        <v/>
      </c>
      <c r="O689" s="10"/>
      <c r="P689" s="10"/>
      <c r="Q689" s="10" t="str">
        <f t="shared" si="5"/>
        <v>#DIV/0!</v>
      </c>
      <c r="R689" s="10" t="str">
        <f t="shared" si="6"/>
        <v>#DIV/0!</v>
      </c>
      <c r="S689" s="10" t="str">
        <f t="shared" si="23"/>
        <v>#DIV/0!</v>
      </c>
      <c r="T689" s="10" t="str">
        <f t="shared" si="22"/>
        <v>#DIV/0!</v>
      </c>
      <c r="U689" s="10" t="str">
        <f t="shared" si="8"/>
        <v>#DIV/0!</v>
      </c>
      <c r="V689" s="10"/>
      <c r="W689" s="10"/>
      <c r="X689" s="10"/>
      <c r="Y689" s="10"/>
      <c r="Z689" s="10"/>
      <c r="AA689" s="10"/>
      <c r="AB689" s="10"/>
      <c r="AC689" s="10"/>
      <c r="AD689" s="10"/>
      <c r="AE689" s="10"/>
      <c r="AF689" s="10"/>
    </row>
    <row r="690" hidden="1">
      <c r="A690" s="9" t="s">
        <v>907</v>
      </c>
      <c r="B690" s="84"/>
      <c r="C690" s="9"/>
      <c r="D690" s="9" t="str">
        <f t="shared" si="1"/>
        <v/>
      </c>
      <c r="E690" s="10" t="str">
        <f t="shared" si="2"/>
        <v>OT Hours</v>
      </c>
      <c r="F690" s="10" t="str">
        <f>IFERROR(VLOOKUP(C690,'Employees List'!$B$1:$I$999,4,0),"")</f>
        <v/>
      </c>
      <c r="G690" s="10" t="str">
        <f t="shared" si="21"/>
        <v>#DIV/0!</v>
      </c>
      <c r="H690" s="72" t="str">
        <f>IFERROR(VLOOKUP(C690,'Employees List'!$B$2:$I$991,7,0),"")</f>
        <v/>
      </c>
      <c r="I690" s="73" t="str">
        <f>IFERROR(VLOOKUP(F690,'Employees List'!$E$1:$AE$991,6,0),"")</f>
        <v/>
      </c>
      <c r="J690" s="71">
        <f t="shared" si="3"/>
        <v>0</v>
      </c>
      <c r="K690" s="71">
        <f t="shared" si="4"/>
        <v>0</v>
      </c>
      <c r="L690" s="10" t="str">
        <f>IFERROR(VLOOKUP(B690,'Employees List'!$A$2:$K$991,11,0),"")</f>
        <v/>
      </c>
      <c r="M690" s="74" t="str">
        <f>IFERROR(VLOOKUP(D690,'Daily Attendance 25-26'!$A$4:BP999,5,0),"")</f>
        <v/>
      </c>
      <c r="N690" s="10" t="str">
        <f>IFERROR(VLOOKUP(E690,'Daily Attendance 25-26'!$A$1:$BO$1741,5,0),"")</f>
        <v/>
      </c>
      <c r="O690" s="10"/>
      <c r="P690" s="10"/>
      <c r="Q690" s="10" t="str">
        <f t="shared" si="5"/>
        <v>#DIV/0!</v>
      </c>
      <c r="R690" s="10" t="str">
        <f t="shared" si="6"/>
        <v>#DIV/0!</v>
      </c>
      <c r="S690" s="10" t="str">
        <f t="shared" si="23"/>
        <v>#DIV/0!</v>
      </c>
      <c r="T690" s="10" t="str">
        <f t="shared" si="22"/>
        <v>#DIV/0!</v>
      </c>
      <c r="U690" s="10" t="str">
        <f t="shared" si="8"/>
        <v>#DIV/0!</v>
      </c>
      <c r="V690" s="10"/>
      <c r="W690" s="10"/>
      <c r="X690" s="10"/>
      <c r="Y690" s="10"/>
      <c r="Z690" s="10"/>
      <c r="AA690" s="10"/>
      <c r="AB690" s="10"/>
      <c r="AC690" s="10"/>
      <c r="AD690" s="10"/>
      <c r="AE690" s="10"/>
      <c r="AF690" s="10"/>
    </row>
    <row r="691" hidden="1">
      <c r="A691" s="9" t="s">
        <v>908</v>
      </c>
      <c r="B691" s="84"/>
      <c r="C691" s="9"/>
      <c r="D691" s="9" t="str">
        <f t="shared" si="1"/>
        <v/>
      </c>
      <c r="E691" s="10" t="str">
        <f t="shared" si="2"/>
        <v>OT Hours</v>
      </c>
      <c r="F691" s="10" t="str">
        <f>IFERROR(VLOOKUP(C691,'Employees List'!$B$1:$I$999,4,0),"")</f>
        <v/>
      </c>
      <c r="G691" s="10" t="str">
        <f t="shared" si="21"/>
        <v>#DIV/0!</v>
      </c>
      <c r="H691" s="72" t="str">
        <f>IFERROR(VLOOKUP(C691,'Employees List'!$B$2:$I$991,7,0),"")</f>
        <v/>
      </c>
      <c r="I691" s="73" t="str">
        <f>IFERROR(VLOOKUP(F691,'Employees List'!$E$1:$AE$991,6,0),"")</f>
        <v/>
      </c>
      <c r="J691" s="71">
        <f t="shared" si="3"/>
        <v>0</v>
      </c>
      <c r="K691" s="71">
        <f t="shared" si="4"/>
        <v>0</v>
      </c>
      <c r="L691" s="10" t="str">
        <f>IFERROR(VLOOKUP(B691,'Employees List'!$A$2:$K$991,11,0),"")</f>
        <v/>
      </c>
      <c r="M691" s="74" t="str">
        <f>IFERROR(VLOOKUP(D691,'Daily Attendance 25-26'!$A$4:BP999,5,0),"")</f>
        <v/>
      </c>
      <c r="N691" s="10" t="str">
        <f>IFERROR(VLOOKUP(E691,'Daily Attendance 25-26'!$A$1:$BO$1741,5,0),"")</f>
        <v/>
      </c>
      <c r="O691" s="10"/>
      <c r="P691" s="10"/>
      <c r="Q691" s="10" t="str">
        <f t="shared" si="5"/>
        <v>#DIV/0!</v>
      </c>
      <c r="R691" s="10" t="str">
        <f t="shared" si="6"/>
        <v>#DIV/0!</v>
      </c>
      <c r="S691" s="10" t="str">
        <f t="shared" si="23"/>
        <v>#DIV/0!</v>
      </c>
      <c r="T691" s="10" t="str">
        <f t="shared" si="22"/>
        <v>#DIV/0!</v>
      </c>
      <c r="U691" s="10" t="str">
        <f t="shared" si="8"/>
        <v>#DIV/0!</v>
      </c>
      <c r="V691" s="10"/>
      <c r="W691" s="10"/>
      <c r="X691" s="10"/>
      <c r="Y691" s="10"/>
      <c r="Z691" s="10"/>
      <c r="AA691" s="10"/>
      <c r="AB691" s="10"/>
      <c r="AC691" s="10"/>
      <c r="AD691" s="10"/>
      <c r="AE691" s="10"/>
      <c r="AF691" s="10"/>
    </row>
    <row r="692" hidden="1">
      <c r="A692" s="9" t="s">
        <v>909</v>
      </c>
      <c r="B692" s="84"/>
      <c r="C692" s="9"/>
      <c r="D692" s="9" t="str">
        <f t="shared" si="1"/>
        <v/>
      </c>
      <c r="E692" s="10" t="str">
        <f t="shared" si="2"/>
        <v>OT Hours</v>
      </c>
      <c r="F692" s="10" t="str">
        <f>IFERROR(VLOOKUP(C692,'Employees List'!$B$1:$I$999,4,0),"")</f>
        <v/>
      </c>
      <c r="G692" s="10" t="str">
        <f t="shared" si="21"/>
        <v>#DIV/0!</v>
      </c>
      <c r="H692" s="72" t="str">
        <f>IFERROR(VLOOKUP(C692,'Employees List'!$B$2:$I$991,7,0),"")</f>
        <v/>
      </c>
      <c r="I692" s="73" t="str">
        <f>IFERROR(VLOOKUP(F692,'Employees List'!$E$1:$AE$991,6,0),"")</f>
        <v/>
      </c>
      <c r="J692" s="71">
        <f t="shared" si="3"/>
        <v>0</v>
      </c>
      <c r="K692" s="71">
        <f t="shared" si="4"/>
        <v>0</v>
      </c>
      <c r="L692" s="10" t="str">
        <f>IFERROR(VLOOKUP(B692,'Employees List'!$A$2:$K$991,11,0),"")</f>
        <v/>
      </c>
      <c r="M692" s="74" t="str">
        <f>IFERROR(VLOOKUP(D692,'Daily Attendance 25-26'!$A$4:BP999,5,0),"")</f>
        <v/>
      </c>
      <c r="N692" s="10" t="str">
        <f>IFERROR(VLOOKUP(E692,'Daily Attendance 25-26'!$A$1:$BO$1741,5,0),"")</f>
        <v/>
      </c>
      <c r="O692" s="10"/>
      <c r="P692" s="10"/>
      <c r="Q692" s="10" t="str">
        <f t="shared" si="5"/>
        <v>#DIV/0!</v>
      </c>
      <c r="R692" s="10" t="str">
        <f t="shared" si="6"/>
        <v>#DIV/0!</v>
      </c>
      <c r="S692" s="10" t="str">
        <f t="shared" si="23"/>
        <v>#DIV/0!</v>
      </c>
      <c r="T692" s="10" t="str">
        <f t="shared" si="22"/>
        <v>#DIV/0!</v>
      </c>
      <c r="U692" s="10" t="str">
        <f t="shared" si="8"/>
        <v>#DIV/0!</v>
      </c>
      <c r="V692" s="10"/>
      <c r="W692" s="10"/>
      <c r="X692" s="10"/>
      <c r="Y692" s="10"/>
      <c r="Z692" s="10"/>
      <c r="AA692" s="10"/>
      <c r="AB692" s="10"/>
      <c r="AC692" s="10"/>
      <c r="AD692" s="10"/>
      <c r="AE692" s="10"/>
      <c r="AF692" s="10"/>
    </row>
    <row r="693" hidden="1">
      <c r="A693" s="9" t="s">
        <v>910</v>
      </c>
      <c r="B693" s="84"/>
      <c r="C693" s="9"/>
      <c r="D693" s="9" t="str">
        <f t="shared" si="1"/>
        <v/>
      </c>
      <c r="E693" s="10" t="str">
        <f t="shared" si="2"/>
        <v>OT Hours</v>
      </c>
      <c r="F693" s="10" t="str">
        <f>IFERROR(VLOOKUP(C693,'Employees List'!$B$1:$I$999,4,0),"")</f>
        <v/>
      </c>
      <c r="G693" s="10" t="str">
        <f t="shared" si="21"/>
        <v>#DIV/0!</v>
      </c>
      <c r="H693" s="72" t="str">
        <f>IFERROR(VLOOKUP(C693,'Employees List'!$B$2:$I$991,7,0),"")</f>
        <v/>
      </c>
      <c r="I693" s="73" t="str">
        <f>IFERROR(VLOOKUP(F693,'Employees List'!$E$1:$AE$991,6,0),"")</f>
        <v/>
      </c>
      <c r="J693" s="71">
        <f t="shared" si="3"/>
        <v>0</v>
      </c>
      <c r="K693" s="71">
        <f t="shared" si="4"/>
        <v>0</v>
      </c>
      <c r="L693" s="10" t="str">
        <f>IFERROR(VLOOKUP(B693,'Employees List'!$A$2:$K$991,11,0),"")</f>
        <v/>
      </c>
      <c r="M693" s="74" t="str">
        <f>IFERROR(VLOOKUP(D693,'Daily Attendance 25-26'!$A$4:BP999,5,0),"")</f>
        <v/>
      </c>
      <c r="N693" s="10" t="str">
        <f>IFERROR(VLOOKUP(E693,'Daily Attendance 25-26'!$A$1:$BO$1741,5,0),"")</f>
        <v/>
      </c>
      <c r="O693" s="10"/>
      <c r="P693" s="10"/>
      <c r="Q693" s="10" t="str">
        <f t="shared" si="5"/>
        <v>#DIV/0!</v>
      </c>
      <c r="R693" s="10" t="str">
        <f t="shared" si="6"/>
        <v>#DIV/0!</v>
      </c>
      <c r="S693" s="10" t="str">
        <f t="shared" si="23"/>
        <v>#DIV/0!</v>
      </c>
      <c r="T693" s="10" t="str">
        <f t="shared" si="22"/>
        <v>#DIV/0!</v>
      </c>
      <c r="U693" s="10" t="str">
        <f t="shared" si="8"/>
        <v>#DIV/0!</v>
      </c>
      <c r="V693" s="10"/>
      <c r="W693" s="10"/>
      <c r="X693" s="10"/>
      <c r="Y693" s="10"/>
      <c r="Z693" s="10"/>
      <c r="AA693" s="10"/>
      <c r="AB693" s="10"/>
      <c r="AC693" s="10"/>
      <c r="AD693" s="10"/>
      <c r="AE693" s="10"/>
      <c r="AF693" s="10"/>
    </row>
    <row r="694" hidden="1">
      <c r="A694" s="9" t="s">
        <v>911</v>
      </c>
      <c r="B694" s="84"/>
      <c r="C694" s="9"/>
      <c r="D694" s="9" t="str">
        <f t="shared" si="1"/>
        <v/>
      </c>
      <c r="E694" s="10" t="str">
        <f t="shared" si="2"/>
        <v>OT Hours</v>
      </c>
      <c r="F694" s="10" t="str">
        <f>IFERROR(VLOOKUP(C694,'Employees List'!$B$1:$I$999,4,0),"")</f>
        <v/>
      </c>
      <c r="G694" s="10" t="str">
        <f t="shared" si="21"/>
        <v>#DIV/0!</v>
      </c>
      <c r="H694" s="72" t="str">
        <f>IFERROR(VLOOKUP(C694,'Employees List'!$B$2:$I$991,7,0),"")</f>
        <v/>
      </c>
      <c r="I694" s="73" t="str">
        <f>IFERROR(VLOOKUP(F694,'Employees List'!$E$1:$AE$991,6,0),"")</f>
        <v/>
      </c>
      <c r="J694" s="71">
        <f t="shared" si="3"/>
        <v>0</v>
      </c>
      <c r="K694" s="71">
        <f t="shared" si="4"/>
        <v>0</v>
      </c>
      <c r="L694" s="10" t="str">
        <f>IFERROR(VLOOKUP(B694,'Employees List'!$A$2:$K$991,11,0),"")</f>
        <v/>
      </c>
      <c r="M694" s="74" t="str">
        <f>IFERROR(VLOOKUP(D694,'Daily Attendance 25-26'!$A$4:BP999,5,0),"")</f>
        <v/>
      </c>
      <c r="N694" s="10" t="str">
        <f>IFERROR(VLOOKUP(E694,'Daily Attendance 25-26'!$A$1:$BO$1741,5,0),"")</f>
        <v/>
      </c>
      <c r="O694" s="10"/>
      <c r="P694" s="10"/>
      <c r="Q694" s="10" t="str">
        <f t="shared" si="5"/>
        <v>#DIV/0!</v>
      </c>
      <c r="R694" s="10" t="str">
        <f t="shared" si="6"/>
        <v>#DIV/0!</v>
      </c>
      <c r="S694" s="10" t="str">
        <f t="shared" si="23"/>
        <v>#DIV/0!</v>
      </c>
      <c r="T694" s="10" t="str">
        <f t="shared" si="22"/>
        <v>#DIV/0!</v>
      </c>
      <c r="U694" s="10" t="str">
        <f t="shared" si="8"/>
        <v>#DIV/0!</v>
      </c>
      <c r="V694" s="10"/>
      <c r="W694" s="10"/>
      <c r="X694" s="10"/>
      <c r="Y694" s="10"/>
      <c r="Z694" s="10"/>
      <c r="AA694" s="10"/>
      <c r="AB694" s="10"/>
      <c r="AC694" s="10"/>
      <c r="AD694" s="10"/>
      <c r="AE694" s="10"/>
      <c r="AF694" s="10"/>
    </row>
    <row r="695" hidden="1">
      <c r="A695" s="9" t="s">
        <v>912</v>
      </c>
      <c r="B695" s="84"/>
      <c r="C695" s="9"/>
      <c r="D695" s="9" t="str">
        <f t="shared" si="1"/>
        <v/>
      </c>
      <c r="E695" s="10" t="str">
        <f t="shared" si="2"/>
        <v>OT Hours</v>
      </c>
      <c r="F695" s="10" t="str">
        <f>IFERROR(VLOOKUP(C695,'Employees List'!$B$1:$I$999,4,0),"")</f>
        <v/>
      </c>
      <c r="G695" s="10" t="str">
        <f t="shared" si="21"/>
        <v>#DIV/0!</v>
      </c>
      <c r="H695" s="72" t="str">
        <f>IFERROR(VLOOKUP(C695,'Employees List'!$B$2:$I$991,7,0),"")</f>
        <v/>
      </c>
      <c r="I695" s="73" t="str">
        <f>IFERROR(VLOOKUP(F695,'Employees List'!$E$1:$AE$991,6,0),"")</f>
        <v/>
      </c>
      <c r="J695" s="71">
        <f t="shared" si="3"/>
        <v>0</v>
      </c>
      <c r="K695" s="71">
        <f t="shared" si="4"/>
        <v>0</v>
      </c>
      <c r="L695" s="10" t="str">
        <f>IFERROR(VLOOKUP(B695,'Employees List'!$A$2:$K$991,11,0),"")</f>
        <v/>
      </c>
      <c r="M695" s="74" t="str">
        <f>IFERROR(VLOOKUP(D695,'Daily Attendance 25-26'!$A$4:BP999,5,0),"")</f>
        <v/>
      </c>
      <c r="N695" s="10" t="str">
        <f>IFERROR(VLOOKUP(E695,'Daily Attendance 25-26'!$A$1:$BO$1741,5,0),"")</f>
        <v/>
      </c>
      <c r="O695" s="10"/>
      <c r="P695" s="10"/>
      <c r="Q695" s="10" t="str">
        <f t="shared" si="5"/>
        <v>#DIV/0!</v>
      </c>
      <c r="R695" s="10" t="str">
        <f t="shared" si="6"/>
        <v>#DIV/0!</v>
      </c>
      <c r="S695" s="10" t="str">
        <f t="shared" si="23"/>
        <v>#DIV/0!</v>
      </c>
      <c r="T695" s="10" t="str">
        <f t="shared" si="22"/>
        <v>#DIV/0!</v>
      </c>
      <c r="U695" s="10" t="str">
        <f t="shared" si="8"/>
        <v>#DIV/0!</v>
      </c>
      <c r="V695" s="10"/>
      <c r="W695" s="10"/>
      <c r="X695" s="10"/>
      <c r="Y695" s="10"/>
      <c r="Z695" s="10"/>
      <c r="AA695" s="10"/>
      <c r="AB695" s="10"/>
      <c r="AC695" s="10"/>
      <c r="AD695" s="10"/>
      <c r="AE695" s="10"/>
      <c r="AF695" s="10"/>
    </row>
    <row r="696" hidden="1">
      <c r="A696" s="9" t="s">
        <v>913</v>
      </c>
      <c r="B696" s="84"/>
      <c r="C696" s="9"/>
      <c r="D696" s="9" t="str">
        <f t="shared" si="1"/>
        <v/>
      </c>
      <c r="E696" s="10" t="str">
        <f t="shared" si="2"/>
        <v>OT Hours</v>
      </c>
      <c r="F696" s="10" t="str">
        <f>IFERROR(VLOOKUP(C696,'Employees List'!$B$1:$I$999,4,0),"")</f>
        <v/>
      </c>
      <c r="G696" s="10" t="str">
        <f t="shared" si="21"/>
        <v>#DIV/0!</v>
      </c>
      <c r="H696" s="72" t="str">
        <f>IFERROR(VLOOKUP(C696,'Employees List'!$B$2:$I$991,7,0),"")</f>
        <v/>
      </c>
      <c r="I696" s="73" t="str">
        <f>IFERROR(VLOOKUP(F696,'Employees List'!$E$1:$AE$991,6,0),"")</f>
        <v/>
      </c>
      <c r="J696" s="71">
        <f t="shared" si="3"/>
        <v>0</v>
      </c>
      <c r="K696" s="71">
        <f t="shared" si="4"/>
        <v>0</v>
      </c>
      <c r="L696" s="10" t="str">
        <f>IFERROR(VLOOKUP(B696,'Employees List'!$A$2:$K$991,11,0),"")</f>
        <v/>
      </c>
      <c r="M696" s="74" t="str">
        <f>IFERROR(VLOOKUP(D696,'Daily Attendance 25-26'!$A$4:BP999,5,0),"")</f>
        <v/>
      </c>
      <c r="N696" s="10" t="str">
        <f>IFERROR(VLOOKUP(E696,'Daily Attendance 25-26'!$A$1:$BO$1741,5,0),"")</f>
        <v/>
      </c>
      <c r="O696" s="10"/>
      <c r="P696" s="10"/>
      <c r="Q696" s="10" t="str">
        <f t="shared" si="5"/>
        <v>#DIV/0!</v>
      </c>
      <c r="R696" s="10" t="str">
        <f t="shared" si="6"/>
        <v>#DIV/0!</v>
      </c>
      <c r="S696" s="10" t="str">
        <f t="shared" si="23"/>
        <v>#DIV/0!</v>
      </c>
      <c r="T696" s="10" t="str">
        <f t="shared" si="22"/>
        <v>#DIV/0!</v>
      </c>
      <c r="U696" s="10" t="str">
        <f t="shared" si="8"/>
        <v>#DIV/0!</v>
      </c>
      <c r="V696" s="10"/>
      <c r="W696" s="10"/>
      <c r="X696" s="10"/>
      <c r="Y696" s="10"/>
      <c r="Z696" s="10"/>
      <c r="AA696" s="10"/>
      <c r="AB696" s="10"/>
      <c r="AC696" s="10"/>
      <c r="AD696" s="10"/>
      <c r="AE696" s="10"/>
      <c r="AF696" s="10"/>
    </row>
    <row r="697" hidden="1">
      <c r="A697" s="9" t="s">
        <v>914</v>
      </c>
      <c r="B697" s="84"/>
      <c r="C697" s="9"/>
      <c r="D697" s="9" t="str">
        <f t="shared" si="1"/>
        <v/>
      </c>
      <c r="E697" s="10" t="str">
        <f t="shared" si="2"/>
        <v>OT Hours</v>
      </c>
      <c r="F697" s="10" t="str">
        <f>IFERROR(VLOOKUP(C697,'Employees List'!$B$1:$I$999,4,0),"")</f>
        <v/>
      </c>
      <c r="G697" s="10" t="str">
        <f t="shared" si="21"/>
        <v>#DIV/0!</v>
      </c>
      <c r="H697" s="72" t="str">
        <f>IFERROR(VLOOKUP(C697,'Employees List'!$B$2:$I$991,7,0),"")</f>
        <v/>
      </c>
      <c r="I697" s="73" t="str">
        <f>IFERROR(VLOOKUP(F697,'Employees List'!$E$1:$AE$991,6,0),"")</f>
        <v/>
      </c>
      <c r="J697" s="71">
        <f t="shared" si="3"/>
        <v>0</v>
      </c>
      <c r="K697" s="71">
        <f t="shared" si="4"/>
        <v>0</v>
      </c>
      <c r="L697" s="10" t="str">
        <f>IFERROR(VLOOKUP(B697,'Employees List'!$A$2:$K$991,11,0),"")</f>
        <v/>
      </c>
      <c r="M697" s="74" t="str">
        <f>IFERROR(VLOOKUP(D697,'Daily Attendance 25-26'!$A$4:BP999,5,0),"")</f>
        <v/>
      </c>
      <c r="N697" s="10" t="str">
        <f>IFERROR(VLOOKUP(E697,'Daily Attendance 25-26'!$A$1:$BO$1741,5,0),"")</f>
        <v/>
      </c>
      <c r="O697" s="10"/>
      <c r="P697" s="10"/>
      <c r="Q697" s="10" t="str">
        <f t="shared" si="5"/>
        <v>#DIV/0!</v>
      </c>
      <c r="R697" s="10" t="str">
        <f t="shared" si="6"/>
        <v>#DIV/0!</v>
      </c>
      <c r="S697" s="10" t="str">
        <f t="shared" si="23"/>
        <v>#DIV/0!</v>
      </c>
      <c r="T697" s="10" t="str">
        <f t="shared" si="22"/>
        <v>#DIV/0!</v>
      </c>
      <c r="U697" s="10" t="str">
        <f t="shared" si="8"/>
        <v>#DIV/0!</v>
      </c>
      <c r="V697" s="10"/>
      <c r="W697" s="10"/>
      <c r="X697" s="10"/>
      <c r="Y697" s="10"/>
      <c r="Z697" s="10"/>
      <c r="AA697" s="10"/>
      <c r="AB697" s="10"/>
      <c r="AC697" s="10"/>
      <c r="AD697" s="10"/>
      <c r="AE697" s="10"/>
      <c r="AF697" s="10"/>
    </row>
    <row r="698" hidden="1">
      <c r="A698" s="9" t="s">
        <v>915</v>
      </c>
      <c r="B698" s="84"/>
      <c r="C698" s="9"/>
      <c r="D698" s="9" t="str">
        <f t="shared" si="1"/>
        <v/>
      </c>
      <c r="E698" s="10" t="str">
        <f t="shared" si="2"/>
        <v>OT Hours</v>
      </c>
      <c r="F698" s="10" t="str">
        <f>IFERROR(VLOOKUP(C698,'Employees List'!$B$1:$I$999,4,0),"")</f>
        <v/>
      </c>
      <c r="G698" s="10" t="str">
        <f t="shared" si="21"/>
        <v>#DIV/0!</v>
      </c>
      <c r="H698" s="72" t="str">
        <f>IFERROR(VLOOKUP(C698,'Employees List'!$B$2:$I$991,7,0),"")</f>
        <v/>
      </c>
      <c r="I698" s="73" t="str">
        <f>IFERROR(VLOOKUP(F698,'Employees List'!$E$1:$AE$991,6,0),"")</f>
        <v/>
      </c>
      <c r="J698" s="71">
        <f t="shared" si="3"/>
        <v>0</v>
      </c>
      <c r="K698" s="71">
        <f t="shared" si="4"/>
        <v>0</v>
      </c>
      <c r="L698" s="10" t="str">
        <f>IFERROR(VLOOKUP(B698,'Employees List'!$A$2:$K$991,11,0),"")</f>
        <v/>
      </c>
      <c r="M698" s="74" t="str">
        <f>IFERROR(VLOOKUP(D698,'Daily Attendance 25-26'!$A$4:BP999,5,0),"")</f>
        <v/>
      </c>
      <c r="N698" s="10" t="str">
        <f>IFERROR(VLOOKUP(E698,'Daily Attendance 25-26'!$A$1:$BO$1741,5,0),"")</f>
        <v/>
      </c>
      <c r="O698" s="10"/>
      <c r="P698" s="10"/>
      <c r="Q698" s="10" t="str">
        <f t="shared" si="5"/>
        <v>#DIV/0!</v>
      </c>
      <c r="R698" s="10" t="str">
        <f t="shared" si="6"/>
        <v>#DIV/0!</v>
      </c>
      <c r="S698" s="10" t="str">
        <f t="shared" si="23"/>
        <v>#DIV/0!</v>
      </c>
      <c r="T698" s="10" t="str">
        <f t="shared" si="22"/>
        <v>#DIV/0!</v>
      </c>
      <c r="U698" s="10" t="str">
        <f t="shared" si="8"/>
        <v>#DIV/0!</v>
      </c>
      <c r="V698" s="10"/>
      <c r="W698" s="10"/>
      <c r="X698" s="10"/>
      <c r="Y698" s="10"/>
      <c r="Z698" s="10"/>
      <c r="AA698" s="10"/>
      <c r="AB698" s="10"/>
      <c r="AC698" s="10"/>
      <c r="AD698" s="10"/>
      <c r="AE698" s="10"/>
      <c r="AF698" s="10"/>
    </row>
    <row r="699" hidden="1">
      <c r="A699" s="9" t="s">
        <v>916</v>
      </c>
      <c r="B699" s="84"/>
      <c r="C699" s="9"/>
      <c r="D699" s="9" t="str">
        <f t="shared" si="1"/>
        <v/>
      </c>
      <c r="E699" s="10" t="str">
        <f t="shared" si="2"/>
        <v>OT Hours</v>
      </c>
      <c r="F699" s="10" t="str">
        <f>IFERROR(VLOOKUP(C699,'Employees List'!$B$1:$I$999,4,0),"")</f>
        <v/>
      </c>
      <c r="G699" s="10" t="str">
        <f t="shared" si="21"/>
        <v>#DIV/0!</v>
      </c>
      <c r="H699" s="72" t="str">
        <f>IFERROR(VLOOKUP(C699,'Employees List'!$B$2:$I$991,7,0),"")</f>
        <v/>
      </c>
      <c r="I699" s="73" t="str">
        <f>IFERROR(VLOOKUP(F699,'Employees List'!$E$1:$AE$991,6,0),"")</f>
        <v/>
      </c>
      <c r="J699" s="71">
        <f t="shared" si="3"/>
        <v>0</v>
      </c>
      <c r="K699" s="71">
        <f t="shared" si="4"/>
        <v>0</v>
      </c>
      <c r="L699" s="10" t="str">
        <f>IFERROR(VLOOKUP(B699,'Employees List'!$A$2:$K$991,11,0),"")</f>
        <v/>
      </c>
      <c r="M699" s="74" t="str">
        <f>IFERROR(VLOOKUP(D699,'Daily Attendance 25-26'!$A$4:BP999,5,0),"")</f>
        <v/>
      </c>
      <c r="N699" s="10" t="str">
        <f>IFERROR(VLOOKUP(E699,'Daily Attendance 25-26'!$A$1:$BO$1741,5,0),"")</f>
        <v/>
      </c>
      <c r="O699" s="10"/>
      <c r="P699" s="10"/>
      <c r="Q699" s="10" t="str">
        <f t="shared" si="5"/>
        <v>#DIV/0!</v>
      </c>
      <c r="R699" s="10" t="str">
        <f t="shared" si="6"/>
        <v>#DIV/0!</v>
      </c>
      <c r="S699" s="10" t="str">
        <f t="shared" si="23"/>
        <v>#DIV/0!</v>
      </c>
      <c r="T699" s="10" t="str">
        <f t="shared" si="22"/>
        <v>#DIV/0!</v>
      </c>
      <c r="U699" s="10" t="str">
        <f t="shared" si="8"/>
        <v>#DIV/0!</v>
      </c>
      <c r="V699" s="10"/>
      <c r="W699" s="10"/>
      <c r="X699" s="10"/>
      <c r="Y699" s="10"/>
      <c r="Z699" s="10"/>
      <c r="AA699" s="10"/>
      <c r="AB699" s="10"/>
      <c r="AC699" s="10"/>
      <c r="AD699" s="10"/>
      <c r="AE699" s="10"/>
      <c r="AF699" s="10"/>
    </row>
    <row r="700" hidden="1">
      <c r="A700" s="9" t="s">
        <v>917</v>
      </c>
      <c r="B700" s="84"/>
      <c r="C700" s="9"/>
      <c r="D700" s="9" t="str">
        <f t="shared" si="1"/>
        <v/>
      </c>
      <c r="E700" s="10" t="str">
        <f t="shared" si="2"/>
        <v>OT Hours</v>
      </c>
      <c r="F700" s="10" t="str">
        <f>IFERROR(VLOOKUP(C700,'Employees List'!$B$1:$I$999,4,0),"")</f>
        <v/>
      </c>
      <c r="G700" s="10" t="str">
        <f t="shared" si="21"/>
        <v>#DIV/0!</v>
      </c>
      <c r="H700" s="72" t="str">
        <f>IFERROR(VLOOKUP(C700,'Employees List'!$B$2:$I$991,7,0),"")</f>
        <v/>
      </c>
      <c r="I700" s="73" t="str">
        <f>IFERROR(VLOOKUP(F700,'Employees List'!$E$1:$AE$991,6,0),"")</f>
        <v/>
      </c>
      <c r="J700" s="71">
        <f t="shared" si="3"/>
        <v>0</v>
      </c>
      <c r="K700" s="71">
        <f t="shared" si="4"/>
        <v>0</v>
      </c>
      <c r="L700" s="10" t="str">
        <f>IFERROR(VLOOKUP(B700,'Employees List'!$A$2:$K$991,11,0),"")</f>
        <v/>
      </c>
      <c r="M700" s="74" t="str">
        <f>IFERROR(VLOOKUP(D700,'Daily Attendance 25-26'!$A$4:BP999,5,0),"")</f>
        <v/>
      </c>
      <c r="N700" s="10" t="str">
        <f>IFERROR(VLOOKUP(E700,'Daily Attendance 25-26'!$A$1:$BO$1741,5,0),"")</f>
        <v/>
      </c>
      <c r="O700" s="10"/>
      <c r="P700" s="10"/>
      <c r="Q700" s="10" t="str">
        <f t="shared" si="5"/>
        <v>#DIV/0!</v>
      </c>
      <c r="R700" s="10" t="str">
        <f t="shared" si="6"/>
        <v>#DIV/0!</v>
      </c>
      <c r="S700" s="10" t="str">
        <f t="shared" si="23"/>
        <v>#DIV/0!</v>
      </c>
      <c r="T700" s="10" t="str">
        <f t="shared" si="22"/>
        <v>#DIV/0!</v>
      </c>
      <c r="U700" s="10" t="str">
        <f t="shared" si="8"/>
        <v>#DIV/0!</v>
      </c>
      <c r="V700" s="10"/>
      <c r="W700" s="10"/>
      <c r="X700" s="10"/>
      <c r="Y700" s="10"/>
      <c r="Z700" s="10"/>
      <c r="AA700" s="10"/>
      <c r="AB700" s="10"/>
      <c r="AC700" s="10"/>
      <c r="AD700" s="10"/>
      <c r="AE700" s="10"/>
      <c r="AF700" s="10"/>
    </row>
    <row r="701" hidden="1">
      <c r="A701" s="9" t="s">
        <v>918</v>
      </c>
      <c r="B701" s="84"/>
      <c r="C701" s="9"/>
      <c r="D701" s="9" t="str">
        <f t="shared" si="1"/>
        <v/>
      </c>
      <c r="E701" s="10" t="str">
        <f t="shared" si="2"/>
        <v>OT Hours</v>
      </c>
      <c r="F701" s="10" t="str">
        <f>IFERROR(VLOOKUP(C701,'Employees List'!$B$1:$I$999,4,0),"")</f>
        <v/>
      </c>
      <c r="G701" s="10" t="str">
        <f t="shared" si="21"/>
        <v>#DIV/0!</v>
      </c>
      <c r="H701" s="72" t="str">
        <f>IFERROR(VLOOKUP(C701,'Employees List'!$B$2:$I$991,7,0),"")</f>
        <v/>
      </c>
      <c r="I701" s="73" t="str">
        <f>IFERROR(VLOOKUP(F701,'Employees List'!$E$1:$AE$991,6,0),"")</f>
        <v/>
      </c>
      <c r="J701" s="71">
        <f t="shared" si="3"/>
        <v>0</v>
      </c>
      <c r="K701" s="71">
        <f t="shared" si="4"/>
        <v>0</v>
      </c>
      <c r="L701" s="10" t="str">
        <f>IFERROR(VLOOKUP(B701,'Employees List'!$A$2:$K$991,11,0),"")</f>
        <v/>
      </c>
      <c r="M701" s="74" t="str">
        <f>IFERROR(VLOOKUP(D701,'Daily Attendance 25-26'!$A$4:BP999,5,0),"")</f>
        <v/>
      </c>
      <c r="N701" s="10" t="str">
        <f>IFERROR(VLOOKUP(E701,'Daily Attendance 25-26'!$A$1:$BO$1741,5,0),"")</f>
        <v/>
      </c>
      <c r="O701" s="10"/>
      <c r="P701" s="10"/>
      <c r="Q701" s="10" t="str">
        <f t="shared" si="5"/>
        <v>#DIV/0!</v>
      </c>
      <c r="R701" s="10" t="str">
        <f t="shared" si="6"/>
        <v>#DIV/0!</v>
      </c>
      <c r="S701" s="10" t="str">
        <f t="shared" si="23"/>
        <v>#DIV/0!</v>
      </c>
      <c r="T701" s="10" t="str">
        <f t="shared" si="22"/>
        <v>#DIV/0!</v>
      </c>
      <c r="U701" s="10" t="str">
        <f t="shared" si="8"/>
        <v>#DIV/0!</v>
      </c>
      <c r="V701" s="10"/>
      <c r="W701" s="10"/>
      <c r="X701" s="10"/>
      <c r="Y701" s="10"/>
      <c r="Z701" s="10"/>
      <c r="AA701" s="10"/>
      <c r="AB701" s="10"/>
      <c r="AC701" s="10"/>
      <c r="AD701" s="10"/>
      <c r="AE701" s="10"/>
      <c r="AF701" s="10"/>
    </row>
    <row r="702" hidden="1">
      <c r="A702" s="9" t="s">
        <v>919</v>
      </c>
      <c r="B702" s="84"/>
      <c r="C702" s="9"/>
      <c r="D702" s="9" t="str">
        <f t="shared" si="1"/>
        <v/>
      </c>
      <c r="E702" s="10" t="str">
        <f t="shared" si="2"/>
        <v>OT Hours</v>
      </c>
      <c r="F702" s="10" t="str">
        <f>IFERROR(VLOOKUP(C702,'Employees List'!$B$1:$I$999,4,0),"")</f>
        <v/>
      </c>
      <c r="G702" s="10" t="str">
        <f t="shared" si="21"/>
        <v>#DIV/0!</v>
      </c>
      <c r="H702" s="72" t="str">
        <f>IFERROR(VLOOKUP(C702,'Employees List'!$B$2:$I$991,7,0),"")</f>
        <v/>
      </c>
      <c r="I702" s="73" t="str">
        <f>IFERROR(VLOOKUP(F702,'Employees List'!$E$1:$AE$991,6,0),"")</f>
        <v/>
      </c>
      <c r="J702" s="71">
        <f t="shared" si="3"/>
        <v>0</v>
      </c>
      <c r="K702" s="71">
        <f t="shared" si="4"/>
        <v>0</v>
      </c>
      <c r="L702" s="10" t="str">
        <f>IFERROR(VLOOKUP(B702,'Employees List'!$A$2:$K$991,11,0),"")</f>
        <v/>
      </c>
      <c r="M702" s="74" t="str">
        <f>IFERROR(VLOOKUP(D702,'Daily Attendance 25-26'!$A$4:BP999,5,0),"")</f>
        <v/>
      </c>
      <c r="N702" s="10" t="str">
        <f>IFERROR(VLOOKUP(E702,'Daily Attendance 25-26'!$A$1:$BO$1741,5,0),"")</f>
        <v/>
      </c>
      <c r="O702" s="10"/>
      <c r="P702" s="10"/>
      <c r="Q702" s="10" t="str">
        <f t="shared" si="5"/>
        <v>#DIV/0!</v>
      </c>
      <c r="R702" s="10" t="str">
        <f t="shared" si="6"/>
        <v>#DIV/0!</v>
      </c>
      <c r="S702" s="10" t="str">
        <f t="shared" si="23"/>
        <v>#DIV/0!</v>
      </c>
      <c r="T702" s="10" t="str">
        <f t="shared" si="22"/>
        <v>#DIV/0!</v>
      </c>
      <c r="U702" s="10" t="str">
        <f t="shared" si="8"/>
        <v>#DIV/0!</v>
      </c>
      <c r="V702" s="10"/>
      <c r="W702" s="10"/>
      <c r="X702" s="10"/>
      <c r="Y702" s="10"/>
      <c r="Z702" s="10"/>
      <c r="AA702" s="10"/>
      <c r="AB702" s="10"/>
      <c r="AC702" s="10"/>
      <c r="AD702" s="10"/>
      <c r="AE702" s="10"/>
      <c r="AF702" s="10"/>
    </row>
    <row r="703" hidden="1">
      <c r="A703" s="9" t="s">
        <v>920</v>
      </c>
      <c r="B703" s="84"/>
      <c r="C703" s="9"/>
      <c r="D703" s="9" t="str">
        <f t="shared" si="1"/>
        <v/>
      </c>
      <c r="E703" s="10" t="str">
        <f t="shared" si="2"/>
        <v>OT Hours</v>
      </c>
      <c r="F703" s="10" t="str">
        <f>IFERROR(VLOOKUP(C703,'Employees List'!$B$1:$I$999,4,0),"")</f>
        <v/>
      </c>
      <c r="G703" s="10" t="str">
        <f t="shared" si="21"/>
        <v>#DIV/0!</v>
      </c>
      <c r="H703" s="72" t="str">
        <f>IFERROR(VLOOKUP(C703,'Employees List'!$B$2:$I$991,7,0),"")</f>
        <v/>
      </c>
      <c r="I703" s="73" t="str">
        <f>IFERROR(VLOOKUP(F703,'Employees List'!$E$1:$AE$991,6,0),"")</f>
        <v/>
      </c>
      <c r="J703" s="71">
        <f t="shared" si="3"/>
        <v>0</v>
      </c>
      <c r="K703" s="71">
        <f t="shared" si="4"/>
        <v>0</v>
      </c>
      <c r="L703" s="10" t="str">
        <f>IFERROR(VLOOKUP(B703,'Employees List'!$A$2:$K$991,11,0),"")</f>
        <v/>
      </c>
      <c r="M703" s="74" t="str">
        <f>IFERROR(VLOOKUP(D703,'Daily Attendance 25-26'!$A$4:BP999,5,0),"")</f>
        <v/>
      </c>
      <c r="N703" s="10" t="str">
        <f>IFERROR(VLOOKUP(E703,'Daily Attendance 25-26'!$A$1:$BO$1741,5,0),"")</f>
        <v/>
      </c>
      <c r="O703" s="10"/>
      <c r="P703" s="10"/>
      <c r="Q703" s="10" t="str">
        <f t="shared" si="5"/>
        <v>#DIV/0!</v>
      </c>
      <c r="R703" s="10" t="str">
        <f t="shared" si="6"/>
        <v>#DIV/0!</v>
      </c>
      <c r="S703" s="10" t="str">
        <f t="shared" si="23"/>
        <v>#DIV/0!</v>
      </c>
      <c r="T703" s="10" t="str">
        <f t="shared" si="22"/>
        <v>#DIV/0!</v>
      </c>
      <c r="U703" s="10" t="str">
        <f t="shared" si="8"/>
        <v>#DIV/0!</v>
      </c>
      <c r="V703" s="10"/>
      <c r="W703" s="10"/>
      <c r="X703" s="10"/>
      <c r="Y703" s="10"/>
      <c r="Z703" s="10"/>
      <c r="AA703" s="10"/>
      <c r="AB703" s="10"/>
      <c r="AC703" s="10"/>
      <c r="AD703" s="10"/>
      <c r="AE703" s="10"/>
      <c r="AF703" s="10"/>
    </row>
    <row r="704" hidden="1">
      <c r="A704" s="9" t="s">
        <v>921</v>
      </c>
      <c r="B704" s="84"/>
      <c r="C704" s="9"/>
      <c r="D704" s="9" t="str">
        <f t="shared" si="1"/>
        <v/>
      </c>
      <c r="E704" s="10" t="str">
        <f t="shared" si="2"/>
        <v>OT Hours</v>
      </c>
      <c r="F704" s="10" t="str">
        <f>IFERROR(VLOOKUP(C704,'Employees List'!$B$1:$I$999,4,0),"")</f>
        <v/>
      </c>
      <c r="G704" s="10" t="str">
        <f t="shared" si="21"/>
        <v>#DIV/0!</v>
      </c>
      <c r="H704" s="72" t="str">
        <f>IFERROR(VLOOKUP(C704,'Employees List'!$B$2:$I$991,7,0),"")</f>
        <v/>
      </c>
      <c r="I704" s="73" t="str">
        <f>IFERROR(VLOOKUP(F704,'Employees List'!$E$1:$AE$991,6,0),"")</f>
        <v/>
      </c>
      <c r="J704" s="71">
        <f t="shared" si="3"/>
        <v>0</v>
      </c>
      <c r="K704" s="71">
        <f t="shared" si="4"/>
        <v>0</v>
      </c>
      <c r="L704" s="10" t="str">
        <f>IFERROR(VLOOKUP(B704,'Employees List'!$A$2:$K$991,11,0),"")</f>
        <v/>
      </c>
      <c r="M704" s="74" t="str">
        <f>IFERROR(VLOOKUP(D704,'Daily Attendance 25-26'!$A$4:BP999,5,0),"")</f>
        <v/>
      </c>
      <c r="N704" s="10" t="str">
        <f>IFERROR(VLOOKUP(E704,'Daily Attendance 25-26'!$A$1:$BO$1741,5,0),"")</f>
        <v/>
      </c>
      <c r="O704" s="10"/>
      <c r="P704" s="10"/>
      <c r="Q704" s="10" t="str">
        <f t="shared" si="5"/>
        <v>#DIV/0!</v>
      </c>
      <c r="R704" s="10" t="str">
        <f t="shared" si="6"/>
        <v>#DIV/0!</v>
      </c>
      <c r="S704" s="10" t="str">
        <f t="shared" si="23"/>
        <v>#DIV/0!</v>
      </c>
      <c r="T704" s="10" t="str">
        <f t="shared" si="22"/>
        <v>#DIV/0!</v>
      </c>
      <c r="U704" s="10" t="str">
        <f t="shared" si="8"/>
        <v>#DIV/0!</v>
      </c>
      <c r="V704" s="10"/>
      <c r="W704" s="10"/>
      <c r="X704" s="10"/>
      <c r="Y704" s="10"/>
      <c r="Z704" s="10"/>
      <c r="AA704" s="10"/>
      <c r="AB704" s="10"/>
      <c r="AC704" s="10"/>
      <c r="AD704" s="10"/>
      <c r="AE704" s="10"/>
      <c r="AF704" s="10"/>
    </row>
    <row r="705" hidden="1">
      <c r="A705" s="9" t="s">
        <v>922</v>
      </c>
      <c r="B705" s="84"/>
      <c r="C705" s="9"/>
      <c r="D705" s="9" t="str">
        <f t="shared" si="1"/>
        <v/>
      </c>
      <c r="E705" s="10" t="str">
        <f t="shared" si="2"/>
        <v>OT Hours</v>
      </c>
      <c r="F705" s="10" t="str">
        <f>IFERROR(VLOOKUP(C705,'Employees List'!$B$1:$I$999,4,0),"")</f>
        <v/>
      </c>
      <c r="G705" s="10" t="str">
        <f t="shared" si="21"/>
        <v>#DIV/0!</v>
      </c>
      <c r="H705" s="72" t="str">
        <f>IFERROR(VLOOKUP(C705,'Employees List'!$B$2:$I$991,7,0),"")</f>
        <v/>
      </c>
      <c r="I705" s="73" t="str">
        <f>IFERROR(VLOOKUP(F705,'Employees List'!$E$1:$AE$991,6,0),"")</f>
        <v/>
      </c>
      <c r="J705" s="71">
        <f t="shared" si="3"/>
        <v>0</v>
      </c>
      <c r="K705" s="71">
        <f t="shared" si="4"/>
        <v>0</v>
      </c>
      <c r="L705" s="10" t="str">
        <f>IFERROR(VLOOKUP(B705,'Employees List'!$A$2:$K$991,11,0),"")</f>
        <v/>
      </c>
      <c r="M705" s="74" t="str">
        <f>IFERROR(VLOOKUP(D705,'Daily Attendance 25-26'!$A$4:BP999,5,0),"")</f>
        <v/>
      </c>
      <c r="N705" s="10" t="str">
        <f>IFERROR(VLOOKUP(E705,'Daily Attendance 25-26'!$A$1:$BO$1741,5,0),"")</f>
        <v/>
      </c>
      <c r="O705" s="10"/>
      <c r="P705" s="10"/>
      <c r="Q705" s="10" t="str">
        <f t="shared" si="5"/>
        <v>#DIV/0!</v>
      </c>
      <c r="R705" s="10" t="str">
        <f t="shared" si="6"/>
        <v>#DIV/0!</v>
      </c>
      <c r="S705" s="10" t="str">
        <f t="shared" si="23"/>
        <v>#DIV/0!</v>
      </c>
      <c r="T705" s="10" t="str">
        <f t="shared" si="22"/>
        <v>#DIV/0!</v>
      </c>
      <c r="U705" s="10" t="str">
        <f t="shared" si="8"/>
        <v>#DIV/0!</v>
      </c>
      <c r="V705" s="10"/>
      <c r="W705" s="10"/>
      <c r="X705" s="10"/>
      <c r="Y705" s="10"/>
      <c r="Z705" s="10"/>
      <c r="AA705" s="10"/>
      <c r="AB705" s="10"/>
      <c r="AC705" s="10"/>
      <c r="AD705" s="10"/>
      <c r="AE705" s="10"/>
      <c r="AF705" s="10"/>
    </row>
    <row r="706" hidden="1">
      <c r="A706" s="9" t="s">
        <v>923</v>
      </c>
      <c r="B706" s="84"/>
      <c r="C706" s="9"/>
      <c r="D706" s="9" t="str">
        <f t="shared" si="1"/>
        <v/>
      </c>
      <c r="E706" s="10" t="str">
        <f t="shared" si="2"/>
        <v>OT Hours</v>
      </c>
      <c r="F706" s="10" t="str">
        <f>IFERROR(VLOOKUP(C706,'Employees List'!$B$1:$I$999,4,0),"")</f>
        <v/>
      </c>
      <c r="G706" s="10" t="str">
        <f t="shared" si="21"/>
        <v>#DIV/0!</v>
      </c>
      <c r="H706" s="72" t="str">
        <f>IFERROR(VLOOKUP(C706,'Employees List'!$B$2:$I$991,7,0),"")</f>
        <v/>
      </c>
      <c r="I706" s="73" t="str">
        <f>IFERROR(VLOOKUP(F706,'Employees List'!$E$1:$AE$991,6,0),"")</f>
        <v/>
      </c>
      <c r="J706" s="71">
        <f t="shared" si="3"/>
        <v>0</v>
      </c>
      <c r="K706" s="71">
        <f t="shared" si="4"/>
        <v>0</v>
      </c>
      <c r="L706" s="10" t="str">
        <f>IFERROR(VLOOKUP(B706,'Employees List'!$A$2:$K$991,11,0),"")</f>
        <v/>
      </c>
      <c r="M706" s="74" t="str">
        <f>IFERROR(VLOOKUP(D706,'Daily Attendance 25-26'!$A$4:BP999,5,0),"")</f>
        <v/>
      </c>
      <c r="N706" s="10" t="str">
        <f>IFERROR(VLOOKUP(E706,'Daily Attendance 25-26'!$A$1:$BO$1741,5,0),"")</f>
        <v/>
      </c>
      <c r="O706" s="10"/>
      <c r="P706" s="10"/>
      <c r="Q706" s="10" t="str">
        <f t="shared" si="5"/>
        <v>#DIV/0!</v>
      </c>
      <c r="R706" s="10" t="str">
        <f t="shared" si="6"/>
        <v>#DIV/0!</v>
      </c>
      <c r="S706" s="10" t="str">
        <f t="shared" si="23"/>
        <v>#DIV/0!</v>
      </c>
      <c r="T706" s="10" t="str">
        <f t="shared" si="22"/>
        <v>#DIV/0!</v>
      </c>
      <c r="U706" s="10" t="str">
        <f t="shared" si="8"/>
        <v>#DIV/0!</v>
      </c>
      <c r="V706" s="10"/>
      <c r="W706" s="10"/>
      <c r="X706" s="10"/>
      <c r="Y706" s="10"/>
      <c r="Z706" s="10"/>
      <c r="AA706" s="10"/>
      <c r="AB706" s="10"/>
      <c r="AC706" s="10"/>
      <c r="AD706" s="10"/>
      <c r="AE706" s="10"/>
      <c r="AF706" s="10"/>
    </row>
    <row r="707" hidden="1">
      <c r="A707" s="9" t="s">
        <v>924</v>
      </c>
      <c r="B707" s="84"/>
      <c r="C707" s="9"/>
      <c r="D707" s="9" t="str">
        <f t="shared" si="1"/>
        <v/>
      </c>
      <c r="E707" s="10" t="str">
        <f t="shared" si="2"/>
        <v>OT Hours</v>
      </c>
      <c r="F707" s="10" t="str">
        <f>IFERROR(VLOOKUP(C707,'Employees List'!$B$1:$I$999,4,0),"")</f>
        <v/>
      </c>
      <c r="G707" s="10" t="str">
        <f t="shared" si="21"/>
        <v>#DIV/0!</v>
      </c>
      <c r="H707" s="72" t="str">
        <f>IFERROR(VLOOKUP(C707,'Employees List'!$B$2:$I$991,7,0),"")</f>
        <v/>
      </c>
      <c r="I707" s="73" t="str">
        <f>IFERROR(VLOOKUP(F707,'Employees List'!$E$1:$AE$991,6,0),"")</f>
        <v/>
      </c>
      <c r="J707" s="71">
        <f t="shared" si="3"/>
        <v>0</v>
      </c>
      <c r="K707" s="71">
        <f t="shared" si="4"/>
        <v>0</v>
      </c>
      <c r="L707" s="10" t="str">
        <f>IFERROR(VLOOKUP(B707,'Employees List'!$A$2:$K$991,11,0),"")</f>
        <v/>
      </c>
      <c r="M707" s="74" t="str">
        <f>IFERROR(VLOOKUP(D707,'Daily Attendance 25-26'!$A$4:BP999,5,0),"")</f>
        <v/>
      </c>
      <c r="N707" s="10" t="str">
        <f>IFERROR(VLOOKUP(E707,'Daily Attendance 25-26'!$A$1:$BO$1741,5,0),"")</f>
        <v/>
      </c>
      <c r="O707" s="10"/>
      <c r="P707" s="10"/>
      <c r="Q707" s="10" t="str">
        <f t="shared" si="5"/>
        <v>#DIV/0!</v>
      </c>
      <c r="R707" s="10" t="str">
        <f t="shared" si="6"/>
        <v>#DIV/0!</v>
      </c>
      <c r="S707" s="10" t="str">
        <f t="shared" si="23"/>
        <v>#DIV/0!</v>
      </c>
      <c r="T707" s="10" t="str">
        <f t="shared" si="22"/>
        <v>#DIV/0!</v>
      </c>
      <c r="U707" s="10" t="str">
        <f t="shared" si="8"/>
        <v>#DIV/0!</v>
      </c>
      <c r="V707" s="10"/>
      <c r="W707" s="10"/>
      <c r="X707" s="10"/>
      <c r="Y707" s="10"/>
      <c r="Z707" s="10"/>
      <c r="AA707" s="10"/>
      <c r="AB707" s="10"/>
      <c r="AC707" s="10"/>
      <c r="AD707" s="10"/>
      <c r="AE707" s="10"/>
      <c r="AF707" s="10"/>
    </row>
    <row r="708" hidden="1">
      <c r="A708" s="9" t="s">
        <v>925</v>
      </c>
      <c r="B708" s="84"/>
      <c r="C708" s="9"/>
      <c r="D708" s="9" t="str">
        <f t="shared" si="1"/>
        <v/>
      </c>
      <c r="E708" s="10" t="str">
        <f t="shared" si="2"/>
        <v>OT Hours</v>
      </c>
      <c r="F708" s="10" t="str">
        <f>IFERROR(VLOOKUP(C708,'Employees List'!$B$1:$I$999,4,0),"")</f>
        <v/>
      </c>
      <c r="G708" s="10" t="str">
        <f t="shared" si="21"/>
        <v>#DIV/0!</v>
      </c>
      <c r="H708" s="72" t="str">
        <f>IFERROR(VLOOKUP(C708,'Employees List'!$B$2:$I$991,7,0),"")</f>
        <v/>
      </c>
      <c r="I708" s="73" t="str">
        <f>IFERROR(VLOOKUP(F708,'Employees List'!$E$1:$AE$991,6,0),"")</f>
        <v/>
      </c>
      <c r="J708" s="71">
        <f t="shared" si="3"/>
        <v>0</v>
      </c>
      <c r="K708" s="71">
        <f t="shared" si="4"/>
        <v>0</v>
      </c>
      <c r="L708" s="10" t="str">
        <f>IFERROR(VLOOKUP(B708,'Employees List'!$A$2:$K$991,11,0),"")</f>
        <v/>
      </c>
      <c r="M708" s="74" t="str">
        <f>IFERROR(VLOOKUP(D708,'Daily Attendance 25-26'!$A$4:BP999,5,0),"")</f>
        <v/>
      </c>
      <c r="N708" s="10" t="str">
        <f>IFERROR(VLOOKUP(E708,'Daily Attendance 25-26'!$A$1:$BO$1741,5,0),"")</f>
        <v/>
      </c>
      <c r="O708" s="10"/>
      <c r="P708" s="10"/>
      <c r="Q708" s="10" t="str">
        <f t="shared" si="5"/>
        <v>#DIV/0!</v>
      </c>
      <c r="R708" s="10" t="str">
        <f t="shared" si="6"/>
        <v>#DIV/0!</v>
      </c>
      <c r="S708" s="10" t="str">
        <f t="shared" si="23"/>
        <v>#DIV/0!</v>
      </c>
      <c r="T708" s="10" t="str">
        <f t="shared" si="22"/>
        <v>#DIV/0!</v>
      </c>
      <c r="U708" s="10" t="str">
        <f t="shared" si="8"/>
        <v>#DIV/0!</v>
      </c>
      <c r="V708" s="10"/>
      <c r="W708" s="10"/>
      <c r="X708" s="10"/>
      <c r="Y708" s="10"/>
      <c r="Z708" s="10"/>
      <c r="AA708" s="10"/>
      <c r="AB708" s="10"/>
      <c r="AC708" s="10"/>
      <c r="AD708" s="10"/>
      <c r="AE708" s="10"/>
      <c r="AF708" s="10"/>
    </row>
    <row r="709" hidden="1">
      <c r="A709" s="9" t="s">
        <v>926</v>
      </c>
      <c r="B709" s="84"/>
      <c r="C709" s="9"/>
      <c r="D709" s="9" t="str">
        <f t="shared" si="1"/>
        <v/>
      </c>
      <c r="E709" s="10" t="str">
        <f t="shared" si="2"/>
        <v>OT Hours</v>
      </c>
      <c r="F709" s="10" t="str">
        <f>IFERROR(VLOOKUP(C709,'Employees List'!$B$1:$I$999,4,0),"")</f>
        <v/>
      </c>
      <c r="G709" s="10" t="str">
        <f t="shared" si="21"/>
        <v>#DIV/0!</v>
      </c>
      <c r="H709" s="72" t="str">
        <f>IFERROR(VLOOKUP(C709,'Employees List'!$B$2:$I$991,7,0),"")</f>
        <v/>
      </c>
      <c r="I709" s="73" t="str">
        <f>IFERROR(VLOOKUP(F709,'Employees List'!$E$1:$AE$991,6,0),"")</f>
        <v/>
      </c>
      <c r="J709" s="71">
        <f t="shared" si="3"/>
        <v>0</v>
      </c>
      <c r="K709" s="71">
        <f t="shared" si="4"/>
        <v>0</v>
      </c>
      <c r="L709" s="10" t="str">
        <f>IFERROR(VLOOKUP(B709,'Employees List'!$A$2:$K$991,11,0),"")</f>
        <v/>
      </c>
      <c r="M709" s="74" t="str">
        <f>IFERROR(VLOOKUP(D709,'Daily Attendance 25-26'!$A$4:BP999,5,0),"")</f>
        <v/>
      </c>
      <c r="N709" s="10" t="str">
        <f>IFERROR(VLOOKUP(E709,'Daily Attendance 25-26'!$A$1:$BO$1741,5,0),"")</f>
        <v/>
      </c>
      <c r="O709" s="10"/>
      <c r="P709" s="10"/>
      <c r="Q709" s="10" t="str">
        <f t="shared" si="5"/>
        <v>#DIV/0!</v>
      </c>
      <c r="R709" s="10" t="str">
        <f t="shared" si="6"/>
        <v>#DIV/0!</v>
      </c>
      <c r="S709" s="10" t="str">
        <f t="shared" si="23"/>
        <v>#DIV/0!</v>
      </c>
      <c r="T709" s="10" t="str">
        <f t="shared" si="22"/>
        <v>#DIV/0!</v>
      </c>
      <c r="U709" s="10" t="str">
        <f t="shared" si="8"/>
        <v>#DIV/0!</v>
      </c>
      <c r="V709" s="10"/>
      <c r="W709" s="10"/>
      <c r="X709" s="10"/>
      <c r="Y709" s="10"/>
      <c r="Z709" s="10"/>
      <c r="AA709" s="10"/>
      <c r="AB709" s="10"/>
      <c r="AC709" s="10"/>
      <c r="AD709" s="10"/>
      <c r="AE709" s="10"/>
      <c r="AF709" s="10"/>
    </row>
    <row r="710" hidden="1">
      <c r="A710" s="9" t="s">
        <v>927</v>
      </c>
      <c r="B710" s="84"/>
      <c r="C710" s="9"/>
      <c r="D710" s="9" t="str">
        <f t="shared" si="1"/>
        <v/>
      </c>
      <c r="E710" s="10" t="str">
        <f t="shared" si="2"/>
        <v>OT Hours</v>
      </c>
      <c r="F710" s="10" t="str">
        <f>IFERROR(VLOOKUP(C710,'Employees List'!$B$1:$I$999,4,0),"")</f>
        <v/>
      </c>
      <c r="G710" s="10" t="str">
        <f t="shared" si="21"/>
        <v>#DIV/0!</v>
      </c>
      <c r="H710" s="72" t="str">
        <f>IFERROR(VLOOKUP(C710,'Employees List'!$B$2:$I$991,7,0),"")</f>
        <v/>
      </c>
      <c r="I710" s="73" t="str">
        <f>IFERROR(VLOOKUP(F710,'Employees List'!$E$1:$AE$991,6,0),"")</f>
        <v/>
      </c>
      <c r="J710" s="71">
        <f t="shared" si="3"/>
        <v>0</v>
      </c>
      <c r="K710" s="71">
        <f t="shared" si="4"/>
        <v>0</v>
      </c>
      <c r="L710" s="10" t="str">
        <f>IFERROR(VLOOKUP(B710,'Employees List'!$A$2:$K$991,11,0),"")</f>
        <v/>
      </c>
      <c r="M710" s="74" t="str">
        <f>IFERROR(VLOOKUP(D710,'Daily Attendance 25-26'!$A$4:BP999,5,0),"")</f>
        <v/>
      </c>
      <c r="N710" s="10" t="str">
        <f>IFERROR(VLOOKUP(E710,'Daily Attendance 25-26'!$A$1:$BO$1741,5,0),"")</f>
        <v/>
      </c>
      <c r="O710" s="10"/>
      <c r="P710" s="10"/>
      <c r="Q710" s="10" t="str">
        <f t="shared" si="5"/>
        <v>#DIV/0!</v>
      </c>
      <c r="R710" s="10" t="str">
        <f t="shared" si="6"/>
        <v>#DIV/0!</v>
      </c>
      <c r="S710" s="10" t="str">
        <f t="shared" si="23"/>
        <v>#DIV/0!</v>
      </c>
      <c r="T710" s="10" t="str">
        <f t="shared" si="22"/>
        <v>#DIV/0!</v>
      </c>
      <c r="U710" s="10" t="str">
        <f t="shared" si="8"/>
        <v>#DIV/0!</v>
      </c>
      <c r="V710" s="10"/>
      <c r="W710" s="10"/>
      <c r="X710" s="10"/>
      <c r="Y710" s="10"/>
      <c r="Z710" s="10"/>
      <c r="AA710" s="10"/>
      <c r="AB710" s="10"/>
      <c r="AC710" s="10"/>
      <c r="AD710" s="10"/>
      <c r="AE710" s="10"/>
      <c r="AF710" s="10"/>
    </row>
    <row r="711" hidden="1">
      <c r="A711" s="9" t="s">
        <v>928</v>
      </c>
      <c r="B711" s="84"/>
      <c r="C711" s="9"/>
      <c r="D711" s="9" t="str">
        <f t="shared" si="1"/>
        <v/>
      </c>
      <c r="E711" s="10" t="str">
        <f t="shared" si="2"/>
        <v>OT Hours</v>
      </c>
      <c r="F711" s="10" t="str">
        <f>IFERROR(VLOOKUP(C711,'Employees List'!$B$1:$I$999,4,0),"")</f>
        <v/>
      </c>
      <c r="G711" s="10" t="str">
        <f t="shared" si="21"/>
        <v>#DIV/0!</v>
      </c>
      <c r="H711" s="72" t="str">
        <f>IFERROR(VLOOKUP(C711,'Employees List'!$B$2:$I$991,7,0),"")</f>
        <v/>
      </c>
      <c r="I711" s="73" t="str">
        <f>IFERROR(VLOOKUP(F711,'Employees List'!$E$1:$AE$991,6,0),"")</f>
        <v/>
      </c>
      <c r="J711" s="71">
        <f t="shared" si="3"/>
        <v>0</v>
      </c>
      <c r="K711" s="71">
        <f t="shared" si="4"/>
        <v>0</v>
      </c>
      <c r="L711" s="10" t="str">
        <f>IFERROR(VLOOKUP(B711,'Employees List'!$A$2:$K$991,11,0),"")</f>
        <v/>
      </c>
      <c r="M711" s="74" t="str">
        <f>IFERROR(VLOOKUP(D711,'Daily Attendance 25-26'!$A$4:BP999,5,0),"")</f>
        <v/>
      </c>
      <c r="N711" s="10" t="str">
        <f>IFERROR(VLOOKUP(E711,'Daily Attendance 25-26'!$A$1:$BO$1741,5,0),"")</f>
        <v/>
      </c>
      <c r="O711" s="10"/>
      <c r="P711" s="10"/>
      <c r="Q711" s="10" t="str">
        <f t="shared" si="5"/>
        <v>#DIV/0!</v>
      </c>
      <c r="R711" s="10" t="str">
        <f t="shared" si="6"/>
        <v>#DIV/0!</v>
      </c>
      <c r="S711" s="10" t="str">
        <f t="shared" si="23"/>
        <v>#DIV/0!</v>
      </c>
      <c r="T711" s="10" t="str">
        <f t="shared" si="22"/>
        <v>#DIV/0!</v>
      </c>
      <c r="U711" s="10" t="str">
        <f t="shared" si="8"/>
        <v>#DIV/0!</v>
      </c>
      <c r="V711" s="10"/>
      <c r="W711" s="10"/>
      <c r="X711" s="10"/>
      <c r="Y711" s="10"/>
      <c r="Z711" s="10"/>
      <c r="AA711" s="10"/>
      <c r="AB711" s="10"/>
      <c r="AC711" s="10"/>
      <c r="AD711" s="10"/>
      <c r="AE711" s="10"/>
      <c r="AF711" s="10"/>
    </row>
    <row r="712" hidden="1">
      <c r="A712" s="9" t="s">
        <v>929</v>
      </c>
      <c r="B712" s="84"/>
      <c r="C712" s="9"/>
      <c r="D712" s="9" t="str">
        <f t="shared" si="1"/>
        <v/>
      </c>
      <c r="E712" s="10" t="str">
        <f t="shared" si="2"/>
        <v>OT Hours</v>
      </c>
      <c r="F712" s="10" t="str">
        <f>IFERROR(VLOOKUP(C712,'Employees List'!$B$1:$I$999,4,0),"")</f>
        <v/>
      </c>
      <c r="G712" s="10" t="str">
        <f t="shared" si="21"/>
        <v>#DIV/0!</v>
      </c>
      <c r="H712" s="72" t="str">
        <f>IFERROR(VLOOKUP(C712,'Employees List'!$B$2:$I$991,7,0),"")</f>
        <v/>
      </c>
      <c r="I712" s="73" t="str">
        <f>IFERROR(VLOOKUP(F712,'Employees List'!$E$1:$AE$991,6,0),"")</f>
        <v/>
      </c>
      <c r="J712" s="71">
        <f t="shared" si="3"/>
        <v>0</v>
      </c>
      <c r="K712" s="71">
        <f t="shared" si="4"/>
        <v>0</v>
      </c>
      <c r="L712" s="10" t="str">
        <f>IFERROR(VLOOKUP(B712,'Employees List'!$A$2:$K$991,11,0),"")</f>
        <v/>
      </c>
      <c r="M712" s="74" t="str">
        <f>IFERROR(VLOOKUP(D712,'Daily Attendance 25-26'!$A$4:BP999,5,0),"")</f>
        <v/>
      </c>
      <c r="N712" s="10" t="str">
        <f>IFERROR(VLOOKUP(E712,'Daily Attendance 25-26'!$A$1:$BO$1741,5,0),"")</f>
        <v/>
      </c>
      <c r="O712" s="10"/>
      <c r="P712" s="10"/>
      <c r="Q712" s="10" t="str">
        <f t="shared" si="5"/>
        <v>#DIV/0!</v>
      </c>
      <c r="R712" s="10" t="str">
        <f t="shared" si="6"/>
        <v>#DIV/0!</v>
      </c>
      <c r="S712" s="10" t="str">
        <f t="shared" si="23"/>
        <v>#DIV/0!</v>
      </c>
      <c r="T712" s="10" t="str">
        <f t="shared" si="22"/>
        <v>#DIV/0!</v>
      </c>
      <c r="U712" s="10" t="str">
        <f t="shared" si="8"/>
        <v>#DIV/0!</v>
      </c>
      <c r="V712" s="10"/>
      <c r="W712" s="10"/>
      <c r="X712" s="10"/>
      <c r="Y712" s="10"/>
      <c r="Z712" s="10"/>
      <c r="AA712" s="10"/>
      <c r="AB712" s="10"/>
      <c r="AC712" s="10"/>
      <c r="AD712" s="10"/>
      <c r="AE712" s="10"/>
      <c r="AF712" s="10"/>
    </row>
    <row r="713" hidden="1">
      <c r="A713" s="9" t="s">
        <v>930</v>
      </c>
      <c r="B713" s="84"/>
      <c r="C713" s="9"/>
      <c r="D713" s="9" t="str">
        <f t="shared" si="1"/>
        <v/>
      </c>
      <c r="E713" s="10" t="str">
        <f t="shared" si="2"/>
        <v>OT Hours</v>
      </c>
      <c r="F713" s="10" t="str">
        <f>IFERROR(VLOOKUP(C713,'Employees List'!$B$1:$I$999,4,0),"")</f>
        <v/>
      </c>
      <c r="G713" s="10" t="str">
        <f t="shared" si="21"/>
        <v>#DIV/0!</v>
      </c>
      <c r="H713" s="72" t="str">
        <f>IFERROR(VLOOKUP(C713,'Employees List'!$B$2:$I$991,7,0),"")</f>
        <v/>
      </c>
      <c r="I713" s="73" t="str">
        <f>IFERROR(VLOOKUP(F713,'Employees List'!$E$1:$AE$991,6,0),"")</f>
        <v/>
      </c>
      <c r="J713" s="71">
        <f t="shared" si="3"/>
        <v>0</v>
      </c>
      <c r="K713" s="71">
        <f t="shared" si="4"/>
        <v>0</v>
      </c>
      <c r="L713" s="10" t="str">
        <f>IFERROR(VLOOKUP(B713,'Employees List'!$A$2:$K$991,11,0),"")</f>
        <v/>
      </c>
      <c r="M713" s="74" t="str">
        <f>IFERROR(VLOOKUP(D713,'Daily Attendance 25-26'!$A$4:BP999,5,0),"")</f>
        <v/>
      </c>
      <c r="N713" s="10" t="str">
        <f>IFERROR(VLOOKUP(E713,'Daily Attendance 25-26'!$A$1:$BO$1741,5,0),"")</f>
        <v/>
      </c>
      <c r="O713" s="10"/>
      <c r="P713" s="10"/>
      <c r="Q713" s="10" t="str">
        <f t="shared" si="5"/>
        <v>#DIV/0!</v>
      </c>
      <c r="R713" s="10" t="str">
        <f t="shared" si="6"/>
        <v>#DIV/0!</v>
      </c>
      <c r="S713" s="10" t="str">
        <f t="shared" si="23"/>
        <v>#DIV/0!</v>
      </c>
      <c r="T713" s="10" t="str">
        <f t="shared" si="22"/>
        <v>#DIV/0!</v>
      </c>
      <c r="U713" s="10" t="str">
        <f t="shared" si="8"/>
        <v>#DIV/0!</v>
      </c>
      <c r="V713" s="10"/>
      <c r="W713" s="10"/>
      <c r="X713" s="10"/>
      <c r="Y713" s="10"/>
      <c r="Z713" s="10"/>
      <c r="AA713" s="10"/>
      <c r="AB713" s="10"/>
      <c r="AC713" s="10"/>
      <c r="AD713" s="10"/>
      <c r="AE713" s="10"/>
      <c r="AF713" s="10"/>
    </row>
    <row r="714" hidden="1">
      <c r="A714" s="9" t="s">
        <v>931</v>
      </c>
      <c r="B714" s="84"/>
      <c r="C714" s="9"/>
      <c r="D714" s="9" t="str">
        <f t="shared" si="1"/>
        <v/>
      </c>
      <c r="E714" s="10" t="str">
        <f t="shared" si="2"/>
        <v>OT Hours</v>
      </c>
      <c r="F714" s="10" t="str">
        <f>IFERROR(VLOOKUP(C714,'Employees List'!$B$1:$I$999,4,0),"")</f>
        <v/>
      </c>
      <c r="G714" s="10" t="str">
        <f t="shared" si="21"/>
        <v>#DIV/0!</v>
      </c>
      <c r="H714" s="72" t="str">
        <f>IFERROR(VLOOKUP(C714,'Employees List'!$B$2:$I$991,7,0),"")</f>
        <v/>
      </c>
      <c r="I714" s="73" t="str">
        <f>IFERROR(VLOOKUP(F714,'Employees List'!$E$1:$AE$991,6,0),"")</f>
        <v/>
      </c>
      <c r="J714" s="71">
        <f t="shared" si="3"/>
        <v>0</v>
      </c>
      <c r="K714" s="71">
        <f t="shared" si="4"/>
        <v>0</v>
      </c>
      <c r="L714" s="10" t="str">
        <f>IFERROR(VLOOKUP(B714,'Employees List'!$A$2:$K$991,11,0),"")</f>
        <v/>
      </c>
      <c r="M714" s="74" t="str">
        <f>IFERROR(VLOOKUP(D714,'Daily Attendance 25-26'!$A$4:BP999,5,0),"")</f>
        <v/>
      </c>
      <c r="N714" s="10" t="str">
        <f>IFERROR(VLOOKUP(E714,'Daily Attendance 25-26'!$A$1:$BO$1741,5,0),"")</f>
        <v/>
      </c>
      <c r="O714" s="10"/>
      <c r="P714" s="10"/>
      <c r="Q714" s="10" t="str">
        <f t="shared" si="5"/>
        <v>#DIV/0!</v>
      </c>
      <c r="R714" s="10" t="str">
        <f t="shared" si="6"/>
        <v>#DIV/0!</v>
      </c>
      <c r="S714" s="10" t="str">
        <f t="shared" si="23"/>
        <v>#DIV/0!</v>
      </c>
      <c r="T714" s="10" t="str">
        <f t="shared" si="22"/>
        <v>#DIV/0!</v>
      </c>
      <c r="U714" s="10" t="str">
        <f t="shared" si="8"/>
        <v>#DIV/0!</v>
      </c>
      <c r="V714" s="10"/>
      <c r="W714" s="10"/>
      <c r="X714" s="10"/>
      <c r="Y714" s="10"/>
      <c r="Z714" s="10"/>
      <c r="AA714" s="10"/>
      <c r="AB714" s="10"/>
      <c r="AC714" s="10"/>
      <c r="AD714" s="10"/>
      <c r="AE714" s="10"/>
      <c r="AF714" s="10"/>
    </row>
    <row r="715" hidden="1">
      <c r="A715" s="9" t="s">
        <v>932</v>
      </c>
      <c r="B715" s="84"/>
      <c r="C715" s="9"/>
      <c r="D715" s="9" t="str">
        <f t="shared" si="1"/>
        <v/>
      </c>
      <c r="E715" s="10" t="str">
        <f t="shared" si="2"/>
        <v>OT Hours</v>
      </c>
      <c r="F715" s="10" t="str">
        <f>IFERROR(VLOOKUP(C715,'Employees List'!$B$1:$I$999,4,0),"")</f>
        <v/>
      </c>
      <c r="G715" s="10" t="str">
        <f t="shared" si="21"/>
        <v>#DIV/0!</v>
      </c>
      <c r="H715" s="72" t="str">
        <f>IFERROR(VLOOKUP(C715,'Employees List'!$B$2:$I$991,7,0),"")</f>
        <v/>
      </c>
      <c r="I715" s="73" t="str">
        <f>IFERROR(VLOOKUP(F715,'Employees List'!$E$1:$AE$991,6,0),"")</f>
        <v/>
      </c>
      <c r="J715" s="71">
        <f t="shared" si="3"/>
        <v>0</v>
      </c>
      <c r="K715" s="71">
        <f t="shared" si="4"/>
        <v>0</v>
      </c>
      <c r="L715" s="10" t="str">
        <f>IFERROR(VLOOKUP(B715,'Employees List'!$A$2:$K$991,11,0),"")</f>
        <v/>
      </c>
      <c r="M715" s="74" t="str">
        <f>IFERROR(VLOOKUP(D715,'Daily Attendance 25-26'!$A$4:BP999,5,0),"")</f>
        <v/>
      </c>
      <c r="N715" s="10" t="str">
        <f>IFERROR(VLOOKUP(E715,'Daily Attendance 25-26'!$A$1:$BO$1741,5,0),"")</f>
        <v/>
      </c>
      <c r="O715" s="10"/>
      <c r="P715" s="10"/>
      <c r="Q715" s="10" t="str">
        <f t="shared" si="5"/>
        <v>#DIV/0!</v>
      </c>
      <c r="R715" s="10" t="str">
        <f t="shared" si="6"/>
        <v>#DIV/0!</v>
      </c>
      <c r="S715" s="10" t="str">
        <f t="shared" si="23"/>
        <v>#DIV/0!</v>
      </c>
      <c r="T715" s="10" t="str">
        <f t="shared" si="22"/>
        <v>#DIV/0!</v>
      </c>
      <c r="U715" s="10" t="str">
        <f t="shared" si="8"/>
        <v>#DIV/0!</v>
      </c>
      <c r="V715" s="10"/>
      <c r="W715" s="10"/>
      <c r="X715" s="10"/>
      <c r="Y715" s="10"/>
      <c r="Z715" s="10"/>
      <c r="AA715" s="10"/>
      <c r="AB715" s="10"/>
      <c r="AC715" s="10"/>
      <c r="AD715" s="10"/>
      <c r="AE715" s="10"/>
      <c r="AF715" s="10"/>
    </row>
    <row r="716" hidden="1">
      <c r="A716" s="9" t="s">
        <v>933</v>
      </c>
      <c r="B716" s="84"/>
      <c r="C716" s="9"/>
      <c r="D716" s="9" t="str">
        <f t="shared" si="1"/>
        <v/>
      </c>
      <c r="E716" s="10" t="str">
        <f t="shared" si="2"/>
        <v>OT Hours</v>
      </c>
      <c r="F716" s="10" t="str">
        <f>IFERROR(VLOOKUP(C716,'Employees List'!$B$1:$I$999,4,0),"")</f>
        <v/>
      </c>
      <c r="G716" s="10" t="str">
        <f t="shared" si="21"/>
        <v>#DIV/0!</v>
      </c>
      <c r="H716" s="72" t="str">
        <f>IFERROR(VLOOKUP(C716,'Employees List'!$B$2:$I$991,7,0),"")</f>
        <v/>
      </c>
      <c r="I716" s="73" t="str">
        <f>IFERROR(VLOOKUP(F716,'Employees List'!$E$1:$AE$991,6,0),"")</f>
        <v/>
      </c>
      <c r="J716" s="71">
        <f t="shared" si="3"/>
        <v>0</v>
      </c>
      <c r="K716" s="71">
        <f t="shared" si="4"/>
        <v>0</v>
      </c>
      <c r="L716" s="10" t="str">
        <f>IFERROR(VLOOKUP(B716,'Employees List'!$A$2:$K$991,11,0),"")</f>
        <v/>
      </c>
      <c r="M716" s="74" t="str">
        <f>IFERROR(VLOOKUP(D716,'Daily Attendance 25-26'!$A$4:BP999,5,0),"")</f>
        <v/>
      </c>
      <c r="N716" s="10" t="str">
        <f>IFERROR(VLOOKUP(E716,'Daily Attendance 25-26'!$A$1:$BO$1741,5,0),"")</f>
        <v/>
      </c>
      <c r="O716" s="10"/>
      <c r="P716" s="10"/>
      <c r="Q716" s="10" t="str">
        <f t="shared" si="5"/>
        <v>#DIV/0!</v>
      </c>
      <c r="R716" s="10" t="str">
        <f t="shared" si="6"/>
        <v>#DIV/0!</v>
      </c>
      <c r="S716" s="10" t="str">
        <f t="shared" si="23"/>
        <v>#DIV/0!</v>
      </c>
      <c r="T716" s="10" t="str">
        <f t="shared" si="22"/>
        <v>#DIV/0!</v>
      </c>
      <c r="U716" s="10" t="str">
        <f t="shared" si="8"/>
        <v>#DIV/0!</v>
      </c>
      <c r="V716" s="10"/>
      <c r="W716" s="10"/>
      <c r="X716" s="10"/>
      <c r="Y716" s="10"/>
      <c r="Z716" s="10"/>
      <c r="AA716" s="10"/>
      <c r="AB716" s="10"/>
      <c r="AC716" s="10"/>
      <c r="AD716" s="10"/>
      <c r="AE716" s="10"/>
      <c r="AF716" s="10"/>
    </row>
    <row r="717" hidden="1">
      <c r="A717" s="9" t="s">
        <v>934</v>
      </c>
      <c r="B717" s="84"/>
      <c r="C717" s="9"/>
      <c r="D717" s="9" t="str">
        <f t="shared" si="1"/>
        <v/>
      </c>
      <c r="E717" s="10" t="str">
        <f t="shared" si="2"/>
        <v>OT Hours</v>
      </c>
      <c r="F717" s="10" t="str">
        <f>IFERROR(VLOOKUP(C717,'Employees List'!$B$1:$I$999,4,0),"")</f>
        <v/>
      </c>
      <c r="G717" s="10" t="str">
        <f t="shared" si="21"/>
        <v>#DIV/0!</v>
      </c>
      <c r="H717" s="72" t="str">
        <f>IFERROR(VLOOKUP(C717,'Employees List'!$B$2:$I$991,7,0),"")</f>
        <v/>
      </c>
      <c r="I717" s="73" t="str">
        <f>IFERROR(VLOOKUP(F717,'Employees List'!$E$1:$AE$991,6,0),"")</f>
        <v/>
      </c>
      <c r="J717" s="71">
        <f t="shared" si="3"/>
        <v>0</v>
      </c>
      <c r="K717" s="71">
        <f t="shared" si="4"/>
        <v>0</v>
      </c>
      <c r="L717" s="10" t="str">
        <f>IFERROR(VLOOKUP(B717,'Employees List'!$A$2:$K$991,11,0),"")</f>
        <v/>
      </c>
      <c r="M717" s="74" t="str">
        <f>IFERROR(VLOOKUP(D717,'Daily Attendance 25-26'!$A$4:BP999,5,0),"")</f>
        <v/>
      </c>
      <c r="N717" s="10" t="str">
        <f>IFERROR(VLOOKUP(E717,'Daily Attendance 25-26'!$A$1:$BO$1741,5,0),"")</f>
        <v/>
      </c>
      <c r="O717" s="10"/>
      <c r="P717" s="10"/>
      <c r="Q717" s="10" t="str">
        <f t="shared" si="5"/>
        <v>#DIV/0!</v>
      </c>
      <c r="R717" s="10" t="str">
        <f t="shared" si="6"/>
        <v>#DIV/0!</v>
      </c>
      <c r="S717" s="10" t="str">
        <f t="shared" si="23"/>
        <v>#DIV/0!</v>
      </c>
      <c r="T717" s="10" t="str">
        <f t="shared" si="22"/>
        <v>#DIV/0!</v>
      </c>
      <c r="U717" s="10" t="str">
        <f t="shared" si="8"/>
        <v>#DIV/0!</v>
      </c>
      <c r="V717" s="10"/>
      <c r="W717" s="10"/>
      <c r="X717" s="10"/>
      <c r="Y717" s="10"/>
      <c r="Z717" s="10"/>
      <c r="AA717" s="10"/>
      <c r="AB717" s="10"/>
      <c r="AC717" s="10"/>
      <c r="AD717" s="10"/>
      <c r="AE717" s="10"/>
      <c r="AF717" s="10"/>
    </row>
    <row r="718" hidden="1">
      <c r="A718" s="9" t="s">
        <v>935</v>
      </c>
      <c r="B718" s="84"/>
      <c r="C718" s="9"/>
      <c r="D718" s="9" t="str">
        <f t="shared" si="1"/>
        <v/>
      </c>
      <c r="E718" s="10" t="str">
        <f t="shared" si="2"/>
        <v>OT Hours</v>
      </c>
      <c r="F718" s="10" t="str">
        <f>IFERROR(VLOOKUP(C718,'Employees List'!$B$1:$I$999,4,0),"")</f>
        <v/>
      </c>
      <c r="G718" s="10" t="str">
        <f t="shared" si="21"/>
        <v>#DIV/0!</v>
      </c>
      <c r="H718" s="72" t="str">
        <f>IFERROR(VLOOKUP(C718,'Employees List'!$B$2:$I$991,7,0),"")</f>
        <v/>
      </c>
      <c r="I718" s="73" t="str">
        <f>IFERROR(VLOOKUP(F718,'Employees List'!$E$1:$AE$991,6,0),"")</f>
        <v/>
      </c>
      <c r="J718" s="71">
        <f t="shared" si="3"/>
        <v>0</v>
      </c>
      <c r="K718" s="71">
        <f t="shared" si="4"/>
        <v>0</v>
      </c>
      <c r="L718" s="10" t="str">
        <f>IFERROR(VLOOKUP(B718,'Employees List'!$A$2:$K$991,11,0),"")</f>
        <v/>
      </c>
      <c r="M718" s="74" t="str">
        <f>IFERROR(VLOOKUP(D718,'Daily Attendance 25-26'!$A$4:BP999,5,0),"")</f>
        <v/>
      </c>
      <c r="N718" s="10" t="str">
        <f>IFERROR(VLOOKUP(E718,'Daily Attendance 25-26'!$A$1:$BO$1741,5,0),"")</f>
        <v/>
      </c>
      <c r="O718" s="10"/>
      <c r="P718" s="10"/>
      <c r="Q718" s="10" t="str">
        <f t="shared" si="5"/>
        <v>#DIV/0!</v>
      </c>
      <c r="R718" s="10" t="str">
        <f t="shared" si="6"/>
        <v>#DIV/0!</v>
      </c>
      <c r="S718" s="10" t="str">
        <f t="shared" si="23"/>
        <v>#DIV/0!</v>
      </c>
      <c r="T718" s="10" t="str">
        <f t="shared" si="22"/>
        <v>#DIV/0!</v>
      </c>
      <c r="U718" s="10" t="str">
        <f t="shared" si="8"/>
        <v>#DIV/0!</v>
      </c>
      <c r="V718" s="10"/>
      <c r="W718" s="10"/>
      <c r="X718" s="10"/>
      <c r="Y718" s="10"/>
      <c r="Z718" s="10"/>
      <c r="AA718" s="10"/>
      <c r="AB718" s="10"/>
      <c r="AC718" s="10"/>
      <c r="AD718" s="10"/>
      <c r="AE718" s="10"/>
      <c r="AF718" s="10"/>
    </row>
    <row r="719" hidden="1">
      <c r="A719" s="9" t="s">
        <v>936</v>
      </c>
      <c r="B719" s="84"/>
      <c r="C719" s="9"/>
      <c r="D719" s="9" t="str">
        <f t="shared" si="1"/>
        <v/>
      </c>
      <c r="E719" s="10" t="str">
        <f t="shared" si="2"/>
        <v>OT Hours</v>
      </c>
      <c r="F719" s="10" t="str">
        <f>IFERROR(VLOOKUP(C719,'Employees List'!$B$1:$I$999,4,0),"")</f>
        <v/>
      </c>
      <c r="G719" s="10" t="str">
        <f t="shared" si="21"/>
        <v>#DIV/0!</v>
      </c>
      <c r="H719" s="72" t="str">
        <f>IFERROR(VLOOKUP(C719,'Employees List'!$B$2:$I$991,7,0),"")</f>
        <v/>
      </c>
      <c r="I719" s="73" t="str">
        <f>IFERROR(VLOOKUP(F719,'Employees List'!$E$1:$AE$991,6,0),"")</f>
        <v/>
      </c>
      <c r="J719" s="71">
        <f t="shared" si="3"/>
        <v>0</v>
      </c>
      <c r="K719" s="71">
        <f t="shared" si="4"/>
        <v>0</v>
      </c>
      <c r="L719" s="10" t="str">
        <f>IFERROR(VLOOKUP(B719,'Employees List'!$A$2:$K$991,11,0),"")</f>
        <v/>
      </c>
      <c r="M719" s="74" t="str">
        <f>IFERROR(VLOOKUP(D719,'Daily Attendance 25-26'!$A$4:BP999,5,0),"")</f>
        <v/>
      </c>
      <c r="N719" s="10" t="str">
        <f>IFERROR(VLOOKUP(E719,'Daily Attendance 25-26'!$A$1:$BO$1741,5,0),"")</f>
        <v/>
      </c>
      <c r="O719" s="10"/>
      <c r="P719" s="10"/>
      <c r="Q719" s="10" t="str">
        <f t="shared" si="5"/>
        <v>#DIV/0!</v>
      </c>
      <c r="R719" s="10" t="str">
        <f t="shared" si="6"/>
        <v>#DIV/0!</v>
      </c>
      <c r="S719" s="10" t="str">
        <f t="shared" si="23"/>
        <v>#DIV/0!</v>
      </c>
      <c r="T719" s="10" t="str">
        <f t="shared" si="22"/>
        <v>#DIV/0!</v>
      </c>
      <c r="U719" s="10" t="str">
        <f t="shared" si="8"/>
        <v>#DIV/0!</v>
      </c>
      <c r="V719" s="10"/>
      <c r="W719" s="10"/>
      <c r="X719" s="10"/>
      <c r="Y719" s="10"/>
      <c r="Z719" s="10"/>
      <c r="AA719" s="10"/>
      <c r="AB719" s="10"/>
      <c r="AC719" s="10"/>
      <c r="AD719" s="10"/>
      <c r="AE719" s="10"/>
      <c r="AF719" s="10"/>
    </row>
    <row r="720" hidden="1">
      <c r="A720" s="9" t="s">
        <v>937</v>
      </c>
      <c r="B720" s="84"/>
      <c r="C720" s="9"/>
      <c r="D720" s="9" t="str">
        <f t="shared" si="1"/>
        <v/>
      </c>
      <c r="E720" s="10" t="str">
        <f t="shared" si="2"/>
        <v>OT Hours</v>
      </c>
      <c r="F720" s="10" t="str">
        <f>IFERROR(VLOOKUP(C720,'Employees List'!$B$1:$I$999,4,0),"")</f>
        <v/>
      </c>
      <c r="G720" s="10" t="str">
        <f t="shared" si="21"/>
        <v>#DIV/0!</v>
      </c>
      <c r="H720" s="72" t="str">
        <f>IFERROR(VLOOKUP(C720,'Employees List'!$B$2:$I$991,7,0),"")</f>
        <v/>
      </c>
      <c r="I720" s="73" t="str">
        <f>IFERROR(VLOOKUP(F720,'Employees List'!$E$1:$AE$991,6,0),"")</f>
        <v/>
      </c>
      <c r="J720" s="71">
        <f t="shared" si="3"/>
        <v>0</v>
      </c>
      <c r="K720" s="71">
        <f t="shared" si="4"/>
        <v>0</v>
      </c>
      <c r="L720" s="10" t="str">
        <f>IFERROR(VLOOKUP(B720,'Employees List'!$A$2:$K$991,11,0),"")</f>
        <v/>
      </c>
      <c r="M720" s="74" t="str">
        <f>IFERROR(VLOOKUP(D720,'Daily Attendance 25-26'!$A$4:BP999,5,0),"")</f>
        <v/>
      </c>
      <c r="N720" s="10" t="str">
        <f>IFERROR(VLOOKUP(E720,'Daily Attendance 25-26'!$A$1:$BO$1741,5,0),"")</f>
        <v/>
      </c>
      <c r="O720" s="10"/>
      <c r="P720" s="10"/>
      <c r="Q720" s="10" t="str">
        <f t="shared" si="5"/>
        <v>#DIV/0!</v>
      </c>
      <c r="R720" s="10" t="str">
        <f t="shared" si="6"/>
        <v>#DIV/0!</v>
      </c>
      <c r="S720" s="10" t="str">
        <f t="shared" si="23"/>
        <v>#DIV/0!</v>
      </c>
      <c r="T720" s="10" t="str">
        <f t="shared" si="22"/>
        <v>#DIV/0!</v>
      </c>
      <c r="U720" s="10" t="str">
        <f t="shared" si="8"/>
        <v>#DIV/0!</v>
      </c>
      <c r="V720" s="10"/>
      <c r="W720" s="10"/>
      <c r="X720" s="10"/>
      <c r="Y720" s="10"/>
      <c r="Z720" s="10"/>
      <c r="AA720" s="10"/>
      <c r="AB720" s="10"/>
      <c r="AC720" s="10"/>
      <c r="AD720" s="10"/>
      <c r="AE720" s="10"/>
      <c r="AF720" s="10"/>
    </row>
    <row r="721" hidden="1">
      <c r="A721" s="9" t="s">
        <v>938</v>
      </c>
      <c r="B721" s="84"/>
      <c r="C721" s="9"/>
      <c r="D721" s="9" t="str">
        <f t="shared" si="1"/>
        <v/>
      </c>
      <c r="E721" s="10" t="str">
        <f t="shared" si="2"/>
        <v>OT Hours</v>
      </c>
      <c r="F721" s="10" t="str">
        <f>IFERROR(VLOOKUP(C721,'Employees List'!$B$1:$I$999,4,0),"")</f>
        <v/>
      </c>
      <c r="G721" s="10" t="str">
        <f t="shared" si="21"/>
        <v>#DIV/0!</v>
      </c>
      <c r="H721" s="72" t="str">
        <f>IFERROR(VLOOKUP(C721,'Employees List'!$B$2:$I$991,7,0),"")</f>
        <v/>
      </c>
      <c r="I721" s="73" t="str">
        <f>IFERROR(VLOOKUP(F721,'Employees List'!$E$1:$AE$991,6,0),"")</f>
        <v/>
      </c>
      <c r="J721" s="71">
        <f t="shared" si="3"/>
        <v>0</v>
      </c>
      <c r="K721" s="71">
        <f t="shared" si="4"/>
        <v>0</v>
      </c>
      <c r="L721" s="10" t="str">
        <f>IFERROR(VLOOKUP(B721,'Employees List'!$A$2:$K$991,11,0),"")</f>
        <v/>
      </c>
      <c r="M721" s="74" t="str">
        <f>IFERROR(VLOOKUP(D721,'Daily Attendance 25-26'!$A$4:BP999,5,0),"")</f>
        <v/>
      </c>
      <c r="N721" s="10" t="str">
        <f>IFERROR(VLOOKUP(E721,'Daily Attendance 25-26'!$A$1:$BO$1741,5,0),"")</f>
        <v/>
      </c>
      <c r="O721" s="10"/>
      <c r="P721" s="10"/>
      <c r="Q721" s="10" t="str">
        <f t="shared" si="5"/>
        <v>#DIV/0!</v>
      </c>
      <c r="R721" s="10" t="str">
        <f t="shared" si="6"/>
        <v>#DIV/0!</v>
      </c>
      <c r="S721" s="10" t="str">
        <f t="shared" si="23"/>
        <v>#DIV/0!</v>
      </c>
      <c r="T721" s="10" t="str">
        <f t="shared" si="22"/>
        <v>#DIV/0!</v>
      </c>
      <c r="U721" s="10" t="str">
        <f t="shared" si="8"/>
        <v>#DIV/0!</v>
      </c>
      <c r="V721" s="10"/>
      <c r="W721" s="10"/>
      <c r="X721" s="10"/>
      <c r="Y721" s="10"/>
      <c r="Z721" s="10"/>
      <c r="AA721" s="10"/>
      <c r="AB721" s="10"/>
      <c r="AC721" s="10"/>
      <c r="AD721" s="10"/>
      <c r="AE721" s="10"/>
      <c r="AF721" s="10"/>
    </row>
    <row r="722" hidden="1">
      <c r="A722" s="9" t="s">
        <v>939</v>
      </c>
      <c r="B722" s="84"/>
      <c r="C722" s="9"/>
      <c r="D722" s="9" t="str">
        <f t="shared" si="1"/>
        <v/>
      </c>
      <c r="E722" s="10" t="str">
        <f t="shared" si="2"/>
        <v>OT Hours</v>
      </c>
      <c r="F722" s="10" t="str">
        <f>IFERROR(VLOOKUP(C722,'Employees List'!$B$1:$I$999,4,0),"")</f>
        <v/>
      </c>
      <c r="G722" s="10" t="str">
        <f t="shared" si="21"/>
        <v>#DIV/0!</v>
      </c>
      <c r="H722" s="72" t="str">
        <f>IFERROR(VLOOKUP(C722,'Employees List'!$B$2:$I$991,7,0),"")</f>
        <v/>
      </c>
      <c r="I722" s="73" t="str">
        <f>IFERROR(VLOOKUP(F722,'Employees List'!$E$1:$AE$991,6,0),"")</f>
        <v/>
      </c>
      <c r="J722" s="71">
        <f t="shared" si="3"/>
        <v>0</v>
      </c>
      <c r="K722" s="71">
        <f t="shared" si="4"/>
        <v>0</v>
      </c>
      <c r="L722" s="10" t="str">
        <f>IFERROR(VLOOKUP(B722,'Employees List'!$A$2:$K$991,11,0),"")</f>
        <v/>
      </c>
      <c r="M722" s="74" t="str">
        <f>IFERROR(VLOOKUP(D722,'Daily Attendance 25-26'!$A$4:BP999,5,0),"")</f>
        <v/>
      </c>
      <c r="N722" s="10" t="str">
        <f>IFERROR(VLOOKUP(E722,'Daily Attendance 25-26'!$A$1:$BO$1741,5,0),"")</f>
        <v/>
      </c>
      <c r="O722" s="10"/>
      <c r="P722" s="10"/>
      <c r="Q722" s="10" t="str">
        <f t="shared" si="5"/>
        <v>#DIV/0!</v>
      </c>
      <c r="R722" s="10" t="str">
        <f t="shared" si="6"/>
        <v>#DIV/0!</v>
      </c>
      <c r="S722" s="10" t="str">
        <f t="shared" si="23"/>
        <v>#DIV/0!</v>
      </c>
      <c r="T722" s="10" t="str">
        <f t="shared" si="22"/>
        <v>#DIV/0!</v>
      </c>
      <c r="U722" s="10" t="str">
        <f t="shared" si="8"/>
        <v>#DIV/0!</v>
      </c>
      <c r="V722" s="10"/>
      <c r="W722" s="10"/>
      <c r="X722" s="10"/>
      <c r="Y722" s="10"/>
      <c r="Z722" s="10"/>
      <c r="AA722" s="10"/>
      <c r="AB722" s="10"/>
      <c r="AC722" s="10"/>
      <c r="AD722" s="10"/>
      <c r="AE722" s="10"/>
      <c r="AF722" s="10"/>
    </row>
    <row r="723" hidden="1">
      <c r="A723" s="9" t="s">
        <v>940</v>
      </c>
      <c r="B723" s="84"/>
      <c r="C723" s="9"/>
      <c r="D723" s="9" t="str">
        <f t="shared" si="1"/>
        <v/>
      </c>
      <c r="E723" s="10" t="str">
        <f t="shared" si="2"/>
        <v>OT Hours</v>
      </c>
      <c r="F723" s="10" t="str">
        <f>IFERROR(VLOOKUP(C723,'Employees List'!$B$1:$I$999,4,0),"")</f>
        <v/>
      </c>
      <c r="G723" s="10" t="str">
        <f t="shared" si="21"/>
        <v>#DIV/0!</v>
      </c>
      <c r="H723" s="72" t="str">
        <f>IFERROR(VLOOKUP(C723,'Employees List'!$B$2:$I$991,7,0),"")</f>
        <v/>
      </c>
      <c r="I723" s="73" t="str">
        <f>IFERROR(VLOOKUP(F723,'Employees List'!$E$1:$AE$991,6,0),"")</f>
        <v/>
      </c>
      <c r="J723" s="71">
        <f t="shared" si="3"/>
        <v>0</v>
      </c>
      <c r="K723" s="71">
        <f t="shared" si="4"/>
        <v>0</v>
      </c>
      <c r="L723" s="10" t="str">
        <f>IFERROR(VLOOKUP(B723,'Employees List'!$A$2:$K$991,11,0),"")</f>
        <v/>
      </c>
      <c r="M723" s="74" t="str">
        <f>IFERROR(VLOOKUP(D723,'Daily Attendance 25-26'!$A$4:BP999,5,0),"")</f>
        <v/>
      </c>
      <c r="N723" s="10" t="str">
        <f>IFERROR(VLOOKUP(E723,'Daily Attendance 25-26'!$A$1:$BO$1741,5,0),"")</f>
        <v/>
      </c>
      <c r="O723" s="10"/>
      <c r="P723" s="10"/>
      <c r="Q723" s="10" t="str">
        <f t="shared" si="5"/>
        <v>#DIV/0!</v>
      </c>
      <c r="R723" s="10" t="str">
        <f t="shared" si="6"/>
        <v>#DIV/0!</v>
      </c>
      <c r="S723" s="10" t="str">
        <f t="shared" si="23"/>
        <v>#DIV/0!</v>
      </c>
      <c r="T723" s="10" t="str">
        <f t="shared" si="22"/>
        <v>#DIV/0!</v>
      </c>
      <c r="U723" s="10" t="str">
        <f t="shared" si="8"/>
        <v>#DIV/0!</v>
      </c>
      <c r="V723" s="10"/>
      <c r="W723" s="10"/>
      <c r="X723" s="10"/>
      <c r="Y723" s="10"/>
      <c r="Z723" s="10"/>
      <c r="AA723" s="10"/>
      <c r="AB723" s="10"/>
      <c r="AC723" s="10"/>
      <c r="AD723" s="10"/>
      <c r="AE723" s="10"/>
      <c r="AF723" s="10"/>
    </row>
    <row r="724" hidden="1">
      <c r="A724" s="9" t="s">
        <v>941</v>
      </c>
      <c r="B724" s="84"/>
      <c r="C724" s="9"/>
      <c r="D724" s="9" t="str">
        <f t="shared" si="1"/>
        <v/>
      </c>
      <c r="E724" s="10" t="str">
        <f t="shared" si="2"/>
        <v>OT Hours</v>
      </c>
      <c r="F724" s="10" t="str">
        <f>IFERROR(VLOOKUP(C724,'Employees List'!$B$1:$I$999,4,0),"")</f>
        <v/>
      </c>
      <c r="G724" s="10" t="str">
        <f t="shared" si="21"/>
        <v>#DIV/0!</v>
      </c>
      <c r="H724" s="72" t="str">
        <f>IFERROR(VLOOKUP(C724,'Employees List'!$B$2:$I$991,7,0),"")</f>
        <v/>
      </c>
      <c r="I724" s="73" t="str">
        <f>IFERROR(VLOOKUP(F724,'Employees List'!$E$1:$AE$991,6,0),"")</f>
        <v/>
      </c>
      <c r="J724" s="71">
        <f t="shared" si="3"/>
        <v>0</v>
      </c>
      <c r="K724" s="71">
        <f t="shared" si="4"/>
        <v>0</v>
      </c>
      <c r="L724" s="10" t="str">
        <f>IFERROR(VLOOKUP(B724,'Employees List'!$A$2:$K$991,11,0),"")</f>
        <v/>
      </c>
      <c r="M724" s="74" t="str">
        <f>IFERROR(VLOOKUP(D724,'Daily Attendance 25-26'!$A$4:BP999,5,0),"")</f>
        <v/>
      </c>
      <c r="N724" s="10" t="str">
        <f>IFERROR(VLOOKUP(E724,'Daily Attendance 25-26'!$A$1:$BO$1741,5,0),"")</f>
        <v/>
      </c>
      <c r="O724" s="10"/>
      <c r="P724" s="10"/>
      <c r="Q724" s="10" t="str">
        <f t="shared" si="5"/>
        <v>#DIV/0!</v>
      </c>
      <c r="R724" s="10" t="str">
        <f t="shared" si="6"/>
        <v>#DIV/0!</v>
      </c>
      <c r="S724" s="10" t="str">
        <f t="shared" si="23"/>
        <v>#DIV/0!</v>
      </c>
      <c r="T724" s="10" t="str">
        <f t="shared" si="22"/>
        <v>#DIV/0!</v>
      </c>
      <c r="U724" s="10" t="str">
        <f t="shared" si="8"/>
        <v>#DIV/0!</v>
      </c>
      <c r="V724" s="10"/>
      <c r="W724" s="10"/>
      <c r="X724" s="10"/>
      <c r="Y724" s="10"/>
      <c r="Z724" s="10"/>
      <c r="AA724" s="10"/>
      <c r="AB724" s="10"/>
      <c r="AC724" s="10"/>
      <c r="AD724" s="10"/>
      <c r="AE724" s="10"/>
      <c r="AF724" s="10"/>
    </row>
    <row r="725" hidden="1">
      <c r="A725" s="9" t="s">
        <v>942</v>
      </c>
      <c r="B725" s="84"/>
      <c r="C725" s="9"/>
      <c r="D725" s="9" t="str">
        <f t="shared" si="1"/>
        <v/>
      </c>
      <c r="E725" s="10" t="str">
        <f t="shared" si="2"/>
        <v>OT Hours</v>
      </c>
      <c r="F725" s="10" t="str">
        <f>IFERROR(VLOOKUP(C725,'Employees List'!$B$1:$I$999,4,0),"")</f>
        <v/>
      </c>
      <c r="G725" s="10" t="str">
        <f t="shared" si="21"/>
        <v>#DIV/0!</v>
      </c>
      <c r="H725" s="72" t="str">
        <f>IFERROR(VLOOKUP(C725,'Employees List'!$B$2:$I$991,7,0),"")</f>
        <v/>
      </c>
      <c r="I725" s="73" t="str">
        <f>IFERROR(VLOOKUP(F725,'Employees List'!$E$1:$AE$991,6,0),"")</f>
        <v/>
      </c>
      <c r="J725" s="71">
        <f t="shared" si="3"/>
        <v>0</v>
      </c>
      <c r="K725" s="71">
        <f t="shared" si="4"/>
        <v>0</v>
      </c>
      <c r="L725" s="10" t="str">
        <f>IFERROR(VLOOKUP(B725,'Employees List'!$A$2:$K$991,11,0),"")</f>
        <v/>
      </c>
      <c r="M725" s="74" t="str">
        <f>IFERROR(VLOOKUP(D725,'Daily Attendance 25-26'!$A$4:BP999,5,0),"")</f>
        <v/>
      </c>
      <c r="N725" s="10" t="str">
        <f>IFERROR(VLOOKUP(E725,'Daily Attendance 25-26'!$A$1:$BO$1741,5,0),"")</f>
        <v/>
      </c>
      <c r="O725" s="10"/>
      <c r="P725" s="10"/>
      <c r="Q725" s="10" t="str">
        <f t="shared" si="5"/>
        <v>#DIV/0!</v>
      </c>
      <c r="R725" s="10" t="str">
        <f t="shared" si="6"/>
        <v>#DIV/0!</v>
      </c>
      <c r="S725" s="10" t="str">
        <f t="shared" si="23"/>
        <v>#DIV/0!</v>
      </c>
      <c r="T725" s="10" t="str">
        <f t="shared" si="22"/>
        <v>#DIV/0!</v>
      </c>
      <c r="U725" s="10" t="str">
        <f t="shared" si="8"/>
        <v>#DIV/0!</v>
      </c>
      <c r="V725" s="10"/>
      <c r="W725" s="10"/>
      <c r="X725" s="10"/>
      <c r="Y725" s="10"/>
      <c r="Z725" s="10"/>
      <c r="AA725" s="10"/>
      <c r="AB725" s="10"/>
      <c r="AC725" s="10"/>
      <c r="AD725" s="10"/>
      <c r="AE725" s="10"/>
      <c r="AF725" s="10"/>
    </row>
    <row r="726" hidden="1">
      <c r="A726" s="9" t="s">
        <v>943</v>
      </c>
      <c r="B726" s="84"/>
      <c r="C726" s="9"/>
      <c r="D726" s="9" t="str">
        <f t="shared" si="1"/>
        <v/>
      </c>
      <c r="E726" s="10" t="str">
        <f t="shared" si="2"/>
        <v>OT Hours</v>
      </c>
      <c r="F726" s="10" t="str">
        <f>IFERROR(VLOOKUP(C726,'Employees List'!$B$1:$I$999,4,0),"")</f>
        <v/>
      </c>
      <c r="G726" s="10" t="str">
        <f t="shared" si="21"/>
        <v>#DIV/0!</v>
      </c>
      <c r="H726" s="72" t="str">
        <f>IFERROR(VLOOKUP(C726,'Employees List'!$B$2:$I$991,7,0),"")</f>
        <v/>
      </c>
      <c r="I726" s="73" t="str">
        <f>IFERROR(VLOOKUP(F726,'Employees List'!$E$1:$AE$991,6,0),"")</f>
        <v/>
      </c>
      <c r="J726" s="71">
        <f t="shared" si="3"/>
        <v>0</v>
      </c>
      <c r="K726" s="71">
        <f t="shared" si="4"/>
        <v>0</v>
      </c>
      <c r="L726" s="10" t="str">
        <f>IFERROR(VLOOKUP(B726,'Employees List'!$A$2:$K$991,11,0),"")</f>
        <v/>
      </c>
      <c r="M726" s="74" t="str">
        <f>IFERROR(VLOOKUP(D726,'Daily Attendance 25-26'!$A$4:BP999,5,0),"")</f>
        <v/>
      </c>
      <c r="N726" s="10" t="str">
        <f>IFERROR(VLOOKUP(E726,'Daily Attendance 25-26'!$A$1:$BO$1741,5,0),"")</f>
        <v/>
      </c>
      <c r="O726" s="10"/>
      <c r="P726" s="10"/>
      <c r="Q726" s="10" t="str">
        <f t="shared" si="5"/>
        <v>#DIV/0!</v>
      </c>
      <c r="R726" s="10" t="str">
        <f t="shared" si="6"/>
        <v>#DIV/0!</v>
      </c>
      <c r="S726" s="10" t="str">
        <f t="shared" si="23"/>
        <v>#DIV/0!</v>
      </c>
      <c r="T726" s="10" t="str">
        <f t="shared" si="22"/>
        <v>#DIV/0!</v>
      </c>
      <c r="U726" s="10" t="str">
        <f t="shared" si="8"/>
        <v>#DIV/0!</v>
      </c>
      <c r="V726" s="10"/>
      <c r="W726" s="10"/>
      <c r="X726" s="10"/>
      <c r="Y726" s="10"/>
      <c r="Z726" s="10"/>
      <c r="AA726" s="10"/>
      <c r="AB726" s="10"/>
      <c r="AC726" s="10"/>
      <c r="AD726" s="10"/>
      <c r="AE726" s="10"/>
      <c r="AF726" s="10"/>
    </row>
    <row r="727" hidden="1">
      <c r="A727" s="9" t="s">
        <v>944</v>
      </c>
      <c r="B727" s="84"/>
      <c r="C727" s="9"/>
      <c r="D727" s="9" t="str">
        <f t="shared" si="1"/>
        <v/>
      </c>
      <c r="E727" s="10" t="str">
        <f t="shared" si="2"/>
        <v>OT Hours</v>
      </c>
      <c r="F727" s="10" t="str">
        <f>IFERROR(VLOOKUP(C727,'Employees List'!$B$1:$I$999,4,0),"")</f>
        <v/>
      </c>
      <c r="G727" s="10" t="str">
        <f t="shared" si="21"/>
        <v>#DIV/0!</v>
      </c>
      <c r="H727" s="72" t="str">
        <f>IFERROR(VLOOKUP(C727,'Employees List'!$B$2:$I$991,7,0),"")</f>
        <v/>
      </c>
      <c r="I727" s="73" t="str">
        <f>IFERROR(VLOOKUP(F727,'Employees List'!$E$1:$AE$991,6,0),"")</f>
        <v/>
      </c>
      <c r="J727" s="71">
        <f t="shared" si="3"/>
        <v>0</v>
      </c>
      <c r="K727" s="71">
        <f t="shared" si="4"/>
        <v>0</v>
      </c>
      <c r="L727" s="10" t="str">
        <f>IFERROR(VLOOKUP(B727,'Employees List'!$A$2:$K$991,11,0),"")</f>
        <v/>
      </c>
      <c r="M727" s="74" t="str">
        <f>IFERROR(VLOOKUP(D727,'Daily Attendance 25-26'!$A$4:BP999,5,0),"")</f>
        <v/>
      </c>
      <c r="N727" s="10" t="str">
        <f>IFERROR(VLOOKUP(E727,'Daily Attendance 25-26'!$A$1:$BO$1741,5,0),"")</f>
        <v/>
      </c>
      <c r="O727" s="10"/>
      <c r="P727" s="10"/>
      <c r="Q727" s="10" t="str">
        <f t="shared" si="5"/>
        <v>#DIV/0!</v>
      </c>
      <c r="R727" s="10" t="str">
        <f t="shared" si="6"/>
        <v>#DIV/0!</v>
      </c>
      <c r="S727" s="10" t="str">
        <f t="shared" si="23"/>
        <v>#DIV/0!</v>
      </c>
      <c r="T727" s="10" t="str">
        <f t="shared" si="22"/>
        <v>#DIV/0!</v>
      </c>
      <c r="U727" s="10" t="str">
        <f t="shared" si="8"/>
        <v>#DIV/0!</v>
      </c>
      <c r="V727" s="10"/>
      <c r="W727" s="10"/>
      <c r="X727" s="10"/>
      <c r="Y727" s="10"/>
      <c r="Z727" s="10"/>
      <c r="AA727" s="10"/>
      <c r="AB727" s="10"/>
      <c r="AC727" s="10"/>
      <c r="AD727" s="10"/>
      <c r="AE727" s="10"/>
      <c r="AF727" s="10"/>
    </row>
    <row r="728" hidden="1">
      <c r="A728" s="9" t="s">
        <v>945</v>
      </c>
      <c r="B728" s="84"/>
      <c r="C728" s="9"/>
      <c r="D728" s="9" t="str">
        <f t="shared" si="1"/>
        <v/>
      </c>
      <c r="E728" s="10" t="str">
        <f t="shared" si="2"/>
        <v>OT Hours</v>
      </c>
      <c r="F728" s="10" t="str">
        <f>IFERROR(VLOOKUP(C728,'Employees List'!$B$1:$I$999,4,0),"")</f>
        <v/>
      </c>
      <c r="G728" s="10" t="str">
        <f t="shared" si="21"/>
        <v>#DIV/0!</v>
      </c>
      <c r="H728" s="72" t="str">
        <f>IFERROR(VLOOKUP(C728,'Employees List'!$B$2:$I$991,7,0),"")</f>
        <v/>
      </c>
      <c r="I728" s="73" t="str">
        <f>IFERROR(VLOOKUP(F728,'Employees List'!$E$1:$AE$991,6,0),"")</f>
        <v/>
      </c>
      <c r="J728" s="71">
        <f t="shared" si="3"/>
        <v>0</v>
      </c>
      <c r="K728" s="71">
        <f t="shared" si="4"/>
        <v>0</v>
      </c>
      <c r="L728" s="10" t="str">
        <f>IFERROR(VLOOKUP(B728,'Employees List'!$A$2:$K$991,11,0),"")</f>
        <v/>
      </c>
      <c r="M728" s="74" t="str">
        <f>IFERROR(VLOOKUP(D728,'Daily Attendance 25-26'!$A$4:BP999,5,0),"")</f>
        <v/>
      </c>
      <c r="N728" s="10" t="str">
        <f>IFERROR(VLOOKUP(E728,'Daily Attendance 25-26'!$A$1:$BO$1741,5,0),"")</f>
        <v/>
      </c>
      <c r="O728" s="10"/>
      <c r="P728" s="10"/>
      <c r="Q728" s="10" t="str">
        <f t="shared" si="5"/>
        <v>#DIV/0!</v>
      </c>
      <c r="R728" s="10" t="str">
        <f t="shared" si="6"/>
        <v>#DIV/0!</v>
      </c>
      <c r="S728" s="10" t="str">
        <f t="shared" si="23"/>
        <v>#DIV/0!</v>
      </c>
      <c r="T728" s="10" t="str">
        <f t="shared" si="22"/>
        <v>#DIV/0!</v>
      </c>
      <c r="U728" s="10" t="str">
        <f t="shared" si="8"/>
        <v>#DIV/0!</v>
      </c>
      <c r="V728" s="10"/>
      <c r="W728" s="10"/>
      <c r="X728" s="10"/>
      <c r="Y728" s="10"/>
      <c r="Z728" s="10"/>
      <c r="AA728" s="10"/>
      <c r="AB728" s="10"/>
      <c r="AC728" s="10"/>
      <c r="AD728" s="10"/>
      <c r="AE728" s="10"/>
      <c r="AF728" s="10"/>
    </row>
    <row r="729" hidden="1">
      <c r="A729" s="9" t="s">
        <v>946</v>
      </c>
      <c r="B729" s="84"/>
      <c r="C729" s="9"/>
      <c r="D729" s="9" t="str">
        <f t="shared" si="1"/>
        <v/>
      </c>
      <c r="E729" s="10" t="str">
        <f t="shared" si="2"/>
        <v>OT Hours</v>
      </c>
      <c r="F729" s="10" t="str">
        <f>IFERROR(VLOOKUP(C729,'Employees List'!$B$1:$I$999,4,0),"")</f>
        <v/>
      </c>
      <c r="G729" s="10" t="str">
        <f t="shared" si="21"/>
        <v>#DIV/0!</v>
      </c>
      <c r="H729" s="72" t="str">
        <f>IFERROR(VLOOKUP(C729,'Employees List'!$B$2:$I$991,7,0),"")</f>
        <v/>
      </c>
      <c r="I729" s="73" t="str">
        <f>IFERROR(VLOOKUP(F729,'Employees List'!$E$1:$AE$991,6,0),"")</f>
        <v/>
      </c>
      <c r="J729" s="71">
        <f t="shared" si="3"/>
        <v>0</v>
      </c>
      <c r="K729" s="71">
        <f t="shared" si="4"/>
        <v>0</v>
      </c>
      <c r="L729" s="10" t="str">
        <f>IFERROR(VLOOKUP(B729,'Employees List'!$A$2:$K$991,11,0),"")</f>
        <v/>
      </c>
      <c r="M729" s="74" t="str">
        <f>IFERROR(VLOOKUP(D729,'Daily Attendance 25-26'!$A$4:BP999,5,0),"")</f>
        <v/>
      </c>
      <c r="N729" s="10" t="str">
        <f>IFERROR(VLOOKUP(E729,'Daily Attendance 25-26'!$A$1:$BO$1741,5,0),"")</f>
        <v/>
      </c>
      <c r="O729" s="10"/>
      <c r="P729" s="10"/>
      <c r="Q729" s="10" t="str">
        <f t="shared" si="5"/>
        <v>#DIV/0!</v>
      </c>
      <c r="R729" s="10" t="str">
        <f t="shared" si="6"/>
        <v>#DIV/0!</v>
      </c>
      <c r="S729" s="10" t="str">
        <f t="shared" si="23"/>
        <v>#DIV/0!</v>
      </c>
      <c r="T729" s="10" t="str">
        <f t="shared" si="22"/>
        <v>#DIV/0!</v>
      </c>
      <c r="U729" s="10" t="str">
        <f t="shared" si="8"/>
        <v>#DIV/0!</v>
      </c>
      <c r="V729" s="10"/>
      <c r="W729" s="10"/>
      <c r="X729" s="10"/>
      <c r="Y729" s="10"/>
      <c r="Z729" s="10"/>
      <c r="AA729" s="10"/>
      <c r="AB729" s="10"/>
      <c r="AC729" s="10"/>
      <c r="AD729" s="10"/>
      <c r="AE729" s="10"/>
      <c r="AF729" s="10"/>
    </row>
    <row r="730" hidden="1">
      <c r="A730" s="9" t="s">
        <v>947</v>
      </c>
      <c r="B730" s="84"/>
      <c r="C730" s="9"/>
      <c r="D730" s="9" t="str">
        <f t="shared" si="1"/>
        <v/>
      </c>
      <c r="E730" s="10" t="str">
        <f t="shared" si="2"/>
        <v>OT Hours</v>
      </c>
      <c r="F730" s="10" t="str">
        <f>IFERROR(VLOOKUP(C730,'Employees List'!$B$1:$I$999,4,0),"")</f>
        <v/>
      </c>
      <c r="G730" s="10" t="str">
        <f t="shared" si="21"/>
        <v>#DIV/0!</v>
      </c>
      <c r="H730" s="72" t="str">
        <f>IFERROR(VLOOKUP(C730,'Employees List'!$B$2:$I$991,7,0),"")</f>
        <v/>
      </c>
      <c r="I730" s="73" t="str">
        <f>IFERROR(VLOOKUP(F730,'Employees List'!$E$1:$AE$991,6,0),"")</f>
        <v/>
      </c>
      <c r="J730" s="71">
        <f t="shared" si="3"/>
        <v>0</v>
      </c>
      <c r="K730" s="71">
        <f t="shared" si="4"/>
        <v>0</v>
      </c>
      <c r="L730" s="10" t="str">
        <f>IFERROR(VLOOKUP(B730,'Employees List'!$A$2:$K$991,11,0),"")</f>
        <v/>
      </c>
      <c r="M730" s="74" t="str">
        <f>IFERROR(VLOOKUP(D730,'Daily Attendance 25-26'!$A$4:BP999,5,0),"")</f>
        <v/>
      </c>
      <c r="N730" s="10" t="str">
        <f>IFERROR(VLOOKUP(E730,'Daily Attendance 25-26'!$A$1:$BO$1741,5,0),"")</f>
        <v/>
      </c>
      <c r="O730" s="10"/>
      <c r="P730" s="10"/>
      <c r="Q730" s="10" t="str">
        <f t="shared" si="5"/>
        <v>#DIV/0!</v>
      </c>
      <c r="R730" s="10" t="str">
        <f t="shared" si="6"/>
        <v>#DIV/0!</v>
      </c>
      <c r="S730" s="10" t="str">
        <f t="shared" si="23"/>
        <v>#DIV/0!</v>
      </c>
      <c r="T730" s="10" t="str">
        <f t="shared" si="22"/>
        <v>#DIV/0!</v>
      </c>
      <c r="U730" s="10" t="str">
        <f t="shared" si="8"/>
        <v>#DIV/0!</v>
      </c>
      <c r="V730" s="10"/>
      <c r="W730" s="10"/>
      <c r="X730" s="10"/>
      <c r="Y730" s="10"/>
      <c r="Z730" s="10"/>
      <c r="AA730" s="10"/>
      <c r="AB730" s="10"/>
      <c r="AC730" s="10"/>
      <c r="AD730" s="10"/>
      <c r="AE730" s="10"/>
      <c r="AF730" s="10"/>
    </row>
    <row r="731" hidden="1">
      <c r="A731" s="9" t="s">
        <v>948</v>
      </c>
      <c r="B731" s="84"/>
      <c r="C731" s="9"/>
      <c r="D731" s="9" t="str">
        <f t="shared" si="1"/>
        <v/>
      </c>
      <c r="E731" s="10" t="str">
        <f t="shared" si="2"/>
        <v>OT Hours</v>
      </c>
      <c r="F731" s="10" t="str">
        <f>IFERROR(VLOOKUP(C731,'Employees List'!$B$1:$I$999,4,0),"")</f>
        <v/>
      </c>
      <c r="G731" s="10" t="str">
        <f t="shared" si="21"/>
        <v>#DIV/0!</v>
      </c>
      <c r="H731" s="72" t="str">
        <f>IFERROR(VLOOKUP(C731,'Employees List'!$B$2:$I$991,7,0),"")</f>
        <v/>
      </c>
      <c r="I731" s="73" t="str">
        <f>IFERROR(VLOOKUP(F731,'Employees List'!$E$1:$AE$991,6,0),"")</f>
        <v/>
      </c>
      <c r="J731" s="71">
        <f t="shared" si="3"/>
        <v>0</v>
      </c>
      <c r="K731" s="71">
        <f t="shared" si="4"/>
        <v>0</v>
      </c>
      <c r="L731" s="10" t="str">
        <f>IFERROR(VLOOKUP(B731,'Employees List'!$A$2:$K$991,11,0),"")</f>
        <v/>
      </c>
      <c r="M731" s="74" t="str">
        <f>IFERROR(VLOOKUP(D731,'Daily Attendance 25-26'!$A$4:BP999,5,0),"")</f>
        <v/>
      </c>
      <c r="N731" s="10" t="str">
        <f>IFERROR(VLOOKUP(E731,'Daily Attendance 25-26'!$A$1:$BO$1741,5,0),"")</f>
        <v/>
      </c>
      <c r="O731" s="10"/>
      <c r="P731" s="10"/>
      <c r="Q731" s="10" t="str">
        <f t="shared" si="5"/>
        <v>#DIV/0!</v>
      </c>
      <c r="R731" s="10" t="str">
        <f t="shared" si="6"/>
        <v>#DIV/0!</v>
      </c>
      <c r="S731" s="10" t="str">
        <f t="shared" si="23"/>
        <v>#DIV/0!</v>
      </c>
      <c r="T731" s="10" t="str">
        <f t="shared" si="22"/>
        <v>#DIV/0!</v>
      </c>
      <c r="U731" s="10" t="str">
        <f t="shared" si="8"/>
        <v>#DIV/0!</v>
      </c>
      <c r="V731" s="10"/>
      <c r="W731" s="10"/>
      <c r="X731" s="10"/>
      <c r="Y731" s="10"/>
      <c r="Z731" s="10"/>
      <c r="AA731" s="10"/>
      <c r="AB731" s="10"/>
      <c r="AC731" s="10"/>
      <c r="AD731" s="10"/>
      <c r="AE731" s="10"/>
      <c r="AF731" s="10"/>
    </row>
    <row r="732" hidden="1">
      <c r="A732" s="9" t="s">
        <v>949</v>
      </c>
      <c r="B732" s="84"/>
      <c r="C732" s="9"/>
      <c r="D732" s="9" t="str">
        <f t="shared" si="1"/>
        <v/>
      </c>
      <c r="E732" s="10" t="str">
        <f t="shared" si="2"/>
        <v>OT Hours</v>
      </c>
      <c r="F732" s="10" t="str">
        <f>IFERROR(VLOOKUP(C732,'Employees List'!$B$1:$I$999,4,0),"")</f>
        <v/>
      </c>
      <c r="G732" s="10" t="str">
        <f t="shared" si="21"/>
        <v>#DIV/0!</v>
      </c>
      <c r="H732" s="72" t="str">
        <f>IFERROR(VLOOKUP(C732,'Employees List'!$B$2:$I$991,7,0),"")</f>
        <v/>
      </c>
      <c r="I732" s="73" t="str">
        <f>IFERROR(VLOOKUP(F732,'Employees List'!$E$1:$AE$991,6,0),"")</f>
        <v/>
      </c>
      <c r="J732" s="71">
        <f t="shared" si="3"/>
        <v>0</v>
      </c>
      <c r="K732" s="71">
        <f t="shared" si="4"/>
        <v>0</v>
      </c>
      <c r="L732" s="10" t="str">
        <f>IFERROR(VLOOKUP(B732,'Employees List'!$A$2:$K$991,11,0),"")</f>
        <v/>
      </c>
      <c r="M732" s="74" t="str">
        <f>IFERROR(VLOOKUP(D732,'Daily Attendance 25-26'!$A$4:BP999,5,0),"")</f>
        <v/>
      </c>
      <c r="N732" s="10" t="str">
        <f>IFERROR(VLOOKUP(E732,'Daily Attendance 25-26'!$A$1:$BO$1741,5,0),"")</f>
        <v/>
      </c>
      <c r="O732" s="10"/>
      <c r="P732" s="10"/>
      <c r="Q732" s="10" t="str">
        <f t="shared" si="5"/>
        <v>#DIV/0!</v>
      </c>
      <c r="R732" s="10" t="str">
        <f t="shared" si="6"/>
        <v>#DIV/0!</v>
      </c>
      <c r="S732" s="10" t="str">
        <f t="shared" si="23"/>
        <v>#DIV/0!</v>
      </c>
      <c r="T732" s="10" t="str">
        <f t="shared" si="22"/>
        <v>#DIV/0!</v>
      </c>
      <c r="U732" s="10" t="str">
        <f t="shared" si="8"/>
        <v>#DIV/0!</v>
      </c>
      <c r="V732" s="10"/>
      <c r="W732" s="10"/>
      <c r="X732" s="10"/>
      <c r="Y732" s="10"/>
      <c r="Z732" s="10"/>
      <c r="AA732" s="10"/>
      <c r="AB732" s="10"/>
      <c r="AC732" s="10"/>
      <c r="AD732" s="10"/>
      <c r="AE732" s="10"/>
      <c r="AF732" s="10"/>
    </row>
    <row r="733" hidden="1">
      <c r="A733" s="9" t="s">
        <v>950</v>
      </c>
      <c r="B733" s="84"/>
      <c r="C733" s="9"/>
      <c r="D733" s="9" t="str">
        <f t="shared" si="1"/>
        <v/>
      </c>
      <c r="E733" s="10" t="str">
        <f t="shared" si="2"/>
        <v>OT Hours</v>
      </c>
      <c r="F733" s="10" t="str">
        <f>IFERROR(VLOOKUP(C733,'Employees List'!$B$1:$I$999,4,0),"")</f>
        <v/>
      </c>
      <c r="G733" s="10" t="str">
        <f t="shared" si="21"/>
        <v>#DIV/0!</v>
      </c>
      <c r="H733" s="72" t="str">
        <f>IFERROR(VLOOKUP(C733,'Employees List'!$B$2:$I$991,7,0),"")</f>
        <v/>
      </c>
      <c r="I733" s="73" t="str">
        <f>IFERROR(VLOOKUP(F733,'Employees List'!$E$1:$AE$991,6,0),"")</f>
        <v/>
      </c>
      <c r="J733" s="71">
        <f t="shared" si="3"/>
        <v>0</v>
      </c>
      <c r="K733" s="71">
        <f t="shared" si="4"/>
        <v>0</v>
      </c>
      <c r="L733" s="10" t="str">
        <f>IFERROR(VLOOKUP(B733,'Employees List'!$A$2:$K$991,11,0),"")</f>
        <v/>
      </c>
      <c r="M733" s="74" t="str">
        <f>IFERROR(VLOOKUP(D733,'Daily Attendance 25-26'!$A$4:BP999,5,0),"")</f>
        <v/>
      </c>
      <c r="N733" s="10" t="str">
        <f>IFERROR(VLOOKUP(E733,'Daily Attendance 25-26'!$A$1:$BO$1741,5,0),"")</f>
        <v/>
      </c>
      <c r="O733" s="10"/>
      <c r="P733" s="10"/>
      <c r="Q733" s="10" t="str">
        <f t="shared" si="5"/>
        <v>#DIV/0!</v>
      </c>
      <c r="R733" s="10" t="str">
        <f t="shared" si="6"/>
        <v>#DIV/0!</v>
      </c>
      <c r="S733" s="10" t="str">
        <f t="shared" si="23"/>
        <v>#DIV/0!</v>
      </c>
      <c r="T733" s="10" t="str">
        <f t="shared" si="22"/>
        <v>#DIV/0!</v>
      </c>
      <c r="U733" s="10" t="str">
        <f t="shared" si="8"/>
        <v>#DIV/0!</v>
      </c>
      <c r="V733" s="10"/>
      <c r="W733" s="10"/>
      <c r="X733" s="10"/>
      <c r="Y733" s="10"/>
      <c r="Z733" s="10"/>
      <c r="AA733" s="10"/>
      <c r="AB733" s="10"/>
      <c r="AC733" s="10"/>
      <c r="AD733" s="10"/>
      <c r="AE733" s="10"/>
      <c r="AF733" s="10"/>
    </row>
    <row r="734" hidden="1">
      <c r="A734" s="9" t="s">
        <v>951</v>
      </c>
      <c r="B734" s="84"/>
      <c r="C734" s="9"/>
      <c r="D734" s="9" t="str">
        <f t="shared" si="1"/>
        <v/>
      </c>
      <c r="E734" s="10" t="str">
        <f t="shared" si="2"/>
        <v>OT Hours</v>
      </c>
      <c r="F734" s="10" t="str">
        <f>IFERROR(VLOOKUP(C734,'Employees List'!$B$1:$I$999,4,0),"")</f>
        <v/>
      </c>
      <c r="G734" s="10" t="str">
        <f t="shared" si="21"/>
        <v>#DIV/0!</v>
      </c>
      <c r="H734" s="72" t="str">
        <f>IFERROR(VLOOKUP(C734,'Employees List'!$B$2:$I$991,7,0),"")</f>
        <v/>
      </c>
      <c r="I734" s="73" t="str">
        <f>IFERROR(VLOOKUP(F734,'Employees List'!$E$1:$AE$991,6,0),"")</f>
        <v/>
      </c>
      <c r="J734" s="71">
        <f t="shared" si="3"/>
        <v>0</v>
      </c>
      <c r="K734" s="71">
        <f t="shared" si="4"/>
        <v>0</v>
      </c>
      <c r="L734" s="10" t="str">
        <f>IFERROR(VLOOKUP(B734,'Employees List'!$A$2:$K$991,11,0),"")</f>
        <v/>
      </c>
      <c r="M734" s="74" t="str">
        <f>IFERROR(VLOOKUP(D734,'Daily Attendance 25-26'!$A$4:BP999,5,0),"")</f>
        <v/>
      </c>
      <c r="N734" s="10" t="str">
        <f>IFERROR(VLOOKUP(E734,'Daily Attendance 25-26'!$A$1:$BO$1741,5,0),"")</f>
        <v/>
      </c>
      <c r="O734" s="10"/>
      <c r="P734" s="10"/>
      <c r="Q734" s="10" t="str">
        <f t="shared" si="5"/>
        <v>#DIV/0!</v>
      </c>
      <c r="R734" s="10" t="str">
        <f t="shared" si="6"/>
        <v>#DIV/0!</v>
      </c>
      <c r="S734" s="10" t="str">
        <f t="shared" si="23"/>
        <v>#DIV/0!</v>
      </c>
      <c r="T734" s="10" t="str">
        <f t="shared" si="22"/>
        <v>#DIV/0!</v>
      </c>
      <c r="U734" s="10" t="str">
        <f t="shared" si="8"/>
        <v>#DIV/0!</v>
      </c>
      <c r="V734" s="10"/>
      <c r="W734" s="10"/>
      <c r="X734" s="10"/>
      <c r="Y734" s="10"/>
      <c r="Z734" s="10"/>
      <c r="AA734" s="10"/>
      <c r="AB734" s="10"/>
      <c r="AC734" s="10"/>
      <c r="AD734" s="10"/>
      <c r="AE734" s="10"/>
      <c r="AF734" s="10"/>
    </row>
    <row r="735" hidden="1">
      <c r="A735" s="9" t="s">
        <v>952</v>
      </c>
      <c r="B735" s="84"/>
      <c r="C735" s="9"/>
      <c r="D735" s="9" t="str">
        <f t="shared" si="1"/>
        <v/>
      </c>
      <c r="E735" s="10" t="str">
        <f t="shared" si="2"/>
        <v>OT Hours</v>
      </c>
      <c r="F735" s="10" t="str">
        <f>IFERROR(VLOOKUP(C735,'Employees List'!$B$1:$I$999,4,0),"")</f>
        <v/>
      </c>
      <c r="G735" s="10" t="str">
        <f t="shared" si="21"/>
        <v>#DIV/0!</v>
      </c>
      <c r="H735" s="72" t="str">
        <f>IFERROR(VLOOKUP(C735,'Employees List'!$B$2:$I$991,7,0),"")</f>
        <v/>
      </c>
      <c r="I735" s="73" t="str">
        <f>IFERROR(VLOOKUP(F735,'Employees List'!$E$1:$AE$991,6,0),"")</f>
        <v/>
      </c>
      <c r="J735" s="71">
        <f t="shared" si="3"/>
        <v>0</v>
      </c>
      <c r="K735" s="71">
        <f t="shared" si="4"/>
        <v>0</v>
      </c>
      <c r="L735" s="10" t="str">
        <f>IFERROR(VLOOKUP(B735,'Employees List'!$A$2:$K$991,11,0),"")</f>
        <v/>
      </c>
      <c r="M735" s="74" t="str">
        <f>IFERROR(VLOOKUP(D735,'Daily Attendance 25-26'!$A$4:BP999,5,0),"")</f>
        <v/>
      </c>
      <c r="N735" s="10" t="str">
        <f>IFERROR(VLOOKUP(E735,'Daily Attendance 25-26'!$A$1:$BO$1741,5,0),"")</f>
        <v/>
      </c>
      <c r="O735" s="10"/>
      <c r="P735" s="10"/>
      <c r="Q735" s="10" t="str">
        <f t="shared" si="5"/>
        <v>#DIV/0!</v>
      </c>
      <c r="R735" s="10" t="str">
        <f t="shared" si="6"/>
        <v>#DIV/0!</v>
      </c>
      <c r="S735" s="10" t="str">
        <f t="shared" si="23"/>
        <v>#DIV/0!</v>
      </c>
      <c r="T735" s="10" t="str">
        <f t="shared" si="22"/>
        <v>#DIV/0!</v>
      </c>
      <c r="U735" s="10" t="str">
        <f t="shared" si="8"/>
        <v>#DIV/0!</v>
      </c>
      <c r="V735" s="10"/>
      <c r="W735" s="10"/>
      <c r="X735" s="10"/>
      <c r="Y735" s="10"/>
      <c r="Z735" s="10"/>
      <c r="AA735" s="10"/>
      <c r="AB735" s="10"/>
      <c r="AC735" s="10"/>
      <c r="AD735" s="10"/>
      <c r="AE735" s="10"/>
      <c r="AF735" s="10"/>
    </row>
    <row r="736" hidden="1">
      <c r="A736" s="9" t="s">
        <v>953</v>
      </c>
      <c r="B736" s="84"/>
      <c r="C736" s="9"/>
      <c r="D736" s="9" t="str">
        <f t="shared" si="1"/>
        <v/>
      </c>
      <c r="E736" s="10" t="str">
        <f t="shared" si="2"/>
        <v>OT Hours</v>
      </c>
      <c r="F736" s="10" t="str">
        <f>IFERROR(VLOOKUP(C736,'Employees List'!$B$1:$I$999,4,0),"")</f>
        <v/>
      </c>
      <c r="G736" s="10" t="str">
        <f t="shared" si="21"/>
        <v>#DIV/0!</v>
      </c>
      <c r="H736" s="72" t="str">
        <f>IFERROR(VLOOKUP(C736,'Employees List'!$B$2:$I$991,7,0),"")</f>
        <v/>
      </c>
      <c r="I736" s="73" t="str">
        <f>IFERROR(VLOOKUP(F736,'Employees List'!$E$1:$AE$991,6,0),"")</f>
        <v/>
      </c>
      <c r="J736" s="71">
        <f t="shared" si="3"/>
        <v>0</v>
      </c>
      <c r="K736" s="71">
        <f t="shared" si="4"/>
        <v>0</v>
      </c>
      <c r="L736" s="10" t="str">
        <f>IFERROR(VLOOKUP(B736,'Employees List'!$A$2:$K$991,11,0),"")</f>
        <v/>
      </c>
      <c r="M736" s="74" t="str">
        <f>IFERROR(VLOOKUP(D736,'Daily Attendance 25-26'!$A$4:BP999,5,0),"")</f>
        <v/>
      </c>
      <c r="N736" s="10" t="str">
        <f>IFERROR(VLOOKUP(E736,'Daily Attendance 25-26'!$A$1:$BO$1741,5,0),"")</f>
        <v/>
      </c>
      <c r="O736" s="10"/>
      <c r="P736" s="10"/>
      <c r="Q736" s="10" t="str">
        <f t="shared" si="5"/>
        <v>#DIV/0!</v>
      </c>
      <c r="R736" s="10" t="str">
        <f t="shared" si="6"/>
        <v>#DIV/0!</v>
      </c>
      <c r="S736" s="10" t="str">
        <f t="shared" si="23"/>
        <v>#DIV/0!</v>
      </c>
      <c r="T736" s="10" t="str">
        <f t="shared" si="22"/>
        <v>#DIV/0!</v>
      </c>
      <c r="U736" s="10" t="str">
        <f t="shared" si="8"/>
        <v>#DIV/0!</v>
      </c>
      <c r="V736" s="10"/>
      <c r="W736" s="10"/>
      <c r="X736" s="10"/>
      <c r="Y736" s="10"/>
      <c r="Z736" s="10"/>
      <c r="AA736" s="10"/>
      <c r="AB736" s="10"/>
      <c r="AC736" s="10"/>
      <c r="AD736" s="10"/>
      <c r="AE736" s="10"/>
      <c r="AF736" s="10"/>
    </row>
    <row r="737" hidden="1">
      <c r="A737" s="9" t="s">
        <v>954</v>
      </c>
      <c r="B737" s="84"/>
      <c r="C737" s="9"/>
      <c r="D737" s="9" t="str">
        <f t="shared" si="1"/>
        <v/>
      </c>
      <c r="E737" s="10" t="str">
        <f t="shared" si="2"/>
        <v>OT Hours</v>
      </c>
      <c r="F737" s="10" t="str">
        <f>IFERROR(VLOOKUP(C737,'Employees List'!$B$1:$I$999,4,0),"")</f>
        <v/>
      </c>
      <c r="G737" s="10" t="str">
        <f t="shared" si="21"/>
        <v>#DIV/0!</v>
      </c>
      <c r="H737" s="72" t="str">
        <f>IFERROR(VLOOKUP(C737,'Employees List'!$B$2:$I$991,7,0),"")</f>
        <v/>
      </c>
      <c r="I737" s="73" t="str">
        <f>IFERROR(VLOOKUP(F737,'Employees List'!$E$1:$AE$991,6,0),"")</f>
        <v/>
      </c>
      <c r="J737" s="71">
        <f t="shared" si="3"/>
        <v>0</v>
      </c>
      <c r="K737" s="71">
        <f t="shared" si="4"/>
        <v>0</v>
      </c>
      <c r="L737" s="10" t="str">
        <f>IFERROR(VLOOKUP(B737,'Employees List'!$A$2:$K$991,11,0),"")</f>
        <v/>
      </c>
      <c r="M737" s="74" t="str">
        <f>IFERROR(VLOOKUP(D737,'Daily Attendance 25-26'!$A$4:BP999,5,0),"")</f>
        <v/>
      </c>
      <c r="N737" s="10" t="str">
        <f>IFERROR(VLOOKUP(E737,'Daily Attendance 25-26'!$A$1:$BO$1741,5,0),"")</f>
        <v/>
      </c>
      <c r="O737" s="10"/>
      <c r="P737" s="10"/>
      <c r="Q737" s="10" t="str">
        <f t="shared" si="5"/>
        <v>#DIV/0!</v>
      </c>
      <c r="R737" s="10" t="str">
        <f t="shared" si="6"/>
        <v>#DIV/0!</v>
      </c>
      <c r="S737" s="10" t="str">
        <f t="shared" si="23"/>
        <v>#DIV/0!</v>
      </c>
      <c r="T737" s="10" t="str">
        <f t="shared" si="22"/>
        <v>#DIV/0!</v>
      </c>
      <c r="U737" s="10" t="str">
        <f t="shared" si="8"/>
        <v>#DIV/0!</v>
      </c>
      <c r="V737" s="10"/>
      <c r="W737" s="10"/>
      <c r="X737" s="10"/>
      <c r="Y737" s="10"/>
      <c r="Z737" s="10"/>
      <c r="AA737" s="10"/>
      <c r="AB737" s="10"/>
      <c r="AC737" s="10"/>
      <c r="AD737" s="10"/>
      <c r="AE737" s="10"/>
      <c r="AF737" s="10"/>
    </row>
    <row r="738" hidden="1">
      <c r="A738" s="9" t="s">
        <v>955</v>
      </c>
      <c r="B738" s="84"/>
      <c r="C738" s="9"/>
      <c r="D738" s="9" t="str">
        <f t="shared" si="1"/>
        <v/>
      </c>
      <c r="E738" s="10" t="str">
        <f t="shared" si="2"/>
        <v>OT Hours</v>
      </c>
      <c r="F738" s="10" t="str">
        <f>IFERROR(VLOOKUP(C738,'Employees List'!$B$1:$I$999,4,0),"")</f>
        <v/>
      </c>
      <c r="G738" s="10" t="str">
        <f t="shared" si="21"/>
        <v>#DIV/0!</v>
      </c>
      <c r="H738" s="72" t="str">
        <f>IFERROR(VLOOKUP(C738,'Employees List'!$B$2:$I$991,7,0),"")</f>
        <v/>
      </c>
      <c r="I738" s="73" t="str">
        <f>IFERROR(VLOOKUP(F738,'Employees List'!$E$1:$AE$991,6,0),"")</f>
        <v/>
      </c>
      <c r="J738" s="71">
        <f t="shared" si="3"/>
        <v>0</v>
      </c>
      <c r="K738" s="71">
        <f t="shared" si="4"/>
        <v>0</v>
      </c>
      <c r="L738" s="10" t="str">
        <f>IFERROR(VLOOKUP(B738,'Employees List'!$A$2:$K$991,11,0),"")</f>
        <v/>
      </c>
      <c r="M738" s="74" t="str">
        <f>IFERROR(VLOOKUP(D738,'Daily Attendance 25-26'!$A$4:BP999,5,0),"")</f>
        <v/>
      </c>
      <c r="N738" s="10" t="str">
        <f>IFERROR(VLOOKUP(E738,'Daily Attendance 25-26'!$A$1:$BO$1741,5,0),"")</f>
        <v/>
      </c>
      <c r="O738" s="10"/>
      <c r="P738" s="10"/>
      <c r="Q738" s="10" t="str">
        <f t="shared" si="5"/>
        <v>#DIV/0!</v>
      </c>
      <c r="R738" s="10" t="str">
        <f t="shared" si="6"/>
        <v>#DIV/0!</v>
      </c>
      <c r="S738" s="10" t="str">
        <f t="shared" si="23"/>
        <v>#DIV/0!</v>
      </c>
      <c r="T738" s="10" t="str">
        <f t="shared" si="22"/>
        <v>#DIV/0!</v>
      </c>
      <c r="U738" s="10" t="str">
        <f t="shared" si="8"/>
        <v>#DIV/0!</v>
      </c>
      <c r="V738" s="10"/>
      <c r="W738" s="10"/>
      <c r="X738" s="10"/>
      <c r="Y738" s="10"/>
      <c r="Z738" s="10"/>
      <c r="AA738" s="10"/>
      <c r="AB738" s="10"/>
      <c r="AC738" s="10"/>
      <c r="AD738" s="10"/>
      <c r="AE738" s="10"/>
      <c r="AF738" s="10"/>
    </row>
    <row r="739" hidden="1">
      <c r="A739" s="9" t="s">
        <v>956</v>
      </c>
      <c r="B739" s="84"/>
      <c r="C739" s="9"/>
      <c r="D739" s="9" t="str">
        <f t="shared" si="1"/>
        <v/>
      </c>
      <c r="E739" s="10" t="str">
        <f t="shared" si="2"/>
        <v>OT Hours</v>
      </c>
      <c r="F739" s="10" t="str">
        <f>IFERROR(VLOOKUP(C739,'Employees List'!$B$1:$I$999,4,0),"")</f>
        <v/>
      </c>
      <c r="G739" s="10" t="str">
        <f t="shared" si="21"/>
        <v>#DIV/0!</v>
      </c>
      <c r="H739" s="72" t="str">
        <f>IFERROR(VLOOKUP(C739,'Employees List'!$B$2:$I$991,7,0),"")</f>
        <v/>
      </c>
      <c r="I739" s="73" t="str">
        <f>IFERROR(VLOOKUP(F739,'Employees List'!$E$1:$AE$991,6,0),"")</f>
        <v/>
      </c>
      <c r="J739" s="71">
        <f t="shared" si="3"/>
        <v>0</v>
      </c>
      <c r="K739" s="71">
        <f t="shared" si="4"/>
        <v>0</v>
      </c>
      <c r="L739" s="10" t="str">
        <f>IFERROR(VLOOKUP(B739,'Employees List'!$A$2:$K$991,11,0),"")</f>
        <v/>
      </c>
      <c r="M739" s="74" t="str">
        <f>IFERROR(VLOOKUP(D739,'Daily Attendance 25-26'!$A$4:BP999,5,0),"")</f>
        <v/>
      </c>
      <c r="N739" s="10" t="str">
        <f>IFERROR(VLOOKUP(E739,'Daily Attendance 25-26'!$A$1:$BO$1741,5,0),"")</f>
        <v/>
      </c>
      <c r="O739" s="10"/>
      <c r="P739" s="10"/>
      <c r="Q739" s="10" t="str">
        <f t="shared" si="5"/>
        <v>#DIV/0!</v>
      </c>
      <c r="R739" s="10" t="str">
        <f t="shared" si="6"/>
        <v>#DIV/0!</v>
      </c>
      <c r="S739" s="10" t="str">
        <f t="shared" si="23"/>
        <v>#DIV/0!</v>
      </c>
      <c r="T739" s="10" t="str">
        <f t="shared" si="22"/>
        <v>#DIV/0!</v>
      </c>
      <c r="U739" s="10" t="str">
        <f t="shared" si="8"/>
        <v>#DIV/0!</v>
      </c>
      <c r="V739" s="10"/>
      <c r="W739" s="10"/>
      <c r="X739" s="10"/>
      <c r="Y739" s="10"/>
      <c r="Z739" s="10"/>
      <c r="AA739" s="10"/>
      <c r="AB739" s="10"/>
      <c r="AC739" s="10"/>
      <c r="AD739" s="10"/>
      <c r="AE739" s="10"/>
      <c r="AF739" s="10"/>
    </row>
    <row r="740" hidden="1">
      <c r="A740" s="9" t="s">
        <v>957</v>
      </c>
      <c r="B740" s="84"/>
      <c r="C740" s="9"/>
      <c r="D740" s="9" t="str">
        <f t="shared" si="1"/>
        <v/>
      </c>
      <c r="E740" s="10" t="str">
        <f t="shared" si="2"/>
        <v>OT Hours</v>
      </c>
      <c r="F740" s="10" t="str">
        <f>IFERROR(VLOOKUP(C740,'Employees List'!$B$1:$I$999,4,0),"")</f>
        <v/>
      </c>
      <c r="G740" s="10" t="str">
        <f t="shared" si="21"/>
        <v>#DIV/0!</v>
      </c>
      <c r="H740" s="72" t="str">
        <f>IFERROR(VLOOKUP(C740,'Employees List'!$B$2:$I$991,7,0),"")</f>
        <v/>
      </c>
      <c r="I740" s="73" t="str">
        <f>IFERROR(VLOOKUP(F740,'Employees List'!$E$1:$AE$991,6,0),"")</f>
        <v/>
      </c>
      <c r="J740" s="71">
        <f t="shared" si="3"/>
        <v>0</v>
      </c>
      <c r="K740" s="71">
        <f t="shared" si="4"/>
        <v>0</v>
      </c>
      <c r="L740" s="10" t="str">
        <f>IFERROR(VLOOKUP(B740,'Employees List'!$A$2:$K$991,11,0),"")</f>
        <v/>
      </c>
      <c r="M740" s="74" t="str">
        <f>IFERROR(VLOOKUP(D740,'Daily Attendance 25-26'!$A$4:BP999,5,0),"")</f>
        <v/>
      </c>
      <c r="N740" s="10" t="str">
        <f>IFERROR(VLOOKUP(E740,'Daily Attendance 25-26'!$A$1:$BO$1741,5,0),"")</f>
        <v/>
      </c>
      <c r="O740" s="10"/>
      <c r="P740" s="10"/>
      <c r="Q740" s="10" t="str">
        <f t="shared" si="5"/>
        <v>#DIV/0!</v>
      </c>
      <c r="R740" s="10" t="str">
        <f t="shared" si="6"/>
        <v>#DIV/0!</v>
      </c>
      <c r="S740" s="10" t="str">
        <f t="shared" si="23"/>
        <v>#DIV/0!</v>
      </c>
      <c r="T740" s="10" t="str">
        <f t="shared" si="22"/>
        <v>#DIV/0!</v>
      </c>
      <c r="U740" s="10" t="str">
        <f t="shared" si="8"/>
        <v>#DIV/0!</v>
      </c>
      <c r="V740" s="10"/>
      <c r="W740" s="10"/>
      <c r="X740" s="10"/>
      <c r="Y740" s="10"/>
      <c r="Z740" s="10"/>
      <c r="AA740" s="10"/>
      <c r="AB740" s="10"/>
      <c r="AC740" s="10"/>
      <c r="AD740" s="10"/>
      <c r="AE740" s="10"/>
      <c r="AF740" s="10"/>
    </row>
    <row r="741" hidden="1">
      <c r="A741" s="9" t="s">
        <v>958</v>
      </c>
      <c r="B741" s="84"/>
      <c r="C741" s="9"/>
      <c r="D741" s="9" t="str">
        <f t="shared" si="1"/>
        <v/>
      </c>
      <c r="E741" s="10" t="str">
        <f t="shared" si="2"/>
        <v>OT Hours</v>
      </c>
      <c r="F741" s="10" t="str">
        <f>IFERROR(VLOOKUP(C741,'Employees List'!$B$1:$I$999,4,0),"")</f>
        <v/>
      </c>
      <c r="G741" s="10" t="str">
        <f t="shared" si="21"/>
        <v>#DIV/0!</v>
      </c>
      <c r="H741" s="72" t="str">
        <f>IFERROR(VLOOKUP(C741,'Employees List'!$B$2:$I$991,7,0),"")</f>
        <v/>
      </c>
      <c r="I741" s="73" t="str">
        <f>IFERROR(VLOOKUP(F741,'Employees List'!$E$1:$AE$991,6,0),"")</f>
        <v/>
      </c>
      <c r="J741" s="71">
        <f t="shared" si="3"/>
        <v>0</v>
      </c>
      <c r="K741" s="71">
        <f t="shared" si="4"/>
        <v>0</v>
      </c>
      <c r="L741" s="10" t="str">
        <f>IFERROR(VLOOKUP(B741,'Employees List'!$A$2:$K$991,11,0),"")</f>
        <v/>
      </c>
      <c r="M741" s="74" t="str">
        <f>IFERROR(VLOOKUP(D741,'Daily Attendance 25-26'!$A$4:BP999,5,0),"")</f>
        <v/>
      </c>
      <c r="N741" s="10" t="str">
        <f>IFERROR(VLOOKUP(E741,'Daily Attendance 25-26'!$A$1:$BO$1741,5,0),"")</f>
        <v/>
      </c>
      <c r="O741" s="10"/>
      <c r="P741" s="10"/>
      <c r="Q741" s="10" t="str">
        <f t="shared" si="5"/>
        <v>#DIV/0!</v>
      </c>
      <c r="R741" s="10" t="str">
        <f t="shared" si="6"/>
        <v>#DIV/0!</v>
      </c>
      <c r="S741" s="10" t="str">
        <f t="shared" si="23"/>
        <v>#DIV/0!</v>
      </c>
      <c r="T741" s="10" t="str">
        <f t="shared" si="22"/>
        <v>#DIV/0!</v>
      </c>
      <c r="U741" s="10" t="str">
        <f t="shared" si="8"/>
        <v>#DIV/0!</v>
      </c>
      <c r="V741" s="10"/>
      <c r="W741" s="10"/>
      <c r="X741" s="10"/>
      <c r="Y741" s="10"/>
      <c r="Z741" s="10"/>
      <c r="AA741" s="10"/>
      <c r="AB741" s="10"/>
      <c r="AC741" s="10"/>
      <c r="AD741" s="10"/>
      <c r="AE741" s="10"/>
      <c r="AF741" s="10"/>
    </row>
    <row r="742" hidden="1">
      <c r="A742" s="9" t="s">
        <v>959</v>
      </c>
      <c r="B742" s="84"/>
      <c r="C742" s="9"/>
      <c r="D742" s="9" t="str">
        <f t="shared" si="1"/>
        <v/>
      </c>
      <c r="E742" s="10" t="str">
        <f t="shared" si="2"/>
        <v>OT Hours</v>
      </c>
      <c r="F742" s="10" t="str">
        <f>IFERROR(VLOOKUP(C742,'Employees List'!$B$1:$I$999,4,0),"")</f>
        <v/>
      </c>
      <c r="G742" s="10" t="str">
        <f t="shared" si="21"/>
        <v>#DIV/0!</v>
      </c>
      <c r="H742" s="72" t="str">
        <f>IFERROR(VLOOKUP(C742,'Employees List'!$B$2:$I$991,7,0),"")</f>
        <v/>
      </c>
      <c r="I742" s="73" t="str">
        <f>IFERROR(VLOOKUP(F742,'Employees List'!$E$1:$AE$991,6,0),"")</f>
        <v/>
      </c>
      <c r="J742" s="71">
        <f t="shared" si="3"/>
        <v>0</v>
      </c>
      <c r="K742" s="71">
        <f t="shared" si="4"/>
        <v>0</v>
      </c>
      <c r="L742" s="10" t="str">
        <f>IFERROR(VLOOKUP(B742,'Employees List'!$A$2:$K$991,11,0),"")</f>
        <v/>
      </c>
      <c r="M742" s="74" t="str">
        <f>IFERROR(VLOOKUP(D742,'Daily Attendance 25-26'!$A$4:BP999,5,0),"")</f>
        <v/>
      </c>
      <c r="N742" s="10" t="str">
        <f>IFERROR(VLOOKUP(E742,'Daily Attendance 25-26'!$A$1:$BO$1741,5,0),"")</f>
        <v/>
      </c>
      <c r="O742" s="10"/>
      <c r="P742" s="10"/>
      <c r="Q742" s="10" t="str">
        <f t="shared" si="5"/>
        <v>#DIV/0!</v>
      </c>
      <c r="R742" s="10" t="str">
        <f t="shared" si="6"/>
        <v>#DIV/0!</v>
      </c>
      <c r="S742" s="10" t="str">
        <f t="shared" si="23"/>
        <v>#DIV/0!</v>
      </c>
      <c r="T742" s="10" t="str">
        <f t="shared" si="22"/>
        <v>#DIV/0!</v>
      </c>
      <c r="U742" s="10" t="str">
        <f t="shared" si="8"/>
        <v>#DIV/0!</v>
      </c>
      <c r="V742" s="10"/>
      <c r="W742" s="10"/>
      <c r="X742" s="10"/>
      <c r="Y742" s="10"/>
      <c r="Z742" s="10"/>
      <c r="AA742" s="10"/>
      <c r="AB742" s="10"/>
      <c r="AC742" s="10"/>
      <c r="AD742" s="10"/>
      <c r="AE742" s="10"/>
      <c r="AF742" s="10"/>
    </row>
    <row r="743" hidden="1">
      <c r="A743" s="9" t="s">
        <v>960</v>
      </c>
      <c r="B743" s="84"/>
      <c r="C743" s="9"/>
      <c r="D743" s="9" t="str">
        <f t="shared" si="1"/>
        <v/>
      </c>
      <c r="E743" s="10" t="str">
        <f t="shared" si="2"/>
        <v>OT Hours</v>
      </c>
      <c r="F743" s="10" t="str">
        <f>IFERROR(VLOOKUP(C743,'Employees List'!$B$1:$I$999,4,0),"")</f>
        <v/>
      </c>
      <c r="G743" s="10" t="str">
        <f t="shared" si="21"/>
        <v>#DIV/0!</v>
      </c>
      <c r="H743" s="72" t="str">
        <f>IFERROR(VLOOKUP(C743,'Employees List'!$B$2:$I$991,7,0),"")</f>
        <v/>
      </c>
      <c r="I743" s="73" t="str">
        <f>IFERROR(VLOOKUP(F743,'Employees List'!$E$1:$AE$991,6,0),"")</f>
        <v/>
      </c>
      <c r="J743" s="71">
        <f t="shared" si="3"/>
        <v>0</v>
      </c>
      <c r="K743" s="71">
        <f t="shared" si="4"/>
        <v>0</v>
      </c>
      <c r="L743" s="10" t="str">
        <f>IFERROR(VLOOKUP(B743,'Employees List'!$A$2:$K$991,11,0),"")</f>
        <v/>
      </c>
      <c r="M743" s="74" t="str">
        <f>IFERROR(VLOOKUP(D743,'Daily Attendance 25-26'!$A$4:BP999,5,0),"")</f>
        <v/>
      </c>
      <c r="N743" s="10" t="str">
        <f>IFERROR(VLOOKUP(E743,'Daily Attendance 25-26'!$A$1:$BO$1741,5,0),"")</f>
        <v/>
      </c>
      <c r="O743" s="10"/>
      <c r="P743" s="10"/>
      <c r="Q743" s="10" t="str">
        <f t="shared" si="5"/>
        <v>#DIV/0!</v>
      </c>
      <c r="R743" s="10" t="str">
        <f t="shared" si="6"/>
        <v>#DIV/0!</v>
      </c>
      <c r="S743" s="10" t="str">
        <f t="shared" si="23"/>
        <v>#DIV/0!</v>
      </c>
      <c r="T743" s="10" t="str">
        <f t="shared" si="22"/>
        <v>#DIV/0!</v>
      </c>
      <c r="U743" s="10" t="str">
        <f t="shared" si="8"/>
        <v>#DIV/0!</v>
      </c>
      <c r="V743" s="10"/>
      <c r="W743" s="10"/>
      <c r="X743" s="10"/>
      <c r="Y743" s="10"/>
      <c r="Z743" s="10"/>
      <c r="AA743" s="10"/>
      <c r="AB743" s="10"/>
      <c r="AC743" s="10"/>
      <c r="AD743" s="10"/>
      <c r="AE743" s="10"/>
      <c r="AF743" s="10"/>
    </row>
    <row r="744" hidden="1">
      <c r="A744" s="9" t="s">
        <v>961</v>
      </c>
      <c r="B744" s="84"/>
      <c r="C744" s="9"/>
      <c r="D744" s="9" t="str">
        <f t="shared" si="1"/>
        <v/>
      </c>
      <c r="E744" s="10" t="str">
        <f t="shared" si="2"/>
        <v>OT Hours</v>
      </c>
      <c r="F744" s="10" t="str">
        <f>IFERROR(VLOOKUP(C744,'Employees List'!$B$1:$I$999,4,0),"")</f>
        <v/>
      </c>
      <c r="G744" s="10" t="str">
        <f t="shared" si="21"/>
        <v>#DIV/0!</v>
      </c>
      <c r="H744" s="72" t="str">
        <f>IFERROR(VLOOKUP(C744,'Employees List'!$B$2:$I$991,7,0),"")</f>
        <v/>
      </c>
      <c r="I744" s="73" t="str">
        <f>IFERROR(VLOOKUP(F744,'Employees List'!$E$1:$AE$991,6,0),"")</f>
        <v/>
      </c>
      <c r="J744" s="71">
        <f t="shared" si="3"/>
        <v>0</v>
      </c>
      <c r="K744" s="71">
        <f t="shared" si="4"/>
        <v>0</v>
      </c>
      <c r="L744" s="10" t="str">
        <f>IFERROR(VLOOKUP(B744,'Employees List'!$A$2:$K$991,11,0),"")</f>
        <v/>
      </c>
      <c r="M744" s="74" t="str">
        <f>IFERROR(VLOOKUP(D744,'Daily Attendance 25-26'!$A$4:BP999,5,0),"")</f>
        <v/>
      </c>
      <c r="N744" s="10" t="str">
        <f>IFERROR(VLOOKUP(E744,'Daily Attendance 25-26'!$A$1:$BO$1741,5,0),"")</f>
        <v/>
      </c>
      <c r="O744" s="10"/>
      <c r="P744" s="10"/>
      <c r="Q744" s="10" t="str">
        <f t="shared" si="5"/>
        <v>#DIV/0!</v>
      </c>
      <c r="R744" s="10" t="str">
        <f t="shared" si="6"/>
        <v>#DIV/0!</v>
      </c>
      <c r="S744" s="10" t="str">
        <f t="shared" si="23"/>
        <v>#DIV/0!</v>
      </c>
      <c r="T744" s="10" t="str">
        <f t="shared" si="22"/>
        <v>#DIV/0!</v>
      </c>
      <c r="U744" s="10" t="str">
        <f t="shared" si="8"/>
        <v>#DIV/0!</v>
      </c>
      <c r="V744" s="10"/>
      <c r="W744" s="10"/>
      <c r="X744" s="10"/>
      <c r="Y744" s="10"/>
      <c r="Z744" s="10"/>
      <c r="AA744" s="10"/>
      <c r="AB744" s="10"/>
      <c r="AC744" s="10"/>
      <c r="AD744" s="10"/>
      <c r="AE744" s="10"/>
      <c r="AF744" s="10"/>
    </row>
    <row r="745" hidden="1">
      <c r="A745" s="9" t="s">
        <v>962</v>
      </c>
      <c r="B745" s="84"/>
      <c r="C745" s="9"/>
      <c r="D745" s="9" t="str">
        <f t="shared" si="1"/>
        <v/>
      </c>
      <c r="E745" s="10" t="str">
        <f t="shared" si="2"/>
        <v>OT Hours</v>
      </c>
      <c r="F745" s="10" t="str">
        <f>IFERROR(VLOOKUP(C745,'Employees List'!$B$1:$I$999,4,0),"")</f>
        <v/>
      </c>
      <c r="G745" s="10" t="str">
        <f t="shared" si="21"/>
        <v>#DIV/0!</v>
      </c>
      <c r="H745" s="72" t="str">
        <f>IFERROR(VLOOKUP(C745,'Employees List'!$B$2:$I$991,7,0),"")</f>
        <v/>
      </c>
      <c r="I745" s="73" t="str">
        <f>IFERROR(VLOOKUP(F745,'Employees List'!$E$1:$AE$991,6,0),"")</f>
        <v/>
      </c>
      <c r="J745" s="71">
        <f t="shared" si="3"/>
        <v>0</v>
      </c>
      <c r="K745" s="71">
        <f t="shared" si="4"/>
        <v>0</v>
      </c>
      <c r="L745" s="10" t="str">
        <f>IFERROR(VLOOKUP(B745,'Employees List'!$A$2:$K$991,11,0),"")</f>
        <v/>
      </c>
      <c r="M745" s="74" t="str">
        <f>IFERROR(VLOOKUP(D745,'Daily Attendance 25-26'!$A$4:BP999,5,0),"")</f>
        <v/>
      </c>
      <c r="N745" s="10" t="str">
        <f>IFERROR(VLOOKUP(E745,'Daily Attendance 25-26'!$A$1:$BO$1741,5,0),"")</f>
        <v/>
      </c>
      <c r="O745" s="10"/>
      <c r="P745" s="10"/>
      <c r="Q745" s="10" t="str">
        <f t="shared" si="5"/>
        <v>#DIV/0!</v>
      </c>
      <c r="R745" s="10" t="str">
        <f t="shared" si="6"/>
        <v>#DIV/0!</v>
      </c>
      <c r="S745" s="10" t="str">
        <f t="shared" si="23"/>
        <v>#DIV/0!</v>
      </c>
      <c r="T745" s="10" t="str">
        <f t="shared" si="22"/>
        <v>#DIV/0!</v>
      </c>
      <c r="U745" s="10" t="str">
        <f t="shared" si="8"/>
        <v>#DIV/0!</v>
      </c>
      <c r="V745" s="10"/>
      <c r="W745" s="10"/>
      <c r="X745" s="10"/>
      <c r="Y745" s="10"/>
      <c r="Z745" s="10"/>
      <c r="AA745" s="10"/>
      <c r="AB745" s="10"/>
      <c r="AC745" s="10"/>
      <c r="AD745" s="10"/>
      <c r="AE745" s="10"/>
      <c r="AF745" s="10"/>
    </row>
    <row r="746" hidden="1">
      <c r="A746" s="9" t="s">
        <v>963</v>
      </c>
      <c r="B746" s="84"/>
      <c r="C746" s="9"/>
      <c r="D746" s="9" t="str">
        <f t="shared" si="1"/>
        <v/>
      </c>
      <c r="E746" s="10" t="str">
        <f t="shared" si="2"/>
        <v>OT Hours</v>
      </c>
      <c r="F746" s="10" t="str">
        <f>IFERROR(VLOOKUP(C746,'Employees List'!$B$1:$I$999,4,0),"")</f>
        <v/>
      </c>
      <c r="G746" s="10" t="str">
        <f t="shared" si="21"/>
        <v>#DIV/0!</v>
      </c>
      <c r="H746" s="72" t="str">
        <f>IFERROR(VLOOKUP(C746,'Employees List'!$B$2:$I$991,7,0),"")</f>
        <v/>
      </c>
      <c r="I746" s="73" t="str">
        <f>IFERROR(VLOOKUP(F746,'Employees List'!$E$1:$AE$991,6,0),"")</f>
        <v/>
      </c>
      <c r="J746" s="71">
        <f t="shared" si="3"/>
        <v>0</v>
      </c>
      <c r="K746" s="71">
        <f t="shared" si="4"/>
        <v>0</v>
      </c>
      <c r="L746" s="10" t="str">
        <f>IFERROR(VLOOKUP(B746,'Employees List'!$A$2:$K$991,11,0),"")</f>
        <v/>
      </c>
      <c r="M746" s="74" t="str">
        <f>IFERROR(VLOOKUP(D746,'Daily Attendance 25-26'!$A$4:BP999,5,0),"")</f>
        <v/>
      </c>
      <c r="N746" s="10" t="str">
        <f>IFERROR(VLOOKUP(E746,'Daily Attendance 25-26'!$A$1:$BO$1741,5,0),"")</f>
        <v/>
      </c>
      <c r="O746" s="10"/>
      <c r="P746" s="10"/>
      <c r="Q746" s="10" t="str">
        <f t="shared" si="5"/>
        <v>#DIV/0!</v>
      </c>
      <c r="R746" s="10" t="str">
        <f t="shared" si="6"/>
        <v>#DIV/0!</v>
      </c>
      <c r="S746" s="10" t="str">
        <f t="shared" si="23"/>
        <v>#DIV/0!</v>
      </c>
      <c r="T746" s="10" t="str">
        <f t="shared" si="22"/>
        <v>#DIV/0!</v>
      </c>
      <c r="U746" s="10" t="str">
        <f t="shared" si="8"/>
        <v>#DIV/0!</v>
      </c>
      <c r="V746" s="10"/>
      <c r="W746" s="10"/>
      <c r="X746" s="10"/>
      <c r="Y746" s="10"/>
      <c r="Z746" s="10"/>
      <c r="AA746" s="10"/>
      <c r="AB746" s="10"/>
      <c r="AC746" s="10"/>
      <c r="AD746" s="10"/>
      <c r="AE746" s="10"/>
      <c r="AF746" s="10"/>
    </row>
    <row r="747" hidden="1">
      <c r="A747" s="9" t="s">
        <v>964</v>
      </c>
      <c r="B747" s="84"/>
      <c r="C747" s="9"/>
      <c r="D747" s="9" t="str">
        <f t="shared" si="1"/>
        <v/>
      </c>
      <c r="E747" s="10" t="str">
        <f t="shared" si="2"/>
        <v>OT Hours</v>
      </c>
      <c r="F747" s="10" t="str">
        <f>IFERROR(VLOOKUP(C747,'Employees List'!$B$1:$I$999,4,0),"")</f>
        <v/>
      </c>
      <c r="G747" s="10" t="str">
        <f t="shared" si="21"/>
        <v>#DIV/0!</v>
      </c>
      <c r="H747" s="72" t="str">
        <f>IFERROR(VLOOKUP(C747,'Employees List'!$B$2:$I$991,7,0),"")</f>
        <v/>
      </c>
      <c r="I747" s="73" t="str">
        <f>IFERROR(VLOOKUP(F747,'Employees List'!$E$1:$AE$991,6,0),"")</f>
        <v/>
      </c>
      <c r="J747" s="71">
        <f t="shared" si="3"/>
        <v>0</v>
      </c>
      <c r="K747" s="71">
        <f t="shared" si="4"/>
        <v>0</v>
      </c>
      <c r="L747" s="10" t="str">
        <f>IFERROR(VLOOKUP(B747,'Employees List'!$A$2:$K$991,11,0),"")</f>
        <v/>
      </c>
      <c r="M747" s="74" t="str">
        <f>IFERROR(VLOOKUP(D747,'Daily Attendance 25-26'!$A$4:BP999,5,0),"")</f>
        <v/>
      </c>
      <c r="N747" s="10" t="str">
        <f>IFERROR(VLOOKUP(E747,'Daily Attendance 25-26'!$A$1:$BO$1741,5,0),"")</f>
        <v/>
      </c>
      <c r="O747" s="10"/>
      <c r="P747" s="10"/>
      <c r="Q747" s="10" t="str">
        <f t="shared" si="5"/>
        <v>#DIV/0!</v>
      </c>
      <c r="R747" s="10" t="str">
        <f t="shared" si="6"/>
        <v>#DIV/0!</v>
      </c>
      <c r="S747" s="10" t="str">
        <f t="shared" si="23"/>
        <v>#DIV/0!</v>
      </c>
      <c r="T747" s="10" t="str">
        <f t="shared" si="22"/>
        <v>#DIV/0!</v>
      </c>
      <c r="U747" s="10" t="str">
        <f t="shared" si="8"/>
        <v>#DIV/0!</v>
      </c>
      <c r="V747" s="10"/>
      <c r="W747" s="10"/>
      <c r="X747" s="10"/>
      <c r="Y747" s="10"/>
      <c r="Z747" s="10"/>
      <c r="AA747" s="10"/>
      <c r="AB747" s="10"/>
      <c r="AC747" s="10"/>
      <c r="AD747" s="10"/>
      <c r="AE747" s="10"/>
      <c r="AF747" s="10"/>
    </row>
    <row r="748" hidden="1">
      <c r="A748" s="9" t="s">
        <v>965</v>
      </c>
      <c r="B748" s="84"/>
      <c r="C748" s="9"/>
      <c r="D748" s="9" t="str">
        <f t="shared" si="1"/>
        <v/>
      </c>
      <c r="E748" s="10" t="str">
        <f t="shared" si="2"/>
        <v>OT Hours</v>
      </c>
      <c r="F748" s="10" t="str">
        <f>IFERROR(VLOOKUP(C748,'Employees List'!$B$1:$I$999,4,0),"")</f>
        <v/>
      </c>
      <c r="G748" s="10" t="str">
        <f t="shared" si="21"/>
        <v>#DIV/0!</v>
      </c>
      <c r="H748" s="72" t="str">
        <f>IFERROR(VLOOKUP(C748,'Employees List'!$B$2:$I$991,7,0),"")</f>
        <v/>
      </c>
      <c r="I748" s="73" t="str">
        <f>IFERROR(VLOOKUP(F748,'Employees List'!$E$1:$AE$991,6,0),"")</f>
        <v/>
      </c>
      <c r="J748" s="71">
        <f t="shared" si="3"/>
        <v>0</v>
      </c>
      <c r="K748" s="71">
        <f t="shared" si="4"/>
        <v>0</v>
      </c>
      <c r="L748" s="10" t="str">
        <f>IFERROR(VLOOKUP(B748,'Employees List'!$A$2:$K$991,11,0),"")</f>
        <v/>
      </c>
      <c r="M748" s="74" t="str">
        <f>IFERROR(VLOOKUP(D748,'Daily Attendance 25-26'!$A$4:BP999,5,0),"")</f>
        <v/>
      </c>
      <c r="N748" s="10" t="str">
        <f>IFERROR(VLOOKUP(E748,'Daily Attendance 25-26'!$A$1:$BO$1741,5,0),"")</f>
        <v/>
      </c>
      <c r="O748" s="10"/>
      <c r="P748" s="10"/>
      <c r="Q748" s="10" t="str">
        <f t="shared" si="5"/>
        <v>#DIV/0!</v>
      </c>
      <c r="R748" s="10" t="str">
        <f t="shared" si="6"/>
        <v>#DIV/0!</v>
      </c>
      <c r="S748" s="10" t="str">
        <f t="shared" si="23"/>
        <v>#DIV/0!</v>
      </c>
      <c r="T748" s="10" t="str">
        <f t="shared" si="22"/>
        <v>#DIV/0!</v>
      </c>
      <c r="U748" s="10" t="str">
        <f t="shared" si="8"/>
        <v>#DIV/0!</v>
      </c>
      <c r="V748" s="10"/>
      <c r="W748" s="10"/>
      <c r="X748" s="10"/>
      <c r="Y748" s="10"/>
      <c r="Z748" s="10"/>
      <c r="AA748" s="10"/>
      <c r="AB748" s="10"/>
      <c r="AC748" s="10"/>
      <c r="AD748" s="10"/>
      <c r="AE748" s="10"/>
      <c r="AF748" s="10"/>
    </row>
    <row r="749" hidden="1">
      <c r="A749" s="9" t="s">
        <v>966</v>
      </c>
      <c r="B749" s="84"/>
      <c r="C749" s="9"/>
      <c r="D749" s="9" t="str">
        <f t="shared" si="1"/>
        <v/>
      </c>
      <c r="E749" s="10" t="str">
        <f t="shared" si="2"/>
        <v>OT Hours</v>
      </c>
      <c r="F749" s="10" t="str">
        <f>IFERROR(VLOOKUP(C749,'Employees List'!$B$1:$I$999,4,0),"")</f>
        <v/>
      </c>
      <c r="G749" s="10" t="str">
        <f t="shared" si="21"/>
        <v>#DIV/0!</v>
      </c>
      <c r="H749" s="72" t="str">
        <f>IFERROR(VLOOKUP(C749,'Employees List'!$B$2:$I$991,7,0),"")</f>
        <v/>
      </c>
      <c r="I749" s="73" t="str">
        <f>IFERROR(VLOOKUP(F749,'Employees List'!$E$1:$AE$991,6,0),"")</f>
        <v/>
      </c>
      <c r="J749" s="71">
        <f t="shared" si="3"/>
        <v>0</v>
      </c>
      <c r="K749" s="71">
        <f t="shared" si="4"/>
        <v>0</v>
      </c>
      <c r="L749" s="10" t="str">
        <f>IFERROR(VLOOKUP(B749,'Employees List'!$A$2:$K$991,11,0),"")</f>
        <v/>
      </c>
      <c r="M749" s="74" t="str">
        <f>IFERROR(VLOOKUP(D749,'Daily Attendance 25-26'!$A$4:BP999,5,0),"")</f>
        <v/>
      </c>
      <c r="N749" s="10" t="str">
        <f>IFERROR(VLOOKUP(E749,'Daily Attendance 25-26'!$A$1:$BO$1741,5,0),"")</f>
        <v/>
      </c>
      <c r="O749" s="10"/>
      <c r="P749" s="10"/>
      <c r="Q749" s="10" t="str">
        <f t="shared" si="5"/>
        <v>#DIV/0!</v>
      </c>
      <c r="R749" s="10" t="str">
        <f t="shared" si="6"/>
        <v>#DIV/0!</v>
      </c>
      <c r="S749" s="10" t="str">
        <f t="shared" si="23"/>
        <v>#DIV/0!</v>
      </c>
      <c r="T749" s="10" t="str">
        <f t="shared" si="22"/>
        <v>#DIV/0!</v>
      </c>
      <c r="U749" s="10" t="str">
        <f t="shared" si="8"/>
        <v>#DIV/0!</v>
      </c>
      <c r="V749" s="10"/>
      <c r="W749" s="10"/>
      <c r="X749" s="10"/>
      <c r="Y749" s="10"/>
      <c r="Z749" s="10"/>
      <c r="AA749" s="10"/>
      <c r="AB749" s="10"/>
      <c r="AC749" s="10"/>
      <c r="AD749" s="10"/>
      <c r="AE749" s="10"/>
      <c r="AF749" s="10"/>
    </row>
    <row r="750" hidden="1">
      <c r="A750" s="9" t="s">
        <v>967</v>
      </c>
      <c r="B750" s="84"/>
      <c r="C750" s="9"/>
      <c r="D750" s="9" t="str">
        <f t="shared" si="1"/>
        <v/>
      </c>
      <c r="E750" s="10" t="str">
        <f t="shared" si="2"/>
        <v>OT Hours</v>
      </c>
      <c r="F750" s="10" t="str">
        <f>IFERROR(VLOOKUP(C750,'Employees List'!$B$1:$I$999,4,0),"")</f>
        <v/>
      </c>
      <c r="G750" s="10" t="str">
        <f t="shared" si="21"/>
        <v>#DIV/0!</v>
      </c>
      <c r="H750" s="72" t="str">
        <f>IFERROR(VLOOKUP(C750,'Employees List'!$B$2:$I$991,7,0),"")</f>
        <v/>
      </c>
      <c r="I750" s="73" t="str">
        <f>IFERROR(VLOOKUP(F750,'Employees List'!$E$1:$AE$991,6,0),"")</f>
        <v/>
      </c>
      <c r="J750" s="71">
        <f t="shared" si="3"/>
        <v>0</v>
      </c>
      <c r="K750" s="71">
        <f t="shared" si="4"/>
        <v>0</v>
      </c>
      <c r="L750" s="10" t="str">
        <f>IFERROR(VLOOKUP(B750,'Employees List'!$A$2:$K$991,11,0),"")</f>
        <v/>
      </c>
      <c r="M750" s="74" t="str">
        <f>IFERROR(VLOOKUP(D750,'Daily Attendance 25-26'!$A$4:BP999,5,0),"")</f>
        <v/>
      </c>
      <c r="N750" s="10" t="str">
        <f>IFERROR(VLOOKUP(E750,'Daily Attendance 25-26'!$A$1:$BO$1741,5,0),"")</f>
        <v/>
      </c>
      <c r="O750" s="10"/>
      <c r="P750" s="10"/>
      <c r="Q750" s="10" t="str">
        <f t="shared" si="5"/>
        <v>#DIV/0!</v>
      </c>
      <c r="R750" s="10" t="str">
        <f t="shared" si="6"/>
        <v>#DIV/0!</v>
      </c>
      <c r="S750" s="10" t="str">
        <f t="shared" si="23"/>
        <v>#DIV/0!</v>
      </c>
      <c r="T750" s="10" t="str">
        <f t="shared" si="22"/>
        <v>#DIV/0!</v>
      </c>
      <c r="U750" s="10" t="str">
        <f t="shared" si="8"/>
        <v>#DIV/0!</v>
      </c>
      <c r="V750" s="10"/>
      <c r="W750" s="10"/>
      <c r="X750" s="10"/>
      <c r="Y750" s="10"/>
      <c r="Z750" s="10"/>
      <c r="AA750" s="10"/>
      <c r="AB750" s="10"/>
      <c r="AC750" s="10"/>
      <c r="AD750" s="10"/>
      <c r="AE750" s="10"/>
      <c r="AF750" s="10"/>
    </row>
    <row r="751" hidden="1">
      <c r="A751" s="9" t="s">
        <v>968</v>
      </c>
      <c r="B751" s="84"/>
      <c r="C751" s="9"/>
      <c r="D751" s="9" t="str">
        <f t="shared" si="1"/>
        <v/>
      </c>
      <c r="E751" s="10" t="str">
        <f t="shared" si="2"/>
        <v>OT Hours</v>
      </c>
      <c r="F751" s="10" t="str">
        <f>IFERROR(VLOOKUP(C751,'Employees List'!$B$1:$I$999,4,0),"")</f>
        <v/>
      </c>
      <c r="G751" s="10" t="str">
        <f t="shared" si="21"/>
        <v>#DIV/0!</v>
      </c>
      <c r="H751" s="72" t="str">
        <f>IFERROR(VLOOKUP(C751,'Employees List'!$B$2:$I$991,7,0),"")</f>
        <v/>
      </c>
      <c r="I751" s="73" t="str">
        <f>IFERROR(VLOOKUP(F751,'Employees List'!$E$1:$AE$991,6,0),"")</f>
        <v/>
      </c>
      <c r="J751" s="71">
        <f t="shared" si="3"/>
        <v>0</v>
      </c>
      <c r="K751" s="71">
        <f t="shared" si="4"/>
        <v>0</v>
      </c>
      <c r="L751" s="10" t="str">
        <f>IFERROR(VLOOKUP(B751,'Employees List'!$A$2:$K$991,11,0),"")</f>
        <v/>
      </c>
      <c r="M751" s="74" t="str">
        <f>IFERROR(VLOOKUP(D751,'Daily Attendance 25-26'!$A$4:BP999,5,0),"")</f>
        <v/>
      </c>
      <c r="N751" s="10" t="str">
        <f>IFERROR(VLOOKUP(E751,'Daily Attendance 25-26'!$A$1:$BO$1741,5,0),"")</f>
        <v/>
      </c>
      <c r="O751" s="10"/>
      <c r="P751" s="10"/>
      <c r="Q751" s="10" t="str">
        <f t="shared" si="5"/>
        <v>#DIV/0!</v>
      </c>
      <c r="R751" s="10" t="str">
        <f t="shared" si="6"/>
        <v>#DIV/0!</v>
      </c>
      <c r="S751" s="10" t="str">
        <f t="shared" si="23"/>
        <v>#DIV/0!</v>
      </c>
      <c r="T751" s="10" t="str">
        <f t="shared" si="22"/>
        <v>#DIV/0!</v>
      </c>
      <c r="U751" s="10" t="str">
        <f t="shared" si="8"/>
        <v>#DIV/0!</v>
      </c>
      <c r="V751" s="10"/>
      <c r="W751" s="10"/>
      <c r="X751" s="10"/>
      <c r="Y751" s="10"/>
      <c r="Z751" s="10"/>
      <c r="AA751" s="10"/>
      <c r="AB751" s="10"/>
      <c r="AC751" s="10"/>
      <c r="AD751" s="10"/>
      <c r="AE751" s="10"/>
      <c r="AF751" s="10"/>
    </row>
    <row r="752" hidden="1">
      <c r="A752" s="9" t="s">
        <v>969</v>
      </c>
      <c r="B752" s="84"/>
      <c r="C752" s="9"/>
      <c r="D752" s="9" t="str">
        <f t="shared" si="1"/>
        <v/>
      </c>
      <c r="E752" s="10" t="str">
        <f t="shared" si="2"/>
        <v>OT Hours</v>
      </c>
      <c r="F752" s="10" t="str">
        <f>IFERROR(VLOOKUP(C752,'Employees List'!$B$1:$I$999,4,0),"")</f>
        <v/>
      </c>
      <c r="G752" s="10" t="str">
        <f t="shared" si="21"/>
        <v>#DIV/0!</v>
      </c>
      <c r="H752" s="72" t="str">
        <f>IFERROR(VLOOKUP(C752,'Employees List'!$B$2:$I$991,7,0),"")</f>
        <v/>
      </c>
      <c r="I752" s="73" t="str">
        <f>IFERROR(VLOOKUP(F752,'Employees List'!$E$1:$AE$991,6,0),"")</f>
        <v/>
      </c>
      <c r="J752" s="71">
        <f t="shared" si="3"/>
        <v>0</v>
      </c>
      <c r="K752" s="71">
        <f t="shared" si="4"/>
        <v>0</v>
      </c>
      <c r="L752" s="10" t="str">
        <f>IFERROR(VLOOKUP(B752,'Employees List'!$A$2:$K$991,11,0),"")</f>
        <v/>
      </c>
      <c r="M752" s="74" t="str">
        <f>IFERROR(VLOOKUP(D752,'Daily Attendance 25-26'!$A$4:BP999,5,0),"")</f>
        <v/>
      </c>
      <c r="N752" s="10" t="str">
        <f>IFERROR(VLOOKUP(E752,'Daily Attendance 25-26'!$A$1:$BO$1741,5,0),"")</f>
        <v/>
      </c>
      <c r="O752" s="10"/>
      <c r="P752" s="10"/>
      <c r="Q752" s="10" t="str">
        <f t="shared" si="5"/>
        <v>#DIV/0!</v>
      </c>
      <c r="R752" s="10" t="str">
        <f t="shared" si="6"/>
        <v>#DIV/0!</v>
      </c>
      <c r="S752" s="10" t="str">
        <f t="shared" si="23"/>
        <v>#DIV/0!</v>
      </c>
      <c r="T752" s="10" t="str">
        <f t="shared" si="22"/>
        <v>#DIV/0!</v>
      </c>
      <c r="U752" s="10" t="str">
        <f t="shared" si="8"/>
        <v>#DIV/0!</v>
      </c>
      <c r="V752" s="10"/>
      <c r="W752" s="10"/>
      <c r="X752" s="10"/>
      <c r="Y752" s="10"/>
      <c r="Z752" s="10"/>
      <c r="AA752" s="10"/>
      <c r="AB752" s="10"/>
      <c r="AC752" s="10"/>
      <c r="AD752" s="10"/>
      <c r="AE752" s="10"/>
      <c r="AF752" s="10"/>
    </row>
    <row r="753" hidden="1">
      <c r="A753" s="9" t="s">
        <v>970</v>
      </c>
      <c r="B753" s="84"/>
      <c r="C753" s="9"/>
      <c r="D753" s="9" t="str">
        <f t="shared" si="1"/>
        <v/>
      </c>
      <c r="E753" s="10" t="str">
        <f t="shared" si="2"/>
        <v>OT Hours</v>
      </c>
      <c r="F753" s="10" t="str">
        <f>IFERROR(VLOOKUP(C753,'Employees List'!$B$1:$I$999,4,0),"")</f>
        <v/>
      </c>
      <c r="G753" s="10" t="str">
        <f t="shared" si="21"/>
        <v>#DIV/0!</v>
      </c>
      <c r="H753" s="72" t="str">
        <f>IFERROR(VLOOKUP(C753,'Employees List'!$B$2:$I$991,7,0),"")</f>
        <v/>
      </c>
      <c r="I753" s="73" t="str">
        <f>IFERROR(VLOOKUP(F753,'Employees List'!$E$1:$AE$991,6,0),"")</f>
        <v/>
      </c>
      <c r="J753" s="71">
        <f t="shared" si="3"/>
        <v>0</v>
      </c>
      <c r="K753" s="71">
        <f t="shared" si="4"/>
        <v>0</v>
      </c>
      <c r="L753" s="10" t="str">
        <f>IFERROR(VLOOKUP(B753,'Employees List'!$A$2:$K$991,11,0),"")</f>
        <v/>
      </c>
      <c r="M753" s="74" t="str">
        <f>IFERROR(VLOOKUP(D753,'Daily Attendance 25-26'!$A$4:BP999,5,0),"")</f>
        <v/>
      </c>
      <c r="N753" s="10" t="str">
        <f>IFERROR(VLOOKUP(E753,'Daily Attendance 25-26'!$A$1:$BO$1741,5,0),"")</f>
        <v/>
      </c>
      <c r="O753" s="10"/>
      <c r="P753" s="10"/>
      <c r="Q753" s="10" t="str">
        <f t="shared" si="5"/>
        <v>#DIV/0!</v>
      </c>
      <c r="R753" s="10" t="str">
        <f t="shared" si="6"/>
        <v>#DIV/0!</v>
      </c>
      <c r="S753" s="10" t="str">
        <f t="shared" si="23"/>
        <v>#DIV/0!</v>
      </c>
      <c r="T753" s="10" t="str">
        <f t="shared" si="22"/>
        <v>#DIV/0!</v>
      </c>
      <c r="U753" s="10" t="str">
        <f t="shared" si="8"/>
        <v>#DIV/0!</v>
      </c>
      <c r="V753" s="10"/>
      <c r="W753" s="10"/>
      <c r="X753" s="10"/>
      <c r="Y753" s="10"/>
      <c r="Z753" s="10"/>
      <c r="AA753" s="10"/>
      <c r="AB753" s="10"/>
      <c r="AC753" s="10"/>
      <c r="AD753" s="10"/>
      <c r="AE753" s="10"/>
      <c r="AF753" s="10"/>
    </row>
    <row r="754" hidden="1">
      <c r="A754" s="9" t="s">
        <v>971</v>
      </c>
      <c r="B754" s="84"/>
      <c r="C754" s="9"/>
      <c r="D754" s="9" t="str">
        <f t="shared" si="1"/>
        <v/>
      </c>
      <c r="E754" s="10" t="str">
        <f t="shared" si="2"/>
        <v>OT Hours</v>
      </c>
      <c r="F754" s="10" t="str">
        <f>IFERROR(VLOOKUP(C754,'Employees List'!$B$1:$I$999,4,0),"")</f>
        <v/>
      </c>
      <c r="G754" s="10" t="str">
        <f t="shared" si="21"/>
        <v>#DIV/0!</v>
      </c>
      <c r="H754" s="72" t="str">
        <f>IFERROR(VLOOKUP(C754,'Employees List'!$B$2:$I$991,7,0),"")</f>
        <v/>
      </c>
      <c r="I754" s="73" t="str">
        <f>IFERROR(VLOOKUP(F754,'Employees List'!$E$1:$AE$991,6,0),"")</f>
        <v/>
      </c>
      <c r="J754" s="71">
        <f t="shared" si="3"/>
        <v>0</v>
      </c>
      <c r="K754" s="71">
        <f t="shared" si="4"/>
        <v>0</v>
      </c>
      <c r="L754" s="10" t="str">
        <f>IFERROR(VLOOKUP(B754,'Employees List'!$A$2:$K$991,11,0),"")</f>
        <v/>
      </c>
      <c r="M754" s="74" t="str">
        <f>IFERROR(VLOOKUP(D754,'Daily Attendance 25-26'!$A$4:BP999,5,0),"")</f>
        <v/>
      </c>
      <c r="N754" s="10" t="str">
        <f>IFERROR(VLOOKUP(E754,'Daily Attendance 25-26'!$A$1:$BO$1741,5,0),"")</f>
        <v/>
      </c>
      <c r="O754" s="10"/>
      <c r="P754" s="10"/>
      <c r="Q754" s="10" t="str">
        <f t="shared" si="5"/>
        <v>#DIV/0!</v>
      </c>
      <c r="R754" s="10" t="str">
        <f t="shared" si="6"/>
        <v>#DIV/0!</v>
      </c>
      <c r="S754" s="10" t="str">
        <f t="shared" si="23"/>
        <v>#DIV/0!</v>
      </c>
      <c r="T754" s="10" t="str">
        <f t="shared" si="22"/>
        <v>#DIV/0!</v>
      </c>
      <c r="U754" s="10" t="str">
        <f t="shared" si="8"/>
        <v>#DIV/0!</v>
      </c>
      <c r="V754" s="10"/>
      <c r="W754" s="10"/>
      <c r="X754" s="10"/>
      <c r="Y754" s="10"/>
      <c r="Z754" s="10"/>
      <c r="AA754" s="10"/>
      <c r="AB754" s="10"/>
      <c r="AC754" s="10"/>
      <c r="AD754" s="10"/>
      <c r="AE754" s="10"/>
      <c r="AF754" s="10"/>
    </row>
    <row r="755" hidden="1">
      <c r="A755" s="9" t="s">
        <v>972</v>
      </c>
      <c r="B755" s="84"/>
      <c r="C755" s="9"/>
      <c r="D755" s="9" t="str">
        <f t="shared" si="1"/>
        <v/>
      </c>
      <c r="E755" s="10" t="str">
        <f t="shared" si="2"/>
        <v>OT Hours</v>
      </c>
      <c r="F755" s="10" t="str">
        <f>IFERROR(VLOOKUP(C755,'Employees List'!$B$1:$I$999,4,0),"")</f>
        <v/>
      </c>
      <c r="G755" s="10" t="str">
        <f t="shared" si="21"/>
        <v>#DIV/0!</v>
      </c>
      <c r="H755" s="72" t="str">
        <f>IFERROR(VLOOKUP(C755,'Employees List'!$B$2:$I$991,7,0),"")</f>
        <v/>
      </c>
      <c r="I755" s="73" t="str">
        <f>IFERROR(VLOOKUP(F755,'Employees List'!$E$1:$AE$991,6,0),"")</f>
        <v/>
      </c>
      <c r="J755" s="71">
        <f t="shared" si="3"/>
        <v>0</v>
      </c>
      <c r="K755" s="71">
        <f t="shared" si="4"/>
        <v>0</v>
      </c>
      <c r="L755" s="10" t="str">
        <f>IFERROR(VLOOKUP(B755,'Employees List'!$A$2:$K$991,11,0),"")</f>
        <v/>
      </c>
      <c r="M755" s="74" t="str">
        <f>IFERROR(VLOOKUP(D755,'Daily Attendance 25-26'!$A$4:BP999,5,0),"")</f>
        <v/>
      </c>
      <c r="N755" s="10" t="str">
        <f>IFERROR(VLOOKUP(E755,'Daily Attendance 25-26'!$A$1:$BO$1741,5,0),"")</f>
        <v/>
      </c>
      <c r="O755" s="10"/>
      <c r="P755" s="10"/>
      <c r="Q755" s="10" t="str">
        <f t="shared" si="5"/>
        <v>#DIV/0!</v>
      </c>
      <c r="R755" s="10" t="str">
        <f t="shared" si="6"/>
        <v>#DIV/0!</v>
      </c>
      <c r="S755" s="10" t="str">
        <f t="shared" si="23"/>
        <v>#DIV/0!</v>
      </c>
      <c r="T755" s="10" t="str">
        <f t="shared" si="22"/>
        <v>#DIV/0!</v>
      </c>
      <c r="U755" s="10" t="str">
        <f t="shared" si="8"/>
        <v>#DIV/0!</v>
      </c>
      <c r="V755" s="10"/>
      <c r="W755" s="10"/>
      <c r="X755" s="10"/>
      <c r="Y755" s="10"/>
      <c r="Z755" s="10"/>
      <c r="AA755" s="10"/>
      <c r="AB755" s="10"/>
      <c r="AC755" s="10"/>
      <c r="AD755" s="10"/>
      <c r="AE755" s="10"/>
      <c r="AF755" s="10"/>
    </row>
    <row r="756" hidden="1">
      <c r="A756" s="9" t="s">
        <v>973</v>
      </c>
      <c r="B756" s="84"/>
      <c r="C756" s="9"/>
      <c r="D756" s="9" t="str">
        <f t="shared" si="1"/>
        <v/>
      </c>
      <c r="E756" s="10" t="str">
        <f t="shared" si="2"/>
        <v>OT Hours</v>
      </c>
      <c r="F756" s="10" t="str">
        <f>IFERROR(VLOOKUP(C756,'Employees List'!$B$1:$I$999,4,0),"")</f>
        <v/>
      </c>
      <c r="G756" s="10" t="str">
        <f t="shared" si="21"/>
        <v>#DIV/0!</v>
      </c>
      <c r="H756" s="72" t="str">
        <f>IFERROR(VLOOKUP(C756,'Employees List'!$B$2:$I$991,7,0),"")</f>
        <v/>
      </c>
      <c r="I756" s="73" t="str">
        <f>IFERROR(VLOOKUP(F756,'Employees List'!$E$1:$AE$991,6,0),"")</f>
        <v/>
      </c>
      <c r="J756" s="71">
        <f t="shared" si="3"/>
        <v>0</v>
      </c>
      <c r="K756" s="71">
        <f t="shared" si="4"/>
        <v>0</v>
      </c>
      <c r="L756" s="10" t="str">
        <f>IFERROR(VLOOKUP(B756,'Employees List'!$A$2:$K$991,11,0),"")</f>
        <v/>
      </c>
      <c r="M756" s="74" t="str">
        <f>IFERROR(VLOOKUP(D756,'Daily Attendance 25-26'!$A$4:BP999,5,0),"")</f>
        <v/>
      </c>
      <c r="N756" s="10" t="str">
        <f>IFERROR(VLOOKUP(E756,'Daily Attendance 25-26'!$A$1:$BO$1741,5,0),"")</f>
        <v/>
      </c>
      <c r="O756" s="10"/>
      <c r="P756" s="10"/>
      <c r="Q756" s="10" t="str">
        <f t="shared" si="5"/>
        <v>#DIV/0!</v>
      </c>
      <c r="R756" s="10" t="str">
        <f t="shared" si="6"/>
        <v>#DIV/0!</v>
      </c>
      <c r="S756" s="10" t="str">
        <f t="shared" si="23"/>
        <v>#DIV/0!</v>
      </c>
      <c r="T756" s="10" t="str">
        <f t="shared" si="22"/>
        <v>#DIV/0!</v>
      </c>
      <c r="U756" s="10" t="str">
        <f t="shared" si="8"/>
        <v>#DIV/0!</v>
      </c>
      <c r="V756" s="10"/>
      <c r="W756" s="10"/>
      <c r="X756" s="10"/>
      <c r="Y756" s="10"/>
      <c r="Z756" s="10"/>
      <c r="AA756" s="10"/>
      <c r="AB756" s="10"/>
      <c r="AC756" s="10"/>
      <c r="AD756" s="10"/>
      <c r="AE756" s="10"/>
      <c r="AF756" s="10"/>
    </row>
    <row r="757" hidden="1">
      <c r="A757" s="9" t="s">
        <v>974</v>
      </c>
      <c r="B757" s="84"/>
      <c r="C757" s="9"/>
      <c r="D757" s="9" t="str">
        <f t="shared" si="1"/>
        <v/>
      </c>
      <c r="E757" s="10" t="str">
        <f t="shared" si="2"/>
        <v>OT Hours</v>
      </c>
      <c r="F757" s="10" t="str">
        <f>IFERROR(VLOOKUP(C757,'Employees List'!$B$1:$I$999,4,0),"")</f>
        <v/>
      </c>
      <c r="G757" s="10" t="str">
        <f t="shared" si="21"/>
        <v>#DIV/0!</v>
      </c>
      <c r="H757" s="72" t="str">
        <f>IFERROR(VLOOKUP(C757,'Employees List'!$B$2:$I$991,7,0),"")</f>
        <v/>
      </c>
      <c r="I757" s="73" t="str">
        <f>IFERROR(VLOOKUP(F757,'Employees List'!$E$1:$AE$991,6,0),"")</f>
        <v/>
      </c>
      <c r="J757" s="71">
        <f t="shared" si="3"/>
        <v>0</v>
      </c>
      <c r="K757" s="71">
        <f t="shared" si="4"/>
        <v>0</v>
      </c>
      <c r="L757" s="10" t="str">
        <f>IFERROR(VLOOKUP(B757,'Employees List'!$A$2:$K$991,11,0),"")</f>
        <v/>
      </c>
      <c r="M757" s="74" t="str">
        <f>IFERROR(VLOOKUP(D757,'Daily Attendance 25-26'!$A$4:BP999,5,0),"")</f>
        <v/>
      </c>
      <c r="N757" s="10" t="str">
        <f>IFERROR(VLOOKUP(E757,'Daily Attendance 25-26'!$A$1:$BO$1741,5,0),"")</f>
        <v/>
      </c>
      <c r="O757" s="10"/>
      <c r="P757" s="10"/>
      <c r="Q757" s="10" t="str">
        <f t="shared" si="5"/>
        <v>#DIV/0!</v>
      </c>
      <c r="R757" s="10" t="str">
        <f t="shared" si="6"/>
        <v>#DIV/0!</v>
      </c>
      <c r="S757" s="10" t="str">
        <f t="shared" si="23"/>
        <v>#DIV/0!</v>
      </c>
      <c r="T757" s="10" t="str">
        <f t="shared" si="22"/>
        <v>#DIV/0!</v>
      </c>
      <c r="U757" s="10" t="str">
        <f t="shared" si="8"/>
        <v>#DIV/0!</v>
      </c>
      <c r="V757" s="10"/>
      <c r="W757" s="10"/>
      <c r="X757" s="10"/>
      <c r="Y757" s="10"/>
      <c r="Z757" s="10"/>
      <c r="AA757" s="10"/>
      <c r="AB757" s="10"/>
      <c r="AC757" s="10"/>
      <c r="AD757" s="10"/>
      <c r="AE757" s="10"/>
      <c r="AF757" s="10"/>
    </row>
    <row r="758" hidden="1">
      <c r="A758" s="9" t="s">
        <v>975</v>
      </c>
      <c r="B758" s="84"/>
      <c r="C758" s="9"/>
      <c r="D758" s="9" t="str">
        <f t="shared" si="1"/>
        <v/>
      </c>
      <c r="E758" s="10" t="str">
        <f t="shared" si="2"/>
        <v>OT Hours</v>
      </c>
      <c r="F758" s="10" t="str">
        <f>IFERROR(VLOOKUP(C758,'Employees List'!$B$1:$I$999,4,0),"")</f>
        <v/>
      </c>
      <c r="G758" s="10" t="str">
        <f t="shared" si="21"/>
        <v>#DIV/0!</v>
      </c>
      <c r="H758" s="72" t="str">
        <f>IFERROR(VLOOKUP(C758,'Employees List'!$B$2:$I$991,7,0),"")</f>
        <v/>
      </c>
      <c r="I758" s="73" t="str">
        <f>IFERROR(VLOOKUP(F758,'Employees List'!$E$1:$AE$991,6,0),"")</f>
        <v/>
      </c>
      <c r="J758" s="71">
        <f t="shared" si="3"/>
        <v>0</v>
      </c>
      <c r="K758" s="71">
        <f t="shared" si="4"/>
        <v>0</v>
      </c>
      <c r="L758" s="10" t="str">
        <f>IFERROR(VLOOKUP(B758,'Employees List'!$A$2:$K$991,11,0),"")</f>
        <v/>
      </c>
      <c r="M758" s="74" t="str">
        <f>IFERROR(VLOOKUP(D758,'Daily Attendance 25-26'!$A$4:BP999,5,0),"")</f>
        <v/>
      </c>
      <c r="N758" s="10" t="str">
        <f>IFERROR(VLOOKUP(E758,'Daily Attendance 25-26'!$A$1:$BO$1741,5,0),"")</f>
        <v/>
      </c>
      <c r="O758" s="10"/>
      <c r="P758" s="10"/>
      <c r="Q758" s="10" t="str">
        <f t="shared" si="5"/>
        <v>#DIV/0!</v>
      </c>
      <c r="R758" s="10" t="str">
        <f t="shared" si="6"/>
        <v>#DIV/0!</v>
      </c>
      <c r="S758" s="10" t="str">
        <f t="shared" si="23"/>
        <v>#DIV/0!</v>
      </c>
      <c r="T758" s="10" t="str">
        <f t="shared" si="22"/>
        <v>#DIV/0!</v>
      </c>
      <c r="U758" s="10" t="str">
        <f t="shared" si="8"/>
        <v>#DIV/0!</v>
      </c>
      <c r="V758" s="10"/>
      <c r="W758" s="10"/>
      <c r="X758" s="10"/>
      <c r="Y758" s="10"/>
      <c r="Z758" s="10"/>
      <c r="AA758" s="10"/>
      <c r="AB758" s="10"/>
      <c r="AC758" s="10"/>
      <c r="AD758" s="10"/>
      <c r="AE758" s="10"/>
      <c r="AF758" s="10"/>
    </row>
    <row r="759" hidden="1">
      <c r="A759" s="9" t="s">
        <v>976</v>
      </c>
      <c r="B759" s="84"/>
      <c r="C759" s="9"/>
      <c r="D759" s="9" t="str">
        <f t="shared" si="1"/>
        <v/>
      </c>
      <c r="E759" s="10" t="str">
        <f t="shared" si="2"/>
        <v>OT Hours</v>
      </c>
      <c r="F759" s="10" t="str">
        <f>IFERROR(VLOOKUP(C759,'Employees List'!$B$1:$I$999,4,0),"")</f>
        <v/>
      </c>
      <c r="G759" s="10" t="str">
        <f t="shared" si="21"/>
        <v>#DIV/0!</v>
      </c>
      <c r="H759" s="72" t="str">
        <f>IFERROR(VLOOKUP(C759,'Employees List'!$B$2:$I$991,7,0),"")</f>
        <v/>
      </c>
      <c r="I759" s="73" t="str">
        <f>IFERROR(VLOOKUP(F759,'Employees List'!$E$1:$AE$991,6,0),"")</f>
        <v/>
      </c>
      <c r="J759" s="71">
        <f t="shared" si="3"/>
        <v>0</v>
      </c>
      <c r="K759" s="71">
        <f t="shared" si="4"/>
        <v>0</v>
      </c>
      <c r="L759" s="10" t="str">
        <f>IFERROR(VLOOKUP(B759,'Employees List'!$A$2:$K$991,11,0),"")</f>
        <v/>
      </c>
      <c r="M759" s="74" t="str">
        <f>IFERROR(VLOOKUP(D759,'Daily Attendance 25-26'!$A$4:BP999,5,0),"")</f>
        <v/>
      </c>
      <c r="N759" s="10" t="str">
        <f>IFERROR(VLOOKUP(E759,'Daily Attendance 25-26'!$A$1:$BO$1741,5,0),"")</f>
        <v/>
      </c>
      <c r="O759" s="10"/>
      <c r="P759" s="10"/>
      <c r="Q759" s="10" t="str">
        <f t="shared" si="5"/>
        <v>#DIV/0!</v>
      </c>
      <c r="R759" s="10" t="str">
        <f t="shared" si="6"/>
        <v>#DIV/0!</v>
      </c>
      <c r="S759" s="10" t="str">
        <f t="shared" si="23"/>
        <v>#DIV/0!</v>
      </c>
      <c r="T759" s="10" t="str">
        <f t="shared" si="22"/>
        <v>#DIV/0!</v>
      </c>
      <c r="U759" s="10" t="str">
        <f t="shared" si="8"/>
        <v>#DIV/0!</v>
      </c>
      <c r="V759" s="10"/>
      <c r="W759" s="10"/>
      <c r="X759" s="10"/>
      <c r="Y759" s="10"/>
      <c r="Z759" s="10"/>
      <c r="AA759" s="10"/>
      <c r="AB759" s="10"/>
      <c r="AC759" s="10"/>
      <c r="AD759" s="10"/>
      <c r="AE759" s="10"/>
      <c r="AF759" s="10"/>
    </row>
    <row r="760" hidden="1">
      <c r="A760" s="9" t="s">
        <v>977</v>
      </c>
      <c r="B760" s="84"/>
      <c r="C760" s="9"/>
      <c r="D760" s="9" t="str">
        <f t="shared" si="1"/>
        <v/>
      </c>
      <c r="E760" s="10" t="str">
        <f t="shared" si="2"/>
        <v>OT Hours</v>
      </c>
      <c r="F760" s="10" t="str">
        <f>IFERROR(VLOOKUP(C760,'Employees List'!$B$1:$I$999,4,0),"")</f>
        <v/>
      </c>
      <c r="G760" s="10" t="str">
        <f t="shared" si="21"/>
        <v>#DIV/0!</v>
      </c>
      <c r="H760" s="72" t="str">
        <f>IFERROR(VLOOKUP(C760,'Employees List'!$B$2:$I$991,7,0),"")</f>
        <v/>
      </c>
      <c r="I760" s="73" t="str">
        <f>IFERROR(VLOOKUP(F760,'Employees List'!$E$1:$AE$991,6,0),"")</f>
        <v/>
      </c>
      <c r="J760" s="71">
        <f t="shared" si="3"/>
        <v>0</v>
      </c>
      <c r="K760" s="71">
        <f t="shared" si="4"/>
        <v>0</v>
      </c>
      <c r="L760" s="10" t="str">
        <f>IFERROR(VLOOKUP(B760,'Employees List'!$A$2:$K$991,11,0),"")</f>
        <v/>
      </c>
      <c r="M760" s="74" t="str">
        <f>IFERROR(VLOOKUP(D760,'Daily Attendance 25-26'!$A$4:BP999,5,0),"")</f>
        <v/>
      </c>
      <c r="N760" s="10" t="str">
        <f>IFERROR(VLOOKUP(E760,'Daily Attendance 25-26'!$A$1:$BO$1741,5,0),"")</f>
        <v/>
      </c>
      <c r="O760" s="10"/>
      <c r="P760" s="10"/>
      <c r="Q760" s="10" t="str">
        <f t="shared" si="5"/>
        <v>#DIV/0!</v>
      </c>
      <c r="R760" s="10" t="str">
        <f t="shared" si="6"/>
        <v>#DIV/0!</v>
      </c>
      <c r="S760" s="10" t="str">
        <f t="shared" si="23"/>
        <v>#DIV/0!</v>
      </c>
      <c r="T760" s="10" t="str">
        <f t="shared" si="22"/>
        <v>#DIV/0!</v>
      </c>
      <c r="U760" s="10" t="str">
        <f t="shared" si="8"/>
        <v>#DIV/0!</v>
      </c>
      <c r="V760" s="10"/>
      <c r="W760" s="10"/>
      <c r="X760" s="10"/>
      <c r="Y760" s="10"/>
      <c r="Z760" s="10"/>
      <c r="AA760" s="10"/>
      <c r="AB760" s="10"/>
      <c r="AC760" s="10"/>
      <c r="AD760" s="10"/>
      <c r="AE760" s="10"/>
      <c r="AF760" s="10"/>
    </row>
    <row r="761" hidden="1">
      <c r="A761" s="9" t="s">
        <v>978</v>
      </c>
      <c r="B761" s="84"/>
      <c r="C761" s="9"/>
      <c r="D761" s="9" t="str">
        <f t="shared" si="1"/>
        <v/>
      </c>
      <c r="E761" s="10" t="str">
        <f t="shared" si="2"/>
        <v>OT Hours</v>
      </c>
      <c r="F761" s="10" t="str">
        <f>IFERROR(VLOOKUP(C761,'Employees List'!$B$1:$I$999,4,0),"")</f>
        <v/>
      </c>
      <c r="G761" s="10" t="str">
        <f t="shared" si="21"/>
        <v>#DIV/0!</v>
      </c>
      <c r="H761" s="72" t="str">
        <f>IFERROR(VLOOKUP(C761,'Employees List'!$B$2:$I$991,7,0),"")</f>
        <v/>
      </c>
      <c r="I761" s="73" t="str">
        <f>IFERROR(VLOOKUP(F761,'Employees List'!$E$1:$AE$991,6,0),"")</f>
        <v/>
      </c>
      <c r="J761" s="71">
        <f t="shared" si="3"/>
        <v>0</v>
      </c>
      <c r="K761" s="71">
        <f t="shared" si="4"/>
        <v>0</v>
      </c>
      <c r="L761" s="10" t="str">
        <f>IFERROR(VLOOKUP(B761,'Employees List'!$A$2:$K$991,11,0),"")</f>
        <v/>
      </c>
      <c r="M761" s="74" t="str">
        <f>IFERROR(VLOOKUP(D761,'Daily Attendance 25-26'!$A$4:BP999,5,0),"")</f>
        <v/>
      </c>
      <c r="N761" s="10" t="str">
        <f>IFERROR(VLOOKUP(E761,'Daily Attendance 25-26'!$A$1:$BO$1741,5,0),"")</f>
        <v/>
      </c>
      <c r="O761" s="10"/>
      <c r="P761" s="10"/>
      <c r="Q761" s="10" t="str">
        <f t="shared" si="5"/>
        <v>#DIV/0!</v>
      </c>
      <c r="R761" s="10" t="str">
        <f t="shared" si="6"/>
        <v>#DIV/0!</v>
      </c>
      <c r="S761" s="10" t="str">
        <f t="shared" si="23"/>
        <v>#DIV/0!</v>
      </c>
      <c r="T761" s="10" t="str">
        <f t="shared" si="22"/>
        <v>#DIV/0!</v>
      </c>
      <c r="U761" s="10" t="str">
        <f t="shared" si="8"/>
        <v>#DIV/0!</v>
      </c>
      <c r="V761" s="10"/>
      <c r="W761" s="10"/>
      <c r="X761" s="10"/>
      <c r="Y761" s="10"/>
      <c r="Z761" s="10"/>
      <c r="AA761" s="10"/>
      <c r="AB761" s="10"/>
      <c r="AC761" s="10"/>
      <c r="AD761" s="10"/>
      <c r="AE761" s="10"/>
      <c r="AF761" s="10"/>
    </row>
    <row r="762" hidden="1">
      <c r="A762" s="9" t="s">
        <v>979</v>
      </c>
      <c r="B762" s="84"/>
      <c r="C762" s="9"/>
      <c r="D762" s="9" t="str">
        <f t="shared" si="1"/>
        <v/>
      </c>
      <c r="E762" s="10" t="str">
        <f t="shared" si="2"/>
        <v>OT Hours</v>
      </c>
      <c r="F762" s="10" t="str">
        <f>IFERROR(VLOOKUP(C762,'Employees List'!$B$1:$I$999,4,0),"")</f>
        <v/>
      </c>
      <c r="G762" s="10" t="str">
        <f t="shared" si="21"/>
        <v>#DIV/0!</v>
      </c>
      <c r="H762" s="72" t="str">
        <f>IFERROR(VLOOKUP(C762,'Employees List'!$B$2:$I$991,7,0),"")</f>
        <v/>
      </c>
      <c r="I762" s="73" t="str">
        <f>IFERROR(VLOOKUP(F762,'Employees List'!$E$1:$AE$991,6,0),"")</f>
        <v/>
      </c>
      <c r="J762" s="71">
        <f t="shared" si="3"/>
        <v>0</v>
      </c>
      <c r="K762" s="71">
        <f t="shared" si="4"/>
        <v>0</v>
      </c>
      <c r="L762" s="10" t="str">
        <f>IFERROR(VLOOKUP(B762,'Employees List'!$A$2:$K$991,11,0),"")</f>
        <v/>
      </c>
      <c r="M762" s="74" t="str">
        <f>IFERROR(VLOOKUP(D762,'Daily Attendance 25-26'!$A$4:BP999,5,0),"")</f>
        <v/>
      </c>
      <c r="N762" s="10" t="str">
        <f>IFERROR(VLOOKUP(E762,'Daily Attendance 25-26'!$A$1:$BO$1741,5,0),"")</f>
        <v/>
      </c>
      <c r="O762" s="10"/>
      <c r="P762" s="10"/>
      <c r="Q762" s="10" t="str">
        <f t="shared" si="5"/>
        <v>#DIV/0!</v>
      </c>
      <c r="R762" s="10" t="str">
        <f t="shared" si="6"/>
        <v>#DIV/0!</v>
      </c>
      <c r="S762" s="10" t="str">
        <f t="shared" si="23"/>
        <v>#DIV/0!</v>
      </c>
      <c r="T762" s="10" t="str">
        <f t="shared" si="22"/>
        <v>#DIV/0!</v>
      </c>
      <c r="U762" s="10" t="str">
        <f t="shared" si="8"/>
        <v>#DIV/0!</v>
      </c>
      <c r="V762" s="10"/>
      <c r="W762" s="10"/>
      <c r="X762" s="10"/>
      <c r="Y762" s="10"/>
      <c r="Z762" s="10"/>
      <c r="AA762" s="10"/>
      <c r="AB762" s="10"/>
      <c r="AC762" s="10"/>
      <c r="AD762" s="10"/>
      <c r="AE762" s="10"/>
      <c r="AF762" s="10"/>
    </row>
    <row r="763" hidden="1">
      <c r="A763" s="9" t="s">
        <v>980</v>
      </c>
      <c r="B763" s="84"/>
      <c r="C763" s="9"/>
      <c r="D763" s="9" t="str">
        <f t="shared" si="1"/>
        <v/>
      </c>
      <c r="E763" s="10" t="str">
        <f t="shared" si="2"/>
        <v>OT Hours</v>
      </c>
      <c r="F763" s="10" t="str">
        <f>IFERROR(VLOOKUP(C763,'Employees List'!$B$1:$I$999,4,0),"")</f>
        <v/>
      </c>
      <c r="G763" s="10" t="str">
        <f t="shared" si="21"/>
        <v>#DIV/0!</v>
      </c>
      <c r="H763" s="72" t="str">
        <f>IFERROR(VLOOKUP(C763,'Employees List'!$B$2:$I$991,7,0),"")</f>
        <v/>
      </c>
      <c r="I763" s="73" t="str">
        <f>IFERROR(VLOOKUP(F763,'Employees List'!$E$1:$AE$991,6,0),"")</f>
        <v/>
      </c>
      <c r="J763" s="71">
        <f t="shared" si="3"/>
        <v>0</v>
      </c>
      <c r="K763" s="71">
        <f t="shared" si="4"/>
        <v>0</v>
      </c>
      <c r="L763" s="10" t="str">
        <f>IFERROR(VLOOKUP(B763,'Employees List'!$A$2:$K$991,11,0),"")</f>
        <v/>
      </c>
      <c r="M763" s="74" t="str">
        <f>IFERROR(VLOOKUP(D763,'Daily Attendance 25-26'!$A$4:BP999,5,0),"")</f>
        <v/>
      </c>
      <c r="N763" s="10" t="str">
        <f>IFERROR(VLOOKUP(E763,'Daily Attendance 25-26'!$A$1:$BO$1741,5,0),"")</f>
        <v/>
      </c>
      <c r="O763" s="10"/>
      <c r="P763" s="10"/>
      <c r="Q763" s="10" t="str">
        <f t="shared" si="5"/>
        <v>#DIV/0!</v>
      </c>
      <c r="R763" s="10" t="str">
        <f t="shared" si="6"/>
        <v>#DIV/0!</v>
      </c>
      <c r="S763" s="10" t="str">
        <f t="shared" si="23"/>
        <v>#DIV/0!</v>
      </c>
      <c r="T763" s="10" t="str">
        <f t="shared" si="22"/>
        <v>#DIV/0!</v>
      </c>
      <c r="U763" s="10" t="str">
        <f t="shared" si="8"/>
        <v>#DIV/0!</v>
      </c>
      <c r="V763" s="10"/>
      <c r="W763" s="10"/>
      <c r="X763" s="10"/>
      <c r="Y763" s="10"/>
      <c r="Z763" s="10"/>
      <c r="AA763" s="10"/>
      <c r="AB763" s="10"/>
      <c r="AC763" s="10"/>
      <c r="AD763" s="10"/>
      <c r="AE763" s="10"/>
      <c r="AF763" s="10"/>
    </row>
    <row r="764" hidden="1">
      <c r="A764" s="9" t="s">
        <v>981</v>
      </c>
      <c r="B764" s="84"/>
      <c r="C764" s="9"/>
      <c r="D764" s="9" t="str">
        <f t="shared" si="1"/>
        <v/>
      </c>
      <c r="E764" s="10" t="str">
        <f t="shared" si="2"/>
        <v>OT Hours</v>
      </c>
      <c r="F764" s="10" t="str">
        <f>IFERROR(VLOOKUP(C764,'Employees List'!$B$1:$I$999,4,0),"")</f>
        <v/>
      </c>
      <c r="G764" s="10" t="str">
        <f t="shared" si="21"/>
        <v>#DIV/0!</v>
      </c>
      <c r="H764" s="72" t="str">
        <f>IFERROR(VLOOKUP(C764,'Employees List'!$B$2:$I$991,7,0),"")</f>
        <v/>
      </c>
      <c r="I764" s="73" t="str">
        <f>IFERROR(VLOOKUP(F764,'Employees List'!$E$1:$AE$991,6,0),"")</f>
        <v/>
      </c>
      <c r="J764" s="71">
        <f t="shared" si="3"/>
        <v>0</v>
      </c>
      <c r="K764" s="71">
        <f t="shared" si="4"/>
        <v>0</v>
      </c>
      <c r="L764" s="10" t="str">
        <f>IFERROR(VLOOKUP(B764,'Employees List'!$A$2:$K$991,11,0),"")</f>
        <v/>
      </c>
      <c r="M764" s="74" t="str">
        <f>IFERROR(VLOOKUP(D764,'Daily Attendance 25-26'!$A$4:BP999,5,0),"")</f>
        <v/>
      </c>
      <c r="N764" s="10" t="str">
        <f>IFERROR(VLOOKUP(E764,'Daily Attendance 25-26'!$A$1:$BO$1741,5,0),"")</f>
        <v/>
      </c>
      <c r="O764" s="10"/>
      <c r="P764" s="10"/>
      <c r="Q764" s="10" t="str">
        <f t="shared" si="5"/>
        <v>#DIV/0!</v>
      </c>
      <c r="R764" s="10" t="str">
        <f t="shared" si="6"/>
        <v>#DIV/0!</v>
      </c>
      <c r="S764" s="10" t="str">
        <f t="shared" si="23"/>
        <v>#DIV/0!</v>
      </c>
      <c r="T764" s="10" t="str">
        <f t="shared" si="22"/>
        <v>#DIV/0!</v>
      </c>
      <c r="U764" s="10" t="str">
        <f t="shared" si="8"/>
        <v>#DIV/0!</v>
      </c>
      <c r="V764" s="10"/>
      <c r="W764" s="10"/>
      <c r="X764" s="10"/>
      <c r="Y764" s="10"/>
      <c r="Z764" s="10"/>
      <c r="AA764" s="10"/>
      <c r="AB764" s="10"/>
      <c r="AC764" s="10"/>
      <c r="AD764" s="10"/>
      <c r="AE764" s="10"/>
      <c r="AF764" s="10"/>
    </row>
    <row r="765" hidden="1">
      <c r="A765" s="9" t="s">
        <v>982</v>
      </c>
      <c r="B765" s="84"/>
      <c r="C765" s="9"/>
      <c r="D765" s="9" t="str">
        <f t="shared" si="1"/>
        <v/>
      </c>
      <c r="E765" s="10" t="str">
        <f t="shared" si="2"/>
        <v>OT Hours</v>
      </c>
      <c r="F765" s="10" t="str">
        <f>IFERROR(VLOOKUP(C765,'Employees List'!$B$1:$I$999,4,0),"")</f>
        <v/>
      </c>
      <c r="G765" s="10" t="str">
        <f t="shared" si="21"/>
        <v>#DIV/0!</v>
      </c>
      <c r="H765" s="72" t="str">
        <f>IFERROR(VLOOKUP(C765,'Employees List'!$B$2:$I$991,7,0),"")</f>
        <v/>
      </c>
      <c r="I765" s="73" t="str">
        <f>IFERROR(VLOOKUP(F765,'Employees List'!$E$1:$AE$991,6,0),"")</f>
        <v/>
      </c>
      <c r="J765" s="71">
        <f t="shared" si="3"/>
        <v>0</v>
      </c>
      <c r="K765" s="71">
        <f t="shared" si="4"/>
        <v>0</v>
      </c>
      <c r="L765" s="10" t="str">
        <f>IFERROR(VLOOKUP(B765,'Employees List'!$A$2:$K$991,11,0),"")</f>
        <v/>
      </c>
      <c r="M765" s="74" t="str">
        <f>IFERROR(VLOOKUP(D765,'Daily Attendance 25-26'!$A$4:BP999,5,0),"")</f>
        <v/>
      </c>
      <c r="N765" s="10" t="str">
        <f>IFERROR(VLOOKUP(E765,'Daily Attendance 25-26'!$A$1:$BO$1741,5,0),"")</f>
        <v/>
      </c>
      <c r="O765" s="10"/>
      <c r="P765" s="10"/>
      <c r="Q765" s="10" t="str">
        <f t="shared" si="5"/>
        <v>#DIV/0!</v>
      </c>
      <c r="R765" s="10" t="str">
        <f t="shared" si="6"/>
        <v>#DIV/0!</v>
      </c>
      <c r="S765" s="10" t="str">
        <f t="shared" si="23"/>
        <v>#DIV/0!</v>
      </c>
      <c r="T765" s="10" t="str">
        <f t="shared" si="22"/>
        <v>#DIV/0!</v>
      </c>
      <c r="U765" s="10" t="str">
        <f t="shared" si="8"/>
        <v>#DIV/0!</v>
      </c>
      <c r="V765" s="10"/>
      <c r="W765" s="10"/>
      <c r="X765" s="10"/>
      <c r="Y765" s="10"/>
      <c r="Z765" s="10"/>
      <c r="AA765" s="10"/>
      <c r="AB765" s="10"/>
      <c r="AC765" s="10"/>
      <c r="AD765" s="10"/>
      <c r="AE765" s="10"/>
      <c r="AF765" s="10"/>
    </row>
    <row r="766" hidden="1">
      <c r="A766" s="9" t="s">
        <v>983</v>
      </c>
      <c r="B766" s="84"/>
      <c r="C766" s="9"/>
      <c r="D766" s="9" t="str">
        <f t="shared" si="1"/>
        <v/>
      </c>
      <c r="E766" s="10" t="str">
        <f t="shared" si="2"/>
        <v>OT Hours</v>
      </c>
      <c r="F766" s="10" t="str">
        <f>IFERROR(VLOOKUP(C766,'Employees List'!$B$1:$I$999,4,0),"")</f>
        <v/>
      </c>
      <c r="G766" s="10" t="str">
        <f t="shared" si="21"/>
        <v>#DIV/0!</v>
      </c>
      <c r="H766" s="72" t="str">
        <f>IFERROR(VLOOKUP(C766,'Employees List'!$B$2:$I$991,7,0),"")</f>
        <v/>
      </c>
      <c r="I766" s="73" t="str">
        <f>IFERROR(VLOOKUP(F766,'Employees List'!$E$1:$AE$991,6,0),"")</f>
        <v/>
      </c>
      <c r="J766" s="71">
        <f t="shared" si="3"/>
        <v>0</v>
      </c>
      <c r="K766" s="71">
        <f t="shared" si="4"/>
        <v>0</v>
      </c>
      <c r="L766" s="10" t="str">
        <f>IFERROR(VLOOKUP(B766,'Employees List'!$A$2:$K$991,11,0),"")</f>
        <v/>
      </c>
      <c r="M766" s="74" t="str">
        <f>IFERROR(VLOOKUP(D766,'Daily Attendance 25-26'!$A$4:BP999,5,0),"")</f>
        <v/>
      </c>
      <c r="N766" s="10" t="str">
        <f>IFERROR(VLOOKUP(E766,'Daily Attendance 25-26'!$A$1:$BO$1741,5,0),"")</f>
        <v/>
      </c>
      <c r="O766" s="10"/>
      <c r="P766" s="10"/>
      <c r="Q766" s="10" t="str">
        <f t="shared" si="5"/>
        <v>#DIV/0!</v>
      </c>
      <c r="R766" s="10" t="str">
        <f t="shared" si="6"/>
        <v>#DIV/0!</v>
      </c>
      <c r="S766" s="10" t="str">
        <f t="shared" si="23"/>
        <v>#DIV/0!</v>
      </c>
      <c r="T766" s="10" t="str">
        <f t="shared" si="22"/>
        <v>#DIV/0!</v>
      </c>
      <c r="U766" s="10" t="str">
        <f t="shared" si="8"/>
        <v>#DIV/0!</v>
      </c>
      <c r="V766" s="10"/>
      <c r="W766" s="10"/>
      <c r="X766" s="10"/>
      <c r="Y766" s="10"/>
      <c r="Z766" s="10"/>
      <c r="AA766" s="10"/>
      <c r="AB766" s="10"/>
      <c r="AC766" s="10"/>
      <c r="AD766" s="10"/>
      <c r="AE766" s="10"/>
      <c r="AF766" s="10"/>
    </row>
    <row r="767" hidden="1">
      <c r="A767" s="9" t="s">
        <v>984</v>
      </c>
      <c r="B767" s="84"/>
      <c r="C767" s="9"/>
      <c r="D767" s="9" t="str">
        <f t="shared" si="1"/>
        <v/>
      </c>
      <c r="E767" s="10" t="str">
        <f t="shared" si="2"/>
        <v>OT Hours</v>
      </c>
      <c r="F767" s="10" t="str">
        <f>IFERROR(VLOOKUP(C767,'Employees List'!$B$1:$I$999,4,0),"")</f>
        <v/>
      </c>
      <c r="G767" s="10" t="str">
        <f t="shared" si="21"/>
        <v>#DIV/0!</v>
      </c>
      <c r="H767" s="72" t="str">
        <f>IFERROR(VLOOKUP(C767,'Employees List'!$B$2:$I$991,7,0),"")</f>
        <v/>
      </c>
      <c r="I767" s="73" t="str">
        <f>IFERROR(VLOOKUP(F767,'Employees List'!$E$1:$AE$991,6,0),"")</f>
        <v/>
      </c>
      <c r="J767" s="71">
        <f t="shared" si="3"/>
        <v>0</v>
      </c>
      <c r="K767" s="71">
        <f t="shared" si="4"/>
        <v>0</v>
      </c>
      <c r="L767" s="10" t="str">
        <f>IFERROR(VLOOKUP(B767,'Employees List'!$A$2:$K$991,11,0),"")</f>
        <v/>
      </c>
      <c r="M767" s="74" t="str">
        <f>IFERROR(VLOOKUP(D767,'Daily Attendance 25-26'!$A$4:BP999,5,0),"")</f>
        <v/>
      </c>
      <c r="N767" s="10" t="str">
        <f>IFERROR(VLOOKUP(E767,'Daily Attendance 25-26'!$A$1:$BO$1741,5,0),"")</f>
        <v/>
      </c>
      <c r="O767" s="10"/>
      <c r="P767" s="10"/>
      <c r="Q767" s="10" t="str">
        <f t="shared" si="5"/>
        <v>#DIV/0!</v>
      </c>
      <c r="R767" s="10" t="str">
        <f t="shared" si="6"/>
        <v>#DIV/0!</v>
      </c>
      <c r="S767" s="10" t="str">
        <f t="shared" si="23"/>
        <v>#DIV/0!</v>
      </c>
      <c r="T767" s="10" t="str">
        <f t="shared" si="22"/>
        <v>#DIV/0!</v>
      </c>
      <c r="U767" s="10" t="str">
        <f t="shared" si="8"/>
        <v>#DIV/0!</v>
      </c>
      <c r="V767" s="10"/>
      <c r="W767" s="10"/>
      <c r="X767" s="10"/>
      <c r="Y767" s="10"/>
      <c r="Z767" s="10"/>
      <c r="AA767" s="10"/>
      <c r="AB767" s="10"/>
      <c r="AC767" s="10"/>
      <c r="AD767" s="10"/>
      <c r="AE767" s="10"/>
      <c r="AF767" s="10"/>
    </row>
    <row r="768" hidden="1">
      <c r="A768" s="9" t="s">
        <v>985</v>
      </c>
      <c r="B768" s="84"/>
      <c r="C768" s="9"/>
      <c r="D768" s="9" t="str">
        <f t="shared" si="1"/>
        <v/>
      </c>
      <c r="E768" s="10" t="str">
        <f t="shared" si="2"/>
        <v>OT Hours</v>
      </c>
      <c r="F768" s="10" t="str">
        <f>IFERROR(VLOOKUP(C768,'Employees List'!$B$1:$I$999,4,0),"")</f>
        <v/>
      </c>
      <c r="G768" s="10" t="str">
        <f t="shared" si="21"/>
        <v>#DIV/0!</v>
      </c>
      <c r="H768" s="72" t="str">
        <f>IFERROR(VLOOKUP(C768,'Employees List'!$B$2:$I$991,7,0),"")</f>
        <v/>
      </c>
      <c r="I768" s="73" t="str">
        <f>IFERROR(VLOOKUP(F768,'Employees List'!$E$1:$AE$991,6,0),"")</f>
        <v/>
      </c>
      <c r="J768" s="71">
        <f t="shared" si="3"/>
        <v>0</v>
      </c>
      <c r="K768" s="71">
        <f t="shared" si="4"/>
        <v>0</v>
      </c>
      <c r="L768" s="10" t="str">
        <f>IFERROR(VLOOKUP(B768,'Employees List'!$A$2:$K$991,11,0),"")</f>
        <v/>
      </c>
      <c r="M768" s="74" t="str">
        <f>IFERROR(VLOOKUP(D768,'Daily Attendance 25-26'!$A$4:BP999,5,0),"")</f>
        <v/>
      </c>
      <c r="N768" s="10" t="str">
        <f>IFERROR(VLOOKUP(E768,'Daily Attendance 25-26'!$A$1:$BO$1741,5,0),"")</f>
        <v/>
      </c>
      <c r="O768" s="10"/>
      <c r="P768" s="10"/>
      <c r="Q768" s="10" t="str">
        <f t="shared" si="5"/>
        <v>#DIV/0!</v>
      </c>
      <c r="R768" s="10" t="str">
        <f t="shared" si="6"/>
        <v>#DIV/0!</v>
      </c>
      <c r="S768" s="10" t="str">
        <f t="shared" si="23"/>
        <v>#DIV/0!</v>
      </c>
      <c r="T768" s="10" t="str">
        <f t="shared" si="22"/>
        <v>#DIV/0!</v>
      </c>
      <c r="U768" s="10" t="str">
        <f t="shared" si="8"/>
        <v>#DIV/0!</v>
      </c>
      <c r="V768" s="10"/>
      <c r="W768" s="10"/>
      <c r="X768" s="10"/>
      <c r="Y768" s="10"/>
      <c r="Z768" s="10"/>
      <c r="AA768" s="10"/>
      <c r="AB768" s="10"/>
      <c r="AC768" s="10"/>
      <c r="AD768" s="10"/>
      <c r="AE768" s="10"/>
      <c r="AF768" s="10"/>
    </row>
    <row r="769" hidden="1">
      <c r="A769" s="9" t="s">
        <v>986</v>
      </c>
      <c r="B769" s="84"/>
      <c r="C769" s="9"/>
      <c r="D769" s="9" t="str">
        <f t="shared" si="1"/>
        <v/>
      </c>
      <c r="E769" s="10" t="str">
        <f t="shared" si="2"/>
        <v>OT Hours</v>
      </c>
      <c r="F769" s="10" t="str">
        <f>IFERROR(VLOOKUP(C769,'Employees List'!$B$1:$I$999,4,0),"")</f>
        <v/>
      </c>
      <c r="G769" s="10" t="str">
        <f t="shared" si="21"/>
        <v>#DIV/0!</v>
      </c>
      <c r="H769" s="72" t="str">
        <f>IFERROR(VLOOKUP(C769,'Employees List'!$B$2:$I$991,7,0),"")</f>
        <v/>
      </c>
      <c r="I769" s="73" t="str">
        <f>IFERROR(VLOOKUP(F769,'Employees List'!$E$1:$AE$991,6,0),"")</f>
        <v/>
      </c>
      <c r="J769" s="71">
        <f t="shared" si="3"/>
        <v>0</v>
      </c>
      <c r="K769" s="71">
        <f t="shared" si="4"/>
        <v>0</v>
      </c>
      <c r="L769" s="10" t="str">
        <f>IFERROR(VLOOKUP(B769,'Employees List'!$A$2:$K$991,11,0),"")</f>
        <v/>
      </c>
      <c r="M769" s="74" t="str">
        <f>IFERROR(VLOOKUP(D769,'Daily Attendance 25-26'!$A$4:BP999,5,0),"")</f>
        <v/>
      </c>
      <c r="N769" s="10" t="str">
        <f>IFERROR(VLOOKUP(E769,'Daily Attendance 25-26'!$A$1:$BO$1741,5,0),"")</f>
        <v/>
      </c>
      <c r="O769" s="10"/>
      <c r="P769" s="10"/>
      <c r="Q769" s="10" t="str">
        <f t="shared" si="5"/>
        <v>#DIV/0!</v>
      </c>
      <c r="R769" s="10" t="str">
        <f t="shared" si="6"/>
        <v>#DIV/0!</v>
      </c>
      <c r="S769" s="10" t="str">
        <f t="shared" si="23"/>
        <v>#DIV/0!</v>
      </c>
      <c r="T769" s="10" t="str">
        <f t="shared" si="22"/>
        <v>#DIV/0!</v>
      </c>
      <c r="U769" s="10" t="str">
        <f t="shared" si="8"/>
        <v>#DIV/0!</v>
      </c>
      <c r="V769" s="10"/>
      <c r="W769" s="10"/>
      <c r="X769" s="10"/>
      <c r="Y769" s="10"/>
      <c r="Z769" s="10"/>
      <c r="AA769" s="10"/>
      <c r="AB769" s="10"/>
      <c r="AC769" s="10"/>
      <c r="AD769" s="10"/>
      <c r="AE769" s="10"/>
      <c r="AF769" s="10"/>
    </row>
    <row r="770" hidden="1">
      <c r="A770" s="9" t="s">
        <v>987</v>
      </c>
      <c r="B770" s="84"/>
      <c r="C770" s="9"/>
      <c r="D770" s="9" t="str">
        <f t="shared" si="1"/>
        <v/>
      </c>
      <c r="E770" s="10" t="str">
        <f t="shared" si="2"/>
        <v>OT Hours</v>
      </c>
      <c r="F770" s="10" t="str">
        <f>IFERROR(VLOOKUP(C770,'Employees List'!$B$1:$I$999,4,0),"")</f>
        <v/>
      </c>
      <c r="G770" s="10" t="str">
        <f t="shared" si="21"/>
        <v>#DIV/0!</v>
      </c>
      <c r="H770" s="72" t="str">
        <f>IFERROR(VLOOKUP(C770,'Employees List'!$B$2:$I$991,7,0),"")</f>
        <v/>
      </c>
      <c r="I770" s="73" t="str">
        <f>IFERROR(VLOOKUP(F770,'Employees List'!$E$1:$AE$991,6,0),"")</f>
        <v/>
      </c>
      <c r="J770" s="71">
        <f t="shared" si="3"/>
        <v>0</v>
      </c>
      <c r="K770" s="71">
        <f t="shared" si="4"/>
        <v>0</v>
      </c>
      <c r="L770" s="10" t="str">
        <f>IFERROR(VLOOKUP(B770,'Employees List'!$A$2:$K$991,11,0),"")</f>
        <v/>
      </c>
      <c r="M770" s="74" t="str">
        <f>IFERROR(VLOOKUP(D770,'Daily Attendance 25-26'!$A$4:BP999,5,0),"")</f>
        <v/>
      </c>
      <c r="N770" s="10" t="str">
        <f>IFERROR(VLOOKUP(E770,'Daily Attendance 25-26'!$A$1:$BO$1741,5,0),"")</f>
        <v/>
      </c>
      <c r="O770" s="10"/>
      <c r="P770" s="10"/>
      <c r="Q770" s="10" t="str">
        <f t="shared" si="5"/>
        <v>#DIV/0!</v>
      </c>
      <c r="R770" s="10" t="str">
        <f t="shared" si="6"/>
        <v>#DIV/0!</v>
      </c>
      <c r="S770" s="10" t="str">
        <f t="shared" si="23"/>
        <v>#DIV/0!</v>
      </c>
      <c r="T770" s="10" t="str">
        <f t="shared" si="22"/>
        <v>#DIV/0!</v>
      </c>
      <c r="U770" s="10" t="str">
        <f t="shared" si="8"/>
        <v>#DIV/0!</v>
      </c>
      <c r="V770" s="10"/>
      <c r="W770" s="10"/>
      <c r="X770" s="10"/>
      <c r="Y770" s="10"/>
      <c r="Z770" s="10"/>
      <c r="AA770" s="10"/>
      <c r="AB770" s="10"/>
      <c r="AC770" s="10"/>
      <c r="AD770" s="10"/>
      <c r="AE770" s="10"/>
      <c r="AF770" s="10"/>
    </row>
    <row r="771" hidden="1">
      <c r="A771" s="9" t="s">
        <v>988</v>
      </c>
      <c r="B771" s="84"/>
      <c r="C771" s="9"/>
      <c r="D771" s="9" t="str">
        <f t="shared" si="1"/>
        <v/>
      </c>
      <c r="E771" s="10" t="str">
        <f t="shared" si="2"/>
        <v>OT Hours</v>
      </c>
      <c r="F771" s="10" t="str">
        <f>IFERROR(VLOOKUP(C771,'Employees List'!$B$1:$I$999,4,0),"")</f>
        <v/>
      </c>
      <c r="G771" s="10" t="str">
        <f t="shared" si="21"/>
        <v>#DIV/0!</v>
      </c>
      <c r="H771" s="72" t="str">
        <f>IFERROR(VLOOKUP(C771,'Employees List'!$B$2:$I$991,7,0),"")</f>
        <v/>
      </c>
      <c r="I771" s="73" t="str">
        <f>IFERROR(VLOOKUP(F771,'Employees List'!$E$1:$AE$991,6,0),"")</f>
        <v/>
      </c>
      <c r="J771" s="71">
        <f t="shared" si="3"/>
        <v>0</v>
      </c>
      <c r="K771" s="71">
        <f t="shared" si="4"/>
        <v>0</v>
      </c>
      <c r="L771" s="10" t="str">
        <f>IFERROR(VLOOKUP(B771,'Employees List'!$A$2:$K$991,11,0),"")</f>
        <v/>
      </c>
      <c r="M771" s="74" t="str">
        <f>IFERROR(VLOOKUP(D771,'Daily Attendance 25-26'!$A$4:BP999,5,0),"")</f>
        <v/>
      </c>
      <c r="N771" s="10" t="str">
        <f>IFERROR(VLOOKUP(E771,'Daily Attendance 25-26'!$A$1:$BO$1741,5,0),"")</f>
        <v/>
      </c>
      <c r="O771" s="10"/>
      <c r="P771" s="10"/>
      <c r="Q771" s="10" t="str">
        <f t="shared" si="5"/>
        <v>#DIV/0!</v>
      </c>
      <c r="R771" s="10" t="str">
        <f t="shared" si="6"/>
        <v>#DIV/0!</v>
      </c>
      <c r="S771" s="10" t="str">
        <f t="shared" si="23"/>
        <v>#DIV/0!</v>
      </c>
      <c r="T771" s="10" t="str">
        <f t="shared" si="22"/>
        <v>#DIV/0!</v>
      </c>
      <c r="U771" s="10" t="str">
        <f t="shared" si="8"/>
        <v>#DIV/0!</v>
      </c>
      <c r="V771" s="10"/>
      <c r="W771" s="10"/>
      <c r="X771" s="10"/>
      <c r="Y771" s="10"/>
      <c r="Z771" s="10"/>
      <c r="AA771" s="10"/>
      <c r="AB771" s="10"/>
      <c r="AC771" s="10"/>
      <c r="AD771" s="10"/>
      <c r="AE771" s="10"/>
      <c r="AF771" s="10"/>
    </row>
    <row r="772" hidden="1">
      <c r="A772" s="9" t="s">
        <v>989</v>
      </c>
      <c r="B772" s="84"/>
      <c r="C772" s="9"/>
      <c r="D772" s="9" t="str">
        <f t="shared" si="1"/>
        <v/>
      </c>
      <c r="E772" s="10" t="str">
        <f t="shared" si="2"/>
        <v>OT Hours</v>
      </c>
      <c r="F772" s="10" t="str">
        <f>IFERROR(VLOOKUP(C772,'Employees List'!$B$1:$I$999,4,0),"")</f>
        <v/>
      </c>
      <c r="G772" s="10" t="str">
        <f t="shared" si="21"/>
        <v>#DIV/0!</v>
      </c>
      <c r="H772" s="72" t="str">
        <f>IFERROR(VLOOKUP(C772,'Employees List'!$B$2:$I$991,7,0),"")</f>
        <v/>
      </c>
      <c r="I772" s="73" t="str">
        <f>IFERROR(VLOOKUP(F772,'Employees List'!$E$1:$AE$991,6,0),"")</f>
        <v/>
      </c>
      <c r="J772" s="71">
        <f t="shared" si="3"/>
        <v>0</v>
      </c>
      <c r="K772" s="71">
        <f t="shared" si="4"/>
        <v>0</v>
      </c>
      <c r="L772" s="10" t="str">
        <f>IFERROR(VLOOKUP(B772,'Employees List'!$A$2:$K$991,11,0),"")</f>
        <v/>
      </c>
      <c r="M772" s="74" t="str">
        <f>IFERROR(VLOOKUP(D772,'Daily Attendance 25-26'!$A$4:BP999,5,0),"")</f>
        <v/>
      </c>
      <c r="N772" s="10" t="str">
        <f>IFERROR(VLOOKUP(E772,'Daily Attendance 25-26'!$A$1:$BO$1741,5,0),"")</f>
        <v/>
      </c>
      <c r="O772" s="10"/>
      <c r="P772" s="10"/>
      <c r="Q772" s="10" t="str">
        <f t="shared" si="5"/>
        <v>#DIV/0!</v>
      </c>
      <c r="R772" s="10" t="str">
        <f t="shared" si="6"/>
        <v>#DIV/0!</v>
      </c>
      <c r="S772" s="10" t="str">
        <f t="shared" si="23"/>
        <v>#DIV/0!</v>
      </c>
      <c r="T772" s="10" t="str">
        <f t="shared" si="22"/>
        <v>#DIV/0!</v>
      </c>
      <c r="U772" s="10" t="str">
        <f t="shared" si="8"/>
        <v>#DIV/0!</v>
      </c>
      <c r="V772" s="10"/>
      <c r="W772" s="10"/>
      <c r="X772" s="10"/>
      <c r="Y772" s="10"/>
      <c r="Z772" s="10"/>
      <c r="AA772" s="10"/>
      <c r="AB772" s="10"/>
      <c r="AC772" s="10"/>
      <c r="AD772" s="10"/>
      <c r="AE772" s="10"/>
      <c r="AF772" s="10"/>
    </row>
    <row r="773" hidden="1">
      <c r="A773" s="9" t="s">
        <v>990</v>
      </c>
      <c r="B773" s="84"/>
      <c r="C773" s="9"/>
      <c r="D773" s="9" t="str">
        <f t="shared" si="1"/>
        <v/>
      </c>
      <c r="E773" s="10" t="str">
        <f t="shared" si="2"/>
        <v>OT Hours</v>
      </c>
      <c r="F773" s="10" t="str">
        <f>IFERROR(VLOOKUP(C773,'Employees List'!$B$1:$I$999,4,0),"")</f>
        <v/>
      </c>
      <c r="G773" s="10" t="str">
        <f t="shared" si="21"/>
        <v>#DIV/0!</v>
      </c>
      <c r="H773" s="72" t="str">
        <f>IFERROR(VLOOKUP(C773,'Employees List'!$B$2:$I$991,7,0),"")</f>
        <v/>
      </c>
      <c r="I773" s="73" t="str">
        <f>IFERROR(VLOOKUP(F773,'Employees List'!$E$1:$AE$991,6,0),"")</f>
        <v/>
      </c>
      <c r="J773" s="71">
        <f t="shared" si="3"/>
        <v>0</v>
      </c>
      <c r="K773" s="71">
        <f t="shared" si="4"/>
        <v>0</v>
      </c>
      <c r="L773" s="10" t="str">
        <f>IFERROR(VLOOKUP(B773,'Employees List'!$A$2:$K$991,11,0),"")</f>
        <v/>
      </c>
      <c r="M773" s="74" t="str">
        <f>IFERROR(VLOOKUP(D773,'Daily Attendance 25-26'!$A$4:BP999,5,0),"")</f>
        <v/>
      </c>
      <c r="N773" s="10" t="str">
        <f>IFERROR(VLOOKUP(E773,'Daily Attendance 25-26'!$A$1:$BO$1741,5,0),"")</f>
        <v/>
      </c>
      <c r="O773" s="10"/>
      <c r="P773" s="10"/>
      <c r="Q773" s="10" t="str">
        <f t="shared" si="5"/>
        <v>#DIV/0!</v>
      </c>
      <c r="R773" s="10" t="str">
        <f t="shared" si="6"/>
        <v>#DIV/0!</v>
      </c>
      <c r="S773" s="10" t="str">
        <f t="shared" si="23"/>
        <v>#DIV/0!</v>
      </c>
      <c r="T773" s="10" t="str">
        <f t="shared" si="22"/>
        <v>#DIV/0!</v>
      </c>
      <c r="U773" s="10" t="str">
        <f t="shared" si="8"/>
        <v>#DIV/0!</v>
      </c>
      <c r="V773" s="10"/>
      <c r="W773" s="10"/>
      <c r="X773" s="10"/>
      <c r="Y773" s="10"/>
      <c r="Z773" s="10"/>
      <c r="AA773" s="10"/>
      <c r="AB773" s="10"/>
      <c r="AC773" s="10"/>
      <c r="AD773" s="10"/>
      <c r="AE773" s="10"/>
      <c r="AF773" s="10"/>
    </row>
    <row r="774" hidden="1">
      <c r="A774" s="9" t="s">
        <v>991</v>
      </c>
      <c r="B774" s="84"/>
      <c r="C774" s="9"/>
      <c r="D774" s="9" t="str">
        <f t="shared" si="1"/>
        <v/>
      </c>
      <c r="E774" s="10" t="str">
        <f t="shared" si="2"/>
        <v>OT Hours</v>
      </c>
      <c r="F774" s="10" t="str">
        <f>IFERROR(VLOOKUP(C774,'Employees List'!$B$1:$I$999,4,0),"")</f>
        <v/>
      </c>
      <c r="G774" s="10" t="str">
        <f t="shared" si="21"/>
        <v>#DIV/0!</v>
      </c>
      <c r="H774" s="72" t="str">
        <f>IFERROR(VLOOKUP(C774,'Employees List'!$B$2:$I$991,7,0),"")</f>
        <v/>
      </c>
      <c r="I774" s="73" t="str">
        <f>IFERROR(VLOOKUP(F774,'Employees List'!$E$1:$AE$991,6,0),"")</f>
        <v/>
      </c>
      <c r="J774" s="71">
        <f t="shared" si="3"/>
        <v>0</v>
      </c>
      <c r="K774" s="71">
        <f t="shared" si="4"/>
        <v>0</v>
      </c>
      <c r="L774" s="10" t="str">
        <f>IFERROR(VLOOKUP(B774,'Employees List'!$A$2:$K$991,11,0),"")</f>
        <v/>
      </c>
      <c r="M774" s="74" t="str">
        <f>IFERROR(VLOOKUP(D774,'Daily Attendance 25-26'!$A$4:BP999,5,0),"")</f>
        <v/>
      </c>
      <c r="N774" s="10" t="str">
        <f>IFERROR(VLOOKUP(E774,'Daily Attendance 25-26'!$A$1:$BO$1741,5,0),"")</f>
        <v/>
      </c>
      <c r="O774" s="10"/>
      <c r="P774" s="10"/>
      <c r="Q774" s="10" t="str">
        <f t="shared" si="5"/>
        <v>#DIV/0!</v>
      </c>
      <c r="R774" s="10" t="str">
        <f t="shared" si="6"/>
        <v>#DIV/0!</v>
      </c>
      <c r="S774" s="10" t="str">
        <f t="shared" si="23"/>
        <v>#DIV/0!</v>
      </c>
      <c r="T774" s="10" t="str">
        <f t="shared" si="22"/>
        <v>#DIV/0!</v>
      </c>
      <c r="U774" s="10" t="str">
        <f t="shared" si="8"/>
        <v>#DIV/0!</v>
      </c>
      <c r="V774" s="10"/>
      <c r="W774" s="10"/>
      <c r="X774" s="10"/>
      <c r="Y774" s="10"/>
      <c r="Z774" s="10"/>
      <c r="AA774" s="10"/>
      <c r="AB774" s="10"/>
      <c r="AC774" s="10"/>
      <c r="AD774" s="10"/>
      <c r="AE774" s="10"/>
      <c r="AF774" s="10"/>
    </row>
    <row r="775" hidden="1">
      <c r="A775" s="9" t="s">
        <v>992</v>
      </c>
      <c r="B775" s="84"/>
      <c r="C775" s="9"/>
      <c r="D775" s="9" t="str">
        <f t="shared" si="1"/>
        <v/>
      </c>
      <c r="E775" s="10" t="str">
        <f t="shared" si="2"/>
        <v>OT Hours</v>
      </c>
      <c r="F775" s="10" t="str">
        <f>IFERROR(VLOOKUP(C775,'Employees List'!$B$1:$I$999,4,0),"")</f>
        <v/>
      </c>
      <c r="G775" s="10" t="str">
        <f t="shared" si="21"/>
        <v>#DIV/0!</v>
      </c>
      <c r="H775" s="72" t="str">
        <f>IFERROR(VLOOKUP(C775,'Employees List'!$B$2:$I$991,7,0),"")</f>
        <v/>
      </c>
      <c r="I775" s="73" t="str">
        <f>IFERROR(VLOOKUP(F775,'Employees List'!$E$1:$AE$991,6,0),"")</f>
        <v/>
      </c>
      <c r="J775" s="71">
        <f t="shared" si="3"/>
        <v>0</v>
      </c>
      <c r="K775" s="71">
        <f t="shared" si="4"/>
        <v>0</v>
      </c>
      <c r="L775" s="10" t="str">
        <f>IFERROR(VLOOKUP(B775,'Employees List'!$A$2:$K$991,11,0),"")</f>
        <v/>
      </c>
      <c r="M775" s="74" t="str">
        <f>IFERROR(VLOOKUP(D775,'Daily Attendance 25-26'!$A$4:BP999,5,0),"")</f>
        <v/>
      </c>
      <c r="N775" s="10" t="str">
        <f>IFERROR(VLOOKUP(E775,'Daily Attendance 25-26'!$A$1:$BO$1741,5,0),"")</f>
        <v/>
      </c>
      <c r="O775" s="10"/>
      <c r="P775" s="10"/>
      <c r="Q775" s="10" t="str">
        <f t="shared" si="5"/>
        <v>#DIV/0!</v>
      </c>
      <c r="R775" s="10" t="str">
        <f t="shared" si="6"/>
        <v>#DIV/0!</v>
      </c>
      <c r="S775" s="10" t="str">
        <f t="shared" si="23"/>
        <v>#DIV/0!</v>
      </c>
      <c r="T775" s="10" t="str">
        <f t="shared" si="22"/>
        <v>#DIV/0!</v>
      </c>
      <c r="U775" s="10" t="str">
        <f t="shared" si="8"/>
        <v>#DIV/0!</v>
      </c>
      <c r="V775" s="10"/>
      <c r="W775" s="10"/>
      <c r="X775" s="10"/>
      <c r="Y775" s="10"/>
      <c r="Z775" s="10"/>
      <c r="AA775" s="10"/>
      <c r="AB775" s="10"/>
      <c r="AC775" s="10"/>
      <c r="AD775" s="10"/>
      <c r="AE775" s="10"/>
      <c r="AF775" s="10"/>
    </row>
    <row r="776" hidden="1">
      <c r="A776" s="9" t="s">
        <v>993</v>
      </c>
      <c r="B776" s="84"/>
      <c r="C776" s="9"/>
      <c r="D776" s="9" t="str">
        <f t="shared" si="1"/>
        <v/>
      </c>
      <c r="E776" s="10" t="str">
        <f t="shared" si="2"/>
        <v>OT Hours</v>
      </c>
      <c r="F776" s="10" t="str">
        <f>IFERROR(VLOOKUP(C776,'Employees List'!$B$1:$I$999,4,0),"")</f>
        <v/>
      </c>
      <c r="G776" s="10" t="str">
        <f t="shared" si="21"/>
        <v>#DIV/0!</v>
      </c>
      <c r="H776" s="72" t="str">
        <f>IFERROR(VLOOKUP(C776,'Employees List'!$B$2:$I$991,7,0),"")</f>
        <v/>
      </c>
      <c r="I776" s="73" t="str">
        <f>IFERROR(VLOOKUP(F776,'Employees List'!$E$1:$AE$991,6,0),"")</f>
        <v/>
      </c>
      <c r="J776" s="71">
        <f t="shared" si="3"/>
        <v>0</v>
      </c>
      <c r="K776" s="71">
        <f t="shared" si="4"/>
        <v>0</v>
      </c>
      <c r="L776" s="10" t="str">
        <f>IFERROR(VLOOKUP(B776,'Employees List'!$A$2:$K$991,11,0),"")</f>
        <v/>
      </c>
      <c r="M776" s="74" t="str">
        <f>IFERROR(VLOOKUP(D776,'Daily Attendance 25-26'!$A$4:BP999,5,0),"")</f>
        <v/>
      </c>
      <c r="N776" s="10" t="str">
        <f>IFERROR(VLOOKUP(E776,'Daily Attendance 25-26'!$A$1:$BO$1741,5,0),"")</f>
        <v/>
      </c>
      <c r="O776" s="10"/>
      <c r="P776" s="10"/>
      <c r="Q776" s="10" t="str">
        <f t="shared" si="5"/>
        <v>#DIV/0!</v>
      </c>
      <c r="R776" s="10" t="str">
        <f t="shared" si="6"/>
        <v>#DIV/0!</v>
      </c>
      <c r="S776" s="10" t="str">
        <f t="shared" si="23"/>
        <v>#DIV/0!</v>
      </c>
      <c r="T776" s="10" t="str">
        <f t="shared" si="22"/>
        <v>#DIV/0!</v>
      </c>
      <c r="U776" s="10" t="str">
        <f t="shared" si="8"/>
        <v>#DIV/0!</v>
      </c>
      <c r="V776" s="10"/>
      <c r="W776" s="10"/>
      <c r="X776" s="10"/>
      <c r="Y776" s="10"/>
      <c r="Z776" s="10"/>
      <c r="AA776" s="10"/>
      <c r="AB776" s="10"/>
      <c r="AC776" s="10"/>
      <c r="AD776" s="10"/>
      <c r="AE776" s="10"/>
      <c r="AF776" s="10"/>
    </row>
    <row r="777" hidden="1">
      <c r="A777" s="9" t="s">
        <v>994</v>
      </c>
      <c r="B777" s="84"/>
      <c r="C777" s="9"/>
      <c r="D777" s="9" t="str">
        <f t="shared" si="1"/>
        <v/>
      </c>
      <c r="E777" s="10" t="str">
        <f t="shared" si="2"/>
        <v>OT Hours</v>
      </c>
      <c r="F777" s="10" t="str">
        <f>IFERROR(VLOOKUP(C777,'Employees List'!$B$1:$I$999,4,0),"")</f>
        <v/>
      </c>
      <c r="G777" s="10" t="str">
        <f t="shared" si="21"/>
        <v>#DIV/0!</v>
      </c>
      <c r="H777" s="72" t="str">
        <f>IFERROR(VLOOKUP(C777,'Employees List'!$B$2:$I$991,7,0),"")</f>
        <v/>
      </c>
      <c r="I777" s="73" t="str">
        <f>IFERROR(VLOOKUP(F777,'Employees List'!$E$1:$AE$991,6,0),"")</f>
        <v/>
      </c>
      <c r="J777" s="71">
        <f t="shared" si="3"/>
        <v>0</v>
      </c>
      <c r="K777" s="71">
        <f t="shared" si="4"/>
        <v>0</v>
      </c>
      <c r="L777" s="10" t="str">
        <f>IFERROR(VLOOKUP(B777,'Employees List'!$A$2:$K$991,11,0),"")</f>
        <v/>
      </c>
      <c r="M777" s="74" t="str">
        <f>IFERROR(VLOOKUP(D777,'Daily Attendance 25-26'!$A$4:BP999,5,0),"")</f>
        <v/>
      </c>
      <c r="N777" s="10" t="str">
        <f>IFERROR(VLOOKUP(E777,'Daily Attendance 25-26'!$A$1:$BO$1741,5,0),"")</f>
        <v/>
      </c>
      <c r="O777" s="10"/>
      <c r="P777" s="10"/>
      <c r="Q777" s="10" t="str">
        <f t="shared" si="5"/>
        <v>#DIV/0!</v>
      </c>
      <c r="R777" s="10" t="str">
        <f t="shared" si="6"/>
        <v>#DIV/0!</v>
      </c>
      <c r="S777" s="10" t="str">
        <f t="shared" si="23"/>
        <v>#DIV/0!</v>
      </c>
      <c r="T777" s="10" t="str">
        <f t="shared" si="22"/>
        <v>#DIV/0!</v>
      </c>
      <c r="U777" s="10" t="str">
        <f t="shared" si="8"/>
        <v>#DIV/0!</v>
      </c>
      <c r="V777" s="10"/>
      <c r="W777" s="10"/>
      <c r="X777" s="10"/>
      <c r="Y777" s="10"/>
      <c r="Z777" s="10"/>
      <c r="AA777" s="10"/>
      <c r="AB777" s="10"/>
      <c r="AC777" s="10"/>
      <c r="AD777" s="10"/>
      <c r="AE777" s="10"/>
      <c r="AF777" s="10"/>
    </row>
    <row r="778" hidden="1">
      <c r="A778" s="9" t="s">
        <v>995</v>
      </c>
      <c r="B778" s="84"/>
      <c r="C778" s="9"/>
      <c r="D778" s="9" t="str">
        <f t="shared" si="1"/>
        <v/>
      </c>
      <c r="E778" s="10" t="str">
        <f t="shared" si="2"/>
        <v>OT Hours</v>
      </c>
      <c r="F778" s="10" t="str">
        <f>IFERROR(VLOOKUP(C778,'Employees List'!$B$1:$I$999,4,0),"")</f>
        <v/>
      </c>
      <c r="G778" s="10" t="str">
        <f t="shared" si="21"/>
        <v>#DIV/0!</v>
      </c>
      <c r="H778" s="72" t="str">
        <f>IFERROR(VLOOKUP(C778,'Employees List'!$B$2:$I$991,7,0),"")</f>
        <v/>
      </c>
      <c r="I778" s="73" t="str">
        <f>IFERROR(VLOOKUP(F778,'Employees List'!$E$1:$AE$991,6,0),"")</f>
        <v/>
      </c>
      <c r="J778" s="71">
        <f t="shared" si="3"/>
        <v>0</v>
      </c>
      <c r="K778" s="71">
        <f t="shared" si="4"/>
        <v>0</v>
      </c>
      <c r="L778" s="10" t="str">
        <f>IFERROR(VLOOKUP(B778,'Employees List'!$A$2:$K$991,11,0),"")</f>
        <v/>
      </c>
      <c r="M778" s="74" t="str">
        <f>IFERROR(VLOOKUP(D778,'Daily Attendance 25-26'!$A$4:BP999,5,0),"")</f>
        <v/>
      </c>
      <c r="N778" s="10" t="str">
        <f>IFERROR(VLOOKUP(E778,'Daily Attendance 25-26'!$A$1:$BO$1741,5,0),"")</f>
        <v/>
      </c>
      <c r="O778" s="10"/>
      <c r="P778" s="10"/>
      <c r="Q778" s="10" t="str">
        <f t="shared" si="5"/>
        <v>#DIV/0!</v>
      </c>
      <c r="R778" s="10" t="str">
        <f t="shared" si="6"/>
        <v>#DIV/0!</v>
      </c>
      <c r="S778" s="10" t="str">
        <f t="shared" si="23"/>
        <v>#DIV/0!</v>
      </c>
      <c r="T778" s="10" t="str">
        <f t="shared" si="22"/>
        <v>#DIV/0!</v>
      </c>
      <c r="U778" s="10" t="str">
        <f t="shared" si="8"/>
        <v>#DIV/0!</v>
      </c>
      <c r="V778" s="10"/>
      <c r="W778" s="10"/>
      <c r="X778" s="10"/>
      <c r="Y778" s="10"/>
      <c r="Z778" s="10"/>
      <c r="AA778" s="10"/>
      <c r="AB778" s="10"/>
      <c r="AC778" s="10"/>
      <c r="AD778" s="10"/>
      <c r="AE778" s="10"/>
      <c r="AF778" s="10"/>
    </row>
    <row r="779" hidden="1">
      <c r="A779" s="9" t="s">
        <v>996</v>
      </c>
      <c r="B779" s="84"/>
      <c r="C779" s="9"/>
      <c r="D779" s="9" t="str">
        <f t="shared" si="1"/>
        <v/>
      </c>
      <c r="E779" s="10" t="str">
        <f t="shared" si="2"/>
        <v>OT Hours</v>
      </c>
      <c r="F779" s="10" t="str">
        <f>IFERROR(VLOOKUP(C779,'Employees List'!$B$1:$I$999,4,0),"")</f>
        <v/>
      </c>
      <c r="G779" s="10" t="str">
        <f t="shared" si="21"/>
        <v>#DIV/0!</v>
      </c>
      <c r="H779" s="72" t="str">
        <f>IFERROR(VLOOKUP(C779,'Employees List'!$B$2:$I$991,7,0),"")</f>
        <v/>
      </c>
      <c r="I779" s="73" t="str">
        <f>IFERROR(VLOOKUP(F779,'Employees List'!$E$1:$AE$991,6,0),"")</f>
        <v/>
      </c>
      <c r="J779" s="71">
        <f t="shared" si="3"/>
        <v>0</v>
      </c>
      <c r="K779" s="71">
        <f t="shared" si="4"/>
        <v>0</v>
      </c>
      <c r="L779" s="10" t="str">
        <f>IFERROR(VLOOKUP(B779,'Employees List'!$A$2:$K$991,11,0),"")</f>
        <v/>
      </c>
      <c r="M779" s="74" t="str">
        <f>IFERROR(VLOOKUP(D779,'Daily Attendance 25-26'!$A$4:BP999,5,0),"")</f>
        <v/>
      </c>
      <c r="N779" s="10" t="str">
        <f>IFERROR(VLOOKUP(E779,'Daily Attendance 25-26'!$A$1:$BO$1741,5,0),"")</f>
        <v/>
      </c>
      <c r="O779" s="10"/>
      <c r="P779" s="10"/>
      <c r="Q779" s="10" t="str">
        <f t="shared" si="5"/>
        <v>#DIV/0!</v>
      </c>
      <c r="R779" s="10" t="str">
        <f t="shared" si="6"/>
        <v>#DIV/0!</v>
      </c>
      <c r="S779" s="10" t="str">
        <f t="shared" si="23"/>
        <v>#DIV/0!</v>
      </c>
      <c r="T779" s="10" t="str">
        <f t="shared" si="22"/>
        <v>#DIV/0!</v>
      </c>
      <c r="U779" s="10" t="str">
        <f t="shared" si="8"/>
        <v>#DIV/0!</v>
      </c>
      <c r="V779" s="10"/>
      <c r="W779" s="10"/>
      <c r="X779" s="10"/>
      <c r="Y779" s="10"/>
      <c r="Z779" s="10"/>
      <c r="AA779" s="10"/>
      <c r="AB779" s="10"/>
      <c r="AC779" s="10"/>
      <c r="AD779" s="10"/>
      <c r="AE779" s="10"/>
      <c r="AF779" s="10"/>
    </row>
    <row r="780" hidden="1">
      <c r="A780" s="9" t="s">
        <v>997</v>
      </c>
      <c r="B780" s="84"/>
      <c r="C780" s="9"/>
      <c r="D780" s="9" t="str">
        <f t="shared" si="1"/>
        <v/>
      </c>
      <c r="E780" s="10" t="str">
        <f t="shared" si="2"/>
        <v>OT Hours</v>
      </c>
      <c r="F780" s="10" t="str">
        <f>IFERROR(VLOOKUP(C780,'Employees List'!$B$1:$I$999,4,0),"")</f>
        <v/>
      </c>
      <c r="G780" s="10" t="str">
        <f t="shared" si="21"/>
        <v>#DIV/0!</v>
      </c>
      <c r="H780" s="72" t="str">
        <f>IFERROR(VLOOKUP(C780,'Employees List'!$B$2:$I$991,7,0),"")</f>
        <v/>
      </c>
      <c r="I780" s="73" t="str">
        <f>IFERROR(VLOOKUP(F780,'Employees List'!$E$1:$AE$991,6,0),"")</f>
        <v/>
      </c>
      <c r="J780" s="71">
        <f t="shared" si="3"/>
        <v>0</v>
      </c>
      <c r="K780" s="71">
        <f t="shared" si="4"/>
        <v>0</v>
      </c>
      <c r="L780" s="10" t="str">
        <f>IFERROR(VLOOKUP(B780,'Employees List'!$A$2:$K$991,11,0),"")</f>
        <v/>
      </c>
      <c r="M780" s="74" t="str">
        <f>IFERROR(VLOOKUP(D780,'Daily Attendance 25-26'!$A$4:BP999,5,0),"")</f>
        <v/>
      </c>
      <c r="N780" s="10" t="str">
        <f>IFERROR(VLOOKUP(E780,'Daily Attendance 25-26'!$A$1:$BO$1741,5,0),"")</f>
        <v/>
      </c>
      <c r="O780" s="10"/>
      <c r="P780" s="10"/>
      <c r="Q780" s="10" t="str">
        <f t="shared" si="5"/>
        <v>#DIV/0!</v>
      </c>
      <c r="R780" s="10" t="str">
        <f t="shared" si="6"/>
        <v>#DIV/0!</v>
      </c>
      <c r="S780" s="10" t="str">
        <f t="shared" si="23"/>
        <v>#DIV/0!</v>
      </c>
      <c r="T780" s="10" t="str">
        <f t="shared" si="22"/>
        <v>#DIV/0!</v>
      </c>
      <c r="U780" s="10" t="str">
        <f t="shared" si="8"/>
        <v>#DIV/0!</v>
      </c>
      <c r="V780" s="10"/>
      <c r="W780" s="10"/>
      <c r="X780" s="10"/>
      <c r="Y780" s="10"/>
      <c r="Z780" s="10"/>
      <c r="AA780" s="10"/>
      <c r="AB780" s="10"/>
      <c r="AC780" s="10"/>
      <c r="AD780" s="10"/>
      <c r="AE780" s="10"/>
      <c r="AF780" s="10"/>
    </row>
    <row r="781" hidden="1">
      <c r="A781" s="9" t="s">
        <v>998</v>
      </c>
      <c r="B781" s="84"/>
      <c r="C781" s="9"/>
      <c r="D781" s="9" t="str">
        <f t="shared" si="1"/>
        <v/>
      </c>
      <c r="E781" s="10" t="str">
        <f t="shared" si="2"/>
        <v>OT Hours</v>
      </c>
      <c r="F781" s="10" t="str">
        <f>IFERROR(VLOOKUP(C781,'Employees List'!$B$1:$I$999,4,0),"")</f>
        <v/>
      </c>
      <c r="G781" s="10" t="str">
        <f t="shared" si="21"/>
        <v>#DIV/0!</v>
      </c>
      <c r="H781" s="72" t="str">
        <f>IFERROR(VLOOKUP(C781,'Employees List'!$B$2:$I$991,7,0),"")</f>
        <v/>
      </c>
      <c r="I781" s="73" t="str">
        <f>IFERROR(VLOOKUP(F781,'Employees List'!$E$1:$AE$991,6,0),"")</f>
        <v/>
      </c>
      <c r="J781" s="71">
        <f t="shared" si="3"/>
        <v>0</v>
      </c>
      <c r="K781" s="71">
        <f t="shared" si="4"/>
        <v>0</v>
      </c>
      <c r="L781" s="10" t="str">
        <f>IFERROR(VLOOKUP(B781,'Employees List'!$A$2:$K$991,11,0),"")</f>
        <v/>
      </c>
      <c r="M781" s="74" t="str">
        <f>IFERROR(VLOOKUP(D781,'Daily Attendance 25-26'!$A$4:BP999,5,0),"")</f>
        <v/>
      </c>
      <c r="N781" s="10" t="str">
        <f>IFERROR(VLOOKUP(E781,'Daily Attendance 25-26'!$A$1:$BO$1741,5,0),"")</f>
        <v/>
      </c>
      <c r="O781" s="10"/>
      <c r="P781" s="10"/>
      <c r="Q781" s="10" t="str">
        <f t="shared" si="5"/>
        <v>#DIV/0!</v>
      </c>
      <c r="R781" s="10" t="str">
        <f t="shared" si="6"/>
        <v>#DIV/0!</v>
      </c>
      <c r="S781" s="10" t="str">
        <f t="shared" si="23"/>
        <v>#DIV/0!</v>
      </c>
      <c r="T781" s="10" t="str">
        <f t="shared" si="22"/>
        <v>#DIV/0!</v>
      </c>
      <c r="U781" s="10" t="str">
        <f t="shared" si="8"/>
        <v>#DIV/0!</v>
      </c>
      <c r="V781" s="10"/>
      <c r="W781" s="10"/>
      <c r="X781" s="10"/>
      <c r="Y781" s="10"/>
      <c r="Z781" s="10"/>
      <c r="AA781" s="10"/>
      <c r="AB781" s="10"/>
      <c r="AC781" s="10"/>
      <c r="AD781" s="10"/>
      <c r="AE781" s="10"/>
      <c r="AF781" s="10"/>
    </row>
    <row r="782" hidden="1">
      <c r="A782" s="9" t="s">
        <v>999</v>
      </c>
      <c r="B782" s="84"/>
      <c r="C782" s="9"/>
      <c r="D782" s="9" t="str">
        <f t="shared" si="1"/>
        <v/>
      </c>
      <c r="E782" s="10" t="str">
        <f t="shared" si="2"/>
        <v>OT Hours</v>
      </c>
      <c r="F782" s="10" t="str">
        <f>IFERROR(VLOOKUP(C782,'Employees List'!$B$1:$I$999,4,0),"")</f>
        <v/>
      </c>
      <c r="G782" s="10" t="str">
        <f t="shared" si="21"/>
        <v>#DIV/0!</v>
      </c>
      <c r="H782" s="72" t="str">
        <f>IFERROR(VLOOKUP(C782,'Employees List'!$B$2:$I$991,7,0),"")</f>
        <v/>
      </c>
      <c r="I782" s="73" t="str">
        <f>IFERROR(VLOOKUP(F782,'Employees List'!$E$1:$AE$991,6,0),"")</f>
        <v/>
      </c>
      <c r="J782" s="71">
        <f t="shared" si="3"/>
        <v>0</v>
      </c>
      <c r="K782" s="71">
        <f t="shared" si="4"/>
        <v>0</v>
      </c>
      <c r="L782" s="10" t="str">
        <f>IFERROR(VLOOKUP(B782,'Employees List'!$A$2:$K$991,11,0),"")</f>
        <v/>
      </c>
      <c r="M782" s="74" t="str">
        <f>IFERROR(VLOOKUP(D782,'Daily Attendance 25-26'!$A$4:BP999,5,0),"")</f>
        <v/>
      </c>
      <c r="N782" s="10" t="str">
        <f>IFERROR(VLOOKUP(E782,'Daily Attendance 25-26'!$A$1:$BO$1741,5,0),"")</f>
        <v/>
      </c>
      <c r="O782" s="10"/>
      <c r="P782" s="10"/>
      <c r="Q782" s="10" t="str">
        <f t="shared" si="5"/>
        <v>#DIV/0!</v>
      </c>
      <c r="R782" s="10" t="str">
        <f t="shared" si="6"/>
        <v>#DIV/0!</v>
      </c>
      <c r="S782" s="10" t="str">
        <f t="shared" si="23"/>
        <v>#DIV/0!</v>
      </c>
      <c r="T782" s="10" t="str">
        <f t="shared" si="22"/>
        <v>#DIV/0!</v>
      </c>
      <c r="U782" s="10" t="str">
        <f t="shared" si="8"/>
        <v>#DIV/0!</v>
      </c>
      <c r="V782" s="10"/>
      <c r="W782" s="10"/>
      <c r="X782" s="10"/>
      <c r="Y782" s="10"/>
      <c r="Z782" s="10"/>
      <c r="AA782" s="10"/>
      <c r="AB782" s="10"/>
      <c r="AC782" s="10"/>
      <c r="AD782" s="10"/>
      <c r="AE782" s="10"/>
      <c r="AF782" s="10"/>
    </row>
    <row r="783" hidden="1">
      <c r="A783" s="9" t="s">
        <v>1000</v>
      </c>
      <c r="B783" s="84"/>
      <c r="C783" s="9"/>
      <c r="D783" s="9" t="str">
        <f t="shared" si="1"/>
        <v/>
      </c>
      <c r="E783" s="10" t="str">
        <f t="shared" si="2"/>
        <v>OT Hours</v>
      </c>
      <c r="F783" s="10" t="str">
        <f>IFERROR(VLOOKUP(C783,'Employees List'!$B$1:$I$999,4,0),"")</f>
        <v/>
      </c>
      <c r="G783" s="10" t="str">
        <f t="shared" si="21"/>
        <v>#DIV/0!</v>
      </c>
      <c r="H783" s="72" t="str">
        <f>IFERROR(VLOOKUP(C783,'Employees List'!$B$2:$I$991,7,0),"")</f>
        <v/>
      </c>
      <c r="I783" s="73" t="str">
        <f>IFERROR(VLOOKUP(F783,'Employees List'!$E$1:$AE$991,6,0),"")</f>
        <v/>
      </c>
      <c r="J783" s="71">
        <f t="shared" si="3"/>
        <v>0</v>
      </c>
      <c r="K783" s="71">
        <f t="shared" si="4"/>
        <v>0</v>
      </c>
      <c r="L783" s="10" t="str">
        <f>IFERROR(VLOOKUP(B783,'Employees List'!$A$2:$K$991,11,0),"")</f>
        <v/>
      </c>
      <c r="M783" s="74" t="str">
        <f>IFERROR(VLOOKUP(D783,'Daily Attendance 25-26'!$A$4:BP999,5,0),"")</f>
        <v/>
      </c>
      <c r="N783" s="10" t="str">
        <f>IFERROR(VLOOKUP(E783,'Daily Attendance 25-26'!$A$1:$BO$1741,5,0),"")</f>
        <v/>
      </c>
      <c r="O783" s="10"/>
      <c r="P783" s="10"/>
      <c r="Q783" s="10" t="str">
        <f t="shared" si="5"/>
        <v>#DIV/0!</v>
      </c>
      <c r="R783" s="10" t="str">
        <f t="shared" si="6"/>
        <v>#DIV/0!</v>
      </c>
      <c r="S783" s="10" t="str">
        <f t="shared" si="23"/>
        <v>#DIV/0!</v>
      </c>
      <c r="T783" s="10" t="str">
        <f t="shared" si="22"/>
        <v>#DIV/0!</v>
      </c>
      <c r="U783" s="10" t="str">
        <f t="shared" si="8"/>
        <v>#DIV/0!</v>
      </c>
      <c r="V783" s="10"/>
      <c r="W783" s="10"/>
      <c r="X783" s="10"/>
      <c r="Y783" s="10"/>
      <c r="Z783" s="10"/>
      <c r="AA783" s="10"/>
      <c r="AB783" s="10"/>
      <c r="AC783" s="10"/>
      <c r="AD783" s="10"/>
      <c r="AE783" s="10"/>
      <c r="AF783" s="10"/>
    </row>
    <row r="784" hidden="1">
      <c r="A784" s="9" t="s">
        <v>1001</v>
      </c>
      <c r="B784" s="84"/>
      <c r="C784" s="9"/>
      <c r="D784" s="9" t="str">
        <f t="shared" si="1"/>
        <v/>
      </c>
      <c r="E784" s="10" t="str">
        <f t="shared" si="2"/>
        <v>OT Hours</v>
      </c>
      <c r="F784" s="10" t="str">
        <f>IFERROR(VLOOKUP(C784,'Employees List'!$B$1:$I$999,4,0),"")</f>
        <v/>
      </c>
      <c r="G784" s="10" t="str">
        <f t="shared" si="21"/>
        <v>#DIV/0!</v>
      </c>
      <c r="H784" s="72" t="str">
        <f>IFERROR(VLOOKUP(C784,'Employees List'!$B$2:$I$991,7,0),"")</f>
        <v/>
      </c>
      <c r="I784" s="73" t="str">
        <f>IFERROR(VLOOKUP(F784,'Employees List'!$E$1:$AE$991,6,0),"")</f>
        <v/>
      </c>
      <c r="J784" s="71">
        <f t="shared" si="3"/>
        <v>0</v>
      </c>
      <c r="K784" s="71">
        <f t="shared" si="4"/>
        <v>0</v>
      </c>
      <c r="L784" s="10" t="str">
        <f>IFERROR(VLOOKUP(B784,'Employees List'!$A$2:$K$991,11,0),"")</f>
        <v/>
      </c>
      <c r="M784" s="74" t="str">
        <f>IFERROR(VLOOKUP(D784,'Daily Attendance 25-26'!$A$4:BP999,5,0),"")</f>
        <v/>
      </c>
      <c r="N784" s="10" t="str">
        <f>IFERROR(VLOOKUP(E784,'Daily Attendance 25-26'!$A$1:$BO$1741,5,0),"")</f>
        <v/>
      </c>
      <c r="O784" s="10"/>
      <c r="P784" s="10"/>
      <c r="Q784" s="10" t="str">
        <f t="shared" si="5"/>
        <v>#DIV/0!</v>
      </c>
      <c r="R784" s="10" t="str">
        <f t="shared" si="6"/>
        <v>#DIV/0!</v>
      </c>
      <c r="S784" s="10" t="str">
        <f t="shared" si="23"/>
        <v>#DIV/0!</v>
      </c>
      <c r="T784" s="10" t="str">
        <f t="shared" si="22"/>
        <v>#DIV/0!</v>
      </c>
      <c r="U784" s="10" t="str">
        <f t="shared" si="8"/>
        <v>#DIV/0!</v>
      </c>
      <c r="V784" s="10"/>
      <c r="W784" s="10"/>
      <c r="X784" s="10"/>
      <c r="Y784" s="10"/>
      <c r="Z784" s="10"/>
      <c r="AA784" s="10"/>
      <c r="AB784" s="10"/>
      <c r="AC784" s="10"/>
      <c r="AD784" s="10"/>
      <c r="AE784" s="10"/>
      <c r="AF784" s="10"/>
    </row>
    <row r="785" hidden="1">
      <c r="A785" s="9" t="s">
        <v>1002</v>
      </c>
      <c r="B785" s="84"/>
      <c r="C785" s="9"/>
      <c r="D785" s="9" t="str">
        <f t="shared" si="1"/>
        <v/>
      </c>
      <c r="E785" s="10" t="str">
        <f t="shared" si="2"/>
        <v>OT Hours</v>
      </c>
      <c r="F785" s="10" t="str">
        <f>IFERROR(VLOOKUP(C785,'Employees List'!$B$1:$I$999,4,0),"")</f>
        <v/>
      </c>
      <c r="G785" s="10" t="str">
        <f t="shared" si="21"/>
        <v>#DIV/0!</v>
      </c>
      <c r="H785" s="72" t="str">
        <f>IFERROR(VLOOKUP(C785,'Employees List'!$B$2:$I$991,7,0),"")</f>
        <v/>
      </c>
      <c r="I785" s="73" t="str">
        <f>IFERROR(VLOOKUP(F785,'Employees List'!$E$1:$AE$991,6,0),"")</f>
        <v/>
      </c>
      <c r="J785" s="71">
        <f t="shared" si="3"/>
        <v>0</v>
      </c>
      <c r="K785" s="71">
        <f t="shared" si="4"/>
        <v>0</v>
      </c>
      <c r="L785" s="10" t="str">
        <f>IFERROR(VLOOKUP(B785,'Employees List'!$A$2:$K$991,11,0),"")</f>
        <v/>
      </c>
      <c r="M785" s="74" t="str">
        <f>IFERROR(VLOOKUP(D785,'Daily Attendance 25-26'!$A$4:BP999,5,0),"")</f>
        <v/>
      </c>
      <c r="N785" s="10" t="str">
        <f>IFERROR(VLOOKUP(E785,'Daily Attendance 25-26'!$A$1:$BO$1741,5,0),"")</f>
        <v/>
      </c>
      <c r="O785" s="10"/>
      <c r="P785" s="10"/>
      <c r="Q785" s="10" t="str">
        <f t="shared" si="5"/>
        <v>#DIV/0!</v>
      </c>
      <c r="R785" s="10" t="str">
        <f t="shared" si="6"/>
        <v>#DIV/0!</v>
      </c>
      <c r="S785" s="10" t="str">
        <f t="shared" si="23"/>
        <v>#DIV/0!</v>
      </c>
      <c r="T785" s="10" t="str">
        <f t="shared" si="22"/>
        <v>#DIV/0!</v>
      </c>
      <c r="U785" s="10" t="str">
        <f t="shared" si="8"/>
        <v>#DIV/0!</v>
      </c>
      <c r="V785" s="10"/>
      <c r="W785" s="10"/>
      <c r="X785" s="10"/>
      <c r="Y785" s="10"/>
      <c r="Z785" s="10"/>
      <c r="AA785" s="10"/>
      <c r="AB785" s="10"/>
      <c r="AC785" s="10"/>
      <c r="AD785" s="10"/>
      <c r="AE785" s="10"/>
      <c r="AF785" s="10"/>
    </row>
    <row r="786" hidden="1">
      <c r="A786" s="9" t="s">
        <v>1003</v>
      </c>
      <c r="B786" s="84"/>
      <c r="C786" s="9"/>
      <c r="D786" s="9" t="str">
        <f t="shared" si="1"/>
        <v/>
      </c>
      <c r="E786" s="10" t="str">
        <f t="shared" si="2"/>
        <v>OT Hours</v>
      </c>
      <c r="F786" s="10" t="str">
        <f>IFERROR(VLOOKUP(C786,'Employees List'!$B$1:$I$999,4,0),"")</f>
        <v/>
      </c>
      <c r="G786" s="10" t="str">
        <f t="shared" si="21"/>
        <v>#DIV/0!</v>
      </c>
      <c r="H786" s="72" t="str">
        <f>IFERROR(VLOOKUP(C786,'Employees List'!$B$2:$I$991,7,0),"")</f>
        <v/>
      </c>
      <c r="I786" s="73" t="str">
        <f>IFERROR(VLOOKUP(F786,'Employees List'!$E$1:$AE$991,6,0),"")</f>
        <v/>
      </c>
      <c r="J786" s="71">
        <f t="shared" si="3"/>
        <v>0</v>
      </c>
      <c r="K786" s="71">
        <f t="shared" si="4"/>
        <v>0</v>
      </c>
      <c r="L786" s="10" t="str">
        <f>IFERROR(VLOOKUP(B786,'Employees List'!$A$2:$K$991,11,0),"")</f>
        <v/>
      </c>
      <c r="M786" s="74" t="str">
        <f>IFERROR(VLOOKUP(D786,'Daily Attendance 25-26'!$A$4:BP999,5,0),"")</f>
        <v/>
      </c>
      <c r="N786" s="10" t="str">
        <f>IFERROR(VLOOKUP(E786,'Daily Attendance 25-26'!$A$1:$BO$1741,5,0),"")</f>
        <v/>
      </c>
      <c r="O786" s="10"/>
      <c r="P786" s="10"/>
      <c r="Q786" s="10" t="str">
        <f t="shared" si="5"/>
        <v>#DIV/0!</v>
      </c>
      <c r="R786" s="10" t="str">
        <f t="shared" si="6"/>
        <v>#DIV/0!</v>
      </c>
      <c r="S786" s="10" t="str">
        <f t="shared" si="23"/>
        <v>#DIV/0!</v>
      </c>
      <c r="T786" s="10" t="str">
        <f t="shared" si="22"/>
        <v>#DIV/0!</v>
      </c>
      <c r="U786" s="10" t="str">
        <f t="shared" si="8"/>
        <v>#DIV/0!</v>
      </c>
      <c r="V786" s="10"/>
      <c r="W786" s="10"/>
      <c r="X786" s="10"/>
      <c r="Y786" s="10"/>
      <c r="Z786" s="10"/>
      <c r="AA786" s="10"/>
      <c r="AB786" s="10"/>
      <c r="AC786" s="10"/>
      <c r="AD786" s="10"/>
      <c r="AE786" s="10"/>
      <c r="AF786" s="10"/>
    </row>
    <row r="787" hidden="1">
      <c r="A787" s="9" t="s">
        <v>1004</v>
      </c>
      <c r="B787" s="84"/>
      <c r="C787" s="9"/>
      <c r="D787" s="9" t="str">
        <f t="shared" si="1"/>
        <v/>
      </c>
      <c r="E787" s="10" t="str">
        <f t="shared" si="2"/>
        <v>OT Hours</v>
      </c>
      <c r="F787" s="10" t="str">
        <f>IFERROR(VLOOKUP(C787,'Employees List'!$B$1:$I$999,4,0),"")</f>
        <v/>
      </c>
      <c r="G787" s="10" t="str">
        <f t="shared" si="21"/>
        <v>#DIV/0!</v>
      </c>
      <c r="H787" s="72" t="str">
        <f>IFERROR(VLOOKUP(C787,'Employees List'!$B$2:$I$991,7,0),"")</f>
        <v/>
      </c>
      <c r="I787" s="73" t="str">
        <f>IFERROR(VLOOKUP(F787,'Employees List'!$E$1:$AE$991,6,0),"")</f>
        <v/>
      </c>
      <c r="J787" s="71">
        <f t="shared" si="3"/>
        <v>0</v>
      </c>
      <c r="K787" s="71">
        <f t="shared" si="4"/>
        <v>0</v>
      </c>
      <c r="L787" s="10" t="str">
        <f>IFERROR(VLOOKUP(B787,'Employees List'!$A$2:$K$991,11,0),"")</f>
        <v/>
      </c>
      <c r="M787" s="74" t="str">
        <f>IFERROR(VLOOKUP(D787,'Daily Attendance 25-26'!$A$4:BP999,5,0),"")</f>
        <v/>
      </c>
      <c r="N787" s="10" t="str">
        <f>IFERROR(VLOOKUP(E787,'Daily Attendance 25-26'!$A$1:$BO$1741,5,0),"")</f>
        <v/>
      </c>
      <c r="O787" s="10"/>
      <c r="P787" s="10"/>
      <c r="Q787" s="10" t="str">
        <f t="shared" si="5"/>
        <v>#DIV/0!</v>
      </c>
      <c r="R787" s="10" t="str">
        <f t="shared" si="6"/>
        <v>#DIV/0!</v>
      </c>
      <c r="S787" s="10" t="str">
        <f t="shared" si="23"/>
        <v>#DIV/0!</v>
      </c>
      <c r="T787" s="10" t="str">
        <f t="shared" si="22"/>
        <v>#DIV/0!</v>
      </c>
      <c r="U787" s="10" t="str">
        <f t="shared" si="8"/>
        <v>#DIV/0!</v>
      </c>
      <c r="V787" s="10"/>
      <c r="W787" s="10"/>
      <c r="X787" s="10"/>
      <c r="Y787" s="10"/>
      <c r="Z787" s="10"/>
      <c r="AA787" s="10"/>
      <c r="AB787" s="10"/>
      <c r="AC787" s="10"/>
      <c r="AD787" s="10"/>
      <c r="AE787" s="10"/>
      <c r="AF787" s="10"/>
    </row>
    <row r="788" hidden="1">
      <c r="A788" s="9" t="s">
        <v>1005</v>
      </c>
      <c r="B788" s="84"/>
      <c r="C788" s="9"/>
      <c r="D788" s="9" t="str">
        <f t="shared" si="1"/>
        <v/>
      </c>
      <c r="E788" s="10" t="str">
        <f t="shared" si="2"/>
        <v>OT Hours</v>
      </c>
      <c r="F788" s="10" t="str">
        <f>IFERROR(VLOOKUP(C788,'Employees List'!$B$1:$I$999,4,0),"")</f>
        <v/>
      </c>
      <c r="G788" s="10" t="str">
        <f t="shared" si="21"/>
        <v>#DIV/0!</v>
      </c>
      <c r="H788" s="72" t="str">
        <f>IFERROR(VLOOKUP(C788,'Employees List'!$B$2:$I$991,7,0),"")</f>
        <v/>
      </c>
      <c r="I788" s="73" t="str">
        <f>IFERROR(VLOOKUP(F788,'Employees List'!$E$1:$AE$991,6,0),"")</f>
        <v/>
      </c>
      <c r="J788" s="71">
        <f t="shared" si="3"/>
        <v>0</v>
      </c>
      <c r="K788" s="71">
        <f t="shared" si="4"/>
        <v>0</v>
      </c>
      <c r="L788" s="10" t="str">
        <f>IFERROR(VLOOKUP(B788,'Employees List'!$A$2:$K$991,11,0),"")</f>
        <v/>
      </c>
      <c r="M788" s="74" t="str">
        <f>IFERROR(VLOOKUP(D788,'Daily Attendance 25-26'!$A$4:BP999,5,0),"")</f>
        <v/>
      </c>
      <c r="N788" s="10" t="str">
        <f>IFERROR(VLOOKUP(E788,'Daily Attendance 25-26'!$A$1:$BO$1741,5,0),"")</f>
        <v/>
      </c>
      <c r="O788" s="10"/>
      <c r="P788" s="10"/>
      <c r="Q788" s="10" t="str">
        <f t="shared" si="5"/>
        <v>#DIV/0!</v>
      </c>
      <c r="R788" s="10" t="str">
        <f t="shared" si="6"/>
        <v>#DIV/0!</v>
      </c>
      <c r="S788" s="10" t="str">
        <f t="shared" si="23"/>
        <v>#DIV/0!</v>
      </c>
      <c r="T788" s="10" t="str">
        <f t="shared" si="22"/>
        <v>#DIV/0!</v>
      </c>
      <c r="U788" s="10" t="str">
        <f t="shared" si="8"/>
        <v>#DIV/0!</v>
      </c>
      <c r="V788" s="10"/>
      <c r="W788" s="10"/>
      <c r="X788" s="10"/>
      <c r="Y788" s="10"/>
      <c r="Z788" s="10"/>
      <c r="AA788" s="10"/>
      <c r="AB788" s="10"/>
      <c r="AC788" s="10"/>
      <c r="AD788" s="10"/>
      <c r="AE788" s="10"/>
      <c r="AF788" s="10"/>
    </row>
    <row r="789" hidden="1">
      <c r="A789" s="9" t="s">
        <v>1006</v>
      </c>
      <c r="B789" s="84"/>
      <c r="C789" s="9"/>
      <c r="D789" s="9" t="str">
        <f t="shared" si="1"/>
        <v/>
      </c>
      <c r="E789" s="10" t="str">
        <f t="shared" si="2"/>
        <v>OT Hours</v>
      </c>
      <c r="F789" s="10" t="str">
        <f>IFERROR(VLOOKUP(C789,'Employees List'!$B$1:$I$999,4,0),"")</f>
        <v/>
      </c>
      <c r="G789" s="10" t="str">
        <f t="shared" si="21"/>
        <v>#DIV/0!</v>
      </c>
      <c r="H789" s="72" t="str">
        <f>IFERROR(VLOOKUP(C789,'Employees List'!$B$2:$I$991,7,0),"")</f>
        <v/>
      </c>
      <c r="I789" s="73" t="str">
        <f>IFERROR(VLOOKUP(F789,'Employees List'!$E$1:$AE$991,6,0),"")</f>
        <v/>
      </c>
      <c r="J789" s="71">
        <f t="shared" si="3"/>
        <v>0</v>
      </c>
      <c r="K789" s="71">
        <f t="shared" si="4"/>
        <v>0</v>
      </c>
      <c r="L789" s="10" t="str">
        <f>IFERROR(VLOOKUP(B789,'Employees List'!$A$2:$K$991,11,0),"")</f>
        <v/>
      </c>
      <c r="M789" s="74" t="str">
        <f>IFERROR(VLOOKUP(D789,'Daily Attendance 25-26'!$A$4:BP999,5,0),"")</f>
        <v/>
      </c>
      <c r="N789" s="10" t="str">
        <f>IFERROR(VLOOKUP(E789,'Daily Attendance 25-26'!$A$1:$BO$1741,5,0),"")</f>
        <v/>
      </c>
      <c r="O789" s="10"/>
      <c r="P789" s="10"/>
      <c r="Q789" s="10" t="str">
        <f t="shared" si="5"/>
        <v>#DIV/0!</v>
      </c>
      <c r="R789" s="10" t="str">
        <f t="shared" si="6"/>
        <v>#DIV/0!</v>
      </c>
      <c r="S789" s="10" t="str">
        <f t="shared" si="23"/>
        <v>#DIV/0!</v>
      </c>
      <c r="T789" s="10" t="str">
        <f t="shared" si="22"/>
        <v>#DIV/0!</v>
      </c>
      <c r="U789" s="10" t="str">
        <f t="shared" si="8"/>
        <v>#DIV/0!</v>
      </c>
      <c r="V789" s="10"/>
      <c r="W789" s="10"/>
      <c r="X789" s="10"/>
      <c r="Y789" s="10"/>
      <c r="Z789" s="10"/>
      <c r="AA789" s="10"/>
      <c r="AB789" s="10"/>
      <c r="AC789" s="10"/>
      <c r="AD789" s="10"/>
      <c r="AE789" s="10"/>
      <c r="AF789" s="10"/>
    </row>
    <row r="790" hidden="1">
      <c r="A790" s="9" t="s">
        <v>1007</v>
      </c>
      <c r="B790" s="84"/>
      <c r="C790" s="9"/>
      <c r="D790" s="9" t="str">
        <f t="shared" si="1"/>
        <v/>
      </c>
      <c r="E790" s="10" t="str">
        <f t="shared" si="2"/>
        <v>OT Hours</v>
      </c>
      <c r="F790" s="10" t="str">
        <f>IFERROR(VLOOKUP(C790,'Employees List'!$B$1:$I$999,4,0),"")</f>
        <v/>
      </c>
      <c r="G790" s="10" t="str">
        <f t="shared" si="21"/>
        <v>#DIV/0!</v>
      </c>
      <c r="H790" s="72" t="str">
        <f>IFERROR(VLOOKUP(C790,'Employees List'!$B$2:$I$991,7,0),"")</f>
        <v/>
      </c>
      <c r="I790" s="73" t="str">
        <f>IFERROR(VLOOKUP(F790,'Employees List'!$E$1:$AE$991,6,0),"")</f>
        <v/>
      </c>
      <c r="J790" s="71">
        <f t="shared" si="3"/>
        <v>0</v>
      </c>
      <c r="K790" s="71">
        <f t="shared" si="4"/>
        <v>0</v>
      </c>
      <c r="L790" s="10" t="str">
        <f>IFERROR(VLOOKUP(B790,'Employees List'!$A$2:$K$991,11,0),"")</f>
        <v/>
      </c>
      <c r="M790" s="74" t="str">
        <f>IFERROR(VLOOKUP(D790,'Daily Attendance 25-26'!$A$4:BP999,5,0),"")</f>
        <v/>
      </c>
      <c r="N790" s="10" t="str">
        <f>IFERROR(VLOOKUP(E790,'Daily Attendance 25-26'!$A$1:$BO$1741,5,0),"")</f>
        <v/>
      </c>
      <c r="O790" s="10"/>
      <c r="P790" s="10"/>
      <c r="Q790" s="10" t="str">
        <f t="shared" si="5"/>
        <v>#DIV/0!</v>
      </c>
      <c r="R790" s="10" t="str">
        <f t="shared" si="6"/>
        <v>#DIV/0!</v>
      </c>
      <c r="S790" s="10" t="str">
        <f t="shared" si="23"/>
        <v>#DIV/0!</v>
      </c>
      <c r="T790" s="10" t="str">
        <f t="shared" si="22"/>
        <v>#DIV/0!</v>
      </c>
      <c r="U790" s="10" t="str">
        <f t="shared" si="8"/>
        <v>#DIV/0!</v>
      </c>
      <c r="V790" s="10"/>
      <c r="W790" s="10"/>
      <c r="X790" s="10"/>
      <c r="Y790" s="10"/>
      <c r="Z790" s="10"/>
      <c r="AA790" s="10"/>
      <c r="AB790" s="10"/>
      <c r="AC790" s="10"/>
      <c r="AD790" s="10"/>
      <c r="AE790" s="10"/>
      <c r="AF790" s="10"/>
    </row>
    <row r="791" hidden="1">
      <c r="A791" s="9" t="s">
        <v>1008</v>
      </c>
      <c r="B791" s="84"/>
      <c r="C791" s="9"/>
      <c r="D791" s="9" t="str">
        <f t="shared" si="1"/>
        <v/>
      </c>
      <c r="E791" s="10" t="str">
        <f t="shared" si="2"/>
        <v>OT Hours</v>
      </c>
      <c r="F791" s="10" t="str">
        <f>IFERROR(VLOOKUP(C791,'Employees List'!$B$1:$I$999,4,0),"")</f>
        <v/>
      </c>
      <c r="G791" s="10" t="str">
        <f t="shared" si="21"/>
        <v>#DIV/0!</v>
      </c>
      <c r="H791" s="72" t="str">
        <f>IFERROR(VLOOKUP(C791,'Employees List'!$B$2:$I$991,7,0),"")</f>
        <v/>
      </c>
      <c r="I791" s="73" t="str">
        <f>IFERROR(VLOOKUP(F791,'Employees List'!$E$1:$AE$991,6,0),"")</f>
        <v/>
      </c>
      <c r="J791" s="71">
        <f t="shared" si="3"/>
        <v>0</v>
      </c>
      <c r="K791" s="71">
        <f t="shared" si="4"/>
        <v>0</v>
      </c>
      <c r="L791" s="10" t="str">
        <f>IFERROR(VLOOKUP(B791,'Employees List'!$A$2:$K$991,11,0),"")</f>
        <v/>
      </c>
      <c r="M791" s="74" t="str">
        <f>IFERROR(VLOOKUP(D791,'Daily Attendance 25-26'!$A$4:BP999,5,0),"")</f>
        <v/>
      </c>
      <c r="N791" s="10" t="str">
        <f>IFERROR(VLOOKUP(E791,'Daily Attendance 25-26'!$A$1:$BO$1741,5,0),"")</f>
        <v/>
      </c>
      <c r="O791" s="10"/>
      <c r="P791" s="10"/>
      <c r="Q791" s="10" t="str">
        <f t="shared" si="5"/>
        <v>#DIV/0!</v>
      </c>
      <c r="R791" s="10" t="str">
        <f t="shared" si="6"/>
        <v>#DIV/0!</v>
      </c>
      <c r="S791" s="10" t="str">
        <f t="shared" si="23"/>
        <v>#DIV/0!</v>
      </c>
      <c r="T791" s="10" t="str">
        <f t="shared" si="22"/>
        <v>#DIV/0!</v>
      </c>
      <c r="U791" s="10" t="str">
        <f t="shared" si="8"/>
        <v>#DIV/0!</v>
      </c>
      <c r="V791" s="10"/>
      <c r="W791" s="10"/>
      <c r="X791" s="10"/>
      <c r="Y791" s="10"/>
      <c r="Z791" s="10"/>
      <c r="AA791" s="10"/>
      <c r="AB791" s="10"/>
      <c r="AC791" s="10"/>
      <c r="AD791" s="10"/>
      <c r="AE791" s="10"/>
      <c r="AF791" s="10"/>
    </row>
    <row r="792" hidden="1">
      <c r="A792" s="9" t="s">
        <v>1009</v>
      </c>
      <c r="B792" s="84"/>
      <c r="C792" s="9"/>
      <c r="D792" s="9" t="str">
        <f t="shared" si="1"/>
        <v/>
      </c>
      <c r="E792" s="10" t="str">
        <f t="shared" si="2"/>
        <v>OT Hours</v>
      </c>
      <c r="F792" s="10" t="str">
        <f>IFERROR(VLOOKUP(C792,'Employees List'!$B$1:$I$999,4,0),"")</f>
        <v/>
      </c>
      <c r="G792" s="10" t="str">
        <f t="shared" si="21"/>
        <v>#DIV/0!</v>
      </c>
      <c r="H792" s="72" t="str">
        <f>IFERROR(VLOOKUP(C792,'Employees List'!$B$2:$I$991,7,0),"")</f>
        <v/>
      </c>
      <c r="I792" s="73" t="str">
        <f>IFERROR(VLOOKUP(F792,'Employees List'!$E$1:$AE$991,6,0),"")</f>
        <v/>
      </c>
      <c r="J792" s="71">
        <f t="shared" si="3"/>
        <v>0</v>
      </c>
      <c r="K792" s="71">
        <f t="shared" si="4"/>
        <v>0</v>
      </c>
      <c r="L792" s="10" t="str">
        <f>IFERROR(VLOOKUP(B792,'Employees List'!$A$2:$K$991,11,0),"")</f>
        <v/>
      </c>
      <c r="M792" s="74" t="str">
        <f>IFERROR(VLOOKUP(D792,'Daily Attendance 25-26'!$A$4:BP999,5,0),"")</f>
        <v/>
      </c>
      <c r="N792" s="10" t="str">
        <f>IFERROR(VLOOKUP(E792,'Daily Attendance 25-26'!$A$1:$BO$1741,5,0),"")</f>
        <v/>
      </c>
      <c r="O792" s="10"/>
      <c r="P792" s="10"/>
      <c r="Q792" s="10" t="str">
        <f t="shared" si="5"/>
        <v>#DIV/0!</v>
      </c>
      <c r="R792" s="10" t="str">
        <f t="shared" si="6"/>
        <v>#DIV/0!</v>
      </c>
      <c r="S792" s="10" t="str">
        <f t="shared" si="23"/>
        <v>#DIV/0!</v>
      </c>
      <c r="T792" s="10" t="str">
        <f t="shared" si="22"/>
        <v>#DIV/0!</v>
      </c>
      <c r="U792" s="10" t="str">
        <f t="shared" si="8"/>
        <v>#DIV/0!</v>
      </c>
      <c r="V792" s="10"/>
      <c r="W792" s="10"/>
      <c r="X792" s="10"/>
      <c r="Y792" s="10"/>
      <c r="Z792" s="10"/>
      <c r="AA792" s="10"/>
      <c r="AB792" s="10"/>
      <c r="AC792" s="10"/>
      <c r="AD792" s="10"/>
      <c r="AE792" s="10"/>
      <c r="AF792" s="10"/>
    </row>
    <row r="793" hidden="1">
      <c r="A793" s="9" t="s">
        <v>1010</v>
      </c>
      <c r="B793" s="84"/>
      <c r="C793" s="9"/>
      <c r="D793" s="9" t="str">
        <f t="shared" si="1"/>
        <v/>
      </c>
      <c r="E793" s="10" t="str">
        <f t="shared" si="2"/>
        <v>OT Hours</v>
      </c>
      <c r="F793" s="10" t="str">
        <f>IFERROR(VLOOKUP(C793,'Employees List'!$B$1:$I$999,4,0),"")</f>
        <v/>
      </c>
      <c r="G793" s="10" t="str">
        <f t="shared" si="21"/>
        <v>#DIV/0!</v>
      </c>
      <c r="H793" s="72" t="str">
        <f>IFERROR(VLOOKUP(C793,'Employees List'!$B$2:$I$991,7,0),"")</f>
        <v/>
      </c>
      <c r="I793" s="73" t="str">
        <f>IFERROR(VLOOKUP(F793,'Employees List'!$E$1:$AE$991,6,0),"")</f>
        <v/>
      </c>
      <c r="J793" s="71">
        <f t="shared" si="3"/>
        <v>0</v>
      </c>
      <c r="K793" s="71">
        <f t="shared" si="4"/>
        <v>0</v>
      </c>
      <c r="L793" s="10" t="str">
        <f>IFERROR(VLOOKUP(B793,'Employees List'!$A$2:$K$991,11,0),"")</f>
        <v/>
      </c>
      <c r="M793" s="74" t="str">
        <f>IFERROR(VLOOKUP(D793,'Daily Attendance 25-26'!$A$4:BP999,5,0),"")</f>
        <v/>
      </c>
      <c r="N793" s="10" t="str">
        <f>IFERROR(VLOOKUP(E793,'Daily Attendance 25-26'!$A$1:$BO$1741,5,0),"")</f>
        <v/>
      </c>
      <c r="O793" s="10"/>
      <c r="P793" s="10"/>
      <c r="Q793" s="10" t="str">
        <f t="shared" si="5"/>
        <v>#DIV/0!</v>
      </c>
      <c r="R793" s="10" t="str">
        <f t="shared" si="6"/>
        <v>#DIV/0!</v>
      </c>
      <c r="S793" s="10" t="str">
        <f t="shared" si="23"/>
        <v>#DIV/0!</v>
      </c>
      <c r="T793" s="10" t="str">
        <f t="shared" si="22"/>
        <v>#DIV/0!</v>
      </c>
      <c r="U793" s="10" t="str">
        <f t="shared" si="8"/>
        <v>#DIV/0!</v>
      </c>
      <c r="V793" s="10"/>
      <c r="W793" s="10"/>
      <c r="X793" s="10"/>
      <c r="Y793" s="10"/>
      <c r="Z793" s="10"/>
      <c r="AA793" s="10"/>
      <c r="AB793" s="10"/>
      <c r="AC793" s="10"/>
      <c r="AD793" s="10"/>
      <c r="AE793" s="10"/>
      <c r="AF793" s="10"/>
    </row>
    <row r="794" hidden="1">
      <c r="A794" s="9" t="s">
        <v>1011</v>
      </c>
      <c r="B794" s="84"/>
      <c r="C794" s="9"/>
      <c r="D794" s="9" t="str">
        <f t="shared" si="1"/>
        <v/>
      </c>
      <c r="E794" s="10" t="str">
        <f t="shared" si="2"/>
        <v>OT Hours</v>
      </c>
      <c r="F794" s="10" t="str">
        <f>IFERROR(VLOOKUP(C794,'Employees List'!$B$1:$I$999,4,0),"")</f>
        <v/>
      </c>
      <c r="G794" s="10" t="str">
        <f t="shared" si="21"/>
        <v>#DIV/0!</v>
      </c>
      <c r="H794" s="72" t="str">
        <f>IFERROR(VLOOKUP(C794,'Employees List'!$B$2:$I$991,7,0),"")</f>
        <v/>
      </c>
      <c r="I794" s="73" t="str">
        <f>IFERROR(VLOOKUP(F794,'Employees List'!$E$1:$AE$991,6,0),"")</f>
        <v/>
      </c>
      <c r="J794" s="71">
        <f t="shared" si="3"/>
        <v>0</v>
      </c>
      <c r="K794" s="71">
        <f t="shared" si="4"/>
        <v>0</v>
      </c>
      <c r="L794" s="10" t="str">
        <f>IFERROR(VLOOKUP(B794,'Employees List'!$A$2:$K$991,11,0),"")</f>
        <v/>
      </c>
      <c r="M794" s="74" t="str">
        <f>IFERROR(VLOOKUP(D794,'Daily Attendance 25-26'!$A$4:BP999,5,0),"")</f>
        <v/>
      </c>
      <c r="N794" s="10" t="str">
        <f>IFERROR(VLOOKUP(E794,'Daily Attendance 25-26'!$A$1:$BO$1741,5,0),"")</f>
        <v/>
      </c>
      <c r="O794" s="10"/>
      <c r="P794" s="10"/>
      <c r="Q794" s="10" t="str">
        <f t="shared" si="5"/>
        <v>#DIV/0!</v>
      </c>
      <c r="R794" s="10" t="str">
        <f t="shared" si="6"/>
        <v>#DIV/0!</v>
      </c>
      <c r="S794" s="10" t="str">
        <f t="shared" si="23"/>
        <v>#DIV/0!</v>
      </c>
      <c r="T794" s="10" t="str">
        <f t="shared" si="22"/>
        <v>#DIV/0!</v>
      </c>
      <c r="U794" s="10" t="str">
        <f t="shared" si="8"/>
        <v>#DIV/0!</v>
      </c>
      <c r="V794" s="10"/>
      <c r="W794" s="10"/>
      <c r="X794" s="10"/>
      <c r="Y794" s="10"/>
      <c r="Z794" s="10"/>
      <c r="AA794" s="10"/>
      <c r="AB794" s="10"/>
      <c r="AC794" s="10"/>
      <c r="AD794" s="10"/>
      <c r="AE794" s="10"/>
      <c r="AF794" s="10"/>
    </row>
    <row r="795" hidden="1">
      <c r="A795" s="9" t="s">
        <v>1012</v>
      </c>
      <c r="B795" s="84"/>
      <c r="C795" s="9"/>
      <c r="D795" s="9" t="str">
        <f t="shared" si="1"/>
        <v/>
      </c>
      <c r="E795" s="10" t="str">
        <f t="shared" si="2"/>
        <v>OT Hours</v>
      </c>
      <c r="F795" s="10" t="str">
        <f>IFERROR(VLOOKUP(C795,'Employees List'!$B$1:$I$999,4,0),"")</f>
        <v/>
      </c>
      <c r="G795" s="10" t="str">
        <f t="shared" si="21"/>
        <v>#DIV/0!</v>
      </c>
      <c r="H795" s="72" t="str">
        <f>IFERROR(VLOOKUP(C795,'Employees List'!$B$2:$I$991,7,0),"")</f>
        <v/>
      </c>
      <c r="I795" s="73" t="str">
        <f>IFERROR(VLOOKUP(F795,'Employees List'!$E$1:$AE$991,6,0),"")</f>
        <v/>
      </c>
      <c r="J795" s="71">
        <f t="shared" si="3"/>
        <v>0</v>
      </c>
      <c r="K795" s="71">
        <f t="shared" si="4"/>
        <v>0</v>
      </c>
      <c r="L795" s="10" t="str">
        <f>IFERROR(VLOOKUP(B795,'Employees List'!$A$2:$K$991,11,0),"")</f>
        <v/>
      </c>
      <c r="M795" s="74" t="str">
        <f>IFERROR(VLOOKUP(D795,'Daily Attendance 25-26'!$A$4:BP999,5,0),"")</f>
        <v/>
      </c>
      <c r="N795" s="10" t="str">
        <f>IFERROR(VLOOKUP(E795,'Daily Attendance 25-26'!$A$1:$BO$1741,5,0),"")</f>
        <v/>
      </c>
      <c r="O795" s="10"/>
      <c r="P795" s="10"/>
      <c r="Q795" s="10" t="str">
        <f t="shared" si="5"/>
        <v>#DIV/0!</v>
      </c>
      <c r="R795" s="10" t="str">
        <f t="shared" si="6"/>
        <v>#DIV/0!</v>
      </c>
      <c r="S795" s="10" t="str">
        <f t="shared" si="23"/>
        <v>#DIV/0!</v>
      </c>
      <c r="T795" s="10" t="str">
        <f t="shared" si="22"/>
        <v>#DIV/0!</v>
      </c>
      <c r="U795" s="10" t="str">
        <f t="shared" si="8"/>
        <v>#DIV/0!</v>
      </c>
      <c r="V795" s="10"/>
      <c r="W795" s="10"/>
      <c r="X795" s="10"/>
      <c r="Y795" s="10"/>
      <c r="Z795" s="10"/>
      <c r="AA795" s="10"/>
      <c r="AB795" s="10"/>
      <c r="AC795" s="10"/>
      <c r="AD795" s="10"/>
      <c r="AE795" s="10"/>
      <c r="AF795" s="10"/>
    </row>
    <row r="796" hidden="1">
      <c r="A796" s="9" t="s">
        <v>1013</v>
      </c>
      <c r="B796" s="84"/>
      <c r="C796" s="9"/>
      <c r="D796" s="9" t="str">
        <f t="shared" si="1"/>
        <v/>
      </c>
      <c r="E796" s="10" t="str">
        <f t="shared" si="2"/>
        <v>OT Hours</v>
      </c>
      <c r="F796" s="10" t="str">
        <f>IFERROR(VLOOKUP(C796,'Employees List'!$B$1:$I$999,4,0),"")</f>
        <v/>
      </c>
      <c r="G796" s="10" t="str">
        <f t="shared" si="21"/>
        <v>#DIV/0!</v>
      </c>
      <c r="H796" s="72" t="str">
        <f>IFERROR(VLOOKUP(C796,'Employees List'!$B$2:$I$991,7,0),"")</f>
        <v/>
      </c>
      <c r="I796" s="73" t="str">
        <f>IFERROR(VLOOKUP(F796,'Employees List'!$E$1:$AE$991,6,0),"")</f>
        <v/>
      </c>
      <c r="J796" s="71">
        <f t="shared" si="3"/>
        <v>0</v>
      </c>
      <c r="K796" s="71">
        <f t="shared" si="4"/>
        <v>0</v>
      </c>
      <c r="L796" s="10" t="str">
        <f>IFERROR(VLOOKUP(B796,'Employees List'!$A$2:$K$991,11,0),"")</f>
        <v/>
      </c>
      <c r="M796" s="74" t="str">
        <f>IFERROR(VLOOKUP(D796,'Daily Attendance 25-26'!$A$4:BP999,5,0),"")</f>
        <v/>
      </c>
      <c r="N796" s="10" t="str">
        <f>IFERROR(VLOOKUP(E796,'Daily Attendance 25-26'!$A$1:$BO$1741,5,0),"")</f>
        <v/>
      </c>
      <c r="O796" s="10"/>
      <c r="P796" s="10"/>
      <c r="Q796" s="10" t="str">
        <f t="shared" si="5"/>
        <v>#DIV/0!</v>
      </c>
      <c r="R796" s="10" t="str">
        <f t="shared" si="6"/>
        <v>#DIV/0!</v>
      </c>
      <c r="S796" s="10" t="str">
        <f t="shared" si="23"/>
        <v>#DIV/0!</v>
      </c>
      <c r="T796" s="10" t="str">
        <f t="shared" si="22"/>
        <v>#DIV/0!</v>
      </c>
      <c r="U796" s="10" t="str">
        <f t="shared" si="8"/>
        <v>#DIV/0!</v>
      </c>
      <c r="V796" s="10"/>
      <c r="W796" s="10"/>
      <c r="X796" s="10"/>
      <c r="Y796" s="10"/>
      <c r="Z796" s="10"/>
      <c r="AA796" s="10"/>
      <c r="AB796" s="10"/>
      <c r="AC796" s="10"/>
      <c r="AD796" s="10"/>
      <c r="AE796" s="10"/>
      <c r="AF796" s="10"/>
    </row>
    <row r="797" hidden="1">
      <c r="A797" s="9" t="s">
        <v>1014</v>
      </c>
      <c r="B797" s="84"/>
      <c r="C797" s="9"/>
      <c r="D797" s="9" t="str">
        <f t="shared" si="1"/>
        <v/>
      </c>
      <c r="E797" s="10" t="str">
        <f t="shared" si="2"/>
        <v>OT Hours</v>
      </c>
      <c r="F797" s="10" t="str">
        <f>IFERROR(VLOOKUP(C797,'Employees List'!$B$1:$I$999,4,0),"")</f>
        <v/>
      </c>
      <c r="G797" s="10" t="str">
        <f t="shared" si="21"/>
        <v>#DIV/0!</v>
      </c>
      <c r="H797" s="72" t="str">
        <f>IFERROR(VLOOKUP(C797,'Employees List'!$B$2:$I$991,7,0),"")</f>
        <v/>
      </c>
      <c r="I797" s="73" t="str">
        <f>IFERROR(VLOOKUP(F797,'Employees List'!$E$1:$AE$991,6,0),"")</f>
        <v/>
      </c>
      <c r="J797" s="71">
        <f t="shared" si="3"/>
        <v>0</v>
      </c>
      <c r="K797" s="71">
        <f t="shared" si="4"/>
        <v>0</v>
      </c>
      <c r="L797" s="10" t="str">
        <f>IFERROR(VLOOKUP(B797,'Employees List'!$A$2:$K$991,11,0),"")</f>
        <v/>
      </c>
      <c r="M797" s="74" t="str">
        <f>IFERROR(VLOOKUP(D797,'Daily Attendance 25-26'!$A$4:BP999,5,0),"")</f>
        <v/>
      </c>
      <c r="N797" s="10" t="str">
        <f>IFERROR(VLOOKUP(E797,'Daily Attendance 25-26'!$A$1:$BO$1741,5,0),"")</f>
        <v/>
      </c>
      <c r="O797" s="10"/>
      <c r="P797" s="10"/>
      <c r="Q797" s="10" t="str">
        <f t="shared" si="5"/>
        <v>#DIV/0!</v>
      </c>
      <c r="R797" s="10" t="str">
        <f t="shared" si="6"/>
        <v>#DIV/0!</v>
      </c>
      <c r="S797" s="10" t="str">
        <f t="shared" si="23"/>
        <v>#DIV/0!</v>
      </c>
      <c r="T797" s="10" t="str">
        <f t="shared" si="22"/>
        <v>#DIV/0!</v>
      </c>
      <c r="U797" s="10" t="str">
        <f t="shared" si="8"/>
        <v>#DIV/0!</v>
      </c>
      <c r="V797" s="10"/>
      <c r="W797" s="10"/>
      <c r="X797" s="10"/>
      <c r="Y797" s="10"/>
      <c r="Z797" s="10"/>
      <c r="AA797" s="10"/>
      <c r="AB797" s="10"/>
      <c r="AC797" s="10"/>
      <c r="AD797" s="10"/>
      <c r="AE797" s="10"/>
      <c r="AF797" s="10"/>
    </row>
    <row r="798" hidden="1">
      <c r="A798" s="9" t="s">
        <v>1015</v>
      </c>
      <c r="B798" s="84"/>
      <c r="C798" s="9"/>
      <c r="D798" s="9" t="str">
        <f t="shared" si="1"/>
        <v/>
      </c>
      <c r="E798" s="10" t="str">
        <f t="shared" si="2"/>
        <v>OT Hours</v>
      </c>
      <c r="F798" s="10" t="str">
        <f>IFERROR(VLOOKUP(C798,'Employees List'!$B$1:$I$999,4,0),"")</f>
        <v/>
      </c>
      <c r="G798" s="10" t="str">
        <f t="shared" si="21"/>
        <v>#DIV/0!</v>
      </c>
      <c r="H798" s="72" t="str">
        <f>IFERROR(VLOOKUP(C798,'Employees List'!$B$2:$I$991,7,0),"")</f>
        <v/>
      </c>
      <c r="I798" s="73" t="str">
        <f>IFERROR(VLOOKUP(F798,'Employees List'!$E$1:$AE$991,6,0),"")</f>
        <v/>
      </c>
      <c r="J798" s="71">
        <f t="shared" si="3"/>
        <v>0</v>
      </c>
      <c r="K798" s="71">
        <f t="shared" si="4"/>
        <v>0</v>
      </c>
      <c r="L798" s="10" t="str">
        <f>IFERROR(VLOOKUP(B798,'Employees List'!$A$2:$K$991,11,0),"")</f>
        <v/>
      </c>
      <c r="M798" s="74" t="str">
        <f>IFERROR(VLOOKUP(D798,'Daily Attendance 25-26'!$A$4:BP999,5,0),"")</f>
        <v/>
      </c>
      <c r="N798" s="10" t="str">
        <f>IFERROR(VLOOKUP(E798,'Daily Attendance 25-26'!$A$1:$BO$1741,5,0),"")</f>
        <v/>
      </c>
      <c r="O798" s="10"/>
      <c r="P798" s="10"/>
      <c r="Q798" s="10" t="str">
        <f t="shared" si="5"/>
        <v>#DIV/0!</v>
      </c>
      <c r="R798" s="10" t="str">
        <f t="shared" si="6"/>
        <v>#DIV/0!</v>
      </c>
      <c r="S798" s="10" t="str">
        <f t="shared" si="23"/>
        <v>#DIV/0!</v>
      </c>
      <c r="T798" s="10" t="str">
        <f t="shared" si="22"/>
        <v>#DIV/0!</v>
      </c>
      <c r="U798" s="10" t="str">
        <f t="shared" si="8"/>
        <v>#DIV/0!</v>
      </c>
      <c r="V798" s="10"/>
      <c r="W798" s="10"/>
      <c r="X798" s="10"/>
      <c r="Y798" s="10"/>
      <c r="Z798" s="10"/>
      <c r="AA798" s="10"/>
      <c r="AB798" s="10"/>
      <c r="AC798" s="10"/>
      <c r="AD798" s="10"/>
      <c r="AE798" s="10"/>
      <c r="AF798" s="10"/>
    </row>
    <row r="799" hidden="1">
      <c r="A799" s="9" t="s">
        <v>1016</v>
      </c>
      <c r="B799" s="84"/>
      <c r="C799" s="9"/>
      <c r="D799" s="9" t="str">
        <f t="shared" si="1"/>
        <v/>
      </c>
      <c r="E799" s="10" t="str">
        <f t="shared" si="2"/>
        <v>OT Hours</v>
      </c>
      <c r="F799" s="10" t="str">
        <f>IFERROR(VLOOKUP(C799,'Employees List'!$B$1:$I$999,4,0),"")</f>
        <v/>
      </c>
      <c r="G799" s="10" t="str">
        <f t="shared" si="21"/>
        <v>#DIV/0!</v>
      </c>
      <c r="H799" s="72" t="str">
        <f>IFERROR(VLOOKUP(C799,'Employees List'!$B$2:$I$991,7,0),"")</f>
        <v/>
      </c>
      <c r="I799" s="73" t="str">
        <f>IFERROR(VLOOKUP(F799,'Employees List'!$E$1:$AE$991,6,0),"")</f>
        <v/>
      </c>
      <c r="J799" s="71">
        <f t="shared" si="3"/>
        <v>0</v>
      </c>
      <c r="K799" s="71">
        <f t="shared" si="4"/>
        <v>0</v>
      </c>
      <c r="L799" s="10" t="str">
        <f>IFERROR(VLOOKUP(B799,'Employees List'!$A$2:$K$991,11,0),"")</f>
        <v/>
      </c>
      <c r="M799" s="74" t="str">
        <f>IFERROR(VLOOKUP(D799,'Daily Attendance 25-26'!$A$4:BP999,5,0),"")</f>
        <v/>
      </c>
      <c r="N799" s="10" t="str">
        <f>IFERROR(VLOOKUP(E799,'Daily Attendance 25-26'!$A$1:$BO$1741,5,0),"")</f>
        <v/>
      </c>
      <c r="O799" s="10"/>
      <c r="P799" s="10"/>
      <c r="Q799" s="10" t="str">
        <f t="shared" si="5"/>
        <v>#DIV/0!</v>
      </c>
      <c r="R799" s="10" t="str">
        <f t="shared" si="6"/>
        <v>#DIV/0!</v>
      </c>
      <c r="S799" s="10" t="str">
        <f t="shared" si="23"/>
        <v>#DIV/0!</v>
      </c>
      <c r="T799" s="10" t="str">
        <f t="shared" si="22"/>
        <v>#DIV/0!</v>
      </c>
      <c r="U799" s="10" t="str">
        <f t="shared" si="8"/>
        <v>#DIV/0!</v>
      </c>
      <c r="V799" s="10"/>
      <c r="W799" s="10"/>
      <c r="X799" s="10"/>
      <c r="Y799" s="10"/>
      <c r="Z799" s="10"/>
      <c r="AA799" s="10"/>
      <c r="AB799" s="10"/>
      <c r="AC799" s="10"/>
      <c r="AD799" s="10"/>
      <c r="AE799" s="10"/>
      <c r="AF799" s="10"/>
    </row>
    <row r="800" hidden="1">
      <c r="A800" s="9" t="s">
        <v>1017</v>
      </c>
      <c r="B800" s="84"/>
      <c r="C800" s="9"/>
      <c r="D800" s="9" t="str">
        <f t="shared" si="1"/>
        <v/>
      </c>
      <c r="E800" s="10" t="str">
        <f t="shared" si="2"/>
        <v>OT Hours</v>
      </c>
      <c r="F800" s="10" t="str">
        <f>IFERROR(VLOOKUP(C800,'Employees List'!$B$1:$I$999,4,0),"")</f>
        <v/>
      </c>
      <c r="G800" s="10" t="str">
        <f t="shared" si="21"/>
        <v>#DIV/0!</v>
      </c>
      <c r="H800" s="72" t="str">
        <f>IFERROR(VLOOKUP(C800,'Employees List'!$B$2:$I$991,7,0),"")</f>
        <v/>
      </c>
      <c r="I800" s="73" t="str">
        <f>IFERROR(VLOOKUP(F800,'Employees List'!$E$1:$AE$991,6,0),"")</f>
        <v/>
      </c>
      <c r="J800" s="71">
        <f t="shared" si="3"/>
        <v>0</v>
      </c>
      <c r="K800" s="71">
        <f t="shared" si="4"/>
        <v>0</v>
      </c>
      <c r="L800" s="10" t="str">
        <f>IFERROR(VLOOKUP(B800,'Employees List'!$A$2:$K$991,11,0),"")</f>
        <v/>
      </c>
      <c r="M800" s="74" t="str">
        <f>IFERROR(VLOOKUP(D800,'Daily Attendance 25-26'!$A$4:BP999,5,0),"")</f>
        <v/>
      </c>
      <c r="N800" s="10" t="str">
        <f>IFERROR(VLOOKUP(E800,'Daily Attendance 25-26'!$A$1:$BO$1741,5,0),"")</f>
        <v/>
      </c>
      <c r="O800" s="10"/>
      <c r="P800" s="10"/>
      <c r="Q800" s="10" t="str">
        <f t="shared" si="5"/>
        <v>#DIV/0!</v>
      </c>
      <c r="R800" s="10" t="str">
        <f t="shared" si="6"/>
        <v>#DIV/0!</v>
      </c>
      <c r="S800" s="10" t="str">
        <f t="shared" si="23"/>
        <v>#DIV/0!</v>
      </c>
      <c r="T800" s="10" t="str">
        <f t="shared" si="22"/>
        <v>#DIV/0!</v>
      </c>
      <c r="U800" s="10" t="str">
        <f t="shared" si="8"/>
        <v>#DIV/0!</v>
      </c>
      <c r="V800" s="10"/>
      <c r="W800" s="10"/>
      <c r="X800" s="10"/>
      <c r="Y800" s="10"/>
      <c r="Z800" s="10"/>
      <c r="AA800" s="10"/>
      <c r="AB800" s="10"/>
      <c r="AC800" s="10"/>
      <c r="AD800" s="10"/>
      <c r="AE800" s="10"/>
      <c r="AF800" s="10"/>
    </row>
    <row r="801" hidden="1">
      <c r="A801" s="9" t="s">
        <v>1018</v>
      </c>
      <c r="B801" s="84"/>
      <c r="C801" s="9"/>
      <c r="D801" s="9" t="str">
        <f t="shared" si="1"/>
        <v/>
      </c>
      <c r="E801" s="10" t="str">
        <f t="shared" si="2"/>
        <v>OT Hours</v>
      </c>
      <c r="F801" s="10" t="str">
        <f>IFERROR(VLOOKUP(C801,'Employees List'!$B$1:$I$999,4,0),"")</f>
        <v/>
      </c>
      <c r="G801" s="10" t="str">
        <f t="shared" si="21"/>
        <v>#DIV/0!</v>
      </c>
      <c r="H801" s="72" t="str">
        <f>IFERROR(VLOOKUP(C801,'Employees List'!$B$2:$I$991,7,0),"")</f>
        <v/>
      </c>
      <c r="I801" s="73" t="str">
        <f>IFERROR(VLOOKUP(F801,'Employees List'!$E$1:$AE$991,6,0),"")</f>
        <v/>
      </c>
      <c r="J801" s="71">
        <f t="shared" si="3"/>
        <v>0</v>
      </c>
      <c r="K801" s="71">
        <f t="shared" si="4"/>
        <v>0</v>
      </c>
      <c r="L801" s="10" t="str">
        <f>IFERROR(VLOOKUP(B801,'Employees List'!$A$2:$K$991,11,0),"")</f>
        <v/>
      </c>
      <c r="M801" s="74" t="str">
        <f>IFERROR(VLOOKUP(D801,'Daily Attendance 25-26'!$A$4:BP999,5,0),"")</f>
        <v/>
      </c>
      <c r="N801" s="10" t="str">
        <f>IFERROR(VLOOKUP(E801,'Daily Attendance 25-26'!$A$1:$BO$1741,5,0),"")</f>
        <v/>
      </c>
      <c r="O801" s="10"/>
      <c r="P801" s="10"/>
      <c r="Q801" s="10" t="str">
        <f t="shared" si="5"/>
        <v>#DIV/0!</v>
      </c>
      <c r="R801" s="10" t="str">
        <f t="shared" si="6"/>
        <v>#DIV/0!</v>
      </c>
      <c r="S801" s="10" t="str">
        <f t="shared" si="23"/>
        <v>#DIV/0!</v>
      </c>
      <c r="T801" s="10" t="str">
        <f t="shared" si="22"/>
        <v>#DIV/0!</v>
      </c>
      <c r="U801" s="10" t="str">
        <f t="shared" si="8"/>
        <v>#DIV/0!</v>
      </c>
      <c r="V801" s="10"/>
      <c r="W801" s="10"/>
      <c r="X801" s="10"/>
      <c r="Y801" s="10"/>
      <c r="Z801" s="10"/>
      <c r="AA801" s="10"/>
      <c r="AB801" s="10"/>
      <c r="AC801" s="10"/>
      <c r="AD801" s="10"/>
      <c r="AE801" s="10"/>
      <c r="AF801" s="10"/>
    </row>
    <row r="802" hidden="1">
      <c r="A802" s="9" t="s">
        <v>1019</v>
      </c>
      <c r="B802" s="84"/>
      <c r="C802" s="9"/>
      <c r="D802" s="9" t="str">
        <f t="shared" si="1"/>
        <v/>
      </c>
      <c r="E802" s="10" t="str">
        <f t="shared" si="2"/>
        <v>OT Hours</v>
      </c>
      <c r="F802" s="10" t="str">
        <f>IFERROR(VLOOKUP(C802,'Employees List'!$B$1:$I$999,4,0),"")</f>
        <v/>
      </c>
      <c r="G802" s="10" t="str">
        <f t="shared" si="21"/>
        <v>#DIV/0!</v>
      </c>
      <c r="H802" s="72" t="str">
        <f>IFERROR(VLOOKUP(C802,'Employees List'!$B$2:$I$991,7,0),"")</f>
        <v/>
      </c>
      <c r="I802" s="73" t="str">
        <f>IFERROR(VLOOKUP(F802,'Employees List'!$E$1:$AE$991,6,0),"")</f>
        <v/>
      </c>
      <c r="J802" s="71">
        <f t="shared" si="3"/>
        <v>0</v>
      </c>
      <c r="K802" s="71">
        <f t="shared" si="4"/>
        <v>0</v>
      </c>
      <c r="L802" s="10" t="str">
        <f>IFERROR(VLOOKUP(B802,'Employees List'!$A$2:$K$991,11,0),"")</f>
        <v/>
      </c>
      <c r="M802" s="74" t="str">
        <f>IFERROR(VLOOKUP(D802,'Daily Attendance 25-26'!$A$4:BP999,5,0),"")</f>
        <v/>
      </c>
      <c r="N802" s="10" t="str">
        <f>IFERROR(VLOOKUP(E802,'Daily Attendance 25-26'!$A$1:$BO$1741,5,0),"")</f>
        <v/>
      </c>
      <c r="O802" s="10"/>
      <c r="P802" s="10"/>
      <c r="Q802" s="10" t="str">
        <f t="shared" si="5"/>
        <v>#DIV/0!</v>
      </c>
      <c r="R802" s="10" t="str">
        <f t="shared" si="6"/>
        <v>#DIV/0!</v>
      </c>
      <c r="S802" s="10" t="str">
        <f t="shared" si="23"/>
        <v>#DIV/0!</v>
      </c>
      <c r="T802" s="10" t="str">
        <f t="shared" si="22"/>
        <v>#DIV/0!</v>
      </c>
      <c r="U802" s="10" t="str">
        <f t="shared" si="8"/>
        <v>#DIV/0!</v>
      </c>
      <c r="V802" s="10"/>
      <c r="W802" s="10"/>
      <c r="X802" s="10"/>
      <c r="Y802" s="10"/>
      <c r="Z802" s="10"/>
      <c r="AA802" s="10"/>
      <c r="AB802" s="10"/>
      <c r="AC802" s="10"/>
      <c r="AD802" s="10"/>
      <c r="AE802" s="10"/>
      <c r="AF802" s="10"/>
    </row>
    <row r="803" hidden="1">
      <c r="A803" s="9" t="s">
        <v>1020</v>
      </c>
      <c r="B803" s="84"/>
      <c r="C803" s="9"/>
      <c r="D803" s="9" t="str">
        <f t="shared" si="1"/>
        <v/>
      </c>
      <c r="E803" s="10" t="str">
        <f t="shared" si="2"/>
        <v>OT Hours</v>
      </c>
      <c r="F803" s="10" t="str">
        <f>IFERROR(VLOOKUP(C803,'Employees List'!$B$1:$I$999,4,0),"")</f>
        <v/>
      </c>
      <c r="G803" s="10" t="str">
        <f t="shared" si="21"/>
        <v>#DIV/0!</v>
      </c>
      <c r="H803" s="72" t="str">
        <f>IFERROR(VLOOKUP(C803,'Employees List'!$B$2:$I$991,7,0),"")</f>
        <v/>
      </c>
      <c r="I803" s="73" t="str">
        <f>IFERROR(VLOOKUP(F803,'Employees List'!$E$1:$AE$991,6,0),"")</f>
        <v/>
      </c>
      <c r="J803" s="71">
        <f t="shared" si="3"/>
        <v>0</v>
      </c>
      <c r="K803" s="71">
        <f t="shared" si="4"/>
        <v>0</v>
      </c>
      <c r="L803" s="10" t="str">
        <f>IFERROR(VLOOKUP(B803,'Employees List'!$A$2:$K$991,11,0),"")</f>
        <v/>
      </c>
      <c r="M803" s="74" t="str">
        <f>IFERROR(VLOOKUP(D803,'Daily Attendance 25-26'!$A$4:BP999,5,0),"")</f>
        <v/>
      </c>
      <c r="N803" s="10" t="str">
        <f>IFERROR(VLOOKUP(E803,'Daily Attendance 25-26'!$A$1:$BO$1741,5,0),"")</f>
        <v/>
      </c>
      <c r="O803" s="10"/>
      <c r="P803" s="10"/>
      <c r="Q803" s="10" t="str">
        <f t="shared" si="5"/>
        <v>#DIV/0!</v>
      </c>
      <c r="R803" s="10" t="str">
        <f t="shared" si="6"/>
        <v>#DIV/0!</v>
      </c>
      <c r="S803" s="10" t="str">
        <f t="shared" si="23"/>
        <v>#DIV/0!</v>
      </c>
      <c r="T803" s="10" t="str">
        <f t="shared" si="22"/>
        <v>#DIV/0!</v>
      </c>
      <c r="U803" s="10" t="str">
        <f t="shared" si="8"/>
        <v>#DIV/0!</v>
      </c>
      <c r="V803" s="10"/>
      <c r="W803" s="10"/>
      <c r="X803" s="10"/>
      <c r="Y803" s="10"/>
      <c r="Z803" s="10"/>
      <c r="AA803" s="10"/>
      <c r="AB803" s="10"/>
      <c r="AC803" s="10"/>
      <c r="AD803" s="10"/>
      <c r="AE803" s="10"/>
      <c r="AF803" s="10"/>
    </row>
    <row r="804" hidden="1">
      <c r="A804" s="9" t="s">
        <v>1021</v>
      </c>
      <c r="B804" s="84"/>
      <c r="C804" s="9"/>
      <c r="D804" s="9" t="str">
        <f t="shared" si="1"/>
        <v/>
      </c>
      <c r="E804" s="10" t="str">
        <f t="shared" si="2"/>
        <v>OT Hours</v>
      </c>
      <c r="F804" s="10" t="str">
        <f>IFERROR(VLOOKUP(C804,'Employees List'!$B$1:$I$999,4,0),"")</f>
        <v/>
      </c>
      <c r="G804" s="10" t="str">
        <f t="shared" si="21"/>
        <v>#DIV/0!</v>
      </c>
      <c r="H804" s="72" t="str">
        <f>IFERROR(VLOOKUP(C804,'Employees List'!$B$2:$I$991,7,0),"")</f>
        <v/>
      </c>
      <c r="I804" s="73" t="str">
        <f>IFERROR(VLOOKUP(F804,'Employees List'!$E$1:$AE$991,6,0),"")</f>
        <v/>
      </c>
      <c r="J804" s="71">
        <f t="shared" si="3"/>
        <v>0</v>
      </c>
      <c r="K804" s="71">
        <f t="shared" si="4"/>
        <v>0</v>
      </c>
      <c r="L804" s="10" t="str">
        <f>IFERROR(VLOOKUP(B804,'Employees List'!$A$2:$K$991,11,0),"")</f>
        <v/>
      </c>
      <c r="M804" s="74" t="str">
        <f>IFERROR(VLOOKUP(D804,'Daily Attendance 25-26'!$A$4:BP999,5,0),"")</f>
        <v/>
      </c>
      <c r="N804" s="10" t="str">
        <f>IFERROR(VLOOKUP(E804,'Daily Attendance 25-26'!$A$1:$BO$1741,5,0),"")</f>
        <v/>
      </c>
      <c r="O804" s="10"/>
      <c r="P804" s="10"/>
      <c r="Q804" s="10" t="str">
        <f t="shared" si="5"/>
        <v>#DIV/0!</v>
      </c>
      <c r="R804" s="10" t="str">
        <f t="shared" si="6"/>
        <v>#DIV/0!</v>
      </c>
      <c r="S804" s="10" t="str">
        <f t="shared" si="23"/>
        <v>#DIV/0!</v>
      </c>
      <c r="T804" s="10" t="str">
        <f t="shared" si="22"/>
        <v>#DIV/0!</v>
      </c>
      <c r="U804" s="10" t="str">
        <f t="shared" si="8"/>
        <v>#DIV/0!</v>
      </c>
      <c r="V804" s="10"/>
      <c r="W804" s="10"/>
      <c r="X804" s="10"/>
      <c r="Y804" s="10"/>
      <c r="Z804" s="10"/>
      <c r="AA804" s="10"/>
      <c r="AB804" s="10"/>
      <c r="AC804" s="10"/>
      <c r="AD804" s="10"/>
      <c r="AE804" s="10"/>
      <c r="AF804" s="10"/>
    </row>
    <row r="805" hidden="1">
      <c r="A805" s="9" t="s">
        <v>1022</v>
      </c>
      <c r="B805" s="84"/>
      <c r="C805" s="9"/>
      <c r="D805" s="9" t="str">
        <f t="shared" si="1"/>
        <v/>
      </c>
      <c r="E805" s="10" t="str">
        <f t="shared" si="2"/>
        <v>OT Hours</v>
      </c>
      <c r="F805" s="10" t="str">
        <f>IFERROR(VLOOKUP(C805,'Employees List'!$B$1:$I$999,4,0),"")</f>
        <v/>
      </c>
      <c r="G805" s="10" t="str">
        <f t="shared" si="21"/>
        <v>#DIV/0!</v>
      </c>
      <c r="H805" s="72" t="str">
        <f>IFERROR(VLOOKUP(C805,'Employees List'!$B$2:$I$991,7,0),"")</f>
        <v/>
      </c>
      <c r="I805" s="73" t="str">
        <f>IFERROR(VLOOKUP(F805,'Employees List'!$E$1:$AE$991,6,0),"")</f>
        <v/>
      </c>
      <c r="J805" s="71">
        <f t="shared" si="3"/>
        <v>0</v>
      </c>
      <c r="K805" s="71">
        <f t="shared" si="4"/>
        <v>0</v>
      </c>
      <c r="L805" s="10" t="str">
        <f>IFERROR(VLOOKUP(B805,'Employees List'!$A$2:$K$991,11,0),"")</f>
        <v/>
      </c>
      <c r="M805" s="74" t="str">
        <f>IFERROR(VLOOKUP(D805,'Daily Attendance 25-26'!$A$4:BP999,5,0),"")</f>
        <v/>
      </c>
      <c r="N805" s="10" t="str">
        <f>IFERROR(VLOOKUP(E805,'Daily Attendance 25-26'!$A$1:$BO$1741,5,0),"")</f>
        <v/>
      </c>
      <c r="O805" s="10"/>
      <c r="P805" s="10"/>
      <c r="Q805" s="10" t="str">
        <f t="shared" si="5"/>
        <v>#DIV/0!</v>
      </c>
      <c r="R805" s="10" t="str">
        <f t="shared" si="6"/>
        <v>#DIV/0!</v>
      </c>
      <c r="S805" s="10" t="str">
        <f t="shared" si="23"/>
        <v>#DIV/0!</v>
      </c>
      <c r="T805" s="10" t="str">
        <f t="shared" si="22"/>
        <v>#DIV/0!</v>
      </c>
      <c r="U805" s="10" t="str">
        <f t="shared" si="8"/>
        <v>#DIV/0!</v>
      </c>
      <c r="V805" s="10"/>
      <c r="W805" s="10"/>
      <c r="X805" s="10"/>
      <c r="Y805" s="10"/>
      <c r="Z805" s="10"/>
      <c r="AA805" s="10"/>
      <c r="AB805" s="10"/>
      <c r="AC805" s="10"/>
      <c r="AD805" s="10"/>
      <c r="AE805" s="10"/>
      <c r="AF805" s="10"/>
    </row>
    <row r="806" hidden="1">
      <c r="A806" s="9" t="s">
        <v>1023</v>
      </c>
      <c r="B806" s="84"/>
      <c r="C806" s="9"/>
      <c r="D806" s="9" t="str">
        <f t="shared" si="1"/>
        <v/>
      </c>
      <c r="E806" s="10" t="str">
        <f t="shared" si="2"/>
        <v>OT Hours</v>
      </c>
      <c r="F806" s="10" t="str">
        <f>IFERROR(VLOOKUP(C806,'Employees List'!$B$1:$I$999,4,0),"")</f>
        <v/>
      </c>
      <c r="G806" s="10" t="str">
        <f t="shared" si="21"/>
        <v>#DIV/0!</v>
      </c>
      <c r="H806" s="72" t="str">
        <f>IFERROR(VLOOKUP(C806,'Employees List'!$B$2:$I$991,7,0),"")</f>
        <v/>
      </c>
      <c r="I806" s="73" t="str">
        <f>IFERROR(VLOOKUP(F806,'Employees List'!$E$1:$AE$991,6,0),"")</f>
        <v/>
      </c>
      <c r="J806" s="71">
        <f t="shared" si="3"/>
        <v>0</v>
      </c>
      <c r="K806" s="71">
        <f t="shared" si="4"/>
        <v>0</v>
      </c>
      <c r="L806" s="10" t="str">
        <f>IFERROR(VLOOKUP(B806,'Employees List'!$A$2:$K$991,11,0),"")</f>
        <v/>
      </c>
      <c r="M806" s="74" t="str">
        <f>IFERROR(VLOOKUP(D806,'Daily Attendance 25-26'!$A$4:BP999,5,0),"")</f>
        <v/>
      </c>
      <c r="N806" s="10" t="str">
        <f>IFERROR(VLOOKUP(E806,'Daily Attendance 25-26'!$A$1:$BO$1741,5,0),"")</f>
        <v/>
      </c>
      <c r="O806" s="10"/>
      <c r="P806" s="10"/>
      <c r="Q806" s="10" t="str">
        <f t="shared" si="5"/>
        <v>#DIV/0!</v>
      </c>
      <c r="R806" s="10" t="str">
        <f t="shared" si="6"/>
        <v>#DIV/0!</v>
      </c>
      <c r="S806" s="10" t="str">
        <f t="shared" si="23"/>
        <v>#DIV/0!</v>
      </c>
      <c r="T806" s="10" t="str">
        <f t="shared" si="22"/>
        <v>#DIV/0!</v>
      </c>
      <c r="U806" s="10" t="str">
        <f t="shared" si="8"/>
        <v>#DIV/0!</v>
      </c>
      <c r="V806" s="10"/>
      <c r="W806" s="10"/>
      <c r="X806" s="10"/>
      <c r="Y806" s="10"/>
      <c r="Z806" s="10"/>
      <c r="AA806" s="10"/>
      <c r="AB806" s="10"/>
      <c r="AC806" s="10"/>
      <c r="AD806" s="10"/>
      <c r="AE806" s="10"/>
      <c r="AF806" s="10"/>
    </row>
    <row r="807" hidden="1">
      <c r="A807" s="9" t="s">
        <v>1024</v>
      </c>
      <c r="B807" s="84"/>
      <c r="C807" s="9"/>
      <c r="D807" s="9" t="str">
        <f t="shared" si="1"/>
        <v/>
      </c>
      <c r="E807" s="10" t="str">
        <f t="shared" si="2"/>
        <v>OT Hours</v>
      </c>
      <c r="F807" s="10" t="str">
        <f>IFERROR(VLOOKUP(C807,'Employees List'!$B$1:$I$999,4,0),"")</f>
        <v/>
      </c>
      <c r="G807" s="10" t="str">
        <f t="shared" si="21"/>
        <v>#DIV/0!</v>
      </c>
      <c r="H807" s="72" t="str">
        <f>IFERROR(VLOOKUP(C807,'Employees List'!$B$2:$I$991,7,0),"")</f>
        <v/>
      </c>
      <c r="I807" s="73" t="str">
        <f>IFERROR(VLOOKUP(F807,'Employees List'!$E$1:$AE$991,6,0),"")</f>
        <v/>
      </c>
      <c r="J807" s="71">
        <f t="shared" si="3"/>
        <v>0</v>
      </c>
      <c r="K807" s="71">
        <f t="shared" si="4"/>
        <v>0</v>
      </c>
      <c r="L807" s="10" t="str">
        <f>IFERROR(VLOOKUP(B807,'Employees List'!$A$2:$K$991,11,0),"")</f>
        <v/>
      </c>
      <c r="M807" s="74" t="str">
        <f>IFERROR(VLOOKUP(D807,'Daily Attendance 25-26'!$A$4:BP999,5,0),"")</f>
        <v/>
      </c>
      <c r="N807" s="10" t="str">
        <f>IFERROR(VLOOKUP(E807,'Daily Attendance 25-26'!$A$1:$BO$1741,5,0),"")</f>
        <v/>
      </c>
      <c r="O807" s="10"/>
      <c r="P807" s="10"/>
      <c r="Q807" s="10" t="str">
        <f t="shared" si="5"/>
        <v>#DIV/0!</v>
      </c>
      <c r="R807" s="10" t="str">
        <f t="shared" si="6"/>
        <v>#DIV/0!</v>
      </c>
      <c r="S807" s="10" t="str">
        <f t="shared" si="23"/>
        <v>#DIV/0!</v>
      </c>
      <c r="T807" s="10" t="str">
        <f t="shared" si="22"/>
        <v>#DIV/0!</v>
      </c>
      <c r="U807" s="10" t="str">
        <f t="shared" si="8"/>
        <v>#DIV/0!</v>
      </c>
      <c r="V807" s="10"/>
      <c r="W807" s="10"/>
      <c r="X807" s="10"/>
      <c r="Y807" s="10"/>
      <c r="Z807" s="10"/>
      <c r="AA807" s="10"/>
      <c r="AB807" s="10"/>
      <c r="AC807" s="10"/>
      <c r="AD807" s="10"/>
      <c r="AE807" s="10"/>
      <c r="AF807" s="10"/>
    </row>
    <row r="808" hidden="1">
      <c r="A808" s="9" t="s">
        <v>1025</v>
      </c>
      <c r="B808" s="84"/>
      <c r="C808" s="9"/>
      <c r="D808" s="9" t="str">
        <f t="shared" si="1"/>
        <v/>
      </c>
      <c r="E808" s="10" t="str">
        <f t="shared" si="2"/>
        <v>OT Hours</v>
      </c>
      <c r="F808" s="10" t="str">
        <f>IFERROR(VLOOKUP(C808,'Employees List'!$B$1:$I$999,4,0),"")</f>
        <v/>
      </c>
      <c r="G808" s="10" t="str">
        <f t="shared" si="21"/>
        <v>#DIV/0!</v>
      </c>
      <c r="H808" s="72" t="str">
        <f>IFERROR(VLOOKUP(C808,'Employees List'!$B$2:$I$991,7,0),"")</f>
        <v/>
      </c>
      <c r="I808" s="73" t="str">
        <f>IFERROR(VLOOKUP(F808,'Employees List'!$E$1:$AE$991,6,0),"")</f>
        <v/>
      </c>
      <c r="J808" s="71">
        <f t="shared" si="3"/>
        <v>0</v>
      </c>
      <c r="K808" s="71">
        <f t="shared" si="4"/>
        <v>0</v>
      </c>
      <c r="L808" s="10" t="str">
        <f>IFERROR(VLOOKUP(B808,'Employees List'!$A$2:$K$991,11,0),"")</f>
        <v/>
      </c>
      <c r="M808" s="74" t="str">
        <f>IFERROR(VLOOKUP(D808,'Daily Attendance 25-26'!$A$4:BP999,5,0),"")</f>
        <v/>
      </c>
      <c r="N808" s="10" t="str">
        <f>IFERROR(VLOOKUP(E808,'Daily Attendance 25-26'!$A$1:$BO$1741,5,0),"")</f>
        <v/>
      </c>
      <c r="O808" s="10"/>
      <c r="P808" s="10"/>
      <c r="Q808" s="10" t="str">
        <f t="shared" si="5"/>
        <v>#DIV/0!</v>
      </c>
      <c r="R808" s="10" t="str">
        <f t="shared" si="6"/>
        <v>#DIV/0!</v>
      </c>
      <c r="S808" s="10" t="str">
        <f t="shared" si="23"/>
        <v>#DIV/0!</v>
      </c>
      <c r="T808" s="10" t="str">
        <f t="shared" si="22"/>
        <v>#DIV/0!</v>
      </c>
      <c r="U808" s="10" t="str">
        <f t="shared" si="8"/>
        <v>#DIV/0!</v>
      </c>
      <c r="V808" s="10"/>
      <c r="W808" s="10"/>
      <c r="X808" s="10"/>
      <c r="Y808" s="10"/>
      <c r="Z808" s="10"/>
      <c r="AA808" s="10"/>
      <c r="AB808" s="10"/>
      <c r="AC808" s="10"/>
      <c r="AD808" s="10"/>
      <c r="AE808" s="10"/>
      <c r="AF808" s="10"/>
    </row>
    <row r="809" hidden="1">
      <c r="A809" s="9" t="s">
        <v>1026</v>
      </c>
      <c r="B809" s="84"/>
      <c r="C809" s="9"/>
      <c r="D809" s="9" t="str">
        <f t="shared" si="1"/>
        <v/>
      </c>
      <c r="E809" s="10" t="str">
        <f t="shared" si="2"/>
        <v>OT Hours</v>
      </c>
      <c r="F809" s="10" t="str">
        <f>IFERROR(VLOOKUP(C809,'Employees List'!$B$1:$I$999,4,0),"")</f>
        <v/>
      </c>
      <c r="G809" s="10" t="str">
        <f t="shared" si="21"/>
        <v>#DIV/0!</v>
      </c>
      <c r="H809" s="72" t="str">
        <f>IFERROR(VLOOKUP(C809,'Employees List'!$B$2:$I$991,7,0),"")</f>
        <v/>
      </c>
      <c r="I809" s="73" t="str">
        <f>IFERROR(VLOOKUP(F809,'Employees List'!$E$1:$AE$991,6,0),"")</f>
        <v/>
      </c>
      <c r="J809" s="71">
        <f t="shared" si="3"/>
        <v>0</v>
      </c>
      <c r="K809" s="71">
        <f t="shared" si="4"/>
        <v>0</v>
      </c>
      <c r="L809" s="10" t="str">
        <f>IFERROR(VLOOKUP(B809,'Employees List'!$A$2:$K$991,11,0),"")</f>
        <v/>
      </c>
      <c r="M809" s="74" t="str">
        <f>IFERROR(VLOOKUP(D809,'Daily Attendance 25-26'!$A$4:BP999,5,0),"")</f>
        <v/>
      </c>
      <c r="N809" s="10" t="str">
        <f>IFERROR(VLOOKUP(E809,'Daily Attendance 25-26'!$A$1:$BO$1741,5,0),"")</f>
        <v/>
      </c>
      <c r="O809" s="10"/>
      <c r="P809" s="10"/>
      <c r="Q809" s="10" t="str">
        <f t="shared" si="5"/>
        <v>#DIV/0!</v>
      </c>
      <c r="R809" s="10" t="str">
        <f t="shared" si="6"/>
        <v>#DIV/0!</v>
      </c>
      <c r="S809" s="10" t="str">
        <f t="shared" si="23"/>
        <v>#DIV/0!</v>
      </c>
      <c r="T809" s="10" t="str">
        <f t="shared" si="22"/>
        <v>#DIV/0!</v>
      </c>
      <c r="U809" s="10" t="str">
        <f t="shared" si="8"/>
        <v>#DIV/0!</v>
      </c>
      <c r="V809" s="10"/>
      <c r="W809" s="10"/>
      <c r="X809" s="10"/>
      <c r="Y809" s="10"/>
      <c r="Z809" s="10"/>
      <c r="AA809" s="10"/>
      <c r="AB809" s="10"/>
      <c r="AC809" s="10"/>
      <c r="AD809" s="10"/>
      <c r="AE809" s="10"/>
      <c r="AF809" s="10"/>
    </row>
    <row r="810" hidden="1">
      <c r="A810" s="9" t="s">
        <v>1027</v>
      </c>
      <c r="B810" s="84"/>
      <c r="C810" s="9"/>
      <c r="D810" s="9" t="str">
        <f t="shared" si="1"/>
        <v/>
      </c>
      <c r="E810" s="10" t="str">
        <f t="shared" si="2"/>
        <v>OT Hours</v>
      </c>
      <c r="F810" s="10" t="str">
        <f>IFERROR(VLOOKUP(C810,'Employees List'!$B$1:$I$999,4,0),"")</f>
        <v/>
      </c>
      <c r="G810" s="10" t="str">
        <f t="shared" si="21"/>
        <v>#DIV/0!</v>
      </c>
      <c r="H810" s="72" t="str">
        <f>IFERROR(VLOOKUP(C810,'Employees List'!$B$2:$I$991,7,0),"")</f>
        <v/>
      </c>
      <c r="I810" s="73" t="str">
        <f>IFERROR(VLOOKUP(F810,'Employees List'!$E$1:$AE$991,6,0),"")</f>
        <v/>
      </c>
      <c r="J810" s="71">
        <f t="shared" si="3"/>
        <v>0</v>
      </c>
      <c r="K810" s="71">
        <f t="shared" si="4"/>
        <v>0</v>
      </c>
      <c r="L810" s="10" t="str">
        <f>IFERROR(VLOOKUP(B810,'Employees List'!$A$2:$K$991,11,0),"")</f>
        <v/>
      </c>
      <c r="M810" s="74" t="str">
        <f>IFERROR(VLOOKUP(D810,'Daily Attendance 25-26'!$A$4:BP999,5,0),"")</f>
        <v/>
      </c>
      <c r="N810" s="10" t="str">
        <f>IFERROR(VLOOKUP(E810,'Daily Attendance 25-26'!$A$1:$BO$1741,5,0),"")</f>
        <v/>
      </c>
      <c r="O810" s="10"/>
      <c r="P810" s="10"/>
      <c r="Q810" s="10" t="str">
        <f t="shared" si="5"/>
        <v>#DIV/0!</v>
      </c>
      <c r="R810" s="10" t="str">
        <f t="shared" si="6"/>
        <v>#DIV/0!</v>
      </c>
      <c r="S810" s="10" t="str">
        <f t="shared" si="23"/>
        <v>#DIV/0!</v>
      </c>
      <c r="T810" s="10" t="str">
        <f t="shared" si="22"/>
        <v>#DIV/0!</v>
      </c>
      <c r="U810" s="10" t="str">
        <f t="shared" si="8"/>
        <v>#DIV/0!</v>
      </c>
      <c r="V810" s="10"/>
      <c r="W810" s="10"/>
      <c r="X810" s="10"/>
      <c r="Y810" s="10"/>
      <c r="Z810" s="10"/>
      <c r="AA810" s="10"/>
      <c r="AB810" s="10"/>
      <c r="AC810" s="10"/>
      <c r="AD810" s="10"/>
      <c r="AE810" s="10"/>
      <c r="AF810" s="10"/>
    </row>
    <row r="811" hidden="1">
      <c r="A811" s="9" t="s">
        <v>1028</v>
      </c>
      <c r="B811" s="84"/>
      <c r="C811" s="9"/>
      <c r="D811" s="9" t="str">
        <f t="shared" si="1"/>
        <v/>
      </c>
      <c r="E811" s="10" t="str">
        <f t="shared" si="2"/>
        <v>OT Hours</v>
      </c>
      <c r="F811" s="10" t="str">
        <f>IFERROR(VLOOKUP(C811,'Employees List'!$B$1:$I$999,4,0),"")</f>
        <v/>
      </c>
      <c r="G811" s="10" t="str">
        <f t="shared" si="21"/>
        <v>#DIV/0!</v>
      </c>
      <c r="H811" s="72" t="str">
        <f>IFERROR(VLOOKUP(C811,'Employees List'!$B$2:$I$991,7,0),"")</f>
        <v/>
      </c>
      <c r="I811" s="73" t="str">
        <f>IFERROR(VLOOKUP(F811,'Employees List'!$E$1:$AE$991,6,0),"")</f>
        <v/>
      </c>
      <c r="J811" s="71">
        <f t="shared" si="3"/>
        <v>0</v>
      </c>
      <c r="K811" s="71">
        <f t="shared" si="4"/>
        <v>0</v>
      </c>
      <c r="L811" s="10" t="str">
        <f>IFERROR(VLOOKUP(B811,'Employees List'!$A$2:$K$991,11,0),"")</f>
        <v/>
      </c>
      <c r="M811" s="74" t="str">
        <f>IFERROR(VLOOKUP(D811,'Daily Attendance 25-26'!$A$4:BP999,5,0),"")</f>
        <v/>
      </c>
      <c r="N811" s="10" t="str">
        <f>IFERROR(VLOOKUP(E811,'Daily Attendance 25-26'!$A$1:$BO$1741,5,0),"")</f>
        <v/>
      </c>
      <c r="O811" s="10"/>
      <c r="P811" s="10"/>
      <c r="Q811" s="10" t="str">
        <f t="shared" si="5"/>
        <v>#DIV/0!</v>
      </c>
      <c r="R811" s="10" t="str">
        <f t="shared" si="6"/>
        <v>#DIV/0!</v>
      </c>
      <c r="S811" s="10" t="str">
        <f t="shared" si="23"/>
        <v>#DIV/0!</v>
      </c>
      <c r="T811" s="10" t="str">
        <f t="shared" si="22"/>
        <v>#DIV/0!</v>
      </c>
      <c r="U811" s="10" t="str">
        <f t="shared" si="8"/>
        <v>#DIV/0!</v>
      </c>
      <c r="V811" s="10"/>
      <c r="W811" s="10"/>
      <c r="X811" s="10"/>
      <c r="Y811" s="10"/>
      <c r="Z811" s="10"/>
      <c r="AA811" s="10"/>
      <c r="AB811" s="10"/>
      <c r="AC811" s="10"/>
      <c r="AD811" s="10"/>
      <c r="AE811" s="10"/>
      <c r="AF811" s="10"/>
    </row>
    <row r="812" hidden="1">
      <c r="A812" s="9" t="s">
        <v>1029</v>
      </c>
      <c r="B812" s="84"/>
      <c r="C812" s="9"/>
      <c r="D812" s="9" t="str">
        <f t="shared" si="1"/>
        <v/>
      </c>
      <c r="E812" s="10" t="str">
        <f t="shared" si="2"/>
        <v>OT Hours</v>
      </c>
      <c r="F812" s="10" t="str">
        <f>IFERROR(VLOOKUP(C812,'Employees List'!$B$1:$I$999,4,0),"")</f>
        <v/>
      </c>
      <c r="G812" s="10" t="str">
        <f t="shared" si="21"/>
        <v>#DIV/0!</v>
      </c>
      <c r="H812" s="72" t="str">
        <f>IFERROR(VLOOKUP(C812,'Employees List'!$B$2:$I$991,7,0),"")</f>
        <v/>
      </c>
      <c r="I812" s="73" t="str">
        <f>IFERROR(VLOOKUP(F812,'Employees List'!$E$1:$AE$991,6,0),"")</f>
        <v/>
      </c>
      <c r="J812" s="71">
        <f t="shared" si="3"/>
        <v>0</v>
      </c>
      <c r="K812" s="71">
        <f t="shared" si="4"/>
        <v>0</v>
      </c>
      <c r="L812" s="10" t="str">
        <f>IFERROR(VLOOKUP(B812,'Employees List'!$A$2:$K$991,11,0),"")</f>
        <v/>
      </c>
      <c r="M812" s="74" t="str">
        <f>IFERROR(VLOOKUP(D812,'Daily Attendance 25-26'!$A$4:BP999,5,0),"")</f>
        <v/>
      </c>
      <c r="N812" s="10" t="str">
        <f>IFERROR(VLOOKUP(E812,'Daily Attendance 25-26'!$A$1:$BO$1741,5,0),"")</f>
        <v/>
      </c>
      <c r="O812" s="10"/>
      <c r="P812" s="10"/>
      <c r="Q812" s="10" t="str">
        <f t="shared" si="5"/>
        <v>#DIV/0!</v>
      </c>
      <c r="R812" s="10" t="str">
        <f t="shared" si="6"/>
        <v>#DIV/0!</v>
      </c>
      <c r="S812" s="10" t="str">
        <f t="shared" si="23"/>
        <v>#DIV/0!</v>
      </c>
      <c r="T812" s="10" t="str">
        <f t="shared" si="22"/>
        <v>#DIV/0!</v>
      </c>
      <c r="U812" s="10" t="str">
        <f t="shared" si="8"/>
        <v>#DIV/0!</v>
      </c>
      <c r="V812" s="10"/>
      <c r="W812" s="10"/>
      <c r="X812" s="10"/>
      <c r="Y812" s="10"/>
      <c r="Z812" s="10"/>
      <c r="AA812" s="10"/>
      <c r="AB812" s="10"/>
      <c r="AC812" s="10"/>
      <c r="AD812" s="10"/>
      <c r="AE812" s="10"/>
      <c r="AF812" s="10"/>
    </row>
    <row r="813" hidden="1">
      <c r="A813" s="9" t="s">
        <v>1030</v>
      </c>
      <c r="B813" s="84"/>
      <c r="C813" s="9"/>
      <c r="D813" s="9" t="str">
        <f t="shared" si="1"/>
        <v/>
      </c>
      <c r="E813" s="10" t="str">
        <f t="shared" si="2"/>
        <v>OT Hours</v>
      </c>
      <c r="F813" s="10" t="str">
        <f>IFERROR(VLOOKUP(C813,'Employees List'!$B$1:$I$999,4,0),"")</f>
        <v/>
      </c>
      <c r="G813" s="10" t="str">
        <f t="shared" si="21"/>
        <v>#DIV/0!</v>
      </c>
      <c r="H813" s="72" t="str">
        <f>IFERROR(VLOOKUP(C813,'Employees List'!$B$2:$I$991,7,0),"")</f>
        <v/>
      </c>
      <c r="I813" s="73" t="str">
        <f>IFERROR(VLOOKUP(F813,'Employees List'!$E$1:$AE$991,6,0),"")</f>
        <v/>
      </c>
      <c r="J813" s="71">
        <f t="shared" si="3"/>
        <v>0</v>
      </c>
      <c r="K813" s="71">
        <f t="shared" si="4"/>
        <v>0</v>
      </c>
      <c r="L813" s="10" t="str">
        <f>IFERROR(VLOOKUP(B813,'Employees List'!$A$2:$K$991,11,0),"")</f>
        <v/>
      </c>
      <c r="M813" s="74" t="str">
        <f>IFERROR(VLOOKUP(D813,'Daily Attendance 25-26'!$A$4:BP999,5,0),"")</f>
        <v/>
      </c>
      <c r="N813" s="10" t="str">
        <f>IFERROR(VLOOKUP(E813,'Daily Attendance 25-26'!$A$1:$BO$1741,5,0),"")</f>
        <v/>
      </c>
      <c r="O813" s="10"/>
      <c r="P813" s="10"/>
      <c r="Q813" s="10" t="str">
        <f t="shared" si="5"/>
        <v>#DIV/0!</v>
      </c>
      <c r="R813" s="10" t="str">
        <f t="shared" si="6"/>
        <v>#DIV/0!</v>
      </c>
      <c r="S813" s="10" t="str">
        <f t="shared" si="23"/>
        <v>#DIV/0!</v>
      </c>
      <c r="T813" s="10" t="str">
        <f t="shared" si="22"/>
        <v>#DIV/0!</v>
      </c>
      <c r="U813" s="10" t="str">
        <f t="shared" si="8"/>
        <v>#DIV/0!</v>
      </c>
      <c r="V813" s="10"/>
      <c r="W813" s="10"/>
      <c r="X813" s="10"/>
      <c r="Y813" s="10"/>
      <c r="Z813" s="10"/>
      <c r="AA813" s="10"/>
      <c r="AB813" s="10"/>
      <c r="AC813" s="10"/>
      <c r="AD813" s="10"/>
      <c r="AE813" s="10"/>
      <c r="AF813" s="10"/>
    </row>
    <row r="814" hidden="1">
      <c r="A814" s="9" t="s">
        <v>1031</v>
      </c>
      <c r="B814" s="84"/>
      <c r="C814" s="9"/>
      <c r="D814" s="9" t="str">
        <f t="shared" si="1"/>
        <v/>
      </c>
      <c r="E814" s="10" t="str">
        <f t="shared" si="2"/>
        <v>OT Hours</v>
      </c>
      <c r="F814" s="10" t="str">
        <f>IFERROR(VLOOKUP(C814,'Employees List'!$B$1:$I$999,4,0),"")</f>
        <v/>
      </c>
      <c r="G814" s="10" t="str">
        <f t="shared" si="21"/>
        <v>#DIV/0!</v>
      </c>
      <c r="H814" s="72" t="str">
        <f>IFERROR(VLOOKUP(C814,'Employees List'!$B$2:$I$991,7,0),"")</f>
        <v/>
      </c>
      <c r="I814" s="73" t="str">
        <f>IFERROR(VLOOKUP(F814,'Employees List'!$E$1:$AE$991,6,0),"")</f>
        <v/>
      </c>
      <c r="J814" s="71">
        <f t="shared" si="3"/>
        <v>0</v>
      </c>
      <c r="K814" s="71">
        <f t="shared" si="4"/>
        <v>0</v>
      </c>
      <c r="L814" s="10" t="str">
        <f>IFERROR(VLOOKUP(B814,'Employees List'!$A$2:$K$991,11,0),"")</f>
        <v/>
      </c>
      <c r="M814" s="74" t="str">
        <f>IFERROR(VLOOKUP(D814,'Daily Attendance 25-26'!$A$4:BP999,5,0),"")</f>
        <v/>
      </c>
      <c r="N814" s="10" t="str">
        <f>IFERROR(VLOOKUP(E814,'Daily Attendance 25-26'!$A$1:$BO$1741,5,0),"")</f>
        <v/>
      </c>
      <c r="O814" s="10"/>
      <c r="P814" s="10"/>
      <c r="Q814" s="10" t="str">
        <f t="shared" si="5"/>
        <v>#DIV/0!</v>
      </c>
      <c r="R814" s="10" t="str">
        <f t="shared" si="6"/>
        <v>#DIV/0!</v>
      </c>
      <c r="S814" s="10" t="str">
        <f t="shared" si="23"/>
        <v>#DIV/0!</v>
      </c>
      <c r="T814" s="10" t="str">
        <f t="shared" si="22"/>
        <v>#DIV/0!</v>
      </c>
      <c r="U814" s="10" t="str">
        <f t="shared" si="8"/>
        <v>#DIV/0!</v>
      </c>
      <c r="V814" s="10"/>
      <c r="W814" s="10"/>
      <c r="X814" s="10"/>
      <c r="Y814" s="10"/>
      <c r="Z814" s="10"/>
      <c r="AA814" s="10"/>
      <c r="AB814" s="10"/>
      <c r="AC814" s="10"/>
      <c r="AD814" s="10"/>
      <c r="AE814" s="10"/>
      <c r="AF814" s="10"/>
    </row>
    <row r="815" hidden="1">
      <c r="A815" s="9" t="s">
        <v>1032</v>
      </c>
      <c r="B815" s="84"/>
      <c r="C815" s="9"/>
      <c r="D815" s="9" t="str">
        <f t="shared" si="1"/>
        <v/>
      </c>
      <c r="E815" s="10" t="str">
        <f t="shared" si="2"/>
        <v>OT Hours</v>
      </c>
      <c r="F815" s="10" t="str">
        <f>IFERROR(VLOOKUP(C815,'Employees List'!$B$1:$I$999,4,0),"")</f>
        <v/>
      </c>
      <c r="G815" s="10" t="str">
        <f t="shared" si="21"/>
        <v>#DIV/0!</v>
      </c>
      <c r="H815" s="72" t="str">
        <f>IFERROR(VLOOKUP(C815,'Employees List'!$B$2:$I$991,7,0),"")</f>
        <v/>
      </c>
      <c r="I815" s="73" t="str">
        <f>IFERROR(VLOOKUP(F815,'Employees List'!$E$1:$AE$991,6,0),"")</f>
        <v/>
      </c>
      <c r="J815" s="71">
        <f t="shared" si="3"/>
        <v>0</v>
      </c>
      <c r="K815" s="71">
        <f t="shared" si="4"/>
        <v>0</v>
      </c>
      <c r="L815" s="10" t="str">
        <f>IFERROR(VLOOKUP(B815,'Employees List'!$A$2:$K$991,11,0),"")</f>
        <v/>
      </c>
      <c r="M815" s="74" t="str">
        <f>IFERROR(VLOOKUP(D815,'Daily Attendance 25-26'!$A$4:BP999,5,0),"")</f>
        <v/>
      </c>
      <c r="N815" s="10" t="str">
        <f>IFERROR(VLOOKUP(E815,'Daily Attendance 25-26'!$A$1:$BO$1741,5,0),"")</f>
        <v/>
      </c>
      <c r="O815" s="10"/>
      <c r="P815" s="10"/>
      <c r="Q815" s="10" t="str">
        <f t="shared" si="5"/>
        <v>#DIV/0!</v>
      </c>
      <c r="R815" s="10" t="str">
        <f t="shared" si="6"/>
        <v>#DIV/0!</v>
      </c>
      <c r="S815" s="10" t="str">
        <f t="shared" si="23"/>
        <v>#DIV/0!</v>
      </c>
      <c r="T815" s="10" t="str">
        <f t="shared" si="22"/>
        <v>#DIV/0!</v>
      </c>
      <c r="U815" s="10" t="str">
        <f t="shared" si="8"/>
        <v>#DIV/0!</v>
      </c>
      <c r="V815" s="10"/>
      <c r="W815" s="10"/>
      <c r="X815" s="10"/>
      <c r="Y815" s="10"/>
      <c r="Z815" s="10"/>
      <c r="AA815" s="10"/>
      <c r="AB815" s="10"/>
      <c r="AC815" s="10"/>
      <c r="AD815" s="10"/>
      <c r="AE815" s="10"/>
      <c r="AF815" s="10"/>
    </row>
    <row r="816" hidden="1">
      <c r="A816" s="9" t="s">
        <v>1033</v>
      </c>
      <c r="B816" s="84"/>
      <c r="C816" s="9"/>
      <c r="D816" s="9" t="str">
        <f t="shared" si="1"/>
        <v/>
      </c>
      <c r="E816" s="10" t="str">
        <f t="shared" si="2"/>
        <v>OT Hours</v>
      </c>
      <c r="F816" s="10" t="str">
        <f>IFERROR(VLOOKUP(C816,'Employees List'!$B$1:$I$999,4,0),"")</f>
        <v/>
      </c>
      <c r="G816" s="10" t="str">
        <f t="shared" si="21"/>
        <v>#DIV/0!</v>
      </c>
      <c r="H816" s="72" t="str">
        <f>IFERROR(VLOOKUP(C816,'Employees List'!$B$2:$I$991,7,0),"")</f>
        <v/>
      </c>
      <c r="I816" s="73" t="str">
        <f>IFERROR(VLOOKUP(F816,'Employees List'!$E$1:$AE$991,6,0),"")</f>
        <v/>
      </c>
      <c r="J816" s="71">
        <f t="shared" si="3"/>
        <v>0</v>
      </c>
      <c r="K816" s="71">
        <f t="shared" si="4"/>
        <v>0</v>
      </c>
      <c r="L816" s="10" t="str">
        <f>IFERROR(VLOOKUP(B816,'Employees List'!$A$2:$K$991,11,0),"")</f>
        <v/>
      </c>
      <c r="M816" s="74" t="str">
        <f>IFERROR(VLOOKUP(D816,'Daily Attendance 25-26'!$A$4:BP999,5,0),"")</f>
        <v/>
      </c>
      <c r="N816" s="10" t="str">
        <f>IFERROR(VLOOKUP(E816,'Daily Attendance 25-26'!$A$1:$BO$1741,5,0),"")</f>
        <v/>
      </c>
      <c r="O816" s="10"/>
      <c r="P816" s="10"/>
      <c r="Q816" s="10" t="str">
        <f t="shared" si="5"/>
        <v>#DIV/0!</v>
      </c>
      <c r="R816" s="10" t="str">
        <f t="shared" si="6"/>
        <v>#DIV/0!</v>
      </c>
      <c r="S816" s="10" t="str">
        <f t="shared" si="23"/>
        <v>#DIV/0!</v>
      </c>
      <c r="T816" s="10" t="str">
        <f t="shared" si="22"/>
        <v>#DIV/0!</v>
      </c>
      <c r="U816" s="10" t="str">
        <f t="shared" si="8"/>
        <v>#DIV/0!</v>
      </c>
      <c r="V816" s="10"/>
      <c r="W816" s="10"/>
      <c r="X816" s="10"/>
      <c r="Y816" s="10"/>
      <c r="Z816" s="10"/>
      <c r="AA816" s="10"/>
      <c r="AB816" s="10"/>
      <c r="AC816" s="10"/>
      <c r="AD816" s="10"/>
      <c r="AE816" s="10"/>
      <c r="AF816" s="10"/>
    </row>
    <row r="817" hidden="1">
      <c r="A817" s="9" t="s">
        <v>1034</v>
      </c>
      <c r="B817" s="84"/>
      <c r="C817" s="9"/>
      <c r="D817" s="9" t="str">
        <f t="shared" si="1"/>
        <v/>
      </c>
      <c r="E817" s="10" t="str">
        <f t="shared" si="2"/>
        <v>OT Hours</v>
      </c>
      <c r="F817" s="10" t="str">
        <f>IFERROR(VLOOKUP(C817,'Employees List'!$B$1:$I$999,4,0),"")</f>
        <v/>
      </c>
      <c r="G817" s="10" t="str">
        <f t="shared" si="21"/>
        <v>#DIV/0!</v>
      </c>
      <c r="H817" s="72" t="str">
        <f>IFERROR(VLOOKUP(C817,'Employees List'!$B$2:$I$991,7,0),"")</f>
        <v/>
      </c>
      <c r="I817" s="73" t="str">
        <f>IFERROR(VLOOKUP(F817,'Employees List'!$E$1:$AE$991,6,0),"")</f>
        <v/>
      </c>
      <c r="J817" s="71">
        <f t="shared" si="3"/>
        <v>0</v>
      </c>
      <c r="K817" s="71">
        <f t="shared" si="4"/>
        <v>0</v>
      </c>
      <c r="L817" s="10" t="str">
        <f>IFERROR(VLOOKUP(B817,'Employees List'!$A$2:$K$991,11,0),"")</f>
        <v/>
      </c>
      <c r="M817" s="74" t="str">
        <f>IFERROR(VLOOKUP(D817,'Daily Attendance 25-26'!$A$4:BP999,5,0),"")</f>
        <v/>
      </c>
      <c r="N817" s="10" t="str">
        <f>IFERROR(VLOOKUP(E817,'Daily Attendance 25-26'!$A$1:$BO$1741,5,0),"")</f>
        <v/>
      </c>
      <c r="O817" s="10"/>
      <c r="P817" s="10"/>
      <c r="Q817" s="10" t="str">
        <f t="shared" si="5"/>
        <v>#DIV/0!</v>
      </c>
      <c r="R817" s="10" t="str">
        <f t="shared" si="6"/>
        <v>#DIV/0!</v>
      </c>
      <c r="S817" s="10" t="str">
        <f t="shared" si="23"/>
        <v>#DIV/0!</v>
      </c>
      <c r="T817" s="10" t="str">
        <f t="shared" si="22"/>
        <v>#DIV/0!</v>
      </c>
      <c r="U817" s="10" t="str">
        <f t="shared" si="8"/>
        <v>#DIV/0!</v>
      </c>
      <c r="V817" s="10"/>
      <c r="W817" s="10"/>
      <c r="X817" s="10"/>
      <c r="Y817" s="10"/>
      <c r="Z817" s="10"/>
      <c r="AA817" s="10"/>
      <c r="AB817" s="10"/>
      <c r="AC817" s="10"/>
      <c r="AD817" s="10"/>
      <c r="AE817" s="10"/>
      <c r="AF817" s="10"/>
    </row>
    <row r="818" hidden="1">
      <c r="A818" s="9" t="s">
        <v>1035</v>
      </c>
      <c r="B818" s="84"/>
      <c r="C818" s="9"/>
      <c r="D818" s="9" t="str">
        <f t="shared" si="1"/>
        <v/>
      </c>
      <c r="E818" s="10" t="str">
        <f t="shared" si="2"/>
        <v>OT Hours</v>
      </c>
      <c r="F818" s="10" t="str">
        <f>IFERROR(VLOOKUP(C818,'Employees List'!$B$1:$I$999,4,0),"")</f>
        <v/>
      </c>
      <c r="G818" s="10" t="str">
        <f t="shared" si="21"/>
        <v>#DIV/0!</v>
      </c>
      <c r="H818" s="72" t="str">
        <f>IFERROR(VLOOKUP(C818,'Employees List'!$B$2:$I$991,7,0),"")</f>
        <v/>
      </c>
      <c r="I818" s="73" t="str">
        <f>IFERROR(VLOOKUP(F818,'Employees List'!$E$1:$AE$991,6,0),"")</f>
        <v/>
      </c>
      <c r="J818" s="71">
        <f t="shared" si="3"/>
        <v>0</v>
      </c>
      <c r="K818" s="71">
        <f t="shared" si="4"/>
        <v>0</v>
      </c>
      <c r="L818" s="10" t="str">
        <f>IFERROR(VLOOKUP(B818,'Employees List'!$A$2:$K$991,11,0),"")</f>
        <v/>
      </c>
      <c r="M818" s="74" t="str">
        <f>IFERROR(VLOOKUP(D818,'Daily Attendance 25-26'!$A$4:BP999,5,0),"")</f>
        <v/>
      </c>
      <c r="N818" s="10" t="str">
        <f>IFERROR(VLOOKUP(E818,'Daily Attendance 25-26'!$A$1:$BO$1741,5,0),"")</f>
        <v/>
      </c>
      <c r="O818" s="10"/>
      <c r="P818" s="10"/>
      <c r="Q818" s="10" t="str">
        <f t="shared" si="5"/>
        <v>#DIV/0!</v>
      </c>
      <c r="R818" s="10" t="str">
        <f t="shared" si="6"/>
        <v>#DIV/0!</v>
      </c>
      <c r="S818" s="10" t="str">
        <f t="shared" si="23"/>
        <v>#DIV/0!</v>
      </c>
      <c r="T818" s="10" t="str">
        <f t="shared" si="22"/>
        <v>#DIV/0!</v>
      </c>
      <c r="U818" s="10" t="str">
        <f t="shared" si="8"/>
        <v>#DIV/0!</v>
      </c>
      <c r="V818" s="10"/>
      <c r="W818" s="10"/>
      <c r="X818" s="10"/>
      <c r="Y818" s="10"/>
      <c r="Z818" s="10"/>
      <c r="AA818" s="10"/>
      <c r="AB818" s="10"/>
      <c r="AC818" s="10"/>
      <c r="AD818" s="10"/>
      <c r="AE818" s="10"/>
      <c r="AF818" s="10"/>
    </row>
    <row r="819" hidden="1">
      <c r="A819" s="9" t="s">
        <v>1036</v>
      </c>
      <c r="B819" s="84"/>
      <c r="C819" s="9"/>
      <c r="D819" s="9" t="str">
        <f t="shared" si="1"/>
        <v/>
      </c>
      <c r="E819" s="10" t="str">
        <f t="shared" si="2"/>
        <v>OT Hours</v>
      </c>
      <c r="F819" s="10" t="str">
        <f>IFERROR(VLOOKUP(C819,'Employees List'!$B$1:$I$999,4,0),"")</f>
        <v/>
      </c>
      <c r="G819" s="10" t="str">
        <f t="shared" si="21"/>
        <v>#DIV/0!</v>
      </c>
      <c r="H819" s="72" t="str">
        <f>IFERROR(VLOOKUP(C819,'Employees List'!$B$2:$I$991,7,0),"")</f>
        <v/>
      </c>
      <c r="I819" s="73" t="str">
        <f>IFERROR(VLOOKUP(F819,'Employees List'!$E$1:$AE$991,6,0),"")</f>
        <v/>
      </c>
      <c r="J819" s="71">
        <f t="shared" si="3"/>
        <v>0</v>
      </c>
      <c r="K819" s="71">
        <f t="shared" si="4"/>
        <v>0</v>
      </c>
      <c r="L819" s="10" t="str">
        <f>IFERROR(VLOOKUP(B819,'Employees List'!$A$2:$K$991,11,0),"")</f>
        <v/>
      </c>
      <c r="M819" s="74" t="str">
        <f>IFERROR(VLOOKUP(D819,'Daily Attendance 25-26'!$A$4:BP999,5,0),"")</f>
        <v/>
      </c>
      <c r="N819" s="10" t="str">
        <f>IFERROR(VLOOKUP(E819,'Daily Attendance 25-26'!$A$1:$BO$1741,5,0),"")</f>
        <v/>
      </c>
      <c r="O819" s="10"/>
      <c r="P819" s="10"/>
      <c r="Q819" s="10" t="str">
        <f t="shared" si="5"/>
        <v>#DIV/0!</v>
      </c>
      <c r="R819" s="10" t="str">
        <f t="shared" si="6"/>
        <v>#DIV/0!</v>
      </c>
      <c r="S819" s="10" t="str">
        <f t="shared" si="23"/>
        <v>#DIV/0!</v>
      </c>
      <c r="T819" s="10" t="str">
        <f t="shared" si="22"/>
        <v>#DIV/0!</v>
      </c>
      <c r="U819" s="10" t="str">
        <f t="shared" si="8"/>
        <v>#DIV/0!</v>
      </c>
      <c r="V819" s="10"/>
      <c r="W819" s="10"/>
      <c r="X819" s="10"/>
      <c r="Y819" s="10"/>
      <c r="Z819" s="10"/>
      <c r="AA819" s="10"/>
      <c r="AB819" s="10"/>
      <c r="AC819" s="10"/>
      <c r="AD819" s="10"/>
      <c r="AE819" s="10"/>
      <c r="AF819" s="10"/>
    </row>
    <row r="820" hidden="1">
      <c r="A820" s="9" t="s">
        <v>1037</v>
      </c>
      <c r="B820" s="84"/>
      <c r="C820" s="9"/>
      <c r="D820" s="9" t="str">
        <f t="shared" si="1"/>
        <v/>
      </c>
      <c r="E820" s="10" t="str">
        <f t="shared" si="2"/>
        <v>OT Hours</v>
      </c>
      <c r="F820" s="10" t="str">
        <f>IFERROR(VLOOKUP(C820,'Employees List'!$B$1:$I$999,4,0),"")</f>
        <v/>
      </c>
      <c r="G820" s="10" t="str">
        <f t="shared" si="21"/>
        <v>#DIV/0!</v>
      </c>
      <c r="H820" s="72" t="str">
        <f>IFERROR(VLOOKUP(C820,'Employees List'!$B$2:$I$991,7,0),"")</f>
        <v/>
      </c>
      <c r="I820" s="73" t="str">
        <f>IFERROR(VLOOKUP(F820,'Employees List'!$E$1:$AE$991,6,0),"")</f>
        <v/>
      </c>
      <c r="J820" s="71">
        <f t="shared" si="3"/>
        <v>0</v>
      </c>
      <c r="K820" s="71">
        <f t="shared" si="4"/>
        <v>0</v>
      </c>
      <c r="L820" s="10" t="str">
        <f>IFERROR(VLOOKUP(B820,'Employees List'!$A$2:$K$991,11,0),"")</f>
        <v/>
      </c>
      <c r="M820" s="74" t="str">
        <f>IFERROR(VLOOKUP(D820,'Daily Attendance 25-26'!$A$4:BP999,5,0),"")</f>
        <v/>
      </c>
      <c r="N820" s="10" t="str">
        <f>IFERROR(VLOOKUP(E820,'Daily Attendance 25-26'!$A$1:$BO$1741,5,0),"")</f>
        <v/>
      </c>
      <c r="O820" s="10"/>
      <c r="P820" s="10"/>
      <c r="Q820" s="10" t="str">
        <f t="shared" si="5"/>
        <v>#DIV/0!</v>
      </c>
      <c r="R820" s="10" t="str">
        <f t="shared" si="6"/>
        <v>#DIV/0!</v>
      </c>
      <c r="S820" s="10" t="str">
        <f t="shared" si="23"/>
        <v>#DIV/0!</v>
      </c>
      <c r="T820" s="10" t="str">
        <f t="shared" si="22"/>
        <v>#DIV/0!</v>
      </c>
      <c r="U820" s="10" t="str">
        <f t="shared" si="8"/>
        <v>#DIV/0!</v>
      </c>
      <c r="V820" s="10"/>
      <c r="W820" s="10"/>
      <c r="X820" s="10"/>
      <c r="Y820" s="10"/>
      <c r="Z820" s="10"/>
      <c r="AA820" s="10"/>
      <c r="AB820" s="10"/>
      <c r="AC820" s="10"/>
      <c r="AD820" s="10"/>
      <c r="AE820" s="10"/>
      <c r="AF820" s="10"/>
    </row>
    <row r="821" hidden="1">
      <c r="A821" s="9" t="s">
        <v>1038</v>
      </c>
      <c r="B821" s="84"/>
      <c r="C821" s="9"/>
      <c r="D821" s="9" t="str">
        <f t="shared" si="1"/>
        <v/>
      </c>
      <c r="E821" s="10" t="str">
        <f t="shared" si="2"/>
        <v>OT Hours</v>
      </c>
      <c r="F821" s="10" t="str">
        <f>IFERROR(VLOOKUP(C821,'Employees List'!$B$1:$I$999,4,0),"")</f>
        <v/>
      </c>
      <c r="G821" s="10" t="str">
        <f t="shared" si="21"/>
        <v>#DIV/0!</v>
      </c>
      <c r="H821" s="72" t="str">
        <f>IFERROR(VLOOKUP(C821,'Employees List'!$B$2:$I$991,7,0),"")</f>
        <v/>
      </c>
      <c r="I821" s="73" t="str">
        <f>IFERROR(VLOOKUP(F821,'Employees List'!$E$1:$AE$991,6,0),"")</f>
        <v/>
      </c>
      <c r="J821" s="71">
        <f t="shared" si="3"/>
        <v>0</v>
      </c>
      <c r="K821" s="71">
        <f t="shared" si="4"/>
        <v>0</v>
      </c>
      <c r="L821" s="10" t="str">
        <f>IFERROR(VLOOKUP(B821,'Employees List'!$A$2:$K$991,11,0),"")</f>
        <v/>
      </c>
      <c r="M821" s="74" t="str">
        <f>IFERROR(VLOOKUP(D821,'Daily Attendance 25-26'!$A$4:BP999,5,0),"")</f>
        <v/>
      </c>
      <c r="N821" s="10" t="str">
        <f>IFERROR(VLOOKUP(E821,'Daily Attendance 25-26'!$A$1:$BO$1741,5,0),"")</f>
        <v/>
      </c>
      <c r="O821" s="10"/>
      <c r="P821" s="10"/>
      <c r="Q821" s="10" t="str">
        <f t="shared" si="5"/>
        <v>#DIV/0!</v>
      </c>
      <c r="R821" s="10" t="str">
        <f t="shared" si="6"/>
        <v>#DIV/0!</v>
      </c>
      <c r="S821" s="10" t="str">
        <f t="shared" si="23"/>
        <v>#DIV/0!</v>
      </c>
      <c r="T821" s="10" t="str">
        <f t="shared" si="22"/>
        <v>#DIV/0!</v>
      </c>
      <c r="U821" s="10" t="str">
        <f t="shared" si="8"/>
        <v>#DIV/0!</v>
      </c>
      <c r="V821" s="10"/>
      <c r="W821" s="10"/>
      <c r="X821" s="10"/>
      <c r="Y821" s="10"/>
      <c r="Z821" s="10"/>
      <c r="AA821" s="10"/>
      <c r="AB821" s="10"/>
      <c r="AC821" s="10"/>
      <c r="AD821" s="10"/>
      <c r="AE821" s="10"/>
      <c r="AF821" s="10"/>
    </row>
    <row r="822" hidden="1">
      <c r="A822" s="9" t="s">
        <v>1039</v>
      </c>
      <c r="B822" s="84"/>
      <c r="C822" s="9"/>
      <c r="D822" s="9" t="str">
        <f t="shared" si="1"/>
        <v/>
      </c>
      <c r="E822" s="10" t="str">
        <f t="shared" si="2"/>
        <v>OT Hours</v>
      </c>
      <c r="F822" s="10" t="str">
        <f>IFERROR(VLOOKUP(C822,'Employees List'!$B$1:$I$999,4,0),"")</f>
        <v/>
      </c>
      <c r="G822" s="10" t="str">
        <f t="shared" si="21"/>
        <v>#DIV/0!</v>
      </c>
      <c r="H822" s="72" t="str">
        <f>IFERROR(VLOOKUP(C822,'Employees List'!$B$2:$I$991,7,0),"")</f>
        <v/>
      </c>
      <c r="I822" s="73" t="str">
        <f>IFERROR(VLOOKUP(F822,'Employees List'!$E$1:$AE$991,6,0),"")</f>
        <v/>
      </c>
      <c r="J822" s="71">
        <f t="shared" si="3"/>
        <v>0</v>
      </c>
      <c r="K822" s="71">
        <f t="shared" si="4"/>
        <v>0</v>
      </c>
      <c r="L822" s="10" t="str">
        <f>IFERROR(VLOOKUP(B822,'Employees List'!$A$2:$K$991,11,0),"")</f>
        <v/>
      </c>
      <c r="M822" s="74" t="str">
        <f>IFERROR(VLOOKUP(D822,'Daily Attendance 25-26'!$A$4:BP999,5,0),"")</f>
        <v/>
      </c>
      <c r="N822" s="10" t="str">
        <f>IFERROR(VLOOKUP(E822,'Daily Attendance 25-26'!$A$1:$BO$1741,5,0),"")</f>
        <v/>
      </c>
      <c r="O822" s="10"/>
      <c r="P822" s="10"/>
      <c r="Q822" s="10" t="str">
        <f t="shared" si="5"/>
        <v>#DIV/0!</v>
      </c>
      <c r="R822" s="10" t="str">
        <f t="shared" si="6"/>
        <v>#DIV/0!</v>
      </c>
      <c r="S822" s="10" t="str">
        <f t="shared" si="23"/>
        <v>#DIV/0!</v>
      </c>
      <c r="T822" s="10" t="str">
        <f t="shared" si="22"/>
        <v>#DIV/0!</v>
      </c>
      <c r="U822" s="10" t="str">
        <f t="shared" si="8"/>
        <v>#DIV/0!</v>
      </c>
      <c r="V822" s="10"/>
      <c r="W822" s="10"/>
      <c r="X822" s="10"/>
      <c r="Y822" s="10"/>
      <c r="Z822" s="10"/>
      <c r="AA822" s="10"/>
      <c r="AB822" s="10"/>
      <c r="AC822" s="10"/>
      <c r="AD822" s="10"/>
      <c r="AE822" s="10"/>
      <c r="AF822" s="10"/>
    </row>
    <row r="823" hidden="1">
      <c r="A823" s="9" t="s">
        <v>1040</v>
      </c>
      <c r="B823" s="84"/>
      <c r="C823" s="9"/>
      <c r="D823" s="9" t="str">
        <f t="shared" si="1"/>
        <v/>
      </c>
      <c r="E823" s="10" t="str">
        <f t="shared" si="2"/>
        <v>OT Hours</v>
      </c>
      <c r="F823" s="10" t="str">
        <f>IFERROR(VLOOKUP(C823,'Employees List'!$B$1:$I$999,4,0),"")</f>
        <v/>
      </c>
      <c r="G823" s="10" t="str">
        <f t="shared" si="21"/>
        <v>#DIV/0!</v>
      </c>
      <c r="H823" s="72" t="str">
        <f>IFERROR(VLOOKUP(C823,'Employees List'!$B$2:$I$991,7,0),"")</f>
        <v/>
      </c>
      <c r="I823" s="73" t="str">
        <f>IFERROR(VLOOKUP(F823,'Employees List'!$E$1:$AE$991,6,0),"")</f>
        <v/>
      </c>
      <c r="J823" s="71">
        <f t="shared" si="3"/>
        <v>0</v>
      </c>
      <c r="K823" s="71">
        <f t="shared" si="4"/>
        <v>0</v>
      </c>
      <c r="L823" s="10" t="str">
        <f>IFERROR(VLOOKUP(B823,'Employees List'!$A$2:$K$991,11,0),"")</f>
        <v/>
      </c>
      <c r="M823" s="74" t="str">
        <f>IFERROR(VLOOKUP(D823,'Daily Attendance 25-26'!$A$4:BP999,5,0),"")</f>
        <v/>
      </c>
      <c r="N823" s="10" t="str">
        <f>IFERROR(VLOOKUP(E823,'Daily Attendance 25-26'!$A$1:$BO$1741,5,0),"")</f>
        <v/>
      </c>
      <c r="O823" s="10"/>
      <c r="P823" s="10"/>
      <c r="Q823" s="10" t="str">
        <f t="shared" si="5"/>
        <v>#DIV/0!</v>
      </c>
      <c r="R823" s="10" t="str">
        <f t="shared" si="6"/>
        <v>#DIV/0!</v>
      </c>
      <c r="S823" s="10" t="str">
        <f t="shared" si="23"/>
        <v>#DIV/0!</v>
      </c>
      <c r="T823" s="10" t="str">
        <f t="shared" si="22"/>
        <v>#DIV/0!</v>
      </c>
      <c r="U823" s="10" t="str">
        <f t="shared" si="8"/>
        <v>#DIV/0!</v>
      </c>
      <c r="V823" s="10"/>
      <c r="W823" s="10"/>
      <c r="X823" s="10"/>
      <c r="Y823" s="10"/>
      <c r="Z823" s="10"/>
      <c r="AA823" s="10"/>
      <c r="AB823" s="10"/>
      <c r="AC823" s="10"/>
      <c r="AD823" s="10"/>
      <c r="AE823" s="10"/>
      <c r="AF823" s="10"/>
    </row>
    <row r="824" hidden="1">
      <c r="A824" s="9" t="s">
        <v>1041</v>
      </c>
      <c r="B824" s="84"/>
      <c r="C824" s="9"/>
      <c r="D824" s="9" t="str">
        <f t="shared" si="1"/>
        <v/>
      </c>
      <c r="E824" s="10" t="str">
        <f t="shared" si="2"/>
        <v>OT Hours</v>
      </c>
      <c r="F824" s="10" t="str">
        <f>IFERROR(VLOOKUP(C824,'Employees List'!$B$1:$I$999,4,0),"")</f>
        <v/>
      </c>
      <c r="G824" s="10" t="str">
        <f t="shared" si="21"/>
        <v>#DIV/0!</v>
      </c>
      <c r="H824" s="72" t="str">
        <f>IFERROR(VLOOKUP(C824,'Employees List'!$B$2:$I$991,7,0),"")</f>
        <v/>
      </c>
      <c r="I824" s="73" t="str">
        <f>IFERROR(VLOOKUP(F824,'Employees List'!$E$1:$AE$991,6,0),"")</f>
        <v/>
      </c>
      <c r="J824" s="71">
        <f t="shared" si="3"/>
        <v>0</v>
      </c>
      <c r="K824" s="71">
        <f t="shared" si="4"/>
        <v>0</v>
      </c>
      <c r="L824" s="10" t="str">
        <f>IFERROR(VLOOKUP(B824,'Employees List'!$A$2:$K$991,11,0),"")</f>
        <v/>
      </c>
      <c r="M824" s="74" t="str">
        <f>IFERROR(VLOOKUP(D824,'Daily Attendance 25-26'!$A$4:BP999,5,0),"")</f>
        <v/>
      </c>
      <c r="N824" s="10" t="str">
        <f>IFERROR(VLOOKUP(E824,'Daily Attendance 25-26'!$A$1:$BO$1741,5,0),"")</f>
        <v/>
      </c>
      <c r="O824" s="10"/>
      <c r="P824" s="10"/>
      <c r="Q824" s="10" t="str">
        <f t="shared" si="5"/>
        <v>#DIV/0!</v>
      </c>
      <c r="R824" s="10" t="str">
        <f t="shared" si="6"/>
        <v>#DIV/0!</v>
      </c>
      <c r="S824" s="10" t="str">
        <f t="shared" si="23"/>
        <v>#DIV/0!</v>
      </c>
      <c r="T824" s="10" t="str">
        <f t="shared" si="22"/>
        <v>#DIV/0!</v>
      </c>
      <c r="U824" s="10" t="str">
        <f t="shared" si="8"/>
        <v>#DIV/0!</v>
      </c>
      <c r="V824" s="10"/>
      <c r="W824" s="10"/>
      <c r="X824" s="10"/>
      <c r="Y824" s="10"/>
      <c r="Z824" s="10"/>
      <c r="AA824" s="10"/>
      <c r="AB824" s="10"/>
      <c r="AC824" s="10"/>
      <c r="AD824" s="10"/>
      <c r="AE824" s="10"/>
      <c r="AF824" s="10"/>
    </row>
    <row r="825" hidden="1">
      <c r="A825" s="9" t="s">
        <v>1042</v>
      </c>
      <c r="B825" s="84"/>
      <c r="C825" s="9"/>
      <c r="D825" s="9" t="str">
        <f t="shared" si="1"/>
        <v/>
      </c>
      <c r="E825" s="10" t="str">
        <f t="shared" si="2"/>
        <v>OT Hours</v>
      </c>
      <c r="F825" s="10" t="str">
        <f>IFERROR(VLOOKUP(C825,'Employees List'!$B$1:$I$999,4,0),"")</f>
        <v/>
      </c>
      <c r="G825" s="10" t="str">
        <f t="shared" si="21"/>
        <v>#DIV/0!</v>
      </c>
      <c r="H825" s="72" t="str">
        <f>IFERROR(VLOOKUP(C825,'Employees List'!$B$2:$I$991,7,0),"")</f>
        <v/>
      </c>
      <c r="I825" s="73" t="str">
        <f>IFERROR(VLOOKUP(F825,'Employees List'!$E$1:$AE$991,6,0),"")</f>
        <v/>
      </c>
      <c r="J825" s="71">
        <f t="shared" si="3"/>
        <v>0</v>
      </c>
      <c r="K825" s="71">
        <f t="shared" si="4"/>
        <v>0</v>
      </c>
      <c r="L825" s="10" t="str">
        <f>IFERROR(VLOOKUP(B825,'Employees List'!$A$2:$K$991,11,0),"")</f>
        <v/>
      </c>
      <c r="M825" s="74" t="str">
        <f>IFERROR(VLOOKUP(D825,'Daily Attendance 25-26'!$A$4:BP999,5,0),"")</f>
        <v/>
      </c>
      <c r="N825" s="10" t="str">
        <f>IFERROR(VLOOKUP(E825,'Daily Attendance 25-26'!$A$1:$BO$1741,5,0),"")</f>
        <v/>
      </c>
      <c r="O825" s="10"/>
      <c r="P825" s="10"/>
      <c r="Q825" s="10" t="str">
        <f t="shared" si="5"/>
        <v>#DIV/0!</v>
      </c>
      <c r="R825" s="10" t="str">
        <f t="shared" si="6"/>
        <v>#DIV/0!</v>
      </c>
      <c r="S825" s="10" t="str">
        <f t="shared" si="23"/>
        <v>#DIV/0!</v>
      </c>
      <c r="T825" s="10" t="str">
        <f t="shared" si="22"/>
        <v>#DIV/0!</v>
      </c>
      <c r="U825" s="10" t="str">
        <f t="shared" si="8"/>
        <v>#DIV/0!</v>
      </c>
      <c r="V825" s="10"/>
      <c r="W825" s="10"/>
      <c r="X825" s="10"/>
      <c r="Y825" s="10"/>
      <c r="Z825" s="10"/>
      <c r="AA825" s="10"/>
      <c r="AB825" s="10"/>
      <c r="AC825" s="10"/>
      <c r="AD825" s="10"/>
      <c r="AE825" s="10"/>
      <c r="AF825" s="10"/>
    </row>
    <row r="826" hidden="1">
      <c r="A826" s="9" t="s">
        <v>1043</v>
      </c>
      <c r="B826" s="84"/>
      <c r="C826" s="9"/>
      <c r="D826" s="9" t="str">
        <f t="shared" si="1"/>
        <v/>
      </c>
      <c r="E826" s="10" t="str">
        <f t="shared" si="2"/>
        <v>OT Hours</v>
      </c>
      <c r="F826" s="10" t="str">
        <f>IFERROR(VLOOKUP(C826,'Employees List'!$B$1:$I$999,4,0),"")</f>
        <v/>
      </c>
      <c r="G826" s="10" t="str">
        <f t="shared" si="21"/>
        <v>#DIV/0!</v>
      </c>
      <c r="H826" s="72" t="str">
        <f>IFERROR(VLOOKUP(C826,'Employees List'!$B$2:$I$991,7,0),"")</f>
        <v/>
      </c>
      <c r="I826" s="73" t="str">
        <f>IFERROR(VLOOKUP(F826,'Employees List'!$E$1:$AE$991,6,0),"")</f>
        <v/>
      </c>
      <c r="J826" s="71">
        <f t="shared" si="3"/>
        <v>0</v>
      </c>
      <c r="K826" s="71">
        <f t="shared" si="4"/>
        <v>0</v>
      </c>
      <c r="L826" s="10" t="str">
        <f>IFERROR(VLOOKUP(B826,'Employees List'!$A$2:$K$991,11,0),"")</f>
        <v/>
      </c>
      <c r="M826" s="74" t="str">
        <f>IFERROR(VLOOKUP(D826,'Daily Attendance 25-26'!$A$4:BP999,5,0),"")</f>
        <v/>
      </c>
      <c r="N826" s="10" t="str">
        <f>IFERROR(VLOOKUP(E826,'Daily Attendance 25-26'!$A$1:$BO$1741,5,0),"")</f>
        <v/>
      </c>
      <c r="O826" s="10"/>
      <c r="P826" s="10"/>
      <c r="Q826" s="10" t="str">
        <f t="shared" si="5"/>
        <v>#DIV/0!</v>
      </c>
      <c r="R826" s="10" t="str">
        <f t="shared" si="6"/>
        <v>#DIV/0!</v>
      </c>
      <c r="S826" s="10" t="str">
        <f t="shared" si="23"/>
        <v>#DIV/0!</v>
      </c>
      <c r="T826" s="10" t="str">
        <f t="shared" si="22"/>
        <v>#DIV/0!</v>
      </c>
      <c r="U826" s="10" t="str">
        <f t="shared" si="8"/>
        <v>#DIV/0!</v>
      </c>
      <c r="V826" s="10"/>
      <c r="W826" s="10"/>
      <c r="X826" s="10"/>
      <c r="Y826" s="10"/>
      <c r="Z826" s="10"/>
      <c r="AA826" s="10"/>
      <c r="AB826" s="10"/>
      <c r="AC826" s="10"/>
      <c r="AD826" s="10"/>
      <c r="AE826" s="10"/>
      <c r="AF826" s="10"/>
    </row>
    <row r="827" hidden="1">
      <c r="A827" s="9" t="s">
        <v>1044</v>
      </c>
      <c r="B827" s="84"/>
      <c r="C827" s="9"/>
      <c r="D827" s="9" t="str">
        <f t="shared" si="1"/>
        <v/>
      </c>
      <c r="E827" s="10" t="str">
        <f t="shared" si="2"/>
        <v>OT Hours</v>
      </c>
      <c r="F827" s="10" t="str">
        <f>IFERROR(VLOOKUP(C827,'Employees List'!$B$1:$I$999,4,0),"")</f>
        <v/>
      </c>
      <c r="G827" s="10" t="str">
        <f t="shared" si="21"/>
        <v>#DIV/0!</v>
      </c>
      <c r="H827" s="72" t="str">
        <f>IFERROR(VLOOKUP(C827,'Employees List'!$B$2:$I$991,7,0),"")</f>
        <v/>
      </c>
      <c r="I827" s="73" t="str">
        <f>IFERROR(VLOOKUP(F827,'Employees List'!$E$1:$AE$991,6,0),"")</f>
        <v/>
      </c>
      <c r="J827" s="71">
        <f t="shared" si="3"/>
        <v>0</v>
      </c>
      <c r="K827" s="71">
        <f t="shared" si="4"/>
        <v>0</v>
      </c>
      <c r="L827" s="10" t="str">
        <f>IFERROR(VLOOKUP(B827,'Employees List'!$A$2:$K$991,11,0),"")</f>
        <v/>
      </c>
      <c r="M827" s="74" t="str">
        <f>IFERROR(VLOOKUP(D827,'Daily Attendance 25-26'!$A$4:BP999,5,0),"")</f>
        <v/>
      </c>
      <c r="N827" s="10" t="str">
        <f>IFERROR(VLOOKUP(E827,'Daily Attendance 25-26'!$A$1:$BO$1741,5,0),"")</f>
        <v/>
      </c>
      <c r="O827" s="10"/>
      <c r="P827" s="10"/>
      <c r="Q827" s="10" t="str">
        <f t="shared" si="5"/>
        <v>#DIV/0!</v>
      </c>
      <c r="R827" s="10" t="str">
        <f t="shared" si="6"/>
        <v>#DIV/0!</v>
      </c>
      <c r="S827" s="10" t="str">
        <f t="shared" si="23"/>
        <v>#DIV/0!</v>
      </c>
      <c r="T827" s="10" t="str">
        <f t="shared" si="22"/>
        <v>#DIV/0!</v>
      </c>
      <c r="U827" s="10" t="str">
        <f t="shared" si="8"/>
        <v>#DIV/0!</v>
      </c>
      <c r="V827" s="10"/>
      <c r="W827" s="10"/>
      <c r="X827" s="10"/>
      <c r="Y827" s="10"/>
      <c r="Z827" s="10"/>
      <c r="AA827" s="10"/>
      <c r="AB827" s="10"/>
      <c r="AC827" s="10"/>
      <c r="AD827" s="10"/>
      <c r="AE827" s="10"/>
      <c r="AF827" s="10"/>
    </row>
    <row r="828" hidden="1">
      <c r="A828" s="9" t="s">
        <v>1045</v>
      </c>
      <c r="B828" s="84"/>
      <c r="C828" s="9"/>
      <c r="D828" s="9" t="str">
        <f t="shared" si="1"/>
        <v/>
      </c>
      <c r="E828" s="10" t="str">
        <f t="shared" si="2"/>
        <v>OT Hours</v>
      </c>
      <c r="F828" s="10" t="str">
        <f>IFERROR(VLOOKUP(C828,'Employees List'!$B$1:$I$999,4,0),"")</f>
        <v/>
      </c>
      <c r="G828" s="10" t="str">
        <f t="shared" si="21"/>
        <v>#DIV/0!</v>
      </c>
      <c r="H828" s="72" t="str">
        <f>IFERROR(VLOOKUP(C828,'Employees List'!$B$2:$I$991,7,0),"")</f>
        <v/>
      </c>
      <c r="I828" s="73" t="str">
        <f>IFERROR(VLOOKUP(F828,'Employees List'!$E$1:$AE$991,6,0),"")</f>
        <v/>
      </c>
      <c r="J828" s="71">
        <f t="shared" si="3"/>
        <v>0</v>
      </c>
      <c r="K828" s="71">
        <f t="shared" si="4"/>
        <v>0</v>
      </c>
      <c r="L828" s="10" t="str">
        <f>IFERROR(VLOOKUP(B828,'Employees List'!$A$2:$K$991,11,0),"")</f>
        <v/>
      </c>
      <c r="M828" s="74" t="str">
        <f>IFERROR(VLOOKUP(D828,'Daily Attendance 25-26'!$A$4:BP999,5,0),"")</f>
        <v/>
      </c>
      <c r="N828" s="10" t="str">
        <f>IFERROR(VLOOKUP(E828,'Daily Attendance 25-26'!$A$1:$BO$1741,5,0),"")</f>
        <v/>
      </c>
      <c r="O828" s="10"/>
      <c r="P828" s="10"/>
      <c r="Q828" s="10" t="str">
        <f t="shared" si="5"/>
        <v>#DIV/0!</v>
      </c>
      <c r="R828" s="10" t="str">
        <f t="shared" si="6"/>
        <v>#DIV/0!</v>
      </c>
      <c r="S828" s="10" t="str">
        <f t="shared" si="23"/>
        <v>#DIV/0!</v>
      </c>
      <c r="T828" s="10" t="str">
        <f t="shared" si="22"/>
        <v>#DIV/0!</v>
      </c>
      <c r="U828" s="10" t="str">
        <f t="shared" si="8"/>
        <v>#DIV/0!</v>
      </c>
      <c r="V828" s="10"/>
      <c r="W828" s="10"/>
      <c r="X828" s="10"/>
      <c r="Y828" s="10"/>
      <c r="Z828" s="10"/>
      <c r="AA828" s="10"/>
      <c r="AB828" s="10"/>
      <c r="AC828" s="10"/>
      <c r="AD828" s="10"/>
      <c r="AE828" s="10"/>
      <c r="AF828" s="10"/>
    </row>
    <row r="829" hidden="1">
      <c r="A829" s="9" t="s">
        <v>1046</v>
      </c>
      <c r="B829" s="84"/>
      <c r="C829" s="9"/>
      <c r="D829" s="9" t="str">
        <f t="shared" si="1"/>
        <v/>
      </c>
      <c r="E829" s="10" t="str">
        <f t="shared" si="2"/>
        <v>OT Hours</v>
      </c>
      <c r="F829" s="10" t="str">
        <f>IFERROR(VLOOKUP(C829,'Employees List'!$B$1:$I$999,4,0),"")</f>
        <v/>
      </c>
      <c r="G829" s="10" t="str">
        <f t="shared" si="21"/>
        <v>#DIV/0!</v>
      </c>
      <c r="H829" s="72" t="str">
        <f>IFERROR(VLOOKUP(C829,'Employees List'!$B$2:$I$991,7,0),"")</f>
        <v/>
      </c>
      <c r="I829" s="73" t="str">
        <f>IFERROR(VLOOKUP(F829,'Employees List'!$E$1:$AE$991,6,0),"")</f>
        <v/>
      </c>
      <c r="J829" s="71">
        <f t="shared" si="3"/>
        <v>0</v>
      </c>
      <c r="K829" s="71">
        <f t="shared" si="4"/>
        <v>0</v>
      </c>
      <c r="L829" s="10" t="str">
        <f>IFERROR(VLOOKUP(B829,'Employees List'!$A$2:$K$991,11,0),"")</f>
        <v/>
      </c>
      <c r="M829" s="74" t="str">
        <f>IFERROR(VLOOKUP(D829,'Daily Attendance 25-26'!$A$4:BP999,5,0),"")</f>
        <v/>
      </c>
      <c r="N829" s="10" t="str">
        <f>IFERROR(VLOOKUP(E829,'Daily Attendance 25-26'!$A$1:$BO$1741,5,0),"")</f>
        <v/>
      </c>
      <c r="O829" s="10"/>
      <c r="P829" s="10"/>
      <c r="Q829" s="10" t="str">
        <f t="shared" si="5"/>
        <v>#DIV/0!</v>
      </c>
      <c r="R829" s="10" t="str">
        <f t="shared" si="6"/>
        <v>#DIV/0!</v>
      </c>
      <c r="S829" s="10" t="str">
        <f t="shared" si="23"/>
        <v>#DIV/0!</v>
      </c>
      <c r="T829" s="10" t="str">
        <f t="shared" si="22"/>
        <v>#DIV/0!</v>
      </c>
      <c r="U829" s="10" t="str">
        <f t="shared" si="8"/>
        <v>#DIV/0!</v>
      </c>
      <c r="V829" s="10"/>
      <c r="W829" s="10"/>
      <c r="X829" s="10"/>
      <c r="Y829" s="10"/>
      <c r="Z829" s="10"/>
      <c r="AA829" s="10"/>
      <c r="AB829" s="10"/>
      <c r="AC829" s="10"/>
      <c r="AD829" s="10"/>
      <c r="AE829" s="10"/>
      <c r="AF829" s="10"/>
    </row>
    <row r="830" hidden="1">
      <c r="A830" s="9" t="s">
        <v>1047</v>
      </c>
      <c r="B830" s="84"/>
      <c r="C830" s="9"/>
      <c r="D830" s="9" t="str">
        <f t="shared" si="1"/>
        <v/>
      </c>
      <c r="E830" s="10" t="str">
        <f t="shared" si="2"/>
        <v>OT Hours</v>
      </c>
      <c r="F830" s="10" t="str">
        <f>IFERROR(VLOOKUP(C830,'Employees List'!$B$1:$I$999,4,0),"")</f>
        <v/>
      </c>
      <c r="G830" s="10" t="str">
        <f t="shared" si="21"/>
        <v>#DIV/0!</v>
      </c>
      <c r="H830" s="72" t="str">
        <f>IFERROR(VLOOKUP(C830,'Employees List'!$B$2:$I$991,7,0),"")</f>
        <v/>
      </c>
      <c r="I830" s="73" t="str">
        <f>IFERROR(VLOOKUP(F830,'Employees List'!$E$1:$AE$991,6,0),"")</f>
        <v/>
      </c>
      <c r="J830" s="71">
        <f t="shared" si="3"/>
        <v>0</v>
      </c>
      <c r="K830" s="71">
        <f t="shared" si="4"/>
        <v>0</v>
      </c>
      <c r="L830" s="10" t="str">
        <f>IFERROR(VLOOKUP(B830,'Employees List'!$A$2:$K$991,11,0),"")</f>
        <v/>
      </c>
      <c r="M830" s="74" t="str">
        <f>IFERROR(VLOOKUP(D830,'Daily Attendance 25-26'!$A$4:BP999,5,0),"")</f>
        <v/>
      </c>
      <c r="N830" s="10" t="str">
        <f>IFERROR(VLOOKUP(E830,'Daily Attendance 25-26'!$A$1:$BO$1741,5,0),"")</f>
        <v/>
      </c>
      <c r="O830" s="10"/>
      <c r="P830" s="10"/>
      <c r="Q830" s="10" t="str">
        <f t="shared" si="5"/>
        <v>#DIV/0!</v>
      </c>
      <c r="R830" s="10" t="str">
        <f t="shared" si="6"/>
        <v>#DIV/0!</v>
      </c>
      <c r="S830" s="10" t="str">
        <f t="shared" si="23"/>
        <v>#DIV/0!</v>
      </c>
      <c r="T830" s="10" t="str">
        <f t="shared" si="22"/>
        <v>#DIV/0!</v>
      </c>
      <c r="U830" s="10" t="str">
        <f t="shared" si="8"/>
        <v>#DIV/0!</v>
      </c>
      <c r="V830" s="10"/>
      <c r="W830" s="10"/>
      <c r="X830" s="10"/>
      <c r="Y830" s="10"/>
      <c r="Z830" s="10"/>
      <c r="AA830" s="10"/>
      <c r="AB830" s="10"/>
      <c r="AC830" s="10"/>
      <c r="AD830" s="10"/>
      <c r="AE830" s="10"/>
      <c r="AF830" s="10"/>
    </row>
    <row r="831" hidden="1">
      <c r="A831" s="9" t="s">
        <v>1048</v>
      </c>
      <c r="B831" s="84"/>
      <c r="C831" s="9"/>
      <c r="D831" s="9" t="str">
        <f t="shared" si="1"/>
        <v/>
      </c>
      <c r="E831" s="10" t="str">
        <f t="shared" si="2"/>
        <v>OT Hours</v>
      </c>
      <c r="F831" s="10" t="str">
        <f>IFERROR(VLOOKUP(C831,'Employees List'!$B$1:$I$999,4,0),"")</f>
        <v/>
      </c>
      <c r="G831" s="10" t="str">
        <f t="shared" si="21"/>
        <v>#DIV/0!</v>
      </c>
      <c r="H831" s="72" t="str">
        <f>IFERROR(VLOOKUP(C831,'Employees List'!$B$2:$I$991,7,0),"")</f>
        <v/>
      </c>
      <c r="I831" s="73" t="str">
        <f>IFERROR(VLOOKUP(F831,'Employees List'!$E$1:$AE$991,6,0),"")</f>
        <v/>
      </c>
      <c r="J831" s="71">
        <f t="shared" si="3"/>
        <v>0</v>
      </c>
      <c r="K831" s="71">
        <f t="shared" si="4"/>
        <v>0</v>
      </c>
      <c r="L831" s="10" t="str">
        <f>IFERROR(VLOOKUP(B831,'Employees List'!$A$2:$K$991,11,0),"")</f>
        <v/>
      </c>
      <c r="M831" s="74" t="str">
        <f>IFERROR(VLOOKUP(D831,'Daily Attendance 25-26'!$A$4:BP999,5,0),"")</f>
        <v/>
      </c>
      <c r="N831" s="10" t="str">
        <f>IFERROR(VLOOKUP(E831,'Daily Attendance 25-26'!$A$1:$BO$1741,5,0),"")</f>
        <v/>
      </c>
      <c r="O831" s="10"/>
      <c r="P831" s="10"/>
      <c r="Q831" s="10" t="str">
        <f t="shared" si="5"/>
        <v>#DIV/0!</v>
      </c>
      <c r="R831" s="10" t="str">
        <f t="shared" si="6"/>
        <v>#DIV/0!</v>
      </c>
      <c r="S831" s="10" t="str">
        <f t="shared" si="23"/>
        <v>#DIV/0!</v>
      </c>
      <c r="T831" s="10" t="str">
        <f t="shared" si="22"/>
        <v>#DIV/0!</v>
      </c>
      <c r="U831" s="10" t="str">
        <f t="shared" si="8"/>
        <v>#DIV/0!</v>
      </c>
      <c r="V831" s="10"/>
      <c r="W831" s="10"/>
      <c r="X831" s="10"/>
      <c r="Y831" s="10"/>
      <c r="Z831" s="10"/>
      <c r="AA831" s="10"/>
      <c r="AB831" s="10"/>
      <c r="AC831" s="10"/>
      <c r="AD831" s="10"/>
      <c r="AE831" s="10"/>
      <c r="AF831" s="10"/>
    </row>
    <row r="832" hidden="1">
      <c r="A832" s="9" t="s">
        <v>1049</v>
      </c>
      <c r="B832" s="84"/>
      <c r="C832" s="9"/>
      <c r="D832" s="9" t="str">
        <f t="shared" si="1"/>
        <v/>
      </c>
      <c r="E832" s="10" t="str">
        <f t="shared" si="2"/>
        <v>OT Hours</v>
      </c>
      <c r="F832" s="10" t="str">
        <f>IFERROR(VLOOKUP(C832,'Employees List'!$B$1:$I$999,4,0),"")</f>
        <v/>
      </c>
      <c r="G832" s="10" t="str">
        <f t="shared" si="21"/>
        <v>#DIV/0!</v>
      </c>
      <c r="H832" s="72" t="str">
        <f>IFERROR(VLOOKUP(C832,'Employees List'!$B$2:$I$991,7,0),"")</f>
        <v/>
      </c>
      <c r="I832" s="73" t="str">
        <f>IFERROR(VLOOKUP(F832,'Employees List'!$E$1:$AE$991,6,0),"")</f>
        <v/>
      </c>
      <c r="J832" s="71">
        <f t="shared" si="3"/>
        <v>0</v>
      </c>
      <c r="K832" s="71">
        <f t="shared" si="4"/>
        <v>0</v>
      </c>
      <c r="L832" s="10" t="str">
        <f>IFERROR(VLOOKUP(B832,'Employees List'!$A$2:$K$991,11,0),"")</f>
        <v/>
      </c>
      <c r="M832" s="74" t="str">
        <f>IFERROR(VLOOKUP(D832,'Daily Attendance 25-26'!$A$4:BP999,5,0),"")</f>
        <v/>
      </c>
      <c r="N832" s="10" t="str">
        <f>IFERROR(VLOOKUP(E832,'Daily Attendance 25-26'!$A$1:$BO$1741,5,0),"")</f>
        <v/>
      </c>
      <c r="O832" s="10"/>
      <c r="P832" s="10"/>
      <c r="Q832" s="10" t="str">
        <f t="shared" si="5"/>
        <v>#DIV/0!</v>
      </c>
      <c r="R832" s="10" t="str">
        <f t="shared" si="6"/>
        <v>#DIV/0!</v>
      </c>
      <c r="S832" s="10" t="str">
        <f t="shared" si="23"/>
        <v>#DIV/0!</v>
      </c>
      <c r="T832" s="10" t="str">
        <f t="shared" si="22"/>
        <v>#DIV/0!</v>
      </c>
      <c r="U832" s="10" t="str">
        <f t="shared" si="8"/>
        <v>#DIV/0!</v>
      </c>
      <c r="V832" s="10"/>
      <c r="W832" s="10"/>
      <c r="X832" s="10"/>
      <c r="Y832" s="10"/>
      <c r="Z832" s="10"/>
      <c r="AA832" s="10"/>
      <c r="AB832" s="10"/>
      <c r="AC832" s="10"/>
      <c r="AD832" s="10"/>
      <c r="AE832" s="10"/>
      <c r="AF832" s="10"/>
    </row>
    <row r="833" hidden="1">
      <c r="A833" s="9" t="s">
        <v>1050</v>
      </c>
      <c r="B833" s="84"/>
      <c r="C833" s="9"/>
      <c r="D833" s="9" t="str">
        <f t="shared" si="1"/>
        <v/>
      </c>
      <c r="E833" s="10" t="str">
        <f t="shared" si="2"/>
        <v>OT Hours</v>
      </c>
      <c r="F833" s="10" t="str">
        <f>IFERROR(VLOOKUP(C833,'Employees List'!$B$1:$I$999,4,0),"")</f>
        <v/>
      </c>
      <c r="G833" s="10" t="str">
        <f t="shared" si="21"/>
        <v>#DIV/0!</v>
      </c>
      <c r="H833" s="72" t="str">
        <f>IFERROR(VLOOKUP(C833,'Employees List'!$B$2:$I$991,7,0),"")</f>
        <v/>
      </c>
      <c r="I833" s="73" t="str">
        <f>IFERROR(VLOOKUP(F833,'Employees List'!$E$1:$AE$991,6,0),"")</f>
        <v/>
      </c>
      <c r="J833" s="71">
        <f t="shared" si="3"/>
        <v>0</v>
      </c>
      <c r="K833" s="71">
        <f t="shared" si="4"/>
        <v>0</v>
      </c>
      <c r="L833" s="10" t="str">
        <f>IFERROR(VLOOKUP(B833,'Employees List'!$A$2:$K$991,11,0),"")</f>
        <v/>
      </c>
      <c r="M833" s="74" t="str">
        <f>IFERROR(VLOOKUP(D833,'Daily Attendance 25-26'!$A$4:BP999,5,0),"")</f>
        <v/>
      </c>
      <c r="N833" s="10" t="str">
        <f>IFERROR(VLOOKUP(E833,'Daily Attendance 25-26'!$A$1:$BO$1741,5,0),"")</f>
        <v/>
      </c>
      <c r="O833" s="10"/>
      <c r="P833" s="10"/>
      <c r="Q833" s="10" t="str">
        <f t="shared" si="5"/>
        <v>#DIV/0!</v>
      </c>
      <c r="R833" s="10" t="str">
        <f t="shared" si="6"/>
        <v>#DIV/0!</v>
      </c>
      <c r="S833" s="10" t="str">
        <f t="shared" si="23"/>
        <v>#DIV/0!</v>
      </c>
      <c r="T833" s="10" t="str">
        <f t="shared" si="22"/>
        <v>#DIV/0!</v>
      </c>
      <c r="U833" s="10" t="str">
        <f t="shared" si="8"/>
        <v>#DIV/0!</v>
      </c>
      <c r="V833" s="10"/>
      <c r="W833" s="10"/>
      <c r="X833" s="10"/>
      <c r="Y833" s="10"/>
      <c r="Z833" s="10"/>
      <c r="AA833" s="10"/>
      <c r="AB833" s="10"/>
      <c r="AC833" s="10"/>
      <c r="AD833" s="10"/>
      <c r="AE833" s="10"/>
      <c r="AF833" s="10"/>
    </row>
    <row r="834" hidden="1">
      <c r="A834" s="9" t="s">
        <v>1051</v>
      </c>
      <c r="B834" s="84"/>
      <c r="C834" s="9"/>
      <c r="D834" s="9" t="str">
        <f t="shared" si="1"/>
        <v/>
      </c>
      <c r="E834" s="10" t="str">
        <f t="shared" si="2"/>
        <v>OT Hours</v>
      </c>
      <c r="F834" s="10" t="str">
        <f>IFERROR(VLOOKUP(C834,'Employees List'!$B$1:$I$999,4,0),"")</f>
        <v/>
      </c>
      <c r="G834" s="10" t="str">
        <f t="shared" si="21"/>
        <v>#DIV/0!</v>
      </c>
      <c r="H834" s="72" t="str">
        <f>IFERROR(VLOOKUP(C834,'Employees List'!$B$2:$I$991,7,0),"")</f>
        <v/>
      </c>
      <c r="I834" s="73" t="str">
        <f>IFERROR(VLOOKUP(F834,'Employees List'!$E$1:$AE$991,6,0),"")</f>
        <v/>
      </c>
      <c r="J834" s="71">
        <f t="shared" si="3"/>
        <v>0</v>
      </c>
      <c r="K834" s="71">
        <f t="shared" si="4"/>
        <v>0</v>
      </c>
      <c r="L834" s="10" t="str">
        <f>IFERROR(VLOOKUP(B834,'Employees List'!$A$2:$K$991,11,0),"")</f>
        <v/>
      </c>
      <c r="M834" s="74" t="str">
        <f>IFERROR(VLOOKUP(D834,'Daily Attendance 25-26'!$A$4:BP999,5,0),"")</f>
        <v/>
      </c>
      <c r="N834" s="10" t="str">
        <f>IFERROR(VLOOKUP(E834,'Daily Attendance 25-26'!$A$1:$BO$1741,5,0),"")</f>
        <v/>
      </c>
      <c r="O834" s="10"/>
      <c r="P834" s="10"/>
      <c r="Q834" s="10" t="str">
        <f t="shared" si="5"/>
        <v>#DIV/0!</v>
      </c>
      <c r="R834" s="10" t="str">
        <f t="shared" si="6"/>
        <v>#DIV/0!</v>
      </c>
      <c r="S834" s="10" t="str">
        <f t="shared" si="23"/>
        <v>#DIV/0!</v>
      </c>
      <c r="T834" s="10" t="str">
        <f t="shared" si="22"/>
        <v>#DIV/0!</v>
      </c>
      <c r="U834" s="10" t="str">
        <f t="shared" si="8"/>
        <v>#DIV/0!</v>
      </c>
      <c r="V834" s="10"/>
      <c r="W834" s="10"/>
      <c r="X834" s="10"/>
      <c r="Y834" s="10"/>
      <c r="Z834" s="10"/>
      <c r="AA834" s="10"/>
      <c r="AB834" s="10"/>
      <c r="AC834" s="10"/>
      <c r="AD834" s="10"/>
      <c r="AE834" s="10"/>
      <c r="AF834" s="10"/>
    </row>
    <row r="835" hidden="1">
      <c r="A835" s="9" t="s">
        <v>1052</v>
      </c>
      <c r="B835" s="84"/>
      <c r="C835" s="9"/>
      <c r="D835" s="9" t="str">
        <f t="shared" si="1"/>
        <v/>
      </c>
      <c r="E835" s="10" t="str">
        <f t="shared" si="2"/>
        <v>OT Hours</v>
      </c>
      <c r="F835" s="10" t="str">
        <f>IFERROR(VLOOKUP(C835,'Employees List'!$B$1:$I$999,4,0),"")</f>
        <v/>
      </c>
      <c r="G835" s="10" t="str">
        <f t="shared" si="21"/>
        <v>#DIV/0!</v>
      </c>
      <c r="H835" s="72" t="str">
        <f>IFERROR(VLOOKUP(C835,'Employees List'!$B$2:$I$991,7,0),"")</f>
        <v/>
      </c>
      <c r="I835" s="73" t="str">
        <f>IFERROR(VLOOKUP(F835,'Employees List'!$E$1:$AE$991,6,0),"")</f>
        <v/>
      </c>
      <c r="J835" s="71">
        <f t="shared" si="3"/>
        <v>0</v>
      </c>
      <c r="K835" s="71">
        <f t="shared" si="4"/>
        <v>0</v>
      </c>
      <c r="L835" s="10" t="str">
        <f>IFERROR(VLOOKUP(B835,'Employees List'!$A$2:$K$991,11,0),"")</f>
        <v/>
      </c>
      <c r="M835" s="74" t="str">
        <f>IFERROR(VLOOKUP(D835,'Daily Attendance 25-26'!$A$4:BP999,5,0),"")</f>
        <v/>
      </c>
      <c r="N835" s="10" t="str">
        <f>IFERROR(VLOOKUP(E835,'Daily Attendance 25-26'!$A$1:$BO$1741,5,0),"")</f>
        <v/>
      </c>
      <c r="O835" s="10"/>
      <c r="P835" s="10"/>
      <c r="Q835" s="10" t="str">
        <f t="shared" si="5"/>
        <v>#DIV/0!</v>
      </c>
      <c r="R835" s="10" t="str">
        <f t="shared" si="6"/>
        <v>#DIV/0!</v>
      </c>
      <c r="S835" s="10" t="str">
        <f t="shared" si="23"/>
        <v>#DIV/0!</v>
      </c>
      <c r="T835" s="10" t="str">
        <f t="shared" si="22"/>
        <v>#DIV/0!</v>
      </c>
      <c r="U835" s="10" t="str">
        <f t="shared" si="8"/>
        <v>#DIV/0!</v>
      </c>
      <c r="V835" s="10"/>
      <c r="W835" s="10"/>
      <c r="X835" s="10"/>
      <c r="Y835" s="10"/>
      <c r="Z835" s="10"/>
      <c r="AA835" s="10"/>
      <c r="AB835" s="10"/>
      <c r="AC835" s="10"/>
      <c r="AD835" s="10"/>
      <c r="AE835" s="10"/>
      <c r="AF835" s="10"/>
    </row>
    <row r="836" hidden="1">
      <c r="A836" s="9" t="s">
        <v>1053</v>
      </c>
      <c r="B836" s="84"/>
      <c r="C836" s="9"/>
      <c r="D836" s="9" t="str">
        <f t="shared" si="1"/>
        <v/>
      </c>
      <c r="E836" s="10" t="str">
        <f t="shared" si="2"/>
        <v>OT Hours</v>
      </c>
      <c r="F836" s="10" t="str">
        <f>IFERROR(VLOOKUP(C836,'Employees List'!$B$1:$I$999,4,0),"")</f>
        <v/>
      </c>
      <c r="G836" s="10" t="str">
        <f t="shared" si="21"/>
        <v>#DIV/0!</v>
      </c>
      <c r="H836" s="72" t="str">
        <f>IFERROR(VLOOKUP(C836,'Employees List'!$B$2:$I$991,7,0),"")</f>
        <v/>
      </c>
      <c r="I836" s="73" t="str">
        <f>IFERROR(VLOOKUP(F836,'Employees List'!$E$1:$AE$991,6,0),"")</f>
        <v/>
      </c>
      <c r="J836" s="71">
        <f t="shared" si="3"/>
        <v>0</v>
      </c>
      <c r="K836" s="71">
        <f t="shared" si="4"/>
        <v>0</v>
      </c>
      <c r="L836" s="10" t="str">
        <f>IFERROR(VLOOKUP(B836,'Employees List'!$A$2:$K$991,11,0),"")</f>
        <v/>
      </c>
      <c r="M836" s="74" t="str">
        <f>IFERROR(VLOOKUP(D836,'Daily Attendance 25-26'!$A$4:BP999,5,0),"")</f>
        <v/>
      </c>
      <c r="N836" s="10" t="str">
        <f>IFERROR(VLOOKUP(E836,'Daily Attendance 25-26'!$A$1:$BO$1741,5,0),"")</f>
        <v/>
      </c>
      <c r="O836" s="10"/>
      <c r="P836" s="10"/>
      <c r="Q836" s="10" t="str">
        <f t="shared" si="5"/>
        <v>#DIV/0!</v>
      </c>
      <c r="R836" s="10" t="str">
        <f t="shared" si="6"/>
        <v>#DIV/0!</v>
      </c>
      <c r="S836" s="10" t="str">
        <f t="shared" si="23"/>
        <v>#DIV/0!</v>
      </c>
      <c r="T836" s="10" t="str">
        <f t="shared" si="22"/>
        <v>#DIV/0!</v>
      </c>
      <c r="U836" s="10" t="str">
        <f t="shared" si="8"/>
        <v>#DIV/0!</v>
      </c>
      <c r="V836" s="10"/>
      <c r="W836" s="10"/>
      <c r="X836" s="10"/>
      <c r="Y836" s="10"/>
      <c r="Z836" s="10"/>
      <c r="AA836" s="10"/>
      <c r="AB836" s="10"/>
      <c r="AC836" s="10"/>
      <c r="AD836" s="10"/>
      <c r="AE836" s="10"/>
      <c r="AF836" s="10"/>
    </row>
    <row r="837" hidden="1">
      <c r="A837" s="9" t="s">
        <v>1054</v>
      </c>
      <c r="B837" s="84"/>
      <c r="C837" s="9"/>
      <c r="D837" s="9" t="str">
        <f t="shared" si="1"/>
        <v/>
      </c>
      <c r="E837" s="10" t="str">
        <f t="shared" si="2"/>
        <v>OT Hours</v>
      </c>
      <c r="F837" s="10" t="str">
        <f>IFERROR(VLOOKUP(C837,'Employees List'!$B$1:$I$999,4,0),"")</f>
        <v/>
      </c>
      <c r="G837" s="10" t="str">
        <f t="shared" si="21"/>
        <v>#DIV/0!</v>
      </c>
      <c r="H837" s="72" t="str">
        <f>IFERROR(VLOOKUP(C837,'Employees List'!$B$2:$I$991,7,0),"")</f>
        <v/>
      </c>
      <c r="I837" s="73" t="str">
        <f>IFERROR(VLOOKUP(F837,'Employees List'!$E$1:$AE$991,6,0),"")</f>
        <v/>
      </c>
      <c r="J837" s="71">
        <f t="shared" si="3"/>
        <v>0</v>
      </c>
      <c r="K837" s="71">
        <f t="shared" si="4"/>
        <v>0</v>
      </c>
      <c r="L837" s="10" t="str">
        <f>IFERROR(VLOOKUP(B837,'Employees List'!$A$2:$K$991,11,0),"")</f>
        <v/>
      </c>
      <c r="M837" s="74" t="str">
        <f>IFERROR(VLOOKUP(D837,'Daily Attendance 25-26'!$A$4:BP999,5,0),"")</f>
        <v/>
      </c>
      <c r="N837" s="10" t="str">
        <f>IFERROR(VLOOKUP(E837,'Daily Attendance 25-26'!$A$1:$BO$1741,5,0),"")</f>
        <v/>
      </c>
      <c r="O837" s="10"/>
      <c r="P837" s="10"/>
      <c r="Q837" s="10" t="str">
        <f t="shared" si="5"/>
        <v>#DIV/0!</v>
      </c>
      <c r="R837" s="10" t="str">
        <f t="shared" si="6"/>
        <v>#DIV/0!</v>
      </c>
      <c r="S837" s="10" t="str">
        <f t="shared" si="23"/>
        <v>#DIV/0!</v>
      </c>
      <c r="T837" s="10" t="str">
        <f t="shared" si="22"/>
        <v>#DIV/0!</v>
      </c>
      <c r="U837" s="10" t="str">
        <f t="shared" si="8"/>
        <v>#DIV/0!</v>
      </c>
      <c r="V837" s="10"/>
      <c r="W837" s="10"/>
      <c r="X837" s="10"/>
      <c r="Y837" s="10"/>
      <c r="Z837" s="10"/>
      <c r="AA837" s="10"/>
      <c r="AB837" s="10"/>
      <c r="AC837" s="10"/>
      <c r="AD837" s="10"/>
      <c r="AE837" s="10"/>
      <c r="AF837" s="10"/>
    </row>
    <row r="838" hidden="1">
      <c r="A838" s="9" t="s">
        <v>1055</v>
      </c>
      <c r="B838" s="84"/>
      <c r="C838" s="9"/>
      <c r="D838" s="9" t="str">
        <f t="shared" si="1"/>
        <v/>
      </c>
      <c r="E838" s="10" t="str">
        <f t="shared" si="2"/>
        <v>OT Hours</v>
      </c>
      <c r="F838" s="10" t="str">
        <f>IFERROR(VLOOKUP(C838,'Employees List'!$B$1:$I$999,4,0),"")</f>
        <v/>
      </c>
      <c r="G838" s="10" t="str">
        <f t="shared" si="21"/>
        <v>#DIV/0!</v>
      </c>
      <c r="H838" s="72" t="str">
        <f>IFERROR(VLOOKUP(C838,'Employees List'!$B$2:$I$991,7,0),"")</f>
        <v/>
      </c>
      <c r="I838" s="73" t="str">
        <f>IFERROR(VLOOKUP(F838,'Employees List'!$E$1:$AE$991,6,0),"")</f>
        <v/>
      </c>
      <c r="J838" s="71">
        <f t="shared" si="3"/>
        <v>0</v>
      </c>
      <c r="K838" s="71">
        <f t="shared" si="4"/>
        <v>0</v>
      </c>
      <c r="L838" s="10" t="str">
        <f>IFERROR(VLOOKUP(B838,'Employees List'!$A$2:$K$991,11,0),"")</f>
        <v/>
      </c>
      <c r="M838" s="74" t="str">
        <f>IFERROR(VLOOKUP(D838,'Daily Attendance 25-26'!$A$4:BP999,5,0),"")</f>
        <v/>
      </c>
      <c r="N838" s="10" t="str">
        <f>IFERROR(VLOOKUP(E838,'Daily Attendance 25-26'!$A$1:$BO$1741,5,0),"")</f>
        <v/>
      </c>
      <c r="O838" s="10"/>
      <c r="P838" s="10"/>
      <c r="Q838" s="10" t="str">
        <f t="shared" si="5"/>
        <v>#DIV/0!</v>
      </c>
      <c r="R838" s="10" t="str">
        <f t="shared" si="6"/>
        <v>#DIV/0!</v>
      </c>
      <c r="S838" s="10" t="str">
        <f t="shared" si="23"/>
        <v>#DIV/0!</v>
      </c>
      <c r="T838" s="10" t="str">
        <f t="shared" si="22"/>
        <v>#DIV/0!</v>
      </c>
      <c r="U838" s="10" t="str">
        <f t="shared" si="8"/>
        <v>#DIV/0!</v>
      </c>
      <c r="V838" s="10"/>
      <c r="W838" s="10"/>
      <c r="X838" s="10"/>
      <c r="Y838" s="10"/>
      <c r="Z838" s="10"/>
      <c r="AA838" s="10"/>
      <c r="AB838" s="10"/>
      <c r="AC838" s="10"/>
      <c r="AD838" s="10"/>
      <c r="AE838" s="10"/>
      <c r="AF838" s="10"/>
    </row>
    <row r="839" hidden="1">
      <c r="A839" s="9" t="s">
        <v>1056</v>
      </c>
      <c r="B839" s="84"/>
      <c r="C839" s="9"/>
      <c r="D839" s="9" t="str">
        <f t="shared" si="1"/>
        <v/>
      </c>
      <c r="E839" s="10" t="str">
        <f t="shared" si="2"/>
        <v>OT Hours</v>
      </c>
      <c r="F839" s="10" t="str">
        <f>IFERROR(VLOOKUP(C839,'Employees List'!$B$1:$I$999,4,0),"")</f>
        <v/>
      </c>
      <c r="G839" s="10" t="str">
        <f t="shared" si="21"/>
        <v>#DIV/0!</v>
      </c>
      <c r="H839" s="72" t="str">
        <f>IFERROR(VLOOKUP(C839,'Employees List'!$B$2:$I$991,7,0),"")</f>
        <v/>
      </c>
      <c r="I839" s="73" t="str">
        <f>IFERROR(VLOOKUP(F839,'Employees List'!$E$1:$AE$991,6,0),"")</f>
        <v/>
      </c>
      <c r="J839" s="71">
        <f t="shared" si="3"/>
        <v>0</v>
      </c>
      <c r="K839" s="71">
        <f t="shared" si="4"/>
        <v>0</v>
      </c>
      <c r="L839" s="10" t="str">
        <f>IFERROR(VLOOKUP(B839,'Employees List'!$A$2:$K$991,11,0),"")</f>
        <v/>
      </c>
      <c r="M839" s="74" t="str">
        <f>IFERROR(VLOOKUP(D839,'Daily Attendance 25-26'!$A$4:BP999,5,0),"")</f>
        <v/>
      </c>
      <c r="N839" s="10" t="str">
        <f>IFERROR(VLOOKUP(E839,'Daily Attendance 25-26'!$A$1:$BO$1741,5,0),"")</f>
        <v/>
      </c>
      <c r="O839" s="10"/>
      <c r="P839" s="10"/>
      <c r="Q839" s="10" t="str">
        <f t="shared" si="5"/>
        <v>#DIV/0!</v>
      </c>
      <c r="R839" s="10" t="str">
        <f t="shared" si="6"/>
        <v>#DIV/0!</v>
      </c>
      <c r="S839" s="10" t="str">
        <f t="shared" si="23"/>
        <v>#DIV/0!</v>
      </c>
      <c r="T839" s="10" t="str">
        <f t="shared" si="22"/>
        <v>#DIV/0!</v>
      </c>
      <c r="U839" s="10" t="str">
        <f t="shared" si="8"/>
        <v>#DIV/0!</v>
      </c>
      <c r="V839" s="10"/>
      <c r="W839" s="10"/>
      <c r="X839" s="10"/>
      <c r="Y839" s="10"/>
      <c r="Z839" s="10"/>
      <c r="AA839" s="10"/>
      <c r="AB839" s="10"/>
      <c r="AC839" s="10"/>
      <c r="AD839" s="10"/>
      <c r="AE839" s="10"/>
      <c r="AF839" s="10"/>
    </row>
    <row r="840" hidden="1">
      <c r="A840" s="9" t="s">
        <v>1057</v>
      </c>
      <c r="B840" s="84"/>
      <c r="C840" s="9"/>
      <c r="D840" s="9" t="str">
        <f t="shared" si="1"/>
        <v/>
      </c>
      <c r="E840" s="10" t="str">
        <f t="shared" si="2"/>
        <v>OT Hours</v>
      </c>
      <c r="F840" s="10" t="str">
        <f>IFERROR(VLOOKUP(C840,'Employees List'!$B$1:$I$999,4,0),"")</f>
        <v/>
      </c>
      <c r="G840" s="10" t="str">
        <f t="shared" si="21"/>
        <v>#DIV/0!</v>
      </c>
      <c r="H840" s="72" t="str">
        <f>IFERROR(VLOOKUP(C840,'Employees List'!$B$2:$I$991,7,0),"")</f>
        <v/>
      </c>
      <c r="I840" s="73" t="str">
        <f>IFERROR(VLOOKUP(F840,'Employees List'!$E$1:$AE$991,6,0),"")</f>
        <v/>
      </c>
      <c r="J840" s="71">
        <f t="shared" si="3"/>
        <v>0</v>
      </c>
      <c r="K840" s="71">
        <f t="shared" si="4"/>
        <v>0</v>
      </c>
      <c r="L840" s="10" t="str">
        <f>IFERROR(VLOOKUP(B840,'Employees List'!$A$2:$K$991,11,0),"")</f>
        <v/>
      </c>
      <c r="M840" s="74" t="str">
        <f>IFERROR(VLOOKUP(D840,'Daily Attendance 25-26'!$A$4:BP999,5,0),"")</f>
        <v/>
      </c>
      <c r="N840" s="10" t="str">
        <f>IFERROR(VLOOKUP(E840,'Daily Attendance 25-26'!$A$1:$BO$1741,5,0),"")</f>
        <v/>
      </c>
      <c r="O840" s="10"/>
      <c r="P840" s="10"/>
      <c r="Q840" s="10" t="str">
        <f t="shared" si="5"/>
        <v>#DIV/0!</v>
      </c>
      <c r="R840" s="10" t="str">
        <f t="shared" si="6"/>
        <v>#DIV/0!</v>
      </c>
      <c r="S840" s="10" t="str">
        <f t="shared" si="23"/>
        <v>#DIV/0!</v>
      </c>
      <c r="T840" s="10" t="str">
        <f t="shared" si="22"/>
        <v>#DIV/0!</v>
      </c>
      <c r="U840" s="10" t="str">
        <f t="shared" si="8"/>
        <v>#DIV/0!</v>
      </c>
      <c r="V840" s="10"/>
      <c r="W840" s="10"/>
      <c r="X840" s="10"/>
      <c r="Y840" s="10"/>
      <c r="Z840" s="10"/>
      <c r="AA840" s="10"/>
      <c r="AB840" s="10"/>
      <c r="AC840" s="10"/>
      <c r="AD840" s="10"/>
      <c r="AE840" s="10"/>
      <c r="AF840" s="10"/>
    </row>
    <row r="841" hidden="1">
      <c r="A841" s="9" t="s">
        <v>1058</v>
      </c>
      <c r="B841" s="84"/>
      <c r="C841" s="9"/>
      <c r="D841" s="9" t="str">
        <f t="shared" si="1"/>
        <v/>
      </c>
      <c r="E841" s="10" t="str">
        <f t="shared" si="2"/>
        <v>OT Hours</v>
      </c>
      <c r="F841" s="10" t="str">
        <f>IFERROR(VLOOKUP(C841,'Employees List'!$B$1:$I$999,4,0),"")</f>
        <v/>
      </c>
      <c r="G841" s="10" t="str">
        <f t="shared" si="21"/>
        <v>#DIV/0!</v>
      </c>
      <c r="H841" s="72" t="str">
        <f>IFERROR(VLOOKUP(C841,'Employees List'!$B$2:$I$991,7,0),"")</f>
        <v/>
      </c>
      <c r="I841" s="73" t="str">
        <f>IFERROR(VLOOKUP(F841,'Employees List'!$E$1:$AE$991,6,0),"")</f>
        <v/>
      </c>
      <c r="J841" s="71">
        <f t="shared" si="3"/>
        <v>0</v>
      </c>
      <c r="K841" s="71">
        <f t="shared" si="4"/>
        <v>0</v>
      </c>
      <c r="L841" s="10" t="str">
        <f>IFERROR(VLOOKUP(B841,'Employees List'!$A$2:$K$991,11,0),"")</f>
        <v/>
      </c>
      <c r="M841" s="74" t="str">
        <f>IFERROR(VLOOKUP(D841,'Daily Attendance 25-26'!$A$4:BP999,5,0),"")</f>
        <v/>
      </c>
      <c r="N841" s="10" t="str">
        <f>IFERROR(VLOOKUP(E841,'Daily Attendance 25-26'!$A$1:$BO$1741,5,0),"")</f>
        <v/>
      </c>
      <c r="O841" s="10"/>
      <c r="P841" s="10"/>
      <c r="Q841" s="10" t="str">
        <f t="shared" si="5"/>
        <v>#DIV/0!</v>
      </c>
      <c r="R841" s="10" t="str">
        <f t="shared" si="6"/>
        <v>#DIV/0!</v>
      </c>
      <c r="S841" s="10" t="str">
        <f t="shared" si="23"/>
        <v>#DIV/0!</v>
      </c>
      <c r="T841" s="10" t="str">
        <f t="shared" si="22"/>
        <v>#DIV/0!</v>
      </c>
      <c r="U841" s="10" t="str">
        <f t="shared" si="8"/>
        <v>#DIV/0!</v>
      </c>
      <c r="V841" s="10"/>
      <c r="W841" s="10"/>
      <c r="X841" s="10"/>
      <c r="Y841" s="10"/>
      <c r="Z841" s="10"/>
      <c r="AA841" s="10"/>
      <c r="AB841" s="10"/>
      <c r="AC841" s="10"/>
      <c r="AD841" s="10"/>
      <c r="AE841" s="10"/>
      <c r="AF841" s="10"/>
    </row>
    <row r="842" hidden="1">
      <c r="A842" s="9" t="s">
        <v>1059</v>
      </c>
      <c r="B842" s="84"/>
      <c r="C842" s="9"/>
      <c r="D842" s="9" t="str">
        <f t="shared" si="1"/>
        <v/>
      </c>
      <c r="E842" s="10" t="str">
        <f t="shared" si="2"/>
        <v>OT Hours</v>
      </c>
      <c r="F842" s="10" t="str">
        <f>IFERROR(VLOOKUP(C842,'Employees List'!$B$1:$I$999,4,0),"")</f>
        <v/>
      </c>
      <c r="G842" s="10" t="str">
        <f t="shared" si="21"/>
        <v>#DIV/0!</v>
      </c>
      <c r="H842" s="72" t="str">
        <f>IFERROR(VLOOKUP(C842,'Employees List'!$B$2:$I$991,7,0),"")</f>
        <v/>
      </c>
      <c r="I842" s="73" t="str">
        <f>IFERROR(VLOOKUP(F842,'Employees List'!$E$1:$AE$991,6,0),"")</f>
        <v/>
      </c>
      <c r="J842" s="71">
        <f t="shared" si="3"/>
        <v>0</v>
      </c>
      <c r="K842" s="71">
        <f t="shared" si="4"/>
        <v>0</v>
      </c>
      <c r="L842" s="10" t="str">
        <f>IFERROR(VLOOKUP(B842,'Employees List'!$A$2:$K$991,11,0),"")</f>
        <v/>
      </c>
      <c r="M842" s="74" t="str">
        <f>IFERROR(VLOOKUP(D842,'Daily Attendance 25-26'!$A$4:BP999,5,0),"")</f>
        <v/>
      </c>
      <c r="N842" s="10" t="str">
        <f>IFERROR(VLOOKUP(E842,'Daily Attendance 25-26'!$A$1:$BO$1741,5,0),"")</f>
        <v/>
      </c>
      <c r="O842" s="10"/>
      <c r="P842" s="10"/>
      <c r="Q842" s="10" t="str">
        <f t="shared" si="5"/>
        <v>#DIV/0!</v>
      </c>
      <c r="R842" s="10" t="str">
        <f t="shared" si="6"/>
        <v>#DIV/0!</v>
      </c>
      <c r="S842" s="10" t="str">
        <f t="shared" si="23"/>
        <v>#DIV/0!</v>
      </c>
      <c r="T842" s="10" t="str">
        <f t="shared" si="22"/>
        <v>#DIV/0!</v>
      </c>
      <c r="U842" s="10" t="str">
        <f t="shared" si="8"/>
        <v>#DIV/0!</v>
      </c>
      <c r="V842" s="10"/>
      <c r="W842" s="10"/>
      <c r="X842" s="10"/>
      <c r="Y842" s="10"/>
      <c r="Z842" s="10"/>
      <c r="AA842" s="10"/>
      <c r="AB842" s="10"/>
      <c r="AC842" s="10"/>
      <c r="AD842" s="10"/>
      <c r="AE842" s="10"/>
      <c r="AF842" s="10"/>
    </row>
    <row r="843" hidden="1">
      <c r="A843" s="9" t="s">
        <v>1060</v>
      </c>
      <c r="B843" s="84"/>
      <c r="C843" s="9"/>
      <c r="D843" s="9" t="str">
        <f t="shared" si="1"/>
        <v/>
      </c>
      <c r="E843" s="10" t="str">
        <f t="shared" si="2"/>
        <v>OT Hours</v>
      </c>
      <c r="F843" s="10" t="str">
        <f>IFERROR(VLOOKUP(C843,'Employees List'!$B$1:$I$999,4,0),"")</f>
        <v/>
      </c>
      <c r="G843" s="10" t="str">
        <f t="shared" si="21"/>
        <v>#DIV/0!</v>
      </c>
      <c r="H843" s="72" t="str">
        <f>IFERROR(VLOOKUP(C843,'Employees List'!$B$2:$I$991,7,0),"")</f>
        <v/>
      </c>
      <c r="I843" s="73" t="str">
        <f>IFERROR(VLOOKUP(F843,'Employees List'!$E$1:$AE$991,6,0),"")</f>
        <v/>
      </c>
      <c r="J843" s="71">
        <f t="shared" si="3"/>
        <v>0</v>
      </c>
      <c r="K843" s="71">
        <f t="shared" si="4"/>
        <v>0</v>
      </c>
      <c r="L843" s="10" t="str">
        <f>IFERROR(VLOOKUP(B843,'Employees List'!$A$2:$K$991,11,0),"")</f>
        <v/>
      </c>
      <c r="M843" s="74" t="str">
        <f>IFERROR(VLOOKUP(D843,'Daily Attendance 25-26'!$A$4:BP999,5,0),"")</f>
        <v/>
      </c>
      <c r="N843" s="10" t="str">
        <f>IFERROR(VLOOKUP(E843,'Daily Attendance 25-26'!$A$1:$BO$1741,5,0),"")</f>
        <v/>
      </c>
      <c r="O843" s="10"/>
      <c r="P843" s="10"/>
      <c r="Q843" s="10" t="str">
        <f t="shared" si="5"/>
        <v>#DIV/0!</v>
      </c>
      <c r="R843" s="10" t="str">
        <f t="shared" si="6"/>
        <v>#DIV/0!</v>
      </c>
      <c r="S843" s="10" t="str">
        <f t="shared" si="23"/>
        <v>#DIV/0!</v>
      </c>
      <c r="T843" s="10" t="str">
        <f t="shared" si="22"/>
        <v>#DIV/0!</v>
      </c>
      <c r="U843" s="10" t="str">
        <f t="shared" si="8"/>
        <v>#DIV/0!</v>
      </c>
      <c r="V843" s="10"/>
      <c r="W843" s="10"/>
      <c r="X843" s="10"/>
      <c r="Y843" s="10"/>
      <c r="Z843" s="10"/>
      <c r="AA843" s="10"/>
      <c r="AB843" s="10"/>
      <c r="AC843" s="10"/>
      <c r="AD843" s="10"/>
      <c r="AE843" s="10"/>
      <c r="AF843" s="10"/>
    </row>
    <row r="844" hidden="1">
      <c r="A844" s="9" t="s">
        <v>1061</v>
      </c>
      <c r="B844" s="84"/>
      <c r="C844" s="9"/>
      <c r="D844" s="9" t="str">
        <f t="shared" si="1"/>
        <v/>
      </c>
      <c r="E844" s="10" t="str">
        <f t="shared" si="2"/>
        <v>OT Hours</v>
      </c>
      <c r="F844" s="10" t="str">
        <f>IFERROR(VLOOKUP(C844,'Employees List'!$B$1:$I$999,4,0),"")</f>
        <v/>
      </c>
      <c r="G844" s="10" t="str">
        <f t="shared" si="21"/>
        <v>#DIV/0!</v>
      </c>
      <c r="H844" s="72" t="str">
        <f>IFERROR(VLOOKUP(C844,'Employees List'!$B$2:$I$991,7,0),"")</f>
        <v/>
      </c>
      <c r="I844" s="73" t="str">
        <f>IFERROR(VLOOKUP(F844,'Employees List'!$E$1:$AE$991,6,0),"")</f>
        <v/>
      </c>
      <c r="J844" s="71">
        <f t="shared" si="3"/>
        <v>0</v>
      </c>
      <c r="K844" s="71">
        <f t="shared" si="4"/>
        <v>0</v>
      </c>
      <c r="L844" s="10" t="str">
        <f>IFERROR(VLOOKUP(B844,'Employees List'!$A$2:$K$991,11,0),"")</f>
        <v/>
      </c>
      <c r="M844" s="74" t="str">
        <f>IFERROR(VLOOKUP(D844,'Daily Attendance 25-26'!$A$4:BP999,5,0),"")</f>
        <v/>
      </c>
      <c r="N844" s="10" t="str">
        <f>IFERROR(VLOOKUP(E844,'Daily Attendance 25-26'!$A$1:$BO$1741,5,0),"")</f>
        <v/>
      </c>
      <c r="O844" s="10"/>
      <c r="P844" s="10"/>
      <c r="Q844" s="10" t="str">
        <f t="shared" si="5"/>
        <v>#DIV/0!</v>
      </c>
      <c r="R844" s="10" t="str">
        <f t="shared" si="6"/>
        <v>#DIV/0!</v>
      </c>
      <c r="S844" s="10" t="str">
        <f t="shared" si="23"/>
        <v>#DIV/0!</v>
      </c>
      <c r="T844" s="10" t="str">
        <f t="shared" si="22"/>
        <v>#DIV/0!</v>
      </c>
      <c r="U844" s="10" t="str">
        <f t="shared" si="8"/>
        <v>#DIV/0!</v>
      </c>
      <c r="V844" s="10"/>
      <c r="W844" s="10"/>
      <c r="X844" s="10"/>
      <c r="Y844" s="10"/>
      <c r="Z844" s="10"/>
      <c r="AA844" s="10"/>
      <c r="AB844" s="10"/>
      <c r="AC844" s="10"/>
      <c r="AD844" s="10"/>
      <c r="AE844" s="10"/>
      <c r="AF844" s="10"/>
    </row>
    <row r="845" hidden="1">
      <c r="A845" s="9" t="s">
        <v>1062</v>
      </c>
      <c r="B845" s="84"/>
      <c r="C845" s="9"/>
      <c r="D845" s="9" t="str">
        <f t="shared" si="1"/>
        <v/>
      </c>
      <c r="E845" s="10" t="str">
        <f t="shared" si="2"/>
        <v>OT Hours</v>
      </c>
      <c r="F845" s="10" t="str">
        <f>IFERROR(VLOOKUP(C845,'Employees List'!$B$1:$I$999,4,0),"")</f>
        <v/>
      </c>
      <c r="G845" s="10" t="str">
        <f t="shared" si="21"/>
        <v>#DIV/0!</v>
      </c>
      <c r="H845" s="72" t="str">
        <f>IFERROR(VLOOKUP(C845,'Employees List'!$B$2:$I$991,7,0),"")</f>
        <v/>
      </c>
      <c r="I845" s="73" t="str">
        <f>IFERROR(VLOOKUP(F845,'Employees List'!$E$1:$AE$991,6,0),"")</f>
        <v/>
      </c>
      <c r="J845" s="71">
        <f t="shared" si="3"/>
        <v>0</v>
      </c>
      <c r="K845" s="71">
        <f t="shared" si="4"/>
        <v>0</v>
      </c>
      <c r="L845" s="10" t="str">
        <f>IFERROR(VLOOKUP(B845,'Employees List'!$A$2:$K$991,11,0),"")</f>
        <v/>
      </c>
      <c r="M845" s="74" t="str">
        <f>IFERROR(VLOOKUP(D845,'Daily Attendance 25-26'!$A$4:BP999,5,0),"")</f>
        <v/>
      </c>
      <c r="N845" s="10" t="str">
        <f>IFERROR(VLOOKUP(E845,'Daily Attendance 25-26'!$A$1:$BO$1741,5,0),"")</f>
        <v/>
      </c>
      <c r="O845" s="10"/>
      <c r="P845" s="10"/>
      <c r="Q845" s="10" t="str">
        <f t="shared" si="5"/>
        <v>#DIV/0!</v>
      </c>
      <c r="R845" s="10" t="str">
        <f t="shared" si="6"/>
        <v>#DIV/0!</v>
      </c>
      <c r="S845" s="10" t="str">
        <f t="shared" si="23"/>
        <v>#DIV/0!</v>
      </c>
      <c r="T845" s="10" t="str">
        <f t="shared" si="22"/>
        <v>#DIV/0!</v>
      </c>
      <c r="U845" s="10" t="str">
        <f t="shared" si="8"/>
        <v>#DIV/0!</v>
      </c>
      <c r="V845" s="10"/>
      <c r="W845" s="10"/>
      <c r="X845" s="10"/>
      <c r="Y845" s="10"/>
      <c r="Z845" s="10"/>
      <c r="AA845" s="10"/>
      <c r="AB845" s="10"/>
      <c r="AC845" s="10"/>
      <c r="AD845" s="10"/>
      <c r="AE845" s="10"/>
      <c r="AF845" s="10"/>
    </row>
    <row r="846" hidden="1">
      <c r="A846" s="9" t="s">
        <v>1063</v>
      </c>
      <c r="B846" s="84"/>
      <c r="C846" s="9"/>
      <c r="D846" s="9" t="str">
        <f t="shared" si="1"/>
        <v/>
      </c>
      <c r="E846" s="10" t="str">
        <f t="shared" si="2"/>
        <v>OT Hours</v>
      </c>
      <c r="F846" s="10" t="str">
        <f>IFERROR(VLOOKUP(C846,'Employees List'!$B$1:$I$999,4,0),"")</f>
        <v/>
      </c>
      <c r="G846" s="10" t="str">
        <f t="shared" si="21"/>
        <v>#DIV/0!</v>
      </c>
      <c r="H846" s="72" t="str">
        <f>IFERROR(VLOOKUP(C846,'Employees List'!$B$2:$I$991,7,0),"")</f>
        <v/>
      </c>
      <c r="I846" s="73" t="str">
        <f>IFERROR(VLOOKUP(F846,'Employees List'!$E$1:$AE$991,6,0),"")</f>
        <v/>
      </c>
      <c r="J846" s="71">
        <f t="shared" si="3"/>
        <v>0</v>
      </c>
      <c r="K846" s="71">
        <f t="shared" si="4"/>
        <v>0</v>
      </c>
      <c r="L846" s="10" t="str">
        <f>IFERROR(VLOOKUP(B846,'Employees List'!$A$2:$K$991,11,0),"")</f>
        <v/>
      </c>
      <c r="M846" s="74" t="str">
        <f>IFERROR(VLOOKUP(D846,'Daily Attendance 25-26'!$A$4:BP999,5,0),"")</f>
        <v/>
      </c>
      <c r="N846" s="10" t="str">
        <f>IFERROR(VLOOKUP(E846,'Daily Attendance 25-26'!$A$1:$BO$1741,5,0),"")</f>
        <v/>
      </c>
      <c r="O846" s="10"/>
      <c r="P846" s="10"/>
      <c r="Q846" s="10" t="str">
        <f t="shared" si="5"/>
        <v>#DIV/0!</v>
      </c>
      <c r="R846" s="10" t="str">
        <f t="shared" si="6"/>
        <v>#DIV/0!</v>
      </c>
      <c r="S846" s="10" t="str">
        <f t="shared" si="23"/>
        <v>#DIV/0!</v>
      </c>
      <c r="T846" s="10" t="str">
        <f t="shared" si="22"/>
        <v>#DIV/0!</v>
      </c>
      <c r="U846" s="10" t="str">
        <f t="shared" si="8"/>
        <v>#DIV/0!</v>
      </c>
      <c r="V846" s="10"/>
      <c r="W846" s="10"/>
      <c r="X846" s="10"/>
      <c r="Y846" s="10"/>
      <c r="Z846" s="10"/>
      <c r="AA846" s="10"/>
      <c r="AB846" s="10"/>
      <c r="AC846" s="10"/>
      <c r="AD846" s="10"/>
      <c r="AE846" s="10"/>
      <c r="AF846" s="10"/>
    </row>
    <row r="847" hidden="1">
      <c r="A847" s="9" t="s">
        <v>1064</v>
      </c>
      <c r="B847" s="84"/>
      <c r="C847" s="9"/>
      <c r="D847" s="9" t="str">
        <f t="shared" si="1"/>
        <v/>
      </c>
      <c r="E847" s="10" t="str">
        <f t="shared" si="2"/>
        <v>OT Hours</v>
      </c>
      <c r="F847" s="10" t="str">
        <f>IFERROR(VLOOKUP(C847,'Employees List'!$B$1:$I$999,4,0),"")</f>
        <v/>
      </c>
      <c r="G847" s="10" t="str">
        <f t="shared" si="21"/>
        <v>#DIV/0!</v>
      </c>
      <c r="H847" s="72" t="str">
        <f>IFERROR(VLOOKUP(C847,'Employees List'!$B$2:$I$991,7,0),"")</f>
        <v/>
      </c>
      <c r="I847" s="73" t="str">
        <f>IFERROR(VLOOKUP(F847,'Employees List'!$E$1:$AE$991,6,0),"")</f>
        <v/>
      </c>
      <c r="J847" s="71">
        <f t="shared" si="3"/>
        <v>0</v>
      </c>
      <c r="K847" s="71">
        <f t="shared" si="4"/>
        <v>0</v>
      </c>
      <c r="L847" s="10" t="str">
        <f>IFERROR(VLOOKUP(B847,'Employees List'!$A$2:$K$991,11,0),"")</f>
        <v/>
      </c>
      <c r="M847" s="74" t="str">
        <f>IFERROR(VLOOKUP(D847,'Daily Attendance 25-26'!$A$4:BP999,5,0),"")</f>
        <v/>
      </c>
      <c r="N847" s="10" t="str">
        <f>IFERROR(VLOOKUP(E847,'Daily Attendance 25-26'!$A$1:$BO$1741,5,0),"")</f>
        <v/>
      </c>
      <c r="O847" s="10"/>
      <c r="P847" s="10"/>
      <c r="Q847" s="10" t="str">
        <f t="shared" si="5"/>
        <v>#DIV/0!</v>
      </c>
      <c r="R847" s="10" t="str">
        <f t="shared" si="6"/>
        <v>#DIV/0!</v>
      </c>
      <c r="S847" s="10" t="str">
        <f t="shared" si="23"/>
        <v>#DIV/0!</v>
      </c>
      <c r="T847" s="10" t="str">
        <f t="shared" si="22"/>
        <v>#DIV/0!</v>
      </c>
      <c r="U847" s="10" t="str">
        <f t="shared" si="8"/>
        <v>#DIV/0!</v>
      </c>
      <c r="V847" s="10"/>
      <c r="W847" s="10"/>
      <c r="X847" s="10"/>
      <c r="Y847" s="10"/>
      <c r="Z847" s="10"/>
      <c r="AA847" s="10"/>
      <c r="AB847" s="10"/>
      <c r="AC847" s="10"/>
      <c r="AD847" s="10"/>
      <c r="AE847" s="10"/>
      <c r="AF847" s="10"/>
    </row>
    <row r="848" hidden="1">
      <c r="A848" s="9" t="s">
        <v>1065</v>
      </c>
      <c r="B848" s="84"/>
      <c r="C848" s="9"/>
      <c r="D848" s="9" t="str">
        <f t="shared" si="1"/>
        <v/>
      </c>
      <c r="E848" s="10" t="str">
        <f t="shared" si="2"/>
        <v>OT Hours</v>
      </c>
      <c r="F848" s="10" t="str">
        <f>IFERROR(VLOOKUP(C848,'Employees List'!$B$1:$I$999,4,0),"")</f>
        <v/>
      </c>
      <c r="G848" s="10" t="str">
        <f t="shared" si="21"/>
        <v>#DIV/0!</v>
      </c>
      <c r="H848" s="72" t="str">
        <f>IFERROR(VLOOKUP(C848,'Employees List'!$B$2:$I$991,7,0),"")</f>
        <v/>
      </c>
      <c r="I848" s="73" t="str">
        <f>IFERROR(VLOOKUP(F848,'Employees List'!$E$1:$AE$991,6,0),"")</f>
        <v/>
      </c>
      <c r="J848" s="71">
        <f t="shared" si="3"/>
        <v>0</v>
      </c>
      <c r="K848" s="71">
        <f t="shared" si="4"/>
        <v>0</v>
      </c>
      <c r="L848" s="10" t="str">
        <f>IFERROR(VLOOKUP(B848,'Employees List'!$A$2:$K$991,11,0),"")</f>
        <v/>
      </c>
      <c r="M848" s="74" t="str">
        <f>IFERROR(VLOOKUP(D848,'Daily Attendance 25-26'!$A$4:BP999,5,0),"")</f>
        <v/>
      </c>
      <c r="N848" s="10" t="str">
        <f>IFERROR(VLOOKUP(E848,'Daily Attendance 25-26'!$A$1:$BO$1741,5,0),"")</f>
        <v/>
      </c>
      <c r="O848" s="10"/>
      <c r="P848" s="10"/>
      <c r="Q848" s="10" t="str">
        <f t="shared" si="5"/>
        <v>#DIV/0!</v>
      </c>
      <c r="R848" s="10" t="str">
        <f t="shared" si="6"/>
        <v>#DIV/0!</v>
      </c>
      <c r="S848" s="10" t="str">
        <f t="shared" si="23"/>
        <v>#DIV/0!</v>
      </c>
      <c r="T848" s="10" t="str">
        <f t="shared" si="22"/>
        <v>#DIV/0!</v>
      </c>
      <c r="U848" s="10" t="str">
        <f t="shared" si="8"/>
        <v>#DIV/0!</v>
      </c>
      <c r="V848" s="10"/>
      <c r="W848" s="10"/>
      <c r="X848" s="10"/>
      <c r="Y848" s="10"/>
      <c r="Z848" s="10"/>
      <c r="AA848" s="10"/>
      <c r="AB848" s="10"/>
      <c r="AC848" s="10"/>
      <c r="AD848" s="10"/>
      <c r="AE848" s="10"/>
      <c r="AF848" s="10"/>
    </row>
    <row r="849" hidden="1">
      <c r="A849" s="9" t="s">
        <v>1066</v>
      </c>
      <c r="B849" s="84"/>
      <c r="C849" s="9"/>
      <c r="D849" s="9" t="str">
        <f t="shared" si="1"/>
        <v/>
      </c>
      <c r="E849" s="10" t="str">
        <f t="shared" si="2"/>
        <v>OT Hours</v>
      </c>
      <c r="F849" s="10" t="str">
        <f>IFERROR(VLOOKUP(C849,'Employees List'!$B$1:$I$999,4,0),"")</f>
        <v/>
      </c>
      <c r="G849" s="10" t="str">
        <f t="shared" si="21"/>
        <v>#DIV/0!</v>
      </c>
      <c r="H849" s="72" t="str">
        <f>IFERROR(VLOOKUP(C849,'Employees List'!$B$2:$I$991,7,0),"")</f>
        <v/>
      </c>
      <c r="I849" s="73" t="str">
        <f>IFERROR(VLOOKUP(F849,'Employees List'!$E$1:$AE$991,6,0),"")</f>
        <v/>
      </c>
      <c r="J849" s="71">
        <f t="shared" si="3"/>
        <v>0</v>
      </c>
      <c r="K849" s="71">
        <f t="shared" si="4"/>
        <v>0</v>
      </c>
      <c r="L849" s="10" t="str">
        <f>IFERROR(VLOOKUP(B849,'Employees List'!$A$2:$K$991,11,0),"")</f>
        <v/>
      </c>
      <c r="M849" s="74" t="str">
        <f>IFERROR(VLOOKUP(D849,'Daily Attendance 25-26'!$A$4:BP999,5,0),"")</f>
        <v/>
      </c>
      <c r="N849" s="10" t="str">
        <f>IFERROR(VLOOKUP(E849,'Daily Attendance 25-26'!$A$1:$BO$1741,5,0),"")</f>
        <v/>
      </c>
      <c r="O849" s="10"/>
      <c r="P849" s="10"/>
      <c r="Q849" s="10" t="str">
        <f t="shared" si="5"/>
        <v>#DIV/0!</v>
      </c>
      <c r="R849" s="10" t="str">
        <f t="shared" si="6"/>
        <v>#DIV/0!</v>
      </c>
      <c r="S849" s="10" t="str">
        <f t="shared" si="23"/>
        <v>#DIV/0!</v>
      </c>
      <c r="T849" s="10" t="str">
        <f t="shared" si="22"/>
        <v>#DIV/0!</v>
      </c>
      <c r="U849" s="10" t="str">
        <f t="shared" si="8"/>
        <v>#DIV/0!</v>
      </c>
      <c r="V849" s="10"/>
      <c r="W849" s="10"/>
      <c r="X849" s="10"/>
      <c r="Y849" s="10"/>
      <c r="Z849" s="10"/>
      <c r="AA849" s="10"/>
      <c r="AB849" s="10"/>
      <c r="AC849" s="10"/>
      <c r="AD849" s="10"/>
      <c r="AE849" s="10"/>
      <c r="AF849" s="10"/>
    </row>
    <row r="850" hidden="1">
      <c r="A850" s="9" t="s">
        <v>1067</v>
      </c>
      <c r="B850" s="84"/>
      <c r="C850" s="9"/>
      <c r="D850" s="9" t="str">
        <f t="shared" si="1"/>
        <v/>
      </c>
      <c r="E850" s="10" t="str">
        <f t="shared" si="2"/>
        <v>OT Hours</v>
      </c>
      <c r="F850" s="10" t="str">
        <f>IFERROR(VLOOKUP(C850,'Employees List'!$B$1:$I$999,4,0),"")</f>
        <v/>
      </c>
      <c r="G850" s="10" t="str">
        <f t="shared" si="21"/>
        <v>#DIV/0!</v>
      </c>
      <c r="H850" s="72" t="str">
        <f>IFERROR(VLOOKUP(C850,'Employees List'!$B$2:$I$991,7,0),"")</f>
        <v/>
      </c>
      <c r="I850" s="73" t="str">
        <f>IFERROR(VLOOKUP(F850,'Employees List'!$E$1:$AE$991,6,0),"")</f>
        <v/>
      </c>
      <c r="J850" s="71">
        <f t="shared" si="3"/>
        <v>0</v>
      </c>
      <c r="K850" s="71">
        <f t="shared" si="4"/>
        <v>0</v>
      </c>
      <c r="L850" s="10" t="str">
        <f>IFERROR(VLOOKUP(B850,'Employees List'!$A$2:$K$991,11,0),"")</f>
        <v/>
      </c>
      <c r="M850" s="74" t="str">
        <f>IFERROR(VLOOKUP(D850,'Daily Attendance 25-26'!$A$4:BP999,5,0),"")</f>
        <v/>
      </c>
      <c r="N850" s="10" t="str">
        <f>IFERROR(VLOOKUP(E850,'Daily Attendance 25-26'!$A$1:$BO$1741,5,0),"")</f>
        <v/>
      </c>
      <c r="O850" s="10"/>
      <c r="P850" s="10"/>
      <c r="Q850" s="10" t="str">
        <f t="shared" si="5"/>
        <v>#DIV/0!</v>
      </c>
      <c r="R850" s="10" t="str">
        <f t="shared" si="6"/>
        <v>#DIV/0!</v>
      </c>
      <c r="S850" s="10" t="str">
        <f t="shared" si="23"/>
        <v>#DIV/0!</v>
      </c>
      <c r="T850" s="10" t="str">
        <f t="shared" si="22"/>
        <v>#DIV/0!</v>
      </c>
      <c r="U850" s="10" t="str">
        <f t="shared" si="8"/>
        <v>#DIV/0!</v>
      </c>
      <c r="V850" s="10"/>
      <c r="W850" s="10"/>
      <c r="X850" s="10"/>
      <c r="Y850" s="10"/>
      <c r="Z850" s="10"/>
      <c r="AA850" s="10"/>
      <c r="AB850" s="10"/>
      <c r="AC850" s="10"/>
      <c r="AD850" s="10"/>
      <c r="AE850" s="10"/>
      <c r="AF850" s="10"/>
    </row>
    <row r="851" hidden="1">
      <c r="A851" s="9" t="s">
        <v>1068</v>
      </c>
      <c r="B851" s="84"/>
      <c r="C851" s="9"/>
      <c r="D851" s="9" t="str">
        <f t="shared" si="1"/>
        <v/>
      </c>
      <c r="E851" s="10" t="str">
        <f t="shared" si="2"/>
        <v>OT Hours</v>
      </c>
      <c r="F851" s="10" t="str">
        <f>IFERROR(VLOOKUP(C851,'Employees List'!$B$1:$I$999,4,0),"")</f>
        <v/>
      </c>
      <c r="G851" s="10" t="str">
        <f t="shared" si="21"/>
        <v>#DIV/0!</v>
      </c>
      <c r="H851" s="72" t="str">
        <f>IFERROR(VLOOKUP(C851,'Employees List'!$B$2:$I$991,7,0),"")</f>
        <v/>
      </c>
      <c r="I851" s="73" t="str">
        <f>IFERROR(VLOOKUP(F851,'Employees List'!$E$1:$AE$991,6,0),"")</f>
        <v/>
      </c>
      <c r="J851" s="71">
        <f t="shared" si="3"/>
        <v>0</v>
      </c>
      <c r="K851" s="71">
        <f t="shared" si="4"/>
        <v>0</v>
      </c>
      <c r="L851" s="10" t="str">
        <f>IFERROR(VLOOKUP(B851,'Employees List'!$A$2:$K$991,11,0),"")</f>
        <v/>
      </c>
      <c r="M851" s="74" t="str">
        <f>IFERROR(VLOOKUP(D851,'Daily Attendance 25-26'!$A$4:BP999,5,0),"")</f>
        <v/>
      </c>
      <c r="N851" s="10" t="str">
        <f>IFERROR(VLOOKUP(E851,'Daily Attendance 25-26'!$A$1:$BO$1741,5,0),"")</f>
        <v/>
      </c>
      <c r="O851" s="10"/>
      <c r="P851" s="10"/>
      <c r="Q851" s="10" t="str">
        <f t="shared" si="5"/>
        <v>#DIV/0!</v>
      </c>
      <c r="R851" s="10" t="str">
        <f t="shared" si="6"/>
        <v>#DIV/0!</v>
      </c>
      <c r="S851" s="10" t="str">
        <f t="shared" si="23"/>
        <v>#DIV/0!</v>
      </c>
      <c r="T851" s="10" t="str">
        <f t="shared" si="22"/>
        <v>#DIV/0!</v>
      </c>
      <c r="U851" s="10" t="str">
        <f t="shared" si="8"/>
        <v>#DIV/0!</v>
      </c>
      <c r="V851" s="10"/>
      <c r="W851" s="10"/>
      <c r="X851" s="10"/>
      <c r="Y851" s="10"/>
      <c r="Z851" s="10"/>
      <c r="AA851" s="10"/>
      <c r="AB851" s="10"/>
      <c r="AC851" s="10"/>
      <c r="AD851" s="10"/>
      <c r="AE851" s="10"/>
      <c r="AF851" s="10"/>
    </row>
    <row r="852" hidden="1">
      <c r="A852" s="9" t="s">
        <v>1069</v>
      </c>
      <c r="B852" s="84"/>
      <c r="C852" s="9"/>
      <c r="D852" s="9" t="str">
        <f t="shared" si="1"/>
        <v/>
      </c>
      <c r="E852" s="10" t="str">
        <f t="shared" si="2"/>
        <v>OT Hours</v>
      </c>
      <c r="F852" s="10" t="str">
        <f>IFERROR(VLOOKUP(C852,'Employees List'!$B$1:$I$999,4,0),"")</f>
        <v/>
      </c>
      <c r="G852" s="10" t="str">
        <f t="shared" si="21"/>
        <v>#DIV/0!</v>
      </c>
      <c r="H852" s="72" t="str">
        <f>IFERROR(VLOOKUP(C852,'Employees List'!$B$2:$I$991,7,0),"")</f>
        <v/>
      </c>
      <c r="I852" s="73" t="str">
        <f>IFERROR(VLOOKUP(F852,'Employees List'!$E$1:$AE$991,6,0),"")</f>
        <v/>
      </c>
      <c r="J852" s="71">
        <f t="shared" si="3"/>
        <v>0</v>
      </c>
      <c r="K852" s="71">
        <f t="shared" si="4"/>
        <v>0</v>
      </c>
      <c r="L852" s="10" t="str">
        <f>IFERROR(VLOOKUP(B852,'Employees List'!$A$2:$K$991,11,0),"")</f>
        <v/>
      </c>
      <c r="M852" s="74" t="str">
        <f>IFERROR(VLOOKUP(D852,'Daily Attendance 25-26'!$A$4:BP999,5,0),"")</f>
        <v/>
      </c>
      <c r="N852" s="10" t="str">
        <f>IFERROR(VLOOKUP(E852,'Daily Attendance 25-26'!$A$1:$BO$1741,5,0),"")</f>
        <v/>
      </c>
      <c r="O852" s="10"/>
      <c r="P852" s="10"/>
      <c r="Q852" s="10" t="str">
        <f t="shared" si="5"/>
        <v>#DIV/0!</v>
      </c>
      <c r="R852" s="10" t="str">
        <f t="shared" si="6"/>
        <v>#DIV/0!</v>
      </c>
      <c r="S852" s="10" t="str">
        <f t="shared" si="23"/>
        <v>#DIV/0!</v>
      </c>
      <c r="T852" s="10" t="str">
        <f t="shared" si="22"/>
        <v>#DIV/0!</v>
      </c>
      <c r="U852" s="10" t="str">
        <f t="shared" si="8"/>
        <v>#DIV/0!</v>
      </c>
      <c r="V852" s="10"/>
      <c r="W852" s="10"/>
      <c r="X852" s="10"/>
      <c r="Y852" s="10"/>
      <c r="Z852" s="10"/>
      <c r="AA852" s="10"/>
      <c r="AB852" s="10"/>
      <c r="AC852" s="10"/>
      <c r="AD852" s="10"/>
      <c r="AE852" s="10"/>
      <c r="AF852" s="10"/>
    </row>
    <row r="853" hidden="1">
      <c r="A853" s="9" t="s">
        <v>1070</v>
      </c>
      <c r="B853" s="84"/>
      <c r="C853" s="9"/>
      <c r="D853" s="9" t="str">
        <f t="shared" si="1"/>
        <v/>
      </c>
      <c r="E853" s="10" t="str">
        <f t="shared" si="2"/>
        <v>OT Hours</v>
      </c>
      <c r="F853" s="10" t="str">
        <f>IFERROR(VLOOKUP(C853,'Employees List'!$B$1:$I$999,4,0),"")</f>
        <v/>
      </c>
      <c r="G853" s="10" t="str">
        <f t="shared" si="21"/>
        <v>#DIV/0!</v>
      </c>
      <c r="H853" s="72" t="str">
        <f>IFERROR(VLOOKUP(C853,'Employees List'!$B$2:$I$991,7,0),"")</f>
        <v/>
      </c>
      <c r="I853" s="73" t="str">
        <f>IFERROR(VLOOKUP(F853,'Employees List'!$E$1:$AE$991,6,0),"")</f>
        <v/>
      </c>
      <c r="J853" s="71">
        <f t="shared" si="3"/>
        <v>0</v>
      </c>
      <c r="K853" s="71">
        <f t="shared" si="4"/>
        <v>0</v>
      </c>
      <c r="L853" s="10" t="str">
        <f>IFERROR(VLOOKUP(B853,'Employees List'!$A$2:$K$991,11,0),"")</f>
        <v/>
      </c>
      <c r="M853" s="74" t="str">
        <f>IFERROR(VLOOKUP(D853,'Daily Attendance 25-26'!$A$4:BP999,5,0),"")</f>
        <v/>
      </c>
      <c r="N853" s="10" t="str">
        <f>IFERROR(VLOOKUP(E853,'Daily Attendance 25-26'!$A$1:$BO$1741,5,0),"")</f>
        <v/>
      </c>
      <c r="O853" s="10"/>
      <c r="P853" s="10"/>
      <c r="Q853" s="10" t="str">
        <f t="shared" si="5"/>
        <v>#DIV/0!</v>
      </c>
      <c r="R853" s="10" t="str">
        <f t="shared" si="6"/>
        <v>#DIV/0!</v>
      </c>
      <c r="S853" s="10" t="str">
        <f t="shared" si="23"/>
        <v>#DIV/0!</v>
      </c>
      <c r="T853" s="10" t="str">
        <f t="shared" si="22"/>
        <v>#DIV/0!</v>
      </c>
      <c r="U853" s="10" t="str">
        <f t="shared" si="8"/>
        <v>#DIV/0!</v>
      </c>
      <c r="V853" s="10"/>
      <c r="W853" s="10"/>
      <c r="X853" s="10"/>
      <c r="Y853" s="10"/>
      <c r="Z853" s="10"/>
      <c r="AA853" s="10"/>
      <c r="AB853" s="10"/>
      <c r="AC853" s="10"/>
      <c r="AD853" s="10"/>
      <c r="AE853" s="10"/>
      <c r="AF853" s="10"/>
    </row>
    <row r="854" hidden="1">
      <c r="A854" s="9" t="s">
        <v>1071</v>
      </c>
      <c r="B854" s="84"/>
      <c r="C854" s="9"/>
      <c r="D854" s="9" t="str">
        <f t="shared" si="1"/>
        <v/>
      </c>
      <c r="E854" s="10" t="str">
        <f t="shared" si="2"/>
        <v>OT Hours</v>
      </c>
      <c r="F854" s="10" t="str">
        <f>IFERROR(VLOOKUP(C854,'Employees List'!$B$1:$I$999,4,0),"")</f>
        <v/>
      </c>
      <c r="G854" s="10" t="str">
        <f t="shared" si="21"/>
        <v>#DIV/0!</v>
      </c>
      <c r="H854" s="72" t="str">
        <f>IFERROR(VLOOKUP(C854,'Employees List'!$B$2:$I$991,7,0),"")</f>
        <v/>
      </c>
      <c r="I854" s="73" t="str">
        <f>IFERROR(VLOOKUP(F854,'Employees List'!$E$1:$AE$991,6,0),"")</f>
        <v/>
      </c>
      <c r="J854" s="71">
        <f t="shared" si="3"/>
        <v>0</v>
      </c>
      <c r="K854" s="71">
        <f t="shared" si="4"/>
        <v>0</v>
      </c>
      <c r="L854" s="10" t="str">
        <f>IFERROR(VLOOKUP(B854,'Employees List'!$A$2:$K$991,11,0),"")</f>
        <v/>
      </c>
      <c r="M854" s="74" t="str">
        <f>IFERROR(VLOOKUP(D854,'Daily Attendance 25-26'!$A$4:BP999,5,0),"")</f>
        <v/>
      </c>
      <c r="N854" s="10" t="str">
        <f>IFERROR(VLOOKUP(E854,'Daily Attendance 25-26'!$A$1:$BO$1741,5,0),"")</f>
        <v/>
      </c>
      <c r="O854" s="10"/>
      <c r="P854" s="10"/>
      <c r="Q854" s="10" t="str">
        <f t="shared" si="5"/>
        <v>#DIV/0!</v>
      </c>
      <c r="R854" s="10" t="str">
        <f t="shared" si="6"/>
        <v>#DIV/0!</v>
      </c>
      <c r="S854" s="10" t="str">
        <f t="shared" si="23"/>
        <v>#DIV/0!</v>
      </c>
      <c r="T854" s="10" t="str">
        <f t="shared" si="22"/>
        <v>#DIV/0!</v>
      </c>
      <c r="U854" s="10" t="str">
        <f t="shared" si="8"/>
        <v>#DIV/0!</v>
      </c>
      <c r="V854" s="10"/>
      <c r="W854" s="10"/>
      <c r="X854" s="10"/>
      <c r="Y854" s="10"/>
      <c r="Z854" s="10"/>
      <c r="AA854" s="10"/>
      <c r="AB854" s="10"/>
      <c r="AC854" s="10"/>
      <c r="AD854" s="10"/>
      <c r="AE854" s="10"/>
      <c r="AF854" s="10"/>
    </row>
    <row r="855" hidden="1">
      <c r="A855" s="9" t="s">
        <v>1072</v>
      </c>
      <c r="B855" s="84"/>
      <c r="C855" s="9"/>
      <c r="D855" s="9" t="str">
        <f t="shared" si="1"/>
        <v/>
      </c>
      <c r="E855" s="10" t="str">
        <f t="shared" si="2"/>
        <v>OT Hours</v>
      </c>
      <c r="F855" s="10" t="str">
        <f>IFERROR(VLOOKUP(C855,'Employees List'!$B$1:$I$999,4,0),"")</f>
        <v/>
      </c>
      <c r="G855" s="10" t="str">
        <f t="shared" si="21"/>
        <v>#DIV/0!</v>
      </c>
      <c r="H855" s="72" t="str">
        <f>IFERROR(VLOOKUP(C855,'Employees List'!$B$2:$I$991,7,0),"")</f>
        <v/>
      </c>
      <c r="I855" s="73" t="str">
        <f>IFERROR(VLOOKUP(F855,'Employees List'!$E$1:$AE$991,6,0),"")</f>
        <v/>
      </c>
      <c r="J855" s="71">
        <f t="shared" si="3"/>
        <v>0</v>
      </c>
      <c r="K855" s="71">
        <f t="shared" si="4"/>
        <v>0</v>
      </c>
      <c r="L855" s="10" t="str">
        <f>IFERROR(VLOOKUP(B855,'Employees List'!$A$2:$K$991,11,0),"")</f>
        <v/>
      </c>
      <c r="M855" s="74" t="str">
        <f>IFERROR(VLOOKUP(D855,'Daily Attendance 25-26'!$A$4:BP999,5,0),"")</f>
        <v/>
      </c>
      <c r="N855" s="10" t="str">
        <f>IFERROR(VLOOKUP(E855,'Daily Attendance 25-26'!$A$1:$BO$1741,5,0),"")</f>
        <v/>
      </c>
      <c r="O855" s="10"/>
      <c r="P855" s="10"/>
      <c r="Q855" s="10" t="str">
        <f t="shared" si="5"/>
        <v>#DIV/0!</v>
      </c>
      <c r="R855" s="10" t="str">
        <f t="shared" si="6"/>
        <v>#DIV/0!</v>
      </c>
      <c r="S855" s="10" t="str">
        <f t="shared" si="23"/>
        <v>#DIV/0!</v>
      </c>
      <c r="T855" s="10" t="str">
        <f t="shared" si="22"/>
        <v>#DIV/0!</v>
      </c>
      <c r="U855" s="10" t="str">
        <f t="shared" si="8"/>
        <v>#DIV/0!</v>
      </c>
      <c r="V855" s="10"/>
      <c r="W855" s="10"/>
      <c r="X855" s="10"/>
      <c r="Y855" s="10"/>
      <c r="Z855" s="10"/>
      <c r="AA855" s="10"/>
      <c r="AB855" s="10"/>
      <c r="AC855" s="10"/>
      <c r="AD855" s="10"/>
      <c r="AE855" s="10"/>
      <c r="AF855" s="10"/>
    </row>
    <row r="856" hidden="1">
      <c r="A856" s="9" t="s">
        <v>1073</v>
      </c>
      <c r="B856" s="84"/>
      <c r="C856" s="9"/>
      <c r="D856" s="9" t="str">
        <f t="shared" si="1"/>
        <v/>
      </c>
      <c r="E856" s="10" t="str">
        <f t="shared" si="2"/>
        <v>OT Hours</v>
      </c>
      <c r="F856" s="10" t="str">
        <f>IFERROR(VLOOKUP(C856,'Employees List'!$B$1:$I$999,4,0),"")</f>
        <v/>
      </c>
      <c r="G856" s="10" t="str">
        <f t="shared" si="21"/>
        <v>#DIV/0!</v>
      </c>
      <c r="H856" s="72" t="str">
        <f>IFERROR(VLOOKUP(C856,'Employees List'!$B$2:$I$991,7,0),"")</f>
        <v/>
      </c>
      <c r="I856" s="73" t="str">
        <f>IFERROR(VLOOKUP(F856,'Employees List'!$E$1:$AE$991,6,0),"")</f>
        <v/>
      </c>
      <c r="J856" s="71">
        <f t="shared" si="3"/>
        <v>0</v>
      </c>
      <c r="K856" s="71">
        <f t="shared" si="4"/>
        <v>0</v>
      </c>
      <c r="L856" s="10" t="str">
        <f>IFERROR(VLOOKUP(B856,'Employees List'!$A$2:$K$991,11,0),"")</f>
        <v/>
      </c>
      <c r="M856" s="74" t="str">
        <f>IFERROR(VLOOKUP(D856,'Daily Attendance 25-26'!$A$4:BP999,5,0),"")</f>
        <v/>
      </c>
      <c r="N856" s="10" t="str">
        <f>IFERROR(VLOOKUP(E856,'Daily Attendance 25-26'!$A$1:$BO$1741,5,0),"")</f>
        <v/>
      </c>
      <c r="O856" s="10"/>
      <c r="P856" s="10"/>
      <c r="Q856" s="10" t="str">
        <f t="shared" si="5"/>
        <v>#DIV/0!</v>
      </c>
      <c r="R856" s="10" t="str">
        <f t="shared" si="6"/>
        <v>#DIV/0!</v>
      </c>
      <c r="S856" s="10" t="str">
        <f t="shared" si="23"/>
        <v>#DIV/0!</v>
      </c>
      <c r="T856" s="10" t="str">
        <f t="shared" si="22"/>
        <v>#DIV/0!</v>
      </c>
      <c r="U856" s="10" t="str">
        <f t="shared" si="8"/>
        <v>#DIV/0!</v>
      </c>
      <c r="V856" s="10"/>
      <c r="W856" s="10"/>
      <c r="X856" s="10"/>
      <c r="Y856" s="10"/>
      <c r="Z856" s="10"/>
      <c r="AA856" s="10"/>
      <c r="AB856" s="10"/>
      <c r="AC856" s="10"/>
      <c r="AD856" s="10"/>
      <c r="AE856" s="10"/>
      <c r="AF856" s="10"/>
    </row>
    <row r="857" hidden="1">
      <c r="A857" s="9" t="s">
        <v>1074</v>
      </c>
      <c r="B857" s="84"/>
      <c r="C857" s="9"/>
      <c r="D857" s="9" t="str">
        <f t="shared" si="1"/>
        <v/>
      </c>
      <c r="E857" s="10" t="str">
        <f t="shared" si="2"/>
        <v>OT Hours</v>
      </c>
      <c r="F857" s="10" t="str">
        <f>IFERROR(VLOOKUP(C857,'Employees List'!$B$1:$I$999,4,0),"")</f>
        <v/>
      </c>
      <c r="G857" s="10" t="str">
        <f t="shared" si="21"/>
        <v>#DIV/0!</v>
      </c>
      <c r="H857" s="72" t="str">
        <f>IFERROR(VLOOKUP(C857,'Employees List'!$B$2:$I$991,7,0),"")</f>
        <v/>
      </c>
      <c r="I857" s="73" t="str">
        <f>IFERROR(VLOOKUP(F857,'Employees List'!$E$1:$AE$991,6,0),"")</f>
        <v/>
      </c>
      <c r="J857" s="71">
        <f t="shared" si="3"/>
        <v>0</v>
      </c>
      <c r="K857" s="71">
        <f t="shared" si="4"/>
        <v>0</v>
      </c>
      <c r="L857" s="10" t="str">
        <f>IFERROR(VLOOKUP(B857,'Employees List'!$A$2:$K$991,11,0),"")</f>
        <v/>
      </c>
      <c r="M857" s="74" t="str">
        <f>IFERROR(VLOOKUP(D857,'Daily Attendance 25-26'!$A$4:BP999,5,0),"")</f>
        <v/>
      </c>
      <c r="N857" s="10" t="str">
        <f>IFERROR(VLOOKUP(E857,'Daily Attendance 25-26'!$A$1:$BO$1741,5,0),"")</f>
        <v/>
      </c>
      <c r="O857" s="10"/>
      <c r="P857" s="10"/>
      <c r="Q857" s="10" t="str">
        <f t="shared" si="5"/>
        <v>#DIV/0!</v>
      </c>
      <c r="R857" s="10" t="str">
        <f t="shared" si="6"/>
        <v>#DIV/0!</v>
      </c>
      <c r="S857" s="10" t="str">
        <f t="shared" si="23"/>
        <v>#DIV/0!</v>
      </c>
      <c r="T857" s="10" t="str">
        <f t="shared" si="22"/>
        <v>#DIV/0!</v>
      </c>
      <c r="U857" s="10" t="str">
        <f t="shared" si="8"/>
        <v>#DIV/0!</v>
      </c>
      <c r="V857" s="10"/>
      <c r="W857" s="10"/>
      <c r="X857" s="10"/>
      <c r="Y857" s="10"/>
      <c r="Z857" s="10"/>
      <c r="AA857" s="10"/>
      <c r="AB857" s="10"/>
      <c r="AC857" s="10"/>
      <c r="AD857" s="10"/>
      <c r="AE857" s="10"/>
      <c r="AF857" s="10"/>
    </row>
    <row r="858" hidden="1">
      <c r="A858" s="9" t="s">
        <v>1075</v>
      </c>
      <c r="B858" s="84"/>
      <c r="C858" s="9"/>
      <c r="D858" s="9" t="str">
        <f t="shared" si="1"/>
        <v/>
      </c>
      <c r="E858" s="10" t="str">
        <f t="shared" si="2"/>
        <v>OT Hours</v>
      </c>
      <c r="F858" s="10" t="str">
        <f>IFERROR(VLOOKUP(C858,'Employees List'!$B$1:$I$999,4,0),"")</f>
        <v/>
      </c>
      <c r="G858" s="10" t="str">
        <f t="shared" si="21"/>
        <v>#DIV/0!</v>
      </c>
      <c r="H858" s="72" t="str">
        <f>IFERROR(VLOOKUP(C858,'Employees List'!$B$2:$I$991,7,0),"")</f>
        <v/>
      </c>
      <c r="I858" s="73" t="str">
        <f>IFERROR(VLOOKUP(F858,'Employees List'!$E$1:$AE$991,6,0),"")</f>
        <v/>
      </c>
      <c r="J858" s="71">
        <f t="shared" si="3"/>
        <v>0</v>
      </c>
      <c r="K858" s="71">
        <f t="shared" si="4"/>
        <v>0</v>
      </c>
      <c r="L858" s="10" t="str">
        <f>IFERROR(VLOOKUP(B858,'Employees List'!$A$2:$K$991,11,0),"")</f>
        <v/>
      </c>
      <c r="M858" s="74" t="str">
        <f>IFERROR(VLOOKUP(D858,'Daily Attendance 25-26'!$A$4:BP999,5,0),"")</f>
        <v/>
      </c>
      <c r="N858" s="10" t="str">
        <f>IFERROR(VLOOKUP(E858,'Daily Attendance 25-26'!$A$1:$BO$1741,5,0),"")</f>
        <v/>
      </c>
      <c r="O858" s="10"/>
      <c r="P858" s="10"/>
      <c r="Q858" s="10" t="str">
        <f t="shared" si="5"/>
        <v>#DIV/0!</v>
      </c>
      <c r="R858" s="10" t="str">
        <f t="shared" si="6"/>
        <v>#DIV/0!</v>
      </c>
      <c r="S858" s="10" t="str">
        <f t="shared" si="23"/>
        <v>#DIV/0!</v>
      </c>
      <c r="T858" s="10" t="str">
        <f t="shared" si="22"/>
        <v>#DIV/0!</v>
      </c>
      <c r="U858" s="10" t="str">
        <f t="shared" si="8"/>
        <v>#DIV/0!</v>
      </c>
      <c r="V858" s="10"/>
      <c r="W858" s="10"/>
      <c r="X858" s="10"/>
      <c r="Y858" s="10"/>
      <c r="Z858" s="10"/>
      <c r="AA858" s="10"/>
      <c r="AB858" s="10"/>
      <c r="AC858" s="10"/>
      <c r="AD858" s="10"/>
      <c r="AE858" s="10"/>
      <c r="AF858" s="10"/>
    </row>
    <row r="859" hidden="1">
      <c r="A859" s="9" t="s">
        <v>1076</v>
      </c>
      <c r="B859" s="84"/>
      <c r="C859" s="9"/>
      <c r="D859" s="9" t="str">
        <f t="shared" si="1"/>
        <v/>
      </c>
      <c r="E859" s="10" t="str">
        <f t="shared" si="2"/>
        <v>OT Hours</v>
      </c>
      <c r="F859" s="10" t="str">
        <f>IFERROR(VLOOKUP(C859,'Employees List'!$B$1:$I$999,4,0),"")</f>
        <v/>
      </c>
      <c r="G859" s="10" t="str">
        <f t="shared" si="21"/>
        <v>#DIV/0!</v>
      </c>
      <c r="H859" s="72" t="str">
        <f>IFERROR(VLOOKUP(C859,'Employees List'!$B$2:$I$991,7,0),"")</f>
        <v/>
      </c>
      <c r="I859" s="73" t="str">
        <f>IFERROR(VLOOKUP(F859,'Employees List'!$E$1:$AE$991,6,0),"")</f>
        <v/>
      </c>
      <c r="J859" s="71">
        <f t="shared" si="3"/>
        <v>0</v>
      </c>
      <c r="K859" s="71">
        <f t="shared" si="4"/>
        <v>0</v>
      </c>
      <c r="L859" s="10" t="str">
        <f>IFERROR(VLOOKUP(B859,'Employees List'!$A$2:$K$991,11,0),"")</f>
        <v/>
      </c>
      <c r="M859" s="74" t="str">
        <f>IFERROR(VLOOKUP(D859,'Daily Attendance 25-26'!$A$4:BP999,5,0),"")</f>
        <v/>
      </c>
      <c r="N859" s="10" t="str">
        <f>IFERROR(VLOOKUP(E859,'Daily Attendance 25-26'!$A$1:$BO$1741,5,0),"")</f>
        <v/>
      </c>
      <c r="O859" s="10"/>
      <c r="P859" s="10"/>
      <c r="Q859" s="10" t="str">
        <f t="shared" si="5"/>
        <v>#DIV/0!</v>
      </c>
      <c r="R859" s="10" t="str">
        <f t="shared" si="6"/>
        <v>#DIV/0!</v>
      </c>
      <c r="S859" s="10" t="str">
        <f t="shared" si="23"/>
        <v>#DIV/0!</v>
      </c>
      <c r="T859" s="10" t="str">
        <f t="shared" si="22"/>
        <v>#DIV/0!</v>
      </c>
      <c r="U859" s="10" t="str">
        <f t="shared" si="8"/>
        <v>#DIV/0!</v>
      </c>
      <c r="V859" s="10"/>
      <c r="W859" s="10"/>
      <c r="X859" s="10"/>
      <c r="Y859" s="10"/>
      <c r="Z859" s="10"/>
      <c r="AA859" s="10"/>
      <c r="AB859" s="10"/>
      <c r="AC859" s="10"/>
      <c r="AD859" s="10"/>
      <c r="AE859" s="10"/>
      <c r="AF859" s="10"/>
    </row>
    <row r="860" hidden="1">
      <c r="A860" s="9" t="s">
        <v>1077</v>
      </c>
      <c r="B860" s="84"/>
      <c r="C860" s="9"/>
      <c r="D860" s="9" t="str">
        <f t="shared" si="1"/>
        <v/>
      </c>
      <c r="E860" s="10" t="str">
        <f t="shared" si="2"/>
        <v>OT Hours</v>
      </c>
      <c r="F860" s="10" t="str">
        <f>IFERROR(VLOOKUP(C860,'Employees List'!$B$1:$I$999,4,0),"")</f>
        <v/>
      </c>
      <c r="G860" s="10" t="str">
        <f t="shared" si="21"/>
        <v>#DIV/0!</v>
      </c>
      <c r="H860" s="72" t="str">
        <f>IFERROR(VLOOKUP(C860,'Employees List'!$B$2:$I$991,7,0),"")</f>
        <v/>
      </c>
      <c r="I860" s="73" t="str">
        <f>IFERROR(VLOOKUP(F860,'Employees List'!$E$1:$AE$991,6,0),"")</f>
        <v/>
      </c>
      <c r="J860" s="71">
        <f t="shared" si="3"/>
        <v>0</v>
      </c>
      <c r="K860" s="71">
        <f t="shared" si="4"/>
        <v>0</v>
      </c>
      <c r="L860" s="10" t="str">
        <f>IFERROR(VLOOKUP(B860,'Employees List'!$A$2:$K$991,11,0),"")</f>
        <v/>
      </c>
      <c r="M860" s="74" t="str">
        <f>IFERROR(VLOOKUP(D860,'Daily Attendance 25-26'!$A$4:BP999,5,0),"")</f>
        <v/>
      </c>
      <c r="N860" s="10" t="str">
        <f>IFERROR(VLOOKUP(E860,'Daily Attendance 25-26'!$A$1:$BO$1741,5,0),"")</f>
        <v/>
      </c>
      <c r="O860" s="10"/>
      <c r="P860" s="10"/>
      <c r="Q860" s="10" t="str">
        <f t="shared" si="5"/>
        <v>#DIV/0!</v>
      </c>
      <c r="R860" s="10" t="str">
        <f t="shared" si="6"/>
        <v>#DIV/0!</v>
      </c>
      <c r="S860" s="10" t="str">
        <f t="shared" si="23"/>
        <v>#DIV/0!</v>
      </c>
      <c r="T860" s="10" t="str">
        <f t="shared" si="22"/>
        <v>#DIV/0!</v>
      </c>
      <c r="U860" s="10" t="str">
        <f t="shared" si="8"/>
        <v>#DIV/0!</v>
      </c>
      <c r="V860" s="10"/>
      <c r="W860" s="10"/>
      <c r="X860" s="10"/>
      <c r="Y860" s="10"/>
      <c r="Z860" s="10"/>
      <c r="AA860" s="10"/>
      <c r="AB860" s="10"/>
      <c r="AC860" s="10"/>
      <c r="AD860" s="10"/>
      <c r="AE860" s="10"/>
      <c r="AF860" s="10"/>
    </row>
    <row r="861" hidden="1">
      <c r="A861" s="9" t="s">
        <v>1078</v>
      </c>
      <c r="B861" s="84"/>
      <c r="C861" s="9"/>
      <c r="D861" s="9" t="str">
        <f t="shared" si="1"/>
        <v/>
      </c>
      <c r="E861" s="10" t="str">
        <f t="shared" si="2"/>
        <v>OT Hours</v>
      </c>
      <c r="F861" s="10" t="str">
        <f>IFERROR(VLOOKUP(C861,'Employees List'!$B$1:$I$999,4,0),"")</f>
        <v/>
      </c>
      <c r="G861" s="10" t="str">
        <f t="shared" si="21"/>
        <v>#DIV/0!</v>
      </c>
      <c r="H861" s="72" t="str">
        <f>IFERROR(VLOOKUP(C861,'Employees List'!$B$2:$I$991,7,0),"")</f>
        <v/>
      </c>
      <c r="I861" s="73" t="str">
        <f>IFERROR(VLOOKUP(F861,'Employees List'!$E$1:$AE$991,6,0),"")</f>
        <v/>
      </c>
      <c r="J861" s="71">
        <f t="shared" si="3"/>
        <v>0</v>
      </c>
      <c r="K861" s="71">
        <f t="shared" si="4"/>
        <v>0</v>
      </c>
      <c r="L861" s="10" t="str">
        <f>IFERROR(VLOOKUP(B861,'Employees List'!$A$2:$K$991,11,0),"")</f>
        <v/>
      </c>
      <c r="M861" s="74" t="str">
        <f>IFERROR(VLOOKUP(D861,'Daily Attendance 25-26'!$A$4:BP999,5,0),"")</f>
        <v/>
      </c>
      <c r="N861" s="10" t="str">
        <f>IFERROR(VLOOKUP(E861,'Daily Attendance 25-26'!$A$1:$BO$1741,5,0),"")</f>
        <v/>
      </c>
      <c r="O861" s="10"/>
      <c r="P861" s="10"/>
      <c r="Q861" s="10" t="str">
        <f t="shared" si="5"/>
        <v>#DIV/0!</v>
      </c>
      <c r="R861" s="10" t="str">
        <f t="shared" si="6"/>
        <v>#DIV/0!</v>
      </c>
      <c r="S861" s="10" t="str">
        <f t="shared" si="23"/>
        <v>#DIV/0!</v>
      </c>
      <c r="T861" s="10" t="str">
        <f t="shared" si="22"/>
        <v>#DIV/0!</v>
      </c>
      <c r="U861" s="10" t="str">
        <f t="shared" si="8"/>
        <v>#DIV/0!</v>
      </c>
      <c r="V861" s="10"/>
      <c r="W861" s="10"/>
      <c r="X861" s="10"/>
      <c r="Y861" s="10"/>
      <c r="Z861" s="10"/>
      <c r="AA861" s="10"/>
      <c r="AB861" s="10"/>
      <c r="AC861" s="10"/>
      <c r="AD861" s="10"/>
      <c r="AE861" s="10"/>
      <c r="AF861" s="10"/>
    </row>
    <row r="862" hidden="1">
      <c r="A862" s="9" t="s">
        <v>1079</v>
      </c>
      <c r="B862" s="84"/>
      <c r="C862" s="9"/>
      <c r="D862" s="9" t="str">
        <f t="shared" si="1"/>
        <v/>
      </c>
      <c r="E862" s="10" t="str">
        <f t="shared" si="2"/>
        <v>OT Hours</v>
      </c>
      <c r="F862" s="10" t="str">
        <f>IFERROR(VLOOKUP(C862,'Employees List'!$B$1:$I$999,4,0),"")</f>
        <v/>
      </c>
      <c r="G862" s="10" t="str">
        <f t="shared" si="21"/>
        <v>#DIV/0!</v>
      </c>
      <c r="H862" s="72" t="str">
        <f>IFERROR(VLOOKUP(C862,'Employees List'!$B$2:$I$991,7,0),"")</f>
        <v/>
      </c>
      <c r="I862" s="73" t="str">
        <f>IFERROR(VLOOKUP(F862,'Employees List'!$E$1:$AE$991,6,0),"")</f>
        <v/>
      </c>
      <c r="J862" s="71">
        <f t="shared" si="3"/>
        <v>0</v>
      </c>
      <c r="K862" s="71">
        <f t="shared" si="4"/>
        <v>0</v>
      </c>
      <c r="L862" s="10" t="str">
        <f>IFERROR(VLOOKUP(B862,'Employees List'!$A$2:$K$991,11,0),"")</f>
        <v/>
      </c>
      <c r="M862" s="74" t="str">
        <f>IFERROR(VLOOKUP(D862,'Daily Attendance 25-26'!$A$4:BP999,5,0),"")</f>
        <v/>
      </c>
      <c r="N862" s="10" t="str">
        <f>IFERROR(VLOOKUP(E862,'Daily Attendance 25-26'!$A$1:$BO$1741,5,0),"")</f>
        <v/>
      </c>
      <c r="O862" s="10"/>
      <c r="P862" s="10"/>
      <c r="Q862" s="10" t="str">
        <f t="shared" si="5"/>
        <v>#DIV/0!</v>
      </c>
      <c r="R862" s="10" t="str">
        <f t="shared" si="6"/>
        <v>#DIV/0!</v>
      </c>
      <c r="S862" s="10" t="str">
        <f t="shared" si="23"/>
        <v>#DIV/0!</v>
      </c>
      <c r="T862" s="10" t="str">
        <f t="shared" si="22"/>
        <v>#DIV/0!</v>
      </c>
      <c r="U862" s="10" t="str">
        <f t="shared" si="8"/>
        <v>#DIV/0!</v>
      </c>
      <c r="V862" s="10"/>
      <c r="W862" s="10"/>
      <c r="X862" s="10"/>
      <c r="Y862" s="10"/>
      <c r="Z862" s="10"/>
      <c r="AA862" s="10"/>
      <c r="AB862" s="10"/>
      <c r="AC862" s="10"/>
      <c r="AD862" s="10"/>
      <c r="AE862" s="10"/>
      <c r="AF862" s="10"/>
    </row>
    <row r="863" hidden="1">
      <c r="A863" s="9" t="s">
        <v>1080</v>
      </c>
      <c r="B863" s="84"/>
      <c r="C863" s="9"/>
      <c r="D863" s="9" t="str">
        <f t="shared" si="1"/>
        <v/>
      </c>
      <c r="E863" s="10" t="str">
        <f t="shared" si="2"/>
        <v>OT Hours</v>
      </c>
      <c r="F863" s="10" t="str">
        <f>IFERROR(VLOOKUP(C863,'Employees List'!$B$1:$I$999,4,0),"")</f>
        <v/>
      </c>
      <c r="G863" s="10" t="str">
        <f t="shared" si="21"/>
        <v>#DIV/0!</v>
      </c>
      <c r="H863" s="72" t="str">
        <f>IFERROR(VLOOKUP(C863,'Employees List'!$B$2:$I$991,7,0),"")</f>
        <v/>
      </c>
      <c r="I863" s="73" t="str">
        <f>IFERROR(VLOOKUP(F863,'Employees List'!$E$1:$AE$991,6,0),"")</f>
        <v/>
      </c>
      <c r="J863" s="71">
        <f t="shared" si="3"/>
        <v>0</v>
      </c>
      <c r="K863" s="71">
        <f t="shared" si="4"/>
        <v>0</v>
      </c>
      <c r="L863" s="10" t="str">
        <f>IFERROR(VLOOKUP(B863,'Employees List'!$A$2:$K$991,11,0),"")</f>
        <v/>
      </c>
      <c r="M863" s="74" t="str">
        <f>IFERROR(VLOOKUP(D863,'Daily Attendance 25-26'!$A$4:BP999,5,0),"")</f>
        <v/>
      </c>
      <c r="N863" s="10" t="str">
        <f>IFERROR(VLOOKUP(E863,'Daily Attendance 25-26'!$A$1:$BO$1741,5,0),"")</f>
        <v/>
      </c>
      <c r="O863" s="10"/>
      <c r="P863" s="10"/>
      <c r="Q863" s="10" t="str">
        <f t="shared" si="5"/>
        <v>#DIV/0!</v>
      </c>
      <c r="R863" s="10" t="str">
        <f t="shared" si="6"/>
        <v>#DIV/0!</v>
      </c>
      <c r="S863" s="10" t="str">
        <f t="shared" si="23"/>
        <v>#DIV/0!</v>
      </c>
      <c r="T863" s="10" t="str">
        <f t="shared" si="22"/>
        <v>#DIV/0!</v>
      </c>
      <c r="U863" s="10" t="str">
        <f t="shared" si="8"/>
        <v>#DIV/0!</v>
      </c>
      <c r="V863" s="10"/>
      <c r="W863" s="10"/>
      <c r="X863" s="10"/>
      <c r="Y863" s="10"/>
      <c r="Z863" s="10"/>
      <c r="AA863" s="10"/>
      <c r="AB863" s="10"/>
      <c r="AC863" s="10"/>
      <c r="AD863" s="10"/>
      <c r="AE863" s="10"/>
      <c r="AF863" s="10"/>
    </row>
    <row r="864" hidden="1">
      <c r="A864" s="9" t="s">
        <v>1081</v>
      </c>
      <c r="B864" s="84"/>
      <c r="C864" s="9"/>
      <c r="D864" s="9" t="str">
        <f t="shared" si="1"/>
        <v/>
      </c>
      <c r="E864" s="10" t="str">
        <f t="shared" si="2"/>
        <v>OT Hours</v>
      </c>
      <c r="F864" s="10" t="str">
        <f>IFERROR(VLOOKUP(C864,'Employees List'!$B$1:$I$999,4,0),"")</f>
        <v/>
      </c>
      <c r="G864" s="10" t="str">
        <f t="shared" si="21"/>
        <v>#DIV/0!</v>
      </c>
      <c r="H864" s="72" t="str">
        <f>IFERROR(VLOOKUP(C864,'Employees List'!$B$2:$I$991,7,0),"")</f>
        <v/>
      </c>
      <c r="I864" s="73" t="str">
        <f>IFERROR(VLOOKUP(F864,'Employees List'!$E$1:$AE$991,6,0),"")</f>
        <v/>
      </c>
      <c r="J864" s="71">
        <f t="shared" si="3"/>
        <v>0</v>
      </c>
      <c r="K864" s="71">
        <f t="shared" si="4"/>
        <v>0</v>
      </c>
      <c r="L864" s="10" t="str">
        <f>IFERROR(VLOOKUP(B864,'Employees List'!$A$2:$K$991,11,0),"")</f>
        <v/>
      </c>
      <c r="M864" s="74" t="str">
        <f>IFERROR(VLOOKUP(D864,'Daily Attendance 25-26'!$A$4:BP999,5,0),"")</f>
        <v/>
      </c>
      <c r="N864" s="10" t="str">
        <f>IFERROR(VLOOKUP(E864,'Daily Attendance 25-26'!$A$1:$BO$1741,5,0),"")</f>
        <v/>
      </c>
      <c r="O864" s="10"/>
      <c r="P864" s="10"/>
      <c r="Q864" s="10" t="str">
        <f t="shared" si="5"/>
        <v>#DIV/0!</v>
      </c>
      <c r="R864" s="10" t="str">
        <f t="shared" si="6"/>
        <v>#DIV/0!</v>
      </c>
      <c r="S864" s="10" t="str">
        <f t="shared" si="23"/>
        <v>#DIV/0!</v>
      </c>
      <c r="T864" s="10" t="str">
        <f t="shared" si="22"/>
        <v>#DIV/0!</v>
      </c>
      <c r="U864" s="10" t="str">
        <f t="shared" si="8"/>
        <v>#DIV/0!</v>
      </c>
      <c r="V864" s="10"/>
      <c r="W864" s="10"/>
      <c r="X864" s="10"/>
      <c r="Y864" s="10"/>
      <c r="Z864" s="10"/>
      <c r="AA864" s="10"/>
      <c r="AB864" s="10"/>
      <c r="AC864" s="10"/>
      <c r="AD864" s="10"/>
      <c r="AE864" s="10"/>
      <c r="AF864" s="10"/>
    </row>
    <row r="865" hidden="1">
      <c r="A865" s="9" t="s">
        <v>1082</v>
      </c>
      <c r="B865" s="84"/>
      <c r="C865" s="9"/>
      <c r="D865" s="9" t="str">
        <f t="shared" si="1"/>
        <v/>
      </c>
      <c r="E865" s="10" t="str">
        <f t="shared" si="2"/>
        <v>OT Hours</v>
      </c>
      <c r="F865" s="10" t="str">
        <f>IFERROR(VLOOKUP(C865,'Employees List'!$B$1:$I$999,4,0),"")</f>
        <v/>
      </c>
      <c r="G865" s="10" t="str">
        <f t="shared" si="21"/>
        <v>#DIV/0!</v>
      </c>
      <c r="H865" s="72" t="str">
        <f>IFERROR(VLOOKUP(C865,'Employees List'!$B$2:$I$991,7,0),"")</f>
        <v/>
      </c>
      <c r="I865" s="73" t="str">
        <f>IFERROR(VLOOKUP(F865,'Employees List'!$E$1:$AE$991,6,0),"")</f>
        <v/>
      </c>
      <c r="J865" s="71">
        <f t="shared" si="3"/>
        <v>0</v>
      </c>
      <c r="K865" s="71">
        <f t="shared" si="4"/>
        <v>0</v>
      </c>
      <c r="L865" s="10" t="str">
        <f>IFERROR(VLOOKUP(B865,'Employees List'!$A$2:$K$991,11,0),"")</f>
        <v/>
      </c>
      <c r="M865" s="74" t="str">
        <f>IFERROR(VLOOKUP(D865,'Daily Attendance 25-26'!$A$4:BP999,5,0),"")</f>
        <v/>
      </c>
      <c r="N865" s="10" t="str">
        <f>IFERROR(VLOOKUP(E865,'Daily Attendance 25-26'!$A$1:$BO$1741,5,0),"")</f>
        <v/>
      </c>
      <c r="O865" s="10"/>
      <c r="P865" s="10"/>
      <c r="Q865" s="10" t="str">
        <f t="shared" si="5"/>
        <v>#DIV/0!</v>
      </c>
      <c r="R865" s="10" t="str">
        <f t="shared" si="6"/>
        <v>#DIV/0!</v>
      </c>
      <c r="S865" s="10" t="str">
        <f t="shared" si="23"/>
        <v>#DIV/0!</v>
      </c>
      <c r="T865" s="10" t="str">
        <f t="shared" si="22"/>
        <v>#DIV/0!</v>
      </c>
      <c r="U865" s="10" t="str">
        <f t="shared" si="8"/>
        <v>#DIV/0!</v>
      </c>
      <c r="V865" s="10"/>
      <c r="W865" s="10"/>
      <c r="X865" s="10"/>
      <c r="Y865" s="10"/>
      <c r="Z865" s="10"/>
      <c r="AA865" s="10"/>
      <c r="AB865" s="10"/>
      <c r="AC865" s="10"/>
      <c r="AD865" s="10"/>
      <c r="AE865" s="10"/>
      <c r="AF865" s="10"/>
    </row>
    <row r="866" hidden="1">
      <c r="A866" s="9" t="s">
        <v>1083</v>
      </c>
      <c r="B866" s="84"/>
      <c r="C866" s="9"/>
      <c r="D866" s="9" t="str">
        <f t="shared" si="1"/>
        <v/>
      </c>
      <c r="E866" s="10" t="str">
        <f t="shared" si="2"/>
        <v>OT Hours</v>
      </c>
      <c r="F866" s="10" t="str">
        <f>IFERROR(VLOOKUP(C866,'Employees List'!$B$1:$I$999,4,0),"")</f>
        <v/>
      </c>
      <c r="G866" s="10" t="str">
        <f t="shared" si="21"/>
        <v>#DIV/0!</v>
      </c>
      <c r="H866" s="72" t="str">
        <f>IFERROR(VLOOKUP(C866,'Employees List'!$B$2:$I$991,7,0),"")</f>
        <v/>
      </c>
      <c r="I866" s="73" t="str">
        <f>IFERROR(VLOOKUP(F866,'Employees List'!$E$1:$AE$991,6,0),"")</f>
        <v/>
      </c>
      <c r="J866" s="71">
        <f t="shared" si="3"/>
        <v>0</v>
      </c>
      <c r="K866" s="71">
        <f t="shared" si="4"/>
        <v>0</v>
      </c>
      <c r="L866" s="10" t="str">
        <f>IFERROR(VLOOKUP(B866,'Employees List'!$A$2:$K$991,11,0),"")</f>
        <v/>
      </c>
      <c r="M866" s="74" t="str">
        <f>IFERROR(VLOOKUP(D866,'Daily Attendance 25-26'!$A$4:BP999,5,0),"")</f>
        <v/>
      </c>
      <c r="N866" s="10" t="str">
        <f>IFERROR(VLOOKUP(E866,'Daily Attendance 25-26'!$A$1:$BO$1741,5,0),"")</f>
        <v/>
      </c>
      <c r="O866" s="10"/>
      <c r="P866" s="10"/>
      <c r="Q866" s="10" t="str">
        <f t="shared" si="5"/>
        <v>#DIV/0!</v>
      </c>
      <c r="R866" s="10" t="str">
        <f t="shared" si="6"/>
        <v>#DIV/0!</v>
      </c>
      <c r="S866" s="10" t="str">
        <f t="shared" si="23"/>
        <v>#DIV/0!</v>
      </c>
      <c r="T866" s="10" t="str">
        <f t="shared" si="22"/>
        <v>#DIV/0!</v>
      </c>
      <c r="U866" s="10" t="str">
        <f t="shared" si="8"/>
        <v>#DIV/0!</v>
      </c>
      <c r="V866" s="10"/>
      <c r="W866" s="10"/>
      <c r="X866" s="10"/>
      <c r="Y866" s="10"/>
      <c r="Z866" s="10"/>
      <c r="AA866" s="10"/>
      <c r="AB866" s="10"/>
      <c r="AC866" s="10"/>
      <c r="AD866" s="10"/>
      <c r="AE866" s="10"/>
      <c r="AF866" s="10"/>
    </row>
    <row r="867" hidden="1">
      <c r="A867" s="9" t="s">
        <v>1084</v>
      </c>
      <c r="B867" s="84"/>
      <c r="C867" s="9"/>
      <c r="D867" s="9" t="str">
        <f t="shared" si="1"/>
        <v/>
      </c>
      <c r="E867" s="10" t="str">
        <f t="shared" si="2"/>
        <v>OT Hours</v>
      </c>
      <c r="F867" s="10" t="str">
        <f>IFERROR(VLOOKUP(C867,'Employees List'!$B$1:$I$999,4,0),"")</f>
        <v/>
      </c>
      <c r="G867" s="10" t="str">
        <f t="shared" si="21"/>
        <v>#DIV/0!</v>
      </c>
      <c r="H867" s="72" t="str">
        <f>IFERROR(VLOOKUP(C867,'Employees List'!$B$2:$I$991,7,0),"")</f>
        <v/>
      </c>
      <c r="I867" s="73" t="str">
        <f>IFERROR(VLOOKUP(F867,'Employees List'!$E$1:$AE$991,6,0),"")</f>
        <v/>
      </c>
      <c r="J867" s="71">
        <f t="shared" si="3"/>
        <v>0</v>
      </c>
      <c r="K867" s="71">
        <f t="shared" si="4"/>
        <v>0</v>
      </c>
      <c r="L867" s="10" t="str">
        <f>IFERROR(VLOOKUP(B867,'Employees List'!$A$2:$K$991,11,0),"")</f>
        <v/>
      </c>
      <c r="M867" s="74" t="str">
        <f>IFERROR(VLOOKUP(D867,'Daily Attendance 25-26'!$A$4:BP999,5,0),"")</f>
        <v/>
      </c>
      <c r="N867" s="10" t="str">
        <f>IFERROR(VLOOKUP(E867,'Daily Attendance 25-26'!$A$1:$BO$1741,5,0),"")</f>
        <v/>
      </c>
      <c r="O867" s="10"/>
      <c r="P867" s="10"/>
      <c r="Q867" s="10" t="str">
        <f t="shared" si="5"/>
        <v>#DIV/0!</v>
      </c>
      <c r="R867" s="10" t="str">
        <f t="shared" si="6"/>
        <v>#DIV/0!</v>
      </c>
      <c r="S867" s="10" t="str">
        <f t="shared" si="23"/>
        <v>#DIV/0!</v>
      </c>
      <c r="T867" s="10" t="str">
        <f t="shared" si="22"/>
        <v>#DIV/0!</v>
      </c>
      <c r="U867" s="10" t="str">
        <f t="shared" si="8"/>
        <v>#DIV/0!</v>
      </c>
      <c r="V867" s="10"/>
      <c r="W867" s="10"/>
      <c r="X867" s="10"/>
      <c r="Y867" s="10"/>
      <c r="Z867" s="10"/>
      <c r="AA867" s="10"/>
      <c r="AB867" s="10"/>
      <c r="AC867" s="10"/>
      <c r="AD867" s="10"/>
      <c r="AE867" s="10"/>
      <c r="AF867" s="10"/>
    </row>
    <row r="868" hidden="1">
      <c r="A868" s="9" t="s">
        <v>1085</v>
      </c>
      <c r="B868" s="84"/>
      <c r="C868" s="9"/>
      <c r="D868" s="9" t="str">
        <f t="shared" si="1"/>
        <v/>
      </c>
      <c r="E868" s="10" t="str">
        <f t="shared" si="2"/>
        <v>OT Hours</v>
      </c>
      <c r="F868" s="10" t="str">
        <f>IFERROR(VLOOKUP(C868,'Employees List'!$B$1:$I$999,4,0),"")</f>
        <v/>
      </c>
      <c r="G868" s="10" t="str">
        <f t="shared" si="21"/>
        <v>#DIV/0!</v>
      </c>
      <c r="H868" s="72" t="str">
        <f>IFERROR(VLOOKUP(C868,'Employees List'!$B$2:$I$991,7,0),"")</f>
        <v/>
      </c>
      <c r="I868" s="73" t="str">
        <f>IFERROR(VLOOKUP(F868,'Employees List'!$E$1:$AE$991,6,0),"")</f>
        <v/>
      </c>
      <c r="J868" s="71">
        <f t="shared" si="3"/>
        <v>0</v>
      </c>
      <c r="K868" s="71">
        <f t="shared" si="4"/>
        <v>0</v>
      </c>
      <c r="L868" s="10" t="str">
        <f>IFERROR(VLOOKUP(B868,'Employees List'!$A$2:$K$991,11,0),"")</f>
        <v/>
      </c>
      <c r="M868" s="74" t="str">
        <f>IFERROR(VLOOKUP(D868,'Daily Attendance 25-26'!$A$4:BP999,5,0),"")</f>
        <v/>
      </c>
      <c r="N868" s="10" t="str">
        <f>IFERROR(VLOOKUP(E868,'Daily Attendance 25-26'!$A$1:$BO$1741,5,0),"")</f>
        <v/>
      </c>
      <c r="O868" s="10"/>
      <c r="P868" s="10"/>
      <c r="Q868" s="10" t="str">
        <f t="shared" si="5"/>
        <v>#DIV/0!</v>
      </c>
      <c r="R868" s="10" t="str">
        <f t="shared" si="6"/>
        <v>#DIV/0!</v>
      </c>
      <c r="S868" s="10" t="str">
        <f t="shared" si="23"/>
        <v>#DIV/0!</v>
      </c>
      <c r="T868" s="10" t="str">
        <f t="shared" si="22"/>
        <v>#DIV/0!</v>
      </c>
      <c r="U868" s="10" t="str">
        <f t="shared" si="8"/>
        <v>#DIV/0!</v>
      </c>
      <c r="V868" s="10"/>
      <c r="W868" s="10"/>
      <c r="X868" s="10"/>
      <c r="Y868" s="10"/>
      <c r="Z868" s="10"/>
      <c r="AA868" s="10"/>
      <c r="AB868" s="10"/>
      <c r="AC868" s="10"/>
      <c r="AD868" s="10"/>
      <c r="AE868" s="10"/>
      <c r="AF868" s="10"/>
    </row>
    <row r="869" hidden="1">
      <c r="A869" s="9" t="s">
        <v>1086</v>
      </c>
      <c r="B869" s="84"/>
      <c r="C869" s="9"/>
      <c r="D869" s="9" t="str">
        <f t="shared" si="1"/>
        <v/>
      </c>
      <c r="E869" s="10" t="str">
        <f t="shared" si="2"/>
        <v>OT Hours</v>
      </c>
      <c r="F869" s="10" t="str">
        <f>IFERROR(VLOOKUP(C869,'Employees List'!$B$1:$I$999,4,0),"")</f>
        <v/>
      </c>
      <c r="G869" s="10" t="str">
        <f t="shared" si="21"/>
        <v>#DIV/0!</v>
      </c>
      <c r="H869" s="72" t="str">
        <f>IFERROR(VLOOKUP(C869,'Employees List'!$B$2:$I$991,7,0),"")</f>
        <v/>
      </c>
      <c r="I869" s="73" t="str">
        <f>IFERROR(VLOOKUP(F869,'Employees List'!$E$1:$AE$991,6,0),"")</f>
        <v/>
      </c>
      <c r="J869" s="71">
        <f t="shared" si="3"/>
        <v>0</v>
      </c>
      <c r="K869" s="71">
        <f t="shared" si="4"/>
        <v>0</v>
      </c>
      <c r="L869" s="10" t="str">
        <f>IFERROR(VLOOKUP(B869,'Employees List'!$A$2:$K$991,11,0),"")</f>
        <v/>
      </c>
      <c r="M869" s="74" t="str">
        <f>IFERROR(VLOOKUP(D869,'Daily Attendance 25-26'!$A$4:BP999,5,0),"")</f>
        <v/>
      </c>
      <c r="N869" s="10" t="str">
        <f>IFERROR(VLOOKUP(E869,'Daily Attendance 25-26'!$A$1:$BO$1741,5,0),"")</f>
        <v/>
      </c>
      <c r="O869" s="10"/>
      <c r="P869" s="10"/>
      <c r="Q869" s="10" t="str">
        <f t="shared" si="5"/>
        <v>#DIV/0!</v>
      </c>
      <c r="R869" s="10" t="str">
        <f t="shared" si="6"/>
        <v>#DIV/0!</v>
      </c>
      <c r="S869" s="10" t="str">
        <f t="shared" si="23"/>
        <v>#DIV/0!</v>
      </c>
      <c r="T869" s="10" t="str">
        <f t="shared" si="22"/>
        <v>#DIV/0!</v>
      </c>
      <c r="U869" s="10" t="str">
        <f t="shared" si="8"/>
        <v>#DIV/0!</v>
      </c>
      <c r="V869" s="10"/>
      <c r="W869" s="10"/>
      <c r="X869" s="10"/>
      <c r="Y869" s="10"/>
      <c r="Z869" s="10"/>
      <c r="AA869" s="10"/>
      <c r="AB869" s="10"/>
      <c r="AC869" s="10"/>
      <c r="AD869" s="10"/>
      <c r="AE869" s="10"/>
      <c r="AF869" s="10"/>
    </row>
    <row r="870" hidden="1">
      <c r="A870" s="9" t="s">
        <v>1087</v>
      </c>
      <c r="B870" s="84"/>
      <c r="C870" s="9"/>
      <c r="D870" s="9" t="str">
        <f t="shared" si="1"/>
        <v/>
      </c>
      <c r="E870" s="10" t="str">
        <f t="shared" si="2"/>
        <v>OT Hours</v>
      </c>
      <c r="F870" s="10" t="str">
        <f>IFERROR(VLOOKUP(C870,'Employees List'!$B$1:$I$999,4,0),"")</f>
        <v/>
      </c>
      <c r="G870" s="10" t="str">
        <f t="shared" si="21"/>
        <v>#DIV/0!</v>
      </c>
      <c r="H870" s="72" t="str">
        <f>IFERROR(VLOOKUP(C870,'Employees List'!$B$2:$I$991,7,0),"")</f>
        <v/>
      </c>
      <c r="I870" s="73" t="str">
        <f>IFERROR(VLOOKUP(F870,'Employees List'!$E$1:$AE$991,6,0),"")</f>
        <v/>
      </c>
      <c r="J870" s="71">
        <f t="shared" si="3"/>
        <v>0</v>
      </c>
      <c r="K870" s="71">
        <f t="shared" si="4"/>
        <v>0</v>
      </c>
      <c r="L870" s="10" t="str">
        <f>IFERROR(VLOOKUP(B870,'Employees List'!$A$2:$K$991,11,0),"")</f>
        <v/>
      </c>
      <c r="M870" s="74" t="str">
        <f>IFERROR(VLOOKUP(D870,'Daily Attendance 25-26'!$A$4:BP999,5,0),"")</f>
        <v/>
      </c>
      <c r="N870" s="10" t="str">
        <f>IFERROR(VLOOKUP(E870,'Daily Attendance 25-26'!$A$1:$BO$1741,5,0),"")</f>
        <v/>
      </c>
      <c r="O870" s="10"/>
      <c r="P870" s="10"/>
      <c r="Q870" s="10" t="str">
        <f t="shared" si="5"/>
        <v>#DIV/0!</v>
      </c>
      <c r="R870" s="10" t="str">
        <f t="shared" si="6"/>
        <v>#DIV/0!</v>
      </c>
      <c r="S870" s="10" t="str">
        <f t="shared" si="23"/>
        <v>#DIV/0!</v>
      </c>
      <c r="T870" s="10" t="str">
        <f t="shared" si="22"/>
        <v>#DIV/0!</v>
      </c>
      <c r="U870" s="10" t="str">
        <f t="shared" si="8"/>
        <v>#DIV/0!</v>
      </c>
      <c r="V870" s="10"/>
      <c r="W870" s="10"/>
      <c r="X870" s="10"/>
      <c r="Y870" s="10"/>
      <c r="Z870" s="10"/>
      <c r="AA870" s="10"/>
      <c r="AB870" s="10"/>
      <c r="AC870" s="10"/>
      <c r="AD870" s="10"/>
      <c r="AE870" s="10"/>
      <c r="AF870" s="10"/>
    </row>
    <row r="871" hidden="1">
      <c r="A871" s="9" t="s">
        <v>1088</v>
      </c>
      <c r="B871" s="84"/>
      <c r="C871" s="9"/>
      <c r="D871" s="9" t="str">
        <f t="shared" si="1"/>
        <v/>
      </c>
      <c r="E871" s="10" t="str">
        <f t="shared" si="2"/>
        <v>OT Hours</v>
      </c>
      <c r="F871" s="10" t="str">
        <f>IFERROR(VLOOKUP(C871,'Employees List'!$B$1:$I$999,4,0),"")</f>
        <v/>
      </c>
      <c r="G871" s="10" t="str">
        <f t="shared" si="21"/>
        <v>#DIV/0!</v>
      </c>
      <c r="H871" s="72" t="str">
        <f>IFERROR(VLOOKUP(C871,'Employees List'!$B$2:$I$991,7,0),"")</f>
        <v/>
      </c>
      <c r="I871" s="73" t="str">
        <f>IFERROR(VLOOKUP(F871,'Employees List'!$E$1:$AE$991,6,0),"")</f>
        <v/>
      </c>
      <c r="J871" s="71">
        <f t="shared" si="3"/>
        <v>0</v>
      </c>
      <c r="K871" s="71">
        <f t="shared" si="4"/>
        <v>0</v>
      </c>
      <c r="L871" s="10" t="str">
        <f>IFERROR(VLOOKUP(B871,'Employees List'!$A$2:$K$991,11,0),"")</f>
        <v/>
      </c>
      <c r="M871" s="74" t="str">
        <f>IFERROR(VLOOKUP(D871,'Daily Attendance 25-26'!$A$4:BP999,5,0),"")</f>
        <v/>
      </c>
      <c r="N871" s="10" t="str">
        <f>IFERROR(VLOOKUP(E871,'Daily Attendance 25-26'!$A$1:$BO$1741,5,0),"")</f>
        <v/>
      </c>
      <c r="O871" s="10"/>
      <c r="P871" s="10"/>
      <c r="Q871" s="10" t="str">
        <f t="shared" si="5"/>
        <v>#DIV/0!</v>
      </c>
      <c r="R871" s="10" t="str">
        <f t="shared" si="6"/>
        <v>#DIV/0!</v>
      </c>
      <c r="S871" s="10" t="str">
        <f t="shared" si="23"/>
        <v>#DIV/0!</v>
      </c>
      <c r="T871" s="10" t="str">
        <f t="shared" si="22"/>
        <v>#DIV/0!</v>
      </c>
      <c r="U871" s="10" t="str">
        <f t="shared" si="8"/>
        <v>#DIV/0!</v>
      </c>
      <c r="V871" s="10"/>
      <c r="W871" s="10"/>
      <c r="X871" s="10"/>
      <c r="Y871" s="10"/>
      <c r="Z871" s="10"/>
      <c r="AA871" s="10"/>
      <c r="AB871" s="10"/>
      <c r="AC871" s="10"/>
      <c r="AD871" s="10"/>
      <c r="AE871" s="10"/>
      <c r="AF871" s="10"/>
    </row>
    <row r="872" hidden="1">
      <c r="A872" s="9" t="s">
        <v>1089</v>
      </c>
      <c r="B872" s="84"/>
      <c r="C872" s="9"/>
      <c r="D872" s="9" t="str">
        <f t="shared" si="1"/>
        <v/>
      </c>
      <c r="E872" s="10" t="str">
        <f t="shared" si="2"/>
        <v>OT Hours</v>
      </c>
      <c r="F872" s="10" t="str">
        <f>IFERROR(VLOOKUP(C872,'Employees List'!$B$1:$I$999,4,0),"")</f>
        <v/>
      </c>
      <c r="G872" s="10" t="str">
        <f t="shared" si="21"/>
        <v>#DIV/0!</v>
      </c>
      <c r="H872" s="72" t="str">
        <f>IFERROR(VLOOKUP(C872,'Employees List'!$B$2:$I$991,7,0),"")</f>
        <v/>
      </c>
      <c r="I872" s="73" t="str">
        <f>IFERROR(VLOOKUP(F872,'Employees List'!$E$1:$AE$991,6,0),"")</f>
        <v/>
      </c>
      <c r="J872" s="71">
        <f t="shared" si="3"/>
        <v>0</v>
      </c>
      <c r="K872" s="71">
        <f t="shared" si="4"/>
        <v>0</v>
      </c>
      <c r="L872" s="10" t="str">
        <f>IFERROR(VLOOKUP(B872,'Employees List'!$A$2:$K$991,11,0),"")</f>
        <v/>
      </c>
      <c r="M872" s="74" t="str">
        <f>IFERROR(VLOOKUP(D872,'Daily Attendance 25-26'!$A$4:BP999,5,0),"")</f>
        <v/>
      </c>
      <c r="N872" s="10" t="str">
        <f>IFERROR(VLOOKUP(E872,'Daily Attendance 25-26'!$A$1:$BO$1741,5,0),"")</f>
        <v/>
      </c>
      <c r="O872" s="10"/>
      <c r="P872" s="10"/>
      <c r="Q872" s="10" t="str">
        <f t="shared" si="5"/>
        <v>#DIV/0!</v>
      </c>
      <c r="R872" s="10" t="str">
        <f t="shared" si="6"/>
        <v>#DIV/0!</v>
      </c>
      <c r="S872" s="10" t="str">
        <f t="shared" si="23"/>
        <v>#DIV/0!</v>
      </c>
      <c r="T872" s="10" t="str">
        <f t="shared" si="22"/>
        <v>#DIV/0!</v>
      </c>
      <c r="U872" s="10" t="str">
        <f t="shared" si="8"/>
        <v>#DIV/0!</v>
      </c>
      <c r="V872" s="10"/>
      <c r="W872" s="10"/>
      <c r="X872" s="10"/>
      <c r="Y872" s="10"/>
      <c r="Z872" s="10"/>
      <c r="AA872" s="10"/>
      <c r="AB872" s="10"/>
      <c r="AC872" s="10"/>
      <c r="AD872" s="10"/>
      <c r="AE872" s="10"/>
      <c r="AF872" s="10"/>
    </row>
    <row r="873" hidden="1">
      <c r="A873" s="9" t="s">
        <v>1090</v>
      </c>
      <c r="B873" s="84"/>
      <c r="C873" s="9"/>
      <c r="D873" s="9" t="str">
        <f t="shared" si="1"/>
        <v/>
      </c>
      <c r="E873" s="10" t="str">
        <f t="shared" si="2"/>
        <v>OT Hours</v>
      </c>
      <c r="F873" s="10" t="str">
        <f>IFERROR(VLOOKUP(C873,'Employees List'!$B$1:$I$999,4,0),"")</f>
        <v/>
      </c>
      <c r="G873" s="10" t="str">
        <f t="shared" si="21"/>
        <v>#DIV/0!</v>
      </c>
      <c r="H873" s="72" t="str">
        <f>IFERROR(VLOOKUP(C873,'Employees List'!$B$2:$I$991,7,0),"")</f>
        <v/>
      </c>
      <c r="I873" s="73" t="str">
        <f>IFERROR(VLOOKUP(F873,'Employees List'!$E$1:$AE$991,6,0),"")</f>
        <v/>
      </c>
      <c r="J873" s="71">
        <f t="shared" si="3"/>
        <v>0</v>
      </c>
      <c r="K873" s="71">
        <f t="shared" si="4"/>
        <v>0</v>
      </c>
      <c r="L873" s="10" t="str">
        <f>IFERROR(VLOOKUP(B873,'Employees List'!$A$2:$K$991,11,0),"")</f>
        <v/>
      </c>
      <c r="M873" s="74" t="str">
        <f>IFERROR(VLOOKUP(D873,'Daily Attendance 25-26'!$A$4:BP999,5,0),"")</f>
        <v/>
      </c>
      <c r="N873" s="10" t="str">
        <f>IFERROR(VLOOKUP(E873,'Daily Attendance 25-26'!$A$1:$BO$1741,5,0),"")</f>
        <v/>
      </c>
      <c r="O873" s="10"/>
      <c r="P873" s="10"/>
      <c r="Q873" s="10" t="str">
        <f t="shared" si="5"/>
        <v>#DIV/0!</v>
      </c>
      <c r="R873" s="10" t="str">
        <f t="shared" si="6"/>
        <v>#DIV/0!</v>
      </c>
      <c r="S873" s="10" t="str">
        <f t="shared" si="23"/>
        <v>#DIV/0!</v>
      </c>
      <c r="T873" s="10" t="str">
        <f t="shared" si="22"/>
        <v>#DIV/0!</v>
      </c>
      <c r="U873" s="10" t="str">
        <f t="shared" si="8"/>
        <v>#DIV/0!</v>
      </c>
      <c r="V873" s="10"/>
      <c r="W873" s="10"/>
      <c r="X873" s="10"/>
      <c r="Y873" s="10"/>
      <c r="Z873" s="10"/>
      <c r="AA873" s="10"/>
      <c r="AB873" s="10"/>
      <c r="AC873" s="10"/>
      <c r="AD873" s="10"/>
      <c r="AE873" s="10"/>
      <c r="AF873" s="10"/>
    </row>
    <row r="874" hidden="1">
      <c r="A874" s="9" t="s">
        <v>1091</v>
      </c>
      <c r="B874" s="84"/>
      <c r="C874" s="9"/>
      <c r="D874" s="9" t="str">
        <f t="shared" si="1"/>
        <v/>
      </c>
      <c r="E874" s="10" t="str">
        <f t="shared" si="2"/>
        <v>OT Hours</v>
      </c>
      <c r="F874" s="10" t="str">
        <f>IFERROR(VLOOKUP(C874,'Employees List'!$B$1:$I$999,4,0),"")</f>
        <v/>
      </c>
      <c r="G874" s="10" t="str">
        <f t="shared" si="21"/>
        <v>#DIV/0!</v>
      </c>
      <c r="H874" s="72" t="str">
        <f>IFERROR(VLOOKUP(C874,'Employees List'!$B$2:$I$991,7,0),"")</f>
        <v/>
      </c>
      <c r="I874" s="73" t="str">
        <f>IFERROR(VLOOKUP(F874,'Employees List'!$E$1:$AE$991,6,0),"")</f>
        <v/>
      </c>
      <c r="J874" s="71">
        <f t="shared" si="3"/>
        <v>0</v>
      </c>
      <c r="K874" s="71">
        <f t="shared" si="4"/>
        <v>0</v>
      </c>
      <c r="L874" s="10" t="str">
        <f>IFERROR(VLOOKUP(B874,'Employees List'!$A$2:$K$991,11,0),"")</f>
        <v/>
      </c>
      <c r="M874" s="74" t="str">
        <f>IFERROR(VLOOKUP(D874,'Daily Attendance 25-26'!$A$4:BP999,5,0),"")</f>
        <v/>
      </c>
      <c r="N874" s="10" t="str">
        <f>IFERROR(VLOOKUP(E874,'Daily Attendance 25-26'!$A$1:$BO$1741,5,0),"")</f>
        <v/>
      </c>
      <c r="O874" s="10"/>
      <c r="P874" s="10"/>
      <c r="Q874" s="10" t="str">
        <f t="shared" si="5"/>
        <v>#DIV/0!</v>
      </c>
      <c r="R874" s="10" t="str">
        <f t="shared" si="6"/>
        <v>#DIV/0!</v>
      </c>
      <c r="S874" s="10" t="str">
        <f t="shared" si="23"/>
        <v>#DIV/0!</v>
      </c>
      <c r="T874" s="10" t="str">
        <f t="shared" si="22"/>
        <v>#DIV/0!</v>
      </c>
      <c r="U874" s="10" t="str">
        <f t="shared" si="8"/>
        <v>#DIV/0!</v>
      </c>
      <c r="V874" s="10"/>
      <c r="W874" s="10"/>
      <c r="X874" s="10"/>
      <c r="Y874" s="10"/>
      <c r="Z874" s="10"/>
      <c r="AA874" s="10"/>
      <c r="AB874" s="10"/>
      <c r="AC874" s="10"/>
      <c r="AD874" s="10"/>
      <c r="AE874" s="10"/>
      <c r="AF874" s="10"/>
    </row>
    <row r="875" hidden="1">
      <c r="A875" s="9" t="s">
        <v>1092</v>
      </c>
      <c r="B875" s="84"/>
      <c r="C875" s="9"/>
      <c r="D875" s="9" t="str">
        <f t="shared" si="1"/>
        <v/>
      </c>
      <c r="E875" s="10" t="str">
        <f t="shared" si="2"/>
        <v>OT Hours</v>
      </c>
      <c r="F875" s="10" t="str">
        <f>IFERROR(VLOOKUP(C875,'Employees List'!$B$1:$I$999,4,0),"")</f>
        <v/>
      </c>
      <c r="G875" s="10" t="str">
        <f t="shared" si="21"/>
        <v>#DIV/0!</v>
      </c>
      <c r="H875" s="72" t="str">
        <f>IFERROR(VLOOKUP(C875,'Employees List'!$B$2:$I$991,7,0),"")</f>
        <v/>
      </c>
      <c r="I875" s="73" t="str">
        <f>IFERROR(VLOOKUP(F875,'Employees List'!$E$1:$AE$991,6,0),"")</f>
        <v/>
      </c>
      <c r="J875" s="71">
        <f t="shared" si="3"/>
        <v>0</v>
      </c>
      <c r="K875" s="71">
        <f t="shared" si="4"/>
        <v>0</v>
      </c>
      <c r="L875" s="10" t="str">
        <f>IFERROR(VLOOKUP(B875,'Employees List'!$A$2:$K$991,11,0),"")</f>
        <v/>
      </c>
      <c r="M875" s="74" t="str">
        <f>IFERROR(VLOOKUP(D875,'Daily Attendance 25-26'!$A$4:BP999,5,0),"")</f>
        <v/>
      </c>
      <c r="N875" s="10" t="str">
        <f>IFERROR(VLOOKUP(E875,'Daily Attendance 25-26'!$A$1:$BO$1741,5,0),"")</f>
        <v/>
      </c>
      <c r="O875" s="10"/>
      <c r="P875" s="10"/>
      <c r="Q875" s="10" t="str">
        <f t="shared" si="5"/>
        <v>#DIV/0!</v>
      </c>
      <c r="R875" s="10" t="str">
        <f t="shared" si="6"/>
        <v>#DIV/0!</v>
      </c>
      <c r="S875" s="10" t="str">
        <f t="shared" si="23"/>
        <v>#DIV/0!</v>
      </c>
      <c r="T875" s="10" t="str">
        <f t="shared" si="22"/>
        <v>#DIV/0!</v>
      </c>
      <c r="U875" s="10" t="str">
        <f t="shared" si="8"/>
        <v>#DIV/0!</v>
      </c>
      <c r="V875" s="10"/>
      <c r="W875" s="10"/>
      <c r="X875" s="10"/>
      <c r="Y875" s="10"/>
      <c r="Z875" s="10"/>
      <c r="AA875" s="10"/>
      <c r="AB875" s="10"/>
      <c r="AC875" s="10"/>
      <c r="AD875" s="10"/>
      <c r="AE875" s="10"/>
      <c r="AF875" s="10"/>
    </row>
    <row r="876" hidden="1">
      <c r="A876" s="9" t="s">
        <v>1093</v>
      </c>
      <c r="B876" s="84"/>
      <c r="C876" s="9"/>
      <c r="D876" s="9" t="str">
        <f t="shared" si="1"/>
        <v/>
      </c>
      <c r="E876" s="10" t="str">
        <f t="shared" si="2"/>
        <v>OT Hours</v>
      </c>
      <c r="F876" s="10" t="str">
        <f>IFERROR(VLOOKUP(C876,'Employees List'!$B$1:$I$999,4,0),"")</f>
        <v/>
      </c>
      <c r="G876" s="10" t="str">
        <f t="shared" si="21"/>
        <v>#DIV/0!</v>
      </c>
      <c r="H876" s="72" t="str">
        <f>IFERROR(VLOOKUP(C876,'Employees List'!$B$2:$I$991,7,0),"")</f>
        <v/>
      </c>
      <c r="I876" s="73" t="str">
        <f>IFERROR(VLOOKUP(F876,'Employees List'!$E$1:$AE$991,6,0),"")</f>
        <v/>
      </c>
      <c r="J876" s="71">
        <f t="shared" si="3"/>
        <v>0</v>
      </c>
      <c r="K876" s="71">
        <f t="shared" si="4"/>
        <v>0</v>
      </c>
      <c r="L876" s="10" t="str">
        <f>IFERROR(VLOOKUP(B876,'Employees List'!$A$2:$K$991,11,0),"")</f>
        <v/>
      </c>
      <c r="M876" s="74" t="str">
        <f>IFERROR(VLOOKUP(D876,'Daily Attendance 25-26'!$A$4:BP999,5,0),"")</f>
        <v/>
      </c>
      <c r="N876" s="10" t="str">
        <f>IFERROR(VLOOKUP(E876,'Daily Attendance 25-26'!$A$1:$BO$1741,5,0),"")</f>
        <v/>
      </c>
      <c r="O876" s="10"/>
      <c r="P876" s="10"/>
      <c r="Q876" s="10" t="str">
        <f t="shared" si="5"/>
        <v>#DIV/0!</v>
      </c>
      <c r="R876" s="10" t="str">
        <f t="shared" si="6"/>
        <v>#DIV/0!</v>
      </c>
      <c r="S876" s="10" t="str">
        <f t="shared" si="23"/>
        <v>#DIV/0!</v>
      </c>
      <c r="T876" s="10" t="str">
        <f t="shared" si="22"/>
        <v>#DIV/0!</v>
      </c>
      <c r="U876" s="10" t="str">
        <f t="shared" si="8"/>
        <v>#DIV/0!</v>
      </c>
      <c r="V876" s="10"/>
      <c r="W876" s="10"/>
      <c r="X876" s="10"/>
      <c r="Y876" s="10"/>
      <c r="Z876" s="10"/>
      <c r="AA876" s="10"/>
      <c r="AB876" s="10"/>
      <c r="AC876" s="10"/>
      <c r="AD876" s="10"/>
      <c r="AE876" s="10"/>
      <c r="AF876" s="10"/>
    </row>
    <row r="877" hidden="1">
      <c r="A877" s="9" t="s">
        <v>1094</v>
      </c>
      <c r="B877" s="84"/>
      <c r="C877" s="9"/>
      <c r="D877" s="9" t="str">
        <f t="shared" si="1"/>
        <v/>
      </c>
      <c r="E877" s="10" t="str">
        <f t="shared" si="2"/>
        <v>OT Hours</v>
      </c>
      <c r="F877" s="10" t="str">
        <f>IFERROR(VLOOKUP(C877,'Employees List'!$B$1:$I$999,4,0),"")</f>
        <v/>
      </c>
      <c r="G877" s="10" t="str">
        <f t="shared" si="21"/>
        <v>#DIV/0!</v>
      </c>
      <c r="H877" s="72" t="str">
        <f>IFERROR(VLOOKUP(C877,'Employees List'!$B$2:$I$991,7,0),"")</f>
        <v/>
      </c>
      <c r="I877" s="73" t="str">
        <f>IFERROR(VLOOKUP(F877,'Employees List'!$E$1:$AE$991,6,0),"")</f>
        <v/>
      </c>
      <c r="J877" s="71">
        <f t="shared" si="3"/>
        <v>0</v>
      </c>
      <c r="K877" s="71">
        <f t="shared" si="4"/>
        <v>0</v>
      </c>
      <c r="L877" s="10" t="str">
        <f>IFERROR(VLOOKUP(B877,'Employees List'!$A$2:$K$991,11,0),"")</f>
        <v/>
      </c>
      <c r="M877" s="74" t="str">
        <f>IFERROR(VLOOKUP(D877,'Daily Attendance 25-26'!$A$4:BP999,5,0),"")</f>
        <v/>
      </c>
      <c r="N877" s="10" t="str">
        <f>IFERROR(VLOOKUP(E877,'Daily Attendance 25-26'!$A$1:$BO$1741,5,0),"")</f>
        <v/>
      </c>
      <c r="O877" s="10"/>
      <c r="P877" s="10"/>
      <c r="Q877" s="10" t="str">
        <f t="shared" si="5"/>
        <v>#DIV/0!</v>
      </c>
      <c r="R877" s="10" t="str">
        <f t="shared" si="6"/>
        <v>#DIV/0!</v>
      </c>
      <c r="S877" s="10" t="str">
        <f t="shared" si="23"/>
        <v>#DIV/0!</v>
      </c>
      <c r="T877" s="10" t="str">
        <f t="shared" si="22"/>
        <v>#DIV/0!</v>
      </c>
      <c r="U877" s="10" t="str">
        <f t="shared" si="8"/>
        <v>#DIV/0!</v>
      </c>
      <c r="V877" s="10"/>
      <c r="W877" s="10"/>
      <c r="X877" s="10"/>
      <c r="Y877" s="10"/>
      <c r="Z877" s="10"/>
      <c r="AA877" s="10"/>
      <c r="AB877" s="10"/>
      <c r="AC877" s="10"/>
      <c r="AD877" s="10"/>
      <c r="AE877" s="10"/>
      <c r="AF877" s="10"/>
    </row>
    <row r="878" hidden="1">
      <c r="A878" s="9" t="s">
        <v>1095</v>
      </c>
      <c r="B878" s="84"/>
      <c r="C878" s="9"/>
      <c r="D878" s="9" t="str">
        <f t="shared" si="1"/>
        <v/>
      </c>
      <c r="E878" s="10" t="str">
        <f t="shared" si="2"/>
        <v>OT Hours</v>
      </c>
      <c r="F878" s="10" t="str">
        <f>IFERROR(VLOOKUP(C878,'Employees List'!$B$1:$I$999,4,0),"")</f>
        <v/>
      </c>
      <c r="G878" s="10" t="str">
        <f t="shared" si="21"/>
        <v>#DIV/0!</v>
      </c>
      <c r="H878" s="72" t="str">
        <f>IFERROR(VLOOKUP(C878,'Employees List'!$B$2:$I$991,7,0),"")</f>
        <v/>
      </c>
      <c r="I878" s="73" t="str">
        <f>IFERROR(VLOOKUP(F878,'Employees List'!$E$1:$AE$991,6,0),"")</f>
        <v/>
      </c>
      <c r="J878" s="71">
        <f t="shared" si="3"/>
        <v>0</v>
      </c>
      <c r="K878" s="71">
        <f t="shared" si="4"/>
        <v>0</v>
      </c>
      <c r="L878" s="10" t="str">
        <f>IFERROR(VLOOKUP(B878,'Employees List'!$A$2:$K$991,11,0),"")</f>
        <v/>
      </c>
      <c r="M878" s="74" t="str">
        <f>IFERROR(VLOOKUP(D878,'Daily Attendance 25-26'!$A$4:BP999,5,0),"")</f>
        <v/>
      </c>
      <c r="N878" s="10" t="str">
        <f>IFERROR(VLOOKUP(E878,'Daily Attendance 25-26'!$A$1:$BO$1741,5,0),"")</f>
        <v/>
      </c>
      <c r="O878" s="10"/>
      <c r="P878" s="10"/>
      <c r="Q878" s="10" t="str">
        <f t="shared" si="5"/>
        <v>#DIV/0!</v>
      </c>
      <c r="R878" s="10" t="str">
        <f t="shared" si="6"/>
        <v>#DIV/0!</v>
      </c>
      <c r="S878" s="10" t="str">
        <f t="shared" si="23"/>
        <v>#DIV/0!</v>
      </c>
      <c r="T878" s="10" t="str">
        <f t="shared" si="22"/>
        <v>#DIV/0!</v>
      </c>
      <c r="U878" s="10" t="str">
        <f t="shared" si="8"/>
        <v>#DIV/0!</v>
      </c>
      <c r="V878" s="10"/>
      <c r="W878" s="10"/>
      <c r="X878" s="10"/>
      <c r="Y878" s="10"/>
      <c r="Z878" s="10"/>
      <c r="AA878" s="10"/>
      <c r="AB878" s="10"/>
      <c r="AC878" s="10"/>
      <c r="AD878" s="10"/>
      <c r="AE878" s="10"/>
      <c r="AF878" s="10"/>
    </row>
    <row r="879" hidden="1">
      <c r="A879" s="9" t="s">
        <v>1096</v>
      </c>
      <c r="B879" s="84"/>
      <c r="C879" s="9"/>
      <c r="D879" s="9" t="str">
        <f t="shared" si="1"/>
        <v/>
      </c>
      <c r="E879" s="10" t="str">
        <f t="shared" si="2"/>
        <v>OT Hours</v>
      </c>
      <c r="F879" s="10" t="str">
        <f>IFERROR(VLOOKUP(C879,'Employees List'!$B$1:$I$999,4,0),"")</f>
        <v/>
      </c>
      <c r="G879" s="10" t="str">
        <f t="shared" si="21"/>
        <v>#DIV/0!</v>
      </c>
      <c r="H879" s="72" t="str">
        <f>IFERROR(VLOOKUP(C879,'Employees List'!$B$2:$I$991,7,0),"")</f>
        <v/>
      </c>
      <c r="I879" s="73" t="str">
        <f>IFERROR(VLOOKUP(F879,'Employees List'!$E$1:$AE$991,6,0),"")</f>
        <v/>
      </c>
      <c r="J879" s="71">
        <f t="shared" si="3"/>
        <v>0</v>
      </c>
      <c r="K879" s="71">
        <f t="shared" si="4"/>
        <v>0</v>
      </c>
      <c r="L879" s="10" t="str">
        <f>IFERROR(VLOOKUP(B879,'Employees List'!$A$2:$K$991,11,0),"")</f>
        <v/>
      </c>
      <c r="M879" s="74" t="str">
        <f>IFERROR(VLOOKUP(D879,'Daily Attendance 25-26'!$A$4:BP999,5,0),"")</f>
        <v/>
      </c>
      <c r="N879" s="10" t="str">
        <f>IFERROR(VLOOKUP(E879,'Daily Attendance 25-26'!$A$1:$BO$1741,5,0),"")</f>
        <v/>
      </c>
      <c r="O879" s="10"/>
      <c r="P879" s="10"/>
      <c r="Q879" s="10" t="str">
        <f t="shared" si="5"/>
        <v>#DIV/0!</v>
      </c>
      <c r="R879" s="10" t="str">
        <f t="shared" si="6"/>
        <v>#DIV/0!</v>
      </c>
      <c r="S879" s="10" t="str">
        <f t="shared" si="23"/>
        <v>#DIV/0!</v>
      </c>
      <c r="T879" s="10" t="str">
        <f t="shared" si="22"/>
        <v>#DIV/0!</v>
      </c>
      <c r="U879" s="10" t="str">
        <f t="shared" si="8"/>
        <v>#DIV/0!</v>
      </c>
      <c r="V879" s="10"/>
      <c r="W879" s="10"/>
      <c r="X879" s="10"/>
      <c r="Y879" s="10"/>
      <c r="Z879" s="10"/>
      <c r="AA879" s="10"/>
      <c r="AB879" s="10"/>
      <c r="AC879" s="10"/>
      <c r="AD879" s="10"/>
      <c r="AE879" s="10"/>
      <c r="AF879" s="10"/>
    </row>
    <row r="880" hidden="1">
      <c r="A880" s="9" t="s">
        <v>1097</v>
      </c>
      <c r="B880" s="84"/>
      <c r="C880" s="9"/>
      <c r="D880" s="9" t="str">
        <f t="shared" si="1"/>
        <v/>
      </c>
      <c r="E880" s="10" t="str">
        <f t="shared" si="2"/>
        <v>OT Hours</v>
      </c>
      <c r="F880" s="10" t="str">
        <f>IFERROR(VLOOKUP(C880,'Employees List'!$B$1:$I$999,4,0),"")</f>
        <v/>
      </c>
      <c r="G880" s="10" t="str">
        <f t="shared" si="21"/>
        <v>#DIV/0!</v>
      </c>
      <c r="H880" s="72" t="str">
        <f>IFERROR(VLOOKUP(C880,'Employees List'!$B$2:$I$991,7,0),"")</f>
        <v/>
      </c>
      <c r="I880" s="73" t="str">
        <f>IFERROR(VLOOKUP(F880,'Employees List'!$E$1:$AE$991,6,0),"")</f>
        <v/>
      </c>
      <c r="J880" s="71">
        <f t="shared" si="3"/>
        <v>0</v>
      </c>
      <c r="K880" s="71">
        <f t="shared" si="4"/>
        <v>0</v>
      </c>
      <c r="L880" s="10" t="str">
        <f>IFERROR(VLOOKUP(B880,'Employees List'!$A$2:$K$991,11,0),"")</f>
        <v/>
      </c>
      <c r="M880" s="74" t="str">
        <f>IFERROR(VLOOKUP(D880,'Daily Attendance 25-26'!$A$4:BP999,5,0),"")</f>
        <v/>
      </c>
      <c r="N880" s="10" t="str">
        <f>IFERROR(VLOOKUP(E880,'Daily Attendance 25-26'!$A$1:$BO$1741,5,0),"")</f>
        <v/>
      </c>
      <c r="O880" s="10"/>
      <c r="P880" s="10"/>
      <c r="Q880" s="10" t="str">
        <f t="shared" si="5"/>
        <v>#DIV/0!</v>
      </c>
      <c r="R880" s="10" t="str">
        <f t="shared" si="6"/>
        <v>#DIV/0!</v>
      </c>
      <c r="S880" s="10" t="str">
        <f t="shared" si="23"/>
        <v>#DIV/0!</v>
      </c>
      <c r="T880" s="10" t="str">
        <f t="shared" si="22"/>
        <v>#DIV/0!</v>
      </c>
      <c r="U880" s="10" t="str">
        <f t="shared" si="8"/>
        <v>#DIV/0!</v>
      </c>
      <c r="V880" s="10"/>
      <c r="W880" s="10"/>
      <c r="X880" s="10"/>
      <c r="Y880" s="10"/>
      <c r="Z880" s="10"/>
      <c r="AA880" s="10"/>
      <c r="AB880" s="10"/>
      <c r="AC880" s="10"/>
      <c r="AD880" s="10"/>
      <c r="AE880" s="10"/>
      <c r="AF880" s="10"/>
    </row>
    <row r="881" hidden="1">
      <c r="A881" s="9" t="s">
        <v>1098</v>
      </c>
      <c r="B881" s="84"/>
      <c r="C881" s="9"/>
      <c r="D881" s="9" t="str">
        <f t="shared" si="1"/>
        <v/>
      </c>
      <c r="E881" s="10" t="str">
        <f t="shared" si="2"/>
        <v>OT Hours</v>
      </c>
      <c r="F881" s="10" t="str">
        <f>IFERROR(VLOOKUP(C881,'Employees List'!$B$1:$I$999,4,0),"")</f>
        <v/>
      </c>
      <c r="G881" s="10" t="str">
        <f t="shared" si="21"/>
        <v>#DIV/0!</v>
      </c>
      <c r="H881" s="72" t="str">
        <f>IFERROR(VLOOKUP(C881,'Employees List'!$B$2:$I$991,7,0),"")</f>
        <v/>
      </c>
      <c r="I881" s="73" t="str">
        <f>IFERROR(VLOOKUP(F881,'Employees List'!$E$1:$AE$991,6,0),"")</f>
        <v/>
      </c>
      <c r="J881" s="71">
        <f t="shared" si="3"/>
        <v>0</v>
      </c>
      <c r="K881" s="71">
        <f t="shared" si="4"/>
        <v>0</v>
      </c>
      <c r="L881" s="10" t="str">
        <f>IFERROR(VLOOKUP(B881,'Employees List'!$A$2:$K$991,11,0),"")</f>
        <v/>
      </c>
      <c r="M881" s="74" t="str">
        <f>IFERROR(VLOOKUP(D881,'Daily Attendance 25-26'!$A$4:BP999,5,0),"")</f>
        <v/>
      </c>
      <c r="N881" s="10" t="str">
        <f>IFERROR(VLOOKUP(E881,'Daily Attendance 25-26'!$A$1:$BO$1741,5,0),"")</f>
        <v/>
      </c>
      <c r="O881" s="10"/>
      <c r="P881" s="10"/>
      <c r="Q881" s="10" t="str">
        <f t="shared" si="5"/>
        <v>#DIV/0!</v>
      </c>
      <c r="R881" s="10" t="str">
        <f t="shared" si="6"/>
        <v>#DIV/0!</v>
      </c>
      <c r="S881" s="10" t="str">
        <f t="shared" si="23"/>
        <v>#DIV/0!</v>
      </c>
      <c r="T881" s="10" t="str">
        <f t="shared" si="22"/>
        <v>#DIV/0!</v>
      </c>
      <c r="U881" s="10" t="str">
        <f t="shared" si="8"/>
        <v>#DIV/0!</v>
      </c>
      <c r="V881" s="10"/>
      <c r="W881" s="10"/>
      <c r="X881" s="10"/>
      <c r="Y881" s="10"/>
      <c r="Z881" s="10"/>
      <c r="AA881" s="10"/>
      <c r="AB881" s="10"/>
      <c r="AC881" s="10"/>
      <c r="AD881" s="10"/>
      <c r="AE881" s="10"/>
      <c r="AF881" s="10"/>
    </row>
    <row r="882" hidden="1">
      <c r="A882" s="9" t="s">
        <v>1099</v>
      </c>
      <c r="B882" s="84"/>
      <c r="C882" s="9"/>
      <c r="D882" s="9" t="str">
        <f t="shared" si="1"/>
        <v/>
      </c>
      <c r="E882" s="10" t="str">
        <f t="shared" si="2"/>
        <v>OT Hours</v>
      </c>
      <c r="F882" s="10" t="str">
        <f>IFERROR(VLOOKUP(C882,'Employees List'!$B$1:$I$999,4,0),"")</f>
        <v/>
      </c>
      <c r="G882" s="10" t="str">
        <f t="shared" si="21"/>
        <v>#DIV/0!</v>
      </c>
      <c r="H882" s="72" t="str">
        <f>IFERROR(VLOOKUP(C882,'Employees List'!$B$2:$I$991,7,0),"")</f>
        <v/>
      </c>
      <c r="I882" s="73" t="str">
        <f>IFERROR(VLOOKUP(F882,'Employees List'!$E$1:$AE$991,6,0),"")</f>
        <v/>
      </c>
      <c r="J882" s="71">
        <f t="shared" si="3"/>
        <v>0</v>
      </c>
      <c r="K882" s="71">
        <f t="shared" si="4"/>
        <v>0</v>
      </c>
      <c r="L882" s="10" t="str">
        <f>IFERROR(VLOOKUP(B882,'Employees List'!$A$2:$K$991,11,0),"")</f>
        <v/>
      </c>
      <c r="M882" s="74" t="str">
        <f>IFERROR(VLOOKUP(D882,'Daily Attendance 25-26'!$A$4:BP999,5,0),"")</f>
        <v/>
      </c>
      <c r="N882" s="10" t="str">
        <f>IFERROR(VLOOKUP(E882,'Daily Attendance 25-26'!$A$1:$BO$1741,5,0),"")</f>
        <v/>
      </c>
      <c r="O882" s="10"/>
      <c r="P882" s="10"/>
      <c r="Q882" s="10" t="str">
        <f t="shared" si="5"/>
        <v>#DIV/0!</v>
      </c>
      <c r="R882" s="10" t="str">
        <f t="shared" si="6"/>
        <v>#DIV/0!</v>
      </c>
      <c r="S882" s="10" t="str">
        <f t="shared" si="23"/>
        <v>#DIV/0!</v>
      </c>
      <c r="T882" s="10" t="str">
        <f t="shared" si="22"/>
        <v>#DIV/0!</v>
      </c>
      <c r="U882" s="10" t="str">
        <f t="shared" si="8"/>
        <v>#DIV/0!</v>
      </c>
      <c r="V882" s="10"/>
      <c r="W882" s="10"/>
      <c r="X882" s="10"/>
      <c r="Y882" s="10"/>
      <c r="Z882" s="10"/>
      <c r="AA882" s="10"/>
      <c r="AB882" s="10"/>
      <c r="AC882" s="10"/>
      <c r="AD882" s="10"/>
      <c r="AE882" s="10"/>
      <c r="AF882" s="10"/>
    </row>
    <row r="883" hidden="1">
      <c r="A883" s="9" t="s">
        <v>1100</v>
      </c>
      <c r="B883" s="84"/>
      <c r="C883" s="9"/>
      <c r="D883" s="9" t="str">
        <f t="shared" si="1"/>
        <v/>
      </c>
      <c r="E883" s="10" t="str">
        <f t="shared" si="2"/>
        <v>OT Hours</v>
      </c>
      <c r="F883" s="10" t="str">
        <f>IFERROR(VLOOKUP(C883,'Employees List'!$B$1:$I$999,4,0),"")</f>
        <v/>
      </c>
      <c r="G883" s="10" t="str">
        <f t="shared" si="21"/>
        <v>#DIV/0!</v>
      </c>
      <c r="H883" s="72" t="str">
        <f>IFERROR(VLOOKUP(C883,'Employees List'!$B$2:$I$991,7,0),"")</f>
        <v/>
      </c>
      <c r="I883" s="73" t="str">
        <f>IFERROR(VLOOKUP(F883,'Employees List'!$E$1:$AE$991,6,0),"")</f>
        <v/>
      </c>
      <c r="J883" s="71">
        <f t="shared" si="3"/>
        <v>0</v>
      </c>
      <c r="K883" s="71">
        <f t="shared" si="4"/>
        <v>0</v>
      </c>
      <c r="L883" s="10" t="str">
        <f>IFERROR(VLOOKUP(B883,'Employees List'!$A$2:$K$991,11,0),"")</f>
        <v/>
      </c>
      <c r="M883" s="74" t="str">
        <f>IFERROR(VLOOKUP(D883,'Daily Attendance 25-26'!$A$4:BP999,5,0),"")</f>
        <v/>
      </c>
      <c r="N883" s="10" t="str">
        <f>IFERROR(VLOOKUP(E883,'Daily Attendance 25-26'!$A$1:$BO$1741,5,0),"")</f>
        <v/>
      </c>
      <c r="O883" s="10"/>
      <c r="P883" s="10"/>
      <c r="Q883" s="10" t="str">
        <f t="shared" si="5"/>
        <v>#DIV/0!</v>
      </c>
      <c r="R883" s="10" t="str">
        <f t="shared" si="6"/>
        <v>#DIV/0!</v>
      </c>
      <c r="S883" s="10" t="str">
        <f t="shared" si="23"/>
        <v>#DIV/0!</v>
      </c>
      <c r="T883" s="10" t="str">
        <f t="shared" si="22"/>
        <v>#DIV/0!</v>
      </c>
      <c r="U883" s="10" t="str">
        <f t="shared" si="8"/>
        <v>#DIV/0!</v>
      </c>
      <c r="V883" s="10"/>
      <c r="W883" s="10"/>
      <c r="X883" s="10"/>
      <c r="Y883" s="10"/>
      <c r="Z883" s="10"/>
      <c r="AA883" s="10"/>
      <c r="AB883" s="10"/>
      <c r="AC883" s="10"/>
      <c r="AD883" s="10"/>
      <c r="AE883" s="10"/>
      <c r="AF883" s="10"/>
    </row>
    <row r="884" hidden="1">
      <c r="A884" s="9" t="s">
        <v>1101</v>
      </c>
      <c r="B884" s="84"/>
      <c r="C884" s="9"/>
      <c r="D884" s="9" t="str">
        <f t="shared" si="1"/>
        <v/>
      </c>
      <c r="E884" s="10" t="str">
        <f t="shared" si="2"/>
        <v>OT Hours</v>
      </c>
      <c r="F884" s="10" t="str">
        <f>IFERROR(VLOOKUP(C884,'Employees List'!$B$1:$I$999,4,0),"")</f>
        <v/>
      </c>
      <c r="G884" s="10" t="str">
        <f t="shared" si="21"/>
        <v>#DIV/0!</v>
      </c>
      <c r="H884" s="72" t="str">
        <f>IFERROR(VLOOKUP(C884,'Employees List'!$B$2:$I$991,7,0),"")</f>
        <v/>
      </c>
      <c r="I884" s="73" t="str">
        <f>IFERROR(VLOOKUP(F884,'Employees List'!$E$1:$AE$991,6,0),"")</f>
        <v/>
      </c>
      <c r="J884" s="71">
        <f t="shared" si="3"/>
        <v>0</v>
      </c>
      <c r="K884" s="71">
        <f t="shared" si="4"/>
        <v>0</v>
      </c>
      <c r="L884" s="10" t="str">
        <f>IFERROR(VLOOKUP(B884,'Employees List'!$A$2:$K$991,11,0),"")</f>
        <v/>
      </c>
      <c r="M884" s="74" t="str">
        <f>IFERROR(VLOOKUP(D884,'Daily Attendance 25-26'!$A$4:BP999,5,0),"")</f>
        <v/>
      </c>
      <c r="N884" s="10" t="str">
        <f>IFERROR(VLOOKUP(E884,'Daily Attendance 25-26'!$A$1:$BO$1741,5,0),"")</f>
        <v/>
      </c>
      <c r="O884" s="10"/>
      <c r="P884" s="10"/>
      <c r="Q884" s="10" t="str">
        <f t="shared" si="5"/>
        <v>#DIV/0!</v>
      </c>
      <c r="R884" s="10" t="str">
        <f t="shared" si="6"/>
        <v>#DIV/0!</v>
      </c>
      <c r="S884" s="10" t="str">
        <f t="shared" si="23"/>
        <v>#DIV/0!</v>
      </c>
      <c r="T884" s="10" t="str">
        <f t="shared" si="22"/>
        <v>#DIV/0!</v>
      </c>
      <c r="U884" s="10" t="str">
        <f t="shared" si="8"/>
        <v>#DIV/0!</v>
      </c>
      <c r="V884" s="10"/>
      <c r="W884" s="10"/>
      <c r="X884" s="10"/>
      <c r="Y884" s="10"/>
      <c r="Z884" s="10"/>
      <c r="AA884" s="10"/>
      <c r="AB884" s="10"/>
      <c r="AC884" s="10"/>
      <c r="AD884" s="10"/>
      <c r="AE884" s="10"/>
      <c r="AF884" s="10"/>
    </row>
    <row r="885" hidden="1">
      <c r="A885" s="9" t="s">
        <v>1102</v>
      </c>
      <c r="B885" s="84"/>
      <c r="C885" s="9"/>
      <c r="D885" s="9" t="str">
        <f t="shared" si="1"/>
        <v/>
      </c>
      <c r="E885" s="10" t="str">
        <f t="shared" si="2"/>
        <v>OT Hours</v>
      </c>
      <c r="F885" s="10" t="str">
        <f>IFERROR(VLOOKUP(C885,'Employees List'!$B$1:$I$999,4,0),"")</f>
        <v/>
      </c>
      <c r="G885" s="10" t="str">
        <f t="shared" si="21"/>
        <v>#DIV/0!</v>
      </c>
      <c r="H885" s="72" t="str">
        <f>IFERROR(VLOOKUP(C885,'Employees List'!$B$2:$I$991,7,0),"")</f>
        <v/>
      </c>
      <c r="I885" s="73" t="str">
        <f>IFERROR(VLOOKUP(F885,'Employees List'!$E$1:$AE$991,6,0),"")</f>
        <v/>
      </c>
      <c r="J885" s="71">
        <f t="shared" si="3"/>
        <v>0</v>
      </c>
      <c r="K885" s="71">
        <f t="shared" si="4"/>
        <v>0</v>
      </c>
      <c r="L885" s="10" t="str">
        <f>IFERROR(VLOOKUP(B885,'Employees List'!$A$2:$K$991,11,0),"")</f>
        <v/>
      </c>
      <c r="M885" s="74" t="str">
        <f>IFERROR(VLOOKUP(D885,'Daily Attendance 25-26'!$A$4:BP999,5,0),"")</f>
        <v/>
      </c>
      <c r="N885" s="10" t="str">
        <f>IFERROR(VLOOKUP(E885,'Daily Attendance 25-26'!$A$1:$BO$1741,5,0),"")</f>
        <v/>
      </c>
      <c r="O885" s="10"/>
      <c r="P885" s="10"/>
      <c r="Q885" s="10" t="str">
        <f t="shared" si="5"/>
        <v>#DIV/0!</v>
      </c>
      <c r="R885" s="10" t="str">
        <f t="shared" si="6"/>
        <v>#DIV/0!</v>
      </c>
      <c r="S885" s="10" t="str">
        <f t="shared" si="23"/>
        <v>#DIV/0!</v>
      </c>
      <c r="T885" s="10" t="str">
        <f t="shared" si="22"/>
        <v>#DIV/0!</v>
      </c>
      <c r="U885" s="10" t="str">
        <f t="shared" si="8"/>
        <v>#DIV/0!</v>
      </c>
      <c r="V885" s="10"/>
      <c r="W885" s="10"/>
      <c r="X885" s="10"/>
      <c r="Y885" s="10"/>
      <c r="Z885" s="10"/>
      <c r="AA885" s="10"/>
      <c r="AB885" s="10"/>
      <c r="AC885" s="10"/>
      <c r="AD885" s="10"/>
      <c r="AE885" s="10"/>
      <c r="AF885" s="10"/>
    </row>
    <row r="886" hidden="1">
      <c r="A886" s="9" t="s">
        <v>1103</v>
      </c>
      <c r="B886" s="84"/>
      <c r="C886" s="9"/>
      <c r="D886" s="9" t="str">
        <f t="shared" si="1"/>
        <v/>
      </c>
      <c r="E886" s="10" t="str">
        <f t="shared" si="2"/>
        <v>OT Hours</v>
      </c>
      <c r="F886" s="10" t="str">
        <f>IFERROR(VLOOKUP(C886,'Employees List'!$B$1:$I$999,4,0),"")</f>
        <v/>
      </c>
      <c r="G886" s="10" t="str">
        <f t="shared" si="21"/>
        <v>#DIV/0!</v>
      </c>
      <c r="H886" s="72" t="str">
        <f>IFERROR(VLOOKUP(C886,'Employees List'!$B$2:$I$991,7,0),"")</f>
        <v/>
      </c>
      <c r="I886" s="73" t="str">
        <f>IFERROR(VLOOKUP(F886,'Employees List'!$E$1:$AE$991,6,0),"")</f>
        <v/>
      </c>
      <c r="J886" s="71">
        <f t="shared" si="3"/>
        <v>0</v>
      </c>
      <c r="K886" s="71">
        <f t="shared" si="4"/>
        <v>0</v>
      </c>
      <c r="L886" s="10" t="str">
        <f>IFERROR(VLOOKUP(B886,'Employees List'!$A$2:$K$991,11,0),"")</f>
        <v/>
      </c>
      <c r="M886" s="74" t="str">
        <f>IFERROR(VLOOKUP(D886,'Daily Attendance 25-26'!$A$4:BP999,5,0),"")</f>
        <v/>
      </c>
      <c r="N886" s="10" t="str">
        <f>IFERROR(VLOOKUP(E886,'Daily Attendance 25-26'!$A$1:$BO$1741,5,0),"")</f>
        <v/>
      </c>
      <c r="O886" s="10"/>
      <c r="P886" s="10"/>
      <c r="Q886" s="10" t="str">
        <f t="shared" si="5"/>
        <v>#DIV/0!</v>
      </c>
      <c r="R886" s="10" t="str">
        <f t="shared" si="6"/>
        <v>#DIV/0!</v>
      </c>
      <c r="S886" s="10" t="str">
        <f t="shared" si="23"/>
        <v>#DIV/0!</v>
      </c>
      <c r="T886" s="10" t="str">
        <f t="shared" si="22"/>
        <v>#DIV/0!</v>
      </c>
      <c r="U886" s="10" t="str">
        <f t="shared" si="8"/>
        <v>#DIV/0!</v>
      </c>
      <c r="V886" s="10"/>
      <c r="W886" s="10"/>
      <c r="X886" s="10"/>
      <c r="Y886" s="10"/>
      <c r="Z886" s="10"/>
      <c r="AA886" s="10"/>
      <c r="AB886" s="10"/>
      <c r="AC886" s="10"/>
      <c r="AD886" s="10"/>
      <c r="AE886" s="10"/>
      <c r="AF886" s="10"/>
    </row>
    <row r="887" hidden="1">
      <c r="A887" s="9" t="s">
        <v>1104</v>
      </c>
      <c r="B887" s="84"/>
      <c r="C887" s="9"/>
      <c r="D887" s="9" t="str">
        <f t="shared" si="1"/>
        <v/>
      </c>
      <c r="E887" s="10" t="str">
        <f t="shared" si="2"/>
        <v>OT Hours</v>
      </c>
      <c r="F887" s="10" t="str">
        <f>IFERROR(VLOOKUP(C887,'Employees List'!$B$1:$I$999,4,0),"")</f>
        <v/>
      </c>
      <c r="G887" s="10" t="str">
        <f t="shared" si="21"/>
        <v>#DIV/0!</v>
      </c>
      <c r="H887" s="72" t="str">
        <f>IFERROR(VLOOKUP(C887,'Employees List'!$B$2:$I$991,7,0),"")</f>
        <v/>
      </c>
      <c r="I887" s="73" t="str">
        <f>IFERROR(VLOOKUP(F887,'Employees List'!$E$1:$AE$991,6,0),"")</f>
        <v/>
      </c>
      <c r="J887" s="71">
        <f t="shared" si="3"/>
        <v>0</v>
      </c>
      <c r="K887" s="71">
        <f t="shared" si="4"/>
        <v>0</v>
      </c>
      <c r="L887" s="10" t="str">
        <f>IFERROR(VLOOKUP(B887,'Employees List'!$A$2:$K$991,11,0),"")</f>
        <v/>
      </c>
      <c r="M887" s="74" t="str">
        <f>IFERROR(VLOOKUP(D887,'Daily Attendance 25-26'!$A$4:BP999,5,0),"")</f>
        <v/>
      </c>
      <c r="N887" s="10" t="str">
        <f>IFERROR(VLOOKUP(E887,'Daily Attendance 25-26'!$A$1:$BO$1741,5,0),"")</f>
        <v/>
      </c>
      <c r="O887" s="10"/>
      <c r="P887" s="10"/>
      <c r="Q887" s="10" t="str">
        <f t="shared" si="5"/>
        <v>#DIV/0!</v>
      </c>
      <c r="R887" s="10" t="str">
        <f t="shared" si="6"/>
        <v>#DIV/0!</v>
      </c>
      <c r="S887" s="10" t="str">
        <f t="shared" si="23"/>
        <v>#DIV/0!</v>
      </c>
      <c r="T887" s="10" t="str">
        <f t="shared" si="22"/>
        <v>#DIV/0!</v>
      </c>
      <c r="U887" s="10" t="str">
        <f t="shared" si="8"/>
        <v>#DIV/0!</v>
      </c>
      <c r="V887" s="10"/>
      <c r="W887" s="10"/>
      <c r="X887" s="10"/>
      <c r="Y887" s="10"/>
      <c r="Z887" s="10"/>
      <c r="AA887" s="10"/>
      <c r="AB887" s="10"/>
      <c r="AC887" s="10"/>
      <c r="AD887" s="10"/>
      <c r="AE887" s="10"/>
      <c r="AF887" s="10"/>
    </row>
    <row r="888" hidden="1">
      <c r="A888" s="9" t="s">
        <v>1105</v>
      </c>
      <c r="B888" s="84"/>
      <c r="C888" s="9"/>
      <c r="D888" s="9" t="str">
        <f t="shared" si="1"/>
        <v/>
      </c>
      <c r="E888" s="10" t="str">
        <f t="shared" si="2"/>
        <v>OT Hours</v>
      </c>
      <c r="F888" s="10" t="str">
        <f>IFERROR(VLOOKUP(C888,'Employees List'!$B$1:$I$999,4,0),"")</f>
        <v/>
      </c>
      <c r="G888" s="10" t="str">
        <f t="shared" si="21"/>
        <v>#DIV/0!</v>
      </c>
      <c r="H888" s="72" t="str">
        <f>IFERROR(VLOOKUP(C888,'Employees List'!$B$2:$I$991,7,0),"")</f>
        <v/>
      </c>
      <c r="I888" s="73" t="str">
        <f>IFERROR(VLOOKUP(F888,'Employees List'!$E$1:$AE$991,6,0),"")</f>
        <v/>
      </c>
      <c r="J888" s="71">
        <f t="shared" si="3"/>
        <v>0</v>
      </c>
      <c r="K888" s="71">
        <f t="shared" si="4"/>
        <v>0</v>
      </c>
      <c r="L888" s="10" t="str">
        <f>IFERROR(VLOOKUP(B888,'Employees List'!$A$2:$K$991,11,0),"")</f>
        <v/>
      </c>
      <c r="M888" s="74" t="str">
        <f>IFERROR(VLOOKUP(D888,'Daily Attendance 25-26'!$A$4:BP999,5,0),"")</f>
        <v/>
      </c>
      <c r="N888" s="10" t="str">
        <f>IFERROR(VLOOKUP(E888,'Daily Attendance 25-26'!$A$1:$BO$1741,5,0),"")</f>
        <v/>
      </c>
      <c r="O888" s="10"/>
      <c r="P888" s="10"/>
      <c r="Q888" s="10" t="str">
        <f t="shared" si="5"/>
        <v>#DIV/0!</v>
      </c>
      <c r="R888" s="10" t="str">
        <f t="shared" si="6"/>
        <v>#DIV/0!</v>
      </c>
      <c r="S888" s="10" t="str">
        <f t="shared" si="23"/>
        <v>#DIV/0!</v>
      </c>
      <c r="T888" s="10" t="str">
        <f t="shared" si="22"/>
        <v>#DIV/0!</v>
      </c>
      <c r="U888" s="10" t="str">
        <f t="shared" si="8"/>
        <v>#DIV/0!</v>
      </c>
      <c r="V888" s="10"/>
      <c r="W888" s="10"/>
      <c r="X888" s="10"/>
      <c r="Y888" s="10"/>
      <c r="Z888" s="10"/>
      <c r="AA888" s="10"/>
      <c r="AB888" s="10"/>
      <c r="AC888" s="10"/>
      <c r="AD888" s="10"/>
      <c r="AE888" s="10"/>
      <c r="AF888" s="10"/>
    </row>
    <row r="889" hidden="1">
      <c r="A889" s="9" t="s">
        <v>1106</v>
      </c>
      <c r="B889" s="84"/>
      <c r="C889" s="9"/>
      <c r="D889" s="9" t="str">
        <f t="shared" si="1"/>
        <v/>
      </c>
      <c r="E889" s="10" t="str">
        <f t="shared" si="2"/>
        <v>OT Hours</v>
      </c>
      <c r="F889" s="10" t="str">
        <f>IFERROR(VLOOKUP(C889,'Employees List'!$B$1:$I$999,4,0),"")</f>
        <v/>
      </c>
      <c r="G889" s="10" t="str">
        <f t="shared" si="21"/>
        <v>#DIV/0!</v>
      </c>
      <c r="H889" s="72" t="str">
        <f>IFERROR(VLOOKUP(C889,'Employees List'!$B$2:$I$991,7,0),"")</f>
        <v/>
      </c>
      <c r="I889" s="73" t="str">
        <f>IFERROR(VLOOKUP(F889,'Employees List'!$E$1:$AE$991,6,0),"")</f>
        <v/>
      </c>
      <c r="J889" s="71">
        <f t="shared" si="3"/>
        <v>0</v>
      </c>
      <c r="K889" s="71">
        <f t="shared" si="4"/>
        <v>0</v>
      </c>
      <c r="L889" s="10" t="str">
        <f>IFERROR(VLOOKUP(B889,'Employees List'!$A$2:$K$991,11,0),"")</f>
        <v/>
      </c>
      <c r="M889" s="74" t="str">
        <f>IFERROR(VLOOKUP(D889,'Daily Attendance 25-26'!$A$4:BP999,5,0),"")</f>
        <v/>
      </c>
      <c r="N889" s="10" t="str">
        <f>IFERROR(VLOOKUP(E889,'Daily Attendance 25-26'!$A$1:$BO$1741,5,0),"")</f>
        <v/>
      </c>
      <c r="O889" s="10"/>
      <c r="P889" s="10"/>
      <c r="Q889" s="10" t="str">
        <f t="shared" si="5"/>
        <v>#DIV/0!</v>
      </c>
      <c r="R889" s="10" t="str">
        <f t="shared" si="6"/>
        <v>#DIV/0!</v>
      </c>
      <c r="S889" s="10" t="str">
        <f t="shared" si="23"/>
        <v>#DIV/0!</v>
      </c>
      <c r="T889" s="10" t="str">
        <f t="shared" si="22"/>
        <v>#DIV/0!</v>
      </c>
      <c r="U889" s="10" t="str">
        <f t="shared" si="8"/>
        <v>#DIV/0!</v>
      </c>
      <c r="V889" s="10"/>
      <c r="W889" s="10"/>
      <c r="X889" s="10"/>
      <c r="Y889" s="10"/>
      <c r="Z889" s="10"/>
      <c r="AA889" s="10"/>
      <c r="AB889" s="10"/>
      <c r="AC889" s="10"/>
      <c r="AD889" s="10"/>
      <c r="AE889" s="10"/>
      <c r="AF889" s="10"/>
    </row>
    <row r="890" hidden="1">
      <c r="A890" s="9" t="s">
        <v>1107</v>
      </c>
      <c r="B890" s="84"/>
      <c r="C890" s="9"/>
      <c r="D890" s="9" t="str">
        <f t="shared" si="1"/>
        <v/>
      </c>
      <c r="E890" s="10" t="str">
        <f t="shared" si="2"/>
        <v>OT Hours</v>
      </c>
      <c r="F890" s="10" t="str">
        <f>IFERROR(VLOOKUP(C890,'Employees List'!$B$1:$I$999,4,0),"")</f>
        <v/>
      </c>
      <c r="G890" s="10" t="str">
        <f t="shared" si="21"/>
        <v>#DIV/0!</v>
      </c>
      <c r="H890" s="72" t="str">
        <f>IFERROR(VLOOKUP(C890,'Employees List'!$B$2:$I$991,7,0),"")</f>
        <v/>
      </c>
      <c r="I890" s="73" t="str">
        <f>IFERROR(VLOOKUP(F890,'Employees List'!$E$1:$AE$991,6,0),"")</f>
        <v/>
      </c>
      <c r="J890" s="71">
        <f t="shared" si="3"/>
        <v>0</v>
      </c>
      <c r="K890" s="71">
        <f t="shared" si="4"/>
        <v>0</v>
      </c>
      <c r="L890" s="10" t="str">
        <f>IFERROR(VLOOKUP(B890,'Employees List'!$A$2:$K$991,11,0),"")</f>
        <v/>
      </c>
      <c r="M890" s="74" t="str">
        <f>IFERROR(VLOOKUP(D890,'Daily Attendance 25-26'!$A$4:BP999,5,0),"")</f>
        <v/>
      </c>
      <c r="N890" s="10" t="str">
        <f>IFERROR(VLOOKUP(E890,'Daily Attendance 25-26'!$A$1:$BO$1741,5,0),"")</f>
        <v/>
      </c>
      <c r="O890" s="10"/>
      <c r="P890" s="10"/>
      <c r="Q890" s="10" t="str">
        <f t="shared" si="5"/>
        <v>#DIV/0!</v>
      </c>
      <c r="R890" s="10" t="str">
        <f t="shared" si="6"/>
        <v>#DIV/0!</v>
      </c>
      <c r="S890" s="10" t="str">
        <f t="shared" si="23"/>
        <v>#DIV/0!</v>
      </c>
      <c r="T890" s="10" t="str">
        <f t="shared" si="22"/>
        <v>#DIV/0!</v>
      </c>
      <c r="U890" s="10" t="str">
        <f t="shared" si="8"/>
        <v>#DIV/0!</v>
      </c>
      <c r="V890" s="10"/>
      <c r="W890" s="10"/>
      <c r="X890" s="10"/>
      <c r="Y890" s="10"/>
      <c r="Z890" s="10"/>
      <c r="AA890" s="10"/>
      <c r="AB890" s="10"/>
      <c r="AC890" s="10"/>
      <c r="AD890" s="10"/>
      <c r="AE890" s="10"/>
      <c r="AF890" s="10"/>
    </row>
    <row r="891" hidden="1">
      <c r="A891" s="9" t="s">
        <v>1108</v>
      </c>
      <c r="B891" s="84"/>
      <c r="C891" s="9"/>
      <c r="D891" s="9" t="str">
        <f t="shared" si="1"/>
        <v/>
      </c>
      <c r="E891" s="10" t="str">
        <f t="shared" si="2"/>
        <v>OT Hours</v>
      </c>
      <c r="F891" s="10" t="str">
        <f>IFERROR(VLOOKUP(C891,'Employees List'!$B$1:$I$999,4,0),"")</f>
        <v/>
      </c>
      <c r="G891" s="10" t="str">
        <f t="shared" si="21"/>
        <v>#DIV/0!</v>
      </c>
      <c r="H891" s="72" t="str">
        <f>IFERROR(VLOOKUP(C891,'Employees List'!$B$2:$I$991,7,0),"")</f>
        <v/>
      </c>
      <c r="I891" s="73" t="str">
        <f>IFERROR(VLOOKUP(F891,'Employees List'!$E$1:$AE$991,6,0),"")</f>
        <v/>
      </c>
      <c r="J891" s="71">
        <f t="shared" si="3"/>
        <v>0</v>
      </c>
      <c r="K891" s="71">
        <f t="shared" si="4"/>
        <v>0</v>
      </c>
      <c r="L891" s="10" t="str">
        <f>IFERROR(VLOOKUP(B891,'Employees List'!$A$2:$K$991,11,0),"")</f>
        <v/>
      </c>
      <c r="M891" s="74" t="str">
        <f>IFERROR(VLOOKUP(D891,'Daily Attendance 25-26'!$A$4:BP999,5,0),"")</f>
        <v/>
      </c>
      <c r="N891" s="10" t="str">
        <f>IFERROR(VLOOKUP(E891,'Daily Attendance 25-26'!$A$1:$BO$1741,5,0),"")</f>
        <v/>
      </c>
      <c r="O891" s="10"/>
      <c r="P891" s="10"/>
      <c r="Q891" s="10" t="str">
        <f t="shared" si="5"/>
        <v>#DIV/0!</v>
      </c>
      <c r="R891" s="10" t="str">
        <f t="shared" si="6"/>
        <v>#DIV/0!</v>
      </c>
      <c r="S891" s="10" t="str">
        <f t="shared" si="23"/>
        <v>#DIV/0!</v>
      </c>
      <c r="T891" s="10" t="str">
        <f t="shared" si="22"/>
        <v>#DIV/0!</v>
      </c>
      <c r="U891" s="10" t="str">
        <f t="shared" si="8"/>
        <v>#DIV/0!</v>
      </c>
      <c r="V891" s="10"/>
      <c r="W891" s="10"/>
      <c r="X891" s="10"/>
      <c r="Y891" s="10"/>
      <c r="Z891" s="10"/>
      <c r="AA891" s="10"/>
      <c r="AB891" s="10"/>
      <c r="AC891" s="10"/>
      <c r="AD891" s="10"/>
      <c r="AE891" s="10"/>
      <c r="AF891" s="10"/>
    </row>
    <row r="892" hidden="1">
      <c r="A892" s="9" t="s">
        <v>1109</v>
      </c>
      <c r="B892" s="84"/>
      <c r="C892" s="9"/>
      <c r="D892" s="9" t="str">
        <f t="shared" si="1"/>
        <v/>
      </c>
      <c r="E892" s="10" t="str">
        <f t="shared" si="2"/>
        <v>OT Hours</v>
      </c>
      <c r="F892" s="10" t="str">
        <f>IFERROR(VLOOKUP(C892,'Employees List'!$B$1:$I$999,4,0),"")</f>
        <v/>
      </c>
      <c r="G892" s="10" t="str">
        <f t="shared" si="21"/>
        <v>#DIV/0!</v>
      </c>
      <c r="H892" s="72" t="str">
        <f>IFERROR(VLOOKUP(C892,'Employees List'!$B$2:$I$991,7,0),"")</f>
        <v/>
      </c>
      <c r="I892" s="73" t="str">
        <f>IFERROR(VLOOKUP(F892,'Employees List'!$E$1:$AE$991,6,0),"")</f>
        <v/>
      </c>
      <c r="J892" s="71">
        <f t="shared" si="3"/>
        <v>0</v>
      </c>
      <c r="K892" s="71">
        <f t="shared" si="4"/>
        <v>0</v>
      </c>
      <c r="L892" s="10" t="str">
        <f>IFERROR(VLOOKUP(B892,'Employees List'!$A$2:$K$991,11,0),"")</f>
        <v/>
      </c>
      <c r="M892" s="74" t="str">
        <f>IFERROR(VLOOKUP(D892,'Daily Attendance 25-26'!$A$4:BP999,5,0),"")</f>
        <v/>
      </c>
      <c r="N892" s="10" t="str">
        <f>IFERROR(VLOOKUP(E892,'Daily Attendance 25-26'!$A$1:$BO$1741,5,0),"")</f>
        <v/>
      </c>
      <c r="O892" s="10"/>
      <c r="P892" s="10"/>
      <c r="Q892" s="10" t="str">
        <f t="shared" si="5"/>
        <v>#DIV/0!</v>
      </c>
      <c r="R892" s="10" t="str">
        <f t="shared" si="6"/>
        <v>#DIV/0!</v>
      </c>
      <c r="S892" s="10" t="str">
        <f t="shared" si="23"/>
        <v>#DIV/0!</v>
      </c>
      <c r="T892" s="10" t="str">
        <f t="shared" si="22"/>
        <v>#DIV/0!</v>
      </c>
      <c r="U892" s="10" t="str">
        <f t="shared" si="8"/>
        <v>#DIV/0!</v>
      </c>
      <c r="V892" s="10"/>
      <c r="W892" s="10"/>
      <c r="X892" s="10"/>
      <c r="Y892" s="10"/>
      <c r="Z892" s="10"/>
      <c r="AA892" s="10"/>
      <c r="AB892" s="10"/>
      <c r="AC892" s="10"/>
      <c r="AD892" s="10"/>
      <c r="AE892" s="10"/>
      <c r="AF892" s="10"/>
    </row>
    <row r="893" hidden="1">
      <c r="A893" s="9" t="s">
        <v>1110</v>
      </c>
      <c r="B893" s="84"/>
      <c r="C893" s="9"/>
      <c r="D893" s="9" t="str">
        <f t="shared" si="1"/>
        <v/>
      </c>
      <c r="E893" s="10" t="str">
        <f t="shared" si="2"/>
        <v>OT Hours</v>
      </c>
      <c r="F893" s="10" t="str">
        <f>IFERROR(VLOOKUP(C893,'Employees List'!$B$1:$I$999,4,0),"")</f>
        <v/>
      </c>
      <c r="G893" s="10" t="str">
        <f t="shared" si="21"/>
        <v>#DIV/0!</v>
      </c>
      <c r="H893" s="72" t="str">
        <f>IFERROR(VLOOKUP(C893,'Employees List'!$B$2:$I$991,7,0),"")</f>
        <v/>
      </c>
      <c r="I893" s="73" t="str">
        <f>IFERROR(VLOOKUP(F893,'Employees List'!$E$1:$AE$991,6,0),"")</f>
        <v/>
      </c>
      <c r="J893" s="71">
        <f t="shared" si="3"/>
        <v>0</v>
      </c>
      <c r="K893" s="71">
        <f t="shared" si="4"/>
        <v>0</v>
      </c>
      <c r="L893" s="10" t="str">
        <f>IFERROR(VLOOKUP(B893,'Employees List'!$A$2:$K$991,11,0),"")</f>
        <v/>
      </c>
      <c r="M893" s="74" t="str">
        <f>IFERROR(VLOOKUP(D893,'Daily Attendance 25-26'!$A$4:BP999,5,0),"")</f>
        <v/>
      </c>
      <c r="N893" s="10" t="str">
        <f>IFERROR(VLOOKUP(E893,'Daily Attendance 25-26'!$A$1:$BO$1741,5,0),"")</f>
        <v/>
      </c>
      <c r="O893" s="10"/>
      <c r="P893" s="10"/>
      <c r="Q893" s="10" t="str">
        <f t="shared" si="5"/>
        <v>#DIV/0!</v>
      </c>
      <c r="R893" s="10" t="str">
        <f t="shared" si="6"/>
        <v>#DIV/0!</v>
      </c>
      <c r="S893" s="10" t="str">
        <f t="shared" si="23"/>
        <v>#DIV/0!</v>
      </c>
      <c r="T893" s="10" t="str">
        <f t="shared" si="22"/>
        <v>#DIV/0!</v>
      </c>
      <c r="U893" s="10" t="str">
        <f t="shared" si="8"/>
        <v>#DIV/0!</v>
      </c>
      <c r="V893" s="10"/>
      <c r="W893" s="10"/>
      <c r="X893" s="10"/>
      <c r="Y893" s="10"/>
      <c r="Z893" s="10"/>
      <c r="AA893" s="10"/>
      <c r="AB893" s="10"/>
      <c r="AC893" s="10"/>
      <c r="AD893" s="10"/>
      <c r="AE893" s="10"/>
      <c r="AF893" s="10"/>
    </row>
    <row r="894" hidden="1">
      <c r="A894" s="9" t="s">
        <v>1111</v>
      </c>
      <c r="B894" s="84"/>
      <c r="C894" s="9"/>
      <c r="D894" s="9" t="str">
        <f t="shared" si="1"/>
        <v/>
      </c>
      <c r="E894" s="10" t="str">
        <f t="shared" si="2"/>
        <v>OT Hours</v>
      </c>
      <c r="F894" s="10" t="str">
        <f>IFERROR(VLOOKUP(C894,'Employees List'!$B$1:$I$999,4,0),"")</f>
        <v/>
      </c>
      <c r="G894" s="10" t="str">
        <f t="shared" si="21"/>
        <v>#DIV/0!</v>
      </c>
      <c r="H894" s="72" t="str">
        <f>IFERROR(VLOOKUP(C894,'Employees List'!$B$2:$I$991,7,0),"")</f>
        <v/>
      </c>
      <c r="I894" s="73" t="str">
        <f>IFERROR(VLOOKUP(F894,'Employees List'!$E$1:$AE$991,6,0),"")</f>
        <v/>
      </c>
      <c r="J894" s="71">
        <f t="shared" si="3"/>
        <v>0</v>
      </c>
      <c r="K894" s="71">
        <f t="shared" si="4"/>
        <v>0</v>
      </c>
      <c r="L894" s="10" t="str">
        <f>IFERROR(VLOOKUP(B894,'Employees List'!$A$2:$K$991,11,0),"")</f>
        <v/>
      </c>
      <c r="M894" s="74" t="str">
        <f>IFERROR(VLOOKUP(D894,'Daily Attendance 25-26'!$A$4:BP999,5,0),"")</f>
        <v/>
      </c>
      <c r="N894" s="10" t="str">
        <f>IFERROR(VLOOKUP(E894,'Daily Attendance 25-26'!$A$1:$BO$1741,5,0),"")</f>
        <v/>
      </c>
      <c r="O894" s="10"/>
      <c r="P894" s="10"/>
      <c r="Q894" s="10" t="str">
        <f t="shared" si="5"/>
        <v>#DIV/0!</v>
      </c>
      <c r="R894" s="10" t="str">
        <f t="shared" si="6"/>
        <v>#DIV/0!</v>
      </c>
      <c r="S894" s="10" t="str">
        <f t="shared" si="23"/>
        <v>#DIV/0!</v>
      </c>
      <c r="T894" s="10" t="str">
        <f t="shared" si="22"/>
        <v>#DIV/0!</v>
      </c>
      <c r="U894" s="10" t="str">
        <f t="shared" si="8"/>
        <v>#DIV/0!</v>
      </c>
      <c r="V894" s="10"/>
      <c r="W894" s="10"/>
      <c r="X894" s="10"/>
      <c r="Y894" s="10"/>
      <c r="Z894" s="10"/>
      <c r="AA894" s="10"/>
      <c r="AB894" s="10"/>
      <c r="AC894" s="10"/>
      <c r="AD894" s="10"/>
      <c r="AE894" s="10"/>
      <c r="AF894" s="10"/>
    </row>
    <row r="895" hidden="1">
      <c r="A895" s="9" t="s">
        <v>1112</v>
      </c>
      <c r="B895" s="84"/>
      <c r="C895" s="9"/>
      <c r="D895" s="9" t="str">
        <f t="shared" si="1"/>
        <v/>
      </c>
      <c r="E895" s="10" t="str">
        <f t="shared" si="2"/>
        <v>OT Hours</v>
      </c>
      <c r="F895" s="10" t="str">
        <f>IFERROR(VLOOKUP(C895,'Employees List'!$B$1:$I$999,4,0),"")</f>
        <v/>
      </c>
      <c r="G895" s="10" t="str">
        <f t="shared" si="21"/>
        <v>#DIV/0!</v>
      </c>
      <c r="H895" s="72" t="str">
        <f>IFERROR(VLOOKUP(C895,'Employees List'!$B$2:$I$991,7,0),"")</f>
        <v/>
      </c>
      <c r="I895" s="73" t="str">
        <f>IFERROR(VLOOKUP(F895,'Employees List'!$E$1:$AE$991,6,0),"")</f>
        <v/>
      </c>
      <c r="J895" s="71">
        <f t="shared" si="3"/>
        <v>0</v>
      </c>
      <c r="K895" s="71">
        <f t="shared" si="4"/>
        <v>0</v>
      </c>
      <c r="L895" s="10" t="str">
        <f>IFERROR(VLOOKUP(B895,'Employees List'!$A$2:$K$991,11,0),"")</f>
        <v/>
      </c>
      <c r="M895" s="74" t="str">
        <f>IFERROR(VLOOKUP(D895,'Daily Attendance 25-26'!$A$4:BP999,5,0),"")</f>
        <v/>
      </c>
      <c r="N895" s="10" t="str">
        <f>IFERROR(VLOOKUP(E895,'Daily Attendance 25-26'!$A$1:$BO$1741,5,0),"")</f>
        <v/>
      </c>
      <c r="O895" s="10"/>
      <c r="P895" s="10"/>
      <c r="Q895" s="10" t="str">
        <f t="shared" si="5"/>
        <v>#DIV/0!</v>
      </c>
      <c r="R895" s="10" t="str">
        <f t="shared" si="6"/>
        <v>#DIV/0!</v>
      </c>
      <c r="S895" s="10" t="str">
        <f t="shared" si="23"/>
        <v>#DIV/0!</v>
      </c>
      <c r="T895" s="10" t="str">
        <f t="shared" si="22"/>
        <v>#DIV/0!</v>
      </c>
      <c r="U895" s="10" t="str">
        <f t="shared" si="8"/>
        <v>#DIV/0!</v>
      </c>
      <c r="V895" s="10"/>
      <c r="W895" s="10"/>
      <c r="X895" s="10"/>
      <c r="Y895" s="10"/>
      <c r="Z895" s="10"/>
      <c r="AA895" s="10"/>
      <c r="AB895" s="10"/>
      <c r="AC895" s="10"/>
      <c r="AD895" s="10"/>
      <c r="AE895" s="10"/>
      <c r="AF895" s="10"/>
    </row>
    <row r="896" hidden="1">
      <c r="A896" s="9" t="s">
        <v>1113</v>
      </c>
      <c r="B896" s="84"/>
      <c r="C896" s="9"/>
      <c r="D896" s="9" t="str">
        <f t="shared" si="1"/>
        <v/>
      </c>
      <c r="E896" s="10" t="str">
        <f t="shared" si="2"/>
        <v>OT Hours</v>
      </c>
      <c r="F896" s="10" t="str">
        <f>IFERROR(VLOOKUP(C896,'Employees List'!$B$1:$I$999,4,0),"")</f>
        <v/>
      </c>
      <c r="G896" s="10" t="str">
        <f t="shared" si="21"/>
        <v>#DIV/0!</v>
      </c>
      <c r="H896" s="72" t="str">
        <f>IFERROR(VLOOKUP(C896,'Employees List'!$B$2:$I$991,7,0),"")</f>
        <v/>
      </c>
      <c r="I896" s="73" t="str">
        <f>IFERROR(VLOOKUP(F896,'Employees List'!$E$1:$AE$991,6,0),"")</f>
        <v/>
      </c>
      <c r="J896" s="71">
        <f t="shared" si="3"/>
        <v>0</v>
      </c>
      <c r="K896" s="71">
        <f t="shared" si="4"/>
        <v>0</v>
      </c>
      <c r="L896" s="10" t="str">
        <f>IFERROR(VLOOKUP(B896,'Employees List'!$A$2:$K$991,11,0),"")</f>
        <v/>
      </c>
      <c r="M896" s="74" t="str">
        <f>IFERROR(VLOOKUP(D896,'Daily Attendance 25-26'!$A$4:BP999,5,0),"")</f>
        <v/>
      </c>
      <c r="N896" s="10" t="str">
        <f>IFERROR(VLOOKUP(E896,'Daily Attendance 25-26'!$A$1:$BO$1741,5,0),"")</f>
        <v/>
      </c>
      <c r="O896" s="10"/>
      <c r="P896" s="10"/>
      <c r="Q896" s="10" t="str">
        <f t="shared" si="5"/>
        <v>#DIV/0!</v>
      </c>
      <c r="R896" s="10" t="str">
        <f t="shared" si="6"/>
        <v>#DIV/0!</v>
      </c>
      <c r="S896" s="10" t="str">
        <f t="shared" si="23"/>
        <v>#DIV/0!</v>
      </c>
      <c r="T896" s="10" t="str">
        <f t="shared" si="22"/>
        <v>#DIV/0!</v>
      </c>
      <c r="U896" s="10" t="str">
        <f t="shared" si="8"/>
        <v>#DIV/0!</v>
      </c>
      <c r="V896" s="10"/>
      <c r="W896" s="10"/>
      <c r="X896" s="10"/>
      <c r="Y896" s="10"/>
      <c r="Z896" s="10"/>
      <c r="AA896" s="10"/>
      <c r="AB896" s="10"/>
      <c r="AC896" s="10"/>
      <c r="AD896" s="10"/>
      <c r="AE896" s="10"/>
      <c r="AF896" s="10"/>
    </row>
    <row r="897" hidden="1">
      <c r="A897" s="9" t="s">
        <v>1114</v>
      </c>
      <c r="B897" s="84"/>
      <c r="C897" s="9"/>
      <c r="D897" s="9" t="str">
        <f t="shared" si="1"/>
        <v/>
      </c>
      <c r="E897" s="10" t="str">
        <f t="shared" si="2"/>
        <v>OT Hours</v>
      </c>
      <c r="F897" s="10" t="str">
        <f>IFERROR(VLOOKUP(C897,'Employees List'!$B$1:$I$999,4,0),"")</f>
        <v/>
      </c>
      <c r="G897" s="10" t="str">
        <f t="shared" si="21"/>
        <v>#DIV/0!</v>
      </c>
      <c r="H897" s="72" t="str">
        <f>IFERROR(VLOOKUP(C897,'Employees List'!$B$2:$I$991,7,0),"")</f>
        <v/>
      </c>
      <c r="I897" s="73" t="str">
        <f>IFERROR(VLOOKUP(F897,'Employees List'!$E$1:$AE$991,6,0),"")</f>
        <v/>
      </c>
      <c r="J897" s="71">
        <f t="shared" si="3"/>
        <v>0</v>
      </c>
      <c r="K897" s="71">
        <f t="shared" si="4"/>
        <v>0</v>
      </c>
      <c r="L897" s="10" t="str">
        <f>IFERROR(VLOOKUP(B897,'Employees List'!$A$2:$K$991,11,0),"")</f>
        <v/>
      </c>
      <c r="M897" s="74" t="str">
        <f>IFERROR(VLOOKUP(D897,'Daily Attendance 25-26'!$A$4:BP999,5,0),"")</f>
        <v/>
      </c>
      <c r="N897" s="10" t="str">
        <f>IFERROR(VLOOKUP(E897,'Daily Attendance 25-26'!$A$1:$BO$1741,5,0),"")</f>
        <v/>
      </c>
      <c r="O897" s="10"/>
      <c r="P897" s="10"/>
      <c r="Q897" s="10" t="str">
        <f t="shared" si="5"/>
        <v>#DIV/0!</v>
      </c>
      <c r="R897" s="10" t="str">
        <f t="shared" si="6"/>
        <v>#DIV/0!</v>
      </c>
      <c r="S897" s="10" t="str">
        <f t="shared" si="23"/>
        <v>#DIV/0!</v>
      </c>
      <c r="T897" s="10" t="str">
        <f t="shared" si="22"/>
        <v>#DIV/0!</v>
      </c>
      <c r="U897" s="10" t="str">
        <f t="shared" si="8"/>
        <v>#DIV/0!</v>
      </c>
      <c r="V897" s="10"/>
      <c r="W897" s="10"/>
      <c r="X897" s="10"/>
      <c r="Y897" s="10"/>
      <c r="Z897" s="10"/>
      <c r="AA897" s="10"/>
      <c r="AB897" s="10"/>
      <c r="AC897" s="10"/>
      <c r="AD897" s="10"/>
      <c r="AE897" s="10"/>
      <c r="AF897" s="10"/>
    </row>
    <row r="898" hidden="1">
      <c r="A898" s="9" t="s">
        <v>1115</v>
      </c>
      <c r="B898" s="84"/>
      <c r="C898" s="9"/>
      <c r="D898" s="9" t="str">
        <f t="shared" si="1"/>
        <v/>
      </c>
      <c r="E898" s="10" t="str">
        <f t="shared" si="2"/>
        <v>OT Hours</v>
      </c>
      <c r="F898" s="10" t="str">
        <f>IFERROR(VLOOKUP(C898,'Employees List'!$B$1:$I$999,4,0),"")</f>
        <v/>
      </c>
      <c r="G898" s="10" t="str">
        <f t="shared" si="21"/>
        <v>#DIV/0!</v>
      </c>
      <c r="H898" s="72" t="str">
        <f>IFERROR(VLOOKUP(C898,'Employees List'!$B$2:$I$991,7,0),"")</f>
        <v/>
      </c>
      <c r="I898" s="73" t="str">
        <f>IFERROR(VLOOKUP(F898,'Employees List'!$E$1:$AE$991,6,0),"")</f>
        <v/>
      </c>
      <c r="J898" s="71">
        <f t="shared" si="3"/>
        <v>0</v>
      </c>
      <c r="K898" s="71">
        <f t="shared" si="4"/>
        <v>0</v>
      </c>
      <c r="L898" s="10" t="str">
        <f>IFERROR(VLOOKUP(B898,'Employees List'!$A$2:$K$991,11,0),"")</f>
        <v/>
      </c>
      <c r="M898" s="74" t="str">
        <f>IFERROR(VLOOKUP(D898,'Daily Attendance 25-26'!$A$4:BP999,5,0),"")</f>
        <v/>
      </c>
      <c r="N898" s="10" t="str">
        <f>IFERROR(VLOOKUP(E898,'Daily Attendance 25-26'!$A$1:$BO$1741,5,0),"")</f>
        <v/>
      </c>
      <c r="O898" s="10"/>
      <c r="P898" s="10"/>
      <c r="Q898" s="10" t="str">
        <f t="shared" si="5"/>
        <v>#DIV/0!</v>
      </c>
      <c r="R898" s="10" t="str">
        <f t="shared" si="6"/>
        <v>#DIV/0!</v>
      </c>
      <c r="S898" s="10" t="str">
        <f t="shared" si="23"/>
        <v>#DIV/0!</v>
      </c>
      <c r="T898" s="10" t="str">
        <f t="shared" si="22"/>
        <v>#DIV/0!</v>
      </c>
      <c r="U898" s="10" t="str">
        <f t="shared" si="8"/>
        <v>#DIV/0!</v>
      </c>
      <c r="V898" s="10"/>
      <c r="W898" s="10"/>
      <c r="X898" s="10"/>
      <c r="Y898" s="10"/>
      <c r="Z898" s="10"/>
      <c r="AA898" s="10"/>
      <c r="AB898" s="10"/>
      <c r="AC898" s="10"/>
      <c r="AD898" s="10"/>
      <c r="AE898" s="10"/>
      <c r="AF898" s="10"/>
    </row>
    <row r="899" hidden="1">
      <c r="A899" s="9" t="s">
        <v>1116</v>
      </c>
      <c r="B899" s="84"/>
      <c r="C899" s="9"/>
      <c r="D899" s="9" t="str">
        <f t="shared" si="1"/>
        <v/>
      </c>
      <c r="E899" s="10" t="str">
        <f t="shared" si="2"/>
        <v>OT Hours</v>
      </c>
      <c r="F899" s="10" t="str">
        <f>IFERROR(VLOOKUP(C899,'Employees List'!$B$1:$I$999,4,0),"")</f>
        <v/>
      </c>
      <c r="G899" s="10" t="str">
        <f t="shared" si="21"/>
        <v>#DIV/0!</v>
      </c>
      <c r="H899" s="72" t="str">
        <f>IFERROR(VLOOKUP(C899,'Employees List'!$B$2:$I$991,7,0),"")</f>
        <v/>
      </c>
      <c r="I899" s="73" t="str">
        <f>IFERROR(VLOOKUP(F899,'Employees List'!$E$1:$AE$991,6,0),"")</f>
        <v/>
      </c>
      <c r="J899" s="71">
        <f t="shared" si="3"/>
        <v>0</v>
      </c>
      <c r="K899" s="71">
        <f t="shared" si="4"/>
        <v>0</v>
      </c>
      <c r="L899" s="10" t="str">
        <f>IFERROR(VLOOKUP(B899,'Employees List'!$A$2:$K$991,11,0),"")</f>
        <v/>
      </c>
      <c r="M899" s="74" t="str">
        <f>IFERROR(VLOOKUP(D899,'Daily Attendance 25-26'!$A$4:BP999,5,0),"")</f>
        <v/>
      </c>
      <c r="N899" s="10" t="str">
        <f>IFERROR(VLOOKUP(E899,'Daily Attendance 25-26'!$A$1:$BO$1741,5,0),"")</f>
        <v/>
      </c>
      <c r="O899" s="10"/>
      <c r="P899" s="10"/>
      <c r="Q899" s="10" t="str">
        <f t="shared" si="5"/>
        <v>#DIV/0!</v>
      </c>
      <c r="R899" s="10" t="str">
        <f t="shared" si="6"/>
        <v>#DIV/0!</v>
      </c>
      <c r="S899" s="10" t="str">
        <f t="shared" si="23"/>
        <v>#DIV/0!</v>
      </c>
      <c r="T899" s="10" t="str">
        <f t="shared" si="22"/>
        <v>#DIV/0!</v>
      </c>
      <c r="U899" s="10" t="str">
        <f t="shared" si="8"/>
        <v>#DIV/0!</v>
      </c>
      <c r="V899" s="10"/>
      <c r="W899" s="10"/>
      <c r="X899" s="10"/>
      <c r="Y899" s="10"/>
      <c r="Z899" s="10"/>
      <c r="AA899" s="10"/>
      <c r="AB899" s="10"/>
      <c r="AC899" s="10"/>
      <c r="AD899" s="10"/>
      <c r="AE899" s="10"/>
      <c r="AF899" s="10"/>
    </row>
    <row r="900" hidden="1">
      <c r="A900" s="9" t="s">
        <v>1117</v>
      </c>
      <c r="B900" s="84"/>
      <c r="C900" s="9"/>
      <c r="D900" s="9" t="str">
        <f t="shared" si="1"/>
        <v/>
      </c>
      <c r="E900" s="10" t="str">
        <f t="shared" si="2"/>
        <v>OT Hours</v>
      </c>
      <c r="F900" s="10" t="str">
        <f>IFERROR(VLOOKUP(C900,'Employees List'!$B$1:$I$999,4,0),"")</f>
        <v/>
      </c>
      <c r="G900" s="10" t="str">
        <f t="shared" si="21"/>
        <v>#DIV/0!</v>
      </c>
      <c r="H900" s="72" t="str">
        <f>IFERROR(VLOOKUP(C900,'Employees List'!$B$2:$I$991,7,0),"")</f>
        <v/>
      </c>
      <c r="I900" s="73" t="str">
        <f>IFERROR(VLOOKUP(F900,'Employees List'!$E$1:$AE$991,6,0),"")</f>
        <v/>
      </c>
      <c r="J900" s="71">
        <f t="shared" si="3"/>
        <v>0</v>
      </c>
      <c r="K900" s="71">
        <f t="shared" si="4"/>
        <v>0</v>
      </c>
      <c r="L900" s="10" t="str">
        <f>IFERROR(VLOOKUP(B900,'Employees List'!$A$2:$K$991,11,0),"")</f>
        <v/>
      </c>
      <c r="M900" s="74" t="str">
        <f>IFERROR(VLOOKUP(D900,'Daily Attendance 25-26'!$A$4:BP999,5,0),"")</f>
        <v/>
      </c>
      <c r="N900" s="10" t="str">
        <f>IFERROR(VLOOKUP(E900,'Daily Attendance 25-26'!$A$1:$BO$1741,5,0),"")</f>
        <v/>
      </c>
      <c r="O900" s="10"/>
      <c r="P900" s="10"/>
      <c r="Q900" s="10" t="str">
        <f t="shared" si="5"/>
        <v>#DIV/0!</v>
      </c>
      <c r="R900" s="10" t="str">
        <f t="shared" si="6"/>
        <v>#DIV/0!</v>
      </c>
      <c r="S900" s="10" t="str">
        <f t="shared" si="23"/>
        <v>#DIV/0!</v>
      </c>
      <c r="T900" s="10" t="str">
        <f t="shared" si="22"/>
        <v>#DIV/0!</v>
      </c>
      <c r="U900" s="10" t="str">
        <f t="shared" si="8"/>
        <v>#DIV/0!</v>
      </c>
      <c r="V900" s="10"/>
      <c r="W900" s="10"/>
      <c r="X900" s="10"/>
      <c r="Y900" s="10"/>
      <c r="Z900" s="10"/>
      <c r="AA900" s="10"/>
      <c r="AB900" s="10"/>
      <c r="AC900" s="10"/>
      <c r="AD900" s="10"/>
      <c r="AE900" s="10"/>
      <c r="AF900" s="10"/>
    </row>
    <row r="901" hidden="1">
      <c r="A901" s="9" t="s">
        <v>1118</v>
      </c>
      <c r="B901" s="84"/>
      <c r="C901" s="9"/>
      <c r="D901" s="9" t="str">
        <f t="shared" si="1"/>
        <v/>
      </c>
      <c r="E901" s="10" t="str">
        <f t="shared" si="2"/>
        <v>OT Hours</v>
      </c>
      <c r="F901" s="10" t="str">
        <f>IFERROR(VLOOKUP(C901,'Employees List'!$B$1:$I$999,4,0),"")</f>
        <v/>
      </c>
      <c r="G901" s="10" t="str">
        <f t="shared" si="21"/>
        <v>#DIV/0!</v>
      </c>
      <c r="H901" s="72" t="str">
        <f>IFERROR(VLOOKUP(C901,'Employees List'!$B$2:$I$991,7,0),"")</f>
        <v/>
      </c>
      <c r="I901" s="73" t="str">
        <f>IFERROR(VLOOKUP(F901,'Employees List'!$E$1:$AE$991,6,0),"")</f>
        <v/>
      </c>
      <c r="J901" s="71">
        <f t="shared" si="3"/>
        <v>0</v>
      </c>
      <c r="K901" s="71">
        <f t="shared" si="4"/>
        <v>0</v>
      </c>
      <c r="L901" s="10" t="str">
        <f>IFERROR(VLOOKUP(B901,'Employees List'!$A$2:$K$991,11,0),"")</f>
        <v/>
      </c>
      <c r="M901" s="74" t="str">
        <f>IFERROR(VLOOKUP(D901,'Daily Attendance 25-26'!$A$4:BP999,5,0),"")</f>
        <v/>
      </c>
      <c r="N901" s="10" t="str">
        <f>IFERROR(VLOOKUP(E901,'Daily Attendance 25-26'!$A$1:$BO$1741,5,0),"")</f>
        <v/>
      </c>
      <c r="O901" s="10"/>
      <c r="P901" s="10"/>
      <c r="Q901" s="10" t="str">
        <f t="shared" si="5"/>
        <v>#DIV/0!</v>
      </c>
      <c r="R901" s="10" t="str">
        <f t="shared" si="6"/>
        <v>#DIV/0!</v>
      </c>
      <c r="S901" s="10" t="str">
        <f t="shared" si="23"/>
        <v>#DIV/0!</v>
      </c>
      <c r="T901" s="10" t="str">
        <f t="shared" si="22"/>
        <v>#DIV/0!</v>
      </c>
      <c r="U901" s="10" t="str">
        <f t="shared" si="8"/>
        <v>#DIV/0!</v>
      </c>
      <c r="V901" s="10"/>
      <c r="W901" s="10"/>
      <c r="X901" s="10"/>
      <c r="Y901" s="10"/>
      <c r="Z901" s="10"/>
      <c r="AA901" s="10"/>
      <c r="AB901" s="10"/>
      <c r="AC901" s="10"/>
      <c r="AD901" s="10"/>
      <c r="AE901" s="10"/>
      <c r="AF901" s="10"/>
    </row>
    <row r="902" hidden="1">
      <c r="A902" s="9" t="s">
        <v>1119</v>
      </c>
      <c r="B902" s="84"/>
      <c r="C902" s="9"/>
      <c r="D902" s="9" t="str">
        <f t="shared" si="1"/>
        <v/>
      </c>
      <c r="E902" s="10" t="str">
        <f t="shared" si="2"/>
        <v>OT Hours</v>
      </c>
      <c r="F902" s="10" t="str">
        <f>IFERROR(VLOOKUP(C902,'Employees List'!$B$1:$I$999,4,0),"")</f>
        <v/>
      </c>
      <c r="G902" s="10" t="str">
        <f t="shared" si="21"/>
        <v>#DIV/0!</v>
      </c>
      <c r="H902" s="72" t="str">
        <f>IFERROR(VLOOKUP(C902,'Employees List'!$B$2:$I$991,7,0),"")</f>
        <v/>
      </c>
      <c r="I902" s="73" t="str">
        <f>IFERROR(VLOOKUP(F902,'Employees List'!$E$1:$AE$991,6,0),"")</f>
        <v/>
      </c>
      <c r="J902" s="71">
        <f t="shared" si="3"/>
        <v>0</v>
      </c>
      <c r="K902" s="71">
        <f t="shared" si="4"/>
        <v>0</v>
      </c>
      <c r="L902" s="10" t="str">
        <f>IFERROR(VLOOKUP(B902,'Employees List'!$A$2:$K$991,11,0),"")</f>
        <v/>
      </c>
      <c r="M902" s="74" t="str">
        <f>IFERROR(VLOOKUP(D902,'Daily Attendance 25-26'!$A$4:BP999,5,0),"")</f>
        <v/>
      </c>
      <c r="N902" s="10" t="str">
        <f>IFERROR(VLOOKUP(E902,'Daily Attendance 25-26'!$A$1:$BO$1741,5,0),"")</f>
        <v/>
      </c>
      <c r="O902" s="10"/>
      <c r="P902" s="10"/>
      <c r="Q902" s="10" t="str">
        <f t="shared" si="5"/>
        <v>#DIV/0!</v>
      </c>
      <c r="R902" s="10" t="str">
        <f t="shared" si="6"/>
        <v>#DIV/0!</v>
      </c>
      <c r="S902" s="10" t="str">
        <f t="shared" si="23"/>
        <v>#DIV/0!</v>
      </c>
      <c r="T902" s="10" t="str">
        <f t="shared" si="22"/>
        <v>#DIV/0!</v>
      </c>
      <c r="U902" s="10" t="str">
        <f t="shared" si="8"/>
        <v>#DIV/0!</v>
      </c>
      <c r="V902" s="10"/>
      <c r="W902" s="10"/>
      <c r="X902" s="10"/>
      <c r="Y902" s="10"/>
      <c r="Z902" s="10"/>
      <c r="AA902" s="10"/>
      <c r="AB902" s="10"/>
      <c r="AC902" s="10"/>
      <c r="AD902" s="10"/>
      <c r="AE902" s="10"/>
      <c r="AF902" s="10"/>
    </row>
    <row r="903" hidden="1">
      <c r="A903" s="9" t="s">
        <v>1120</v>
      </c>
      <c r="B903" s="84"/>
      <c r="C903" s="9"/>
      <c r="D903" s="9" t="str">
        <f t="shared" si="1"/>
        <v/>
      </c>
      <c r="E903" s="10" t="str">
        <f t="shared" si="2"/>
        <v>OT Hours</v>
      </c>
      <c r="F903" s="10" t="str">
        <f>IFERROR(VLOOKUP(C903,'Employees List'!$B$1:$I$999,4,0),"")</f>
        <v/>
      </c>
      <c r="G903" s="10" t="str">
        <f t="shared" si="21"/>
        <v>#DIV/0!</v>
      </c>
      <c r="H903" s="72" t="str">
        <f>IFERROR(VLOOKUP(C903,'Employees List'!$B$2:$I$991,7,0),"")</f>
        <v/>
      </c>
      <c r="I903" s="73" t="str">
        <f>IFERROR(VLOOKUP(F903,'Employees List'!$E$1:$AE$991,6,0),"")</f>
        <v/>
      </c>
      <c r="J903" s="71">
        <f t="shared" si="3"/>
        <v>0</v>
      </c>
      <c r="K903" s="71">
        <f t="shared" si="4"/>
        <v>0</v>
      </c>
      <c r="L903" s="10" t="str">
        <f>IFERROR(VLOOKUP(B903,'Employees List'!$A$2:$K$991,11,0),"")</f>
        <v/>
      </c>
      <c r="M903" s="74" t="str">
        <f>IFERROR(VLOOKUP(D903,'Daily Attendance 25-26'!$A$4:BP999,5,0),"")</f>
        <v/>
      </c>
      <c r="N903" s="10" t="str">
        <f>IFERROR(VLOOKUP(E903,'Daily Attendance 25-26'!$A$1:$BO$1741,5,0),"")</f>
        <v/>
      </c>
      <c r="O903" s="10"/>
      <c r="P903" s="10"/>
      <c r="Q903" s="10" t="str">
        <f t="shared" si="5"/>
        <v>#DIV/0!</v>
      </c>
      <c r="R903" s="10" t="str">
        <f t="shared" si="6"/>
        <v>#DIV/0!</v>
      </c>
      <c r="S903" s="10" t="str">
        <f t="shared" si="23"/>
        <v>#DIV/0!</v>
      </c>
      <c r="T903" s="10" t="str">
        <f t="shared" si="22"/>
        <v>#DIV/0!</v>
      </c>
      <c r="U903" s="10" t="str">
        <f t="shared" si="8"/>
        <v>#DIV/0!</v>
      </c>
      <c r="V903" s="10"/>
      <c r="W903" s="10"/>
      <c r="X903" s="10"/>
      <c r="Y903" s="10"/>
      <c r="Z903" s="10"/>
      <c r="AA903" s="10"/>
      <c r="AB903" s="10"/>
      <c r="AC903" s="10"/>
      <c r="AD903" s="10"/>
      <c r="AE903" s="10"/>
      <c r="AF903" s="10"/>
    </row>
    <row r="904" hidden="1">
      <c r="A904" s="9" t="s">
        <v>1121</v>
      </c>
      <c r="B904" s="84"/>
      <c r="C904" s="9"/>
      <c r="D904" s="9" t="str">
        <f t="shared" si="1"/>
        <v/>
      </c>
      <c r="E904" s="10" t="str">
        <f t="shared" si="2"/>
        <v>OT Hours</v>
      </c>
      <c r="F904" s="10" t="str">
        <f>IFERROR(VLOOKUP(C904,'Employees List'!$B$1:$I$999,4,0),"")</f>
        <v/>
      </c>
      <c r="G904" s="10" t="str">
        <f t="shared" si="21"/>
        <v>#DIV/0!</v>
      </c>
      <c r="H904" s="72" t="str">
        <f>IFERROR(VLOOKUP(C904,'Employees List'!$B$2:$I$991,7,0),"")</f>
        <v/>
      </c>
      <c r="I904" s="73" t="str">
        <f>IFERROR(VLOOKUP(F904,'Employees List'!$E$1:$AE$991,6,0),"")</f>
        <v/>
      </c>
      <c r="J904" s="71">
        <f t="shared" si="3"/>
        <v>0</v>
      </c>
      <c r="K904" s="71">
        <f t="shared" si="4"/>
        <v>0</v>
      </c>
      <c r="L904" s="10" t="str">
        <f>IFERROR(VLOOKUP(B904,'Employees List'!$A$2:$K$991,11,0),"")</f>
        <v/>
      </c>
      <c r="M904" s="74" t="str">
        <f>IFERROR(VLOOKUP(D904,'Daily Attendance 25-26'!$A$4:BP999,5,0),"")</f>
        <v/>
      </c>
      <c r="N904" s="10" t="str">
        <f>IFERROR(VLOOKUP(E904,'Daily Attendance 25-26'!$A$1:$BO$1741,5,0),"")</f>
        <v/>
      </c>
      <c r="O904" s="10"/>
      <c r="P904" s="10"/>
      <c r="Q904" s="10" t="str">
        <f t="shared" si="5"/>
        <v>#DIV/0!</v>
      </c>
      <c r="R904" s="10" t="str">
        <f t="shared" si="6"/>
        <v>#DIV/0!</v>
      </c>
      <c r="S904" s="10" t="str">
        <f t="shared" si="23"/>
        <v>#DIV/0!</v>
      </c>
      <c r="T904" s="10" t="str">
        <f t="shared" si="22"/>
        <v>#DIV/0!</v>
      </c>
      <c r="U904" s="10" t="str">
        <f t="shared" si="8"/>
        <v>#DIV/0!</v>
      </c>
      <c r="V904" s="10"/>
      <c r="W904" s="10"/>
      <c r="X904" s="10"/>
      <c r="Y904" s="10"/>
      <c r="Z904" s="10"/>
      <c r="AA904" s="10"/>
      <c r="AB904" s="10"/>
      <c r="AC904" s="10"/>
      <c r="AD904" s="10"/>
      <c r="AE904" s="10"/>
      <c r="AF904" s="10"/>
    </row>
    <row r="905" hidden="1">
      <c r="A905" s="9" t="s">
        <v>1122</v>
      </c>
      <c r="B905" s="84"/>
      <c r="C905" s="9"/>
      <c r="D905" s="9" t="str">
        <f t="shared" si="1"/>
        <v/>
      </c>
      <c r="E905" s="10" t="str">
        <f t="shared" si="2"/>
        <v>OT Hours</v>
      </c>
      <c r="F905" s="10" t="str">
        <f>IFERROR(VLOOKUP(C905,'Employees List'!$B$1:$I$999,4,0),"")</f>
        <v/>
      </c>
      <c r="G905" s="10" t="str">
        <f t="shared" si="21"/>
        <v>#DIV/0!</v>
      </c>
      <c r="H905" s="72" t="str">
        <f>IFERROR(VLOOKUP(C905,'Employees List'!$B$2:$I$991,7,0),"")</f>
        <v/>
      </c>
      <c r="I905" s="73" t="str">
        <f>IFERROR(VLOOKUP(F905,'Employees List'!$E$1:$AE$991,6,0),"")</f>
        <v/>
      </c>
      <c r="J905" s="71">
        <f t="shared" si="3"/>
        <v>0</v>
      </c>
      <c r="K905" s="71">
        <f t="shared" si="4"/>
        <v>0</v>
      </c>
      <c r="L905" s="10" t="str">
        <f>IFERROR(VLOOKUP(B905,'Employees List'!$A$2:$K$991,11,0),"")</f>
        <v/>
      </c>
      <c r="M905" s="74" t="str">
        <f>IFERROR(VLOOKUP(D905,'Daily Attendance 25-26'!$A$4:BP999,5,0),"")</f>
        <v/>
      </c>
      <c r="N905" s="10" t="str">
        <f>IFERROR(VLOOKUP(E905,'Daily Attendance 25-26'!$A$1:$BO$1741,5,0),"")</f>
        <v/>
      </c>
      <c r="O905" s="10"/>
      <c r="P905" s="10"/>
      <c r="Q905" s="10" t="str">
        <f t="shared" si="5"/>
        <v>#DIV/0!</v>
      </c>
      <c r="R905" s="10" t="str">
        <f t="shared" si="6"/>
        <v>#DIV/0!</v>
      </c>
      <c r="S905" s="10" t="str">
        <f t="shared" si="23"/>
        <v>#DIV/0!</v>
      </c>
      <c r="T905" s="10" t="str">
        <f t="shared" si="22"/>
        <v>#DIV/0!</v>
      </c>
      <c r="U905" s="10" t="str">
        <f t="shared" si="8"/>
        <v>#DIV/0!</v>
      </c>
      <c r="V905" s="10"/>
      <c r="W905" s="10"/>
      <c r="X905" s="10"/>
      <c r="Y905" s="10"/>
      <c r="Z905" s="10"/>
      <c r="AA905" s="10"/>
      <c r="AB905" s="10"/>
      <c r="AC905" s="10"/>
      <c r="AD905" s="10"/>
      <c r="AE905" s="10"/>
      <c r="AF905" s="10"/>
    </row>
    <row r="906" hidden="1">
      <c r="A906" s="9" t="s">
        <v>1123</v>
      </c>
      <c r="B906" s="84"/>
      <c r="C906" s="9"/>
      <c r="D906" s="9" t="str">
        <f t="shared" si="1"/>
        <v/>
      </c>
      <c r="E906" s="10" t="str">
        <f t="shared" si="2"/>
        <v>OT Hours</v>
      </c>
      <c r="F906" s="10" t="str">
        <f>IFERROR(VLOOKUP(C906,'Employees List'!$B$1:$I$999,4,0),"")</f>
        <v/>
      </c>
      <c r="G906" s="10" t="str">
        <f t="shared" si="21"/>
        <v>#DIV/0!</v>
      </c>
      <c r="H906" s="72" t="str">
        <f>IFERROR(VLOOKUP(C906,'Employees List'!$B$2:$I$991,7,0),"")</f>
        <v/>
      </c>
      <c r="I906" s="73" t="str">
        <f>IFERROR(VLOOKUP(F906,'Employees List'!$E$1:$AE$991,6,0),"")</f>
        <v/>
      </c>
      <c r="J906" s="71">
        <f t="shared" si="3"/>
        <v>0</v>
      </c>
      <c r="K906" s="71">
        <f t="shared" si="4"/>
        <v>0</v>
      </c>
      <c r="L906" s="10" t="str">
        <f>IFERROR(VLOOKUP(B906,'Employees List'!$A$2:$K$991,11,0),"")</f>
        <v/>
      </c>
      <c r="M906" s="74" t="str">
        <f>IFERROR(VLOOKUP(D906,'Daily Attendance 25-26'!$A$4:BP999,5,0),"")</f>
        <v/>
      </c>
      <c r="N906" s="10" t="str">
        <f>IFERROR(VLOOKUP(E906,'Daily Attendance 25-26'!$A$1:$BO$1741,5,0),"")</f>
        <v/>
      </c>
      <c r="O906" s="10"/>
      <c r="P906" s="10"/>
      <c r="Q906" s="10" t="str">
        <f t="shared" si="5"/>
        <v>#DIV/0!</v>
      </c>
      <c r="R906" s="10" t="str">
        <f t="shared" si="6"/>
        <v>#DIV/0!</v>
      </c>
      <c r="S906" s="10" t="str">
        <f t="shared" si="23"/>
        <v>#DIV/0!</v>
      </c>
      <c r="T906" s="10" t="str">
        <f t="shared" si="22"/>
        <v>#DIV/0!</v>
      </c>
      <c r="U906" s="10" t="str">
        <f t="shared" si="8"/>
        <v>#DIV/0!</v>
      </c>
      <c r="V906" s="10"/>
      <c r="W906" s="10"/>
      <c r="X906" s="10"/>
      <c r="Y906" s="10"/>
      <c r="Z906" s="10"/>
      <c r="AA906" s="10"/>
      <c r="AB906" s="10"/>
      <c r="AC906" s="10"/>
      <c r="AD906" s="10"/>
      <c r="AE906" s="10"/>
      <c r="AF906" s="10"/>
    </row>
    <row r="907" hidden="1">
      <c r="A907" s="9" t="s">
        <v>1124</v>
      </c>
      <c r="B907" s="84"/>
      <c r="C907" s="9"/>
      <c r="D907" s="9" t="str">
        <f t="shared" si="1"/>
        <v/>
      </c>
      <c r="E907" s="10" t="str">
        <f t="shared" si="2"/>
        <v>OT Hours</v>
      </c>
      <c r="F907" s="10" t="str">
        <f>IFERROR(VLOOKUP(C907,'Employees List'!$B$1:$I$999,4,0),"")</f>
        <v/>
      </c>
      <c r="G907" s="10" t="str">
        <f t="shared" si="21"/>
        <v>#DIV/0!</v>
      </c>
      <c r="H907" s="72" t="str">
        <f>IFERROR(VLOOKUP(C907,'Employees List'!$B$2:$I$991,7,0),"")</f>
        <v/>
      </c>
      <c r="I907" s="73" t="str">
        <f>IFERROR(VLOOKUP(F907,'Employees List'!$E$1:$AE$991,6,0),"")</f>
        <v/>
      </c>
      <c r="J907" s="71">
        <f t="shared" si="3"/>
        <v>0</v>
      </c>
      <c r="K907" s="71">
        <f t="shared" si="4"/>
        <v>0</v>
      </c>
      <c r="L907" s="10" t="str">
        <f>IFERROR(VLOOKUP(B907,'Employees List'!$A$2:$K$991,11,0),"")</f>
        <v/>
      </c>
      <c r="M907" s="74" t="str">
        <f>IFERROR(VLOOKUP(D907,'Daily Attendance 25-26'!$A$4:BP999,5,0),"")</f>
        <v/>
      </c>
      <c r="N907" s="10" t="str">
        <f>IFERROR(VLOOKUP(E907,'Daily Attendance 25-26'!$A$1:$BO$1741,5,0),"")</f>
        <v/>
      </c>
      <c r="O907" s="10"/>
      <c r="P907" s="10"/>
      <c r="Q907" s="10" t="str">
        <f t="shared" si="5"/>
        <v>#DIV/0!</v>
      </c>
      <c r="R907" s="10" t="str">
        <f t="shared" si="6"/>
        <v>#DIV/0!</v>
      </c>
      <c r="S907" s="10" t="str">
        <f t="shared" si="23"/>
        <v>#DIV/0!</v>
      </c>
      <c r="T907" s="10" t="str">
        <f t="shared" si="22"/>
        <v>#DIV/0!</v>
      </c>
      <c r="U907" s="10" t="str">
        <f t="shared" si="8"/>
        <v>#DIV/0!</v>
      </c>
      <c r="V907" s="10"/>
      <c r="W907" s="10"/>
      <c r="X907" s="10"/>
      <c r="Y907" s="10"/>
      <c r="Z907" s="10"/>
      <c r="AA907" s="10"/>
      <c r="AB907" s="10"/>
      <c r="AC907" s="10"/>
      <c r="AD907" s="10"/>
      <c r="AE907" s="10"/>
      <c r="AF907" s="10"/>
    </row>
    <row r="908" hidden="1">
      <c r="A908" s="9" t="s">
        <v>1125</v>
      </c>
      <c r="B908" s="84"/>
      <c r="C908" s="9"/>
      <c r="D908" s="9" t="str">
        <f t="shared" si="1"/>
        <v/>
      </c>
      <c r="E908" s="10" t="str">
        <f t="shared" si="2"/>
        <v>OT Hours</v>
      </c>
      <c r="F908" s="10" t="str">
        <f>IFERROR(VLOOKUP(C908,'Employees List'!$B$1:$I$999,4,0),"")</f>
        <v/>
      </c>
      <c r="G908" s="10" t="str">
        <f t="shared" si="21"/>
        <v>#DIV/0!</v>
      </c>
      <c r="H908" s="72" t="str">
        <f>IFERROR(VLOOKUP(C908,'Employees List'!$B$2:$I$991,7,0),"")</f>
        <v/>
      </c>
      <c r="I908" s="73" t="str">
        <f>IFERROR(VLOOKUP(F908,'Employees List'!$E$1:$AE$991,6,0),"")</f>
        <v/>
      </c>
      <c r="J908" s="71">
        <f t="shared" si="3"/>
        <v>0</v>
      </c>
      <c r="K908" s="71">
        <f t="shared" si="4"/>
        <v>0</v>
      </c>
      <c r="L908" s="10" t="str">
        <f>IFERROR(VLOOKUP(B908,'Employees List'!$A$2:$K$991,11,0),"")</f>
        <v/>
      </c>
      <c r="M908" s="74" t="str">
        <f>IFERROR(VLOOKUP(D908,'Daily Attendance 25-26'!$A$4:BP999,5,0),"")</f>
        <v/>
      </c>
      <c r="N908" s="10" t="str">
        <f>IFERROR(VLOOKUP(E908,'Daily Attendance 25-26'!$A$1:$BO$1741,5,0),"")</f>
        <v/>
      </c>
      <c r="O908" s="10"/>
      <c r="P908" s="10"/>
      <c r="Q908" s="10" t="str">
        <f t="shared" si="5"/>
        <v>#DIV/0!</v>
      </c>
      <c r="R908" s="10" t="str">
        <f t="shared" si="6"/>
        <v>#DIV/0!</v>
      </c>
      <c r="S908" s="10" t="str">
        <f t="shared" si="23"/>
        <v>#DIV/0!</v>
      </c>
      <c r="T908" s="10" t="str">
        <f t="shared" si="22"/>
        <v>#DIV/0!</v>
      </c>
      <c r="U908" s="10" t="str">
        <f t="shared" si="8"/>
        <v>#DIV/0!</v>
      </c>
      <c r="V908" s="10"/>
      <c r="W908" s="10"/>
      <c r="X908" s="10"/>
      <c r="Y908" s="10"/>
      <c r="Z908" s="10"/>
      <c r="AA908" s="10"/>
      <c r="AB908" s="10"/>
      <c r="AC908" s="10"/>
      <c r="AD908" s="10"/>
      <c r="AE908" s="10"/>
      <c r="AF908" s="10"/>
    </row>
    <row r="909" hidden="1">
      <c r="A909" s="9" t="s">
        <v>1126</v>
      </c>
      <c r="B909" s="84"/>
      <c r="C909" s="9"/>
      <c r="D909" s="9" t="str">
        <f t="shared" si="1"/>
        <v/>
      </c>
      <c r="E909" s="10" t="str">
        <f t="shared" si="2"/>
        <v>OT Hours</v>
      </c>
      <c r="F909" s="10" t="str">
        <f>IFERROR(VLOOKUP(C909,'Employees List'!$B$1:$I$999,4,0),"")</f>
        <v/>
      </c>
      <c r="G909" s="10" t="str">
        <f t="shared" si="21"/>
        <v>#DIV/0!</v>
      </c>
      <c r="H909" s="72" t="str">
        <f>IFERROR(VLOOKUP(C909,'Employees List'!$B$2:$I$991,7,0),"")</f>
        <v/>
      </c>
      <c r="I909" s="73" t="str">
        <f>IFERROR(VLOOKUP(F909,'Employees List'!$E$1:$AE$991,6,0),"")</f>
        <v/>
      </c>
      <c r="J909" s="71">
        <f t="shared" si="3"/>
        <v>0</v>
      </c>
      <c r="K909" s="71">
        <f t="shared" si="4"/>
        <v>0</v>
      </c>
      <c r="L909" s="10" t="str">
        <f>IFERROR(VLOOKUP(B909,'Employees List'!$A$2:$K$991,11,0),"")</f>
        <v/>
      </c>
      <c r="M909" s="74" t="str">
        <f>IFERROR(VLOOKUP(D909,'Daily Attendance 25-26'!$A$4:BP999,5,0),"")</f>
        <v/>
      </c>
      <c r="N909" s="10" t="str">
        <f>IFERROR(VLOOKUP(E909,'Daily Attendance 25-26'!$A$1:$BO$1741,5,0),"")</f>
        <v/>
      </c>
      <c r="O909" s="10"/>
      <c r="P909" s="10"/>
      <c r="Q909" s="10" t="str">
        <f t="shared" si="5"/>
        <v>#DIV/0!</v>
      </c>
      <c r="R909" s="10" t="str">
        <f t="shared" si="6"/>
        <v>#DIV/0!</v>
      </c>
      <c r="S909" s="10" t="str">
        <f t="shared" si="23"/>
        <v>#DIV/0!</v>
      </c>
      <c r="T909" s="10" t="str">
        <f t="shared" si="22"/>
        <v>#DIV/0!</v>
      </c>
      <c r="U909" s="10" t="str">
        <f t="shared" si="8"/>
        <v>#DIV/0!</v>
      </c>
      <c r="V909" s="10"/>
      <c r="W909" s="10"/>
      <c r="X909" s="10"/>
      <c r="Y909" s="10"/>
      <c r="Z909" s="10"/>
      <c r="AA909" s="10"/>
      <c r="AB909" s="10"/>
      <c r="AC909" s="10"/>
      <c r="AD909" s="10"/>
      <c r="AE909" s="10"/>
      <c r="AF909" s="10"/>
    </row>
    <row r="910" hidden="1">
      <c r="A910" s="9" t="s">
        <v>1127</v>
      </c>
      <c r="B910" s="84"/>
      <c r="C910" s="9"/>
      <c r="D910" s="9" t="str">
        <f t="shared" si="1"/>
        <v/>
      </c>
      <c r="E910" s="10" t="str">
        <f t="shared" si="2"/>
        <v>OT Hours</v>
      </c>
      <c r="F910" s="10" t="str">
        <f>IFERROR(VLOOKUP(C910,'Employees List'!$B$1:$I$999,4,0),"")</f>
        <v/>
      </c>
      <c r="G910" s="10" t="str">
        <f t="shared" si="21"/>
        <v>#DIV/0!</v>
      </c>
      <c r="H910" s="72" t="str">
        <f>IFERROR(VLOOKUP(C910,'Employees List'!$B$2:$I$991,7,0),"")</f>
        <v/>
      </c>
      <c r="I910" s="73" t="str">
        <f>IFERROR(VLOOKUP(F910,'Employees List'!$E$1:$AE$991,6,0),"")</f>
        <v/>
      </c>
      <c r="J910" s="71">
        <f t="shared" si="3"/>
        <v>0</v>
      </c>
      <c r="K910" s="71">
        <f t="shared" si="4"/>
        <v>0</v>
      </c>
      <c r="L910" s="10" t="str">
        <f>IFERROR(VLOOKUP(B910,'Employees List'!$A$2:$K$991,11,0),"")</f>
        <v/>
      </c>
      <c r="M910" s="74" t="str">
        <f>IFERROR(VLOOKUP(D910,'Daily Attendance 25-26'!$A$4:BP999,5,0),"")</f>
        <v/>
      </c>
      <c r="N910" s="10" t="str">
        <f>IFERROR(VLOOKUP(E910,'Daily Attendance 25-26'!$A$1:$BO$1741,5,0),"")</f>
        <v/>
      </c>
      <c r="O910" s="10"/>
      <c r="P910" s="10"/>
      <c r="Q910" s="10" t="str">
        <f t="shared" si="5"/>
        <v>#DIV/0!</v>
      </c>
      <c r="R910" s="10" t="str">
        <f t="shared" si="6"/>
        <v>#DIV/0!</v>
      </c>
      <c r="S910" s="10" t="str">
        <f t="shared" si="23"/>
        <v>#DIV/0!</v>
      </c>
      <c r="T910" s="10" t="str">
        <f t="shared" si="22"/>
        <v>#DIV/0!</v>
      </c>
      <c r="U910" s="10" t="str">
        <f t="shared" si="8"/>
        <v>#DIV/0!</v>
      </c>
      <c r="V910" s="10"/>
      <c r="W910" s="10"/>
      <c r="X910" s="10"/>
      <c r="Y910" s="10"/>
      <c r="Z910" s="10"/>
      <c r="AA910" s="10"/>
      <c r="AB910" s="10"/>
      <c r="AC910" s="10"/>
      <c r="AD910" s="10"/>
      <c r="AE910" s="10"/>
      <c r="AF910" s="10"/>
    </row>
    <row r="911" hidden="1">
      <c r="A911" s="9" t="s">
        <v>1128</v>
      </c>
      <c r="B911" s="84"/>
      <c r="C911" s="9"/>
      <c r="D911" s="9" t="str">
        <f t="shared" si="1"/>
        <v/>
      </c>
      <c r="E911" s="10" t="str">
        <f t="shared" si="2"/>
        <v>OT Hours</v>
      </c>
      <c r="F911" s="10" t="str">
        <f>IFERROR(VLOOKUP(C911,'Employees List'!$B$1:$I$999,4,0),"")</f>
        <v/>
      </c>
      <c r="G911" s="10" t="str">
        <f t="shared" si="21"/>
        <v>#DIV/0!</v>
      </c>
      <c r="H911" s="72" t="str">
        <f>IFERROR(VLOOKUP(C911,'Employees List'!$B$2:$I$991,7,0),"")</f>
        <v/>
      </c>
      <c r="I911" s="73" t="str">
        <f>IFERROR(VLOOKUP(F911,'Employees List'!$E$1:$AE$991,6,0),"")</f>
        <v/>
      </c>
      <c r="J911" s="71">
        <f t="shared" si="3"/>
        <v>0</v>
      </c>
      <c r="K911" s="71">
        <f t="shared" si="4"/>
        <v>0</v>
      </c>
      <c r="L911" s="10" t="str">
        <f>IFERROR(VLOOKUP(B911,'Employees List'!$A$2:$K$991,11,0),"")</f>
        <v/>
      </c>
      <c r="M911" s="74" t="str">
        <f>IFERROR(VLOOKUP(D911,'Daily Attendance 25-26'!$A$4:BP999,5,0),"")</f>
        <v/>
      </c>
      <c r="N911" s="10" t="str">
        <f>IFERROR(VLOOKUP(E911,'Daily Attendance 25-26'!$A$1:$BO$1741,5,0),"")</f>
        <v/>
      </c>
      <c r="O911" s="10"/>
      <c r="P911" s="10"/>
      <c r="Q911" s="10" t="str">
        <f t="shared" si="5"/>
        <v>#DIV/0!</v>
      </c>
      <c r="R911" s="10" t="str">
        <f t="shared" si="6"/>
        <v>#DIV/0!</v>
      </c>
      <c r="S911" s="10" t="str">
        <f t="shared" si="23"/>
        <v>#DIV/0!</v>
      </c>
      <c r="T911" s="10" t="str">
        <f t="shared" si="22"/>
        <v>#DIV/0!</v>
      </c>
      <c r="U911" s="10" t="str">
        <f t="shared" si="8"/>
        <v>#DIV/0!</v>
      </c>
      <c r="V911" s="10"/>
      <c r="W911" s="10"/>
      <c r="X911" s="10"/>
      <c r="Y911" s="10"/>
      <c r="Z911" s="10"/>
      <c r="AA911" s="10"/>
      <c r="AB911" s="10"/>
      <c r="AC911" s="10"/>
      <c r="AD911" s="10"/>
      <c r="AE911" s="10"/>
      <c r="AF911" s="10"/>
    </row>
    <row r="912" hidden="1">
      <c r="A912" s="9" t="s">
        <v>1129</v>
      </c>
      <c r="B912" s="84"/>
      <c r="C912" s="9"/>
      <c r="D912" s="9" t="str">
        <f t="shared" si="1"/>
        <v/>
      </c>
      <c r="E912" s="10" t="str">
        <f t="shared" si="2"/>
        <v>OT Hours</v>
      </c>
      <c r="F912" s="10" t="str">
        <f>IFERROR(VLOOKUP(C912,'Employees List'!$B$1:$I$999,4,0),"")</f>
        <v/>
      </c>
      <c r="G912" s="10" t="str">
        <f t="shared" si="21"/>
        <v>#DIV/0!</v>
      </c>
      <c r="H912" s="72" t="str">
        <f>IFERROR(VLOOKUP(C912,'Employees List'!$B$2:$I$991,7,0),"")</f>
        <v/>
      </c>
      <c r="I912" s="73" t="str">
        <f>IFERROR(VLOOKUP(F912,'Employees List'!$E$1:$AE$991,6,0),"")</f>
        <v/>
      </c>
      <c r="J912" s="71">
        <f t="shared" si="3"/>
        <v>0</v>
      </c>
      <c r="K912" s="71">
        <f t="shared" si="4"/>
        <v>0</v>
      </c>
      <c r="L912" s="10" t="str">
        <f>IFERROR(VLOOKUP(B912,'Employees List'!$A$2:$K$991,11,0),"")</f>
        <v/>
      </c>
      <c r="M912" s="74" t="str">
        <f>IFERROR(VLOOKUP(D912,'Daily Attendance 25-26'!$A$4:BP999,5,0),"")</f>
        <v/>
      </c>
      <c r="N912" s="10" t="str">
        <f>IFERROR(VLOOKUP(E912,'Daily Attendance 25-26'!$A$1:$BO$1741,5,0),"")</f>
        <v/>
      </c>
      <c r="O912" s="10"/>
      <c r="P912" s="10"/>
      <c r="Q912" s="10" t="str">
        <f t="shared" si="5"/>
        <v>#DIV/0!</v>
      </c>
      <c r="R912" s="10" t="str">
        <f t="shared" si="6"/>
        <v>#DIV/0!</v>
      </c>
      <c r="S912" s="10" t="str">
        <f t="shared" si="23"/>
        <v>#DIV/0!</v>
      </c>
      <c r="T912" s="10" t="str">
        <f t="shared" si="22"/>
        <v>#DIV/0!</v>
      </c>
      <c r="U912" s="10" t="str">
        <f t="shared" si="8"/>
        <v>#DIV/0!</v>
      </c>
      <c r="V912" s="10"/>
      <c r="W912" s="10"/>
      <c r="X912" s="10"/>
      <c r="Y912" s="10"/>
      <c r="Z912" s="10"/>
      <c r="AA912" s="10"/>
      <c r="AB912" s="10"/>
      <c r="AC912" s="10"/>
      <c r="AD912" s="10"/>
      <c r="AE912" s="10"/>
      <c r="AF912" s="10"/>
    </row>
    <row r="913" hidden="1">
      <c r="A913" s="9" t="s">
        <v>1130</v>
      </c>
      <c r="B913" s="84"/>
      <c r="C913" s="9"/>
      <c r="D913" s="9" t="str">
        <f t="shared" si="1"/>
        <v/>
      </c>
      <c r="E913" s="10" t="str">
        <f t="shared" si="2"/>
        <v>OT Hours</v>
      </c>
      <c r="F913" s="10" t="str">
        <f>IFERROR(VLOOKUP(C913,'Employees List'!$B$1:$I$999,4,0),"")</f>
        <v/>
      </c>
      <c r="G913" s="10" t="str">
        <f t="shared" si="21"/>
        <v>#DIV/0!</v>
      </c>
      <c r="H913" s="72" t="str">
        <f>IFERROR(VLOOKUP(C913,'Employees List'!$B$2:$I$991,7,0),"")</f>
        <v/>
      </c>
      <c r="I913" s="73" t="str">
        <f>IFERROR(VLOOKUP(F913,'Employees List'!$E$1:$AE$991,6,0),"")</f>
        <v/>
      </c>
      <c r="J913" s="71">
        <f t="shared" si="3"/>
        <v>0</v>
      </c>
      <c r="K913" s="71">
        <f t="shared" si="4"/>
        <v>0</v>
      </c>
      <c r="L913" s="10" t="str">
        <f>IFERROR(VLOOKUP(B913,'Employees List'!$A$2:$K$991,11,0),"")</f>
        <v/>
      </c>
      <c r="M913" s="74" t="str">
        <f>IFERROR(VLOOKUP(D913,'Daily Attendance 25-26'!$A$4:BP999,5,0),"")</f>
        <v/>
      </c>
      <c r="N913" s="10" t="str">
        <f>IFERROR(VLOOKUP(E913,'Daily Attendance 25-26'!$A$1:$BO$1741,5,0),"")</f>
        <v/>
      </c>
      <c r="O913" s="10"/>
      <c r="P913" s="10"/>
      <c r="Q913" s="10" t="str">
        <f t="shared" si="5"/>
        <v>#DIV/0!</v>
      </c>
      <c r="R913" s="10" t="str">
        <f t="shared" si="6"/>
        <v>#DIV/0!</v>
      </c>
      <c r="S913" s="10" t="str">
        <f t="shared" si="23"/>
        <v>#DIV/0!</v>
      </c>
      <c r="T913" s="10" t="str">
        <f t="shared" si="22"/>
        <v>#DIV/0!</v>
      </c>
      <c r="U913" s="10" t="str">
        <f t="shared" si="8"/>
        <v>#DIV/0!</v>
      </c>
      <c r="V913" s="10"/>
      <c r="W913" s="10"/>
      <c r="X913" s="10"/>
      <c r="Y913" s="10"/>
      <c r="Z913" s="10"/>
      <c r="AA913" s="10"/>
      <c r="AB913" s="10"/>
      <c r="AC913" s="10"/>
      <c r="AD913" s="10"/>
      <c r="AE913" s="10"/>
      <c r="AF913" s="10"/>
    </row>
    <row r="914" hidden="1">
      <c r="A914" s="9" t="s">
        <v>1131</v>
      </c>
      <c r="B914" s="84"/>
      <c r="C914" s="9"/>
      <c r="D914" s="9" t="str">
        <f t="shared" si="1"/>
        <v/>
      </c>
      <c r="E914" s="10" t="str">
        <f t="shared" si="2"/>
        <v>OT Hours</v>
      </c>
      <c r="F914" s="10" t="str">
        <f>IFERROR(VLOOKUP(C914,'Employees List'!$B$1:$I$999,4,0),"")</f>
        <v/>
      </c>
      <c r="G914" s="10" t="str">
        <f t="shared" si="21"/>
        <v>#DIV/0!</v>
      </c>
      <c r="H914" s="72" t="str">
        <f>IFERROR(VLOOKUP(C914,'Employees List'!$B$2:$I$991,7,0),"")</f>
        <v/>
      </c>
      <c r="I914" s="73" t="str">
        <f>IFERROR(VLOOKUP(F914,'Employees List'!$E$1:$AE$991,6,0),"")</f>
        <v/>
      </c>
      <c r="J914" s="71">
        <f t="shared" si="3"/>
        <v>0</v>
      </c>
      <c r="K914" s="71">
        <f t="shared" si="4"/>
        <v>0</v>
      </c>
      <c r="L914" s="10" t="str">
        <f>IFERROR(VLOOKUP(B914,'Employees List'!$A$2:$K$991,11,0),"")</f>
        <v/>
      </c>
      <c r="M914" s="74" t="str">
        <f>IFERROR(VLOOKUP(D914,'Daily Attendance 25-26'!$A$4:BP999,5,0),"")</f>
        <v/>
      </c>
      <c r="N914" s="10" t="str">
        <f>IFERROR(VLOOKUP(E914,'Daily Attendance 25-26'!$A$1:$BO$1741,5,0),"")</f>
        <v/>
      </c>
      <c r="O914" s="10"/>
      <c r="P914" s="10"/>
      <c r="Q914" s="10" t="str">
        <f t="shared" si="5"/>
        <v>#DIV/0!</v>
      </c>
      <c r="R914" s="10" t="str">
        <f t="shared" si="6"/>
        <v>#DIV/0!</v>
      </c>
      <c r="S914" s="10" t="str">
        <f t="shared" si="23"/>
        <v>#DIV/0!</v>
      </c>
      <c r="T914" s="10" t="str">
        <f t="shared" si="22"/>
        <v>#DIV/0!</v>
      </c>
      <c r="U914" s="10" t="str">
        <f t="shared" si="8"/>
        <v>#DIV/0!</v>
      </c>
      <c r="V914" s="10"/>
      <c r="W914" s="10"/>
      <c r="X914" s="10"/>
      <c r="Y914" s="10"/>
      <c r="Z914" s="10"/>
      <c r="AA914" s="10"/>
      <c r="AB914" s="10"/>
      <c r="AC914" s="10"/>
      <c r="AD914" s="10"/>
      <c r="AE914" s="10"/>
      <c r="AF914" s="10"/>
    </row>
    <row r="915" hidden="1">
      <c r="A915" s="9" t="s">
        <v>1132</v>
      </c>
      <c r="B915" s="84"/>
      <c r="C915" s="9"/>
      <c r="D915" s="9" t="str">
        <f t="shared" si="1"/>
        <v/>
      </c>
      <c r="E915" s="10" t="str">
        <f t="shared" si="2"/>
        <v>OT Hours</v>
      </c>
      <c r="F915" s="10" t="str">
        <f>IFERROR(VLOOKUP(C915,'Employees List'!$B$1:$I$999,4,0),"")</f>
        <v/>
      </c>
      <c r="G915" s="10" t="str">
        <f t="shared" si="21"/>
        <v>#DIV/0!</v>
      </c>
      <c r="H915" s="72" t="str">
        <f>IFERROR(VLOOKUP(C915,'Employees List'!$B$2:$I$991,7,0),"")</f>
        <v/>
      </c>
      <c r="I915" s="73" t="str">
        <f>IFERROR(VLOOKUP(F915,'Employees List'!$E$1:$AE$991,6,0),"")</f>
        <v/>
      </c>
      <c r="J915" s="71">
        <f t="shared" si="3"/>
        <v>0</v>
      </c>
      <c r="K915" s="71">
        <f t="shared" si="4"/>
        <v>0</v>
      </c>
      <c r="L915" s="10" t="str">
        <f>IFERROR(VLOOKUP(B915,'Employees List'!$A$2:$K$991,11,0),"")</f>
        <v/>
      </c>
      <c r="M915" s="74" t="str">
        <f>IFERROR(VLOOKUP(D915,'Daily Attendance 25-26'!$A$4:BP999,5,0),"")</f>
        <v/>
      </c>
      <c r="N915" s="10" t="str">
        <f>IFERROR(VLOOKUP(E915,'Daily Attendance 25-26'!$A$1:$BO$1741,5,0),"")</f>
        <v/>
      </c>
      <c r="O915" s="10"/>
      <c r="P915" s="10"/>
      <c r="Q915" s="10" t="str">
        <f t="shared" si="5"/>
        <v>#DIV/0!</v>
      </c>
      <c r="R915" s="10" t="str">
        <f t="shared" si="6"/>
        <v>#DIV/0!</v>
      </c>
      <c r="S915" s="10" t="str">
        <f t="shared" si="23"/>
        <v>#DIV/0!</v>
      </c>
      <c r="T915" s="10" t="str">
        <f t="shared" si="22"/>
        <v>#DIV/0!</v>
      </c>
      <c r="U915" s="10" t="str">
        <f t="shared" si="8"/>
        <v>#DIV/0!</v>
      </c>
      <c r="V915" s="10"/>
      <c r="W915" s="10"/>
      <c r="X915" s="10"/>
      <c r="Y915" s="10"/>
      <c r="Z915" s="10"/>
      <c r="AA915" s="10"/>
      <c r="AB915" s="10"/>
      <c r="AC915" s="10"/>
      <c r="AD915" s="10"/>
      <c r="AE915" s="10"/>
      <c r="AF915" s="10"/>
    </row>
    <row r="916" hidden="1">
      <c r="A916" s="9" t="s">
        <v>1133</v>
      </c>
      <c r="B916" s="84"/>
      <c r="C916" s="9"/>
      <c r="D916" s="9" t="str">
        <f t="shared" si="1"/>
        <v/>
      </c>
      <c r="E916" s="10" t="str">
        <f t="shared" si="2"/>
        <v>OT Hours</v>
      </c>
      <c r="F916" s="10" t="str">
        <f>IFERROR(VLOOKUP(C916,'Employees List'!$B$1:$I$999,4,0),"")</f>
        <v/>
      </c>
      <c r="G916" s="10" t="str">
        <f t="shared" si="21"/>
        <v>#DIV/0!</v>
      </c>
      <c r="H916" s="72" t="str">
        <f>IFERROR(VLOOKUP(C916,'Employees List'!$B$2:$I$991,7,0),"")</f>
        <v/>
      </c>
      <c r="I916" s="73" t="str">
        <f>IFERROR(VLOOKUP(F916,'Employees List'!$E$1:$AE$991,6,0),"")</f>
        <v/>
      </c>
      <c r="J916" s="71">
        <f t="shared" si="3"/>
        <v>0</v>
      </c>
      <c r="K916" s="71">
        <f t="shared" si="4"/>
        <v>0</v>
      </c>
      <c r="L916" s="10" t="str">
        <f>IFERROR(VLOOKUP(B916,'Employees List'!$A$2:$K$991,11,0),"")</f>
        <v/>
      </c>
      <c r="M916" s="74" t="str">
        <f>IFERROR(VLOOKUP(D916,'Daily Attendance 25-26'!$A$4:BP999,5,0),"")</f>
        <v/>
      </c>
      <c r="N916" s="10" t="str">
        <f>IFERROR(VLOOKUP(E916,'Daily Attendance 25-26'!$A$1:$BO$1741,5,0),"")</f>
        <v/>
      </c>
      <c r="O916" s="10"/>
      <c r="P916" s="10"/>
      <c r="Q916" s="10" t="str">
        <f t="shared" si="5"/>
        <v>#DIV/0!</v>
      </c>
      <c r="R916" s="10" t="str">
        <f t="shared" si="6"/>
        <v>#DIV/0!</v>
      </c>
      <c r="S916" s="10" t="str">
        <f t="shared" si="23"/>
        <v>#DIV/0!</v>
      </c>
      <c r="T916" s="10" t="str">
        <f t="shared" si="22"/>
        <v>#DIV/0!</v>
      </c>
      <c r="U916" s="10" t="str">
        <f t="shared" si="8"/>
        <v>#DIV/0!</v>
      </c>
      <c r="V916" s="10"/>
      <c r="W916" s="10"/>
      <c r="X916" s="10"/>
      <c r="Y916" s="10"/>
      <c r="Z916" s="10"/>
      <c r="AA916" s="10"/>
      <c r="AB916" s="10"/>
      <c r="AC916" s="10"/>
      <c r="AD916" s="10"/>
      <c r="AE916" s="10"/>
      <c r="AF916" s="10"/>
    </row>
    <row r="917" hidden="1">
      <c r="A917" s="9" t="s">
        <v>1134</v>
      </c>
      <c r="B917" s="84"/>
      <c r="C917" s="9"/>
      <c r="D917" s="9" t="str">
        <f t="shared" si="1"/>
        <v/>
      </c>
      <c r="E917" s="10" t="str">
        <f t="shared" si="2"/>
        <v>OT Hours</v>
      </c>
      <c r="F917" s="10" t="str">
        <f>IFERROR(VLOOKUP(C917,'Employees List'!$B$1:$I$999,4,0),"")</f>
        <v/>
      </c>
      <c r="G917" s="10" t="str">
        <f t="shared" si="21"/>
        <v>#DIV/0!</v>
      </c>
      <c r="H917" s="72" t="str">
        <f>IFERROR(VLOOKUP(C917,'Employees List'!$B$2:$I$991,7,0),"")</f>
        <v/>
      </c>
      <c r="I917" s="73" t="str">
        <f>IFERROR(VLOOKUP(F917,'Employees List'!$E$1:$AE$991,6,0),"")</f>
        <v/>
      </c>
      <c r="J917" s="71">
        <f t="shared" si="3"/>
        <v>0</v>
      </c>
      <c r="K917" s="71">
        <f t="shared" si="4"/>
        <v>0</v>
      </c>
      <c r="L917" s="10" t="str">
        <f>IFERROR(VLOOKUP(B917,'Employees List'!$A$2:$K$991,11,0),"")</f>
        <v/>
      </c>
      <c r="M917" s="74" t="str">
        <f>IFERROR(VLOOKUP(D917,'Daily Attendance 25-26'!$A$4:BP999,5,0),"")</f>
        <v/>
      </c>
      <c r="N917" s="10" t="str">
        <f>IFERROR(VLOOKUP(E917,'Daily Attendance 25-26'!$A$1:$BO$1741,5,0),"")</f>
        <v/>
      </c>
      <c r="O917" s="10"/>
      <c r="P917" s="10"/>
      <c r="Q917" s="10" t="str">
        <f t="shared" si="5"/>
        <v>#DIV/0!</v>
      </c>
      <c r="R917" s="10" t="str">
        <f t="shared" si="6"/>
        <v>#DIV/0!</v>
      </c>
      <c r="S917" s="10" t="str">
        <f t="shared" si="23"/>
        <v>#DIV/0!</v>
      </c>
      <c r="T917" s="10" t="str">
        <f t="shared" si="22"/>
        <v>#DIV/0!</v>
      </c>
      <c r="U917" s="10" t="str">
        <f t="shared" si="8"/>
        <v>#DIV/0!</v>
      </c>
      <c r="V917" s="10"/>
      <c r="W917" s="10"/>
      <c r="X917" s="10"/>
      <c r="Y917" s="10"/>
      <c r="Z917" s="10"/>
      <c r="AA917" s="10"/>
      <c r="AB917" s="10"/>
      <c r="AC917" s="10"/>
      <c r="AD917" s="10"/>
      <c r="AE917" s="10"/>
      <c r="AF917" s="10"/>
    </row>
    <row r="918" hidden="1">
      <c r="A918" s="9" t="s">
        <v>1135</v>
      </c>
      <c r="B918" s="84"/>
      <c r="C918" s="9"/>
      <c r="D918" s="9" t="str">
        <f t="shared" si="1"/>
        <v/>
      </c>
      <c r="E918" s="10" t="str">
        <f t="shared" si="2"/>
        <v>OT Hours</v>
      </c>
      <c r="F918" s="10" t="str">
        <f>IFERROR(VLOOKUP(C918,'Employees List'!$B$1:$I$999,4,0),"")</f>
        <v/>
      </c>
      <c r="G918" s="10" t="str">
        <f t="shared" si="21"/>
        <v>#DIV/0!</v>
      </c>
      <c r="H918" s="72" t="str">
        <f>IFERROR(VLOOKUP(C918,'Employees List'!$B$2:$I$991,7,0),"")</f>
        <v/>
      </c>
      <c r="I918" s="73" t="str">
        <f>IFERROR(VLOOKUP(F918,'Employees List'!$E$1:$AE$991,6,0),"")</f>
        <v/>
      </c>
      <c r="J918" s="71">
        <f t="shared" si="3"/>
        <v>0</v>
      </c>
      <c r="K918" s="71">
        <f t="shared" si="4"/>
        <v>0</v>
      </c>
      <c r="L918" s="10" t="str">
        <f>IFERROR(VLOOKUP(B918,'Employees List'!$A$2:$K$991,11,0),"")</f>
        <v/>
      </c>
      <c r="M918" s="74" t="str">
        <f>IFERROR(VLOOKUP(D918,'Daily Attendance 25-26'!$A$4:BP999,5,0),"")</f>
        <v/>
      </c>
      <c r="N918" s="10" t="str">
        <f>IFERROR(VLOOKUP(E918,'Daily Attendance 25-26'!$A$1:$BO$1741,5,0),"")</f>
        <v/>
      </c>
      <c r="O918" s="10"/>
      <c r="P918" s="10"/>
      <c r="Q918" s="10" t="str">
        <f t="shared" si="5"/>
        <v>#DIV/0!</v>
      </c>
      <c r="R918" s="10" t="str">
        <f t="shared" si="6"/>
        <v>#DIV/0!</v>
      </c>
      <c r="S918" s="10" t="str">
        <f t="shared" si="23"/>
        <v>#DIV/0!</v>
      </c>
      <c r="T918" s="10" t="str">
        <f t="shared" si="22"/>
        <v>#DIV/0!</v>
      </c>
      <c r="U918" s="10" t="str">
        <f t="shared" si="8"/>
        <v>#DIV/0!</v>
      </c>
      <c r="V918" s="10"/>
      <c r="W918" s="10"/>
      <c r="X918" s="10"/>
      <c r="Y918" s="10"/>
      <c r="Z918" s="10"/>
      <c r="AA918" s="10"/>
      <c r="AB918" s="10"/>
      <c r="AC918" s="10"/>
      <c r="AD918" s="10"/>
      <c r="AE918" s="10"/>
      <c r="AF918" s="10"/>
    </row>
    <row r="919" hidden="1">
      <c r="A919" s="9" t="s">
        <v>1136</v>
      </c>
      <c r="B919" s="84"/>
      <c r="C919" s="9"/>
      <c r="D919" s="9" t="str">
        <f t="shared" si="1"/>
        <v/>
      </c>
      <c r="E919" s="10" t="str">
        <f t="shared" si="2"/>
        <v>OT Hours</v>
      </c>
      <c r="F919" s="10" t="str">
        <f>IFERROR(VLOOKUP(C919,'Employees List'!$B$1:$I$999,4,0),"")</f>
        <v/>
      </c>
      <c r="G919" s="10" t="str">
        <f t="shared" si="21"/>
        <v>#DIV/0!</v>
      </c>
      <c r="H919" s="72" t="str">
        <f>IFERROR(VLOOKUP(C919,'Employees List'!$B$2:$I$991,7,0),"")</f>
        <v/>
      </c>
      <c r="I919" s="73" t="str">
        <f>IFERROR(VLOOKUP(F919,'Employees List'!$E$1:$AE$991,6,0),"")</f>
        <v/>
      </c>
      <c r="J919" s="71">
        <f t="shared" si="3"/>
        <v>0</v>
      </c>
      <c r="K919" s="71">
        <f t="shared" si="4"/>
        <v>0</v>
      </c>
      <c r="L919" s="10" t="str">
        <f>IFERROR(VLOOKUP(B919,'Employees List'!$A$2:$K$991,11,0),"")</f>
        <v/>
      </c>
      <c r="M919" s="74" t="str">
        <f>IFERROR(VLOOKUP(D919,'Daily Attendance 25-26'!$A$4:BP999,5,0),"")</f>
        <v/>
      </c>
      <c r="N919" s="10" t="str">
        <f>IFERROR(VLOOKUP(E919,'Daily Attendance 25-26'!$A$1:$BO$1741,5,0),"")</f>
        <v/>
      </c>
      <c r="O919" s="10"/>
      <c r="P919" s="10"/>
      <c r="Q919" s="10" t="str">
        <f t="shared" si="5"/>
        <v>#DIV/0!</v>
      </c>
      <c r="R919" s="10" t="str">
        <f t="shared" si="6"/>
        <v>#DIV/0!</v>
      </c>
      <c r="S919" s="10" t="str">
        <f t="shared" si="23"/>
        <v>#DIV/0!</v>
      </c>
      <c r="T919" s="10" t="str">
        <f t="shared" si="22"/>
        <v>#DIV/0!</v>
      </c>
      <c r="U919" s="10" t="str">
        <f t="shared" si="8"/>
        <v>#DIV/0!</v>
      </c>
      <c r="V919" s="10"/>
      <c r="W919" s="10"/>
      <c r="X919" s="10"/>
      <c r="Y919" s="10"/>
      <c r="Z919" s="10"/>
      <c r="AA919" s="10"/>
      <c r="AB919" s="10"/>
      <c r="AC919" s="10"/>
      <c r="AD919" s="10"/>
      <c r="AE919" s="10"/>
      <c r="AF919" s="10"/>
    </row>
    <row r="920" hidden="1">
      <c r="A920" s="9" t="s">
        <v>1137</v>
      </c>
      <c r="B920" s="84"/>
      <c r="C920" s="9"/>
      <c r="D920" s="9" t="str">
        <f t="shared" si="1"/>
        <v/>
      </c>
      <c r="E920" s="10" t="str">
        <f t="shared" si="2"/>
        <v>OT Hours</v>
      </c>
      <c r="F920" s="10" t="str">
        <f>IFERROR(VLOOKUP(C920,'Employees List'!$B$1:$I$999,4,0),"")</f>
        <v/>
      </c>
      <c r="G920" s="10" t="str">
        <f t="shared" si="21"/>
        <v>#DIV/0!</v>
      </c>
      <c r="H920" s="72" t="str">
        <f>IFERROR(VLOOKUP(C920,'Employees List'!$B$2:$I$991,7,0),"")</f>
        <v/>
      </c>
      <c r="I920" s="73" t="str">
        <f>IFERROR(VLOOKUP(F920,'Employees List'!$E$1:$AE$991,6,0),"")</f>
        <v/>
      </c>
      <c r="J920" s="71">
        <f t="shared" si="3"/>
        <v>0</v>
      </c>
      <c r="K920" s="71">
        <f t="shared" si="4"/>
        <v>0</v>
      </c>
      <c r="L920" s="10" t="str">
        <f>IFERROR(VLOOKUP(B920,'Employees List'!$A$2:$K$991,11,0),"")</f>
        <v/>
      </c>
      <c r="M920" s="74" t="str">
        <f>IFERROR(VLOOKUP(D920,'Daily Attendance 25-26'!$A$4:BP999,5,0),"")</f>
        <v/>
      </c>
      <c r="N920" s="10" t="str">
        <f>IFERROR(VLOOKUP(E920,'Daily Attendance 25-26'!$A$1:$BO$1741,5,0),"")</f>
        <v/>
      </c>
      <c r="O920" s="10"/>
      <c r="P920" s="10"/>
      <c r="Q920" s="10" t="str">
        <f t="shared" si="5"/>
        <v>#DIV/0!</v>
      </c>
      <c r="R920" s="10" t="str">
        <f t="shared" si="6"/>
        <v>#DIV/0!</v>
      </c>
      <c r="S920" s="10" t="str">
        <f t="shared" si="23"/>
        <v>#DIV/0!</v>
      </c>
      <c r="T920" s="10" t="str">
        <f t="shared" si="22"/>
        <v>#DIV/0!</v>
      </c>
      <c r="U920" s="10" t="str">
        <f t="shared" si="8"/>
        <v>#DIV/0!</v>
      </c>
      <c r="V920" s="10"/>
      <c r="W920" s="10"/>
      <c r="X920" s="10"/>
      <c r="Y920" s="10"/>
      <c r="Z920" s="10"/>
      <c r="AA920" s="10"/>
      <c r="AB920" s="10"/>
      <c r="AC920" s="10"/>
      <c r="AD920" s="10"/>
      <c r="AE920" s="10"/>
      <c r="AF920" s="10"/>
    </row>
    <row r="921" hidden="1">
      <c r="A921" s="9" t="s">
        <v>1138</v>
      </c>
      <c r="B921" s="84"/>
      <c r="C921" s="9"/>
      <c r="D921" s="9" t="str">
        <f t="shared" si="1"/>
        <v/>
      </c>
      <c r="E921" s="10" t="str">
        <f t="shared" si="2"/>
        <v>OT Hours</v>
      </c>
      <c r="F921" s="10" t="str">
        <f>IFERROR(VLOOKUP(C921,'Employees List'!$B$1:$I$999,4,0),"")</f>
        <v/>
      </c>
      <c r="G921" s="10" t="str">
        <f t="shared" si="21"/>
        <v>#DIV/0!</v>
      </c>
      <c r="H921" s="72" t="str">
        <f>IFERROR(VLOOKUP(C921,'Employees List'!$B$2:$I$991,7,0),"")</f>
        <v/>
      </c>
      <c r="I921" s="73" t="str">
        <f>IFERROR(VLOOKUP(F921,'Employees List'!$E$1:$AE$991,6,0),"")</f>
        <v/>
      </c>
      <c r="J921" s="71">
        <f t="shared" si="3"/>
        <v>0</v>
      </c>
      <c r="K921" s="71">
        <f t="shared" si="4"/>
        <v>0</v>
      </c>
      <c r="L921" s="10" t="str">
        <f>IFERROR(VLOOKUP(B921,'Employees List'!$A$2:$K$991,11,0),"")</f>
        <v/>
      </c>
      <c r="M921" s="74" t="str">
        <f>IFERROR(VLOOKUP(D921,'Daily Attendance 25-26'!$A$4:BP999,5,0),"")</f>
        <v/>
      </c>
      <c r="N921" s="10" t="str">
        <f>IFERROR(VLOOKUP(E921,'Daily Attendance 25-26'!$A$1:$BO$1741,5,0),"")</f>
        <v/>
      </c>
      <c r="O921" s="10"/>
      <c r="P921" s="10"/>
      <c r="Q921" s="10" t="str">
        <f t="shared" si="5"/>
        <v>#DIV/0!</v>
      </c>
      <c r="R921" s="10" t="str">
        <f t="shared" si="6"/>
        <v>#DIV/0!</v>
      </c>
      <c r="S921" s="10" t="str">
        <f t="shared" si="23"/>
        <v>#DIV/0!</v>
      </c>
      <c r="T921" s="10" t="str">
        <f t="shared" si="22"/>
        <v>#DIV/0!</v>
      </c>
      <c r="U921" s="10" t="str">
        <f t="shared" si="8"/>
        <v>#DIV/0!</v>
      </c>
      <c r="V921" s="10"/>
      <c r="W921" s="10"/>
      <c r="X921" s="10"/>
      <c r="Y921" s="10"/>
      <c r="Z921" s="10"/>
      <c r="AA921" s="10"/>
      <c r="AB921" s="10"/>
      <c r="AC921" s="10"/>
      <c r="AD921" s="10"/>
      <c r="AE921" s="10"/>
      <c r="AF921" s="10"/>
    </row>
    <row r="922" hidden="1">
      <c r="A922" s="9" t="s">
        <v>1139</v>
      </c>
      <c r="B922" s="84"/>
      <c r="C922" s="9"/>
      <c r="D922" s="9" t="str">
        <f t="shared" si="1"/>
        <v/>
      </c>
      <c r="E922" s="10" t="str">
        <f t="shared" si="2"/>
        <v>OT Hours</v>
      </c>
      <c r="F922" s="10" t="str">
        <f>IFERROR(VLOOKUP(C922,'Employees List'!$B$1:$I$999,4,0),"")</f>
        <v/>
      </c>
      <c r="G922" s="10" t="str">
        <f t="shared" si="21"/>
        <v>#DIV/0!</v>
      </c>
      <c r="H922" s="72" t="str">
        <f>IFERROR(VLOOKUP(C922,'Employees List'!$B$2:$I$991,7,0),"")</f>
        <v/>
      </c>
      <c r="I922" s="73" t="str">
        <f>IFERROR(VLOOKUP(F922,'Employees List'!$E$1:$AE$991,6,0),"")</f>
        <v/>
      </c>
      <c r="J922" s="71">
        <f t="shared" si="3"/>
        <v>0</v>
      </c>
      <c r="K922" s="71">
        <f t="shared" si="4"/>
        <v>0</v>
      </c>
      <c r="L922" s="10" t="str">
        <f>IFERROR(VLOOKUP(B922,'Employees List'!$A$2:$K$991,11,0),"")</f>
        <v/>
      </c>
      <c r="M922" s="74" t="str">
        <f>IFERROR(VLOOKUP(D922,'Daily Attendance 25-26'!$A$4:BP999,5,0),"")</f>
        <v/>
      </c>
      <c r="N922" s="10" t="str">
        <f>IFERROR(VLOOKUP(E922,'Daily Attendance 25-26'!$A$1:$BO$1741,5,0),"")</f>
        <v/>
      </c>
      <c r="O922" s="10"/>
      <c r="P922" s="10"/>
      <c r="Q922" s="10" t="str">
        <f t="shared" si="5"/>
        <v>#DIV/0!</v>
      </c>
      <c r="R922" s="10" t="str">
        <f t="shared" si="6"/>
        <v>#DIV/0!</v>
      </c>
      <c r="S922" s="10" t="str">
        <f t="shared" si="23"/>
        <v>#DIV/0!</v>
      </c>
      <c r="T922" s="10" t="str">
        <f t="shared" si="22"/>
        <v>#DIV/0!</v>
      </c>
      <c r="U922" s="10" t="str">
        <f t="shared" si="8"/>
        <v>#DIV/0!</v>
      </c>
      <c r="V922" s="10"/>
      <c r="W922" s="10"/>
      <c r="X922" s="10"/>
      <c r="Y922" s="10"/>
      <c r="Z922" s="10"/>
      <c r="AA922" s="10"/>
      <c r="AB922" s="10"/>
      <c r="AC922" s="10"/>
      <c r="AD922" s="10"/>
      <c r="AE922" s="10"/>
      <c r="AF922" s="10"/>
    </row>
    <row r="923" hidden="1">
      <c r="A923" s="9" t="s">
        <v>1140</v>
      </c>
      <c r="B923" s="84"/>
      <c r="C923" s="9"/>
      <c r="D923" s="9" t="str">
        <f t="shared" si="1"/>
        <v/>
      </c>
      <c r="E923" s="10" t="str">
        <f t="shared" si="2"/>
        <v>OT Hours</v>
      </c>
      <c r="F923" s="10" t="str">
        <f>IFERROR(VLOOKUP(C923,'Employees List'!$B$1:$I$999,4,0),"")</f>
        <v/>
      </c>
      <c r="G923" s="10" t="str">
        <f t="shared" si="21"/>
        <v>#DIV/0!</v>
      </c>
      <c r="H923" s="72" t="str">
        <f>IFERROR(VLOOKUP(C923,'Employees List'!$B$2:$I$991,7,0),"")</f>
        <v/>
      </c>
      <c r="I923" s="73" t="str">
        <f>IFERROR(VLOOKUP(F923,'Employees List'!$E$1:$AE$991,6,0),"")</f>
        <v/>
      </c>
      <c r="J923" s="71">
        <f t="shared" si="3"/>
        <v>0</v>
      </c>
      <c r="K923" s="71">
        <f t="shared" si="4"/>
        <v>0</v>
      </c>
      <c r="L923" s="10" t="str">
        <f>IFERROR(VLOOKUP(B923,'Employees List'!$A$2:$K$991,11,0),"")</f>
        <v/>
      </c>
      <c r="M923" s="74" t="str">
        <f>IFERROR(VLOOKUP(D923,'Daily Attendance 25-26'!$A$4:BP999,5,0),"")</f>
        <v/>
      </c>
      <c r="N923" s="10" t="str">
        <f>IFERROR(VLOOKUP(E923,'Daily Attendance 25-26'!$A$1:$BO$1741,5,0),"")</f>
        <v/>
      </c>
      <c r="O923" s="10"/>
      <c r="P923" s="10"/>
      <c r="Q923" s="10" t="str">
        <f t="shared" si="5"/>
        <v>#DIV/0!</v>
      </c>
      <c r="R923" s="10" t="str">
        <f t="shared" si="6"/>
        <v>#DIV/0!</v>
      </c>
      <c r="S923" s="10" t="str">
        <f t="shared" si="23"/>
        <v>#DIV/0!</v>
      </c>
      <c r="T923" s="10" t="str">
        <f t="shared" si="22"/>
        <v>#DIV/0!</v>
      </c>
      <c r="U923" s="10" t="str">
        <f t="shared" si="8"/>
        <v>#DIV/0!</v>
      </c>
      <c r="V923" s="10"/>
      <c r="W923" s="10"/>
      <c r="X923" s="10"/>
      <c r="Y923" s="10"/>
      <c r="Z923" s="10"/>
      <c r="AA923" s="10"/>
      <c r="AB923" s="10"/>
      <c r="AC923" s="10"/>
      <c r="AD923" s="10"/>
      <c r="AE923" s="10"/>
      <c r="AF923" s="10"/>
    </row>
    <row r="924" hidden="1">
      <c r="A924" s="9" t="s">
        <v>1141</v>
      </c>
      <c r="B924" s="84"/>
      <c r="C924" s="9"/>
      <c r="D924" s="9" t="str">
        <f t="shared" si="1"/>
        <v/>
      </c>
      <c r="E924" s="10" t="str">
        <f t="shared" si="2"/>
        <v>OT Hours</v>
      </c>
      <c r="F924" s="10" t="str">
        <f>IFERROR(VLOOKUP(C924,'Employees List'!$B$1:$I$999,4,0),"")</f>
        <v/>
      </c>
      <c r="G924" s="10" t="str">
        <f t="shared" si="21"/>
        <v>#DIV/0!</v>
      </c>
      <c r="H924" s="72" t="str">
        <f>IFERROR(VLOOKUP(C924,'Employees List'!$B$2:$I$991,7,0),"")</f>
        <v/>
      </c>
      <c r="I924" s="73" t="str">
        <f>IFERROR(VLOOKUP(F924,'Employees List'!$E$1:$AE$991,6,0),"")</f>
        <v/>
      </c>
      <c r="J924" s="71">
        <f t="shared" si="3"/>
        <v>0</v>
      </c>
      <c r="K924" s="71">
        <f t="shared" si="4"/>
        <v>0</v>
      </c>
      <c r="L924" s="10" t="str">
        <f>IFERROR(VLOOKUP(B924,'Employees List'!$A$2:$K$991,11,0),"")</f>
        <v/>
      </c>
      <c r="M924" s="74" t="str">
        <f>IFERROR(VLOOKUP(D924,'Daily Attendance 25-26'!$A$4:BP999,5,0),"")</f>
        <v/>
      </c>
      <c r="N924" s="10" t="str">
        <f>IFERROR(VLOOKUP(E924,'Daily Attendance 25-26'!$A$1:$BO$1741,5,0),"")</f>
        <v/>
      </c>
      <c r="O924" s="10"/>
      <c r="P924" s="10"/>
      <c r="Q924" s="10" t="str">
        <f t="shared" si="5"/>
        <v>#DIV/0!</v>
      </c>
      <c r="R924" s="10" t="str">
        <f t="shared" si="6"/>
        <v>#DIV/0!</v>
      </c>
      <c r="S924" s="10" t="str">
        <f t="shared" si="23"/>
        <v>#DIV/0!</v>
      </c>
      <c r="T924" s="10" t="str">
        <f t="shared" si="22"/>
        <v>#DIV/0!</v>
      </c>
      <c r="U924" s="10" t="str">
        <f t="shared" si="8"/>
        <v>#DIV/0!</v>
      </c>
      <c r="V924" s="10"/>
      <c r="W924" s="10"/>
      <c r="X924" s="10"/>
      <c r="Y924" s="10"/>
      <c r="Z924" s="10"/>
      <c r="AA924" s="10"/>
      <c r="AB924" s="10"/>
      <c r="AC924" s="10"/>
      <c r="AD924" s="10"/>
      <c r="AE924" s="10"/>
      <c r="AF924" s="10"/>
    </row>
    <row r="925" hidden="1">
      <c r="A925" s="9" t="s">
        <v>1142</v>
      </c>
      <c r="B925" s="84"/>
      <c r="C925" s="9"/>
      <c r="D925" s="9" t="str">
        <f t="shared" si="1"/>
        <v/>
      </c>
      <c r="E925" s="10" t="str">
        <f t="shared" si="2"/>
        <v>OT Hours</v>
      </c>
      <c r="F925" s="10" t="str">
        <f>IFERROR(VLOOKUP(C925,'Employees List'!$B$1:$I$999,4,0),"")</f>
        <v/>
      </c>
      <c r="G925" s="10" t="str">
        <f t="shared" si="21"/>
        <v>#DIV/0!</v>
      </c>
      <c r="H925" s="72" t="str">
        <f>IFERROR(VLOOKUP(C925,'Employees List'!$B$2:$I$991,7,0),"")</f>
        <v/>
      </c>
      <c r="I925" s="73" t="str">
        <f>IFERROR(VLOOKUP(F925,'Employees List'!$E$1:$AE$991,6,0),"")</f>
        <v/>
      </c>
      <c r="J925" s="71">
        <f t="shared" si="3"/>
        <v>0</v>
      </c>
      <c r="K925" s="71">
        <f t="shared" si="4"/>
        <v>0</v>
      </c>
      <c r="L925" s="10" t="str">
        <f>IFERROR(VLOOKUP(B925,'Employees List'!$A$2:$K$991,11,0),"")</f>
        <v/>
      </c>
      <c r="M925" s="74" t="str">
        <f>IFERROR(VLOOKUP(D925,'Daily Attendance 25-26'!$A$4:BP999,5,0),"")</f>
        <v/>
      </c>
      <c r="N925" s="10" t="str">
        <f>IFERROR(VLOOKUP(E925,'Daily Attendance 25-26'!$A$1:$BO$1741,5,0),"")</f>
        <v/>
      </c>
      <c r="O925" s="10"/>
      <c r="P925" s="10"/>
      <c r="Q925" s="10" t="str">
        <f t="shared" si="5"/>
        <v>#DIV/0!</v>
      </c>
      <c r="R925" s="10" t="str">
        <f t="shared" si="6"/>
        <v>#DIV/0!</v>
      </c>
      <c r="S925" s="10" t="str">
        <f t="shared" si="23"/>
        <v>#DIV/0!</v>
      </c>
      <c r="T925" s="10" t="str">
        <f t="shared" si="22"/>
        <v>#DIV/0!</v>
      </c>
      <c r="U925" s="10" t="str">
        <f t="shared" si="8"/>
        <v>#DIV/0!</v>
      </c>
      <c r="V925" s="10"/>
      <c r="W925" s="10"/>
      <c r="X925" s="10"/>
      <c r="Y925" s="10"/>
      <c r="Z925" s="10"/>
      <c r="AA925" s="10"/>
      <c r="AB925" s="10"/>
      <c r="AC925" s="10"/>
      <c r="AD925" s="10"/>
      <c r="AE925" s="10"/>
      <c r="AF925" s="10"/>
    </row>
    <row r="926" hidden="1">
      <c r="A926" s="9" t="s">
        <v>1143</v>
      </c>
      <c r="B926" s="84"/>
      <c r="C926" s="9"/>
      <c r="D926" s="9" t="str">
        <f t="shared" si="1"/>
        <v/>
      </c>
      <c r="E926" s="10" t="str">
        <f t="shared" si="2"/>
        <v>OT Hours</v>
      </c>
      <c r="F926" s="10" t="str">
        <f>IFERROR(VLOOKUP(C926,'Employees List'!$B$1:$I$999,4,0),"")</f>
        <v/>
      </c>
      <c r="G926" s="10" t="str">
        <f t="shared" si="21"/>
        <v>#DIV/0!</v>
      </c>
      <c r="H926" s="72" t="str">
        <f>IFERROR(VLOOKUP(C926,'Employees List'!$B$2:$I$991,7,0),"")</f>
        <v/>
      </c>
      <c r="I926" s="73" t="str">
        <f>IFERROR(VLOOKUP(F926,'Employees List'!$E$1:$AE$991,6,0),"")</f>
        <v/>
      </c>
      <c r="J926" s="71">
        <f t="shared" si="3"/>
        <v>0</v>
      </c>
      <c r="K926" s="71">
        <f t="shared" si="4"/>
        <v>0</v>
      </c>
      <c r="L926" s="10" t="str">
        <f>IFERROR(VLOOKUP(B926,'Employees List'!$A$2:$K$991,11,0),"")</f>
        <v/>
      </c>
      <c r="M926" s="74" t="str">
        <f>IFERROR(VLOOKUP(D926,'Daily Attendance 25-26'!$A$4:BP999,5,0),"")</f>
        <v/>
      </c>
      <c r="N926" s="10" t="str">
        <f>IFERROR(VLOOKUP(E926,'Daily Attendance 25-26'!$A$1:$BO$1741,5,0),"")</f>
        <v/>
      </c>
      <c r="O926" s="10"/>
      <c r="P926" s="10"/>
      <c r="Q926" s="10" t="str">
        <f t="shared" si="5"/>
        <v>#DIV/0!</v>
      </c>
      <c r="R926" s="10" t="str">
        <f t="shared" si="6"/>
        <v>#DIV/0!</v>
      </c>
      <c r="S926" s="10" t="str">
        <f t="shared" si="23"/>
        <v>#DIV/0!</v>
      </c>
      <c r="T926" s="10" t="str">
        <f t="shared" si="22"/>
        <v>#DIV/0!</v>
      </c>
      <c r="U926" s="10" t="str">
        <f t="shared" si="8"/>
        <v>#DIV/0!</v>
      </c>
      <c r="V926" s="10"/>
      <c r="W926" s="10"/>
      <c r="X926" s="10"/>
      <c r="Y926" s="10"/>
      <c r="Z926" s="10"/>
      <c r="AA926" s="10"/>
      <c r="AB926" s="10"/>
      <c r="AC926" s="10"/>
      <c r="AD926" s="10"/>
      <c r="AE926" s="10"/>
      <c r="AF926" s="10"/>
    </row>
    <row r="927" hidden="1">
      <c r="A927" s="9" t="s">
        <v>1144</v>
      </c>
      <c r="B927" s="84"/>
      <c r="C927" s="9"/>
      <c r="D927" s="9" t="str">
        <f t="shared" si="1"/>
        <v/>
      </c>
      <c r="E927" s="10" t="str">
        <f t="shared" si="2"/>
        <v>OT Hours</v>
      </c>
      <c r="F927" s="10" t="str">
        <f>IFERROR(VLOOKUP(C927,'Employees List'!$B$1:$I$999,4,0),"")</f>
        <v/>
      </c>
      <c r="G927" s="10" t="str">
        <f t="shared" si="21"/>
        <v>#DIV/0!</v>
      </c>
      <c r="H927" s="72" t="str">
        <f>IFERROR(VLOOKUP(C927,'Employees List'!$B$2:$I$991,7,0),"")</f>
        <v/>
      </c>
      <c r="I927" s="73" t="str">
        <f>IFERROR(VLOOKUP(F927,'Employees List'!$E$1:$AE$991,6,0),"")</f>
        <v/>
      </c>
      <c r="J927" s="71">
        <f t="shared" si="3"/>
        <v>0</v>
      </c>
      <c r="K927" s="71">
        <f t="shared" si="4"/>
        <v>0</v>
      </c>
      <c r="L927" s="10" t="str">
        <f>IFERROR(VLOOKUP(B927,'Employees List'!$A$2:$K$991,11,0),"")</f>
        <v/>
      </c>
      <c r="M927" s="74" t="str">
        <f>IFERROR(VLOOKUP(D927,'Daily Attendance 25-26'!$A$4:BP999,5,0),"")</f>
        <v/>
      </c>
      <c r="N927" s="10" t="str">
        <f>IFERROR(VLOOKUP(E927,'Daily Attendance 25-26'!$A$1:$BO$1741,5,0),"")</f>
        <v/>
      </c>
      <c r="O927" s="10"/>
      <c r="P927" s="10"/>
      <c r="Q927" s="10" t="str">
        <f t="shared" si="5"/>
        <v>#DIV/0!</v>
      </c>
      <c r="R927" s="10" t="str">
        <f t="shared" si="6"/>
        <v>#DIV/0!</v>
      </c>
      <c r="S927" s="10" t="str">
        <f t="shared" si="23"/>
        <v>#DIV/0!</v>
      </c>
      <c r="T927" s="10" t="str">
        <f t="shared" si="22"/>
        <v>#DIV/0!</v>
      </c>
      <c r="U927" s="10" t="str">
        <f t="shared" si="8"/>
        <v>#DIV/0!</v>
      </c>
      <c r="V927" s="10"/>
      <c r="W927" s="10"/>
      <c r="X927" s="10"/>
      <c r="Y927" s="10"/>
      <c r="Z927" s="10"/>
      <c r="AA927" s="10"/>
      <c r="AB927" s="10"/>
      <c r="AC927" s="10"/>
      <c r="AD927" s="10"/>
      <c r="AE927" s="10"/>
      <c r="AF927" s="10"/>
    </row>
    <row r="928" hidden="1">
      <c r="A928" s="9" t="s">
        <v>1145</v>
      </c>
      <c r="B928" s="84"/>
      <c r="C928" s="9"/>
      <c r="D928" s="9" t="str">
        <f t="shared" si="1"/>
        <v/>
      </c>
      <c r="E928" s="10" t="str">
        <f t="shared" si="2"/>
        <v>OT Hours</v>
      </c>
      <c r="F928" s="10" t="str">
        <f>IFERROR(VLOOKUP(C928,'Employees List'!$B$1:$I$999,4,0),"")</f>
        <v/>
      </c>
      <c r="G928" s="10" t="str">
        <f t="shared" si="21"/>
        <v>#DIV/0!</v>
      </c>
      <c r="H928" s="72" t="str">
        <f>IFERROR(VLOOKUP(C928,'Employees List'!$B$2:$I$991,7,0),"")</f>
        <v/>
      </c>
      <c r="I928" s="73" t="str">
        <f>IFERROR(VLOOKUP(F928,'Employees List'!$E$1:$AE$991,6,0),"")</f>
        <v/>
      </c>
      <c r="J928" s="71">
        <f t="shared" si="3"/>
        <v>0</v>
      </c>
      <c r="K928" s="71">
        <f t="shared" si="4"/>
        <v>0</v>
      </c>
      <c r="L928" s="10" t="str">
        <f>IFERROR(VLOOKUP(B928,'Employees List'!$A$2:$K$991,11,0),"")</f>
        <v/>
      </c>
      <c r="M928" s="74" t="str">
        <f>IFERROR(VLOOKUP(D928,'Daily Attendance 25-26'!$A$4:BP999,5,0),"")</f>
        <v/>
      </c>
      <c r="N928" s="10" t="str">
        <f>IFERROR(VLOOKUP(E928,'Daily Attendance 25-26'!$A$1:$BO$1741,5,0),"")</f>
        <v/>
      </c>
      <c r="O928" s="10"/>
      <c r="P928" s="10"/>
      <c r="Q928" s="10" t="str">
        <f t="shared" si="5"/>
        <v>#DIV/0!</v>
      </c>
      <c r="R928" s="10" t="str">
        <f t="shared" si="6"/>
        <v>#DIV/0!</v>
      </c>
      <c r="S928" s="10" t="str">
        <f t="shared" si="23"/>
        <v>#DIV/0!</v>
      </c>
      <c r="T928" s="10" t="str">
        <f t="shared" si="22"/>
        <v>#DIV/0!</v>
      </c>
      <c r="U928" s="10" t="str">
        <f t="shared" si="8"/>
        <v>#DIV/0!</v>
      </c>
      <c r="V928" s="10"/>
      <c r="W928" s="10"/>
      <c r="X928" s="10"/>
      <c r="Y928" s="10"/>
      <c r="Z928" s="10"/>
      <c r="AA928" s="10"/>
      <c r="AB928" s="10"/>
      <c r="AC928" s="10"/>
      <c r="AD928" s="10"/>
      <c r="AE928" s="10"/>
      <c r="AF928" s="10"/>
    </row>
    <row r="929" hidden="1">
      <c r="A929" s="9" t="s">
        <v>1146</v>
      </c>
      <c r="B929" s="84"/>
      <c r="C929" s="9"/>
      <c r="D929" s="9" t="str">
        <f t="shared" si="1"/>
        <v/>
      </c>
      <c r="E929" s="10" t="str">
        <f t="shared" si="2"/>
        <v>OT Hours</v>
      </c>
      <c r="F929" s="10" t="str">
        <f>IFERROR(VLOOKUP(C929,'Employees List'!$B$1:$I$999,4,0),"")</f>
        <v/>
      </c>
      <c r="G929" s="10" t="str">
        <f t="shared" si="21"/>
        <v>#DIV/0!</v>
      </c>
      <c r="H929" s="72" t="str">
        <f>IFERROR(VLOOKUP(C929,'Employees List'!$B$2:$I$991,7,0),"")</f>
        <v/>
      </c>
      <c r="I929" s="73" t="str">
        <f>IFERROR(VLOOKUP(F929,'Employees List'!$E$1:$AE$991,6,0),"")</f>
        <v/>
      </c>
      <c r="J929" s="71">
        <f t="shared" si="3"/>
        <v>0</v>
      </c>
      <c r="K929" s="71">
        <f t="shared" si="4"/>
        <v>0</v>
      </c>
      <c r="L929" s="10" t="str">
        <f>IFERROR(VLOOKUP(B929,'Employees List'!$A$2:$K$991,11,0),"")</f>
        <v/>
      </c>
      <c r="M929" s="74" t="str">
        <f>IFERROR(VLOOKUP(D929,'Daily Attendance 25-26'!$A$4:BP999,5,0),"")</f>
        <v/>
      </c>
      <c r="N929" s="10" t="str">
        <f>IFERROR(VLOOKUP(E929,'Daily Attendance 25-26'!$A$1:$BO$1741,5,0),"")</f>
        <v/>
      </c>
      <c r="O929" s="10"/>
      <c r="P929" s="10"/>
      <c r="Q929" s="10" t="str">
        <f t="shared" si="5"/>
        <v>#DIV/0!</v>
      </c>
      <c r="R929" s="10" t="str">
        <f t="shared" si="6"/>
        <v>#DIV/0!</v>
      </c>
      <c r="S929" s="10" t="str">
        <f t="shared" si="23"/>
        <v>#DIV/0!</v>
      </c>
      <c r="T929" s="10" t="str">
        <f t="shared" si="22"/>
        <v>#DIV/0!</v>
      </c>
      <c r="U929" s="10" t="str">
        <f t="shared" si="8"/>
        <v>#DIV/0!</v>
      </c>
      <c r="V929" s="10"/>
      <c r="W929" s="10"/>
      <c r="X929" s="10"/>
      <c r="Y929" s="10"/>
      <c r="Z929" s="10"/>
      <c r="AA929" s="10"/>
      <c r="AB929" s="10"/>
      <c r="AC929" s="10"/>
      <c r="AD929" s="10"/>
      <c r="AE929" s="10"/>
      <c r="AF929" s="10"/>
    </row>
    <row r="930" hidden="1">
      <c r="A930" s="9" t="s">
        <v>1147</v>
      </c>
      <c r="B930" s="84"/>
      <c r="C930" s="9"/>
      <c r="D930" s="9" t="str">
        <f t="shared" si="1"/>
        <v/>
      </c>
      <c r="E930" s="10" t="str">
        <f t="shared" si="2"/>
        <v>OT Hours</v>
      </c>
      <c r="F930" s="10" t="str">
        <f>IFERROR(VLOOKUP(C930,'Employees List'!$B$1:$I$999,4,0),"")</f>
        <v/>
      </c>
      <c r="G930" s="10" t="str">
        <f t="shared" si="21"/>
        <v>#DIV/0!</v>
      </c>
      <c r="H930" s="72" t="str">
        <f>IFERROR(VLOOKUP(C930,'Employees List'!$B$2:$I$991,7,0),"")</f>
        <v/>
      </c>
      <c r="I930" s="73" t="str">
        <f>IFERROR(VLOOKUP(F930,'Employees List'!$E$1:$AE$991,6,0),"")</f>
        <v/>
      </c>
      <c r="J930" s="71">
        <f t="shared" si="3"/>
        <v>0</v>
      </c>
      <c r="K930" s="71">
        <f t="shared" si="4"/>
        <v>0</v>
      </c>
      <c r="L930" s="10" t="str">
        <f>IFERROR(VLOOKUP(B930,'Employees List'!$A$2:$K$991,11,0),"")</f>
        <v/>
      </c>
      <c r="M930" s="74" t="str">
        <f>IFERROR(VLOOKUP(D930,'Daily Attendance 25-26'!$A$4:BP999,5,0),"")</f>
        <v/>
      </c>
      <c r="N930" s="10" t="str">
        <f>IFERROR(VLOOKUP(E930,'Daily Attendance 25-26'!$A$1:$BO$1741,5,0),"")</f>
        <v/>
      </c>
      <c r="O930" s="10"/>
      <c r="P930" s="10"/>
      <c r="Q930" s="10" t="str">
        <f t="shared" si="5"/>
        <v>#DIV/0!</v>
      </c>
      <c r="R930" s="10" t="str">
        <f t="shared" si="6"/>
        <v>#DIV/0!</v>
      </c>
      <c r="S930" s="10" t="str">
        <f t="shared" si="23"/>
        <v>#DIV/0!</v>
      </c>
      <c r="T930" s="10" t="str">
        <f t="shared" si="22"/>
        <v>#DIV/0!</v>
      </c>
      <c r="U930" s="10" t="str">
        <f t="shared" si="8"/>
        <v>#DIV/0!</v>
      </c>
      <c r="V930" s="10"/>
      <c r="W930" s="10"/>
      <c r="X930" s="10"/>
      <c r="Y930" s="10"/>
      <c r="Z930" s="10"/>
      <c r="AA930" s="10"/>
      <c r="AB930" s="10"/>
      <c r="AC930" s="10"/>
      <c r="AD930" s="10"/>
      <c r="AE930" s="10"/>
      <c r="AF930" s="10"/>
    </row>
    <row r="931" hidden="1">
      <c r="A931" s="9" t="s">
        <v>1148</v>
      </c>
      <c r="B931" s="84"/>
      <c r="C931" s="9"/>
      <c r="D931" s="9" t="str">
        <f t="shared" si="1"/>
        <v/>
      </c>
      <c r="E931" s="10" t="str">
        <f t="shared" si="2"/>
        <v>OT Hours</v>
      </c>
      <c r="F931" s="10" t="str">
        <f>IFERROR(VLOOKUP(C931,'Employees List'!$B$1:$I$999,4,0),"")</f>
        <v/>
      </c>
      <c r="G931" s="10" t="str">
        <f t="shared" si="21"/>
        <v>#DIV/0!</v>
      </c>
      <c r="H931" s="72" t="str">
        <f>IFERROR(VLOOKUP(C931,'Employees List'!$B$2:$I$991,7,0),"")</f>
        <v/>
      </c>
      <c r="I931" s="73" t="str">
        <f>IFERROR(VLOOKUP(F931,'Employees List'!$E$1:$AE$991,6,0),"")</f>
        <v/>
      </c>
      <c r="J931" s="71">
        <f t="shared" si="3"/>
        <v>0</v>
      </c>
      <c r="K931" s="71">
        <f t="shared" si="4"/>
        <v>0</v>
      </c>
      <c r="L931" s="10" t="str">
        <f>IFERROR(VLOOKUP(B931,'Employees List'!$A$2:$K$991,11,0),"")</f>
        <v/>
      </c>
      <c r="M931" s="74" t="str">
        <f>IFERROR(VLOOKUP(D931,'Daily Attendance 25-26'!$A$4:BP999,5,0),"")</f>
        <v/>
      </c>
      <c r="N931" s="10" t="str">
        <f>IFERROR(VLOOKUP(E931,'Daily Attendance 25-26'!$A$1:$BO$1741,5,0),"")</f>
        <v/>
      </c>
      <c r="O931" s="10"/>
      <c r="P931" s="10"/>
      <c r="Q931" s="10" t="str">
        <f t="shared" si="5"/>
        <v>#DIV/0!</v>
      </c>
      <c r="R931" s="10" t="str">
        <f t="shared" si="6"/>
        <v>#DIV/0!</v>
      </c>
      <c r="S931" s="10" t="str">
        <f t="shared" si="23"/>
        <v>#DIV/0!</v>
      </c>
      <c r="T931" s="10" t="str">
        <f t="shared" si="22"/>
        <v>#DIV/0!</v>
      </c>
      <c r="U931" s="10" t="str">
        <f t="shared" si="8"/>
        <v>#DIV/0!</v>
      </c>
      <c r="V931" s="10"/>
      <c r="W931" s="10"/>
      <c r="X931" s="10"/>
      <c r="Y931" s="10"/>
      <c r="Z931" s="10"/>
      <c r="AA931" s="10"/>
      <c r="AB931" s="10"/>
      <c r="AC931" s="10"/>
      <c r="AD931" s="10"/>
      <c r="AE931" s="10"/>
      <c r="AF931" s="10"/>
    </row>
    <row r="932" hidden="1">
      <c r="A932" s="9" t="s">
        <v>1149</v>
      </c>
      <c r="B932" s="84"/>
      <c r="C932" s="9"/>
      <c r="D932" s="9" t="str">
        <f t="shared" si="1"/>
        <v/>
      </c>
      <c r="E932" s="10" t="str">
        <f t="shared" si="2"/>
        <v>OT Hours</v>
      </c>
      <c r="F932" s="10" t="str">
        <f>IFERROR(VLOOKUP(C932,'Employees List'!$B$1:$I$999,4,0),"")</f>
        <v/>
      </c>
      <c r="G932" s="10" t="str">
        <f t="shared" si="21"/>
        <v>#DIV/0!</v>
      </c>
      <c r="H932" s="72" t="str">
        <f>IFERROR(VLOOKUP(C932,'Employees List'!$B$2:$I$991,7,0),"")</f>
        <v/>
      </c>
      <c r="I932" s="73" t="str">
        <f>IFERROR(VLOOKUP(F932,'Employees List'!$E$1:$AE$991,6,0),"")</f>
        <v/>
      </c>
      <c r="J932" s="71">
        <f t="shared" si="3"/>
        <v>0</v>
      </c>
      <c r="K932" s="71">
        <f t="shared" si="4"/>
        <v>0</v>
      </c>
      <c r="L932" s="10" t="str">
        <f>IFERROR(VLOOKUP(B932,'Employees List'!$A$2:$K$991,11,0),"")</f>
        <v/>
      </c>
      <c r="M932" s="74" t="str">
        <f>IFERROR(VLOOKUP(D932,'Daily Attendance 25-26'!$A$4:BP999,5,0),"")</f>
        <v/>
      </c>
      <c r="N932" s="10" t="str">
        <f>IFERROR(VLOOKUP(E932,'Daily Attendance 25-26'!$A$1:$BO$1741,5,0),"")</f>
        <v/>
      </c>
      <c r="O932" s="10"/>
      <c r="P932" s="10"/>
      <c r="Q932" s="10" t="str">
        <f t="shared" si="5"/>
        <v>#DIV/0!</v>
      </c>
      <c r="R932" s="10" t="str">
        <f t="shared" si="6"/>
        <v>#DIV/0!</v>
      </c>
      <c r="S932" s="10" t="str">
        <f t="shared" si="23"/>
        <v>#DIV/0!</v>
      </c>
      <c r="T932" s="10" t="str">
        <f t="shared" si="22"/>
        <v>#DIV/0!</v>
      </c>
      <c r="U932" s="10" t="str">
        <f t="shared" si="8"/>
        <v>#DIV/0!</v>
      </c>
      <c r="V932" s="10"/>
      <c r="W932" s="10"/>
      <c r="X932" s="10"/>
      <c r="Y932" s="10"/>
      <c r="Z932" s="10"/>
      <c r="AA932" s="10"/>
      <c r="AB932" s="10"/>
      <c r="AC932" s="10"/>
      <c r="AD932" s="10"/>
      <c r="AE932" s="10"/>
      <c r="AF932" s="10"/>
    </row>
    <row r="933" hidden="1">
      <c r="A933" s="9" t="s">
        <v>1150</v>
      </c>
      <c r="B933" s="84"/>
      <c r="C933" s="9"/>
      <c r="D933" s="9" t="str">
        <f t="shared" si="1"/>
        <v/>
      </c>
      <c r="E933" s="10" t="str">
        <f t="shared" si="2"/>
        <v>OT Hours</v>
      </c>
      <c r="F933" s="10" t="str">
        <f>IFERROR(VLOOKUP(C933,'Employees List'!$B$1:$I$999,4,0),"")</f>
        <v/>
      </c>
      <c r="G933" s="10" t="str">
        <f t="shared" si="21"/>
        <v>#DIV/0!</v>
      </c>
      <c r="H933" s="72" t="str">
        <f>IFERROR(VLOOKUP(C933,'Employees List'!$B$2:$I$991,7,0),"")</f>
        <v/>
      </c>
      <c r="I933" s="73" t="str">
        <f>IFERROR(VLOOKUP(F933,'Employees List'!$E$1:$AE$991,6,0),"")</f>
        <v/>
      </c>
      <c r="J933" s="71">
        <f t="shared" si="3"/>
        <v>0</v>
      </c>
      <c r="K933" s="71">
        <f t="shared" si="4"/>
        <v>0</v>
      </c>
      <c r="L933" s="10" t="str">
        <f>IFERROR(VLOOKUP(B933,'Employees List'!$A$2:$K$991,11,0),"")</f>
        <v/>
      </c>
      <c r="M933" s="74" t="str">
        <f>IFERROR(VLOOKUP(D933,'Daily Attendance 25-26'!$A$4:BP999,5,0),"")</f>
        <v/>
      </c>
      <c r="N933" s="10" t="str">
        <f>IFERROR(VLOOKUP(E933,'Daily Attendance 25-26'!$A$1:$BO$1741,5,0),"")</f>
        <v/>
      </c>
      <c r="O933" s="10"/>
      <c r="P933" s="10"/>
      <c r="Q933" s="10" t="str">
        <f t="shared" si="5"/>
        <v>#DIV/0!</v>
      </c>
      <c r="R933" s="10" t="str">
        <f t="shared" si="6"/>
        <v>#DIV/0!</v>
      </c>
      <c r="S933" s="10" t="str">
        <f t="shared" si="23"/>
        <v>#DIV/0!</v>
      </c>
      <c r="T933" s="10" t="str">
        <f t="shared" si="22"/>
        <v>#DIV/0!</v>
      </c>
      <c r="U933" s="10" t="str">
        <f t="shared" si="8"/>
        <v>#DIV/0!</v>
      </c>
      <c r="V933" s="10"/>
      <c r="W933" s="10"/>
      <c r="X933" s="10"/>
      <c r="Y933" s="10"/>
      <c r="Z933" s="10"/>
      <c r="AA933" s="10"/>
      <c r="AB933" s="10"/>
      <c r="AC933" s="10"/>
      <c r="AD933" s="10"/>
      <c r="AE933" s="10"/>
      <c r="AF933" s="10"/>
    </row>
    <row r="934" hidden="1">
      <c r="A934" s="9" t="s">
        <v>1151</v>
      </c>
      <c r="B934" s="84"/>
      <c r="C934" s="9"/>
      <c r="D934" s="9" t="str">
        <f t="shared" si="1"/>
        <v/>
      </c>
      <c r="E934" s="10" t="str">
        <f t="shared" si="2"/>
        <v>OT Hours</v>
      </c>
      <c r="F934" s="10" t="str">
        <f>IFERROR(VLOOKUP(C934,'Employees List'!$B$1:$I$999,4,0),"")</f>
        <v/>
      </c>
      <c r="G934" s="10" t="str">
        <f t="shared" si="21"/>
        <v>#DIV/0!</v>
      </c>
      <c r="H934" s="72" t="str">
        <f>IFERROR(VLOOKUP(C934,'Employees List'!$B$2:$I$991,7,0),"")</f>
        <v/>
      </c>
      <c r="I934" s="73" t="str">
        <f>IFERROR(VLOOKUP(F934,'Employees List'!$E$1:$AE$991,6,0),"")</f>
        <v/>
      </c>
      <c r="J934" s="71">
        <f t="shared" si="3"/>
        <v>0</v>
      </c>
      <c r="K934" s="71">
        <f t="shared" si="4"/>
        <v>0</v>
      </c>
      <c r="L934" s="10" t="str">
        <f>IFERROR(VLOOKUP(B934,'Employees List'!$A$2:$K$991,11,0),"")</f>
        <v/>
      </c>
      <c r="M934" s="74" t="str">
        <f>IFERROR(VLOOKUP(D934,'Daily Attendance 25-26'!$A$4:BP999,5,0),"")</f>
        <v/>
      </c>
      <c r="N934" s="10" t="str">
        <f>IFERROR(VLOOKUP(E934,'Daily Attendance 25-26'!$A$1:$BO$1741,5,0),"")</f>
        <v/>
      </c>
      <c r="O934" s="10"/>
      <c r="P934" s="10"/>
      <c r="Q934" s="10" t="str">
        <f t="shared" si="5"/>
        <v>#DIV/0!</v>
      </c>
      <c r="R934" s="10" t="str">
        <f t="shared" si="6"/>
        <v>#DIV/0!</v>
      </c>
      <c r="S934" s="10" t="str">
        <f t="shared" si="23"/>
        <v>#DIV/0!</v>
      </c>
      <c r="T934" s="10" t="str">
        <f t="shared" si="22"/>
        <v>#DIV/0!</v>
      </c>
      <c r="U934" s="10" t="str">
        <f t="shared" si="8"/>
        <v>#DIV/0!</v>
      </c>
      <c r="V934" s="10"/>
      <c r="W934" s="10"/>
      <c r="X934" s="10"/>
      <c r="Y934" s="10"/>
      <c r="Z934" s="10"/>
      <c r="AA934" s="10"/>
      <c r="AB934" s="10"/>
      <c r="AC934" s="10"/>
      <c r="AD934" s="10"/>
      <c r="AE934" s="10"/>
      <c r="AF934" s="10"/>
    </row>
    <row r="935" hidden="1">
      <c r="A935" s="9" t="s">
        <v>1152</v>
      </c>
      <c r="B935" s="84"/>
      <c r="C935" s="9"/>
      <c r="D935" s="9" t="str">
        <f t="shared" si="1"/>
        <v/>
      </c>
      <c r="E935" s="10" t="str">
        <f t="shared" si="2"/>
        <v>OT Hours</v>
      </c>
      <c r="F935" s="10" t="str">
        <f>IFERROR(VLOOKUP(C935,'Employees List'!$B$1:$I$999,4,0),"")</f>
        <v/>
      </c>
      <c r="G935" s="10" t="str">
        <f t="shared" si="21"/>
        <v>#DIV/0!</v>
      </c>
      <c r="H935" s="72" t="str">
        <f>IFERROR(VLOOKUP(C935,'Employees List'!$B$2:$I$991,7,0),"")</f>
        <v/>
      </c>
      <c r="I935" s="73" t="str">
        <f>IFERROR(VLOOKUP(F935,'Employees List'!$E$1:$AE$991,6,0),"")</f>
        <v/>
      </c>
      <c r="J935" s="71">
        <f t="shared" si="3"/>
        <v>0</v>
      </c>
      <c r="K935" s="71">
        <f t="shared" si="4"/>
        <v>0</v>
      </c>
      <c r="L935" s="10" t="str">
        <f>IFERROR(VLOOKUP(B935,'Employees List'!$A$2:$K$991,11,0),"")</f>
        <v/>
      </c>
      <c r="M935" s="74" t="str">
        <f>IFERROR(VLOOKUP(D935,'Daily Attendance 25-26'!$A$4:BP999,5,0),"")</f>
        <v/>
      </c>
      <c r="N935" s="10" t="str">
        <f>IFERROR(VLOOKUP(E935,'Daily Attendance 25-26'!$A$1:$BO$1741,5,0),"")</f>
        <v/>
      </c>
      <c r="O935" s="10"/>
      <c r="P935" s="10"/>
      <c r="Q935" s="10" t="str">
        <f t="shared" si="5"/>
        <v>#DIV/0!</v>
      </c>
      <c r="R935" s="10" t="str">
        <f t="shared" si="6"/>
        <v>#DIV/0!</v>
      </c>
      <c r="S935" s="10" t="str">
        <f t="shared" si="23"/>
        <v>#DIV/0!</v>
      </c>
      <c r="T935" s="10" t="str">
        <f t="shared" si="22"/>
        <v>#DIV/0!</v>
      </c>
      <c r="U935" s="10" t="str">
        <f t="shared" si="8"/>
        <v>#DIV/0!</v>
      </c>
      <c r="V935" s="10"/>
      <c r="W935" s="10"/>
      <c r="X935" s="10"/>
      <c r="Y935" s="10"/>
      <c r="Z935" s="10"/>
      <c r="AA935" s="10"/>
      <c r="AB935" s="10"/>
      <c r="AC935" s="10"/>
      <c r="AD935" s="10"/>
      <c r="AE935" s="10"/>
      <c r="AF935" s="10"/>
    </row>
    <row r="936" hidden="1">
      <c r="A936" s="9" t="s">
        <v>1153</v>
      </c>
      <c r="B936" s="84"/>
      <c r="C936" s="9"/>
      <c r="D936" s="9" t="str">
        <f t="shared" si="1"/>
        <v/>
      </c>
      <c r="E936" s="10" t="str">
        <f t="shared" si="2"/>
        <v>OT Hours</v>
      </c>
      <c r="F936" s="10" t="str">
        <f>IFERROR(VLOOKUP(C936,'Employees List'!$B$1:$I$999,4,0),"")</f>
        <v/>
      </c>
      <c r="G936" s="10" t="str">
        <f t="shared" si="21"/>
        <v>#DIV/0!</v>
      </c>
      <c r="H936" s="72" t="str">
        <f>IFERROR(VLOOKUP(C936,'Employees List'!$B$2:$I$991,7,0),"")</f>
        <v/>
      </c>
      <c r="I936" s="73" t="str">
        <f>IFERROR(VLOOKUP(F936,'Employees List'!$E$1:$AE$991,6,0),"")</f>
        <v/>
      </c>
      <c r="J936" s="71">
        <f t="shared" si="3"/>
        <v>0</v>
      </c>
      <c r="K936" s="71">
        <f t="shared" si="4"/>
        <v>0</v>
      </c>
      <c r="L936" s="10" t="str">
        <f>IFERROR(VLOOKUP(B936,'Employees List'!$A$2:$K$991,11,0),"")</f>
        <v/>
      </c>
      <c r="M936" s="74" t="str">
        <f>IFERROR(VLOOKUP(D936,'Daily Attendance 25-26'!$A$4:BP999,5,0),"")</f>
        <v/>
      </c>
      <c r="N936" s="10" t="str">
        <f>IFERROR(VLOOKUP(E936,'Daily Attendance 25-26'!$A$1:$BO$1741,5,0),"")</f>
        <v/>
      </c>
      <c r="O936" s="10"/>
      <c r="P936" s="10"/>
      <c r="Q936" s="10" t="str">
        <f t="shared" si="5"/>
        <v>#DIV/0!</v>
      </c>
      <c r="R936" s="10" t="str">
        <f t="shared" si="6"/>
        <v>#DIV/0!</v>
      </c>
      <c r="S936" s="10" t="str">
        <f t="shared" si="23"/>
        <v>#DIV/0!</v>
      </c>
      <c r="T936" s="10" t="str">
        <f t="shared" si="22"/>
        <v>#DIV/0!</v>
      </c>
      <c r="U936" s="10" t="str">
        <f t="shared" si="8"/>
        <v>#DIV/0!</v>
      </c>
      <c r="V936" s="10"/>
      <c r="W936" s="10"/>
      <c r="X936" s="10"/>
      <c r="Y936" s="10"/>
      <c r="Z936" s="10"/>
      <c r="AA936" s="10"/>
      <c r="AB936" s="10"/>
      <c r="AC936" s="10"/>
      <c r="AD936" s="10"/>
      <c r="AE936" s="10"/>
      <c r="AF936" s="10"/>
    </row>
    <row r="937" hidden="1">
      <c r="A937" s="9" t="s">
        <v>1154</v>
      </c>
      <c r="B937" s="84"/>
      <c r="C937" s="9"/>
      <c r="D937" s="9" t="str">
        <f t="shared" si="1"/>
        <v/>
      </c>
      <c r="E937" s="10" t="str">
        <f t="shared" si="2"/>
        <v>OT Hours</v>
      </c>
      <c r="F937" s="10" t="str">
        <f>IFERROR(VLOOKUP(C937,'Employees List'!$B$1:$I$999,4,0),"")</f>
        <v/>
      </c>
      <c r="G937" s="10" t="str">
        <f t="shared" si="21"/>
        <v>#DIV/0!</v>
      </c>
      <c r="H937" s="72" t="str">
        <f>IFERROR(VLOOKUP(C937,'Employees List'!$B$2:$I$991,7,0),"")</f>
        <v/>
      </c>
      <c r="I937" s="73" t="str">
        <f>IFERROR(VLOOKUP(F937,'Employees List'!$E$1:$AE$991,6,0),"")</f>
        <v/>
      </c>
      <c r="J937" s="71">
        <f t="shared" si="3"/>
        <v>0</v>
      </c>
      <c r="K937" s="71">
        <f t="shared" si="4"/>
        <v>0</v>
      </c>
      <c r="L937" s="10" t="str">
        <f>IFERROR(VLOOKUP(B937,'Employees List'!$A$2:$K$991,11,0),"")</f>
        <v/>
      </c>
      <c r="M937" s="74" t="str">
        <f>IFERROR(VLOOKUP(D937,'Daily Attendance 25-26'!$A$4:BP999,5,0),"")</f>
        <v/>
      </c>
      <c r="N937" s="10" t="str">
        <f>IFERROR(VLOOKUP(E937,'Daily Attendance 25-26'!$A$1:$BO$1741,5,0),"")</f>
        <v/>
      </c>
      <c r="O937" s="10"/>
      <c r="P937" s="10"/>
      <c r="Q937" s="10" t="str">
        <f t="shared" si="5"/>
        <v>#DIV/0!</v>
      </c>
      <c r="R937" s="10" t="str">
        <f t="shared" si="6"/>
        <v>#DIV/0!</v>
      </c>
      <c r="S937" s="10" t="str">
        <f t="shared" si="23"/>
        <v>#DIV/0!</v>
      </c>
      <c r="T937" s="10" t="str">
        <f t="shared" si="22"/>
        <v>#DIV/0!</v>
      </c>
      <c r="U937" s="10" t="str">
        <f t="shared" si="8"/>
        <v>#DIV/0!</v>
      </c>
      <c r="V937" s="10"/>
      <c r="W937" s="10"/>
      <c r="X937" s="10"/>
      <c r="Y937" s="10"/>
      <c r="Z937" s="10"/>
      <c r="AA937" s="10"/>
      <c r="AB937" s="10"/>
      <c r="AC937" s="10"/>
      <c r="AD937" s="10"/>
      <c r="AE937" s="10"/>
      <c r="AF937" s="10"/>
    </row>
    <row r="938" hidden="1">
      <c r="A938" s="9" t="s">
        <v>1155</v>
      </c>
      <c r="B938" s="84"/>
      <c r="C938" s="9"/>
      <c r="D938" s="9" t="str">
        <f t="shared" si="1"/>
        <v/>
      </c>
      <c r="E938" s="10" t="str">
        <f t="shared" si="2"/>
        <v>OT Hours</v>
      </c>
      <c r="F938" s="10" t="str">
        <f>IFERROR(VLOOKUP(C938,'Employees List'!$B$1:$I$999,4,0),"")</f>
        <v/>
      </c>
      <c r="G938" s="10" t="str">
        <f t="shared" si="21"/>
        <v>#DIV/0!</v>
      </c>
      <c r="H938" s="72" t="str">
        <f>IFERROR(VLOOKUP(C938,'Employees List'!$B$2:$I$991,7,0),"")</f>
        <v/>
      </c>
      <c r="I938" s="73" t="str">
        <f>IFERROR(VLOOKUP(F938,'Employees List'!$E$1:$AE$991,6,0),"")</f>
        <v/>
      </c>
      <c r="J938" s="71">
        <f t="shared" si="3"/>
        <v>0</v>
      </c>
      <c r="K938" s="71">
        <f t="shared" si="4"/>
        <v>0</v>
      </c>
      <c r="L938" s="10" t="str">
        <f>IFERROR(VLOOKUP(B938,'Employees List'!$A$2:$K$991,11,0),"")</f>
        <v/>
      </c>
      <c r="M938" s="74" t="str">
        <f>IFERROR(VLOOKUP(D938,'Daily Attendance 25-26'!$A$4:BP999,5,0),"")</f>
        <v/>
      </c>
      <c r="N938" s="10" t="str">
        <f>IFERROR(VLOOKUP(E938,'Daily Attendance 25-26'!$A$1:$BO$1741,5,0),"")</f>
        <v/>
      </c>
      <c r="O938" s="10"/>
      <c r="P938" s="10"/>
      <c r="Q938" s="10" t="str">
        <f t="shared" si="5"/>
        <v>#DIV/0!</v>
      </c>
      <c r="R938" s="10" t="str">
        <f t="shared" si="6"/>
        <v>#DIV/0!</v>
      </c>
      <c r="S938" s="10" t="str">
        <f t="shared" si="23"/>
        <v>#DIV/0!</v>
      </c>
      <c r="T938" s="10" t="str">
        <f t="shared" si="22"/>
        <v>#DIV/0!</v>
      </c>
      <c r="U938" s="10" t="str">
        <f t="shared" si="8"/>
        <v>#DIV/0!</v>
      </c>
      <c r="V938" s="10"/>
      <c r="W938" s="10"/>
      <c r="X938" s="10"/>
      <c r="Y938" s="10"/>
      <c r="Z938" s="10"/>
      <c r="AA938" s="10"/>
      <c r="AB938" s="10"/>
      <c r="AC938" s="10"/>
      <c r="AD938" s="10"/>
      <c r="AE938" s="10"/>
      <c r="AF938" s="10"/>
    </row>
    <row r="939" hidden="1">
      <c r="A939" s="9" t="s">
        <v>1156</v>
      </c>
      <c r="B939" s="84"/>
      <c r="C939" s="9"/>
      <c r="D939" s="9" t="str">
        <f t="shared" si="1"/>
        <v/>
      </c>
      <c r="E939" s="10" t="str">
        <f t="shared" si="2"/>
        <v>OT Hours</v>
      </c>
      <c r="F939" s="10" t="str">
        <f>IFERROR(VLOOKUP(C939,'Employees List'!$B$1:$I$999,4,0),"")</f>
        <v/>
      </c>
      <c r="G939" s="10" t="str">
        <f t="shared" si="21"/>
        <v>#DIV/0!</v>
      </c>
      <c r="H939" s="72" t="str">
        <f>IFERROR(VLOOKUP(C939,'Employees List'!$B$2:$I$991,7,0),"")</f>
        <v/>
      </c>
      <c r="I939" s="73" t="str">
        <f>IFERROR(VLOOKUP(F939,'Employees List'!$E$1:$AE$991,6,0),"")</f>
        <v/>
      </c>
      <c r="J939" s="71">
        <f t="shared" si="3"/>
        <v>0</v>
      </c>
      <c r="K939" s="71">
        <f t="shared" si="4"/>
        <v>0</v>
      </c>
      <c r="L939" s="10" t="str">
        <f>IFERROR(VLOOKUP(B939,'Employees List'!$A$2:$K$991,11,0),"")</f>
        <v/>
      </c>
      <c r="M939" s="74" t="str">
        <f>IFERROR(VLOOKUP(D939,'Daily Attendance 25-26'!$A$4:BP999,5,0),"")</f>
        <v/>
      </c>
      <c r="N939" s="10" t="str">
        <f>IFERROR(VLOOKUP(E939,'Daily Attendance 25-26'!$A$1:$BO$1741,5,0),"")</f>
        <v/>
      </c>
      <c r="O939" s="10"/>
      <c r="P939" s="10"/>
      <c r="Q939" s="10" t="str">
        <f t="shared" si="5"/>
        <v>#DIV/0!</v>
      </c>
      <c r="R939" s="10" t="str">
        <f t="shared" si="6"/>
        <v>#DIV/0!</v>
      </c>
      <c r="S939" s="10" t="str">
        <f t="shared" si="23"/>
        <v>#DIV/0!</v>
      </c>
      <c r="T939" s="10" t="str">
        <f t="shared" si="22"/>
        <v>#DIV/0!</v>
      </c>
      <c r="U939" s="10" t="str">
        <f t="shared" si="8"/>
        <v>#DIV/0!</v>
      </c>
      <c r="V939" s="10"/>
      <c r="W939" s="10"/>
      <c r="X939" s="10"/>
      <c r="Y939" s="10"/>
      <c r="Z939" s="10"/>
      <c r="AA939" s="10"/>
      <c r="AB939" s="10"/>
      <c r="AC939" s="10"/>
      <c r="AD939" s="10"/>
      <c r="AE939" s="10"/>
      <c r="AF939" s="10"/>
    </row>
    <row r="940" hidden="1">
      <c r="A940" s="9" t="s">
        <v>1157</v>
      </c>
      <c r="B940" s="84"/>
      <c r="C940" s="9"/>
      <c r="D940" s="9" t="str">
        <f t="shared" si="1"/>
        <v/>
      </c>
      <c r="E940" s="10" t="str">
        <f t="shared" si="2"/>
        <v>OT Hours</v>
      </c>
      <c r="F940" s="10" t="str">
        <f>IFERROR(VLOOKUP(C940,'Employees List'!$B$1:$I$999,4,0),"")</f>
        <v/>
      </c>
      <c r="G940" s="10" t="str">
        <f t="shared" si="21"/>
        <v>#DIV/0!</v>
      </c>
      <c r="H940" s="72" t="str">
        <f>IFERROR(VLOOKUP(C940,'Employees List'!$B$2:$I$991,7,0),"")</f>
        <v/>
      </c>
      <c r="I940" s="73" t="str">
        <f>IFERROR(VLOOKUP(F940,'Employees List'!$E$1:$AE$991,6,0),"")</f>
        <v/>
      </c>
      <c r="J940" s="71">
        <f t="shared" si="3"/>
        <v>0</v>
      </c>
      <c r="K940" s="71">
        <f t="shared" si="4"/>
        <v>0</v>
      </c>
      <c r="L940" s="10" t="str">
        <f>IFERROR(VLOOKUP(B940,'Employees List'!$A$2:$K$991,11,0),"")</f>
        <v/>
      </c>
      <c r="M940" s="74" t="str">
        <f>IFERROR(VLOOKUP(D940,'Daily Attendance 25-26'!$A$4:BP999,5,0),"")</f>
        <v/>
      </c>
      <c r="N940" s="10" t="str">
        <f>IFERROR(VLOOKUP(E940,'Daily Attendance 25-26'!$A$1:$BO$1741,5,0),"")</f>
        <v/>
      </c>
      <c r="O940" s="10"/>
      <c r="P940" s="10"/>
      <c r="Q940" s="10" t="str">
        <f t="shared" si="5"/>
        <v>#DIV/0!</v>
      </c>
      <c r="R940" s="10" t="str">
        <f t="shared" si="6"/>
        <v>#DIV/0!</v>
      </c>
      <c r="S940" s="10" t="str">
        <f t="shared" si="23"/>
        <v>#DIV/0!</v>
      </c>
      <c r="T940" s="10" t="str">
        <f t="shared" si="22"/>
        <v>#DIV/0!</v>
      </c>
      <c r="U940" s="10" t="str">
        <f t="shared" si="8"/>
        <v>#DIV/0!</v>
      </c>
      <c r="V940" s="10"/>
      <c r="W940" s="10"/>
      <c r="X940" s="10"/>
      <c r="Y940" s="10"/>
      <c r="Z940" s="10"/>
      <c r="AA940" s="10"/>
      <c r="AB940" s="10"/>
      <c r="AC940" s="10"/>
      <c r="AD940" s="10"/>
      <c r="AE940" s="10"/>
      <c r="AF940" s="10"/>
    </row>
    <row r="941" hidden="1">
      <c r="A941" s="9" t="s">
        <v>1158</v>
      </c>
      <c r="B941" s="84"/>
      <c r="C941" s="9"/>
      <c r="D941" s="9" t="str">
        <f t="shared" si="1"/>
        <v/>
      </c>
      <c r="E941" s="10" t="str">
        <f t="shared" si="2"/>
        <v>OT Hours</v>
      </c>
      <c r="F941" s="10" t="str">
        <f>IFERROR(VLOOKUP(C941,'Employees List'!$B$1:$I$999,4,0),"")</f>
        <v/>
      </c>
      <c r="G941" s="10" t="str">
        <f t="shared" si="21"/>
        <v>#DIV/0!</v>
      </c>
      <c r="H941" s="72" t="str">
        <f>IFERROR(VLOOKUP(C941,'Employees List'!$B$2:$I$991,7,0),"")</f>
        <v/>
      </c>
      <c r="I941" s="73" t="str">
        <f>IFERROR(VLOOKUP(F941,'Employees List'!$E$1:$AE$991,6,0),"")</f>
        <v/>
      </c>
      <c r="J941" s="71">
        <f t="shared" si="3"/>
        <v>0</v>
      </c>
      <c r="K941" s="71">
        <f t="shared" si="4"/>
        <v>0</v>
      </c>
      <c r="L941" s="10" t="str">
        <f>IFERROR(VLOOKUP(B941,'Employees List'!$A$2:$K$991,11,0),"")</f>
        <v/>
      </c>
      <c r="M941" s="74" t="str">
        <f>IFERROR(VLOOKUP(D941,'Daily Attendance 25-26'!$A$4:BP999,5,0),"")</f>
        <v/>
      </c>
      <c r="N941" s="10" t="str">
        <f>IFERROR(VLOOKUP(E941,'Daily Attendance 25-26'!$A$1:$BO$1741,5,0),"")</f>
        <v/>
      </c>
      <c r="O941" s="10"/>
      <c r="P941" s="10"/>
      <c r="Q941" s="10" t="str">
        <f t="shared" si="5"/>
        <v>#DIV/0!</v>
      </c>
      <c r="R941" s="10" t="str">
        <f t="shared" si="6"/>
        <v>#DIV/0!</v>
      </c>
      <c r="S941" s="10" t="str">
        <f t="shared" si="23"/>
        <v>#DIV/0!</v>
      </c>
      <c r="T941" s="10" t="str">
        <f t="shared" si="22"/>
        <v>#DIV/0!</v>
      </c>
      <c r="U941" s="10" t="str">
        <f t="shared" si="8"/>
        <v>#DIV/0!</v>
      </c>
      <c r="V941" s="10"/>
      <c r="W941" s="10"/>
      <c r="X941" s="10"/>
      <c r="Y941" s="10"/>
      <c r="Z941" s="10"/>
      <c r="AA941" s="10"/>
      <c r="AB941" s="10"/>
      <c r="AC941" s="10"/>
      <c r="AD941" s="10"/>
      <c r="AE941" s="10"/>
      <c r="AF941" s="10"/>
    </row>
    <row r="942" hidden="1">
      <c r="A942" s="9" t="s">
        <v>1159</v>
      </c>
      <c r="B942" s="84"/>
      <c r="C942" s="9"/>
      <c r="D942" s="9" t="str">
        <f t="shared" si="1"/>
        <v/>
      </c>
      <c r="E942" s="10" t="str">
        <f t="shared" si="2"/>
        <v>OT Hours</v>
      </c>
      <c r="F942" s="10" t="str">
        <f>IFERROR(VLOOKUP(C942,'Employees List'!$B$1:$I$999,4,0),"")</f>
        <v/>
      </c>
      <c r="G942" s="10" t="str">
        <f t="shared" si="21"/>
        <v>#DIV/0!</v>
      </c>
      <c r="H942" s="72" t="str">
        <f>IFERROR(VLOOKUP(C942,'Employees List'!$B$2:$I$991,7,0),"")</f>
        <v/>
      </c>
      <c r="I942" s="73" t="str">
        <f>IFERROR(VLOOKUP(F942,'Employees List'!$E$1:$AE$991,6,0),"")</f>
        <v/>
      </c>
      <c r="J942" s="71">
        <f t="shared" si="3"/>
        <v>0</v>
      </c>
      <c r="K942" s="71">
        <f t="shared" si="4"/>
        <v>0</v>
      </c>
      <c r="L942" s="10" t="str">
        <f>IFERROR(VLOOKUP(B942,'Employees List'!$A$2:$K$991,11,0),"")</f>
        <v/>
      </c>
      <c r="M942" s="74" t="str">
        <f>IFERROR(VLOOKUP(D942,'Daily Attendance 25-26'!$A$4:BP999,5,0),"")</f>
        <v/>
      </c>
      <c r="N942" s="10" t="str">
        <f>IFERROR(VLOOKUP(E942,'Daily Attendance 25-26'!$A$1:$BO$1741,5,0),"")</f>
        <v/>
      </c>
      <c r="O942" s="10"/>
      <c r="P942" s="10"/>
      <c r="Q942" s="10" t="str">
        <f t="shared" si="5"/>
        <v>#DIV/0!</v>
      </c>
      <c r="R942" s="10" t="str">
        <f t="shared" si="6"/>
        <v>#DIV/0!</v>
      </c>
      <c r="S942" s="10" t="str">
        <f t="shared" si="23"/>
        <v>#DIV/0!</v>
      </c>
      <c r="T942" s="10" t="str">
        <f t="shared" si="22"/>
        <v>#DIV/0!</v>
      </c>
      <c r="U942" s="10" t="str">
        <f t="shared" si="8"/>
        <v>#DIV/0!</v>
      </c>
      <c r="V942" s="10"/>
      <c r="W942" s="10"/>
      <c r="X942" s="10"/>
      <c r="Y942" s="10"/>
      <c r="Z942" s="10"/>
      <c r="AA942" s="10"/>
      <c r="AB942" s="10"/>
      <c r="AC942" s="10"/>
      <c r="AD942" s="10"/>
      <c r="AE942" s="10"/>
      <c r="AF942" s="10"/>
    </row>
    <row r="943" hidden="1">
      <c r="A943" s="9" t="s">
        <v>1160</v>
      </c>
      <c r="B943" s="84"/>
      <c r="C943" s="9"/>
      <c r="D943" s="9" t="str">
        <f t="shared" si="1"/>
        <v/>
      </c>
      <c r="E943" s="10" t="str">
        <f t="shared" si="2"/>
        <v>OT Hours</v>
      </c>
      <c r="F943" s="10" t="str">
        <f>IFERROR(VLOOKUP(C943,'Employees List'!$B$1:$I$999,4,0),"")</f>
        <v/>
      </c>
      <c r="G943" s="10" t="str">
        <f t="shared" si="21"/>
        <v>#DIV/0!</v>
      </c>
      <c r="H943" s="72" t="str">
        <f>IFERROR(VLOOKUP(C943,'Employees List'!$B$2:$I$991,7,0),"")</f>
        <v/>
      </c>
      <c r="I943" s="73" t="str">
        <f>IFERROR(VLOOKUP(F943,'Employees List'!$E$1:$AE$991,6,0),"")</f>
        <v/>
      </c>
      <c r="J943" s="71">
        <f t="shared" si="3"/>
        <v>0</v>
      </c>
      <c r="K943" s="71">
        <f t="shared" si="4"/>
        <v>0</v>
      </c>
      <c r="L943" s="10" t="str">
        <f>IFERROR(VLOOKUP(B943,'Employees List'!$A$2:$K$991,11,0),"")</f>
        <v/>
      </c>
      <c r="M943" s="74" t="str">
        <f>IFERROR(VLOOKUP(D943,'Daily Attendance 25-26'!$A$4:BP999,5,0),"")</f>
        <v/>
      </c>
      <c r="N943" s="10" t="str">
        <f>IFERROR(VLOOKUP(E943,'Daily Attendance 25-26'!$A$1:$BO$1741,5,0),"")</f>
        <v/>
      </c>
      <c r="O943" s="10"/>
      <c r="P943" s="10"/>
      <c r="Q943" s="10" t="str">
        <f t="shared" si="5"/>
        <v>#DIV/0!</v>
      </c>
      <c r="R943" s="10" t="str">
        <f t="shared" si="6"/>
        <v>#DIV/0!</v>
      </c>
      <c r="S943" s="10" t="str">
        <f t="shared" si="23"/>
        <v>#DIV/0!</v>
      </c>
      <c r="T943" s="10" t="str">
        <f t="shared" si="22"/>
        <v>#DIV/0!</v>
      </c>
      <c r="U943" s="10" t="str">
        <f t="shared" si="8"/>
        <v>#DIV/0!</v>
      </c>
      <c r="V943" s="10"/>
      <c r="W943" s="10"/>
      <c r="X943" s="10"/>
      <c r="Y943" s="10"/>
      <c r="Z943" s="10"/>
      <c r="AA943" s="10"/>
      <c r="AB943" s="10"/>
      <c r="AC943" s="10"/>
      <c r="AD943" s="10"/>
      <c r="AE943" s="10"/>
      <c r="AF943" s="10"/>
    </row>
    <row r="944" hidden="1">
      <c r="A944" s="9" t="s">
        <v>1161</v>
      </c>
      <c r="B944" s="84"/>
      <c r="C944" s="9"/>
      <c r="D944" s="9" t="str">
        <f t="shared" si="1"/>
        <v/>
      </c>
      <c r="E944" s="10" t="str">
        <f t="shared" si="2"/>
        <v>OT Hours</v>
      </c>
      <c r="F944" s="10" t="str">
        <f>IFERROR(VLOOKUP(C944,'Employees List'!$B$1:$I$999,4,0),"")</f>
        <v/>
      </c>
      <c r="G944" s="10" t="str">
        <f t="shared" si="21"/>
        <v>#DIV/0!</v>
      </c>
      <c r="H944" s="72" t="str">
        <f>IFERROR(VLOOKUP(C944,'Employees List'!$B$2:$I$991,7,0),"")</f>
        <v/>
      </c>
      <c r="I944" s="73" t="str">
        <f>IFERROR(VLOOKUP(F944,'Employees List'!$E$1:$AE$991,6,0),"")</f>
        <v/>
      </c>
      <c r="J944" s="71">
        <f t="shared" si="3"/>
        <v>0</v>
      </c>
      <c r="K944" s="71">
        <f t="shared" si="4"/>
        <v>0</v>
      </c>
      <c r="L944" s="10" t="str">
        <f>IFERROR(VLOOKUP(B944,'Employees List'!$A$2:$K$991,11,0),"")</f>
        <v/>
      </c>
      <c r="M944" s="74" t="str">
        <f>IFERROR(VLOOKUP(D944,'Daily Attendance 25-26'!$A$4:BP999,5,0),"")</f>
        <v/>
      </c>
      <c r="N944" s="10" t="str">
        <f>IFERROR(VLOOKUP(E944,'Daily Attendance 25-26'!$A$1:$BO$1741,5,0),"")</f>
        <v/>
      </c>
      <c r="O944" s="10"/>
      <c r="P944" s="10"/>
      <c r="Q944" s="10" t="str">
        <f t="shared" si="5"/>
        <v>#DIV/0!</v>
      </c>
      <c r="R944" s="10" t="str">
        <f t="shared" si="6"/>
        <v>#DIV/0!</v>
      </c>
      <c r="S944" s="10" t="str">
        <f t="shared" si="23"/>
        <v>#DIV/0!</v>
      </c>
      <c r="T944" s="10" t="str">
        <f t="shared" si="22"/>
        <v>#DIV/0!</v>
      </c>
      <c r="U944" s="10" t="str">
        <f t="shared" si="8"/>
        <v>#DIV/0!</v>
      </c>
      <c r="V944" s="10"/>
      <c r="W944" s="10"/>
      <c r="X944" s="10"/>
      <c r="Y944" s="10"/>
      <c r="Z944" s="10"/>
      <c r="AA944" s="10"/>
      <c r="AB944" s="10"/>
      <c r="AC944" s="10"/>
      <c r="AD944" s="10"/>
      <c r="AE944" s="10"/>
      <c r="AF944" s="10"/>
    </row>
    <row r="945" hidden="1">
      <c r="A945" s="9" t="s">
        <v>1162</v>
      </c>
      <c r="B945" s="84"/>
      <c r="C945" s="9"/>
      <c r="D945" s="9" t="str">
        <f t="shared" si="1"/>
        <v/>
      </c>
      <c r="E945" s="10" t="str">
        <f t="shared" si="2"/>
        <v>OT Hours</v>
      </c>
      <c r="F945" s="10" t="str">
        <f>IFERROR(VLOOKUP(C945,'Employees List'!$B$1:$I$999,4,0),"")</f>
        <v/>
      </c>
      <c r="G945" s="10" t="str">
        <f t="shared" si="21"/>
        <v>#DIV/0!</v>
      </c>
      <c r="H945" s="72" t="str">
        <f>IFERROR(VLOOKUP(C945,'Employees List'!$B$2:$I$991,7,0),"")</f>
        <v/>
      </c>
      <c r="I945" s="73" t="str">
        <f>IFERROR(VLOOKUP(F945,'Employees List'!$E$1:$AE$991,6,0),"")</f>
        <v/>
      </c>
      <c r="J945" s="71">
        <f t="shared" si="3"/>
        <v>0</v>
      </c>
      <c r="K945" s="71">
        <f t="shared" si="4"/>
        <v>0</v>
      </c>
      <c r="L945" s="10" t="str">
        <f>IFERROR(VLOOKUP(B945,'Employees List'!$A$2:$K$991,11,0),"")</f>
        <v/>
      </c>
      <c r="M945" s="74" t="str">
        <f>IFERROR(VLOOKUP(D945,'Daily Attendance 25-26'!$A$4:BP999,5,0),"")</f>
        <v/>
      </c>
      <c r="N945" s="10" t="str">
        <f>IFERROR(VLOOKUP(E945,'Daily Attendance 25-26'!$A$1:$BO$1741,5,0),"")</f>
        <v/>
      </c>
      <c r="O945" s="10"/>
      <c r="P945" s="10"/>
      <c r="Q945" s="10" t="str">
        <f t="shared" si="5"/>
        <v>#DIV/0!</v>
      </c>
      <c r="R945" s="10" t="str">
        <f t="shared" si="6"/>
        <v>#DIV/0!</v>
      </c>
      <c r="S945" s="10" t="str">
        <f t="shared" si="23"/>
        <v>#DIV/0!</v>
      </c>
      <c r="T945" s="10" t="str">
        <f t="shared" si="22"/>
        <v>#DIV/0!</v>
      </c>
      <c r="U945" s="10" t="str">
        <f t="shared" si="8"/>
        <v>#DIV/0!</v>
      </c>
      <c r="V945" s="10"/>
      <c r="W945" s="10"/>
      <c r="X945" s="10"/>
      <c r="Y945" s="10"/>
      <c r="Z945" s="10"/>
      <c r="AA945" s="10"/>
      <c r="AB945" s="10"/>
      <c r="AC945" s="10"/>
      <c r="AD945" s="10"/>
      <c r="AE945" s="10"/>
      <c r="AF945" s="10"/>
    </row>
    <row r="946" hidden="1">
      <c r="A946" s="9" t="s">
        <v>1163</v>
      </c>
      <c r="B946" s="84"/>
      <c r="C946" s="9"/>
      <c r="D946" s="9" t="str">
        <f t="shared" si="1"/>
        <v/>
      </c>
      <c r="E946" s="10" t="str">
        <f t="shared" si="2"/>
        <v>OT Hours</v>
      </c>
      <c r="F946" s="10" t="str">
        <f>IFERROR(VLOOKUP(C946,'Employees List'!$B$1:$I$999,4,0),"")</f>
        <v/>
      </c>
      <c r="G946" s="10" t="str">
        <f t="shared" si="21"/>
        <v>#DIV/0!</v>
      </c>
      <c r="H946" s="72" t="str">
        <f>IFERROR(VLOOKUP(C946,'Employees List'!$B$2:$I$991,7,0),"")</f>
        <v/>
      </c>
      <c r="I946" s="73" t="str">
        <f>IFERROR(VLOOKUP(F946,'Employees List'!$E$1:$AE$991,6,0),"")</f>
        <v/>
      </c>
      <c r="J946" s="71">
        <f t="shared" si="3"/>
        <v>0</v>
      </c>
      <c r="K946" s="71">
        <f t="shared" si="4"/>
        <v>0</v>
      </c>
      <c r="L946" s="10" t="str">
        <f>IFERROR(VLOOKUP(B946,'Employees List'!$A$2:$K$991,11,0),"")</f>
        <v/>
      </c>
      <c r="M946" s="74" t="str">
        <f>IFERROR(VLOOKUP(D946,'Daily Attendance 25-26'!$A$4:BP999,5,0),"")</f>
        <v/>
      </c>
      <c r="N946" s="10" t="str">
        <f>IFERROR(VLOOKUP(E946,'Daily Attendance 25-26'!$A$1:$BO$1741,5,0),"")</f>
        <v/>
      </c>
      <c r="O946" s="10"/>
      <c r="P946" s="10"/>
      <c r="Q946" s="10" t="str">
        <f t="shared" si="5"/>
        <v>#DIV/0!</v>
      </c>
      <c r="R946" s="10" t="str">
        <f t="shared" si="6"/>
        <v>#DIV/0!</v>
      </c>
      <c r="S946" s="10" t="str">
        <f t="shared" si="23"/>
        <v>#DIV/0!</v>
      </c>
      <c r="T946" s="10" t="str">
        <f t="shared" si="22"/>
        <v>#DIV/0!</v>
      </c>
      <c r="U946" s="10" t="str">
        <f t="shared" si="8"/>
        <v>#DIV/0!</v>
      </c>
      <c r="V946" s="10"/>
      <c r="W946" s="10"/>
      <c r="X946" s="10"/>
      <c r="Y946" s="10"/>
      <c r="Z946" s="10"/>
      <c r="AA946" s="10"/>
      <c r="AB946" s="10"/>
      <c r="AC946" s="10"/>
      <c r="AD946" s="10"/>
      <c r="AE946" s="10"/>
      <c r="AF946" s="10"/>
    </row>
    <row r="947" hidden="1">
      <c r="A947" s="9" t="s">
        <v>1164</v>
      </c>
      <c r="B947" s="84"/>
      <c r="C947" s="9"/>
      <c r="D947" s="9" t="str">
        <f t="shared" si="1"/>
        <v/>
      </c>
      <c r="E947" s="10" t="str">
        <f t="shared" si="2"/>
        <v>OT Hours</v>
      </c>
      <c r="F947" s="10" t="str">
        <f>IFERROR(VLOOKUP(C947,'Employees List'!$B$1:$I$999,4,0),"")</f>
        <v/>
      </c>
      <c r="G947" s="10" t="str">
        <f t="shared" si="21"/>
        <v>#DIV/0!</v>
      </c>
      <c r="H947" s="72" t="str">
        <f>IFERROR(VLOOKUP(C947,'Employees List'!$B$2:$I$991,7,0),"")</f>
        <v/>
      </c>
      <c r="I947" s="73" t="str">
        <f>IFERROR(VLOOKUP(F947,'Employees List'!$E$1:$AE$991,6,0),"")</f>
        <v/>
      </c>
      <c r="J947" s="71">
        <f t="shared" si="3"/>
        <v>0</v>
      </c>
      <c r="K947" s="71">
        <f t="shared" si="4"/>
        <v>0</v>
      </c>
      <c r="L947" s="10" t="str">
        <f>IFERROR(VLOOKUP(B947,'Employees List'!$A$2:$K$991,11,0),"")</f>
        <v/>
      </c>
      <c r="M947" s="74" t="str">
        <f>IFERROR(VLOOKUP(D947,'Daily Attendance 25-26'!$A$4:BP999,5,0),"")</f>
        <v/>
      </c>
      <c r="N947" s="10" t="str">
        <f>IFERROR(VLOOKUP(E947,'Daily Attendance 25-26'!$A$1:$BO$1741,5,0),"")</f>
        <v/>
      </c>
      <c r="O947" s="10"/>
      <c r="P947" s="10"/>
      <c r="Q947" s="10" t="str">
        <f t="shared" si="5"/>
        <v>#DIV/0!</v>
      </c>
      <c r="R947" s="10" t="str">
        <f t="shared" si="6"/>
        <v>#DIV/0!</v>
      </c>
      <c r="S947" s="10" t="str">
        <f t="shared" si="23"/>
        <v>#DIV/0!</v>
      </c>
      <c r="T947" s="10" t="str">
        <f t="shared" si="22"/>
        <v>#DIV/0!</v>
      </c>
      <c r="U947" s="10" t="str">
        <f t="shared" si="8"/>
        <v>#DIV/0!</v>
      </c>
      <c r="V947" s="10"/>
      <c r="W947" s="10"/>
      <c r="X947" s="10"/>
      <c r="Y947" s="10"/>
      <c r="Z947" s="10"/>
      <c r="AA947" s="10"/>
      <c r="AB947" s="10"/>
      <c r="AC947" s="10"/>
      <c r="AD947" s="10"/>
      <c r="AE947" s="10"/>
      <c r="AF947" s="10"/>
    </row>
    <row r="948" hidden="1">
      <c r="A948" s="9" t="s">
        <v>1165</v>
      </c>
      <c r="B948" s="84"/>
      <c r="C948" s="9"/>
      <c r="D948" s="9" t="str">
        <f t="shared" si="1"/>
        <v/>
      </c>
      <c r="E948" s="10" t="str">
        <f t="shared" si="2"/>
        <v>OT Hours</v>
      </c>
      <c r="F948" s="10" t="str">
        <f>IFERROR(VLOOKUP(C948,'Employees List'!$B$1:$I$999,4,0),"")</f>
        <v/>
      </c>
      <c r="G948" s="10" t="str">
        <f t="shared" si="21"/>
        <v>#DIV/0!</v>
      </c>
      <c r="H948" s="72" t="str">
        <f>IFERROR(VLOOKUP(C948,'Employees List'!$B$2:$I$991,7,0),"")</f>
        <v/>
      </c>
      <c r="I948" s="73" t="str">
        <f>IFERROR(VLOOKUP(F948,'Employees List'!$E$1:$AE$991,6,0),"")</f>
        <v/>
      </c>
      <c r="J948" s="71">
        <f t="shared" si="3"/>
        <v>0</v>
      </c>
      <c r="K948" s="71">
        <f t="shared" si="4"/>
        <v>0</v>
      </c>
      <c r="L948" s="10" t="str">
        <f>IFERROR(VLOOKUP(B948,'Employees List'!$A$2:$K$991,11,0),"")</f>
        <v/>
      </c>
      <c r="M948" s="74" t="str">
        <f>IFERROR(VLOOKUP(D948,'Daily Attendance 25-26'!$A$4:BP999,5,0),"")</f>
        <v/>
      </c>
      <c r="N948" s="10" t="str">
        <f>IFERROR(VLOOKUP(E948,'Daily Attendance 25-26'!$A$1:$BO$1741,5,0),"")</f>
        <v/>
      </c>
      <c r="O948" s="10"/>
      <c r="P948" s="10"/>
      <c r="Q948" s="10" t="str">
        <f t="shared" si="5"/>
        <v>#DIV/0!</v>
      </c>
      <c r="R948" s="10" t="str">
        <f t="shared" si="6"/>
        <v>#DIV/0!</v>
      </c>
      <c r="S948" s="10" t="str">
        <f t="shared" si="23"/>
        <v>#DIV/0!</v>
      </c>
      <c r="T948" s="10" t="str">
        <f t="shared" si="22"/>
        <v>#DIV/0!</v>
      </c>
      <c r="U948" s="10" t="str">
        <f t="shared" si="8"/>
        <v>#DIV/0!</v>
      </c>
      <c r="V948" s="10"/>
      <c r="W948" s="10"/>
      <c r="X948" s="10"/>
      <c r="Y948" s="10"/>
      <c r="Z948" s="10"/>
      <c r="AA948" s="10"/>
      <c r="AB948" s="10"/>
      <c r="AC948" s="10"/>
      <c r="AD948" s="10"/>
      <c r="AE948" s="10"/>
      <c r="AF948" s="10"/>
    </row>
    <row r="949" hidden="1">
      <c r="A949" s="9" t="s">
        <v>1166</v>
      </c>
      <c r="B949" s="84"/>
      <c r="C949" s="9"/>
      <c r="D949" s="9" t="str">
        <f t="shared" si="1"/>
        <v/>
      </c>
      <c r="E949" s="10" t="str">
        <f t="shared" si="2"/>
        <v>OT Hours</v>
      </c>
      <c r="F949" s="10" t="str">
        <f>IFERROR(VLOOKUP(C949,'Employees List'!$B$1:$I$999,4,0),"")</f>
        <v/>
      </c>
      <c r="G949" s="10" t="str">
        <f t="shared" si="21"/>
        <v>#DIV/0!</v>
      </c>
      <c r="H949" s="72" t="str">
        <f>IFERROR(VLOOKUP(C949,'Employees List'!$B$2:$I$991,7,0),"")</f>
        <v/>
      </c>
      <c r="I949" s="73" t="str">
        <f>IFERROR(VLOOKUP(F949,'Employees List'!$E$1:$AE$991,6,0),"")</f>
        <v/>
      </c>
      <c r="J949" s="71">
        <f t="shared" si="3"/>
        <v>0</v>
      </c>
      <c r="K949" s="71">
        <f t="shared" si="4"/>
        <v>0</v>
      </c>
      <c r="L949" s="10" t="str">
        <f>IFERROR(VLOOKUP(B949,'Employees List'!$A$2:$K$991,11,0),"")</f>
        <v/>
      </c>
      <c r="M949" s="74" t="str">
        <f>IFERROR(VLOOKUP(D949,'Daily Attendance 25-26'!$A$4:BP999,5,0),"")</f>
        <v/>
      </c>
      <c r="N949" s="10" t="str">
        <f>IFERROR(VLOOKUP(E949,'Daily Attendance 25-26'!$A$1:$BO$1741,5,0),"")</f>
        <v/>
      </c>
      <c r="O949" s="10"/>
      <c r="P949" s="10"/>
      <c r="Q949" s="10" t="str">
        <f t="shared" si="5"/>
        <v>#DIV/0!</v>
      </c>
      <c r="R949" s="10" t="str">
        <f t="shared" si="6"/>
        <v>#DIV/0!</v>
      </c>
      <c r="S949" s="10" t="str">
        <f t="shared" si="23"/>
        <v>#DIV/0!</v>
      </c>
      <c r="T949" s="10" t="str">
        <f t="shared" si="22"/>
        <v>#DIV/0!</v>
      </c>
      <c r="U949" s="10" t="str">
        <f t="shared" si="8"/>
        <v>#DIV/0!</v>
      </c>
      <c r="V949" s="10"/>
      <c r="W949" s="10"/>
      <c r="X949" s="10"/>
      <c r="Y949" s="10"/>
      <c r="Z949" s="10"/>
      <c r="AA949" s="10"/>
      <c r="AB949" s="10"/>
      <c r="AC949" s="10"/>
      <c r="AD949" s="10"/>
      <c r="AE949" s="10"/>
      <c r="AF949" s="10"/>
    </row>
    <row r="950" hidden="1">
      <c r="A950" s="9" t="s">
        <v>1167</v>
      </c>
      <c r="B950" s="84"/>
      <c r="C950" s="9"/>
      <c r="D950" s="9" t="str">
        <f t="shared" si="1"/>
        <v/>
      </c>
      <c r="E950" s="10" t="str">
        <f t="shared" si="2"/>
        <v>OT Hours</v>
      </c>
      <c r="F950" s="10" t="str">
        <f>IFERROR(VLOOKUP(C950,'Employees List'!$B$1:$I$999,4,0),"")</f>
        <v/>
      </c>
      <c r="G950" s="10" t="str">
        <f t="shared" si="21"/>
        <v>#DIV/0!</v>
      </c>
      <c r="H950" s="72" t="str">
        <f>IFERROR(VLOOKUP(C950,'Employees List'!$B$2:$I$991,7,0),"")</f>
        <v/>
      </c>
      <c r="I950" s="73" t="str">
        <f>IFERROR(VLOOKUP(F950,'Employees List'!$E$1:$AE$991,6,0),"")</f>
        <v/>
      </c>
      <c r="J950" s="71">
        <f t="shared" si="3"/>
        <v>0</v>
      </c>
      <c r="K950" s="71">
        <f t="shared" si="4"/>
        <v>0</v>
      </c>
      <c r="L950" s="10" t="str">
        <f>IFERROR(VLOOKUP(B950,'Employees List'!$A$2:$K$991,11,0),"")</f>
        <v/>
      </c>
      <c r="M950" s="74" t="str">
        <f>IFERROR(VLOOKUP(D950,'Daily Attendance 25-26'!$A$4:BP999,5,0),"")</f>
        <v/>
      </c>
      <c r="N950" s="10" t="str">
        <f>IFERROR(VLOOKUP(E950,'Daily Attendance 25-26'!$A$1:$BO$1741,5,0),"")</f>
        <v/>
      </c>
      <c r="O950" s="10"/>
      <c r="P950" s="10"/>
      <c r="Q950" s="10" t="str">
        <f t="shared" si="5"/>
        <v>#DIV/0!</v>
      </c>
      <c r="R950" s="10" t="str">
        <f t="shared" si="6"/>
        <v>#DIV/0!</v>
      </c>
      <c r="S950" s="10" t="str">
        <f t="shared" si="23"/>
        <v>#DIV/0!</v>
      </c>
      <c r="T950" s="10" t="str">
        <f t="shared" si="22"/>
        <v>#DIV/0!</v>
      </c>
      <c r="U950" s="10" t="str">
        <f t="shared" si="8"/>
        <v>#DIV/0!</v>
      </c>
      <c r="V950" s="10"/>
      <c r="W950" s="10"/>
      <c r="X950" s="10"/>
      <c r="Y950" s="10"/>
      <c r="Z950" s="10"/>
      <c r="AA950" s="10"/>
      <c r="AB950" s="10"/>
      <c r="AC950" s="10"/>
      <c r="AD950" s="10"/>
      <c r="AE950" s="10"/>
      <c r="AF950" s="10"/>
    </row>
    <row r="951" hidden="1">
      <c r="A951" s="9" t="s">
        <v>1168</v>
      </c>
      <c r="B951" s="84"/>
      <c r="C951" s="9"/>
      <c r="D951" s="9" t="str">
        <f t="shared" si="1"/>
        <v/>
      </c>
      <c r="E951" s="10" t="str">
        <f t="shared" si="2"/>
        <v>OT Hours</v>
      </c>
      <c r="F951" s="10" t="str">
        <f>IFERROR(VLOOKUP(C951,'Employees List'!$B$1:$I$999,4,0),"")</f>
        <v/>
      </c>
      <c r="G951" s="10" t="str">
        <f t="shared" si="21"/>
        <v>#DIV/0!</v>
      </c>
      <c r="H951" s="72" t="str">
        <f>IFERROR(VLOOKUP(C951,'Employees List'!$B$2:$I$991,7,0),"")</f>
        <v/>
      </c>
      <c r="I951" s="73" t="str">
        <f>IFERROR(VLOOKUP(F951,'Employees List'!$E$1:$AE$991,6,0),"")</f>
        <v/>
      </c>
      <c r="J951" s="71">
        <f t="shared" si="3"/>
        <v>0</v>
      </c>
      <c r="K951" s="71">
        <f t="shared" si="4"/>
        <v>0</v>
      </c>
      <c r="L951" s="10" t="str">
        <f>IFERROR(VLOOKUP(B951,'Employees List'!$A$2:$K$991,11,0),"")</f>
        <v/>
      </c>
      <c r="M951" s="74" t="str">
        <f>IFERROR(VLOOKUP(D951,'Daily Attendance 25-26'!$A$4:BP999,5,0),"")</f>
        <v/>
      </c>
      <c r="N951" s="10" t="str">
        <f>IFERROR(VLOOKUP(E951,'Daily Attendance 25-26'!$A$1:$BO$1741,5,0),"")</f>
        <v/>
      </c>
      <c r="O951" s="10"/>
      <c r="P951" s="10"/>
      <c r="Q951" s="10" t="str">
        <f t="shared" si="5"/>
        <v>#DIV/0!</v>
      </c>
      <c r="R951" s="10" t="str">
        <f t="shared" si="6"/>
        <v>#DIV/0!</v>
      </c>
      <c r="S951" s="10" t="str">
        <f t="shared" si="23"/>
        <v>#DIV/0!</v>
      </c>
      <c r="T951" s="10" t="str">
        <f t="shared" si="22"/>
        <v>#DIV/0!</v>
      </c>
      <c r="U951" s="10" t="str">
        <f t="shared" si="8"/>
        <v>#DIV/0!</v>
      </c>
      <c r="V951" s="10"/>
      <c r="W951" s="10"/>
      <c r="X951" s="10"/>
      <c r="Y951" s="10"/>
      <c r="Z951" s="10"/>
      <c r="AA951" s="10"/>
      <c r="AB951" s="10"/>
      <c r="AC951" s="10"/>
      <c r="AD951" s="10"/>
      <c r="AE951" s="10"/>
      <c r="AF951" s="10"/>
    </row>
    <row r="952" hidden="1">
      <c r="A952" s="9" t="s">
        <v>1169</v>
      </c>
      <c r="B952" s="84"/>
      <c r="C952" s="9"/>
      <c r="D952" s="9" t="str">
        <f t="shared" si="1"/>
        <v/>
      </c>
      <c r="E952" s="10" t="str">
        <f t="shared" si="2"/>
        <v>OT Hours</v>
      </c>
      <c r="F952" s="10" t="str">
        <f>IFERROR(VLOOKUP(C952,'Employees List'!$B$1:$I$999,4,0),"")</f>
        <v/>
      </c>
      <c r="G952" s="10" t="str">
        <f t="shared" si="21"/>
        <v>#DIV/0!</v>
      </c>
      <c r="H952" s="72" t="str">
        <f>IFERROR(VLOOKUP(C952,'Employees List'!$B$2:$I$991,7,0),"")</f>
        <v/>
      </c>
      <c r="I952" s="73" t="str">
        <f>IFERROR(VLOOKUP(F952,'Employees List'!$E$1:$AE$991,6,0),"")</f>
        <v/>
      </c>
      <c r="J952" s="71">
        <f t="shared" si="3"/>
        <v>0</v>
      </c>
      <c r="K952" s="71">
        <f t="shared" si="4"/>
        <v>0</v>
      </c>
      <c r="L952" s="10" t="str">
        <f>IFERROR(VLOOKUP(B952,'Employees List'!$A$2:$K$991,11,0),"")</f>
        <v/>
      </c>
      <c r="M952" s="74" t="str">
        <f>IFERROR(VLOOKUP(D952,'Daily Attendance 25-26'!$A$4:BP999,5,0),"")</f>
        <v/>
      </c>
      <c r="N952" s="10" t="str">
        <f>IFERROR(VLOOKUP(E952,'Daily Attendance 25-26'!$A$1:$BO$1741,5,0),"")</f>
        <v/>
      </c>
      <c r="O952" s="10"/>
      <c r="P952" s="10"/>
      <c r="Q952" s="10" t="str">
        <f t="shared" si="5"/>
        <v>#DIV/0!</v>
      </c>
      <c r="R952" s="10" t="str">
        <f t="shared" si="6"/>
        <v>#DIV/0!</v>
      </c>
      <c r="S952" s="10" t="str">
        <f t="shared" si="23"/>
        <v>#DIV/0!</v>
      </c>
      <c r="T952" s="10" t="str">
        <f t="shared" si="22"/>
        <v>#DIV/0!</v>
      </c>
      <c r="U952" s="10" t="str">
        <f t="shared" si="8"/>
        <v>#DIV/0!</v>
      </c>
      <c r="V952" s="10"/>
      <c r="W952" s="10"/>
      <c r="X952" s="10"/>
      <c r="Y952" s="10"/>
      <c r="Z952" s="10"/>
      <c r="AA952" s="10"/>
      <c r="AB952" s="10"/>
      <c r="AC952" s="10"/>
      <c r="AD952" s="10"/>
      <c r="AE952" s="10"/>
      <c r="AF952" s="10"/>
    </row>
    <row r="953" hidden="1">
      <c r="A953" s="9" t="s">
        <v>1170</v>
      </c>
      <c r="B953" s="84"/>
      <c r="C953" s="9"/>
      <c r="D953" s="9" t="str">
        <f t="shared" si="1"/>
        <v/>
      </c>
      <c r="E953" s="10" t="str">
        <f t="shared" si="2"/>
        <v>OT Hours</v>
      </c>
      <c r="F953" s="10" t="str">
        <f>IFERROR(VLOOKUP(C953,'Employees List'!$B$1:$I$999,4,0),"")</f>
        <v/>
      </c>
      <c r="G953" s="10" t="str">
        <f t="shared" si="21"/>
        <v>#DIV/0!</v>
      </c>
      <c r="H953" s="72" t="str">
        <f>IFERROR(VLOOKUP(C953,'Employees List'!$B$2:$I$991,7,0),"")</f>
        <v/>
      </c>
      <c r="I953" s="73" t="str">
        <f>IFERROR(VLOOKUP(F953,'Employees List'!$E$1:$AE$991,6,0),"")</f>
        <v/>
      </c>
      <c r="J953" s="71">
        <f t="shared" si="3"/>
        <v>0</v>
      </c>
      <c r="K953" s="71">
        <f t="shared" si="4"/>
        <v>0</v>
      </c>
      <c r="L953" s="10" t="str">
        <f>IFERROR(VLOOKUP(B953,'Employees List'!$A$2:$K$991,11,0),"")</f>
        <v/>
      </c>
      <c r="M953" s="74" t="str">
        <f>IFERROR(VLOOKUP(D953,'Daily Attendance 25-26'!$A$4:BP999,5,0),"")</f>
        <v/>
      </c>
      <c r="N953" s="10" t="str">
        <f>IFERROR(VLOOKUP(E953,'Daily Attendance 25-26'!$A$1:$BO$1741,5,0),"")</f>
        <v/>
      </c>
      <c r="O953" s="10"/>
      <c r="P953" s="10"/>
      <c r="Q953" s="10" t="str">
        <f t="shared" si="5"/>
        <v>#DIV/0!</v>
      </c>
      <c r="R953" s="10" t="str">
        <f t="shared" si="6"/>
        <v>#DIV/0!</v>
      </c>
      <c r="S953" s="10" t="str">
        <f t="shared" si="23"/>
        <v>#DIV/0!</v>
      </c>
      <c r="T953" s="10" t="str">
        <f t="shared" si="22"/>
        <v>#DIV/0!</v>
      </c>
      <c r="U953" s="10" t="str">
        <f t="shared" si="8"/>
        <v>#DIV/0!</v>
      </c>
      <c r="V953" s="10"/>
      <c r="W953" s="10"/>
      <c r="X953" s="10"/>
      <c r="Y953" s="10"/>
      <c r="Z953" s="10"/>
      <c r="AA953" s="10"/>
      <c r="AB953" s="10"/>
      <c r="AC953" s="10"/>
      <c r="AD953" s="10"/>
      <c r="AE953" s="10"/>
      <c r="AF953" s="10"/>
    </row>
    <row r="954" hidden="1">
      <c r="A954" s="9" t="s">
        <v>1171</v>
      </c>
      <c r="B954" s="84"/>
      <c r="C954" s="9"/>
      <c r="D954" s="9" t="str">
        <f t="shared" si="1"/>
        <v/>
      </c>
      <c r="E954" s="10" t="str">
        <f t="shared" si="2"/>
        <v>OT Hours</v>
      </c>
      <c r="F954" s="10" t="str">
        <f>IFERROR(VLOOKUP(C954,'Employees List'!$B$1:$I$999,4,0),"")</f>
        <v/>
      </c>
      <c r="G954" s="10" t="str">
        <f t="shared" si="21"/>
        <v>#DIV/0!</v>
      </c>
      <c r="H954" s="72" t="str">
        <f>IFERROR(VLOOKUP(C954,'Employees List'!$B$2:$I$991,7,0),"")</f>
        <v/>
      </c>
      <c r="I954" s="73" t="str">
        <f>IFERROR(VLOOKUP(F954,'Employees List'!$E$1:$AE$991,6,0),"")</f>
        <v/>
      </c>
      <c r="J954" s="71">
        <f t="shared" si="3"/>
        <v>0</v>
      </c>
      <c r="K954" s="71">
        <f t="shared" si="4"/>
        <v>0</v>
      </c>
      <c r="L954" s="10" t="str">
        <f>IFERROR(VLOOKUP(B954,'Employees List'!$A$2:$K$991,11,0),"")</f>
        <v/>
      </c>
      <c r="M954" s="74" t="str">
        <f>IFERROR(VLOOKUP(D954,'Daily Attendance 25-26'!$A$4:BP999,5,0),"")</f>
        <v/>
      </c>
      <c r="N954" s="10" t="str">
        <f>IFERROR(VLOOKUP(E954,'Daily Attendance 25-26'!$A$1:$BO$1741,5,0),"")</f>
        <v/>
      </c>
      <c r="O954" s="10"/>
      <c r="P954" s="10"/>
      <c r="Q954" s="10" t="str">
        <f t="shared" si="5"/>
        <v>#DIV/0!</v>
      </c>
      <c r="R954" s="10" t="str">
        <f t="shared" si="6"/>
        <v>#DIV/0!</v>
      </c>
      <c r="S954" s="10" t="str">
        <f t="shared" si="23"/>
        <v>#DIV/0!</v>
      </c>
      <c r="T954" s="10" t="str">
        <f t="shared" si="22"/>
        <v>#DIV/0!</v>
      </c>
      <c r="U954" s="10" t="str">
        <f t="shared" si="8"/>
        <v>#DIV/0!</v>
      </c>
      <c r="V954" s="10"/>
      <c r="W954" s="10"/>
      <c r="X954" s="10"/>
      <c r="Y954" s="10"/>
      <c r="Z954" s="10"/>
      <c r="AA954" s="10"/>
      <c r="AB954" s="10"/>
      <c r="AC954" s="10"/>
      <c r="AD954" s="10"/>
      <c r="AE954" s="10"/>
      <c r="AF954" s="10"/>
    </row>
    <row r="955" hidden="1">
      <c r="A955" s="9" t="s">
        <v>1172</v>
      </c>
      <c r="B955" s="84"/>
      <c r="C955" s="9"/>
      <c r="D955" s="9" t="str">
        <f t="shared" si="1"/>
        <v/>
      </c>
      <c r="E955" s="10" t="str">
        <f t="shared" si="2"/>
        <v>OT Hours</v>
      </c>
      <c r="F955" s="10" t="str">
        <f>IFERROR(VLOOKUP(C955,'Employees List'!$B$1:$I$999,4,0),"")</f>
        <v/>
      </c>
      <c r="G955" s="10" t="str">
        <f t="shared" si="21"/>
        <v>#DIV/0!</v>
      </c>
      <c r="H955" s="72" t="str">
        <f>IFERROR(VLOOKUP(C955,'Employees List'!$B$2:$I$991,7,0),"")</f>
        <v/>
      </c>
      <c r="I955" s="73" t="str">
        <f>IFERROR(VLOOKUP(F955,'Employees List'!$E$1:$AE$991,6,0),"")</f>
        <v/>
      </c>
      <c r="J955" s="71">
        <f t="shared" si="3"/>
        <v>0</v>
      </c>
      <c r="K955" s="71">
        <f t="shared" si="4"/>
        <v>0</v>
      </c>
      <c r="L955" s="10" t="str">
        <f>IFERROR(VLOOKUP(B955,'Employees List'!$A$2:$K$991,11,0),"")</f>
        <v/>
      </c>
      <c r="M955" s="74" t="str">
        <f>IFERROR(VLOOKUP(D955,'Daily Attendance 25-26'!$A$4:BP999,5,0),"")</f>
        <v/>
      </c>
      <c r="N955" s="10" t="str">
        <f>IFERROR(VLOOKUP(E955,'Daily Attendance 25-26'!$A$1:$BO$1741,5,0),"")</f>
        <v/>
      </c>
      <c r="O955" s="10"/>
      <c r="P955" s="10"/>
      <c r="Q955" s="10" t="str">
        <f t="shared" si="5"/>
        <v>#DIV/0!</v>
      </c>
      <c r="R955" s="10" t="str">
        <f t="shared" si="6"/>
        <v>#DIV/0!</v>
      </c>
      <c r="S955" s="10" t="str">
        <f t="shared" si="23"/>
        <v>#DIV/0!</v>
      </c>
      <c r="T955" s="10" t="str">
        <f t="shared" si="22"/>
        <v>#DIV/0!</v>
      </c>
      <c r="U955" s="10" t="str">
        <f t="shared" si="8"/>
        <v>#DIV/0!</v>
      </c>
      <c r="V955" s="10"/>
      <c r="W955" s="10"/>
      <c r="X955" s="10"/>
      <c r="Y955" s="10"/>
      <c r="Z955" s="10"/>
      <c r="AA955" s="10"/>
      <c r="AB955" s="10"/>
      <c r="AC955" s="10"/>
      <c r="AD955" s="10"/>
      <c r="AE955" s="10"/>
      <c r="AF955" s="10"/>
    </row>
    <row r="956" hidden="1">
      <c r="A956" s="9" t="s">
        <v>1173</v>
      </c>
      <c r="B956" s="84"/>
      <c r="C956" s="9"/>
      <c r="D956" s="9" t="str">
        <f t="shared" si="1"/>
        <v/>
      </c>
      <c r="E956" s="10" t="str">
        <f t="shared" si="2"/>
        <v>OT Hours</v>
      </c>
      <c r="F956" s="10" t="str">
        <f>IFERROR(VLOOKUP(C956,'Employees List'!$B$1:$I$999,4,0),"")</f>
        <v/>
      </c>
      <c r="G956" s="10" t="str">
        <f t="shared" si="21"/>
        <v>#DIV/0!</v>
      </c>
      <c r="H956" s="72" t="str">
        <f>IFERROR(VLOOKUP(C956,'Employees List'!$B$2:$I$991,7,0),"")</f>
        <v/>
      </c>
      <c r="I956" s="73" t="str">
        <f>IFERROR(VLOOKUP(F956,'Employees List'!$E$1:$AE$991,6,0),"")</f>
        <v/>
      </c>
      <c r="J956" s="71">
        <f t="shared" si="3"/>
        <v>0</v>
      </c>
      <c r="K956" s="71">
        <f t="shared" si="4"/>
        <v>0</v>
      </c>
      <c r="L956" s="10" t="str">
        <f>IFERROR(VLOOKUP(B956,'Employees List'!$A$2:$K$991,11,0),"")</f>
        <v/>
      </c>
      <c r="M956" s="74" t="str">
        <f>IFERROR(VLOOKUP(D956,'Daily Attendance 25-26'!$A$4:BP999,5,0),"")</f>
        <v/>
      </c>
      <c r="N956" s="10" t="str">
        <f>IFERROR(VLOOKUP(E956,'Daily Attendance 25-26'!$A$1:$BO$1741,5,0),"")</f>
        <v/>
      </c>
      <c r="O956" s="10"/>
      <c r="P956" s="10"/>
      <c r="Q956" s="10" t="str">
        <f t="shared" si="5"/>
        <v>#DIV/0!</v>
      </c>
      <c r="R956" s="10" t="str">
        <f t="shared" si="6"/>
        <v>#DIV/0!</v>
      </c>
      <c r="S956" s="10" t="str">
        <f t="shared" si="23"/>
        <v>#DIV/0!</v>
      </c>
      <c r="T956" s="10" t="str">
        <f t="shared" si="22"/>
        <v>#DIV/0!</v>
      </c>
      <c r="U956" s="10" t="str">
        <f t="shared" si="8"/>
        <v>#DIV/0!</v>
      </c>
      <c r="V956" s="10"/>
      <c r="W956" s="10"/>
      <c r="X956" s="10"/>
      <c r="Y956" s="10"/>
      <c r="Z956" s="10"/>
      <c r="AA956" s="10"/>
      <c r="AB956" s="10"/>
      <c r="AC956" s="10"/>
      <c r="AD956" s="10"/>
      <c r="AE956" s="10"/>
      <c r="AF956" s="10"/>
    </row>
    <row r="957" hidden="1">
      <c r="A957" s="9" t="s">
        <v>1174</v>
      </c>
      <c r="B957" s="84"/>
      <c r="C957" s="9"/>
      <c r="D957" s="9" t="str">
        <f t="shared" si="1"/>
        <v/>
      </c>
      <c r="E957" s="10" t="str">
        <f t="shared" si="2"/>
        <v>OT Hours</v>
      </c>
      <c r="F957" s="10" t="str">
        <f>IFERROR(VLOOKUP(C957,'Employees List'!$B$1:$I$999,4,0),"")</f>
        <v/>
      </c>
      <c r="G957" s="10" t="str">
        <f t="shared" si="21"/>
        <v>#DIV/0!</v>
      </c>
      <c r="H957" s="72" t="str">
        <f>IFERROR(VLOOKUP(C957,'Employees List'!$B$2:$I$991,7,0),"")</f>
        <v/>
      </c>
      <c r="I957" s="73" t="str">
        <f>IFERROR(VLOOKUP(F957,'Employees List'!$E$1:$AE$991,6,0),"")</f>
        <v/>
      </c>
      <c r="J957" s="71">
        <f t="shared" si="3"/>
        <v>0</v>
      </c>
      <c r="K957" s="71">
        <f t="shared" si="4"/>
        <v>0</v>
      </c>
      <c r="L957" s="10" t="str">
        <f>IFERROR(VLOOKUP(B957,'Employees List'!$A$2:$K$991,11,0),"")</f>
        <v/>
      </c>
      <c r="M957" s="74" t="str">
        <f>IFERROR(VLOOKUP(D957,'Daily Attendance 25-26'!$A$4:BP999,5,0),"")</f>
        <v/>
      </c>
      <c r="N957" s="10" t="str">
        <f>IFERROR(VLOOKUP(E957,'Daily Attendance 25-26'!$A$1:$BO$1741,5,0),"")</f>
        <v/>
      </c>
      <c r="O957" s="10"/>
      <c r="P957" s="10"/>
      <c r="Q957" s="10" t="str">
        <f t="shared" si="5"/>
        <v>#DIV/0!</v>
      </c>
      <c r="R957" s="10" t="str">
        <f t="shared" si="6"/>
        <v>#DIV/0!</v>
      </c>
      <c r="S957" s="10" t="str">
        <f t="shared" si="23"/>
        <v>#DIV/0!</v>
      </c>
      <c r="T957" s="10" t="str">
        <f t="shared" si="22"/>
        <v>#DIV/0!</v>
      </c>
      <c r="U957" s="10" t="str">
        <f t="shared" si="8"/>
        <v>#DIV/0!</v>
      </c>
      <c r="V957" s="10"/>
      <c r="W957" s="10"/>
      <c r="X957" s="10"/>
      <c r="Y957" s="10"/>
      <c r="Z957" s="10"/>
      <c r="AA957" s="10"/>
      <c r="AB957" s="10"/>
      <c r="AC957" s="10"/>
      <c r="AD957" s="10"/>
      <c r="AE957" s="10"/>
      <c r="AF957" s="10"/>
    </row>
    <row r="958" hidden="1">
      <c r="A958" s="9" t="s">
        <v>1175</v>
      </c>
      <c r="B958" s="84"/>
      <c r="C958" s="9"/>
      <c r="D958" s="9" t="str">
        <f t="shared" si="1"/>
        <v/>
      </c>
      <c r="E958" s="10" t="str">
        <f t="shared" si="2"/>
        <v>OT Hours</v>
      </c>
      <c r="F958" s="10" t="str">
        <f>IFERROR(VLOOKUP(C958,'Employees List'!$B$1:$I$999,4,0),"")</f>
        <v/>
      </c>
      <c r="G958" s="10" t="str">
        <f t="shared" si="21"/>
        <v>#DIV/0!</v>
      </c>
      <c r="H958" s="72" t="str">
        <f>IFERROR(VLOOKUP(C958,'Employees List'!$B$2:$I$991,7,0),"")</f>
        <v/>
      </c>
      <c r="I958" s="73" t="str">
        <f>IFERROR(VLOOKUP(F958,'Employees List'!$E$1:$AE$991,6,0),"")</f>
        <v/>
      </c>
      <c r="J958" s="71">
        <f t="shared" si="3"/>
        <v>0</v>
      </c>
      <c r="K958" s="71">
        <f t="shared" si="4"/>
        <v>0</v>
      </c>
      <c r="L958" s="10" t="str">
        <f>IFERROR(VLOOKUP(B958,'Employees List'!$A$2:$K$991,11,0),"")</f>
        <v/>
      </c>
      <c r="M958" s="74" t="str">
        <f>IFERROR(VLOOKUP(D958,'Daily Attendance 25-26'!$A$4:BP999,5,0),"")</f>
        <v/>
      </c>
      <c r="N958" s="10" t="str">
        <f>IFERROR(VLOOKUP(E958,'Daily Attendance 25-26'!$A$1:$BO$1741,5,0),"")</f>
        <v/>
      </c>
      <c r="O958" s="10"/>
      <c r="P958" s="10"/>
      <c r="Q958" s="10" t="str">
        <f t="shared" si="5"/>
        <v>#DIV/0!</v>
      </c>
      <c r="R958" s="10" t="str">
        <f t="shared" si="6"/>
        <v>#DIV/0!</v>
      </c>
      <c r="S958" s="10" t="str">
        <f t="shared" si="23"/>
        <v>#DIV/0!</v>
      </c>
      <c r="T958" s="10" t="str">
        <f t="shared" si="22"/>
        <v>#DIV/0!</v>
      </c>
      <c r="U958" s="10" t="str">
        <f t="shared" si="8"/>
        <v>#DIV/0!</v>
      </c>
      <c r="V958" s="10"/>
      <c r="W958" s="10"/>
      <c r="X958" s="10"/>
      <c r="Y958" s="10"/>
      <c r="Z958" s="10"/>
      <c r="AA958" s="10"/>
      <c r="AB958" s="10"/>
      <c r="AC958" s="10"/>
      <c r="AD958" s="10"/>
      <c r="AE958" s="10"/>
      <c r="AF958" s="10"/>
    </row>
    <row r="959" hidden="1">
      <c r="A959" s="9" t="s">
        <v>1176</v>
      </c>
      <c r="B959" s="84"/>
      <c r="C959" s="9"/>
      <c r="D959" s="9" t="str">
        <f t="shared" si="1"/>
        <v/>
      </c>
      <c r="E959" s="10" t="str">
        <f t="shared" si="2"/>
        <v>OT Hours</v>
      </c>
      <c r="F959" s="10" t="str">
        <f>IFERROR(VLOOKUP(C959,'Employees List'!$B$1:$I$999,4,0),"")</f>
        <v/>
      </c>
      <c r="G959" s="10" t="str">
        <f t="shared" si="21"/>
        <v>#DIV/0!</v>
      </c>
      <c r="H959" s="72" t="str">
        <f>IFERROR(VLOOKUP(C959,'Employees List'!$B$2:$I$991,7,0),"")</f>
        <v/>
      </c>
      <c r="I959" s="73" t="str">
        <f>IFERROR(VLOOKUP(F959,'Employees List'!$E$1:$AE$991,6,0),"")</f>
        <v/>
      </c>
      <c r="J959" s="71">
        <f t="shared" si="3"/>
        <v>0</v>
      </c>
      <c r="K959" s="71">
        <f t="shared" si="4"/>
        <v>0</v>
      </c>
      <c r="L959" s="10" t="str">
        <f>IFERROR(VLOOKUP(B959,'Employees List'!$A$2:$K$991,11,0),"")</f>
        <v/>
      </c>
      <c r="M959" s="74" t="str">
        <f>IFERROR(VLOOKUP(D959,'Daily Attendance 25-26'!$A$4:BP999,5,0),"")</f>
        <v/>
      </c>
      <c r="N959" s="10" t="str">
        <f>IFERROR(VLOOKUP(E959,'Daily Attendance 25-26'!$A$1:$BO$1741,5,0),"")</f>
        <v/>
      </c>
      <c r="O959" s="10"/>
      <c r="P959" s="10"/>
      <c r="Q959" s="10" t="str">
        <f t="shared" si="5"/>
        <v>#DIV/0!</v>
      </c>
      <c r="R959" s="10" t="str">
        <f t="shared" si="6"/>
        <v>#DIV/0!</v>
      </c>
      <c r="S959" s="10" t="str">
        <f t="shared" si="23"/>
        <v>#DIV/0!</v>
      </c>
      <c r="T959" s="10" t="str">
        <f t="shared" si="22"/>
        <v>#DIV/0!</v>
      </c>
      <c r="U959" s="10" t="str">
        <f t="shared" si="8"/>
        <v>#DIV/0!</v>
      </c>
      <c r="V959" s="10"/>
      <c r="W959" s="10"/>
      <c r="X959" s="10"/>
      <c r="Y959" s="10"/>
      <c r="Z959" s="10"/>
      <c r="AA959" s="10"/>
      <c r="AB959" s="10"/>
      <c r="AC959" s="10"/>
      <c r="AD959" s="10"/>
      <c r="AE959" s="10"/>
      <c r="AF959" s="10"/>
    </row>
    <row r="960" hidden="1">
      <c r="A960" s="9" t="s">
        <v>1177</v>
      </c>
      <c r="B960" s="84"/>
      <c r="C960" s="9"/>
      <c r="D960" s="9" t="str">
        <f t="shared" si="1"/>
        <v/>
      </c>
      <c r="E960" s="10" t="str">
        <f t="shared" si="2"/>
        <v>OT Hours</v>
      </c>
      <c r="F960" s="10" t="str">
        <f>IFERROR(VLOOKUP(C960,'Employees List'!$B$1:$I$999,4,0),"")</f>
        <v/>
      </c>
      <c r="G960" s="10" t="str">
        <f t="shared" si="21"/>
        <v>#DIV/0!</v>
      </c>
      <c r="H960" s="72" t="str">
        <f>IFERROR(VLOOKUP(C960,'Employees List'!$B$2:$I$991,7,0),"")</f>
        <v/>
      </c>
      <c r="I960" s="73" t="str">
        <f>IFERROR(VLOOKUP(F960,'Employees List'!$E$1:$AE$991,6,0),"")</f>
        <v/>
      </c>
      <c r="J960" s="71">
        <f t="shared" si="3"/>
        <v>0</v>
      </c>
      <c r="K960" s="71">
        <f t="shared" si="4"/>
        <v>0</v>
      </c>
      <c r="L960" s="10" t="str">
        <f>IFERROR(VLOOKUP(B960,'Employees List'!$A$2:$K$991,11,0),"")</f>
        <v/>
      </c>
      <c r="M960" s="74" t="str">
        <f>IFERROR(VLOOKUP(D960,'Daily Attendance 25-26'!$A$4:BP999,5,0),"")</f>
        <v/>
      </c>
      <c r="N960" s="10" t="str">
        <f>IFERROR(VLOOKUP(E960,'Daily Attendance 25-26'!$A$1:$BO$1741,5,0),"")</f>
        <v/>
      </c>
      <c r="O960" s="10"/>
      <c r="P960" s="10"/>
      <c r="Q960" s="10" t="str">
        <f t="shared" si="5"/>
        <v>#DIV/0!</v>
      </c>
      <c r="R960" s="10" t="str">
        <f t="shared" si="6"/>
        <v>#DIV/0!</v>
      </c>
      <c r="S960" s="10" t="str">
        <f t="shared" si="23"/>
        <v>#DIV/0!</v>
      </c>
      <c r="T960" s="10" t="str">
        <f t="shared" si="22"/>
        <v>#DIV/0!</v>
      </c>
      <c r="U960" s="10" t="str">
        <f t="shared" si="8"/>
        <v>#DIV/0!</v>
      </c>
      <c r="V960" s="10"/>
      <c r="W960" s="10"/>
      <c r="X960" s="10"/>
      <c r="Y960" s="10"/>
      <c r="Z960" s="10"/>
      <c r="AA960" s="10"/>
      <c r="AB960" s="10"/>
      <c r="AC960" s="10"/>
      <c r="AD960" s="10"/>
      <c r="AE960" s="10"/>
      <c r="AF960" s="10"/>
    </row>
    <row r="961" hidden="1">
      <c r="A961" s="9" t="s">
        <v>1178</v>
      </c>
      <c r="B961" s="84"/>
      <c r="C961" s="9"/>
      <c r="D961" s="9" t="str">
        <f t="shared" si="1"/>
        <v/>
      </c>
      <c r="E961" s="10" t="str">
        <f t="shared" si="2"/>
        <v>OT Hours</v>
      </c>
      <c r="F961" s="10" t="str">
        <f>IFERROR(VLOOKUP(C961,'Employees List'!$B$1:$I$999,4,0),"")</f>
        <v/>
      </c>
      <c r="G961" s="10" t="str">
        <f t="shared" si="21"/>
        <v>#DIV/0!</v>
      </c>
      <c r="H961" s="72" t="str">
        <f>IFERROR(VLOOKUP(C961,'Employees List'!$B$2:$I$991,7,0),"")</f>
        <v/>
      </c>
      <c r="I961" s="73" t="str">
        <f>IFERROR(VLOOKUP(F961,'Employees List'!$E$1:$AE$991,6,0),"")</f>
        <v/>
      </c>
      <c r="J961" s="71">
        <f t="shared" si="3"/>
        <v>0</v>
      </c>
      <c r="K961" s="71">
        <f t="shared" si="4"/>
        <v>0</v>
      </c>
      <c r="L961" s="10" t="str">
        <f>IFERROR(VLOOKUP(B961,'Employees List'!$A$2:$K$991,11,0),"")</f>
        <v/>
      </c>
      <c r="M961" s="74" t="str">
        <f>IFERROR(VLOOKUP(D961,'Daily Attendance 25-26'!$A$4:BP999,5,0),"")</f>
        <v/>
      </c>
      <c r="N961" s="10" t="str">
        <f>IFERROR(VLOOKUP(E961,'Daily Attendance 25-26'!$A$1:$BO$1741,5,0),"")</f>
        <v/>
      </c>
      <c r="O961" s="10"/>
      <c r="P961" s="10"/>
      <c r="Q961" s="10" t="str">
        <f t="shared" si="5"/>
        <v>#DIV/0!</v>
      </c>
      <c r="R961" s="10" t="str">
        <f t="shared" si="6"/>
        <v>#DIV/0!</v>
      </c>
      <c r="S961" s="10" t="str">
        <f t="shared" si="23"/>
        <v>#DIV/0!</v>
      </c>
      <c r="T961" s="10" t="str">
        <f t="shared" si="22"/>
        <v>#DIV/0!</v>
      </c>
      <c r="U961" s="10" t="str">
        <f t="shared" si="8"/>
        <v>#DIV/0!</v>
      </c>
      <c r="V961" s="10"/>
      <c r="W961" s="10"/>
      <c r="X961" s="10"/>
      <c r="Y961" s="10"/>
      <c r="Z961" s="10"/>
      <c r="AA961" s="10"/>
      <c r="AB961" s="10"/>
      <c r="AC961" s="10"/>
      <c r="AD961" s="10"/>
      <c r="AE961" s="10"/>
      <c r="AF961" s="10"/>
    </row>
    <row r="962" hidden="1">
      <c r="A962" s="9" t="s">
        <v>1179</v>
      </c>
      <c r="B962" s="84"/>
      <c r="C962" s="9"/>
      <c r="D962" s="9" t="str">
        <f t="shared" si="1"/>
        <v/>
      </c>
      <c r="E962" s="10" t="str">
        <f t="shared" si="2"/>
        <v>OT Hours</v>
      </c>
      <c r="F962" s="10" t="str">
        <f>IFERROR(VLOOKUP(C962,'Employees List'!$B$1:$I$999,4,0),"")</f>
        <v/>
      </c>
      <c r="G962" s="10" t="str">
        <f t="shared" si="21"/>
        <v>#DIV/0!</v>
      </c>
      <c r="H962" s="72" t="str">
        <f>IFERROR(VLOOKUP(C962,'Employees List'!$B$2:$I$991,7,0),"")</f>
        <v/>
      </c>
      <c r="I962" s="73" t="str">
        <f>IFERROR(VLOOKUP(F962,'Employees List'!$E$1:$AE$991,6,0),"")</f>
        <v/>
      </c>
      <c r="J962" s="71">
        <f t="shared" si="3"/>
        <v>0</v>
      </c>
      <c r="K962" s="71">
        <f t="shared" si="4"/>
        <v>0</v>
      </c>
      <c r="L962" s="10" t="str">
        <f>IFERROR(VLOOKUP(B962,'Employees List'!$A$2:$K$991,11,0),"")</f>
        <v/>
      </c>
      <c r="M962" s="74" t="str">
        <f>IFERROR(VLOOKUP(D962,'Daily Attendance 25-26'!$A$4:BP999,5,0),"")</f>
        <v/>
      </c>
      <c r="N962" s="10" t="str">
        <f>IFERROR(VLOOKUP(E962,'Daily Attendance 25-26'!$A$1:$BO$1741,5,0),"")</f>
        <v/>
      </c>
      <c r="O962" s="10"/>
      <c r="P962" s="10"/>
      <c r="Q962" s="10" t="str">
        <f t="shared" si="5"/>
        <v>#DIV/0!</v>
      </c>
      <c r="R962" s="10" t="str">
        <f t="shared" si="6"/>
        <v>#DIV/0!</v>
      </c>
      <c r="S962" s="10" t="str">
        <f t="shared" si="23"/>
        <v>#DIV/0!</v>
      </c>
      <c r="T962" s="10" t="str">
        <f t="shared" si="22"/>
        <v>#DIV/0!</v>
      </c>
      <c r="U962" s="10" t="str">
        <f t="shared" si="8"/>
        <v>#DIV/0!</v>
      </c>
      <c r="V962" s="10"/>
      <c r="W962" s="10"/>
      <c r="X962" s="10"/>
      <c r="Y962" s="10"/>
      <c r="Z962" s="10"/>
      <c r="AA962" s="10"/>
      <c r="AB962" s="10"/>
      <c r="AC962" s="10"/>
      <c r="AD962" s="10"/>
      <c r="AE962" s="10"/>
      <c r="AF962" s="10"/>
    </row>
    <row r="963" hidden="1">
      <c r="A963" s="9" t="s">
        <v>1180</v>
      </c>
      <c r="B963" s="84"/>
      <c r="C963" s="9"/>
      <c r="D963" s="9" t="str">
        <f t="shared" si="1"/>
        <v/>
      </c>
      <c r="E963" s="10" t="str">
        <f t="shared" si="2"/>
        <v>OT Hours</v>
      </c>
      <c r="F963" s="10" t="str">
        <f>IFERROR(VLOOKUP(C963,'Employees List'!$B$1:$I$999,4,0),"")</f>
        <v/>
      </c>
      <c r="G963" s="10" t="str">
        <f t="shared" si="21"/>
        <v>#DIV/0!</v>
      </c>
      <c r="H963" s="72" t="str">
        <f>IFERROR(VLOOKUP(C963,'Employees List'!$B$2:$I$991,7,0),"")</f>
        <v/>
      </c>
      <c r="I963" s="73" t="str">
        <f>IFERROR(VLOOKUP(F963,'Employees List'!$E$1:$AE$991,6,0),"")</f>
        <v/>
      </c>
      <c r="J963" s="71">
        <f t="shared" si="3"/>
        <v>0</v>
      </c>
      <c r="K963" s="71">
        <f t="shared" si="4"/>
        <v>0</v>
      </c>
      <c r="L963" s="10" t="str">
        <f>IFERROR(VLOOKUP(B963,'Employees List'!$A$2:$K$991,11,0),"")</f>
        <v/>
      </c>
      <c r="M963" s="74" t="str">
        <f>IFERROR(VLOOKUP(D963,'Daily Attendance 25-26'!$A$4:BP999,5,0),"")</f>
        <v/>
      </c>
      <c r="N963" s="10" t="str">
        <f>IFERROR(VLOOKUP(E963,'Daily Attendance 25-26'!$A$1:$BO$1741,5,0),"")</f>
        <v/>
      </c>
      <c r="O963" s="10"/>
      <c r="P963" s="10"/>
      <c r="Q963" s="10" t="str">
        <f t="shared" si="5"/>
        <v>#DIV/0!</v>
      </c>
      <c r="R963" s="10" t="str">
        <f t="shared" si="6"/>
        <v>#DIV/0!</v>
      </c>
      <c r="S963" s="10" t="str">
        <f t="shared" si="23"/>
        <v>#DIV/0!</v>
      </c>
      <c r="T963" s="10" t="str">
        <f t="shared" si="22"/>
        <v>#DIV/0!</v>
      </c>
      <c r="U963" s="10" t="str">
        <f t="shared" si="8"/>
        <v>#DIV/0!</v>
      </c>
      <c r="V963" s="10"/>
      <c r="W963" s="10"/>
      <c r="X963" s="10"/>
      <c r="Y963" s="10"/>
      <c r="Z963" s="10"/>
      <c r="AA963" s="10"/>
      <c r="AB963" s="10"/>
      <c r="AC963" s="10"/>
      <c r="AD963" s="10"/>
      <c r="AE963" s="10"/>
      <c r="AF963" s="10"/>
    </row>
    <row r="964" hidden="1">
      <c r="A964" s="9" t="s">
        <v>1181</v>
      </c>
      <c r="B964" s="84"/>
      <c r="C964" s="9"/>
      <c r="D964" s="9" t="str">
        <f t="shared" si="1"/>
        <v/>
      </c>
      <c r="E964" s="10" t="str">
        <f t="shared" si="2"/>
        <v>OT Hours</v>
      </c>
      <c r="F964" s="10" t="str">
        <f>IFERROR(VLOOKUP(C964,'Employees List'!$B$1:$I$999,4,0),"")</f>
        <v/>
      </c>
      <c r="G964" s="10" t="str">
        <f t="shared" si="21"/>
        <v>#DIV/0!</v>
      </c>
      <c r="H964" s="72" t="str">
        <f>IFERROR(VLOOKUP(C964,'Employees List'!$B$2:$I$991,7,0),"")</f>
        <v/>
      </c>
      <c r="I964" s="73" t="str">
        <f>IFERROR(VLOOKUP(F964,'Employees List'!$E$1:$AE$991,6,0),"")</f>
        <v/>
      </c>
      <c r="J964" s="71">
        <f t="shared" si="3"/>
        <v>0</v>
      </c>
      <c r="K964" s="71">
        <f t="shared" si="4"/>
        <v>0</v>
      </c>
      <c r="L964" s="10" t="str">
        <f>IFERROR(VLOOKUP(B964,'Employees List'!$A$2:$K$991,11,0),"")</f>
        <v/>
      </c>
      <c r="M964" s="74" t="str">
        <f>IFERROR(VLOOKUP(D964,'Daily Attendance 25-26'!$A$4:BP999,5,0),"")</f>
        <v/>
      </c>
      <c r="N964" s="10" t="str">
        <f>IFERROR(VLOOKUP(E964,'Daily Attendance 25-26'!$A$1:$BO$1741,5,0),"")</f>
        <v/>
      </c>
      <c r="O964" s="10"/>
      <c r="P964" s="10"/>
      <c r="Q964" s="10" t="str">
        <f t="shared" si="5"/>
        <v>#DIV/0!</v>
      </c>
      <c r="R964" s="10" t="str">
        <f t="shared" si="6"/>
        <v>#DIV/0!</v>
      </c>
      <c r="S964" s="10" t="str">
        <f t="shared" si="23"/>
        <v>#DIV/0!</v>
      </c>
      <c r="T964" s="10" t="str">
        <f t="shared" si="22"/>
        <v>#DIV/0!</v>
      </c>
      <c r="U964" s="10" t="str">
        <f t="shared" si="8"/>
        <v>#DIV/0!</v>
      </c>
      <c r="V964" s="10"/>
      <c r="W964" s="10"/>
      <c r="X964" s="10"/>
      <c r="Y964" s="10"/>
      <c r="Z964" s="10"/>
      <c r="AA964" s="10"/>
      <c r="AB964" s="10"/>
      <c r="AC964" s="10"/>
      <c r="AD964" s="10"/>
      <c r="AE964" s="10"/>
      <c r="AF964" s="10"/>
    </row>
    <row r="965" hidden="1">
      <c r="A965" s="9" t="s">
        <v>1182</v>
      </c>
      <c r="B965" s="84"/>
      <c r="C965" s="9"/>
      <c r="D965" s="9" t="str">
        <f t="shared" si="1"/>
        <v/>
      </c>
      <c r="E965" s="10" t="str">
        <f t="shared" si="2"/>
        <v>OT Hours</v>
      </c>
      <c r="F965" s="10" t="str">
        <f>IFERROR(VLOOKUP(C965,'Employees List'!$B$1:$I$999,4,0),"")</f>
        <v/>
      </c>
      <c r="G965" s="10" t="str">
        <f t="shared" si="21"/>
        <v>#DIV/0!</v>
      </c>
      <c r="H965" s="72" t="str">
        <f>IFERROR(VLOOKUP(C965,'Employees List'!$B$2:$I$991,7,0),"")</f>
        <v/>
      </c>
      <c r="I965" s="73" t="str">
        <f>IFERROR(VLOOKUP(F965,'Employees List'!$E$1:$AE$991,6,0),"")</f>
        <v/>
      </c>
      <c r="J965" s="71">
        <f t="shared" si="3"/>
        <v>0</v>
      </c>
      <c r="K965" s="71">
        <f t="shared" si="4"/>
        <v>0</v>
      </c>
      <c r="L965" s="10" t="str">
        <f>IFERROR(VLOOKUP(B965,'Employees List'!$A$2:$K$991,11,0),"")</f>
        <v/>
      </c>
      <c r="M965" s="74" t="str">
        <f>IFERROR(VLOOKUP(D965,'Daily Attendance 25-26'!$A$4:BP999,5,0),"")</f>
        <v/>
      </c>
      <c r="N965" s="10" t="str">
        <f>IFERROR(VLOOKUP(E965,'Daily Attendance 25-26'!$A$1:$BO$1741,5,0),"")</f>
        <v/>
      </c>
      <c r="O965" s="10"/>
      <c r="P965" s="10"/>
      <c r="Q965" s="10" t="str">
        <f t="shared" si="5"/>
        <v>#DIV/0!</v>
      </c>
      <c r="R965" s="10" t="str">
        <f t="shared" si="6"/>
        <v>#DIV/0!</v>
      </c>
      <c r="S965" s="10" t="str">
        <f t="shared" si="23"/>
        <v>#DIV/0!</v>
      </c>
      <c r="T965" s="10" t="str">
        <f t="shared" si="22"/>
        <v>#DIV/0!</v>
      </c>
      <c r="U965" s="10" t="str">
        <f t="shared" si="8"/>
        <v>#DIV/0!</v>
      </c>
      <c r="V965" s="10"/>
      <c r="W965" s="10"/>
      <c r="X965" s="10"/>
      <c r="Y965" s="10"/>
      <c r="Z965" s="10"/>
      <c r="AA965" s="10"/>
      <c r="AB965" s="10"/>
      <c r="AC965" s="10"/>
      <c r="AD965" s="10"/>
      <c r="AE965" s="10"/>
      <c r="AF965" s="10"/>
    </row>
    <row r="966" hidden="1">
      <c r="A966" s="9" t="s">
        <v>1183</v>
      </c>
      <c r="B966" s="84"/>
      <c r="C966" s="9"/>
      <c r="D966" s="9" t="str">
        <f t="shared" si="1"/>
        <v/>
      </c>
      <c r="E966" s="10" t="str">
        <f t="shared" si="2"/>
        <v>OT Hours</v>
      </c>
      <c r="F966" s="10" t="str">
        <f>IFERROR(VLOOKUP(C966,'Employees List'!$B$1:$I$999,4,0),"")</f>
        <v/>
      </c>
      <c r="G966" s="10" t="str">
        <f t="shared" si="21"/>
        <v>#DIV/0!</v>
      </c>
      <c r="H966" s="72" t="str">
        <f>IFERROR(VLOOKUP(C966,'Employees List'!$B$2:$I$991,7,0),"")</f>
        <v/>
      </c>
      <c r="I966" s="73" t="str">
        <f>IFERROR(VLOOKUP(F966,'Employees List'!$E$1:$AE$991,6,0),"")</f>
        <v/>
      </c>
      <c r="J966" s="71">
        <f t="shared" si="3"/>
        <v>0</v>
      </c>
      <c r="K966" s="71">
        <f t="shared" si="4"/>
        <v>0</v>
      </c>
      <c r="L966" s="10" t="str">
        <f>IFERROR(VLOOKUP(B966,'Employees List'!$A$2:$K$991,11,0),"")</f>
        <v/>
      </c>
      <c r="M966" s="74" t="str">
        <f>IFERROR(VLOOKUP(D966,'Daily Attendance 25-26'!$A$4:BP999,5,0),"")</f>
        <v/>
      </c>
      <c r="N966" s="10" t="str">
        <f>IFERROR(VLOOKUP(E966,'Daily Attendance 25-26'!$A$1:$BO$1741,5,0),"")</f>
        <v/>
      </c>
      <c r="O966" s="10"/>
      <c r="P966" s="10"/>
      <c r="Q966" s="10" t="str">
        <f t="shared" si="5"/>
        <v>#DIV/0!</v>
      </c>
      <c r="R966" s="10" t="str">
        <f t="shared" si="6"/>
        <v>#DIV/0!</v>
      </c>
      <c r="S966" s="10" t="str">
        <f t="shared" si="23"/>
        <v>#DIV/0!</v>
      </c>
      <c r="T966" s="10" t="str">
        <f t="shared" si="22"/>
        <v>#DIV/0!</v>
      </c>
      <c r="U966" s="10" t="str">
        <f t="shared" si="8"/>
        <v>#DIV/0!</v>
      </c>
      <c r="V966" s="10"/>
      <c r="W966" s="10"/>
      <c r="X966" s="10"/>
      <c r="Y966" s="10"/>
      <c r="Z966" s="10"/>
      <c r="AA966" s="10"/>
      <c r="AB966" s="10"/>
      <c r="AC966" s="10"/>
      <c r="AD966" s="10"/>
      <c r="AE966" s="10"/>
      <c r="AF966" s="10"/>
    </row>
    <row r="967" hidden="1">
      <c r="A967" s="9" t="s">
        <v>1184</v>
      </c>
      <c r="B967" s="84"/>
      <c r="C967" s="9"/>
      <c r="D967" s="9" t="str">
        <f t="shared" si="1"/>
        <v/>
      </c>
      <c r="E967" s="10" t="str">
        <f t="shared" si="2"/>
        <v>OT Hours</v>
      </c>
      <c r="F967" s="10" t="str">
        <f>IFERROR(VLOOKUP(C967,'Employees List'!$B$1:$I$999,4,0),"")</f>
        <v/>
      </c>
      <c r="G967" s="10" t="str">
        <f t="shared" si="21"/>
        <v>#DIV/0!</v>
      </c>
      <c r="H967" s="72" t="str">
        <f>IFERROR(VLOOKUP(C967,'Employees List'!$B$2:$I$991,7,0),"")</f>
        <v/>
      </c>
      <c r="I967" s="73" t="str">
        <f>IFERROR(VLOOKUP(F967,'Employees List'!$E$1:$AE$991,6,0),"")</f>
        <v/>
      </c>
      <c r="J967" s="71">
        <f t="shared" si="3"/>
        <v>0</v>
      </c>
      <c r="K967" s="71">
        <f t="shared" si="4"/>
        <v>0</v>
      </c>
      <c r="L967" s="10" t="str">
        <f>IFERROR(VLOOKUP(B967,'Employees List'!$A$2:$K$991,11,0),"")</f>
        <v/>
      </c>
      <c r="M967" s="74" t="str">
        <f>IFERROR(VLOOKUP(D967,'Daily Attendance 25-26'!$A$4:BP999,5,0),"")</f>
        <v/>
      </c>
      <c r="N967" s="10" t="str">
        <f>IFERROR(VLOOKUP(E967,'Daily Attendance 25-26'!$A$1:$BO$1741,5,0),"")</f>
        <v/>
      </c>
      <c r="O967" s="10"/>
      <c r="P967" s="10"/>
      <c r="Q967" s="10" t="str">
        <f t="shared" si="5"/>
        <v>#DIV/0!</v>
      </c>
      <c r="R967" s="10" t="str">
        <f t="shared" si="6"/>
        <v>#DIV/0!</v>
      </c>
      <c r="S967" s="10" t="str">
        <f t="shared" si="23"/>
        <v>#DIV/0!</v>
      </c>
      <c r="T967" s="10" t="str">
        <f t="shared" si="22"/>
        <v>#DIV/0!</v>
      </c>
      <c r="U967" s="10" t="str">
        <f t="shared" si="8"/>
        <v>#DIV/0!</v>
      </c>
      <c r="V967" s="10"/>
      <c r="W967" s="10"/>
      <c r="X967" s="10"/>
      <c r="Y967" s="10"/>
      <c r="Z967" s="10"/>
      <c r="AA967" s="10"/>
      <c r="AB967" s="10"/>
      <c r="AC967" s="10"/>
      <c r="AD967" s="10"/>
      <c r="AE967" s="10"/>
      <c r="AF967" s="10"/>
    </row>
    <row r="968" hidden="1">
      <c r="A968" s="9" t="s">
        <v>1185</v>
      </c>
      <c r="B968" s="84"/>
      <c r="C968" s="9"/>
      <c r="D968" s="9" t="str">
        <f t="shared" si="1"/>
        <v/>
      </c>
      <c r="E968" s="10" t="str">
        <f t="shared" si="2"/>
        <v>OT Hours</v>
      </c>
      <c r="F968" s="10" t="str">
        <f>IFERROR(VLOOKUP(C968,'Employees List'!$B$1:$I$999,4,0),"")</f>
        <v/>
      </c>
      <c r="G968" s="10" t="str">
        <f t="shared" si="21"/>
        <v>#DIV/0!</v>
      </c>
      <c r="H968" s="72" t="str">
        <f>IFERROR(VLOOKUP(C968,'Employees List'!$B$2:$I$991,7,0),"")</f>
        <v/>
      </c>
      <c r="I968" s="73" t="str">
        <f>IFERROR(VLOOKUP(F968,'Employees List'!$E$1:$AE$991,6,0),"")</f>
        <v/>
      </c>
      <c r="J968" s="71">
        <f t="shared" si="3"/>
        <v>0</v>
      </c>
      <c r="K968" s="71">
        <f t="shared" si="4"/>
        <v>0</v>
      </c>
      <c r="L968" s="10" t="str">
        <f>IFERROR(VLOOKUP(B968,'Employees List'!$A$2:$K$991,11,0),"")</f>
        <v/>
      </c>
      <c r="M968" s="74" t="str">
        <f>IFERROR(VLOOKUP(D968,'Daily Attendance 25-26'!$A$4:BP999,5,0),"")</f>
        <v/>
      </c>
      <c r="N968" s="10" t="str">
        <f>IFERROR(VLOOKUP(E968,'Daily Attendance 25-26'!$A$1:$BO$1741,5,0),"")</f>
        <v/>
      </c>
      <c r="O968" s="10"/>
      <c r="P968" s="10"/>
      <c r="Q968" s="10" t="str">
        <f t="shared" si="5"/>
        <v>#DIV/0!</v>
      </c>
      <c r="R968" s="10" t="str">
        <f t="shared" si="6"/>
        <v>#DIV/0!</v>
      </c>
      <c r="S968" s="10" t="str">
        <f t="shared" si="23"/>
        <v>#DIV/0!</v>
      </c>
      <c r="T968" s="10" t="str">
        <f t="shared" si="22"/>
        <v>#DIV/0!</v>
      </c>
      <c r="U968" s="10" t="str">
        <f t="shared" si="8"/>
        <v>#DIV/0!</v>
      </c>
      <c r="V968" s="10"/>
      <c r="W968" s="10"/>
      <c r="X968" s="10"/>
      <c r="Y968" s="10"/>
      <c r="Z968" s="10"/>
      <c r="AA968" s="10"/>
      <c r="AB968" s="10"/>
      <c r="AC968" s="10"/>
      <c r="AD968" s="10"/>
      <c r="AE968" s="10"/>
      <c r="AF968" s="10"/>
    </row>
    <row r="969" hidden="1">
      <c r="A969" s="9" t="s">
        <v>1186</v>
      </c>
      <c r="B969" s="84"/>
      <c r="C969" s="9"/>
      <c r="D969" s="9" t="str">
        <f t="shared" si="1"/>
        <v/>
      </c>
      <c r="E969" s="10" t="str">
        <f t="shared" si="2"/>
        <v>OT Hours</v>
      </c>
      <c r="F969" s="10" t="str">
        <f>IFERROR(VLOOKUP(C969,'Employees List'!$B$1:$I$999,4,0),"")</f>
        <v/>
      </c>
      <c r="G969" s="10" t="str">
        <f t="shared" si="21"/>
        <v>#DIV/0!</v>
      </c>
      <c r="H969" s="72" t="str">
        <f>IFERROR(VLOOKUP(C969,'Employees List'!$B$2:$I$991,7,0),"")</f>
        <v/>
      </c>
      <c r="I969" s="73" t="str">
        <f>IFERROR(VLOOKUP(F969,'Employees List'!$E$1:$AE$991,6,0),"")</f>
        <v/>
      </c>
      <c r="J969" s="71">
        <f t="shared" si="3"/>
        <v>0</v>
      </c>
      <c r="K969" s="71">
        <f t="shared" si="4"/>
        <v>0</v>
      </c>
      <c r="L969" s="10" t="str">
        <f>IFERROR(VLOOKUP(B969,'Employees List'!$A$2:$K$991,11,0),"")</f>
        <v/>
      </c>
      <c r="M969" s="74" t="str">
        <f>IFERROR(VLOOKUP(D969,'Daily Attendance 25-26'!$A$4:BP999,5,0),"")</f>
        <v/>
      </c>
      <c r="N969" s="10" t="str">
        <f>IFERROR(VLOOKUP(E969,'Daily Attendance 25-26'!$A$1:$BO$1741,5,0),"")</f>
        <v/>
      </c>
      <c r="O969" s="10"/>
      <c r="P969" s="10"/>
      <c r="Q969" s="10" t="str">
        <f t="shared" si="5"/>
        <v>#DIV/0!</v>
      </c>
      <c r="R969" s="10" t="str">
        <f t="shared" si="6"/>
        <v>#DIV/0!</v>
      </c>
      <c r="S969" s="10" t="str">
        <f t="shared" si="23"/>
        <v>#DIV/0!</v>
      </c>
      <c r="T969" s="10" t="str">
        <f t="shared" si="22"/>
        <v>#DIV/0!</v>
      </c>
      <c r="U969" s="10" t="str">
        <f t="shared" si="8"/>
        <v>#DIV/0!</v>
      </c>
      <c r="V969" s="10"/>
      <c r="W969" s="10"/>
      <c r="X969" s="10"/>
      <c r="Y969" s="10"/>
      <c r="Z969" s="10"/>
      <c r="AA969" s="10"/>
      <c r="AB969" s="10"/>
      <c r="AC969" s="10"/>
      <c r="AD969" s="10"/>
      <c r="AE969" s="10"/>
      <c r="AF969" s="10"/>
    </row>
    <row r="970" hidden="1">
      <c r="A970" s="9" t="s">
        <v>1187</v>
      </c>
      <c r="B970" s="84"/>
      <c r="C970" s="9"/>
      <c r="D970" s="9" t="str">
        <f t="shared" si="1"/>
        <v/>
      </c>
      <c r="E970" s="10" t="str">
        <f t="shared" si="2"/>
        <v>OT Hours</v>
      </c>
      <c r="F970" s="10" t="str">
        <f>IFERROR(VLOOKUP(C970,'Employees List'!$B$1:$I$999,4,0),"")</f>
        <v/>
      </c>
      <c r="G970" s="10" t="str">
        <f t="shared" si="21"/>
        <v>#DIV/0!</v>
      </c>
      <c r="H970" s="72" t="str">
        <f>IFERROR(VLOOKUP(C970,'Employees List'!$B$2:$I$991,7,0),"")</f>
        <v/>
      </c>
      <c r="I970" s="73" t="str">
        <f>IFERROR(VLOOKUP(F970,'Employees List'!$E$1:$AE$991,6,0),"")</f>
        <v/>
      </c>
      <c r="J970" s="71">
        <f t="shared" si="3"/>
        <v>0</v>
      </c>
      <c r="K970" s="71">
        <f t="shared" si="4"/>
        <v>0</v>
      </c>
      <c r="L970" s="10" t="str">
        <f>IFERROR(VLOOKUP(B970,'Employees List'!$A$2:$K$991,11,0),"")</f>
        <v/>
      </c>
      <c r="M970" s="74" t="str">
        <f>IFERROR(VLOOKUP(D970,'Daily Attendance 25-26'!$A$4:BP999,5,0),"")</f>
        <v/>
      </c>
      <c r="N970" s="10" t="str">
        <f>IFERROR(VLOOKUP(E970,'Daily Attendance 25-26'!$A$1:$BO$1741,5,0),"")</f>
        <v/>
      </c>
      <c r="O970" s="10"/>
      <c r="P970" s="10"/>
      <c r="Q970" s="10" t="str">
        <f t="shared" si="5"/>
        <v>#DIV/0!</v>
      </c>
      <c r="R970" s="10" t="str">
        <f t="shared" si="6"/>
        <v>#DIV/0!</v>
      </c>
      <c r="S970" s="10" t="str">
        <f t="shared" si="23"/>
        <v>#DIV/0!</v>
      </c>
      <c r="T970" s="10" t="str">
        <f t="shared" si="22"/>
        <v>#DIV/0!</v>
      </c>
      <c r="U970" s="10" t="str">
        <f t="shared" si="8"/>
        <v>#DIV/0!</v>
      </c>
      <c r="V970" s="10"/>
      <c r="W970" s="10"/>
      <c r="X970" s="10"/>
      <c r="Y970" s="10"/>
      <c r="Z970" s="10"/>
      <c r="AA970" s="10"/>
      <c r="AB970" s="10"/>
      <c r="AC970" s="10"/>
      <c r="AD970" s="10"/>
      <c r="AE970" s="10"/>
      <c r="AF970" s="10"/>
    </row>
    <row r="971" hidden="1">
      <c r="A971" s="9" t="s">
        <v>1188</v>
      </c>
      <c r="B971" s="84"/>
      <c r="C971" s="9"/>
      <c r="D971" s="9" t="str">
        <f t="shared" si="1"/>
        <v/>
      </c>
      <c r="E971" s="10" t="str">
        <f t="shared" si="2"/>
        <v>OT Hours</v>
      </c>
      <c r="F971" s="10" t="str">
        <f>IFERROR(VLOOKUP(C971,'Employees List'!$B$1:$I$999,4,0),"")</f>
        <v/>
      </c>
      <c r="G971" s="10" t="str">
        <f t="shared" si="21"/>
        <v>#DIV/0!</v>
      </c>
      <c r="H971" s="72" t="str">
        <f>IFERROR(VLOOKUP(C971,'Employees List'!$B$2:$I$991,7,0),"")</f>
        <v/>
      </c>
      <c r="I971" s="73" t="str">
        <f>IFERROR(VLOOKUP(F971,'Employees List'!$E$1:$AE$991,6,0),"")</f>
        <v/>
      </c>
      <c r="J971" s="71">
        <f t="shared" si="3"/>
        <v>0</v>
      </c>
      <c r="K971" s="71">
        <f t="shared" si="4"/>
        <v>0</v>
      </c>
      <c r="L971" s="10" t="str">
        <f>IFERROR(VLOOKUP(B971,'Employees List'!$A$2:$K$991,11,0),"")</f>
        <v/>
      </c>
      <c r="M971" s="74" t="str">
        <f>IFERROR(VLOOKUP(D971,'Daily Attendance 25-26'!$A$4:BP999,5,0),"")</f>
        <v/>
      </c>
      <c r="N971" s="10" t="str">
        <f>IFERROR(VLOOKUP(E971,'Daily Attendance 25-26'!$A$1:$BO$1741,5,0),"")</f>
        <v/>
      </c>
      <c r="O971" s="10"/>
      <c r="P971" s="10"/>
      <c r="Q971" s="10" t="str">
        <f t="shared" si="5"/>
        <v>#DIV/0!</v>
      </c>
      <c r="R971" s="10" t="str">
        <f t="shared" si="6"/>
        <v>#DIV/0!</v>
      </c>
      <c r="S971" s="10" t="str">
        <f t="shared" si="23"/>
        <v>#DIV/0!</v>
      </c>
      <c r="T971" s="10" t="str">
        <f t="shared" si="22"/>
        <v>#DIV/0!</v>
      </c>
      <c r="U971" s="10" t="str">
        <f t="shared" si="8"/>
        <v>#DIV/0!</v>
      </c>
      <c r="V971" s="10"/>
      <c r="W971" s="10"/>
      <c r="X971" s="10"/>
      <c r="Y971" s="10"/>
      <c r="Z971" s="10"/>
      <c r="AA971" s="10"/>
      <c r="AB971" s="10"/>
      <c r="AC971" s="10"/>
      <c r="AD971" s="10"/>
      <c r="AE971" s="10"/>
      <c r="AF971" s="10"/>
    </row>
    <row r="972" hidden="1">
      <c r="A972" s="9" t="s">
        <v>1189</v>
      </c>
      <c r="B972" s="84"/>
      <c r="C972" s="9"/>
      <c r="D972" s="9" t="str">
        <f t="shared" si="1"/>
        <v/>
      </c>
      <c r="E972" s="10" t="str">
        <f t="shared" si="2"/>
        <v>OT Hours</v>
      </c>
      <c r="F972" s="10" t="str">
        <f>IFERROR(VLOOKUP(C972,'Employees List'!$B$1:$I$999,4,0),"")</f>
        <v/>
      </c>
      <c r="G972" s="10" t="str">
        <f t="shared" si="21"/>
        <v>#DIV/0!</v>
      </c>
      <c r="H972" s="72" t="str">
        <f>IFERROR(VLOOKUP(C972,'Employees List'!$B$2:$I$991,7,0),"")</f>
        <v/>
      </c>
      <c r="I972" s="73" t="str">
        <f>IFERROR(VLOOKUP(F972,'Employees List'!$E$1:$AE$991,6,0),"")</f>
        <v/>
      </c>
      <c r="J972" s="71">
        <f t="shared" si="3"/>
        <v>0</v>
      </c>
      <c r="K972" s="71">
        <f t="shared" si="4"/>
        <v>0</v>
      </c>
      <c r="L972" s="10" t="str">
        <f>IFERROR(VLOOKUP(B972,'Employees List'!$A$2:$K$991,11,0),"")</f>
        <v/>
      </c>
      <c r="M972" s="74" t="str">
        <f>IFERROR(VLOOKUP(D972,'Daily Attendance 25-26'!$A$4:BP999,5,0),"")</f>
        <v/>
      </c>
      <c r="N972" s="10" t="str">
        <f>IFERROR(VLOOKUP(E972,'Daily Attendance 25-26'!$A$1:$BO$1741,5,0),"")</f>
        <v/>
      </c>
      <c r="O972" s="10"/>
      <c r="P972" s="10"/>
      <c r="Q972" s="10" t="str">
        <f t="shared" si="5"/>
        <v>#DIV/0!</v>
      </c>
      <c r="R972" s="10" t="str">
        <f t="shared" si="6"/>
        <v>#DIV/0!</v>
      </c>
      <c r="S972" s="10" t="str">
        <f t="shared" si="23"/>
        <v>#DIV/0!</v>
      </c>
      <c r="T972" s="10" t="str">
        <f t="shared" si="22"/>
        <v>#DIV/0!</v>
      </c>
      <c r="U972" s="10" t="str">
        <f t="shared" si="8"/>
        <v>#DIV/0!</v>
      </c>
      <c r="V972" s="10"/>
      <c r="W972" s="10"/>
      <c r="X972" s="10"/>
      <c r="Y972" s="10"/>
      <c r="Z972" s="10"/>
      <c r="AA972" s="10"/>
      <c r="AB972" s="10"/>
      <c r="AC972" s="10"/>
      <c r="AD972" s="10"/>
      <c r="AE972" s="10"/>
      <c r="AF972" s="10"/>
    </row>
    <row r="973" hidden="1">
      <c r="A973" s="9" t="s">
        <v>1190</v>
      </c>
      <c r="B973" s="84"/>
      <c r="C973" s="9"/>
      <c r="D973" s="9" t="str">
        <f t="shared" si="1"/>
        <v/>
      </c>
      <c r="E973" s="10" t="str">
        <f t="shared" si="2"/>
        <v>OT Hours</v>
      </c>
      <c r="F973" s="10" t="str">
        <f>IFERROR(VLOOKUP(C973,'Employees List'!$B$1:$I$999,4,0),"")</f>
        <v/>
      </c>
      <c r="G973" s="10" t="str">
        <f t="shared" si="21"/>
        <v>#DIV/0!</v>
      </c>
      <c r="H973" s="72" t="str">
        <f>IFERROR(VLOOKUP(C973,'Employees List'!$B$2:$I$991,7,0),"")</f>
        <v/>
      </c>
      <c r="I973" s="73" t="str">
        <f>IFERROR(VLOOKUP(F973,'Employees List'!$E$1:$AE$991,6,0),"")</f>
        <v/>
      </c>
      <c r="J973" s="71">
        <f t="shared" si="3"/>
        <v>0</v>
      </c>
      <c r="K973" s="71">
        <f t="shared" si="4"/>
        <v>0</v>
      </c>
      <c r="L973" s="10" t="str">
        <f>IFERROR(VLOOKUP(B973,'Employees List'!$A$2:$K$991,11,0),"")</f>
        <v/>
      </c>
      <c r="M973" s="74" t="str">
        <f>IFERROR(VLOOKUP(D973,'Daily Attendance 25-26'!$A$4:BP999,5,0),"")</f>
        <v/>
      </c>
      <c r="N973" s="10" t="str">
        <f>IFERROR(VLOOKUP(E973,'Daily Attendance 25-26'!$A$1:$BO$1741,5,0),"")</f>
        <v/>
      </c>
      <c r="O973" s="10"/>
      <c r="P973" s="10"/>
      <c r="Q973" s="10" t="str">
        <f t="shared" si="5"/>
        <v>#DIV/0!</v>
      </c>
      <c r="R973" s="10" t="str">
        <f t="shared" si="6"/>
        <v>#DIV/0!</v>
      </c>
      <c r="S973" s="10" t="str">
        <f t="shared" si="23"/>
        <v>#DIV/0!</v>
      </c>
      <c r="T973" s="10" t="str">
        <f t="shared" si="22"/>
        <v>#DIV/0!</v>
      </c>
      <c r="U973" s="10" t="str">
        <f t="shared" si="8"/>
        <v>#DIV/0!</v>
      </c>
      <c r="V973" s="10"/>
      <c r="W973" s="10"/>
      <c r="X973" s="10"/>
      <c r="Y973" s="10"/>
      <c r="Z973" s="10"/>
      <c r="AA973" s="10"/>
      <c r="AB973" s="10"/>
      <c r="AC973" s="10"/>
      <c r="AD973" s="10"/>
      <c r="AE973" s="10"/>
      <c r="AF973" s="10"/>
    </row>
    <row r="974" hidden="1">
      <c r="A974" s="9" t="s">
        <v>1191</v>
      </c>
      <c r="B974" s="84"/>
      <c r="C974" s="9"/>
      <c r="D974" s="9" t="str">
        <f t="shared" si="1"/>
        <v/>
      </c>
      <c r="E974" s="10" t="str">
        <f t="shared" si="2"/>
        <v>OT Hours</v>
      </c>
      <c r="F974" s="10" t="str">
        <f>IFERROR(VLOOKUP(C974,'Employees List'!$B$1:$I$999,4,0),"")</f>
        <v/>
      </c>
      <c r="G974" s="10" t="str">
        <f t="shared" si="21"/>
        <v>#DIV/0!</v>
      </c>
      <c r="H974" s="72" t="str">
        <f>IFERROR(VLOOKUP(C974,'Employees List'!$B$2:$I$991,7,0),"")</f>
        <v/>
      </c>
      <c r="I974" s="73" t="str">
        <f>IFERROR(VLOOKUP(F974,'Employees List'!$E$1:$AE$991,6,0),"")</f>
        <v/>
      </c>
      <c r="J974" s="71">
        <f t="shared" si="3"/>
        <v>0</v>
      </c>
      <c r="K974" s="71">
        <f t="shared" si="4"/>
        <v>0</v>
      </c>
      <c r="L974" s="10" t="str">
        <f>IFERROR(VLOOKUP(B974,'Employees List'!$A$2:$K$991,11,0),"")</f>
        <v/>
      </c>
      <c r="M974" s="74" t="str">
        <f>IFERROR(VLOOKUP(D974,'Daily Attendance 25-26'!$A$4:BP999,5,0),"")</f>
        <v/>
      </c>
      <c r="N974" s="10" t="str">
        <f>IFERROR(VLOOKUP(E974,'Daily Attendance 25-26'!$A$1:$BO$1741,5,0),"")</f>
        <v/>
      </c>
      <c r="O974" s="10"/>
      <c r="P974" s="10"/>
      <c r="Q974" s="10" t="str">
        <f t="shared" si="5"/>
        <v>#DIV/0!</v>
      </c>
      <c r="R974" s="10" t="str">
        <f t="shared" si="6"/>
        <v>#DIV/0!</v>
      </c>
      <c r="S974" s="10" t="str">
        <f t="shared" si="23"/>
        <v>#DIV/0!</v>
      </c>
      <c r="T974" s="10" t="str">
        <f t="shared" si="22"/>
        <v>#DIV/0!</v>
      </c>
      <c r="U974" s="10" t="str">
        <f t="shared" si="8"/>
        <v>#DIV/0!</v>
      </c>
      <c r="V974" s="10"/>
      <c r="W974" s="10"/>
      <c r="X974" s="10"/>
      <c r="Y974" s="10"/>
      <c r="Z974" s="10"/>
      <c r="AA974" s="10"/>
      <c r="AB974" s="10"/>
      <c r="AC974" s="10"/>
      <c r="AD974" s="10"/>
      <c r="AE974" s="10"/>
      <c r="AF974" s="10"/>
    </row>
    <row r="975" hidden="1">
      <c r="A975" s="9" t="s">
        <v>1192</v>
      </c>
      <c r="B975" s="84"/>
      <c r="C975" s="9"/>
      <c r="D975" s="9" t="str">
        <f t="shared" si="1"/>
        <v/>
      </c>
      <c r="E975" s="10" t="str">
        <f t="shared" si="2"/>
        <v>OT Hours</v>
      </c>
      <c r="F975" s="10" t="str">
        <f>IFERROR(VLOOKUP(C975,'Employees List'!$B$1:$I$999,4,0),"")</f>
        <v/>
      </c>
      <c r="G975" s="10" t="str">
        <f t="shared" si="21"/>
        <v>#DIV/0!</v>
      </c>
      <c r="H975" s="72" t="str">
        <f>IFERROR(VLOOKUP(C975,'Employees List'!$B$2:$I$991,7,0),"")</f>
        <v/>
      </c>
      <c r="I975" s="73" t="str">
        <f>IFERROR(VLOOKUP(F975,'Employees List'!$E$1:$AE$991,6,0),"")</f>
        <v/>
      </c>
      <c r="J975" s="71">
        <f t="shared" si="3"/>
        <v>0</v>
      </c>
      <c r="K975" s="71">
        <f t="shared" si="4"/>
        <v>0</v>
      </c>
      <c r="L975" s="10" t="str">
        <f>IFERROR(VLOOKUP(B975,'Employees List'!$A$2:$K$991,11,0),"")</f>
        <v/>
      </c>
      <c r="M975" s="74" t="str">
        <f>IFERROR(VLOOKUP(D975,'Daily Attendance 25-26'!$A$4:BP999,5,0),"")</f>
        <v/>
      </c>
      <c r="N975" s="10" t="str">
        <f>IFERROR(VLOOKUP(E975,'Daily Attendance 25-26'!$A$1:$BO$1741,5,0),"")</f>
        <v/>
      </c>
      <c r="O975" s="10"/>
      <c r="P975" s="10"/>
      <c r="Q975" s="10" t="str">
        <f t="shared" si="5"/>
        <v>#DIV/0!</v>
      </c>
      <c r="R975" s="10" t="str">
        <f t="shared" si="6"/>
        <v>#DIV/0!</v>
      </c>
      <c r="S975" s="10" t="str">
        <f t="shared" si="23"/>
        <v>#DIV/0!</v>
      </c>
      <c r="T975" s="10" t="str">
        <f t="shared" si="22"/>
        <v>#DIV/0!</v>
      </c>
      <c r="U975" s="10" t="str">
        <f t="shared" si="8"/>
        <v>#DIV/0!</v>
      </c>
      <c r="V975" s="10"/>
      <c r="W975" s="10"/>
      <c r="X975" s="10"/>
      <c r="Y975" s="10"/>
      <c r="Z975" s="10"/>
      <c r="AA975" s="10"/>
      <c r="AB975" s="10"/>
      <c r="AC975" s="10"/>
      <c r="AD975" s="10"/>
      <c r="AE975" s="10"/>
      <c r="AF975" s="10"/>
    </row>
    <row r="976" hidden="1">
      <c r="A976" s="9" t="s">
        <v>1193</v>
      </c>
      <c r="B976" s="84"/>
      <c r="C976" s="9"/>
      <c r="D976" s="9" t="str">
        <f t="shared" si="1"/>
        <v/>
      </c>
      <c r="E976" s="10" t="str">
        <f t="shared" si="2"/>
        <v>OT Hours</v>
      </c>
      <c r="F976" s="10" t="str">
        <f>IFERROR(VLOOKUP(C976,'Employees List'!$B$1:$I$999,4,0),"")</f>
        <v/>
      </c>
      <c r="G976" s="10" t="str">
        <f t="shared" si="21"/>
        <v>#DIV/0!</v>
      </c>
      <c r="H976" s="72" t="str">
        <f>IFERROR(VLOOKUP(C976,'Employees List'!$B$2:$I$991,7,0),"")</f>
        <v/>
      </c>
      <c r="I976" s="73" t="str">
        <f>IFERROR(VLOOKUP(F976,'Employees List'!$E$1:$AE$991,6,0),"")</f>
        <v/>
      </c>
      <c r="J976" s="71">
        <f t="shared" si="3"/>
        <v>0</v>
      </c>
      <c r="K976" s="71">
        <f t="shared" si="4"/>
        <v>0</v>
      </c>
      <c r="L976" s="10" t="str">
        <f>IFERROR(VLOOKUP(B976,'Employees List'!$A$2:$K$991,11,0),"")</f>
        <v/>
      </c>
      <c r="M976" s="74" t="str">
        <f>IFERROR(VLOOKUP(D976,'Daily Attendance 25-26'!$A$4:BP999,5,0),"")</f>
        <v/>
      </c>
      <c r="N976" s="10" t="str">
        <f>IFERROR(VLOOKUP(E976,'Daily Attendance 25-26'!$A$1:$BO$1741,5,0),"")</f>
        <v/>
      </c>
      <c r="O976" s="10"/>
      <c r="P976" s="10"/>
      <c r="Q976" s="10" t="str">
        <f t="shared" si="5"/>
        <v>#DIV/0!</v>
      </c>
      <c r="R976" s="10" t="str">
        <f t="shared" si="6"/>
        <v>#DIV/0!</v>
      </c>
      <c r="S976" s="10" t="str">
        <f t="shared" si="23"/>
        <v>#DIV/0!</v>
      </c>
      <c r="T976" s="10" t="str">
        <f t="shared" si="22"/>
        <v>#DIV/0!</v>
      </c>
      <c r="U976" s="10" t="str">
        <f t="shared" si="8"/>
        <v>#DIV/0!</v>
      </c>
      <c r="V976" s="10"/>
      <c r="W976" s="10"/>
      <c r="X976" s="10"/>
      <c r="Y976" s="10"/>
      <c r="Z976" s="10"/>
      <c r="AA976" s="10"/>
      <c r="AB976" s="10"/>
      <c r="AC976" s="10"/>
      <c r="AD976" s="10"/>
      <c r="AE976" s="10"/>
      <c r="AF976" s="10"/>
    </row>
    <row r="977" hidden="1">
      <c r="A977" s="9" t="s">
        <v>1194</v>
      </c>
      <c r="B977" s="84"/>
      <c r="C977" s="9"/>
      <c r="D977" s="9" t="str">
        <f t="shared" si="1"/>
        <v/>
      </c>
      <c r="E977" s="10" t="str">
        <f t="shared" si="2"/>
        <v>OT Hours</v>
      </c>
      <c r="F977" s="10" t="str">
        <f>IFERROR(VLOOKUP(C977,'Employees List'!$B$1:$I$999,4,0),"")</f>
        <v/>
      </c>
      <c r="G977" s="10" t="str">
        <f t="shared" si="21"/>
        <v>#DIV/0!</v>
      </c>
      <c r="H977" s="72" t="str">
        <f>IFERROR(VLOOKUP(C977,'Employees List'!$B$2:$I$991,7,0),"")</f>
        <v/>
      </c>
      <c r="I977" s="73" t="str">
        <f>IFERROR(VLOOKUP(F977,'Employees List'!$E$1:$AE$991,6,0),"")</f>
        <v/>
      </c>
      <c r="J977" s="71">
        <f t="shared" si="3"/>
        <v>0</v>
      </c>
      <c r="K977" s="71">
        <f t="shared" si="4"/>
        <v>0</v>
      </c>
      <c r="L977" s="10" t="str">
        <f>IFERROR(VLOOKUP(B977,'Employees List'!$A$2:$K$991,11,0),"")</f>
        <v/>
      </c>
      <c r="M977" s="74" t="str">
        <f>IFERROR(VLOOKUP(D977,'Daily Attendance 25-26'!$A$4:BP999,5,0),"")</f>
        <v/>
      </c>
      <c r="N977" s="10" t="str">
        <f>IFERROR(VLOOKUP(E977,'Daily Attendance 25-26'!$A$1:$BO$1741,5,0),"")</f>
        <v/>
      </c>
      <c r="O977" s="10"/>
      <c r="P977" s="10"/>
      <c r="Q977" s="10" t="str">
        <f t="shared" si="5"/>
        <v>#DIV/0!</v>
      </c>
      <c r="R977" s="10" t="str">
        <f t="shared" si="6"/>
        <v>#DIV/0!</v>
      </c>
      <c r="S977" s="10" t="str">
        <f t="shared" si="23"/>
        <v>#DIV/0!</v>
      </c>
      <c r="T977" s="10" t="str">
        <f t="shared" si="22"/>
        <v>#DIV/0!</v>
      </c>
      <c r="U977" s="10" t="str">
        <f t="shared" si="8"/>
        <v>#DIV/0!</v>
      </c>
      <c r="V977" s="10"/>
      <c r="W977" s="10"/>
      <c r="X977" s="10"/>
      <c r="Y977" s="10"/>
      <c r="Z977" s="10"/>
      <c r="AA977" s="10"/>
      <c r="AB977" s="10"/>
      <c r="AC977" s="10"/>
      <c r="AD977" s="10"/>
      <c r="AE977" s="10"/>
      <c r="AF977" s="10"/>
    </row>
    <row r="978" hidden="1">
      <c r="A978" s="9" t="s">
        <v>1195</v>
      </c>
      <c r="B978" s="84"/>
      <c r="C978" s="9"/>
      <c r="D978" s="9" t="str">
        <f t="shared" si="1"/>
        <v/>
      </c>
      <c r="E978" s="10" t="str">
        <f t="shared" si="2"/>
        <v>OT Hours</v>
      </c>
      <c r="F978" s="10" t="str">
        <f>IFERROR(VLOOKUP(C978,'Employees List'!$B$1:$I$999,4,0),"")</f>
        <v/>
      </c>
      <c r="G978" s="10" t="str">
        <f t="shared" si="21"/>
        <v>#DIV/0!</v>
      </c>
      <c r="H978" s="72" t="str">
        <f>IFERROR(VLOOKUP(C978,'Employees List'!$B$2:$I$991,7,0),"")</f>
        <v/>
      </c>
      <c r="I978" s="73" t="str">
        <f>IFERROR(VLOOKUP(F978,'Employees List'!$E$1:$AE$991,6,0),"")</f>
        <v/>
      </c>
      <c r="J978" s="71">
        <f t="shared" si="3"/>
        <v>0</v>
      </c>
      <c r="K978" s="71">
        <f t="shared" si="4"/>
        <v>0</v>
      </c>
      <c r="L978" s="10" t="str">
        <f>IFERROR(VLOOKUP(B978,'Employees List'!$A$2:$K$991,11,0),"")</f>
        <v/>
      </c>
      <c r="M978" s="74" t="str">
        <f>IFERROR(VLOOKUP(D978,'Daily Attendance 25-26'!$A$4:BP999,5,0),"")</f>
        <v/>
      </c>
      <c r="N978" s="10" t="str">
        <f>IFERROR(VLOOKUP(E978,'Daily Attendance 25-26'!$A$1:$BO$1741,5,0),"")</f>
        <v/>
      </c>
      <c r="O978" s="10"/>
      <c r="P978" s="10"/>
      <c r="Q978" s="10" t="str">
        <f t="shared" si="5"/>
        <v>#DIV/0!</v>
      </c>
      <c r="R978" s="10" t="str">
        <f t="shared" si="6"/>
        <v>#DIV/0!</v>
      </c>
      <c r="S978" s="10" t="str">
        <f t="shared" si="23"/>
        <v>#DIV/0!</v>
      </c>
      <c r="T978" s="10" t="str">
        <f t="shared" si="22"/>
        <v>#DIV/0!</v>
      </c>
      <c r="U978" s="10" t="str">
        <f t="shared" si="8"/>
        <v>#DIV/0!</v>
      </c>
      <c r="V978" s="10"/>
      <c r="W978" s="10"/>
      <c r="X978" s="10"/>
      <c r="Y978" s="10"/>
      <c r="Z978" s="10"/>
      <c r="AA978" s="10"/>
      <c r="AB978" s="10"/>
      <c r="AC978" s="10"/>
      <c r="AD978" s="10"/>
      <c r="AE978" s="10"/>
      <c r="AF978" s="10"/>
    </row>
    <row r="979" hidden="1">
      <c r="A979" s="9" t="s">
        <v>1196</v>
      </c>
      <c r="B979" s="84"/>
      <c r="C979" s="9"/>
      <c r="D979" s="9" t="str">
        <f t="shared" si="1"/>
        <v/>
      </c>
      <c r="E979" s="10" t="str">
        <f t="shared" si="2"/>
        <v>OT Hours</v>
      </c>
      <c r="F979" s="10" t="str">
        <f>IFERROR(VLOOKUP(C979,'Employees List'!$B$1:$I$999,4,0),"")</f>
        <v/>
      </c>
      <c r="G979" s="10" t="str">
        <f t="shared" si="21"/>
        <v>#DIV/0!</v>
      </c>
      <c r="H979" s="72" t="str">
        <f>IFERROR(VLOOKUP(C979,'Employees List'!$B$2:$I$991,7,0),"")</f>
        <v/>
      </c>
      <c r="I979" s="73" t="str">
        <f>IFERROR(VLOOKUP(F979,'Employees List'!$E$1:$AE$991,6,0),"")</f>
        <v/>
      </c>
      <c r="J979" s="71">
        <f t="shared" si="3"/>
        <v>0</v>
      </c>
      <c r="K979" s="71">
        <f t="shared" si="4"/>
        <v>0</v>
      </c>
      <c r="L979" s="10" t="str">
        <f>IFERROR(VLOOKUP(B979,'Employees List'!$A$2:$K$991,11,0),"")</f>
        <v/>
      </c>
      <c r="M979" s="74" t="str">
        <f>IFERROR(VLOOKUP(D979,'Daily Attendance 25-26'!$A$4:BP999,5,0),"")</f>
        <v/>
      </c>
      <c r="N979" s="10" t="str">
        <f>IFERROR(VLOOKUP(E979,'Daily Attendance 25-26'!$A$1:$BO$1741,5,0),"")</f>
        <v/>
      </c>
      <c r="O979" s="10"/>
      <c r="P979" s="10"/>
      <c r="Q979" s="10" t="str">
        <f t="shared" si="5"/>
        <v>#DIV/0!</v>
      </c>
      <c r="R979" s="10" t="str">
        <f t="shared" si="6"/>
        <v>#DIV/0!</v>
      </c>
      <c r="S979" s="10" t="str">
        <f t="shared" si="23"/>
        <v>#DIV/0!</v>
      </c>
      <c r="T979" s="10" t="str">
        <f t="shared" si="22"/>
        <v>#DIV/0!</v>
      </c>
      <c r="U979" s="10" t="str">
        <f t="shared" si="8"/>
        <v>#DIV/0!</v>
      </c>
      <c r="V979" s="10"/>
      <c r="W979" s="10"/>
      <c r="X979" s="10"/>
      <c r="Y979" s="10"/>
      <c r="Z979" s="10"/>
      <c r="AA979" s="10"/>
      <c r="AB979" s="10"/>
      <c r="AC979" s="10"/>
      <c r="AD979" s="10"/>
      <c r="AE979" s="10"/>
      <c r="AF979" s="10"/>
    </row>
    <row r="980" hidden="1">
      <c r="A980" s="9" t="s">
        <v>1197</v>
      </c>
      <c r="B980" s="84"/>
      <c r="C980" s="9"/>
      <c r="D980" s="9" t="str">
        <f t="shared" si="1"/>
        <v/>
      </c>
      <c r="E980" s="10" t="str">
        <f t="shared" si="2"/>
        <v>OT Hours</v>
      </c>
      <c r="F980" s="10" t="str">
        <f>IFERROR(VLOOKUP(C980,'Employees List'!$B$1:$I$999,4,0),"")</f>
        <v/>
      </c>
      <c r="G980" s="10" t="str">
        <f t="shared" si="21"/>
        <v>#DIV/0!</v>
      </c>
      <c r="H980" s="72" t="str">
        <f>IFERROR(VLOOKUP(C980,'Employees List'!$B$2:$I$991,7,0),"")</f>
        <v/>
      </c>
      <c r="I980" s="73" t="str">
        <f>IFERROR(VLOOKUP(F980,'Employees List'!$E$1:$AE$991,6,0),"")</f>
        <v/>
      </c>
      <c r="J980" s="71">
        <f t="shared" si="3"/>
        <v>0</v>
      </c>
      <c r="K980" s="71">
        <f t="shared" si="4"/>
        <v>0</v>
      </c>
      <c r="L980" s="10" t="str">
        <f>IFERROR(VLOOKUP(B980,'Employees List'!$A$2:$K$991,11,0),"")</f>
        <v/>
      </c>
      <c r="M980" s="74" t="str">
        <f>IFERROR(VLOOKUP(D980,'Daily Attendance 25-26'!$A$4:BP999,5,0),"")</f>
        <v/>
      </c>
      <c r="N980" s="10" t="str">
        <f>IFERROR(VLOOKUP(E980,'Daily Attendance 25-26'!$A$1:$BO$1741,5,0),"")</f>
        <v/>
      </c>
      <c r="O980" s="10"/>
      <c r="P980" s="10"/>
      <c r="Q980" s="10" t="str">
        <f t="shared" si="5"/>
        <v>#DIV/0!</v>
      </c>
      <c r="R980" s="10" t="str">
        <f t="shared" si="6"/>
        <v>#DIV/0!</v>
      </c>
      <c r="S980" s="10" t="str">
        <f t="shared" si="23"/>
        <v>#DIV/0!</v>
      </c>
      <c r="T980" s="10" t="str">
        <f t="shared" si="22"/>
        <v>#DIV/0!</v>
      </c>
      <c r="U980" s="10" t="str">
        <f t="shared" si="8"/>
        <v>#DIV/0!</v>
      </c>
      <c r="V980" s="10"/>
      <c r="W980" s="10"/>
      <c r="X980" s="10"/>
      <c r="Y980" s="10"/>
      <c r="Z980" s="10"/>
      <c r="AA980" s="10"/>
      <c r="AB980" s="10"/>
      <c r="AC980" s="10"/>
      <c r="AD980" s="10"/>
      <c r="AE980" s="10"/>
      <c r="AF980" s="10"/>
    </row>
    <row r="981" hidden="1">
      <c r="A981" s="9" t="s">
        <v>1198</v>
      </c>
      <c r="B981" s="84"/>
      <c r="C981" s="9"/>
      <c r="D981" s="9" t="str">
        <f t="shared" si="1"/>
        <v/>
      </c>
      <c r="E981" s="10" t="str">
        <f t="shared" si="2"/>
        <v>OT Hours</v>
      </c>
      <c r="F981" s="10" t="str">
        <f>IFERROR(VLOOKUP(C981,'Employees List'!$B$1:$I$999,4,0),"")</f>
        <v/>
      </c>
      <c r="G981" s="10" t="str">
        <f t="shared" si="21"/>
        <v>#DIV/0!</v>
      </c>
      <c r="H981" s="72" t="str">
        <f>IFERROR(VLOOKUP(C981,'Employees List'!$B$2:$I$991,7,0),"")</f>
        <v/>
      </c>
      <c r="I981" s="73" t="str">
        <f>IFERROR(VLOOKUP(F981,'Employees List'!$E$1:$AE$991,6,0),"")</f>
        <v/>
      </c>
      <c r="J981" s="71">
        <f t="shared" si="3"/>
        <v>0</v>
      </c>
      <c r="K981" s="71">
        <f t="shared" si="4"/>
        <v>0</v>
      </c>
      <c r="L981" s="10" t="str">
        <f>IFERROR(VLOOKUP(B981,'Employees List'!$A$2:$K$991,11,0),"")</f>
        <v/>
      </c>
      <c r="M981" s="74" t="str">
        <f>IFERROR(VLOOKUP(D981,'Daily Attendance 25-26'!$A$4:BP999,5,0),"")</f>
        <v/>
      </c>
      <c r="N981" s="10" t="str">
        <f>IFERROR(VLOOKUP(E981,'Daily Attendance 25-26'!$A$1:$BO$1741,5,0),"")</f>
        <v/>
      </c>
      <c r="O981" s="10"/>
      <c r="P981" s="10"/>
      <c r="Q981" s="10" t="str">
        <f t="shared" si="5"/>
        <v>#DIV/0!</v>
      </c>
      <c r="R981" s="10" t="str">
        <f t="shared" si="6"/>
        <v>#DIV/0!</v>
      </c>
      <c r="S981" s="10" t="str">
        <f t="shared" si="23"/>
        <v>#DIV/0!</v>
      </c>
      <c r="T981" s="10" t="str">
        <f t="shared" si="22"/>
        <v>#DIV/0!</v>
      </c>
      <c r="U981" s="10" t="str">
        <f t="shared" si="8"/>
        <v>#DIV/0!</v>
      </c>
      <c r="V981" s="10"/>
      <c r="W981" s="10"/>
      <c r="X981" s="10"/>
      <c r="Y981" s="10"/>
      <c r="Z981" s="10"/>
      <c r="AA981" s="10"/>
      <c r="AB981" s="10"/>
      <c r="AC981" s="10"/>
      <c r="AD981" s="10"/>
      <c r="AE981" s="10"/>
      <c r="AF981" s="10"/>
    </row>
    <row r="982" hidden="1">
      <c r="A982" s="9" t="s">
        <v>1199</v>
      </c>
      <c r="B982" s="84"/>
      <c r="C982" s="9"/>
      <c r="D982" s="9" t="str">
        <f t="shared" si="1"/>
        <v/>
      </c>
      <c r="E982" s="10" t="str">
        <f t="shared" si="2"/>
        <v>OT Hours</v>
      </c>
      <c r="F982" s="10" t="str">
        <f>IFERROR(VLOOKUP(C982,'Employees List'!$B$1:$I$999,4,0),"")</f>
        <v/>
      </c>
      <c r="G982" s="10" t="str">
        <f t="shared" si="21"/>
        <v>#DIV/0!</v>
      </c>
      <c r="H982" s="72" t="str">
        <f>IFERROR(VLOOKUP(C982,'Employees List'!$B$2:$I$991,7,0),"")</f>
        <v/>
      </c>
      <c r="I982" s="73" t="str">
        <f>IFERROR(VLOOKUP(F982,'Employees List'!$E$1:$AE$991,6,0),"")</f>
        <v/>
      </c>
      <c r="J982" s="71">
        <f t="shared" si="3"/>
        <v>0</v>
      </c>
      <c r="K982" s="71">
        <f t="shared" si="4"/>
        <v>0</v>
      </c>
      <c r="L982" s="10" t="str">
        <f>IFERROR(VLOOKUP(B982,'Employees List'!$A$2:$K$991,11,0),"")</f>
        <v/>
      </c>
      <c r="M982" s="74" t="str">
        <f>IFERROR(VLOOKUP(D982,'Daily Attendance 25-26'!$A$4:BP999,5,0),"")</f>
        <v/>
      </c>
      <c r="N982" s="10" t="str">
        <f>IFERROR(VLOOKUP(E982,'Daily Attendance 25-26'!$A$1:$BO$1741,5,0),"")</f>
        <v/>
      </c>
      <c r="O982" s="10"/>
      <c r="P982" s="10"/>
      <c r="Q982" s="10" t="str">
        <f t="shared" si="5"/>
        <v>#DIV/0!</v>
      </c>
      <c r="R982" s="10" t="str">
        <f t="shared" si="6"/>
        <v>#DIV/0!</v>
      </c>
      <c r="S982" s="10" t="str">
        <f t="shared" si="23"/>
        <v>#DIV/0!</v>
      </c>
      <c r="T982" s="10" t="str">
        <f t="shared" si="22"/>
        <v>#DIV/0!</v>
      </c>
      <c r="U982" s="10" t="str">
        <f t="shared" si="8"/>
        <v>#DIV/0!</v>
      </c>
      <c r="V982" s="10"/>
      <c r="W982" s="10"/>
      <c r="X982" s="10"/>
      <c r="Y982" s="10"/>
      <c r="Z982" s="10"/>
      <c r="AA982" s="10"/>
      <c r="AB982" s="10"/>
      <c r="AC982" s="10"/>
      <c r="AD982" s="10"/>
      <c r="AE982" s="10"/>
      <c r="AF982" s="10"/>
    </row>
    <row r="983" hidden="1">
      <c r="A983" s="9" t="s">
        <v>1200</v>
      </c>
      <c r="B983" s="84"/>
      <c r="C983" s="9"/>
      <c r="D983" s="9" t="str">
        <f t="shared" si="1"/>
        <v/>
      </c>
      <c r="E983" s="10" t="str">
        <f t="shared" si="2"/>
        <v>OT Hours</v>
      </c>
      <c r="F983" s="10" t="str">
        <f>IFERROR(VLOOKUP(C983,'Employees List'!$B$1:$I$999,4,0),"")</f>
        <v/>
      </c>
      <c r="G983" s="10" t="str">
        <f t="shared" si="21"/>
        <v>#DIV/0!</v>
      </c>
      <c r="H983" s="72" t="str">
        <f>IFERROR(VLOOKUP(C983,'Employees List'!$B$2:$I$991,7,0),"")</f>
        <v/>
      </c>
      <c r="I983" s="73" t="str">
        <f>IFERROR(VLOOKUP(F983,'Employees List'!$E$1:$AE$991,6,0),"")</f>
        <v/>
      </c>
      <c r="J983" s="71">
        <f t="shared" si="3"/>
        <v>0</v>
      </c>
      <c r="K983" s="71">
        <f t="shared" si="4"/>
        <v>0</v>
      </c>
      <c r="L983" s="10" t="str">
        <f>IFERROR(VLOOKUP(B983,'Employees List'!$A$2:$K$991,11,0),"")</f>
        <v/>
      </c>
      <c r="M983" s="74" t="str">
        <f>IFERROR(VLOOKUP(D983,'Daily Attendance 25-26'!$A$4:BP999,5,0),"")</f>
        <v/>
      </c>
      <c r="N983" s="10" t="str">
        <f>IFERROR(VLOOKUP(E983,'Daily Attendance 25-26'!$A$1:$BO$1741,5,0),"")</f>
        <v/>
      </c>
      <c r="O983" s="10"/>
      <c r="P983" s="10"/>
      <c r="Q983" s="10" t="str">
        <f t="shared" si="5"/>
        <v>#DIV/0!</v>
      </c>
      <c r="R983" s="10" t="str">
        <f t="shared" si="6"/>
        <v>#DIV/0!</v>
      </c>
      <c r="S983" s="10" t="str">
        <f t="shared" si="23"/>
        <v>#DIV/0!</v>
      </c>
      <c r="T983" s="10" t="str">
        <f t="shared" si="22"/>
        <v>#DIV/0!</v>
      </c>
      <c r="U983" s="10" t="str">
        <f t="shared" si="8"/>
        <v>#DIV/0!</v>
      </c>
      <c r="V983" s="10"/>
      <c r="W983" s="10"/>
      <c r="X983" s="10"/>
      <c r="Y983" s="10"/>
      <c r="Z983" s="10"/>
      <c r="AA983" s="10"/>
      <c r="AB983" s="10"/>
      <c r="AC983" s="10"/>
      <c r="AD983" s="10"/>
      <c r="AE983" s="10"/>
      <c r="AF983" s="10"/>
    </row>
    <row r="984" hidden="1">
      <c r="A984" s="9" t="s">
        <v>1201</v>
      </c>
      <c r="B984" s="84"/>
      <c r="C984" s="9"/>
      <c r="D984" s="9" t="str">
        <f t="shared" si="1"/>
        <v/>
      </c>
      <c r="E984" s="10" t="str">
        <f t="shared" si="2"/>
        <v>OT Hours</v>
      </c>
      <c r="F984" s="10" t="str">
        <f>IFERROR(VLOOKUP(C984,'Employees List'!$B$1:$I$999,4,0),"")</f>
        <v/>
      </c>
      <c r="G984" s="10" t="str">
        <f t="shared" si="21"/>
        <v>#DIV/0!</v>
      </c>
      <c r="H984" s="72" t="str">
        <f>IFERROR(VLOOKUP(C984,'Employees List'!$B$2:$I$991,7,0),"")</f>
        <v/>
      </c>
      <c r="I984" s="73" t="str">
        <f>IFERROR(VLOOKUP(F984,'Employees List'!$E$1:$AE$991,6,0),"")</f>
        <v/>
      </c>
      <c r="J984" s="71">
        <f t="shared" si="3"/>
        <v>0</v>
      </c>
      <c r="K984" s="71">
        <f t="shared" si="4"/>
        <v>0</v>
      </c>
      <c r="L984" s="10" t="str">
        <f>IFERROR(VLOOKUP(B984,'Employees List'!$A$2:$K$991,11,0),"")</f>
        <v/>
      </c>
      <c r="M984" s="74" t="str">
        <f>IFERROR(VLOOKUP(D984,'Daily Attendance 25-26'!$A$4:BP999,5,0),"")</f>
        <v/>
      </c>
      <c r="N984" s="10" t="str">
        <f>IFERROR(VLOOKUP(E984,'Daily Attendance 25-26'!$A$1:$BO$1741,5,0),"")</f>
        <v/>
      </c>
      <c r="O984" s="10"/>
      <c r="P984" s="10"/>
      <c r="Q984" s="10" t="str">
        <f t="shared" si="5"/>
        <v>#DIV/0!</v>
      </c>
      <c r="R984" s="10" t="str">
        <f t="shared" si="6"/>
        <v>#DIV/0!</v>
      </c>
      <c r="S984" s="10" t="str">
        <f t="shared" si="23"/>
        <v>#DIV/0!</v>
      </c>
      <c r="T984" s="10" t="str">
        <f t="shared" si="22"/>
        <v>#DIV/0!</v>
      </c>
      <c r="U984" s="10" t="str">
        <f t="shared" si="8"/>
        <v>#DIV/0!</v>
      </c>
      <c r="V984" s="10"/>
      <c r="W984" s="10"/>
      <c r="X984" s="10"/>
      <c r="Y984" s="10"/>
      <c r="Z984" s="10"/>
      <c r="AA984" s="10"/>
      <c r="AB984" s="10"/>
      <c r="AC984" s="10"/>
      <c r="AD984" s="10"/>
      <c r="AE984" s="10"/>
      <c r="AF984" s="10"/>
    </row>
    <row r="985" hidden="1">
      <c r="A985" s="9" t="s">
        <v>1202</v>
      </c>
      <c r="B985" s="84"/>
      <c r="C985" s="9"/>
      <c r="D985" s="9" t="str">
        <f t="shared" si="1"/>
        <v/>
      </c>
      <c r="E985" s="10" t="str">
        <f t="shared" si="2"/>
        <v>OT Hours</v>
      </c>
      <c r="F985" s="10" t="str">
        <f>IFERROR(VLOOKUP(C985,'Employees List'!$B$1:$I$999,4,0),"")</f>
        <v/>
      </c>
      <c r="G985" s="10" t="str">
        <f t="shared" si="21"/>
        <v>#DIV/0!</v>
      </c>
      <c r="H985" s="72" t="str">
        <f>IFERROR(VLOOKUP(C985,'Employees List'!$B$2:$I$991,7,0),"")</f>
        <v/>
      </c>
      <c r="I985" s="73" t="str">
        <f>IFERROR(VLOOKUP(F985,'Employees List'!$E$1:$AE$991,6,0),"")</f>
        <v/>
      </c>
      <c r="J985" s="71">
        <f t="shared" si="3"/>
        <v>0</v>
      </c>
      <c r="K985" s="71">
        <f t="shared" si="4"/>
        <v>0</v>
      </c>
      <c r="L985" s="10" t="str">
        <f>IFERROR(VLOOKUP(B985,'Employees List'!$A$2:$K$991,11,0),"")</f>
        <v/>
      </c>
      <c r="M985" s="74" t="str">
        <f>IFERROR(VLOOKUP(D985,'Daily Attendance 25-26'!$A$4:BP999,5,0),"")</f>
        <v/>
      </c>
      <c r="N985" s="10" t="str">
        <f>IFERROR(VLOOKUP(E985,'Daily Attendance 25-26'!$A$1:$BO$1741,5,0),"")</f>
        <v/>
      </c>
      <c r="O985" s="10"/>
      <c r="P985" s="10"/>
      <c r="Q985" s="10" t="str">
        <f t="shared" si="5"/>
        <v>#DIV/0!</v>
      </c>
      <c r="R985" s="10" t="str">
        <f t="shared" si="6"/>
        <v>#DIV/0!</v>
      </c>
      <c r="S985" s="10" t="str">
        <f t="shared" si="23"/>
        <v>#DIV/0!</v>
      </c>
      <c r="T985" s="10" t="str">
        <f t="shared" si="22"/>
        <v>#DIV/0!</v>
      </c>
      <c r="U985" s="10" t="str">
        <f t="shared" si="8"/>
        <v>#DIV/0!</v>
      </c>
      <c r="V985" s="10"/>
      <c r="W985" s="10"/>
      <c r="X985" s="10"/>
      <c r="Y985" s="10"/>
      <c r="Z985" s="10"/>
      <c r="AA985" s="10"/>
      <c r="AB985" s="10"/>
      <c r="AC985" s="10"/>
      <c r="AD985" s="10"/>
      <c r="AE985" s="10"/>
      <c r="AF985" s="10"/>
    </row>
    <row r="986" hidden="1">
      <c r="A986" s="9" t="s">
        <v>1203</v>
      </c>
      <c r="B986" s="84"/>
      <c r="C986" s="9"/>
      <c r="D986" s="9" t="str">
        <f t="shared" si="1"/>
        <v/>
      </c>
      <c r="E986" s="10" t="str">
        <f t="shared" si="2"/>
        <v>OT Hours</v>
      </c>
      <c r="F986" s="10" t="str">
        <f>IFERROR(VLOOKUP(C986,'Employees List'!$B$1:$I$999,4,0),"")</f>
        <v/>
      </c>
      <c r="G986" s="10" t="str">
        <f t="shared" si="21"/>
        <v>#DIV/0!</v>
      </c>
      <c r="H986" s="72" t="str">
        <f>IFERROR(VLOOKUP(C986,'Employees List'!$B$2:$I$991,7,0),"")</f>
        <v/>
      </c>
      <c r="I986" s="73" t="str">
        <f>IFERROR(VLOOKUP(F986,'Employees List'!$E$1:$AE$991,6,0),"")</f>
        <v/>
      </c>
      <c r="J986" s="71">
        <f t="shared" si="3"/>
        <v>0</v>
      </c>
      <c r="K986" s="71">
        <f t="shared" si="4"/>
        <v>0</v>
      </c>
      <c r="L986" s="10" t="str">
        <f>IFERROR(VLOOKUP(B986,'Employees List'!$A$2:$K$991,11,0),"")</f>
        <v/>
      </c>
      <c r="M986" s="74" t="str">
        <f>IFERROR(VLOOKUP(D986,'Daily Attendance 25-26'!$A$4:BP999,5,0),"")</f>
        <v/>
      </c>
      <c r="N986" s="10" t="str">
        <f>IFERROR(VLOOKUP(E986,'Daily Attendance 25-26'!$A$1:$BO$1741,5,0),"")</f>
        <v/>
      </c>
      <c r="O986" s="10"/>
      <c r="P986" s="10"/>
      <c r="Q986" s="10" t="str">
        <f t="shared" si="5"/>
        <v>#DIV/0!</v>
      </c>
      <c r="R986" s="10" t="str">
        <f t="shared" si="6"/>
        <v>#DIV/0!</v>
      </c>
      <c r="S986" s="10" t="str">
        <f t="shared" si="23"/>
        <v>#DIV/0!</v>
      </c>
      <c r="T986" s="10" t="str">
        <f t="shared" si="22"/>
        <v>#DIV/0!</v>
      </c>
      <c r="U986" s="10" t="str">
        <f t="shared" si="8"/>
        <v>#DIV/0!</v>
      </c>
      <c r="V986" s="10"/>
      <c r="W986" s="10"/>
      <c r="X986" s="10"/>
      <c r="Y986" s="10"/>
      <c r="Z986" s="10"/>
      <c r="AA986" s="10"/>
      <c r="AB986" s="10"/>
      <c r="AC986" s="10"/>
      <c r="AD986" s="10"/>
      <c r="AE986" s="10"/>
      <c r="AF986" s="10"/>
    </row>
    <row r="987" hidden="1">
      <c r="A987" s="9" t="s">
        <v>1204</v>
      </c>
      <c r="B987" s="84"/>
      <c r="C987" s="9"/>
      <c r="D987" s="9" t="str">
        <f t="shared" si="1"/>
        <v/>
      </c>
      <c r="E987" s="10" t="str">
        <f t="shared" si="2"/>
        <v>OT Hours</v>
      </c>
      <c r="F987" s="10" t="str">
        <f>IFERROR(VLOOKUP(C987,'Employees List'!$B$1:$I$999,4,0),"")</f>
        <v/>
      </c>
      <c r="G987" s="10" t="str">
        <f t="shared" si="21"/>
        <v>#DIV/0!</v>
      </c>
      <c r="H987" s="72" t="str">
        <f>IFERROR(VLOOKUP(C987,'Employees List'!$B$2:$I$991,7,0),"")</f>
        <v/>
      </c>
      <c r="I987" s="73" t="str">
        <f>IFERROR(VLOOKUP(F987,'Employees List'!$E$1:$AE$991,6,0),"")</f>
        <v/>
      </c>
      <c r="J987" s="71">
        <f t="shared" si="3"/>
        <v>0</v>
      </c>
      <c r="K987" s="71">
        <f t="shared" si="4"/>
        <v>0</v>
      </c>
      <c r="L987" s="10" t="str">
        <f>IFERROR(VLOOKUP(B987,'Employees List'!$A$2:$K$991,11,0),"")</f>
        <v/>
      </c>
      <c r="M987" s="74" t="str">
        <f>IFERROR(VLOOKUP(D987,'Daily Attendance 25-26'!$A$4:BP999,5,0),"")</f>
        <v/>
      </c>
      <c r="N987" s="10" t="str">
        <f>IFERROR(VLOOKUP(E987,'Daily Attendance 25-26'!$A$1:$BO$1741,5,0),"")</f>
        <v/>
      </c>
      <c r="O987" s="10"/>
      <c r="P987" s="10"/>
      <c r="Q987" s="10" t="str">
        <f t="shared" si="5"/>
        <v>#DIV/0!</v>
      </c>
      <c r="R987" s="10" t="str">
        <f t="shared" si="6"/>
        <v>#DIV/0!</v>
      </c>
      <c r="S987" s="10" t="str">
        <f t="shared" si="23"/>
        <v>#DIV/0!</v>
      </c>
      <c r="T987" s="10" t="str">
        <f t="shared" si="22"/>
        <v>#DIV/0!</v>
      </c>
      <c r="U987" s="10" t="str">
        <f t="shared" si="8"/>
        <v>#DIV/0!</v>
      </c>
      <c r="V987" s="10"/>
      <c r="W987" s="10"/>
      <c r="X987" s="10"/>
      <c r="Y987" s="10"/>
      <c r="Z987" s="10"/>
      <c r="AA987" s="10"/>
      <c r="AB987" s="10"/>
      <c r="AC987" s="10"/>
      <c r="AD987" s="10"/>
      <c r="AE987" s="10"/>
      <c r="AF987" s="10"/>
    </row>
    <row r="988" hidden="1">
      <c r="A988" s="9" t="s">
        <v>1205</v>
      </c>
      <c r="B988" s="84"/>
      <c r="C988" s="9"/>
      <c r="D988" s="9" t="str">
        <f t="shared" si="1"/>
        <v/>
      </c>
      <c r="E988" s="10" t="str">
        <f t="shared" si="2"/>
        <v>OT Hours</v>
      </c>
      <c r="F988" s="10" t="str">
        <f>IFERROR(VLOOKUP(C988,'Employees List'!$B$1:$I$999,4,0),"")</f>
        <v/>
      </c>
      <c r="G988" s="10" t="str">
        <f t="shared" si="21"/>
        <v>#DIV/0!</v>
      </c>
      <c r="H988" s="72" t="str">
        <f>IFERROR(VLOOKUP(C988,'Employees List'!$B$2:$I$991,7,0),"")</f>
        <v/>
      </c>
      <c r="I988" s="73" t="str">
        <f>IFERROR(VLOOKUP(F988,'Employees List'!$E$1:$AE$991,6,0),"")</f>
        <v/>
      </c>
      <c r="J988" s="71">
        <f t="shared" si="3"/>
        <v>0</v>
      </c>
      <c r="K988" s="71">
        <f t="shared" si="4"/>
        <v>0</v>
      </c>
      <c r="L988" s="10" t="str">
        <f>IFERROR(VLOOKUP(B988,'Employees List'!$A$2:$K$991,11,0),"")</f>
        <v/>
      </c>
      <c r="M988" s="74" t="str">
        <f>IFERROR(VLOOKUP(D988,'Daily Attendance 25-26'!$A$4:BP999,5,0),"")</f>
        <v/>
      </c>
      <c r="N988" s="10" t="str">
        <f>IFERROR(VLOOKUP(E988,'Daily Attendance 25-26'!$A$1:$BO$1741,5,0),"")</f>
        <v/>
      </c>
      <c r="O988" s="10"/>
      <c r="P988" s="10"/>
      <c r="Q988" s="10" t="str">
        <f t="shared" si="5"/>
        <v>#DIV/0!</v>
      </c>
      <c r="R988" s="10" t="str">
        <f t="shared" si="6"/>
        <v>#DIV/0!</v>
      </c>
      <c r="S988" s="10" t="str">
        <f t="shared" si="23"/>
        <v>#DIV/0!</v>
      </c>
      <c r="T988" s="10" t="str">
        <f t="shared" si="22"/>
        <v>#DIV/0!</v>
      </c>
      <c r="U988" s="10" t="str">
        <f t="shared" si="8"/>
        <v>#DIV/0!</v>
      </c>
      <c r="V988" s="10"/>
      <c r="W988" s="10"/>
      <c r="X988" s="10"/>
      <c r="Y988" s="10"/>
      <c r="Z988" s="10"/>
      <c r="AA988" s="10"/>
      <c r="AB988" s="10"/>
      <c r="AC988" s="10"/>
      <c r="AD988" s="10"/>
      <c r="AE988" s="10"/>
      <c r="AF988" s="10"/>
    </row>
    <row r="989" hidden="1">
      <c r="A989" s="9" t="s">
        <v>1206</v>
      </c>
      <c r="B989" s="84"/>
      <c r="C989" s="9"/>
      <c r="D989" s="9" t="str">
        <f t="shared" si="1"/>
        <v/>
      </c>
      <c r="E989" s="10" t="str">
        <f t="shared" si="2"/>
        <v>OT Hours</v>
      </c>
      <c r="F989" s="10" t="str">
        <f>IFERROR(VLOOKUP(C989,'Employees List'!$B$1:$I$999,4,0),"")</f>
        <v/>
      </c>
      <c r="G989" s="10" t="str">
        <f t="shared" si="21"/>
        <v>#DIV/0!</v>
      </c>
      <c r="H989" s="72" t="str">
        <f>IFERROR(VLOOKUP(C989,'Employees List'!$B$2:$I$991,7,0),"")</f>
        <v/>
      </c>
      <c r="I989" s="73" t="str">
        <f>IFERROR(VLOOKUP(F989,'Employees List'!$E$1:$AE$991,6,0),"")</f>
        <v/>
      </c>
      <c r="J989" s="71">
        <f t="shared" si="3"/>
        <v>0</v>
      </c>
      <c r="K989" s="71">
        <f t="shared" si="4"/>
        <v>0</v>
      </c>
      <c r="L989" s="10" t="str">
        <f>IFERROR(VLOOKUP(B989,'Employees List'!$A$2:$K$991,11,0),"")</f>
        <v/>
      </c>
      <c r="M989" s="74" t="str">
        <f>IFERROR(VLOOKUP(D989,'Daily Attendance 25-26'!$A$4:BP999,5,0),"")</f>
        <v/>
      </c>
      <c r="N989" s="10" t="str">
        <f>IFERROR(VLOOKUP(E989,'Daily Attendance 25-26'!$A$1:$BO$1741,5,0),"")</f>
        <v/>
      </c>
      <c r="O989" s="10"/>
      <c r="P989" s="10"/>
      <c r="Q989" s="10" t="str">
        <f t="shared" si="5"/>
        <v>#DIV/0!</v>
      </c>
      <c r="R989" s="10" t="str">
        <f t="shared" si="6"/>
        <v>#DIV/0!</v>
      </c>
      <c r="S989" s="10" t="str">
        <f t="shared" si="23"/>
        <v>#DIV/0!</v>
      </c>
      <c r="T989" s="10" t="str">
        <f t="shared" si="22"/>
        <v>#DIV/0!</v>
      </c>
      <c r="U989" s="10" t="str">
        <f t="shared" si="8"/>
        <v>#DIV/0!</v>
      </c>
      <c r="V989" s="10"/>
      <c r="W989" s="10"/>
      <c r="X989" s="10"/>
      <c r="Y989" s="10"/>
      <c r="Z989" s="10"/>
      <c r="AA989" s="10"/>
      <c r="AB989" s="10"/>
      <c r="AC989" s="10"/>
      <c r="AD989" s="10"/>
      <c r="AE989" s="10"/>
      <c r="AF989" s="10"/>
    </row>
    <row r="990" hidden="1">
      <c r="A990" s="9" t="s">
        <v>1207</v>
      </c>
      <c r="B990" s="84"/>
      <c r="C990" s="9"/>
      <c r="D990" s="9" t="str">
        <f t="shared" si="1"/>
        <v/>
      </c>
      <c r="E990" s="10" t="str">
        <f t="shared" si="2"/>
        <v>OT Hours</v>
      </c>
      <c r="F990" s="10" t="str">
        <f>IFERROR(VLOOKUP(C990,'Employees List'!$B$1:$I$999,4,0),"")</f>
        <v/>
      </c>
      <c r="G990" s="10" t="str">
        <f t="shared" si="21"/>
        <v>#DIV/0!</v>
      </c>
      <c r="H990" s="72" t="str">
        <f>IFERROR(VLOOKUP(C990,'Employees List'!$B$2:$I$991,7,0),"")</f>
        <v/>
      </c>
      <c r="I990" s="73" t="str">
        <f>IFERROR(VLOOKUP(F990,'Employees List'!$E$1:$AE$991,6,0),"")</f>
        <v/>
      </c>
      <c r="J990" s="71">
        <f t="shared" si="3"/>
        <v>0</v>
      </c>
      <c r="K990" s="71">
        <f t="shared" si="4"/>
        <v>0</v>
      </c>
      <c r="L990" s="10" t="str">
        <f>IFERROR(VLOOKUP(B990,'Employees List'!$A$2:$K$991,11,0),"")</f>
        <v/>
      </c>
      <c r="M990" s="74" t="str">
        <f>IFERROR(VLOOKUP(D990,'Daily Attendance 25-26'!$A$4:BP999,5,0),"")</f>
        <v/>
      </c>
      <c r="N990" s="10" t="str">
        <f>IFERROR(VLOOKUP(E990,'Daily Attendance 25-26'!$A$1:$BO$1741,5,0),"")</f>
        <v/>
      </c>
      <c r="O990" s="10"/>
      <c r="P990" s="10"/>
      <c r="Q990" s="10" t="str">
        <f t="shared" si="5"/>
        <v>#DIV/0!</v>
      </c>
      <c r="R990" s="10" t="str">
        <f t="shared" si="6"/>
        <v>#DIV/0!</v>
      </c>
      <c r="S990" s="10" t="str">
        <f t="shared" si="23"/>
        <v>#DIV/0!</v>
      </c>
      <c r="T990" s="10" t="str">
        <f t="shared" si="22"/>
        <v>#DIV/0!</v>
      </c>
      <c r="U990" s="10" t="str">
        <f t="shared" si="8"/>
        <v>#DIV/0!</v>
      </c>
      <c r="V990" s="10"/>
      <c r="W990" s="10"/>
      <c r="X990" s="10"/>
      <c r="Y990" s="10"/>
      <c r="Z990" s="10"/>
      <c r="AA990" s="10"/>
      <c r="AB990" s="10"/>
      <c r="AC990" s="10"/>
      <c r="AD990" s="10"/>
      <c r="AE990" s="10"/>
      <c r="AF990" s="10"/>
    </row>
    <row r="991" hidden="1">
      <c r="A991" s="9" t="s">
        <v>1208</v>
      </c>
      <c r="B991" s="84"/>
      <c r="C991" s="9"/>
      <c r="D991" s="9" t="str">
        <f t="shared" si="1"/>
        <v/>
      </c>
      <c r="E991" s="10" t="str">
        <f t="shared" si="2"/>
        <v>OT Hours</v>
      </c>
      <c r="F991" s="10" t="str">
        <f>IFERROR(VLOOKUP(C991,'Employees List'!$B$1:$I$999,4,0),"")</f>
        <v/>
      </c>
      <c r="G991" s="10" t="str">
        <f t="shared" si="21"/>
        <v>#DIV/0!</v>
      </c>
      <c r="H991" s="72" t="str">
        <f>IFERROR(VLOOKUP(C991,'Employees List'!$B$2:$I$991,7,0),"")</f>
        <v/>
      </c>
      <c r="I991" s="73" t="str">
        <f>IFERROR(VLOOKUP(F991,'Employees List'!$E$1:$AE$991,6,0),"")</f>
        <v/>
      </c>
      <c r="J991" s="71">
        <f t="shared" si="3"/>
        <v>0</v>
      </c>
      <c r="K991" s="71">
        <f t="shared" si="4"/>
        <v>0</v>
      </c>
      <c r="L991" s="10" t="str">
        <f>IFERROR(VLOOKUP(B991,'Employees List'!$A$2:$K$991,11,0),"")</f>
        <v/>
      </c>
      <c r="M991" s="74" t="str">
        <f>IFERROR(VLOOKUP(D991,'Daily Attendance 25-26'!$A$4:BP999,5,0),"")</f>
        <v/>
      </c>
      <c r="N991" s="10" t="str">
        <f>IFERROR(VLOOKUP(E991,'Daily Attendance 25-26'!$A$1:$BO$1741,5,0),"")</f>
        <v/>
      </c>
      <c r="O991" s="10"/>
      <c r="P991" s="10"/>
      <c r="Q991" s="10" t="str">
        <f t="shared" si="5"/>
        <v>#DIV/0!</v>
      </c>
      <c r="R991" s="10" t="str">
        <f t="shared" si="6"/>
        <v>#DIV/0!</v>
      </c>
      <c r="S991" s="10" t="str">
        <f t="shared" si="23"/>
        <v>#DIV/0!</v>
      </c>
      <c r="T991" s="10" t="str">
        <f t="shared" si="22"/>
        <v>#DIV/0!</v>
      </c>
      <c r="U991" s="10" t="str">
        <f t="shared" si="8"/>
        <v>#DIV/0!</v>
      </c>
      <c r="V991" s="10"/>
      <c r="W991" s="10"/>
      <c r="X991" s="10"/>
      <c r="Y991" s="10"/>
      <c r="Z991" s="10"/>
      <c r="AA991" s="10"/>
      <c r="AB991" s="10"/>
      <c r="AC991" s="10"/>
      <c r="AD991" s="10"/>
      <c r="AE991" s="10"/>
      <c r="AF991" s="10"/>
    </row>
    <row r="992" hidden="1">
      <c r="A992" s="9" t="s">
        <v>1209</v>
      </c>
      <c r="B992" s="84"/>
      <c r="C992" s="9"/>
      <c r="D992" s="9" t="str">
        <f t="shared" si="1"/>
        <v/>
      </c>
      <c r="E992" s="10" t="str">
        <f t="shared" si="2"/>
        <v>OT Hours</v>
      </c>
      <c r="F992" s="10" t="str">
        <f>IFERROR(VLOOKUP(C992,'Employees List'!$B$1:$I$999,4,0),"")</f>
        <v/>
      </c>
      <c r="G992" s="10" t="str">
        <f t="shared" si="21"/>
        <v>#DIV/0!</v>
      </c>
      <c r="H992" s="72" t="str">
        <f>IFERROR(VLOOKUP(C992,'Employees List'!$B$2:$I$991,7,0),"")</f>
        <v/>
      </c>
      <c r="I992" s="73" t="str">
        <f>IFERROR(VLOOKUP(F992,'Employees List'!$E$1:$AE$991,6,0),"")</f>
        <v/>
      </c>
      <c r="J992" s="71">
        <f t="shared" si="3"/>
        <v>0</v>
      </c>
      <c r="K992" s="71">
        <f t="shared" si="4"/>
        <v>0</v>
      </c>
      <c r="L992" s="10" t="str">
        <f>IFERROR(VLOOKUP(B992,'Employees List'!$A$2:$K$991,11,0),"")</f>
        <v/>
      </c>
      <c r="M992" s="74" t="str">
        <f>IFERROR(VLOOKUP(D992,'Daily Attendance 25-26'!$A$4:BP999,5,0),"")</f>
        <v/>
      </c>
      <c r="N992" s="10" t="str">
        <f>IFERROR(VLOOKUP(E992,'Daily Attendance 25-26'!$A$1:$BO$1741,5,0),"")</f>
        <v/>
      </c>
      <c r="O992" s="10"/>
      <c r="P992" s="10"/>
      <c r="Q992" s="10" t="str">
        <f t="shared" si="5"/>
        <v>#DIV/0!</v>
      </c>
      <c r="R992" s="10" t="str">
        <f t="shared" si="6"/>
        <v>#DIV/0!</v>
      </c>
      <c r="S992" s="10" t="str">
        <f t="shared" si="23"/>
        <v>#DIV/0!</v>
      </c>
      <c r="T992" s="10" t="str">
        <f t="shared" si="22"/>
        <v>#DIV/0!</v>
      </c>
      <c r="U992" s="10" t="str">
        <f t="shared" si="8"/>
        <v>#DIV/0!</v>
      </c>
      <c r="V992" s="10"/>
      <c r="W992" s="10"/>
      <c r="X992" s="10"/>
      <c r="Y992" s="10"/>
      <c r="Z992" s="10"/>
      <c r="AA992" s="10"/>
      <c r="AB992" s="10"/>
      <c r="AC992" s="10"/>
      <c r="AD992" s="10"/>
      <c r="AE992" s="10"/>
      <c r="AF992" s="10"/>
    </row>
    <row r="993" hidden="1">
      <c r="A993" s="9" t="s">
        <v>1210</v>
      </c>
      <c r="B993" s="84"/>
      <c r="C993" s="9"/>
      <c r="D993" s="9" t="str">
        <f t="shared" si="1"/>
        <v/>
      </c>
      <c r="E993" s="10" t="str">
        <f t="shared" si="2"/>
        <v>OT Hours</v>
      </c>
      <c r="F993" s="10" t="str">
        <f>IFERROR(VLOOKUP(C993,'Employees List'!$B$1:$I$999,4,0),"")</f>
        <v/>
      </c>
      <c r="G993" s="10" t="str">
        <f t="shared" si="21"/>
        <v>#DIV/0!</v>
      </c>
      <c r="H993" s="72" t="str">
        <f>IFERROR(VLOOKUP(C993,'Employees List'!$B$2:$I$991,7,0),"")</f>
        <v/>
      </c>
      <c r="I993" s="73" t="str">
        <f>IFERROR(VLOOKUP(F993,'Employees List'!$E$1:$AE$991,6,0),"")</f>
        <v/>
      </c>
      <c r="J993" s="71">
        <f t="shared" si="3"/>
        <v>0</v>
      </c>
      <c r="K993" s="71">
        <f t="shared" si="4"/>
        <v>0</v>
      </c>
      <c r="L993" s="10" t="str">
        <f>IFERROR(VLOOKUP(B993,'Employees List'!$A$2:$K$991,11,0),"")</f>
        <v/>
      </c>
      <c r="M993" s="74" t="str">
        <f>IFERROR(VLOOKUP(D993,'Daily Attendance 25-26'!$A$4:BP999,5,0),"")</f>
        <v/>
      </c>
      <c r="N993" s="10" t="str">
        <f>IFERROR(VLOOKUP(E993,'Daily Attendance 25-26'!$A$1:$BO$1741,5,0),"")</f>
        <v/>
      </c>
      <c r="O993" s="10"/>
      <c r="P993" s="10"/>
      <c r="Q993" s="10" t="str">
        <f t="shared" si="5"/>
        <v>#DIV/0!</v>
      </c>
      <c r="R993" s="10" t="str">
        <f t="shared" si="6"/>
        <v>#DIV/0!</v>
      </c>
      <c r="S993" s="10" t="str">
        <f t="shared" si="23"/>
        <v>#DIV/0!</v>
      </c>
      <c r="T993" s="10" t="str">
        <f t="shared" si="22"/>
        <v>#DIV/0!</v>
      </c>
      <c r="U993" s="10" t="str">
        <f t="shared" si="8"/>
        <v>#DIV/0!</v>
      </c>
      <c r="V993" s="10"/>
      <c r="W993" s="10"/>
      <c r="X993" s="10"/>
      <c r="Y993" s="10"/>
      <c r="Z993" s="10"/>
      <c r="AA993" s="10"/>
      <c r="AB993" s="10"/>
      <c r="AC993" s="10"/>
      <c r="AD993" s="10"/>
      <c r="AE993" s="10"/>
      <c r="AF993" s="10"/>
    </row>
    <row r="994" hidden="1">
      <c r="A994" s="9" t="s">
        <v>1211</v>
      </c>
      <c r="B994" s="84"/>
      <c r="C994" s="9"/>
      <c r="D994" s="9" t="str">
        <f t="shared" si="1"/>
        <v/>
      </c>
      <c r="E994" s="10" t="str">
        <f t="shared" si="2"/>
        <v>OT Hours</v>
      </c>
      <c r="F994" s="10" t="str">
        <f>IFERROR(VLOOKUP(C994,'Employees List'!$B$1:$I$999,4,0),"")</f>
        <v/>
      </c>
      <c r="G994" s="10" t="str">
        <f t="shared" si="21"/>
        <v>#DIV/0!</v>
      </c>
      <c r="H994" s="72" t="str">
        <f>IFERROR(VLOOKUP(C994,'Employees List'!$B$2:$I$991,7,0),"")</f>
        <v/>
      </c>
      <c r="I994" s="73" t="str">
        <f>IFERROR(VLOOKUP(F994,'Employees List'!$E$1:$AE$991,6,0),"")</f>
        <v/>
      </c>
      <c r="J994" s="71">
        <f t="shared" si="3"/>
        <v>0</v>
      </c>
      <c r="K994" s="71">
        <f t="shared" si="4"/>
        <v>0</v>
      </c>
      <c r="L994" s="10" t="str">
        <f>IFERROR(VLOOKUP(B994,'Employees List'!$A$2:$K$991,11,0),"")</f>
        <v/>
      </c>
      <c r="M994" s="74" t="str">
        <f>IFERROR(VLOOKUP(D994,'Daily Attendance 25-26'!$A$4:BP999,5,0),"")</f>
        <v/>
      </c>
      <c r="N994" s="10" t="str">
        <f>IFERROR(VLOOKUP(E994,'Daily Attendance 25-26'!$A$1:$BO$1741,5,0),"")</f>
        <v/>
      </c>
      <c r="O994" s="10"/>
      <c r="P994" s="10"/>
      <c r="Q994" s="10" t="str">
        <f t="shared" si="5"/>
        <v>#DIV/0!</v>
      </c>
      <c r="R994" s="10" t="str">
        <f t="shared" si="6"/>
        <v>#DIV/0!</v>
      </c>
      <c r="S994" s="10" t="str">
        <f t="shared" si="23"/>
        <v>#DIV/0!</v>
      </c>
      <c r="T994" s="10" t="str">
        <f t="shared" si="22"/>
        <v>#DIV/0!</v>
      </c>
      <c r="U994" s="10" t="str">
        <f t="shared" si="8"/>
        <v>#DIV/0!</v>
      </c>
      <c r="V994" s="10"/>
      <c r="W994" s="10"/>
      <c r="X994" s="10"/>
      <c r="Y994" s="10"/>
      <c r="Z994" s="10"/>
      <c r="AA994" s="10"/>
      <c r="AB994" s="10"/>
      <c r="AC994" s="10"/>
      <c r="AD994" s="10"/>
      <c r="AE994" s="10"/>
      <c r="AF994" s="10"/>
    </row>
    <row r="995" hidden="1">
      <c r="A995" s="9" t="s">
        <v>1212</v>
      </c>
      <c r="B995" s="84"/>
      <c r="C995" s="9"/>
      <c r="D995" s="9" t="str">
        <f t="shared" si="1"/>
        <v/>
      </c>
      <c r="E995" s="10" t="str">
        <f t="shared" si="2"/>
        <v>OT Hours</v>
      </c>
      <c r="F995" s="10" t="str">
        <f>IFERROR(VLOOKUP(C995,'Employees List'!$B$1:$I$999,4,0),"")</f>
        <v/>
      </c>
      <c r="G995" s="10" t="str">
        <f t="shared" si="21"/>
        <v>#DIV/0!</v>
      </c>
      <c r="H995" s="72" t="str">
        <f>IFERROR(VLOOKUP(C995,'Employees List'!$B$2:$I$991,7,0),"")</f>
        <v/>
      </c>
      <c r="I995" s="73" t="str">
        <f>IFERROR(VLOOKUP(F995,'Employees List'!$E$1:$AE$991,6,0),"")</f>
        <v/>
      </c>
      <c r="J995" s="71">
        <f t="shared" si="3"/>
        <v>0</v>
      </c>
      <c r="K995" s="71">
        <f t="shared" si="4"/>
        <v>0</v>
      </c>
      <c r="L995" s="10" t="str">
        <f>IFERROR(VLOOKUP(B995,'Employees List'!$A$2:$K$991,11,0),"")</f>
        <v/>
      </c>
      <c r="M995" s="74" t="str">
        <f>IFERROR(VLOOKUP(D995,'Daily Attendance 25-26'!$A$4:BP999,5,0),"")</f>
        <v/>
      </c>
      <c r="N995" s="10" t="str">
        <f>IFERROR(VLOOKUP(E995,'Daily Attendance 25-26'!$A$1:$BO$1741,5,0),"")</f>
        <v/>
      </c>
      <c r="O995" s="9"/>
      <c r="P995" s="10"/>
      <c r="Q995" s="10" t="str">
        <f t="shared" si="5"/>
        <v>#DIV/0!</v>
      </c>
      <c r="R995" s="10" t="str">
        <f t="shared" si="6"/>
        <v>#DIV/0!</v>
      </c>
      <c r="S995" s="10" t="str">
        <f t="shared" si="23"/>
        <v>#DIV/0!</v>
      </c>
      <c r="T995" s="10" t="str">
        <f t="shared" si="22"/>
        <v>#DIV/0!</v>
      </c>
      <c r="U995" s="10" t="str">
        <f t="shared" si="8"/>
        <v>#DIV/0!</v>
      </c>
      <c r="V995" s="10"/>
      <c r="W995" s="10"/>
      <c r="X995" s="10"/>
      <c r="Y995" s="10"/>
      <c r="Z995" s="10"/>
      <c r="AA995" s="10"/>
      <c r="AB995" s="10"/>
      <c r="AC995" s="10"/>
      <c r="AD995" s="10"/>
      <c r="AE995" s="10"/>
      <c r="AF995" s="10"/>
    </row>
    <row r="996" hidden="1">
      <c r="A996" s="9" t="s">
        <v>1213</v>
      </c>
      <c r="B996" s="84"/>
      <c r="C996" s="9"/>
      <c r="D996" s="9" t="str">
        <f t="shared" si="1"/>
        <v/>
      </c>
      <c r="E996" s="10" t="str">
        <f t="shared" si="2"/>
        <v>OT Hours</v>
      </c>
      <c r="F996" s="10" t="str">
        <f>IFERROR(VLOOKUP(C996,'Employees List'!$B$1:$I$999,4,0),"")</f>
        <v/>
      </c>
      <c r="G996" s="10" t="str">
        <f t="shared" si="21"/>
        <v>#DIV/0!</v>
      </c>
      <c r="H996" s="72" t="str">
        <f>IFERROR(VLOOKUP(C996,'Employees List'!$B$2:$I$991,7,0),"")</f>
        <v/>
      </c>
      <c r="I996" s="73" t="str">
        <f>IFERROR(VLOOKUP(F996,'Employees List'!$E$1:$AE$991,6,0),"")</f>
        <v/>
      </c>
      <c r="J996" s="71">
        <f t="shared" si="3"/>
        <v>0</v>
      </c>
      <c r="K996" s="71">
        <f t="shared" si="4"/>
        <v>0</v>
      </c>
      <c r="L996" s="10" t="str">
        <f>IFERROR(VLOOKUP(B996,'Employees List'!$A$2:$K$991,11,0),"")</f>
        <v/>
      </c>
      <c r="M996" s="74" t="str">
        <f>IFERROR(VLOOKUP(D996,'Daily Attendance 25-26'!$A$4:BP999,5,0),"")</f>
        <v/>
      </c>
      <c r="N996" s="10" t="str">
        <f>IFERROR(VLOOKUP(E996,'Daily Attendance 25-26'!$A$1:$BO$1741,5,0),"")</f>
        <v/>
      </c>
      <c r="O996" s="10"/>
      <c r="P996" s="10"/>
      <c r="Q996" s="10" t="str">
        <f t="shared" si="5"/>
        <v>#DIV/0!</v>
      </c>
      <c r="R996" s="10" t="str">
        <f t="shared" si="6"/>
        <v>#DIV/0!</v>
      </c>
      <c r="S996" s="10" t="str">
        <f t="shared" si="23"/>
        <v>#DIV/0!</v>
      </c>
      <c r="T996" s="10" t="str">
        <f t="shared" si="22"/>
        <v>#DIV/0!</v>
      </c>
      <c r="U996" s="10" t="str">
        <f t="shared" si="8"/>
        <v>#DIV/0!</v>
      </c>
      <c r="V996" s="10"/>
      <c r="W996" s="10"/>
      <c r="X996" s="10"/>
      <c r="Y996" s="10"/>
      <c r="Z996" s="10"/>
      <c r="AA996" s="10"/>
      <c r="AB996" s="10"/>
      <c r="AC996" s="10"/>
      <c r="AD996" s="10"/>
      <c r="AE996" s="10"/>
      <c r="AF996" s="10"/>
    </row>
    <row r="997" hidden="1">
      <c r="A997" s="9" t="s">
        <v>1214</v>
      </c>
      <c r="B997" s="84"/>
      <c r="C997" s="9"/>
      <c r="D997" s="9" t="str">
        <f t="shared" si="1"/>
        <v/>
      </c>
      <c r="E997" s="10" t="str">
        <f t="shared" si="2"/>
        <v>OT Hours</v>
      </c>
      <c r="F997" s="10" t="str">
        <f>IFERROR(VLOOKUP(C997,'Employees List'!$B$1:$I$999,4,0),"")</f>
        <v/>
      </c>
      <c r="G997" s="10" t="str">
        <f t="shared" si="21"/>
        <v>#DIV/0!</v>
      </c>
      <c r="H997" s="72" t="str">
        <f>IFERROR(VLOOKUP(C997,'Employees List'!$B$2:$I$991,7,0),"")</f>
        <v/>
      </c>
      <c r="I997" s="73" t="str">
        <f>IFERROR(VLOOKUP(F997,'Employees List'!$E$1:$AE$991,6,0),"")</f>
        <v/>
      </c>
      <c r="J997" s="71">
        <f t="shared" si="3"/>
        <v>0</v>
      </c>
      <c r="K997" s="71">
        <f t="shared" si="4"/>
        <v>0</v>
      </c>
      <c r="L997" s="10" t="str">
        <f>IFERROR(VLOOKUP(B997,'Employees List'!$A$2:$K$991,11,0),"")</f>
        <v/>
      </c>
      <c r="M997" s="74" t="str">
        <f>IFERROR(VLOOKUP(D997,'Daily Attendance 25-26'!$A$4:BP999,5,0),"")</f>
        <v/>
      </c>
      <c r="N997" s="10" t="str">
        <f>IFERROR(VLOOKUP(E997,'Daily Attendance 25-26'!$A$1:$BO$1741,5,0),"")</f>
        <v/>
      </c>
      <c r="O997" s="10"/>
      <c r="P997" s="10"/>
      <c r="Q997" s="10" t="str">
        <f t="shared" si="5"/>
        <v>#DIV/0!</v>
      </c>
      <c r="R997" s="10" t="str">
        <f t="shared" si="6"/>
        <v>#DIV/0!</v>
      </c>
      <c r="S997" s="10" t="str">
        <f t="shared" si="23"/>
        <v>#DIV/0!</v>
      </c>
      <c r="T997" s="10" t="str">
        <f t="shared" si="22"/>
        <v>#DIV/0!</v>
      </c>
      <c r="U997" s="10" t="str">
        <f t="shared" si="8"/>
        <v>#DIV/0!</v>
      </c>
      <c r="V997" s="10"/>
      <c r="W997" s="10"/>
      <c r="X997" s="10"/>
      <c r="Y997" s="10"/>
      <c r="Z997" s="10"/>
      <c r="AA997" s="10"/>
      <c r="AB997" s="10"/>
      <c r="AC997" s="10"/>
      <c r="AD997" s="10"/>
      <c r="AE997" s="10"/>
      <c r="AF997" s="10"/>
    </row>
    <row r="998" hidden="1">
      <c r="A998" s="9" t="s">
        <v>1215</v>
      </c>
      <c r="B998" s="84"/>
      <c r="C998" s="9"/>
      <c r="D998" s="9" t="str">
        <f t="shared" si="1"/>
        <v/>
      </c>
      <c r="E998" s="10" t="str">
        <f t="shared" si="2"/>
        <v>OT Hours</v>
      </c>
      <c r="F998" s="10" t="str">
        <f>IFERROR(VLOOKUP(C998,'Employees List'!$B$1:$I$999,4,0),"")</f>
        <v/>
      </c>
      <c r="G998" s="10" t="str">
        <f t="shared" si="21"/>
        <v>#DIV/0!</v>
      </c>
      <c r="H998" s="72" t="str">
        <f>IFERROR(VLOOKUP(C998,'Employees List'!$B$2:$I$991,7,0),"")</f>
        <v/>
      </c>
      <c r="I998" s="73" t="str">
        <f>IFERROR(VLOOKUP(F998,'Employees List'!$E$1:$AE$991,6,0),"")</f>
        <v/>
      </c>
      <c r="J998" s="71">
        <f t="shared" si="3"/>
        <v>0</v>
      </c>
      <c r="K998" s="71">
        <f t="shared" si="4"/>
        <v>0</v>
      </c>
      <c r="L998" s="10" t="str">
        <f>IFERROR(VLOOKUP(B998,'Employees List'!$A$2:$K$991,11,0),"")</f>
        <v/>
      </c>
      <c r="M998" s="74" t="str">
        <f>IFERROR(VLOOKUP(D998,'Daily Attendance 25-26'!$A$4:BP999,5,0),"")</f>
        <v/>
      </c>
      <c r="N998" s="10" t="str">
        <f>IFERROR(VLOOKUP(E998,'Daily Attendance 25-26'!$A$1:$BO$1741,5,0),"")</f>
        <v/>
      </c>
      <c r="O998" s="10"/>
      <c r="P998" s="10"/>
      <c r="Q998" s="10" t="str">
        <f t="shared" si="5"/>
        <v>#DIV/0!</v>
      </c>
      <c r="R998" s="10" t="str">
        <f t="shared" si="6"/>
        <v>#DIV/0!</v>
      </c>
      <c r="S998" s="10" t="str">
        <f t="shared" si="23"/>
        <v>#DIV/0!</v>
      </c>
      <c r="T998" s="10" t="str">
        <f t="shared" si="22"/>
        <v>#DIV/0!</v>
      </c>
      <c r="U998" s="10" t="str">
        <f t="shared" si="8"/>
        <v>#DIV/0!</v>
      </c>
      <c r="V998" s="10"/>
      <c r="W998" s="10"/>
      <c r="X998" s="10"/>
      <c r="Y998" s="10"/>
      <c r="Z998" s="10"/>
      <c r="AA998" s="10"/>
      <c r="AB998" s="10"/>
      <c r="AC998" s="10"/>
      <c r="AD998" s="10"/>
      <c r="AE998" s="10"/>
      <c r="AF998" s="10"/>
    </row>
    <row r="999" hidden="1">
      <c r="A999" s="9" t="s">
        <v>1216</v>
      </c>
      <c r="B999" s="84"/>
      <c r="C999" s="9"/>
      <c r="D999" s="9" t="str">
        <f t="shared" si="1"/>
        <v/>
      </c>
      <c r="E999" s="10" t="str">
        <f t="shared" si="2"/>
        <v>OT Hours</v>
      </c>
      <c r="F999" s="10" t="str">
        <f>IFERROR(VLOOKUP(C999,'Employees List'!$B$1:$I$999,4,0),"")</f>
        <v/>
      </c>
      <c r="G999" s="10" t="str">
        <f t="shared" si="21"/>
        <v>#DIV/0!</v>
      </c>
      <c r="H999" s="72" t="str">
        <f>IFERROR(VLOOKUP(C999,'Employees List'!$B$2:$I$991,7,0),"")</f>
        <v/>
      </c>
      <c r="I999" s="73" t="str">
        <f>IFERROR(VLOOKUP(F999,'Employees List'!$E$1:$AE$991,6,0),"")</f>
        <v/>
      </c>
      <c r="J999" s="71">
        <f t="shared" si="3"/>
        <v>0</v>
      </c>
      <c r="K999" s="71">
        <f t="shared" si="4"/>
        <v>0</v>
      </c>
      <c r="L999" s="10" t="str">
        <f>IFERROR(VLOOKUP(B999,'Employees List'!$A$2:$K$991,11,0),"")</f>
        <v/>
      </c>
      <c r="M999" s="74" t="str">
        <f>IFERROR(VLOOKUP(D999,'Daily Attendance 25-26'!$A$4:BP999,5,0),"")</f>
        <v/>
      </c>
      <c r="N999" s="10" t="str">
        <f>IFERROR(VLOOKUP(E999,'Daily Attendance 25-26'!$A$1:$BO$1741,5,0),"")</f>
        <v/>
      </c>
      <c r="O999" s="10"/>
      <c r="P999" s="10"/>
      <c r="Q999" s="10" t="str">
        <f t="shared" si="5"/>
        <v>#DIV/0!</v>
      </c>
      <c r="R999" s="10" t="str">
        <f t="shared" si="6"/>
        <v>#DIV/0!</v>
      </c>
      <c r="S999" s="10" t="str">
        <f t="shared" si="23"/>
        <v>#DIV/0!</v>
      </c>
      <c r="T999" s="10" t="str">
        <f t="shared" si="22"/>
        <v>#DIV/0!</v>
      </c>
      <c r="U999" s="10" t="str">
        <f t="shared" si="8"/>
        <v>#DIV/0!</v>
      </c>
      <c r="V999" s="10"/>
      <c r="W999" s="10"/>
      <c r="X999" s="10"/>
      <c r="Y999" s="10"/>
      <c r="Z999" s="10"/>
      <c r="AA999" s="10"/>
      <c r="AB999" s="10"/>
      <c r="AC999" s="10"/>
      <c r="AD999" s="10"/>
      <c r="AE999" s="10"/>
      <c r="AF999" s="10"/>
    </row>
  </sheetData>
  <autoFilter ref="$A$1:$T$999">
    <filterColumn colId="1">
      <filters>
        <filter val="February"/>
      </filters>
    </filterColumn>
  </autoFilter>
  <conditionalFormatting sqref="O2:O155 P84:P87">
    <cfRule type="cellIs" dxfId="0" priority="1" operator="greaterThanOrEqual">
      <formula>450</formula>
    </cfRule>
  </conditionalFormatting>
  <conditionalFormatting sqref="P2:P25">
    <cfRule type="cellIs" dxfId="4" priority="2" operator="greaterThan">
      <formula>0</formula>
    </cfRule>
  </conditionalFormatting>
  <conditionalFormatting sqref="A1:AF999">
    <cfRule type="expression" dxfId="3" priority="3">
      <formula>"#DIV/"</formula>
    </cfRule>
  </conditionalFormatting>
  <dataValidations>
    <dataValidation type="list" allowBlank="1" showErrorMessage="1" sqref="B2:B999">
      <formula1>'Employees List'!$A$2:$A$991</formula1>
    </dataValidation>
    <dataValidation type="list" allowBlank="1" showErrorMessage="1" sqref="C2:C999">
      <formula1>'Employees List'!$B$2:$B$991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3.0"/>
    <col customWidth="1" min="5" max="5" width="18.88"/>
    <col customWidth="1" min="6" max="6" width="15.0"/>
    <col customWidth="1" min="7" max="7" width="18.5"/>
  </cols>
  <sheetData>
    <row r="1">
      <c r="A1" s="85" t="s">
        <v>202</v>
      </c>
      <c r="B1" s="86" t="s">
        <v>175</v>
      </c>
      <c r="C1" s="86" t="s">
        <v>1</v>
      </c>
      <c r="D1" s="86" t="s">
        <v>4</v>
      </c>
      <c r="E1" s="86" t="s">
        <v>7</v>
      </c>
      <c r="F1" s="86" t="s">
        <v>6</v>
      </c>
      <c r="G1" s="87" t="s">
        <v>1217</v>
      </c>
      <c r="H1" s="87" t="s">
        <v>11</v>
      </c>
      <c r="I1" s="88" t="s">
        <v>1218</v>
      </c>
      <c r="J1" s="46"/>
      <c r="K1" s="46"/>
      <c r="L1" s="46"/>
      <c r="M1" s="89"/>
      <c r="N1" s="46"/>
      <c r="O1" s="46"/>
      <c r="P1" s="46"/>
      <c r="Q1" s="46"/>
      <c r="R1" s="46"/>
      <c r="S1" s="46"/>
      <c r="T1" s="46"/>
      <c r="U1" s="46"/>
      <c r="V1" s="46"/>
      <c r="W1" s="46"/>
      <c r="X1" s="46"/>
      <c r="Y1" s="46"/>
      <c r="Z1" s="46"/>
      <c r="AA1" s="46"/>
      <c r="AB1" s="46"/>
    </row>
    <row r="2" hidden="1">
      <c r="A2" s="90" t="s">
        <v>219</v>
      </c>
      <c r="B2" s="91" t="str">
        <f>IFERROR(VLOOKUP(A2,'Salary Calculation'!A2:F999,2,0),"")</f>
        <v>April</v>
      </c>
      <c r="C2" s="91" t="str">
        <f>IFERROR(VLOOKUP(A2,'Salary Calculation'!$A$2:$T$999,3,0),"")</f>
        <v>AC 01</v>
      </c>
      <c r="D2" s="91" t="str">
        <f>IFERROR(VLOOKUP(A2,'Salary Calculation'!$A$2:$T$999,6,0),"")</f>
        <v>BHUVANESHWARAN.V</v>
      </c>
      <c r="E2" s="91">
        <f>IFERROR(VLOOKUP(A2,'Salary Calculation'!$A$2:$T$999,8,0),"")</f>
        <v>500101011548924</v>
      </c>
      <c r="F2" s="92" t="str">
        <f>IFERROR(VLOOKUP(C2,'Employees List'!$B$2:H999,6,0),"")</f>
        <v>CUB</v>
      </c>
      <c r="G2" s="93">
        <f>IFERROR(VLOOKUP(A2,'Salary Calculation'!$A$2:$T$999,7,0),"")</f>
        <v>66900</v>
      </c>
      <c r="H2" s="94" t="s">
        <v>1219</v>
      </c>
      <c r="I2" s="95" t="s">
        <v>12</v>
      </c>
      <c r="J2" s="46"/>
      <c r="K2" s="46"/>
      <c r="L2" s="46"/>
      <c r="M2" s="89"/>
      <c r="N2" s="46"/>
      <c r="O2" s="46"/>
      <c r="P2" s="46"/>
      <c r="Q2" s="46"/>
      <c r="R2" s="46"/>
      <c r="S2" s="46"/>
      <c r="T2" s="46"/>
      <c r="U2" s="46"/>
      <c r="V2" s="46"/>
      <c r="W2" s="46"/>
      <c r="X2" s="46"/>
      <c r="Y2" s="46"/>
      <c r="Z2" s="46"/>
      <c r="AA2" s="46"/>
      <c r="AB2" s="46"/>
    </row>
    <row r="3" hidden="1">
      <c r="A3" s="90" t="s">
        <v>220</v>
      </c>
      <c r="B3" s="91" t="str">
        <f>IFERROR(VLOOKUP(A3,'Salary Calculation'!A3:F1000,2,0),"")</f>
        <v>April</v>
      </c>
      <c r="C3" s="91" t="str">
        <f>IFERROR(VLOOKUP(A3,'Salary Calculation'!$A$2:$T$999,3,0),"")</f>
        <v>AC 02</v>
      </c>
      <c r="D3" s="91" t="str">
        <f>IFERROR(VLOOKUP(A3,'Salary Calculation'!$A$2:$T$999,6,0),"")</f>
        <v>THIRIPURA SUNDARI.R</v>
      </c>
      <c r="E3" s="91" t="str">
        <f>IFERROR(VLOOKUP(A3,'Salary Calculation'!$A$2:$T$999,8,0),"")</f>
        <v>8131010000016977</v>
      </c>
      <c r="F3" s="92" t="str">
        <f>IFERROR(VLOOKUP(C3,'Employees List'!$B$2:H999,6,0),"")</f>
        <v>DBS</v>
      </c>
      <c r="G3" s="93">
        <f>IFERROR(VLOOKUP(A3,'Salary Calculation'!$A$2:$T$999,7,0),"")</f>
        <v>23075.625</v>
      </c>
      <c r="H3" s="94" t="s">
        <v>1219</v>
      </c>
      <c r="I3" s="95" t="s">
        <v>12</v>
      </c>
      <c r="J3" s="46"/>
      <c r="K3" s="46"/>
      <c r="L3" s="46"/>
      <c r="M3" s="89"/>
      <c r="N3" s="46"/>
      <c r="O3" s="46"/>
      <c r="P3" s="46"/>
      <c r="Q3" s="46"/>
      <c r="R3" s="46"/>
      <c r="S3" s="46"/>
      <c r="T3" s="46"/>
      <c r="U3" s="46"/>
      <c r="V3" s="46"/>
      <c r="W3" s="46"/>
      <c r="X3" s="46"/>
      <c r="Y3" s="46"/>
      <c r="Z3" s="46"/>
      <c r="AA3" s="46"/>
      <c r="AB3" s="46"/>
    </row>
    <row r="4" hidden="1">
      <c r="A4" s="90" t="s">
        <v>221</v>
      </c>
      <c r="B4" s="91" t="str">
        <f>IFERROR(VLOOKUP(A4,'Salary Calculation'!A4:F1001,2,0),"")</f>
        <v>April</v>
      </c>
      <c r="C4" s="91" t="str">
        <f>IFERROR(VLOOKUP(A4,'Salary Calculation'!$A$2:$T$999,3,0),"")</f>
        <v>PR 02</v>
      </c>
      <c r="D4" s="91" t="str">
        <f>IFERROR(VLOOKUP(A4,'Salary Calculation'!$A$2:$T$999,6,0),"")</f>
        <v>GANESH</v>
      </c>
      <c r="E4" s="91" t="str">
        <f>IFERROR(VLOOKUP(A4,'Salary Calculation'!$A$2:$T$999,8,0),"")</f>
        <v>8811010012054879</v>
      </c>
      <c r="F4" s="92" t="str">
        <f>IFERROR(VLOOKUP(C4,'Employees List'!$B$2:H999,6,0),"")</f>
        <v>DBS</v>
      </c>
      <c r="G4" s="93">
        <f>IFERROR(VLOOKUP(A4,'Salary Calculation'!$A$2:$T$999,7,0),"")</f>
        <v>13436.21354</v>
      </c>
      <c r="H4" s="94" t="s">
        <v>1219</v>
      </c>
      <c r="I4" s="95" t="s">
        <v>12</v>
      </c>
      <c r="J4" s="46"/>
      <c r="K4" s="46"/>
      <c r="L4" s="46"/>
      <c r="M4" s="89"/>
      <c r="N4" s="46"/>
      <c r="O4" s="46"/>
      <c r="P4" s="46"/>
      <c r="Q4" s="46"/>
      <c r="R4" s="46"/>
      <c r="S4" s="46"/>
      <c r="T4" s="46"/>
      <c r="U4" s="46"/>
      <c r="V4" s="46"/>
      <c r="W4" s="46"/>
      <c r="X4" s="46"/>
      <c r="Y4" s="46"/>
      <c r="Z4" s="46"/>
      <c r="AA4" s="46"/>
      <c r="AB4" s="46"/>
    </row>
    <row r="5" hidden="1">
      <c r="A5" s="90" t="s">
        <v>222</v>
      </c>
      <c r="B5" s="91" t="str">
        <f>IFERROR(VLOOKUP(A5,'Salary Calculation'!A5:F1002,2,0),"")</f>
        <v>April</v>
      </c>
      <c r="C5" s="91" t="str">
        <f>IFERROR(VLOOKUP(A5,'Salary Calculation'!$A$2:$T$999,3,0),"")</f>
        <v>DR 01</v>
      </c>
      <c r="D5" s="91" t="str">
        <f>IFERROR(VLOOKUP(A5,'Salary Calculation'!$A$2:$T$999,6,0),"")</f>
        <v>ILAMATHIVANAN.S</v>
      </c>
      <c r="E5" s="91" t="str">
        <f>IFERROR(VLOOKUP(A5,'Salary Calculation'!$A$2:$T$999,8,0),"")</f>
        <v>8131010000016986</v>
      </c>
      <c r="F5" s="92" t="str">
        <f>IFERROR(VLOOKUP(C5,'Employees List'!$B$2:H999,6,0),"")</f>
        <v>DBS</v>
      </c>
      <c r="G5" s="93">
        <f>IFERROR(VLOOKUP(A5,'Salary Calculation'!$A$2:$T$999,7,0),"")</f>
        <v>16766.76563</v>
      </c>
      <c r="H5" s="94" t="s">
        <v>1219</v>
      </c>
      <c r="I5" s="95" t="s">
        <v>12</v>
      </c>
      <c r="J5" s="46"/>
      <c r="K5" s="46"/>
      <c r="L5" s="46"/>
      <c r="M5" s="89"/>
      <c r="N5" s="46"/>
      <c r="O5" s="46"/>
      <c r="P5" s="46"/>
      <c r="Q5" s="46"/>
      <c r="R5" s="46"/>
      <c r="S5" s="46"/>
      <c r="T5" s="46"/>
      <c r="U5" s="46"/>
      <c r="V5" s="46"/>
      <c r="W5" s="46"/>
      <c r="X5" s="46"/>
      <c r="Y5" s="46"/>
      <c r="Z5" s="46"/>
      <c r="AA5" s="46"/>
      <c r="AB5" s="46"/>
    </row>
    <row r="6" hidden="1">
      <c r="A6" s="90" t="s">
        <v>223</v>
      </c>
      <c r="B6" s="91" t="str">
        <f>IFERROR(VLOOKUP(A6,'Salary Calculation'!A6:F1003,2,0),"")</f>
        <v>April</v>
      </c>
      <c r="C6" s="91" t="str">
        <f>IFERROR(VLOOKUP(A6,'Salary Calculation'!$A$2:$T$999,3,0),"")</f>
        <v>PR 07</v>
      </c>
      <c r="D6" s="91" t="str">
        <f>IFERROR(VLOOKUP(A6,'Salary Calculation'!$A$2:$T$999,6,0),"")</f>
        <v>AMMU.S</v>
      </c>
      <c r="E6" s="91">
        <f>IFERROR(VLOOKUP(A6,'Salary Calculation'!$A$2:$T$999,8,0),"")</f>
        <v>65801000040238</v>
      </c>
      <c r="F6" s="92" t="str">
        <f>IFERROR(VLOOKUP(C6,'Employees List'!$B$2:H999,6,0),"")</f>
        <v>IOB</v>
      </c>
      <c r="G6" s="93">
        <f>IFERROR(VLOOKUP(A6,'Salary Calculation'!$A$2:$T$999,7,0),"")</f>
        <v>12030.96094</v>
      </c>
      <c r="H6" s="94" t="s">
        <v>1219</v>
      </c>
      <c r="I6" s="95" t="s">
        <v>12</v>
      </c>
      <c r="J6" s="46"/>
      <c r="K6" s="46"/>
      <c r="L6" s="46"/>
      <c r="M6" s="89"/>
      <c r="N6" s="46"/>
      <c r="O6" s="46"/>
      <c r="P6" s="46"/>
      <c r="Q6" s="46"/>
      <c r="R6" s="46"/>
      <c r="S6" s="46"/>
      <c r="T6" s="46"/>
      <c r="U6" s="46"/>
      <c r="V6" s="46"/>
      <c r="W6" s="46"/>
      <c r="X6" s="46"/>
      <c r="Y6" s="46"/>
      <c r="Z6" s="46"/>
      <c r="AA6" s="46"/>
      <c r="AB6" s="46"/>
    </row>
    <row r="7" hidden="1">
      <c r="A7" s="90" t="s">
        <v>224</v>
      </c>
      <c r="B7" s="91" t="str">
        <f>IFERROR(VLOOKUP(A7,'Salary Calculation'!A7:F1004,2,0),"")</f>
        <v>April</v>
      </c>
      <c r="C7" s="91" t="str">
        <f>IFERROR(VLOOKUP(A7,'Salary Calculation'!$A$2:$T$999,3,0),"")</f>
        <v>PR 08</v>
      </c>
      <c r="D7" s="91" t="str">
        <f>IFERROR(VLOOKUP(A7,'Salary Calculation'!$A$2:$T$999,6,0),"")</f>
        <v>REVATHI.S</v>
      </c>
      <c r="E7" s="91" t="str">
        <f>IFERROR(VLOOKUP(A7,'Salary Calculation'!$A$2:$T$999,8,0),"")</f>
        <v>8131010000016995</v>
      </c>
      <c r="F7" s="92" t="str">
        <f>IFERROR(VLOOKUP(C7,'Employees List'!$B$2:H999,6,0),"")</f>
        <v>DBS</v>
      </c>
      <c r="G7" s="93">
        <f>IFERROR(VLOOKUP(A7,'Salary Calculation'!$A$2:$T$999,7,0),"")</f>
        <v>9606.695313</v>
      </c>
      <c r="H7" s="94" t="s">
        <v>1219</v>
      </c>
      <c r="I7" s="95" t="s">
        <v>12</v>
      </c>
      <c r="J7" s="46"/>
      <c r="K7" s="46"/>
      <c r="L7" s="46"/>
      <c r="M7" s="89"/>
      <c r="N7" s="46"/>
      <c r="O7" s="46"/>
      <c r="P7" s="46"/>
      <c r="Q7" s="46"/>
      <c r="R7" s="46"/>
      <c r="S7" s="46"/>
      <c r="T7" s="46"/>
      <c r="U7" s="46"/>
      <c r="V7" s="46"/>
      <c r="W7" s="46"/>
      <c r="X7" s="46"/>
      <c r="Y7" s="46"/>
      <c r="Z7" s="46"/>
      <c r="AA7" s="46"/>
      <c r="AB7" s="46"/>
    </row>
    <row r="8" hidden="1">
      <c r="A8" s="90" t="s">
        <v>225</v>
      </c>
      <c r="B8" s="91" t="str">
        <f>IFERROR(VLOOKUP(A8,'Salary Calculation'!A8:F1005,2,0),"")</f>
        <v>April</v>
      </c>
      <c r="C8" s="91" t="str">
        <f>IFERROR(VLOOKUP(A8,'Salary Calculation'!$A$2:$T$999,3,0),"")</f>
        <v>AC 03</v>
      </c>
      <c r="D8" s="91" t="str">
        <f>IFERROR(VLOOKUP(A8,'Salary Calculation'!$A$2:$T$999,6,0),"")</f>
        <v>LEELAVATHI.M</v>
      </c>
      <c r="E8" s="91" t="str">
        <f>IFERROR(VLOOKUP(A8,'Salary Calculation'!$A$2:$T$999,8,0),"")</f>
        <v>8387010000017745</v>
      </c>
      <c r="F8" s="92" t="str">
        <f>IFERROR(VLOOKUP(C8,'Employees List'!$B$2:H999,6,0),"")</f>
        <v>DBS</v>
      </c>
      <c r="G8" s="93">
        <f>IFERROR(VLOOKUP(A8,'Salary Calculation'!$A$2:$T$999,7,0),"")</f>
        <v>15048.78125</v>
      </c>
      <c r="H8" s="94" t="s">
        <v>1219</v>
      </c>
      <c r="I8" s="95" t="s">
        <v>12</v>
      </c>
      <c r="J8" s="46"/>
      <c r="K8" s="46"/>
      <c r="L8" s="46"/>
      <c r="M8" s="89"/>
      <c r="N8" s="46"/>
      <c r="O8" s="46"/>
      <c r="P8" s="46"/>
      <c r="Q8" s="46"/>
      <c r="R8" s="46"/>
      <c r="S8" s="46"/>
      <c r="T8" s="46"/>
      <c r="U8" s="46"/>
      <c r="V8" s="46"/>
      <c r="W8" s="46"/>
      <c r="X8" s="46"/>
      <c r="Y8" s="46"/>
      <c r="Z8" s="46"/>
      <c r="AA8" s="46"/>
      <c r="AB8" s="46"/>
    </row>
    <row r="9" hidden="1">
      <c r="A9" s="90" t="s">
        <v>226</v>
      </c>
      <c r="B9" s="91" t="str">
        <f>IFERROR(VLOOKUP(A9,'Salary Calculation'!A9:F1006,2,0),"")</f>
        <v>April</v>
      </c>
      <c r="C9" s="91" t="str">
        <f>IFERROR(VLOOKUP(A9,'Salary Calculation'!$A$2:$T$999,3,0),"")</f>
        <v>PR 27</v>
      </c>
      <c r="D9" s="91" t="str">
        <f>IFERROR(VLOOKUP(A9,'Salary Calculation'!$A$2:$T$999,6,0),"")</f>
        <v>PARSHU BAGH</v>
      </c>
      <c r="E9" s="91">
        <f>IFERROR(VLOOKUP(A9,'Salary Calculation'!$A$2:$T$999,8,0),"")</f>
        <v>40653547928</v>
      </c>
      <c r="F9" s="92" t="str">
        <f>IFERROR(VLOOKUP(C9,'Employees List'!$B$2:H999,6,0),"")</f>
        <v>SBI</v>
      </c>
      <c r="G9" s="93">
        <f>IFERROR(VLOOKUP(A9,'Salary Calculation'!$A$2:$T$999,7,0),"")</f>
        <v>4032.03125</v>
      </c>
      <c r="H9" s="94" t="s">
        <v>1220</v>
      </c>
      <c r="I9" s="46"/>
      <c r="J9" s="46"/>
      <c r="K9" s="46"/>
      <c r="L9" s="46"/>
      <c r="M9" s="89"/>
      <c r="N9" s="46"/>
      <c r="O9" s="46"/>
      <c r="P9" s="46"/>
      <c r="Q9" s="46"/>
      <c r="R9" s="46"/>
      <c r="S9" s="46"/>
      <c r="T9" s="46"/>
      <c r="U9" s="46"/>
      <c r="V9" s="46"/>
      <c r="W9" s="46"/>
      <c r="X9" s="46"/>
      <c r="Y9" s="46"/>
      <c r="Z9" s="46"/>
      <c r="AA9" s="46"/>
      <c r="AB9" s="46"/>
    </row>
    <row r="10" hidden="1">
      <c r="A10" s="90" t="s">
        <v>227</v>
      </c>
      <c r="B10" s="91" t="str">
        <f>IFERROR(VLOOKUP(A10,'Salary Calculation'!A10:F1007,2,0),"")</f>
        <v>April</v>
      </c>
      <c r="C10" s="91" t="str">
        <f>IFERROR(VLOOKUP(A10,'Salary Calculation'!$A$2:$T$999,3,0),"")</f>
        <v>PR 12</v>
      </c>
      <c r="D10" s="91" t="str">
        <f>IFERROR(VLOOKUP(A10,'Salary Calculation'!$A$2:$T$999,6,0),"")</f>
        <v>PINU </v>
      </c>
      <c r="E10" s="91" t="str">
        <f>IFERROR(VLOOKUP(A10,'Salary Calculation'!$A$2:$T$999,8,0),"")</f>
        <v>8131010000018814</v>
      </c>
      <c r="F10" s="92" t="str">
        <f>IFERROR(VLOOKUP(C10,'Employees List'!$B$2:H999,6,0),"")</f>
        <v>DBS</v>
      </c>
      <c r="G10" s="93">
        <f>IFERROR(VLOOKUP(A10,'Salary Calculation'!$A$2:$T$999,7,0),"")</f>
        <v>4298.765625</v>
      </c>
      <c r="H10" s="94" t="s">
        <v>1220</v>
      </c>
      <c r="I10" s="46"/>
      <c r="J10" s="46"/>
      <c r="K10" s="46"/>
      <c r="L10" s="46"/>
      <c r="M10" s="89"/>
      <c r="N10" s="46"/>
      <c r="O10" s="46"/>
      <c r="P10" s="46"/>
      <c r="Q10" s="46"/>
      <c r="R10" s="46"/>
      <c r="S10" s="46"/>
      <c r="T10" s="46"/>
      <c r="U10" s="46"/>
      <c r="V10" s="46"/>
      <c r="W10" s="46"/>
      <c r="X10" s="46"/>
      <c r="Y10" s="46"/>
      <c r="Z10" s="46"/>
      <c r="AA10" s="46"/>
      <c r="AB10" s="46"/>
    </row>
    <row r="11" hidden="1">
      <c r="A11" s="90" t="s">
        <v>228</v>
      </c>
      <c r="B11" s="91" t="str">
        <f>IFERROR(VLOOKUP(A11,'Salary Calculation'!A11:F1008,2,0),"")</f>
        <v>April</v>
      </c>
      <c r="C11" s="91" t="str">
        <f>IFERROR(VLOOKUP(A11,'Salary Calculation'!$A$2:$T$999,3,0),"")</f>
        <v>PR 05</v>
      </c>
      <c r="D11" s="91" t="str">
        <f>IFERROR(VLOOKUP(A11,'Salary Calculation'!$A$2:$T$999,6,0),"")</f>
        <v>SANJAY BAGARTTI.K</v>
      </c>
      <c r="E11" s="91" t="str">
        <f>IFERROR(VLOOKUP(A11,'Salary Calculation'!$A$2:$T$999,8,0),"")</f>
        <v>8131010000021225</v>
      </c>
      <c r="F11" s="92" t="str">
        <f>IFERROR(VLOOKUP(C11,'Employees List'!$B$2:H999,6,0),"")</f>
        <v>DBS</v>
      </c>
      <c r="G11" s="93">
        <f>IFERROR(VLOOKUP(A11,'Salary Calculation'!$A$2:$T$999,7,0),"")</f>
        <v>20811.48438</v>
      </c>
      <c r="H11" s="94" t="s">
        <v>1219</v>
      </c>
      <c r="I11" s="95" t="s">
        <v>12</v>
      </c>
      <c r="J11" s="46"/>
      <c r="K11" s="46"/>
      <c r="L11" s="46"/>
      <c r="M11" s="89"/>
      <c r="N11" s="46"/>
      <c r="O11" s="46"/>
      <c r="P11" s="46"/>
      <c r="Q11" s="46"/>
      <c r="R11" s="46"/>
      <c r="S11" s="46"/>
      <c r="T11" s="46"/>
      <c r="U11" s="46"/>
      <c r="V11" s="46"/>
      <c r="W11" s="46"/>
      <c r="X11" s="46"/>
      <c r="Y11" s="46"/>
      <c r="Z11" s="46"/>
      <c r="AA11" s="46"/>
      <c r="AB11" s="46"/>
    </row>
    <row r="12" hidden="1">
      <c r="A12" s="90" t="s">
        <v>229</v>
      </c>
      <c r="B12" s="91" t="str">
        <f>IFERROR(VLOOKUP(A12,'Salary Calculation'!A12:F1009,2,0),"")</f>
        <v>April</v>
      </c>
      <c r="C12" s="91" t="str">
        <f>IFERROR(VLOOKUP(A12,'Salary Calculation'!$A$2:$T$999,3,0),"")</f>
        <v>PR 03</v>
      </c>
      <c r="D12" s="91" t="str">
        <f>IFERROR(VLOOKUP(A12,'Salary Calculation'!$A$2:$T$999,6,0),"")</f>
        <v>ADHIKARI BALIA.A</v>
      </c>
      <c r="E12" s="91" t="str">
        <f>IFERROR(VLOOKUP(A12,'Salary Calculation'!$A$2:$T$999,8,0),"")</f>
        <v>8131010000018948</v>
      </c>
      <c r="F12" s="92" t="str">
        <f>IFERROR(VLOOKUP(C12,'Employees List'!$B$2:H999,6,0),"")</f>
        <v>DBS</v>
      </c>
      <c r="G12" s="93">
        <f>IFERROR(VLOOKUP(A12,'Salary Calculation'!$A$2:$T$999,7,0),"")</f>
        <v>1542.614583</v>
      </c>
      <c r="H12" s="94" t="s">
        <v>1219</v>
      </c>
      <c r="I12" s="95" t="s">
        <v>12</v>
      </c>
      <c r="J12" s="46"/>
      <c r="K12" s="46"/>
      <c r="L12" s="46"/>
      <c r="M12" s="89"/>
      <c r="N12" s="46"/>
      <c r="O12" s="46"/>
      <c r="P12" s="46"/>
      <c r="Q12" s="46"/>
      <c r="R12" s="46"/>
      <c r="S12" s="46"/>
      <c r="T12" s="46"/>
      <c r="U12" s="46"/>
      <c r="V12" s="46"/>
      <c r="W12" s="46"/>
      <c r="X12" s="46"/>
      <c r="Y12" s="46"/>
      <c r="Z12" s="46"/>
      <c r="AA12" s="46"/>
      <c r="AB12" s="46"/>
    </row>
    <row r="13" hidden="1">
      <c r="A13" s="90" t="s">
        <v>230</v>
      </c>
      <c r="B13" s="91" t="str">
        <f>IFERROR(VLOOKUP(A13,'Salary Calculation'!A13:F1010,2,0),"")</f>
        <v>April</v>
      </c>
      <c r="C13" s="91" t="str">
        <f>IFERROR(VLOOKUP(A13,'Salary Calculation'!$A$2:$T$999,3,0),"")</f>
        <v>PR 04</v>
      </c>
      <c r="D13" s="91" t="str">
        <f>IFERROR(VLOOKUP(A13,'Salary Calculation'!$A$2:$T$999,6,0),"")</f>
        <v>RUPESH KISAN</v>
      </c>
      <c r="E13" s="91">
        <f>IFERROR(VLOOKUP(A13,'Salary Calculation'!$A$2:$T$999,8,0),"")</f>
        <v>411002010024591</v>
      </c>
      <c r="F13" s="92" t="str">
        <f>IFERROR(VLOOKUP(C13,'Employees List'!$B$2:H999,6,0),"")</f>
        <v>UBI</v>
      </c>
      <c r="G13" s="93">
        <f>IFERROR(VLOOKUP(A13,'Salary Calculation'!$A$2:$T$999,7,0),"")</f>
        <v>4236.208333</v>
      </c>
      <c r="H13" s="94" t="s">
        <v>1219</v>
      </c>
      <c r="I13" s="95" t="s">
        <v>12</v>
      </c>
      <c r="J13" s="46"/>
      <c r="K13" s="46"/>
      <c r="L13" s="46"/>
      <c r="M13" s="89"/>
      <c r="N13" s="46"/>
      <c r="O13" s="46"/>
      <c r="P13" s="46"/>
      <c r="Q13" s="46"/>
      <c r="R13" s="46"/>
      <c r="S13" s="46"/>
      <c r="T13" s="46"/>
      <c r="U13" s="46"/>
      <c r="V13" s="46"/>
      <c r="W13" s="46"/>
      <c r="X13" s="46"/>
      <c r="Y13" s="46"/>
      <c r="Z13" s="46"/>
      <c r="AA13" s="46"/>
      <c r="AB13" s="46"/>
    </row>
    <row r="14" hidden="1">
      <c r="A14" s="90" t="s">
        <v>231</v>
      </c>
      <c r="B14" s="91" t="str">
        <f>IFERROR(VLOOKUP(A14,'Salary Calculation'!A14:F1011,2,0),"")</f>
        <v>April</v>
      </c>
      <c r="C14" s="91" t="str">
        <f>IFERROR(VLOOKUP(A14,'Salary Calculation'!$A$2:$T$999,3,0),"")</f>
        <v>PR 21</v>
      </c>
      <c r="D14" s="91" t="str">
        <f>IFERROR(VLOOKUP(A14,'Salary Calculation'!$A$2:$T$999,6,0),"")</f>
        <v>LIPAN</v>
      </c>
      <c r="E14" s="91" t="str">
        <f>IFERROR(VLOOKUP(A14,'Salary Calculation'!$A$2:$T$999,8,0),"")</f>
        <v>8131010000018957</v>
      </c>
      <c r="F14" s="92" t="str">
        <f>IFERROR(VLOOKUP(C14,'Employees List'!$B$2:H999,6,0),"")</f>
        <v>DBS</v>
      </c>
      <c r="G14" s="93">
        <f>IFERROR(VLOOKUP(A14,'Salary Calculation'!$A$2:$T$999,7,0),"")</f>
        <v>365.1770833</v>
      </c>
      <c r="H14" s="94" t="s">
        <v>1219</v>
      </c>
      <c r="I14" s="46"/>
      <c r="J14" s="46"/>
      <c r="K14" s="46"/>
      <c r="L14" s="46"/>
      <c r="M14" s="89"/>
      <c r="N14" s="46"/>
      <c r="O14" s="46"/>
      <c r="P14" s="46"/>
      <c r="Q14" s="46"/>
      <c r="R14" s="46"/>
      <c r="S14" s="46"/>
      <c r="T14" s="46"/>
      <c r="U14" s="46"/>
      <c r="V14" s="46"/>
      <c r="W14" s="46"/>
      <c r="X14" s="46"/>
      <c r="Y14" s="46"/>
      <c r="Z14" s="46"/>
      <c r="AA14" s="46"/>
      <c r="AB14" s="46"/>
    </row>
    <row r="15" hidden="1">
      <c r="A15" s="90" t="s">
        <v>232</v>
      </c>
      <c r="B15" s="91" t="str">
        <f>IFERROR(VLOOKUP(A15,'Salary Calculation'!A15:F1012,2,0),"")</f>
        <v>April</v>
      </c>
      <c r="C15" s="91" t="str">
        <f>IFERROR(VLOOKUP(A15,'Salary Calculation'!$A$2:$T$999,3,0),"")</f>
        <v>PR 24</v>
      </c>
      <c r="D15" s="91" t="str">
        <f>IFERROR(VLOOKUP(A15,'Salary Calculation'!$A$2:$T$999,6,0),"")</f>
        <v>NILAMANI KISAN.B</v>
      </c>
      <c r="E15" s="91">
        <f>IFERROR(VLOOKUP(A15,'Salary Calculation'!$A$2:$T$999,8,0),"")</f>
        <v>38254473147</v>
      </c>
      <c r="F15" s="92" t="str">
        <f>IFERROR(VLOOKUP(C15,'Employees List'!$B$2:H999,6,0),"")</f>
        <v>SBI</v>
      </c>
      <c r="G15" s="93">
        <f>IFERROR(VLOOKUP(A15,'Salary Calculation'!$A$2:$T$999,7,0),"")</f>
        <v>14143.125</v>
      </c>
      <c r="H15" s="94" t="s">
        <v>1219</v>
      </c>
      <c r="I15" s="95" t="s">
        <v>12</v>
      </c>
      <c r="J15" s="46"/>
      <c r="K15" s="46"/>
      <c r="L15" s="46"/>
      <c r="M15" s="89"/>
      <c r="N15" s="46"/>
      <c r="O15" s="46"/>
      <c r="P15" s="46"/>
      <c r="Q15" s="46"/>
      <c r="R15" s="46"/>
      <c r="S15" s="46"/>
      <c r="T15" s="46"/>
      <c r="U15" s="46"/>
      <c r="V15" s="46"/>
      <c r="W15" s="46"/>
      <c r="X15" s="46"/>
      <c r="Y15" s="46"/>
      <c r="Z15" s="46"/>
      <c r="AA15" s="46"/>
      <c r="AB15" s="46"/>
    </row>
    <row r="16" hidden="1">
      <c r="A16" s="90" t="s">
        <v>233</v>
      </c>
      <c r="B16" s="91" t="str">
        <f>IFERROR(VLOOKUP(A16,'Salary Calculation'!A16:F1013,2,0),"")</f>
        <v>May</v>
      </c>
      <c r="C16" s="91" t="str">
        <f>IFERROR(VLOOKUP(A16,'Salary Calculation'!$A$2:$T$999,3,0),"")</f>
        <v>AC 01</v>
      </c>
      <c r="D16" s="91" t="str">
        <f>IFERROR(VLOOKUP(A16,'Salary Calculation'!$A$2:$T$999,6,0),"")</f>
        <v>BHUVANESHWARAN.V</v>
      </c>
      <c r="E16" s="91">
        <f>IFERROR(VLOOKUP(A16,'Salary Calculation'!$A$2:$T$999,8,0),"")</f>
        <v>500101011548924</v>
      </c>
      <c r="F16" s="92" t="str">
        <f>IFERROR(VLOOKUP(C16,'Employees List'!$B$2:H999,6,0),"")</f>
        <v>CUB</v>
      </c>
      <c r="G16" s="93">
        <f>IFERROR(VLOOKUP(A16,'Salary Calculation'!$A$2:$T$999,7,0),"")</f>
        <v>66900</v>
      </c>
      <c r="H16" s="94" t="s">
        <v>1219</v>
      </c>
      <c r="I16" s="96">
        <v>45782.0</v>
      </c>
      <c r="J16" s="46"/>
      <c r="K16" s="46"/>
      <c r="L16" s="46"/>
      <c r="M16" s="46"/>
      <c r="N16" s="46"/>
      <c r="O16" s="46"/>
      <c r="P16" s="46"/>
      <c r="Q16" s="46"/>
      <c r="R16" s="46"/>
      <c r="S16" s="46"/>
      <c r="T16" s="46"/>
      <c r="U16" s="46"/>
      <c r="V16" s="46"/>
      <c r="W16" s="46"/>
      <c r="X16" s="46"/>
      <c r="Y16" s="46"/>
      <c r="Z16" s="46"/>
      <c r="AA16" s="46"/>
      <c r="AB16" s="46"/>
    </row>
    <row r="17" hidden="1">
      <c r="A17" s="90" t="s">
        <v>234</v>
      </c>
      <c r="B17" s="91" t="str">
        <f>IFERROR(VLOOKUP(A17,'Salary Calculation'!A17:F1014,2,0),"")</f>
        <v>May</v>
      </c>
      <c r="C17" s="91" t="str">
        <f>IFERROR(VLOOKUP(A17,'Salary Calculation'!$A$2:$T$999,3,0),"")</f>
        <v>AC 02</v>
      </c>
      <c r="D17" s="91" t="str">
        <f>IFERROR(VLOOKUP(A17,'Salary Calculation'!$A$2:$T$999,6,0),"")</f>
        <v>THIRIPURA SUNDARI.R</v>
      </c>
      <c r="E17" s="91" t="str">
        <f>IFERROR(VLOOKUP(A17,'Salary Calculation'!$A$2:$T$999,8,0),"")</f>
        <v>8131010000016977</v>
      </c>
      <c r="F17" s="92" t="str">
        <f>IFERROR(VLOOKUP(C17,'Employees List'!$B$2:H999,6,0),"")</f>
        <v>DBS</v>
      </c>
      <c r="G17" s="93">
        <f>IFERROR(VLOOKUP(A17,'Salary Calculation'!$A$2:$T$999,7,0),"")</f>
        <v>23294.13508</v>
      </c>
      <c r="H17" s="94" t="s">
        <v>1219</v>
      </c>
      <c r="I17" s="96">
        <v>45782.0</v>
      </c>
      <c r="J17" s="46"/>
      <c r="K17" s="46"/>
      <c r="L17" s="46"/>
      <c r="M17" s="46"/>
      <c r="N17" s="46"/>
      <c r="O17" s="46"/>
      <c r="P17" s="46"/>
      <c r="Q17" s="46"/>
      <c r="R17" s="46"/>
      <c r="S17" s="46"/>
      <c r="T17" s="46"/>
      <c r="U17" s="46"/>
      <c r="V17" s="46"/>
      <c r="W17" s="46"/>
      <c r="X17" s="46"/>
      <c r="Y17" s="46"/>
      <c r="Z17" s="46"/>
      <c r="AA17" s="46"/>
      <c r="AB17" s="46"/>
    </row>
    <row r="18" hidden="1">
      <c r="A18" s="90" t="s">
        <v>235</v>
      </c>
      <c r="B18" s="91" t="str">
        <f>IFERROR(VLOOKUP(A18,'Salary Calculation'!A18:F1015,2,0),"")</f>
        <v>May</v>
      </c>
      <c r="C18" s="91" t="str">
        <f>IFERROR(VLOOKUP(A18,'Salary Calculation'!$A$2:$T$999,3,0),"")</f>
        <v>PR 02</v>
      </c>
      <c r="D18" s="91" t="str">
        <f>IFERROR(VLOOKUP(A18,'Salary Calculation'!$A$2:$T$999,6,0),"")</f>
        <v>GANESH</v>
      </c>
      <c r="E18" s="91" t="str">
        <f>IFERROR(VLOOKUP(A18,'Salary Calculation'!$A$2:$T$999,8,0),"")</f>
        <v>8811010012054879</v>
      </c>
      <c r="F18" s="92" t="str">
        <f>IFERROR(VLOOKUP(C18,'Employees List'!$B$2:H999,6,0),"")</f>
        <v>DBS</v>
      </c>
      <c r="G18" s="93">
        <f>IFERROR(VLOOKUP(A18,'Salary Calculation'!$A$2:$T$999,7,0),"")</f>
        <v>19955.45313</v>
      </c>
      <c r="H18" s="94" t="s">
        <v>1219</v>
      </c>
      <c r="I18" s="96">
        <v>45782.0</v>
      </c>
      <c r="J18" s="46"/>
      <c r="K18" s="46"/>
      <c r="L18" s="46"/>
      <c r="M18" s="46"/>
      <c r="N18" s="46"/>
      <c r="O18" s="46"/>
      <c r="P18" s="46"/>
      <c r="Q18" s="46"/>
      <c r="R18" s="46"/>
      <c r="S18" s="46"/>
      <c r="T18" s="46"/>
      <c r="U18" s="46"/>
      <c r="V18" s="46"/>
      <c r="W18" s="46"/>
      <c r="X18" s="46"/>
      <c r="Y18" s="46"/>
      <c r="Z18" s="46"/>
      <c r="AA18" s="46"/>
      <c r="AB18" s="46"/>
    </row>
    <row r="19" hidden="1">
      <c r="A19" s="90" t="s">
        <v>236</v>
      </c>
      <c r="B19" s="91" t="str">
        <f>IFERROR(VLOOKUP(A19,'Salary Calculation'!A19:F1016,2,0),"")</f>
        <v>May</v>
      </c>
      <c r="C19" s="91" t="str">
        <f>IFERROR(VLOOKUP(A19,'Salary Calculation'!$A$2:$T$999,3,0),"")</f>
        <v>DR 01</v>
      </c>
      <c r="D19" s="91" t="str">
        <f>IFERROR(VLOOKUP(A19,'Salary Calculation'!$A$2:$T$999,6,0),"")</f>
        <v>ILAMATHIVANAN.S</v>
      </c>
      <c r="E19" s="91" t="str">
        <f>IFERROR(VLOOKUP(A19,'Salary Calculation'!$A$2:$T$999,8,0),"")</f>
        <v>8131010000016986</v>
      </c>
      <c r="F19" s="92" t="str">
        <f>IFERROR(VLOOKUP(C19,'Employees List'!$B$2:H999,6,0),"")</f>
        <v>DBS</v>
      </c>
      <c r="G19" s="93">
        <f>IFERROR(VLOOKUP(A19,'Salary Calculation'!$A$2:$T$999,7,0),"")</f>
        <v>29189.10484</v>
      </c>
      <c r="H19" s="94" t="s">
        <v>1219</v>
      </c>
      <c r="I19" s="96">
        <v>45782.0</v>
      </c>
      <c r="J19" s="46"/>
      <c r="K19" s="46"/>
      <c r="L19" s="46"/>
      <c r="M19" s="46"/>
      <c r="N19" s="46"/>
      <c r="O19" s="46"/>
      <c r="P19" s="46"/>
      <c r="Q19" s="46"/>
      <c r="R19" s="46"/>
      <c r="S19" s="46"/>
      <c r="T19" s="46"/>
      <c r="U19" s="46"/>
      <c r="V19" s="46"/>
      <c r="W19" s="46"/>
      <c r="X19" s="46"/>
      <c r="Y19" s="46"/>
      <c r="Z19" s="46"/>
      <c r="AA19" s="46"/>
      <c r="AB19" s="46"/>
    </row>
    <row r="20" hidden="1">
      <c r="A20" s="90" t="s">
        <v>237</v>
      </c>
      <c r="B20" s="91" t="str">
        <f>IFERROR(VLOOKUP(A20,'Salary Calculation'!A20:F1017,2,0),"")</f>
        <v>May</v>
      </c>
      <c r="C20" s="91" t="str">
        <f>IFERROR(VLOOKUP(A20,'Salary Calculation'!$A$2:$T$999,3,0),"")</f>
        <v>PR 03</v>
      </c>
      <c r="D20" s="91" t="str">
        <f>IFERROR(VLOOKUP(A20,'Salary Calculation'!$A$2:$T$999,6,0),"")</f>
        <v>ADHIKARI BALIA.A</v>
      </c>
      <c r="E20" s="91" t="str">
        <f>IFERROR(VLOOKUP(A20,'Salary Calculation'!$A$2:$T$999,8,0),"")</f>
        <v>8131010000018948</v>
      </c>
      <c r="F20" s="92" t="str">
        <f>IFERROR(VLOOKUP(C20,'Employees List'!$B$2:H999,6,0),"")</f>
        <v>DBS</v>
      </c>
      <c r="G20" s="93">
        <f>IFERROR(VLOOKUP(A20,'Salary Calculation'!$A$2:$T$999,7,0),"")</f>
        <v>19440.86089</v>
      </c>
      <c r="H20" s="94" t="s">
        <v>1219</v>
      </c>
      <c r="I20" s="96">
        <v>45782.0</v>
      </c>
      <c r="J20" s="46"/>
      <c r="K20" s="46"/>
      <c r="L20" s="46"/>
      <c r="M20" s="46"/>
      <c r="N20" s="46"/>
      <c r="O20" s="46"/>
      <c r="P20" s="46"/>
      <c r="Q20" s="46"/>
      <c r="R20" s="46"/>
      <c r="S20" s="46"/>
      <c r="T20" s="46"/>
      <c r="U20" s="46"/>
      <c r="V20" s="46"/>
      <c r="W20" s="46"/>
      <c r="X20" s="46"/>
      <c r="Y20" s="46"/>
      <c r="Z20" s="46"/>
      <c r="AA20" s="46"/>
      <c r="AB20" s="46"/>
    </row>
    <row r="21" hidden="1">
      <c r="A21" s="90" t="s">
        <v>238</v>
      </c>
      <c r="B21" s="91" t="str">
        <f>IFERROR(VLOOKUP(A21,'Salary Calculation'!A21:F1018,2,0),"")</f>
        <v>May</v>
      </c>
      <c r="C21" s="91" t="str">
        <f>IFERROR(VLOOKUP(A21,'Salary Calculation'!$A$2:$T$999,3,0),"")</f>
        <v>PR 04</v>
      </c>
      <c r="D21" s="91" t="str">
        <f>IFERROR(VLOOKUP(A21,'Salary Calculation'!$A$2:$T$999,6,0),"")</f>
        <v>RUPESH KISAN</v>
      </c>
      <c r="E21" s="91">
        <f>IFERROR(VLOOKUP(A21,'Salary Calculation'!$A$2:$T$999,8,0),"")</f>
        <v>411002010024591</v>
      </c>
      <c r="F21" s="92" t="str">
        <f>IFERROR(VLOOKUP(C21,'Employees List'!$B$2:H999,6,0),"")</f>
        <v>UBI</v>
      </c>
      <c r="G21" s="93">
        <f>IFERROR(VLOOKUP(A21,'Salary Calculation'!$A$2:$T$999,7,0),"")</f>
        <v>21018.9002</v>
      </c>
      <c r="H21" s="94" t="s">
        <v>1219</v>
      </c>
      <c r="I21" s="96">
        <v>45782.0</v>
      </c>
      <c r="J21" s="96">
        <v>45782.0</v>
      </c>
      <c r="K21" s="46"/>
      <c r="L21" s="46"/>
      <c r="M21" s="46"/>
      <c r="N21" s="46"/>
      <c r="O21" s="46"/>
      <c r="P21" s="46"/>
      <c r="Q21" s="46"/>
      <c r="R21" s="46"/>
      <c r="S21" s="46"/>
      <c r="T21" s="46"/>
      <c r="U21" s="46"/>
      <c r="V21" s="46"/>
      <c r="W21" s="46"/>
      <c r="X21" s="46"/>
      <c r="Y21" s="46"/>
      <c r="Z21" s="46"/>
      <c r="AA21" s="46"/>
      <c r="AB21" s="46"/>
    </row>
    <row r="22" hidden="1">
      <c r="A22" s="90" t="s">
        <v>239</v>
      </c>
      <c r="B22" s="91" t="str">
        <f>IFERROR(VLOOKUP(A22,'Salary Calculation'!A22:F1019,2,0),"")</f>
        <v>May</v>
      </c>
      <c r="C22" s="91" t="str">
        <f>IFERROR(VLOOKUP(A22,'Salary Calculation'!$A$2:$T$999,3,0),"")</f>
        <v>PR 05</v>
      </c>
      <c r="D22" s="91" t="str">
        <f>IFERROR(VLOOKUP(A22,'Salary Calculation'!$A$2:$T$999,6,0),"")</f>
        <v>SANJAY BAGARTTI.K</v>
      </c>
      <c r="E22" s="91" t="str">
        <f>IFERROR(VLOOKUP(A22,'Salary Calculation'!$A$2:$T$999,8,0),"")</f>
        <v>8131010000021225</v>
      </c>
      <c r="F22" s="92" t="str">
        <f>IFERROR(VLOOKUP(C22,'Employees List'!$B$2:H999,6,0),"")</f>
        <v>DBS</v>
      </c>
      <c r="G22" s="93">
        <f>IFERROR(VLOOKUP(A22,'Salary Calculation'!$A$2:$T$999,7,0),"")</f>
        <v>25501.64718</v>
      </c>
      <c r="H22" s="94" t="s">
        <v>1219</v>
      </c>
      <c r="I22" s="96">
        <v>45782.0</v>
      </c>
      <c r="J22" s="46"/>
      <c r="K22" s="46"/>
      <c r="L22" s="46"/>
      <c r="M22" s="46"/>
      <c r="N22" s="46"/>
      <c r="O22" s="46"/>
      <c r="P22" s="46"/>
      <c r="Q22" s="46"/>
      <c r="R22" s="46"/>
      <c r="S22" s="46"/>
      <c r="T22" s="46"/>
      <c r="U22" s="46"/>
      <c r="V22" s="46"/>
      <c r="W22" s="46"/>
      <c r="X22" s="46"/>
      <c r="Y22" s="46"/>
      <c r="Z22" s="46"/>
      <c r="AA22" s="46"/>
      <c r="AB22" s="46"/>
    </row>
    <row r="23" hidden="1">
      <c r="A23" s="90" t="s">
        <v>240</v>
      </c>
      <c r="B23" s="91" t="str">
        <f>IFERROR(VLOOKUP(A23,'Salary Calculation'!A23:F1020,2,0),"")</f>
        <v>May</v>
      </c>
      <c r="C23" s="91" t="str">
        <f>IFERROR(VLOOKUP(A23,'Salary Calculation'!$A$2:$T$999,3,0),"")</f>
        <v>PR 21</v>
      </c>
      <c r="D23" s="91" t="str">
        <f>IFERROR(VLOOKUP(A23,'Salary Calculation'!$A$2:$T$999,6,0),"")</f>
        <v>LIPAN</v>
      </c>
      <c r="E23" s="91" t="str">
        <f>IFERROR(VLOOKUP(A23,'Salary Calculation'!$A$2:$T$999,8,0),"")</f>
        <v>8131010000018957</v>
      </c>
      <c r="F23" s="92" t="str">
        <f>IFERROR(VLOOKUP(C23,'Employees List'!$B$2:H999,6,0),"")</f>
        <v>DBS</v>
      </c>
      <c r="G23" s="93">
        <f>IFERROR(VLOOKUP(A23,'Salary Calculation'!$A$2:$T$999,7,0),"")</f>
        <v>20468.22278</v>
      </c>
      <c r="H23" s="94" t="s">
        <v>1219</v>
      </c>
      <c r="I23" s="96">
        <v>45782.0</v>
      </c>
      <c r="J23" s="46"/>
      <c r="K23" s="46"/>
      <c r="L23" s="46"/>
      <c r="M23" s="46"/>
      <c r="N23" s="46"/>
      <c r="O23" s="46"/>
      <c r="P23" s="46"/>
      <c r="Q23" s="46"/>
      <c r="R23" s="46"/>
      <c r="S23" s="46"/>
      <c r="T23" s="46"/>
      <c r="U23" s="46"/>
      <c r="V23" s="46"/>
      <c r="W23" s="46"/>
      <c r="X23" s="46"/>
      <c r="Y23" s="46"/>
      <c r="Z23" s="46"/>
      <c r="AA23" s="46"/>
      <c r="AB23" s="46"/>
    </row>
    <row r="24" hidden="1">
      <c r="A24" s="90" t="s">
        <v>241</v>
      </c>
      <c r="B24" s="91" t="str">
        <f>IFERROR(VLOOKUP(A24,'Salary Calculation'!A24:F1021,2,0),"")</f>
        <v>May</v>
      </c>
      <c r="C24" s="91" t="str">
        <f>IFERROR(VLOOKUP(A24,'Salary Calculation'!$A$2:$T$999,3,0),"")</f>
        <v>PR 07</v>
      </c>
      <c r="D24" s="91" t="str">
        <f>IFERROR(VLOOKUP(A24,'Salary Calculation'!$A$2:$T$999,6,0),"")</f>
        <v>AMMU.S</v>
      </c>
      <c r="E24" s="91">
        <f>IFERROR(VLOOKUP(A24,'Salary Calculation'!$A$2:$T$999,8,0),"")</f>
        <v>65801000040238</v>
      </c>
      <c r="F24" s="92" t="str">
        <f>IFERROR(VLOOKUP(C24,'Employees List'!$B$2:H999,6,0),"")</f>
        <v>IOB</v>
      </c>
      <c r="G24" s="93">
        <f>IFERROR(VLOOKUP(A24,'Salary Calculation'!$A$2:$T$999,7,0),"")</f>
        <v>11603.24546</v>
      </c>
      <c r="H24" s="94" t="s">
        <v>1219</v>
      </c>
      <c r="I24" s="96">
        <v>45782.0</v>
      </c>
      <c r="J24" s="46"/>
      <c r="K24" s="46"/>
      <c r="L24" s="46"/>
      <c r="M24" s="46"/>
      <c r="N24" s="46"/>
      <c r="O24" s="46"/>
      <c r="P24" s="46"/>
      <c r="Q24" s="46"/>
      <c r="R24" s="46"/>
      <c r="S24" s="46"/>
      <c r="T24" s="46"/>
      <c r="U24" s="46"/>
      <c r="V24" s="46"/>
      <c r="W24" s="46"/>
      <c r="X24" s="46"/>
      <c r="Y24" s="46"/>
      <c r="Z24" s="46"/>
      <c r="AA24" s="46"/>
      <c r="AB24" s="46"/>
    </row>
    <row r="25" hidden="1">
      <c r="A25" s="90" t="s">
        <v>242</v>
      </c>
      <c r="B25" s="91" t="str">
        <f>IFERROR(VLOOKUP(A25,'Salary Calculation'!A25:F1022,2,0),"")</f>
        <v>May</v>
      </c>
      <c r="C25" s="91" t="str">
        <f>IFERROR(VLOOKUP(A25,'Salary Calculation'!$A$2:$T$999,3,0),"")</f>
        <v>PR 08</v>
      </c>
      <c r="D25" s="91" t="str">
        <f>IFERROR(VLOOKUP(A25,'Salary Calculation'!$A$2:$T$999,6,0),"")</f>
        <v>REVATHI.S</v>
      </c>
      <c r="E25" s="91" t="str">
        <f>IFERROR(VLOOKUP(A25,'Salary Calculation'!$A$2:$T$999,8,0),"")</f>
        <v>8131010000016995</v>
      </c>
      <c r="F25" s="92" t="str">
        <f>IFERROR(VLOOKUP(C25,'Employees List'!$B$2:H999,6,0),"")</f>
        <v>DBS</v>
      </c>
      <c r="G25" s="93">
        <f>IFERROR(VLOOKUP(A25,'Salary Calculation'!$A$2:$T$999,7,0),"")</f>
        <v>11289.94405</v>
      </c>
      <c r="H25" s="94" t="s">
        <v>1219</v>
      </c>
      <c r="I25" s="96">
        <v>45782.0</v>
      </c>
      <c r="J25" s="46"/>
      <c r="K25" s="46"/>
      <c r="L25" s="46"/>
      <c r="M25" s="46"/>
      <c r="N25" s="46"/>
      <c r="O25" s="46"/>
      <c r="P25" s="46"/>
      <c r="Q25" s="46"/>
      <c r="R25" s="46"/>
      <c r="S25" s="46"/>
      <c r="T25" s="46"/>
      <c r="U25" s="46"/>
      <c r="V25" s="46"/>
      <c r="W25" s="46"/>
      <c r="X25" s="46"/>
      <c r="Y25" s="46"/>
      <c r="Z25" s="46"/>
      <c r="AA25" s="46"/>
      <c r="AB25" s="46"/>
    </row>
    <row r="26" hidden="1">
      <c r="A26" s="90" t="s">
        <v>243</v>
      </c>
      <c r="B26" s="91" t="str">
        <f>IFERROR(VLOOKUP(A26,'Salary Calculation'!A26:F1023,2,0),"")</f>
        <v>May</v>
      </c>
      <c r="C26" s="91" t="str">
        <f>IFERROR(VLOOKUP(A26,'Salary Calculation'!$A$2:$T$999,3,0),"")</f>
        <v>AC 03</v>
      </c>
      <c r="D26" s="91" t="str">
        <f>IFERROR(VLOOKUP(A26,'Salary Calculation'!$A$2:$T$999,6,0),"")</f>
        <v>LEELAVATHI.M</v>
      </c>
      <c r="E26" s="91" t="str">
        <f>IFERROR(VLOOKUP(A26,'Salary Calculation'!$A$2:$T$999,8,0),"")</f>
        <v>8387010000017745</v>
      </c>
      <c r="F26" s="92" t="str">
        <f>IFERROR(VLOOKUP(C26,'Employees List'!$B$2:H999,6,0),"")</f>
        <v>DBS</v>
      </c>
      <c r="G26" s="93">
        <f>IFERROR(VLOOKUP(A26,'Salary Calculation'!$A$2:$T$999,7,0),"")</f>
        <v>13865.38508</v>
      </c>
      <c r="H26" s="94" t="s">
        <v>1219</v>
      </c>
      <c r="I26" s="96">
        <v>45782.0</v>
      </c>
      <c r="J26" s="46"/>
      <c r="K26" s="46"/>
      <c r="L26" s="46"/>
      <c r="M26" s="46"/>
      <c r="N26" s="46"/>
      <c r="O26" s="46"/>
      <c r="P26" s="46"/>
      <c r="Q26" s="46"/>
      <c r="R26" s="46"/>
      <c r="S26" s="46"/>
      <c r="T26" s="46"/>
      <c r="U26" s="46"/>
      <c r="V26" s="46"/>
      <c r="W26" s="46"/>
      <c r="X26" s="46"/>
      <c r="Y26" s="46"/>
      <c r="Z26" s="46"/>
      <c r="AA26" s="46"/>
      <c r="AB26" s="46"/>
    </row>
    <row r="27" hidden="1">
      <c r="A27" s="90" t="s">
        <v>244</v>
      </c>
      <c r="B27" s="91" t="str">
        <f>IFERROR(VLOOKUP(A27,'Salary Calculation'!A27:F1024,2,0),"")</f>
        <v>May</v>
      </c>
      <c r="C27" s="91" t="str">
        <f>IFERROR(VLOOKUP(A27,'Salary Calculation'!$A$2:$T$999,3,0),"")</f>
        <v>PR 24</v>
      </c>
      <c r="D27" s="91" t="str">
        <f>IFERROR(VLOOKUP(A27,'Salary Calculation'!$A$2:$T$999,6,0),"")</f>
        <v>NILAMANI KISAN.B</v>
      </c>
      <c r="E27" s="91">
        <f>IFERROR(VLOOKUP(A27,'Salary Calculation'!$A$2:$T$999,8,0),"")</f>
        <v>38254473147</v>
      </c>
      <c r="F27" s="92" t="str">
        <f>IFERROR(VLOOKUP(C27,'Employees List'!$B$2:H999,6,0),"")</f>
        <v>SBI</v>
      </c>
      <c r="G27" s="93">
        <f>IFERROR(VLOOKUP(A27,'Salary Calculation'!$A$2:$T$999,7,0),"")</f>
        <v>18863.90323</v>
      </c>
      <c r="H27" s="94" t="s">
        <v>1219</v>
      </c>
      <c r="I27" s="96">
        <v>45782.0</v>
      </c>
      <c r="J27" s="46"/>
      <c r="K27" s="46"/>
      <c r="L27" s="46"/>
      <c r="M27" s="46"/>
      <c r="N27" s="46"/>
      <c r="O27" s="46"/>
      <c r="P27" s="46"/>
      <c r="Q27" s="46"/>
      <c r="R27" s="46"/>
      <c r="S27" s="46"/>
      <c r="T27" s="46"/>
      <c r="U27" s="46"/>
      <c r="V27" s="46"/>
      <c r="W27" s="46"/>
      <c r="X27" s="46"/>
      <c r="Y27" s="46"/>
      <c r="Z27" s="46"/>
      <c r="AA27" s="46"/>
      <c r="AB27" s="46"/>
    </row>
    <row r="28" hidden="1">
      <c r="A28" s="90" t="s">
        <v>245</v>
      </c>
      <c r="B28" s="91" t="str">
        <f>IFERROR(VLOOKUP(A28,'Salary Calculation'!A28:F1025,2,0),"")</f>
        <v>June</v>
      </c>
      <c r="C28" s="91" t="str">
        <f>IFERROR(VLOOKUP(A28,'Salary Calculation'!$A$2:$T$999,3,0),"")</f>
        <v>AC 01</v>
      </c>
      <c r="D28" s="91" t="str">
        <f>IFERROR(VLOOKUP(A28,'Salary Calculation'!$A$2:$T$999,6,0),"")</f>
        <v>BHUVANESHWARAN.V</v>
      </c>
      <c r="E28" s="91">
        <f>IFERROR(VLOOKUP(A28,'Salary Calculation'!$A$2:$T$999,8,0),"")</f>
        <v>500101011548924</v>
      </c>
      <c r="F28" s="92" t="str">
        <f>IFERROR(VLOOKUP(C28,'Employees List'!$B$2:H999,6,0),"")</f>
        <v>CUB</v>
      </c>
      <c r="G28" s="93">
        <f>IFERROR(VLOOKUP(A28,'Salary Calculation'!$A$2:$T$999,7,0),"")</f>
        <v>66900</v>
      </c>
      <c r="H28" s="94" t="s">
        <v>1219</v>
      </c>
      <c r="I28" s="46"/>
      <c r="J28" s="46"/>
      <c r="K28" s="46"/>
      <c r="L28" s="46"/>
      <c r="M28" s="46"/>
      <c r="N28" s="46"/>
      <c r="O28" s="46"/>
      <c r="P28" s="46"/>
      <c r="Q28" s="46"/>
      <c r="R28" s="46"/>
      <c r="S28" s="46"/>
      <c r="T28" s="46"/>
      <c r="U28" s="46"/>
      <c r="V28" s="46"/>
      <c r="W28" s="46"/>
      <c r="X28" s="46"/>
      <c r="Y28" s="46"/>
      <c r="Z28" s="46"/>
      <c r="AA28" s="46"/>
      <c r="AB28" s="46"/>
    </row>
    <row r="29" hidden="1">
      <c r="A29" s="90" t="s">
        <v>246</v>
      </c>
      <c r="B29" s="91" t="str">
        <f>IFERROR(VLOOKUP(A29,'Salary Calculation'!A29:F1026,2,0),"")</f>
        <v>June</v>
      </c>
      <c r="C29" s="91" t="str">
        <f>IFERROR(VLOOKUP(A29,'Salary Calculation'!$A$2:$T$999,3,0),"")</f>
        <v>AC 02</v>
      </c>
      <c r="D29" s="91" t="str">
        <f>IFERROR(VLOOKUP(A29,'Salary Calculation'!$A$2:$T$999,6,0),"")</f>
        <v>THIRIPURA SUNDARI.R</v>
      </c>
      <c r="E29" s="91" t="str">
        <f>IFERROR(VLOOKUP(A29,'Salary Calculation'!$A$2:$T$999,8,0),"")</f>
        <v>8131010000016977</v>
      </c>
      <c r="F29" s="92" t="str">
        <f>IFERROR(VLOOKUP(C29,'Employees List'!$B$2:H999,6,0),"")</f>
        <v>DBS</v>
      </c>
      <c r="G29" s="93">
        <f>IFERROR(VLOOKUP(A29,'Salary Calculation'!$A$2:$T$999,7,0),"")</f>
        <v>22815.09375</v>
      </c>
      <c r="H29" s="94" t="s">
        <v>1219</v>
      </c>
      <c r="I29" s="46"/>
      <c r="J29" s="46"/>
      <c r="K29" s="46"/>
      <c r="L29" s="46"/>
      <c r="M29" s="46"/>
      <c r="N29" s="46"/>
      <c r="O29" s="46"/>
      <c r="P29" s="46"/>
      <c r="Q29" s="46"/>
      <c r="R29" s="46"/>
      <c r="S29" s="46"/>
      <c r="T29" s="46"/>
      <c r="U29" s="46"/>
      <c r="V29" s="46"/>
      <c r="W29" s="46"/>
      <c r="X29" s="46"/>
      <c r="Y29" s="46"/>
      <c r="Z29" s="46"/>
      <c r="AA29" s="46"/>
      <c r="AB29" s="46"/>
    </row>
    <row r="30" hidden="1">
      <c r="A30" s="90" t="s">
        <v>247</v>
      </c>
      <c r="B30" s="91" t="str">
        <f>IFERROR(VLOOKUP(A30,'Salary Calculation'!A30:F1027,2,0),"")</f>
        <v>June</v>
      </c>
      <c r="C30" s="91" t="str">
        <f>IFERROR(VLOOKUP(A30,'Salary Calculation'!$A$2:$T$999,3,0),"")</f>
        <v>PR 02</v>
      </c>
      <c r="D30" s="91" t="str">
        <f>IFERROR(VLOOKUP(A30,'Salary Calculation'!$A$2:$T$999,6,0),"")</f>
        <v>GANESH</v>
      </c>
      <c r="E30" s="91" t="str">
        <f>IFERROR(VLOOKUP(A30,'Salary Calculation'!$A$2:$T$999,8,0),"")</f>
        <v>8811010012054879</v>
      </c>
      <c r="F30" s="92" t="str">
        <f>IFERROR(VLOOKUP(C30,'Employees List'!$B$2:H999,6,0),"")</f>
        <v>DBS</v>
      </c>
      <c r="G30" s="93">
        <f>IFERROR(VLOOKUP(A30,'Salary Calculation'!$A$2:$T$999,7,0),"")</f>
        <v>16190.40104</v>
      </c>
      <c r="H30" s="94" t="s">
        <v>1219</v>
      </c>
      <c r="I30" s="46"/>
      <c r="J30" s="46"/>
      <c r="K30" s="46"/>
      <c r="L30" s="46"/>
      <c r="M30" s="46"/>
      <c r="N30" s="46"/>
      <c r="O30" s="46"/>
      <c r="P30" s="46"/>
      <c r="Q30" s="46"/>
      <c r="R30" s="46"/>
      <c r="S30" s="46"/>
      <c r="T30" s="46"/>
      <c r="U30" s="46"/>
      <c r="V30" s="46"/>
      <c r="W30" s="46"/>
      <c r="X30" s="46"/>
      <c r="Y30" s="46"/>
      <c r="Z30" s="46"/>
      <c r="AA30" s="46"/>
      <c r="AB30" s="46"/>
    </row>
    <row r="31" hidden="1">
      <c r="A31" s="90" t="s">
        <v>248</v>
      </c>
      <c r="B31" s="91" t="str">
        <f>IFERROR(VLOOKUP(A31,'Salary Calculation'!A31:F1028,2,0),"")</f>
        <v>June</v>
      </c>
      <c r="C31" s="91" t="str">
        <f>IFERROR(VLOOKUP(A31,'Salary Calculation'!$A$2:$T$999,3,0),"")</f>
        <v>PR 01</v>
      </c>
      <c r="D31" s="91" t="str">
        <f>IFERROR(VLOOKUP(A31,'Salary Calculation'!$A$2:$T$999,6,0),"")</f>
        <v>VASANTHA.E</v>
      </c>
      <c r="E31" s="91" t="str">
        <f>IFERROR(VLOOKUP(A31,'Salary Calculation'!$A$2:$T$999,8,0),"")</f>
        <v>8131010000016959</v>
      </c>
      <c r="F31" s="92" t="str">
        <f>IFERROR(VLOOKUP(C31,'Employees List'!$B$2:H999,6,0),"")</f>
        <v>DBS</v>
      </c>
      <c r="G31" s="93">
        <f>IFERROR(VLOOKUP(A31,'Salary Calculation'!$A$2:$T$999,7,0),"")</f>
        <v>18522.53125</v>
      </c>
      <c r="H31" s="94" t="s">
        <v>1219</v>
      </c>
      <c r="I31" s="46"/>
      <c r="J31" s="46"/>
      <c r="K31" s="46"/>
      <c r="L31" s="46"/>
      <c r="M31" s="46"/>
      <c r="N31" s="46"/>
      <c r="O31" s="46"/>
      <c r="P31" s="46"/>
      <c r="Q31" s="46"/>
      <c r="R31" s="46"/>
      <c r="S31" s="46"/>
      <c r="T31" s="46"/>
      <c r="U31" s="46"/>
      <c r="V31" s="46"/>
      <c r="W31" s="46"/>
      <c r="X31" s="46"/>
      <c r="Y31" s="46"/>
      <c r="Z31" s="46"/>
      <c r="AA31" s="46"/>
      <c r="AB31" s="46"/>
    </row>
    <row r="32" hidden="1">
      <c r="A32" s="90" t="s">
        <v>249</v>
      </c>
      <c r="B32" s="91" t="str">
        <f>IFERROR(VLOOKUP(A32,'Salary Calculation'!A32:F1029,2,0),"")</f>
        <v>June</v>
      </c>
      <c r="C32" s="91" t="str">
        <f>IFERROR(VLOOKUP(A32,'Salary Calculation'!$A$2:$T$999,3,0),"")</f>
        <v>DR 01</v>
      </c>
      <c r="D32" s="91" t="str">
        <f>IFERROR(VLOOKUP(A32,'Salary Calculation'!$A$2:$T$999,6,0),"")</f>
        <v>ILAMATHIVANAN.S</v>
      </c>
      <c r="E32" s="91" t="str">
        <f>IFERROR(VLOOKUP(A32,'Salary Calculation'!$A$2:$T$999,8,0),"")</f>
        <v>8131010000016986</v>
      </c>
      <c r="F32" s="92" t="str">
        <f>IFERROR(VLOOKUP(C32,'Employees List'!$B$2:H999,6,0),"")</f>
        <v>DBS</v>
      </c>
      <c r="G32" s="93">
        <f>IFERROR(VLOOKUP(A32,'Salary Calculation'!$A$2:$T$999,7,0),"")</f>
        <v>13550.95313</v>
      </c>
      <c r="H32" s="94" t="s">
        <v>1219</v>
      </c>
      <c r="I32" s="46"/>
      <c r="J32" s="46"/>
      <c r="K32" s="46"/>
      <c r="L32" s="46"/>
      <c r="M32" s="46"/>
      <c r="N32" s="46"/>
      <c r="O32" s="46"/>
      <c r="P32" s="46"/>
      <c r="Q32" s="46"/>
      <c r="R32" s="46"/>
      <c r="S32" s="46"/>
      <c r="T32" s="46"/>
      <c r="U32" s="46"/>
      <c r="V32" s="46"/>
      <c r="W32" s="46"/>
      <c r="X32" s="46"/>
      <c r="Y32" s="46"/>
      <c r="Z32" s="46"/>
      <c r="AA32" s="46"/>
      <c r="AB32" s="46"/>
    </row>
    <row r="33" hidden="1">
      <c r="A33" s="90" t="s">
        <v>250</v>
      </c>
      <c r="B33" s="91" t="str">
        <f>IFERROR(VLOOKUP(A33,'Salary Calculation'!A33:F1030,2,0),"")</f>
        <v>June</v>
      </c>
      <c r="C33" s="91" t="str">
        <f>IFERROR(VLOOKUP(A33,'Salary Calculation'!$A$2:$T$999,3,0),"")</f>
        <v>PR 03</v>
      </c>
      <c r="D33" s="91" t="str">
        <f>IFERROR(VLOOKUP(A33,'Salary Calculation'!$A$2:$T$999,6,0),"")</f>
        <v>ADHIKARI BALIA.A</v>
      </c>
      <c r="E33" s="91" t="str">
        <f>IFERROR(VLOOKUP(A33,'Salary Calculation'!$A$2:$T$999,8,0),"")</f>
        <v>8131010000018948</v>
      </c>
      <c r="F33" s="92" t="str">
        <f>IFERROR(VLOOKUP(C33,'Employees List'!$B$2:H999,6,0),"")</f>
        <v>DBS</v>
      </c>
      <c r="G33" s="93">
        <f>IFERROR(VLOOKUP(A33,'Salary Calculation'!$A$2:$T$999,7,0),"")</f>
        <v>19515.41667</v>
      </c>
      <c r="H33" s="94" t="s">
        <v>1219</v>
      </c>
      <c r="I33" s="46"/>
      <c r="J33" s="46"/>
      <c r="K33" s="46"/>
      <c r="L33" s="46"/>
      <c r="M33" s="46"/>
      <c r="N33" s="46"/>
      <c r="O33" s="46"/>
      <c r="P33" s="46"/>
      <c r="Q33" s="46"/>
      <c r="R33" s="46"/>
      <c r="S33" s="46"/>
      <c r="T33" s="46"/>
      <c r="U33" s="46"/>
      <c r="V33" s="46"/>
      <c r="W33" s="46"/>
      <c r="X33" s="46"/>
      <c r="Y33" s="46"/>
      <c r="Z33" s="46"/>
      <c r="AA33" s="46"/>
      <c r="AB33" s="46"/>
    </row>
    <row r="34" hidden="1">
      <c r="A34" s="90" t="s">
        <v>251</v>
      </c>
      <c r="B34" s="91" t="str">
        <f>IFERROR(VLOOKUP(A34,'Salary Calculation'!A34:F1031,2,0),"")</f>
        <v>June</v>
      </c>
      <c r="C34" s="91" t="str">
        <f>IFERROR(VLOOKUP(A34,'Salary Calculation'!$A$2:$T$999,3,0),"")</f>
        <v>PR 04</v>
      </c>
      <c r="D34" s="91" t="str">
        <f>IFERROR(VLOOKUP(A34,'Salary Calculation'!$A$2:$T$999,6,0),"")</f>
        <v>RUPESH KISAN</v>
      </c>
      <c r="E34" s="91">
        <f>IFERROR(VLOOKUP(A34,'Salary Calculation'!$A$2:$T$999,8,0),"")</f>
        <v>411002010024591</v>
      </c>
      <c r="F34" s="92" t="str">
        <f>IFERROR(VLOOKUP(C34,'Employees List'!$B$2:H999,6,0),"")</f>
        <v>UBI</v>
      </c>
      <c r="G34" s="93">
        <f>IFERROR(VLOOKUP(A34,'Salary Calculation'!$A$2:$T$999,7,0),"")</f>
        <v>19370.29167</v>
      </c>
      <c r="H34" s="94" t="s">
        <v>1219</v>
      </c>
      <c r="I34" s="46"/>
      <c r="J34" s="46"/>
      <c r="K34" s="46"/>
      <c r="L34" s="46"/>
      <c r="M34" s="46"/>
      <c r="N34" s="46"/>
      <c r="O34" s="46"/>
      <c r="P34" s="46"/>
      <c r="Q34" s="46"/>
      <c r="R34" s="46"/>
      <c r="S34" s="46"/>
      <c r="T34" s="46"/>
      <c r="U34" s="46"/>
      <c r="V34" s="46"/>
      <c r="W34" s="46"/>
      <c r="X34" s="46"/>
      <c r="Y34" s="46"/>
      <c r="Z34" s="46"/>
      <c r="AA34" s="46"/>
      <c r="AB34" s="46"/>
    </row>
    <row r="35" hidden="1">
      <c r="A35" s="90" t="s">
        <v>252</v>
      </c>
      <c r="B35" s="91" t="str">
        <f>IFERROR(VLOOKUP(A35,'Salary Calculation'!A35:F1032,2,0),"")</f>
        <v>June</v>
      </c>
      <c r="C35" s="91" t="str">
        <f>IFERROR(VLOOKUP(A35,'Salary Calculation'!$A$2:$T$999,3,0),"")</f>
        <v>PR 05</v>
      </c>
      <c r="D35" s="91" t="str">
        <f>IFERROR(VLOOKUP(A35,'Salary Calculation'!$A$2:$T$999,6,0),"")</f>
        <v>SANJAY BAGARTTI.K</v>
      </c>
      <c r="E35" s="91" t="str">
        <f>IFERROR(VLOOKUP(A35,'Salary Calculation'!$A$2:$T$999,8,0),"")</f>
        <v>8131010000021225</v>
      </c>
      <c r="F35" s="92" t="str">
        <f>IFERROR(VLOOKUP(C35,'Employees List'!$B$2:H999,6,0),"")</f>
        <v>DBS</v>
      </c>
      <c r="G35" s="93">
        <f>IFERROR(VLOOKUP(A35,'Salary Calculation'!$A$2:$T$999,7,0),"")</f>
        <v>20821.82292</v>
      </c>
      <c r="H35" s="94" t="s">
        <v>1219</v>
      </c>
      <c r="I35" s="46"/>
      <c r="J35" s="46"/>
      <c r="K35" s="46"/>
      <c r="L35" s="46"/>
      <c r="M35" s="46"/>
      <c r="N35" s="46"/>
      <c r="O35" s="46"/>
      <c r="P35" s="46"/>
      <c r="Q35" s="46"/>
      <c r="R35" s="46"/>
      <c r="S35" s="46"/>
      <c r="T35" s="46"/>
      <c r="U35" s="46"/>
      <c r="V35" s="46"/>
      <c r="W35" s="46"/>
      <c r="X35" s="46"/>
      <c r="Y35" s="46"/>
      <c r="Z35" s="46"/>
      <c r="AA35" s="46"/>
      <c r="AB35" s="46"/>
    </row>
    <row r="36" hidden="1">
      <c r="A36" s="90" t="s">
        <v>253</v>
      </c>
      <c r="B36" s="91" t="str">
        <f>IFERROR(VLOOKUP(A36,'Salary Calculation'!A36:F1033,2,0),"")</f>
        <v>June</v>
      </c>
      <c r="C36" s="91" t="str">
        <f>IFERROR(VLOOKUP(A36,'Salary Calculation'!$A$2:$T$999,3,0),"")</f>
        <v>PR 21</v>
      </c>
      <c r="D36" s="91" t="str">
        <f>IFERROR(VLOOKUP(A36,'Salary Calculation'!$A$2:$T$999,6,0),"")</f>
        <v>LIPAN</v>
      </c>
      <c r="E36" s="91" t="str">
        <f>IFERROR(VLOOKUP(A36,'Salary Calculation'!$A$2:$T$999,8,0),"")</f>
        <v>8131010000018957</v>
      </c>
      <c r="F36" s="92" t="str">
        <f>IFERROR(VLOOKUP(C36,'Employees List'!$B$2:H999,6,0),"")</f>
        <v>DBS</v>
      </c>
      <c r="G36" s="93">
        <f>IFERROR(VLOOKUP(A36,'Salary Calculation'!$A$2:$T$999,7,0),"")</f>
        <v>21456.60938</v>
      </c>
      <c r="H36" s="94" t="s">
        <v>1219</v>
      </c>
      <c r="I36" s="46"/>
      <c r="J36" s="46"/>
      <c r="K36" s="46"/>
      <c r="L36" s="46"/>
      <c r="M36" s="46"/>
      <c r="N36" s="46"/>
      <c r="O36" s="46"/>
      <c r="P36" s="46"/>
      <c r="Q36" s="46"/>
      <c r="R36" s="46"/>
      <c r="S36" s="46"/>
      <c r="T36" s="46"/>
      <c r="U36" s="46"/>
      <c r="V36" s="46"/>
      <c r="W36" s="46"/>
      <c r="X36" s="46"/>
      <c r="Y36" s="46"/>
      <c r="Z36" s="46"/>
      <c r="AA36" s="46"/>
      <c r="AB36" s="46"/>
    </row>
    <row r="37" hidden="1">
      <c r="A37" s="90" t="s">
        <v>254</v>
      </c>
      <c r="B37" s="91" t="str">
        <f>IFERROR(VLOOKUP(A37,'Salary Calculation'!A37:F1034,2,0),"")</f>
        <v>June</v>
      </c>
      <c r="C37" s="91" t="str">
        <f>IFERROR(VLOOKUP(A37,'Salary Calculation'!$A$2:$T$999,3,0),"")</f>
        <v>PR 24</v>
      </c>
      <c r="D37" s="91" t="str">
        <f>IFERROR(VLOOKUP(A37,'Salary Calculation'!$A$2:$T$999,6,0),"")</f>
        <v>NILAMANI KISAN.B</v>
      </c>
      <c r="E37" s="91">
        <f>IFERROR(VLOOKUP(A37,'Salary Calculation'!$A$2:$T$999,8,0),"")</f>
        <v>38254473147</v>
      </c>
      <c r="F37" s="92" t="str">
        <f>IFERROR(VLOOKUP(C37,'Employees List'!$B$2:H999,6,0),"")</f>
        <v>SBI</v>
      </c>
      <c r="G37" s="93">
        <f>IFERROR(VLOOKUP(A37,'Salary Calculation'!$A$2:$T$999,7,0),"")</f>
        <v>9528</v>
      </c>
      <c r="H37" s="94" t="s">
        <v>1219</v>
      </c>
      <c r="I37" s="46"/>
      <c r="J37" s="46"/>
      <c r="K37" s="46"/>
      <c r="L37" s="46"/>
      <c r="M37" s="46"/>
      <c r="N37" s="46"/>
      <c r="O37" s="46"/>
      <c r="P37" s="46"/>
      <c r="Q37" s="46"/>
      <c r="R37" s="46"/>
      <c r="S37" s="46"/>
      <c r="T37" s="46"/>
      <c r="U37" s="46"/>
      <c r="V37" s="46"/>
      <c r="W37" s="46"/>
      <c r="X37" s="46"/>
      <c r="Y37" s="46"/>
      <c r="Z37" s="46"/>
      <c r="AA37" s="46"/>
      <c r="AB37" s="46"/>
    </row>
    <row r="38" hidden="1">
      <c r="A38" s="90" t="s">
        <v>255</v>
      </c>
      <c r="B38" s="91" t="str">
        <f>IFERROR(VLOOKUP(A38,'Salary Calculation'!A38:F1035,2,0),"")</f>
        <v>June</v>
      </c>
      <c r="C38" s="91" t="str">
        <f>IFERROR(VLOOKUP(A38,'Salary Calculation'!$A$2:$T$999,3,0),"")</f>
        <v>PR 07</v>
      </c>
      <c r="D38" s="91" t="str">
        <f>IFERROR(VLOOKUP(A38,'Salary Calculation'!$A$2:$T$999,6,0),"")</f>
        <v>AMMU.S</v>
      </c>
      <c r="E38" s="91">
        <f>IFERROR(VLOOKUP(A38,'Salary Calculation'!$A$2:$T$999,8,0),"")</f>
        <v>65801000040238</v>
      </c>
      <c r="F38" s="92" t="str">
        <f>IFERROR(VLOOKUP(C38,'Employees List'!$B$2:H999,6,0),"")</f>
        <v>IOB</v>
      </c>
      <c r="G38" s="93">
        <f>IFERROR(VLOOKUP(A38,'Salary Calculation'!$A$2:$T$999,7,0),"")</f>
        <v>12648.17188</v>
      </c>
      <c r="H38" s="94" t="s">
        <v>1219</v>
      </c>
      <c r="I38" s="46"/>
      <c r="J38" s="46"/>
      <c r="K38" s="46"/>
      <c r="L38" s="46"/>
      <c r="M38" s="46"/>
      <c r="N38" s="46"/>
      <c r="O38" s="46"/>
      <c r="P38" s="46"/>
      <c r="Q38" s="46"/>
      <c r="R38" s="46"/>
      <c r="S38" s="46"/>
      <c r="T38" s="46"/>
      <c r="U38" s="46"/>
      <c r="V38" s="46"/>
      <c r="W38" s="46"/>
      <c r="X38" s="46"/>
      <c r="Y38" s="46"/>
      <c r="Z38" s="46"/>
      <c r="AA38" s="46"/>
      <c r="AB38" s="46"/>
    </row>
    <row r="39" hidden="1">
      <c r="A39" s="90" t="s">
        <v>256</v>
      </c>
      <c r="B39" s="91" t="str">
        <f>IFERROR(VLOOKUP(A39,'Salary Calculation'!A39:F1036,2,0),"")</f>
        <v>June</v>
      </c>
      <c r="C39" s="91" t="str">
        <f>IFERROR(VLOOKUP(A39,'Salary Calculation'!$A$2:$T$999,3,0),"")</f>
        <v>PR 08</v>
      </c>
      <c r="D39" s="91" t="str">
        <f>IFERROR(VLOOKUP(A39,'Salary Calculation'!$A$2:$T$999,6,0),"")</f>
        <v>REVATHI.S</v>
      </c>
      <c r="E39" s="91" t="str">
        <f>IFERROR(VLOOKUP(A39,'Salary Calculation'!$A$2:$T$999,8,0),"")</f>
        <v>8131010000016995</v>
      </c>
      <c r="F39" s="92" t="str">
        <f>IFERROR(VLOOKUP(C39,'Employees List'!$B$2:H999,6,0),"")</f>
        <v>DBS</v>
      </c>
      <c r="G39" s="93">
        <f>IFERROR(VLOOKUP(A39,'Salary Calculation'!$A$2:$T$999,7,0),"")</f>
        <v>10995.54688</v>
      </c>
      <c r="H39" s="94" t="s">
        <v>1219</v>
      </c>
      <c r="I39" s="46"/>
      <c r="J39" s="46"/>
      <c r="K39" s="46"/>
      <c r="L39" s="46"/>
      <c r="M39" s="46"/>
      <c r="N39" s="46"/>
      <c r="O39" s="46"/>
      <c r="P39" s="46"/>
      <c r="Q39" s="46"/>
      <c r="R39" s="46"/>
      <c r="S39" s="46"/>
      <c r="T39" s="46"/>
      <c r="U39" s="46"/>
      <c r="V39" s="46"/>
      <c r="W39" s="46"/>
      <c r="X39" s="46"/>
      <c r="Y39" s="46"/>
      <c r="Z39" s="46"/>
      <c r="AA39" s="46"/>
      <c r="AB39" s="46"/>
    </row>
    <row r="40" hidden="1">
      <c r="A40" s="90" t="s">
        <v>257</v>
      </c>
      <c r="B40" s="91" t="str">
        <f>IFERROR(VLOOKUP(A40,'Salary Calculation'!A40:F1037,2,0),"")</f>
        <v>June</v>
      </c>
      <c r="C40" s="91" t="str">
        <f>IFERROR(VLOOKUP(A40,'Salary Calculation'!$A$2:$T$999,3,0),"")</f>
        <v>AC 03</v>
      </c>
      <c r="D40" s="91" t="str">
        <f>IFERROR(VLOOKUP(A40,'Salary Calculation'!$A$2:$T$999,6,0),"")</f>
        <v>LEELAVATHI.M</v>
      </c>
      <c r="E40" s="91" t="str">
        <f>IFERROR(VLOOKUP(A40,'Salary Calculation'!$A$2:$T$999,8,0),"")</f>
        <v>8387010000017745</v>
      </c>
      <c r="F40" s="92" t="str">
        <f>IFERROR(VLOOKUP(C40,'Employees List'!$B$2:H999,6,0),"")</f>
        <v>DBS</v>
      </c>
      <c r="G40" s="93">
        <f>IFERROR(VLOOKUP(A40,'Salary Calculation'!$A$2:$T$999,7,0),"")</f>
        <v>14138.98958</v>
      </c>
      <c r="H40" s="94" t="s">
        <v>1219</v>
      </c>
      <c r="I40" s="46"/>
      <c r="J40" s="46"/>
      <c r="K40" s="46"/>
      <c r="L40" s="46"/>
      <c r="M40" s="46"/>
      <c r="N40" s="46"/>
      <c r="O40" s="46"/>
      <c r="P40" s="46"/>
      <c r="Q40" s="46"/>
      <c r="R40" s="46"/>
      <c r="S40" s="46"/>
      <c r="T40" s="46"/>
      <c r="U40" s="46"/>
      <c r="V40" s="46"/>
      <c r="W40" s="46"/>
      <c r="X40" s="46"/>
      <c r="Y40" s="46"/>
      <c r="Z40" s="46"/>
      <c r="AA40" s="46"/>
      <c r="AB40" s="46"/>
    </row>
    <row r="41" hidden="1">
      <c r="A41" s="90" t="s">
        <v>258</v>
      </c>
      <c r="B41" s="91" t="str">
        <f>IFERROR(VLOOKUP(A41,'Salary Calculation'!A41:F1038,2,0),"")</f>
        <v>July</v>
      </c>
      <c r="C41" s="91" t="str">
        <f>IFERROR(VLOOKUP(A41,'Salary Calculation'!$A$2:$T$999,3,0),"")</f>
        <v>AC 01</v>
      </c>
      <c r="D41" s="91" t="str">
        <f>IFERROR(VLOOKUP(A41,'Salary Calculation'!$A$2:$T$999,6,0),"")</f>
        <v>BHUVANESHWARAN.V</v>
      </c>
      <c r="E41" s="91">
        <f>IFERROR(VLOOKUP(A41,'Salary Calculation'!$A$2:$T$999,8,0),"")</f>
        <v>500101011548924</v>
      </c>
      <c r="F41" s="92" t="str">
        <f>IFERROR(VLOOKUP(C41,'Employees List'!$B$2:H999,6,0),"")</f>
        <v>CUB</v>
      </c>
      <c r="G41" s="93">
        <f>IFERROR(VLOOKUP(A41,'Salary Calculation'!$A$2:$T$999,7,0),"")</f>
        <v>66900</v>
      </c>
      <c r="H41" s="94" t="s">
        <v>1219</v>
      </c>
      <c r="I41" s="46"/>
      <c r="J41" s="46"/>
      <c r="K41" s="46"/>
      <c r="L41" s="46"/>
      <c r="M41" s="46"/>
      <c r="N41" s="46"/>
      <c r="O41" s="46"/>
      <c r="P41" s="46"/>
      <c r="Q41" s="46"/>
      <c r="R41" s="46"/>
      <c r="S41" s="46"/>
      <c r="T41" s="46"/>
      <c r="U41" s="46"/>
      <c r="V41" s="46"/>
      <c r="W41" s="46"/>
      <c r="X41" s="46"/>
      <c r="Y41" s="46"/>
      <c r="Z41" s="46"/>
      <c r="AA41" s="46"/>
      <c r="AB41" s="46"/>
    </row>
    <row r="42" hidden="1">
      <c r="A42" s="90" t="s">
        <v>259</v>
      </c>
      <c r="B42" s="91" t="str">
        <f>IFERROR(VLOOKUP(A42,'Salary Calculation'!A42:F1039,2,0),"")</f>
        <v>July</v>
      </c>
      <c r="C42" s="91" t="str">
        <f>IFERROR(VLOOKUP(A42,'Salary Calculation'!$A$2:$T$999,3,0),"")</f>
        <v>AC 02</v>
      </c>
      <c r="D42" s="91" t="str">
        <f>IFERROR(VLOOKUP(A42,'Salary Calculation'!$A$2:$T$999,6,0),"")</f>
        <v>THIRIPURA SUNDARI.R</v>
      </c>
      <c r="E42" s="91" t="str">
        <f>IFERROR(VLOOKUP(A42,'Salary Calculation'!$A$2:$T$999,8,0),"")</f>
        <v>8131010000016977</v>
      </c>
      <c r="F42" s="92" t="str">
        <f>IFERROR(VLOOKUP(C42,'Employees List'!$B$2:H999,6,0),"")</f>
        <v>DBS</v>
      </c>
      <c r="G42" s="93">
        <f>IFERROR(VLOOKUP(A42,'Salary Calculation'!$A$2:$T$999,7,0),"")</f>
        <v>18503.72177</v>
      </c>
      <c r="H42" s="94" t="s">
        <v>1219</v>
      </c>
      <c r="I42" s="46"/>
      <c r="J42" s="46"/>
      <c r="K42" s="46"/>
      <c r="L42" s="46"/>
      <c r="M42" s="46"/>
      <c r="N42" s="46"/>
      <c r="O42" s="46"/>
      <c r="P42" s="46"/>
      <c r="Q42" s="46"/>
      <c r="R42" s="46"/>
      <c r="S42" s="46"/>
      <c r="T42" s="46"/>
      <c r="U42" s="46"/>
      <c r="V42" s="46"/>
      <c r="W42" s="46"/>
      <c r="X42" s="46"/>
      <c r="Y42" s="46"/>
      <c r="Z42" s="46"/>
      <c r="AA42" s="46"/>
      <c r="AB42" s="46"/>
    </row>
    <row r="43" hidden="1">
      <c r="A43" s="90" t="s">
        <v>260</v>
      </c>
      <c r="B43" s="91" t="str">
        <f>IFERROR(VLOOKUP(A43,'Salary Calculation'!A43:F1040,2,0),"")</f>
        <v>July</v>
      </c>
      <c r="C43" s="91" t="str">
        <f>IFERROR(VLOOKUP(A43,'Salary Calculation'!$A$2:$T$999,3,0),"")</f>
        <v>PR 02</v>
      </c>
      <c r="D43" s="91" t="str">
        <f>IFERROR(VLOOKUP(A43,'Salary Calculation'!$A$2:$T$999,6,0),"")</f>
        <v>GANESH</v>
      </c>
      <c r="E43" s="91" t="str">
        <f>IFERROR(VLOOKUP(A43,'Salary Calculation'!$A$2:$T$999,8,0),"")</f>
        <v>8811010012054879</v>
      </c>
      <c r="F43" s="92" t="str">
        <f>IFERROR(VLOOKUP(C43,'Employees List'!$B$2:H999,6,0),"")</f>
        <v>DBS</v>
      </c>
      <c r="G43" s="93">
        <f>IFERROR(VLOOKUP(A43,'Salary Calculation'!$A$2:$T$999,7,0),"")</f>
        <v>13754.08468</v>
      </c>
      <c r="H43" s="94" t="s">
        <v>1219</v>
      </c>
      <c r="I43" s="46"/>
      <c r="J43" s="46"/>
      <c r="K43" s="46"/>
      <c r="L43" s="46"/>
      <c r="M43" s="48"/>
      <c r="N43" s="48"/>
      <c r="O43" s="46"/>
      <c r="P43" s="46"/>
      <c r="Q43" s="46"/>
      <c r="R43" s="46"/>
      <c r="S43" s="46"/>
      <c r="T43" s="46"/>
      <c r="U43" s="46"/>
      <c r="V43" s="46"/>
      <c r="W43" s="46"/>
      <c r="X43" s="46"/>
      <c r="Y43" s="46"/>
      <c r="Z43" s="46"/>
      <c r="AA43" s="46"/>
      <c r="AB43" s="46"/>
    </row>
    <row r="44" hidden="1">
      <c r="A44" s="90" t="s">
        <v>261</v>
      </c>
      <c r="B44" s="91" t="str">
        <f>IFERROR(VLOOKUP(A44,'Salary Calculation'!A44:F1041,2,0),"")</f>
        <v>July</v>
      </c>
      <c r="C44" s="91" t="str">
        <f>IFERROR(VLOOKUP(A44,'Salary Calculation'!$A$2:$T$999,3,0),"")</f>
        <v>PR 01</v>
      </c>
      <c r="D44" s="91" t="str">
        <f>IFERROR(VLOOKUP(A44,'Salary Calculation'!$A$2:$T$999,6,0),"")</f>
        <v>VASANTHA.E</v>
      </c>
      <c r="E44" s="91" t="str">
        <f>IFERROR(VLOOKUP(A44,'Salary Calculation'!$A$2:$T$999,8,0),"")</f>
        <v>8131010000016959</v>
      </c>
      <c r="F44" s="92" t="str">
        <f>IFERROR(VLOOKUP(C44,'Employees List'!$B$2:H999,6,0),"")</f>
        <v>DBS</v>
      </c>
      <c r="G44" s="93">
        <f>IFERROR(VLOOKUP(A44,'Salary Calculation'!$A$2:$T$999,7,0),"")</f>
        <v>15244.07964</v>
      </c>
      <c r="H44" s="94" t="s">
        <v>1219</v>
      </c>
      <c r="I44" s="46"/>
      <c r="J44" s="46"/>
      <c r="K44" s="46"/>
      <c r="L44" s="46"/>
      <c r="M44" s="46"/>
      <c r="N44" s="46"/>
      <c r="O44" s="46"/>
      <c r="P44" s="46"/>
      <c r="Q44" s="46"/>
      <c r="R44" s="46"/>
      <c r="S44" s="46"/>
      <c r="T44" s="46"/>
      <c r="U44" s="46"/>
      <c r="V44" s="46"/>
      <c r="W44" s="46"/>
      <c r="X44" s="46"/>
      <c r="Y44" s="46"/>
      <c r="Z44" s="46"/>
      <c r="AA44" s="46"/>
      <c r="AB44" s="46"/>
    </row>
    <row r="45" hidden="1">
      <c r="A45" s="90" t="s">
        <v>262</v>
      </c>
      <c r="B45" s="91" t="str">
        <f>IFERROR(VLOOKUP(A45,'Salary Calculation'!A45:F1042,2,0),"")</f>
        <v>July</v>
      </c>
      <c r="C45" s="91" t="str">
        <f>IFERROR(VLOOKUP(A45,'Salary Calculation'!$A$2:$T$999,3,0),"")</f>
        <v>DR 01</v>
      </c>
      <c r="D45" s="91" t="str">
        <f>IFERROR(VLOOKUP(A45,'Salary Calculation'!$A$2:$T$999,6,0),"")</f>
        <v>ILAMATHIVANAN.S</v>
      </c>
      <c r="E45" s="91" t="str">
        <f>IFERROR(VLOOKUP(A45,'Salary Calculation'!$A$2:$T$999,8,0),"")</f>
        <v>8131010000016986</v>
      </c>
      <c r="F45" s="92" t="str">
        <f>IFERROR(VLOOKUP(C45,'Employees List'!$B$2:H999,6,0),"")</f>
        <v>DBS</v>
      </c>
      <c r="G45" s="93">
        <f>IFERROR(VLOOKUP(A45,'Salary Calculation'!$A$2:$T$999,7,0),"")</f>
        <v>4118.074597</v>
      </c>
      <c r="H45" s="97"/>
      <c r="I45" s="46"/>
      <c r="J45" s="46"/>
      <c r="K45" s="46"/>
      <c r="L45" s="46"/>
      <c r="M45" s="46"/>
      <c r="N45" s="46"/>
      <c r="O45" s="46"/>
      <c r="P45" s="46"/>
      <c r="Q45" s="46"/>
      <c r="R45" s="46"/>
      <c r="S45" s="46"/>
      <c r="T45" s="46"/>
      <c r="U45" s="46"/>
      <c r="V45" s="46"/>
      <c r="W45" s="46"/>
      <c r="X45" s="46"/>
      <c r="Y45" s="46"/>
      <c r="Z45" s="46"/>
      <c r="AA45" s="46"/>
      <c r="AB45" s="46"/>
    </row>
    <row r="46" hidden="1">
      <c r="A46" s="90" t="s">
        <v>263</v>
      </c>
      <c r="B46" s="91" t="str">
        <f>IFERROR(VLOOKUP(A46,'Salary Calculation'!A46:F1043,2,0),"")</f>
        <v>July</v>
      </c>
      <c r="C46" s="91" t="str">
        <f>IFERROR(VLOOKUP(A46,'Salary Calculation'!$A$2:$T$999,3,0),"")</f>
        <v>PR 04</v>
      </c>
      <c r="D46" s="91" t="str">
        <f>IFERROR(VLOOKUP(A46,'Salary Calculation'!$A$2:$T$999,6,0),"")</f>
        <v>RUPESH KISAN</v>
      </c>
      <c r="E46" s="91">
        <f>IFERROR(VLOOKUP(A46,'Salary Calculation'!$A$2:$T$999,8,0),"")</f>
        <v>411002010024591</v>
      </c>
      <c r="F46" s="92" t="str">
        <f>IFERROR(VLOOKUP(C46,'Employees List'!$B$2:H999,6,0),"")</f>
        <v>UBI</v>
      </c>
      <c r="G46" s="93">
        <f>IFERROR(VLOOKUP(A46,'Salary Calculation'!$A$2:$T$999,7,0),"")</f>
        <v>19648.69859</v>
      </c>
      <c r="H46" s="94" t="s">
        <v>1219</v>
      </c>
      <c r="I46" s="46"/>
      <c r="J46" s="46"/>
      <c r="K46" s="46"/>
      <c r="L46" s="46"/>
      <c r="M46" s="46"/>
      <c r="N46" s="46"/>
      <c r="O46" s="46"/>
      <c r="P46" s="46"/>
      <c r="Q46" s="46"/>
      <c r="R46" s="46"/>
      <c r="S46" s="46"/>
      <c r="T46" s="46"/>
      <c r="U46" s="46"/>
      <c r="V46" s="46"/>
      <c r="W46" s="46"/>
      <c r="X46" s="46"/>
      <c r="Y46" s="46"/>
      <c r="Z46" s="46"/>
      <c r="AA46" s="46"/>
      <c r="AB46" s="46"/>
    </row>
    <row r="47" hidden="1">
      <c r="A47" s="90" t="s">
        <v>264</v>
      </c>
      <c r="B47" s="91" t="str">
        <f>IFERROR(VLOOKUP(A47,'Salary Calculation'!A47:F1044,2,0),"")</f>
        <v>July</v>
      </c>
      <c r="C47" s="91" t="str">
        <f>IFERROR(VLOOKUP(A47,'Salary Calculation'!$A$2:$T$999,3,0),"")</f>
        <v>PR 05</v>
      </c>
      <c r="D47" s="91" t="str">
        <f>IFERROR(VLOOKUP(A47,'Salary Calculation'!$A$2:$T$999,6,0),"")</f>
        <v>SANJAY BAGARTTI.K</v>
      </c>
      <c r="E47" s="91" t="str">
        <f>IFERROR(VLOOKUP(A47,'Salary Calculation'!$A$2:$T$999,8,0),"")</f>
        <v>8131010000021225</v>
      </c>
      <c r="F47" s="92" t="str">
        <f>IFERROR(VLOOKUP(C47,'Employees List'!$B$2:H999,6,0),"")</f>
        <v>DBS</v>
      </c>
      <c r="G47" s="93">
        <f>IFERROR(VLOOKUP(A47,'Salary Calculation'!$A$2:$T$999,7,0),"")</f>
        <v>21599.68145</v>
      </c>
      <c r="H47" s="94" t="s">
        <v>1219</v>
      </c>
      <c r="I47" s="46"/>
      <c r="J47" s="46"/>
      <c r="K47" s="46"/>
      <c r="L47" s="46"/>
      <c r="M47" s="46"/>
      <c r="N47" s="46"/>
      <c r="O47" s="46"/>
      <c r="P47" s="46"/>
      <c r="Q47" s="46"/>
      <c r="R47" s="46"/>
      <c r="S47" s="46"/>
      <c r="T47" s="46"/>
      <c r="U47" s="46"/>
      <c r="V47" s="46"/>
      <c r="W47" s="46"/>
      <c r="X47" s="46"/>
      <c r="Y47" s="46"/>
      <c r="Z47" s="46"/>
      <c r="AA47" s="46"/>
      <c r="AB47" s="46"/>
    </row>
    <row r="48" hidden="1">
      <c r="A48" s="90" t="s">
        <v>265</v>
      </c>
      <c r="B48" s="91" t="str">
        <f>IFERROR(VLOOKUP(A48,'Salary Calculation'!A48:F1045,2,0),"")</f>
        <v>July</v>
      </c>
      <c r="C48" s="91" t="str">
        <f>IFERROR(VLOOKUP(A48,'Salary Calculation'!$A$2:$T$999,3,0),"")</f>
        <v>PR 21</v>
      </c>
      <c r="D48" s="91" t="str">
        <f>IFERROR(VLOOKUP(A48,'Salary Calculation'!$A$2:$T$999,6,0),"")</f>
        <v>LIPAN</v>
      </c>
      <c r="E48" s="91" t="str">
        <f>IFERROR(VLOOKUP(A48,'Salary Calculation'!$A$2:$T$999,8,0),"")</f>
        <v>8131010000018957</v>
      </c>
      <c r="F48" s="92" t="str">
        <f>IFERROR(VLOOKUP(C48,'Employees List'!$B$2:H999,6,0),"")</f>
        <v>DBS</v>
      </c>
      <c r="G48" s="93">
        <f>IFERROR(VLOOKUP(A48,'Salary Calculation'!$A$2:$T$999,7,0),"")</f>
        <v>20897.32762</v>
      </c>
      <c r="H48" s="94" t="s">
        <v>1219</v>
      </c>
      <c r="I48" s="46"/>
      <c r="J48" s="46"/>
      <c r="K48" s="46"/>
      <c r="L48" s="46"/>
      <c r="M48" s="46"/>
      <c r="N48" s="46"/>
      <c r="O48" s="46"/>
      <c r="P48" s="46"/>
      <c r="Q48" s="46"/>
      <c r="R48" s="46"/>
      <c r="S48" s="46"/>
      <c r="T48" s="46"/>
      <c r="U48" s="46"/>
      <c r="V48" s="46"/>
      <c r="W48" s="46"/>
      <c r="X48" s="46"/>
      <c r="Y48" s="46"/>
      <c r="Z48" s="46"/>
      <c r="AA48" s="46"/>
      <c r="AB48" s="46"/>
    </row>
    <row r="49" hidden="1">
      <c r="A49" s="90" t="s">
        <v>266</v>
      </c>
      <c r="B49" s="91" t="str">
        <f>IFERROR(VLOOKUP(A49,'Salary Calculation'!A49:F1046,2,0),"")</f>
        <v>July</v>
      </c>
      <c r="C49" s="91" t="str">
        <f>IFERROR(VLOOKUP(A49,'Salary Calculation'!$A$2:$T$999,3,0),"")</f>
        <v>PR 07</v>
      </c>
      <c r="D49" s="91" t="str">
        <f>IFERROR(VLOOKUP(A49,'Salary Calculation'!$A$2:$T$999,6,0),"")</f>
        <v>AMMU.S</v>
      </c>
      <c r="E49" s="91">
        <f>IFERROR(VLOOKUP(A49,'Salary Calculation'!$A$2:$T$999,8,0),"")</f>
        <v>65801000040238</v>
      </c>
      <c r="F49" s="92" t="str">
        <f>IFERROR(VLOOKUP(C49,'Employees List'!$B$2:H999,6,0),"")</f>
        <v>IOB</v>
      </c>
      <c r="G49" s="93">
        <f>IFERROR(VLOOKUP(A49,'Salary Calculation'!$A$2:$T$999,7,0),"")</f>
        <v>9187.028226</v>
      </c>
      <c r="H49" s="94" t="s">
        <v>1219</v>
      </c>
      <c r="I49" s="46"/>
      <c r="J49" s="46"/>
      <c r="K49" s="46"/>
      <c r="L49" s="46"/>
      <c r="M49" s="46"/>
      <c r="N49" s="46"/>
      <c r="O49" s="46"/>
      <c r="P49" s="46"/>
      <c r="Q49" s="46"/>
      <c r="R49" s="46"/>
      <c r="S49" s="46"/>
      <c r="T49" s="46"/>
      <c r="U49" s="46"/>
      <c r="V49" s="46"/>
      <c r="W49" s="46"/>
      <c r="X49" s="46"/>
      <c r="Y49" s="46"/>
      <c r="Z49" s="46"/>
      <c r="AA49" s="46"/>
      <c r="AB49" s="46"/>
    </row>
    <row r="50" hidden="1">
      <c r="A50" s="90" t="s">
        <v>267</v>
      </c>
      <c r="B50" s="91" t="str">
        <f>IFERROR(VLOOKUP(A50,'Salary Calculation'!A50:F1047,2,0),"")</f>
        <v>July</v>
      </c>
      <c r="C50" s="91" t="str">
        <f>IFERROR(VLOOKUP(A50,'Salary Calculation'!$A$2:$T$999,3,0),"")</f>
        <v>PR 08</v>
      </c>
      <c r="D50" s="91" t="str">
        <f>IFERROR(VLOOKUP(A50,'Salary Calculation'!$A$2:$T$999,6,0),"")</f>
        <v>REVATHI.S</v>
      </c>
      <c r="E50" s="91" t="str">
        <f>IFERROR(VLOOKUP(A50,'Salary Calculation'!$A$2:$T$999,8,0),"")</f>
        <v>8131010000016995</v>
      </c>
      <c r="F50" s="92" t="str">
        <f>IFERROR(VLOOKUP(C50,'Employees List'!$B$2:H999,6,0),"")</f>
        <v>DBS</v>
      </c>
      <c r="G50" s="93">
        <f>IFERROR(VLOOKUP(A50,'Salary Calculation'!$A$2:$T$999,7,0),"")</f>
        <v>10448.72177</v>
      </c>
      <c r="H50" s="94" t="s">
        <v>1219</v>
      </c>
      <c r="I50" s="46"/>
      <c r="J50" s="46"/>
      <c r="K50" s="46"/>
      <c r="L50" s="46"/>
      <c r="M50" s="46"/>
      <c r="N50" s="46"/>
      <c r="O50" s="46"/>
      <c r="P50" s="46"/>
      <c r="Q50" s="46"/>
      <c r="R50" s="46"/>
      <c r="S50" s="46"/>
      <c r="T50" s="46"/>
      <c r="U50" s="46"/>
      <c r="V50" s="46"/>
      <c r="W50" s="46"/>
      <c r="X50" s="46"/>
      <c r="Y50" s="46"/>
      <c r="Z50" s="46"/>
      <c r="AA50" s="46"/>
      <c r="AB50" s="46"/>
    </row>
    <row r="51" hidden="1">
      <c r="A51" s="90" t="s">
        <v>268</v>
      </c>
      <c r="B51" s="91" t="str">
        <f>IFERROR(VLOOKUP(A51,'Salary Calculation'!A51:F1048,2,0),"")</f>
        <v>July</v>
      </c>
      <c r="C51" s="91" t="str">
        <f>IFERROR(VLOOKUP(A51,'Salary Calculation'!$A$2:$T$999,3,0),"")</f>
        <v>AC 03</v>
      </c>
      <c r="D51" s="91" t="str">
        <f>IFERROR(VLOOKUP(A51,'Salary Calculation'!$A$2:$T$999,6,0),"")</f>
        <v>LEELAVATHI.M</v>
      </c>
      <c r="E51" s="91" t="str">
        <f>IFERROR(VLOOKUP(A51,'Salary Calculation'!$A$2:$T$999,8,0),"")</f>
        <v>8387010000017745</v>
      </c>
      <c r="F51" s="92" t="str">
        <f>IFERROR(VLOOKUP(C51,'Employees List'!$B$2:H999,6,0),"")</f>
        <v>DBS</v>
      </c>
      <c r="G51" s="93">
        <f>IFERROR(VLOOKUP(A51,'Salary Calculation'!$A$2:$T$999,7,0),"")</f>
        <v>14733.82258</v>
      </c>
      <c r="H51" s="94" t="s">
        <v>1219</v>
      </c>
      <c r="I51" s="46"/>
      <c r="J51" s="46"/>
      <c r="K51" s="46"/>
      <c r="L51" s="46"/>
      <c r="M51" s="46"/>
      <c r="N51" s="46"/>
      <c r="O51" s="46"/>
      <c r="P51" s="46"/>
      <c r="Q51" s="46"/>
      <c r="R51" s="46"/>
      <c r="S51" s="46"/>
      <c r="T51" s="46"/>
      <c r="U51" s="46"/>
      <c r="V51" s="46"/>
      <c r="W51" s="46"/>
      <c r="X51" s="46"/>
      <c r="Y51" s="46"/>
      <c r="Z51" s="46"/>
      <c r="AA51" s="46"/>
      <c r="AB51" s="46"/>
    </row>
    <row r="52" hidden="1">
      <c r="A52" s="90" t="s">
        <v>269</v>
      </c>
      <c r="B52" s="91" t="str">
        <f>IFERROR(VLOOKUP(A52,'Salary Calculation'!A52:F1049,2,0),"")</f>
        <v>July</v>
      </c>
      <c r="C52" s="91" t="str">
        <f>IFERROR(VLOOKUP(A52,'Salary Calculation'!$A$2:$T$999,3,0),"")</f>
        <v>PR 03</v>
      </c>
      <c r="D52" s="91" t="str">
        <f>IFERROR(VLOOKUP(A52,'Salary Calculation'!$A$2:$T$999,6,0),"")</f>
        <v>ADHIKARI BALIA.A</v>
      </c>
      <c r="E52" s="91" t="str">
        <f>IFERROR(VLOOKUP(A52,'Salary Calculation'!$A$2:$T$999,8,0),"")</f>
        <v>8131010000018948</v>
      </c>
      <c r="F52" s="92" t="str">
        <f>IFERROR(VLOOKUP(C52,'Employees List'!$B$2:H999,6,0),"")</f>
        <v>DBS</v>
      </c>
      <c r="G52" s="93">
        <f>IFERROR(VLOOKUP(A52,'Salary Calculation'!$A$2:$T$999,7,0),"")</f>
        <v>16239.58871</v>
      </c>
      <c r="H52" s="94" t="s">
        <v>1219</v>
      </c>
      <c r="I52" s="46"/>
      <c r="J52" s="46"/>
      <c r="K52" s="46"/>
      <c r="L52" s="46"/>
      <c r="M52" s="46"/>
      <c r="N52" s="46"/>
      <c r="O52" s="46"/>
      <c r="P52" s="46"/>
      <c r="Q52" s="46"/>
      <c r="R52" s="46"/>
      <c r="S52" s="46"/>
      <c r="T52" s="46"/>
      <c r="U52" s="46"/>
      <c r="V52" s="46"/>
      <c r="W52" s="46"/>
      <c r="X52" s="46"/>
      <c r="Y52" s="46"/>
      <c r="Z52" s="46"/>
      <c r="AA52" s="46"/>
      <c r="AB52" s="46"/>
    </row>
    <row r="53" hidden="1">
      <c r="A53" s="90" t="s">
        <v>270</v>
      </c>
      <c r="B53" s="91" t="str">
        <f>IFERROR(VLOOKUP(A53,'Salary Calculation'!A53:F1050,2,0),"")</f>
        <v>July</v>
      </c>
      <c r="C53" s="91" t="str">
        <f>IFERROR(VLOOKUP(A53,'Salary Calculation'!$A$2:$T$999,3,0),"")</f>
        <v>PR 27</v>
      </c>
      <c r="D53" s="91" t="str">
        <f>IFERROR(VLOOKUP(A53,'Salary Calculation'!$A$2:$T$999,6,0),"")</f>
        <v>PARSHU BAGH</v>
      </c>
      <c r="E53" s="91">
        <f>IFERROR(VLOOKUP(A53,'Salary Calculation'!$A$2:$T$999,8,0),"")</f>
        <v>40653547928</v>
      </c>
      <c r="F53" s="92" t="str">
        <f>IFERROR(VLOOKUP(C53,'Employees List'!$B$2:H999,6,0),"")</f>
        <v>SBI</v>
      </c>
      <c r="G53" s="93">
        <f>IFERROR(VLOOKUP(A53,'Salary Calculation'!$A$2:$T$999,7,0),"")</f>
        <v>13196.05544</v>
      </c>
      <c r="H53" s="94" t="s">
        <v>1219</v>
      </c>
      <c r="I53" s="46"/>
      <c r="J53" s="46"/>
      <c r="K53" s="46"/>
      <c r="L53" s="46"/>
      <c r="M53" s="46"/>
      <c r="N53" s="46"/>
      <c r="O53" s="46"/>
      <c r="P53" s="46"/>
      <c r="Q53" s="46"/>
      <c r="R53" s="46"/>
      <c r="S53" s="46"/>
      <c r="T53" s="46"/>
      <c r="U53" s="46"/>
      <c r="V53" s="46"/>
      <c r="W53" s="46"/>
      <c r="X53" s="46"/>
      <c r="Y53" s="46"/>
      <c r="Z53" s="46"/>
      <c r="AA53" s="46"/>
      <c r="AB53" s="46"/>
    </row>
    <row r="54" hidden="1">
      <c r="A54" s="90" t="s">
        <v>271</v>
      </c>
      <c r="B54" s="91" t="str">
        <f>IFERROR(VLOOKUP(A54,'Salary Calculation'!A54:F1051,2,0),"")</f>
        <v>August</v>
      </c>
      <c r="C54" s="91" t="str">
        <f>IFERROR(VLOOKUP(A54,'Salary Calculation'!$A$2:$T$999,3,0),"")</f>
        <v>AC 01</v>
      </c>
      <c r="D54" s="91" t="str">
        <f>IFERROR(VLOOKUP(A54,'Salary Calculation'!$A$2:$T$999,6,0),"")</f>
        <v>BHUVANESHWARAN.V</v>
      </c>
      <c r="E54" s="91">
        <f>IFERROR(VLOOKUP(A54,'Salary Calculation'!$A$2:$T$999,8,0),"")</f>
        <v>500101011548924</v>
      </c>
      <c r="F54" s="92" t="str">
        <f>IFERROR(VLOOKUP(C54,'Employees List'!$B$2:H999,6,0),"")</f>
        <v>CUB</v>
      </c>
      <c r="G54" s="93">
        <f>IFERROR(VLOOKUP(A54,'Salary Calculation'!$A$2:$T$999,7,0),"")</f>
        <v>66900</v>
      </c>
      <c r="H54" s="94" t="s">
        <v>1219</v>
      </c>
      <c r="I54" s="46"/>
      <c r="J54" s="46"/>
      <c r="K54" s="46"/>
      <c r="L54" s="46"/>
      <c r="M54" s="46"/>
      <c r="N54" s="46"/>
      <c r="O54" s="46"/>
      <c r="P54" s="46"/>
      <c r="Q54" s="46"/>
      <c r="R54" s="46"/>
      <c r="S54" s="46"/>
      <c r="T54" s="46"/>
      <c r="U54" s="46"/>
      <c r="V54" s="46"/>
      <c r="W54" s="46"/>
      <c r="X54" s="46"/>
      <c r="Y54" s="46"/>
      <c r="Z54" s="46"/>
      <c r="AA54" s="46"/>
      <c r="AB54" s="46"/>
    </row>
    <row r="55" hidden="1">
      <c r="A55" s="90" t="s">
        <v>272</v>
      </c>
      <c r="B55" s="91" t="str">
        <f>IFERROR(VLOOKUP(A55,'Salary Calculation'!A55:F1052,2,0),"")</f>
        <v>August</v>
      </c>
      <c r="C55" s="91" t="str">
        <f>IFERROR(VLOOKUP(A55,'Salary Calculation'!$A$2:$T$999,3,0),"")</f>
        <v>AC 02</v>
      </c>
      <c r="D55" s="91" t="str">
        <f>IFERROR(VLOOKUP(A55,'Salary Calculation'!$A$2:$T$999,6,0),"")</f>
        <v>THIRIPURA SUNDARI.R</v>
      </c>
      <c r="E55" s="91" t="str">
        <f>IFERROR(VLOOKUP(A55,'Salary Calculation'!$A$2:$T$999,8,0),"")</f>
        <v>8131010000016977</v>
      </c>
      <c r="F55" s="92" t="str">
        <f>IFERROR(VLOOKUP(C55,'Employees List'!$B$2:H999,6,0),"")</f>
        <v>DBS</v>
      </c>
      <c r="G55" s="93">
        <f>IFERROR(VLOOKUP(A55,'Salary Calculation'!$A$2:$T$999,7,0),"")</f>
        <v>22201.58468</v>
      </c>
      <c r="H55" s="94" t="s">
        <v>1219</v>
      </c>
      <c r="I55" s="46"/>
      <c r="J55" s="46"/>
      <c r="K55" s="46"/>
      <c r="L55" s="46"/>
      <c r="M55" s="46"/>
      <c r="N55" s="46"/>
      <c r="O55" s="46"/>
      <c r="P55" s="46"/>
      <c r="Q55" s="46"/>
      <c r="R55" s="46"/>
      <c r="S55" s="46"/>
      <c r="T55" s="46"/>
      <c r="U55" s="46"/>
      <c r="V55" s="46"/>
      <c r="W55" s="46"/>
      <c r="X55" s="46"/>
      <c r="Y55" s="46"/>
      <c r="Z55" s="46"/>
      <c r="AA55" s="46"/>
      <c r="AB55" s="46"/>
    </row>
    <row r="56" hidden="1">
      <c r="A56" s="90" t="s">
        <v>273</v>
      </c>
      <c r="B56" s="91" t="str">
        <f>IFERROR(VLOOKUP(A56,'Salary Calculation'!A56:F1053,2,0),"")</f>
        <v>August</v>
      </c>
      <c r="C56" s="91" t="str">
        <f>IFERROR(VLOOKUP(A56,'Salary Calculation'!$A$2:$T$999,3,0),"")</f>
        <v>PR 02</v>
      </c>
      <c r="D56" s="91" t="str">
        <f>IFERROR(VLOOKUP(A56,'Salary Calculation'!$A$2:$T$999,6,0),"")</f>
        <v>GANESH</v>
      </c>
      <c r="E56" s="91" t="str">
        <f>IFERROR(VLOOKUP(A56,'Salary Calculation'!$A$2:$T$999,8,0),"")</f>
        <v>8811010012054879</v>
      </c>
      <c r="F56" s="92" t="str">
        <f>IFERROR(VLOOKUP(C56,'Employees List'!$B$2:H999,6,0),"")</f>
        <v>DBS</v>
      </c>
      <c r="G56" s="93">
        <f>IFERROR(VLOOKUP(A56,'Salary Calculation'!$A$2:$T$999,7,0),"")</f>
        <v>20397.19456</v>
      </c>
      <c r="H56" s="94" t="s">
        <v>1219</v>
      </c>
      <c r="I56" s="46"/>
      <c r="J56" s="46"/>
      <c r="K56" s="46"/>
      <c r="L56" s="46"/>
      <c r="M56" s="46"/>
      <c r="N56" s="46"/>
      <c r="O56" s="46"/>
      <c r="P56" s="46"/>
      <c r="Q56" s="46"/>
      <c r="R56" s="46"/>
      <c r="S56" s="46"/>
      <c r="T56" s="46"/>
      <c r="U56" s="46"/>
      <c r="V56" s="46"/>
      <c r="W56" s="46"/>
      <c r="X56" s="46"/>
      <c r="Y56" s="46"/>
      <c r="Z56" s="46"/>
      <c r="AA56" s="46"/>
      <c r="AB56" s="46"/>
    </row>
    <row r="57" hidden="1">
      <c r="A57" s="90" t="s">
        <v>274</v>
      </c>
      <c r="B57" s="91" t="str">
        <f>IFERROR(VLOOKUP(A57,'Salary Calculation'!A57:F1054,2,0),"")</f>
        <v>August</v>
      </c>
      <c r="C57" s="91" t="str">
        <f>IFERROR(VLOOKUP(A57,'Salary Calculation'!$A$2:$T$999,3,0),"")</f>
        <v>PR 01</v>
      </c>
      <c r="D57" s="91" t="str">
        <f>IFERROR(VLOOKUP(A57,'Salary Calculation'!$A$2:$T$999,6,0),"")</f>
        <v>VASANTHA.E</v>
      </c>
      <c r="E57" s="91" t="str">
        <f>IFERROR(VLOOKUP(A57,'Salary Calculation'!$A$2:$T$999,8,0),"")</f>
        <v>8131010000016959</v>
      </c>
      <c r="F57" s="92" t="str">
        <f>IFERROR(VLOOKUP(C57,'Employees List'!$B$2:H999,6,0),"")</f>
        <v>DBS</v>
      </c>
      <c r="G57" s="93">
        <f>IFERROR(VLOOKUP(A57,'Salary Calculation'!$A$2:$T$999,7,0),"")</f>
        <v>19462.60484</v>
      </c>
      <c r="H57" s="94" t="s">
        <v>1219</v>
      </c>
      <c r="I57" s="46"/>
      <c r="J57" s="46"/>
      <c r="K57" s="46"/>
      <c r="L57" s="46"/>
      <c r="M57" s="46"/>
      <c r="N57" s="46"/>
      <c r="O57" s="46"/>
      <c r="P57" s="46"/>
      <c r="Q57" s="46"/>
      <c r="R57" s="46"/>
      <c r="S57" s="46"/>
      <c r="T57" s="46"/>
      <c r="U57" s="46"/>
      <c r="V57" s="46"/>
      <c r="W57" s="46"/>
      <c r="X57" s="46"/>
      <c r="Y57" s="46"/>
      <c r="Z57" s="46"/>
      <c r="AA57" s="46"/>
      <c r="AB57" s="46"/>
    </row>
    <row r="58" hidden="1">
      <c r="A58" s="90" t="s">
        <v>275</v>
      </c>
      <c r="B58" s="91" t="str">
        <f>IFERROR(VLOOKUP(A58,'Salary Calculation'!A58:F1055,2,0),"")</f>
        <v>August</v>
      </c>
      <c r="C58" s="91" t="str">
        <f>IFERROR(VLOOKUP(A58,'Salary Calculation'!$A$2:$T$999,3,0),"")</f>
        <v>PR 03</v>
      </c>
      <c r="D58" s="91" t="str">
        <f>IFERROR(VLOOKUP(A58,'Salary Calculation'!$A$2:$T$999,6,0),"")</f>
        <v>ADHIKARI BALIA.A</v>
      </c>
      <c r="E58" s="91" t="str">
        <f>IFERROR(VLOOKUP(A58,'Salary Calculation'!$A$2:$T$999,8,0),"")</f>
        <v>8131010000018948</v>
      </c>
      <c r="F58" s="92" t="str">
        <f>IFERROR(VLOOKUP(C58,'Employees List'!$B$2:H999,6,0),"")</f>
        <v>DBS</v>
      </c>
      <c r="G58" s="93">
        <f>IFERROR(VLOOKUP(A58,'Salary Calculation'!$A$2:$T$999,7,0),"")</f>
        <v>15843.90827</v>
      </c>
      <c r="H58" s="94" t="s">
        <v>1219</v>
      </c>
      <c r="I58" s="46"/>
      <c r="J58" s="46"/>
      <c r="K58" s="46"/>
      <c r="L58" s="46"/>
      <c r="M58" s="46"/>
      <c r="N58" s="46"/>
      <c r="O58" s="46"/>
      <c r="P58" s="46"/>
      <c r="Q58" s="46"/>
      <c r="R58" s="46"/>
      <c r="S58" s="46"/>
      <c r="T58" s="46"/>
      <c r="U58" s="46"/>
      <c r="V58" s="46"/>
      <c r="W58" s="46"/>
      <c r="X58" s="46"/>
      <c r="Y58" s="46"/>
      <c r="Z58" s="46"/>
      <c r="AA58" s="46"/>
      <c r="AB58" s="46"/>
    </row>
    <row r="59" hidden="1">
      <c r="A59" s="90" t="s">
        <v>276</v>
      </c>
      <c r="B59" s="91" t="str">
        <f>IFERROR(VLOOKUP(A59,'Salary Calculation'!A59:F1056,2,0),"")</f>
        <v>August</v>
      </c>
      <c r="C59" s="91" t="str">
        <f>IFERROR(VLOOKUP(A59,'Salary Calculation'!$A$2:$T$999,3,0),"")</f>
        <v>PR 04</v>
      </c>
      <c r="D59" s="91" t="str">
        <f>IFERROR(VLOOKUP(A59,'Salary Calculation'!$A$2:$T$999,6,0),"")</f>
        <v>RUPESH KISAN</v>
      </c>
      <c r="E59" s="91">
        <f>IFERROR(VLOOKUP(A59,'Salary Calculation'!$A$2:$T$999,8,0),"")</f>
        <v>411002010024591</v>
      </c>
      <c r="F59" s="92" t="str">
        <f>IFERROR(VLOOKUP(C59,'Employees List'!$B$2:H999,6,0),"")</f>
        <v>UBI</v>
      </c>
      <c r="G59" s="93">
        <f>IFERROR(VLOOKUP(A59,'Salary Calculation'!$A$2:$T$999,7,0),"")</f>
        <v>15687.82964</v>
      </c>
      <c r="H59" s="94" t="s">
        <v>1219</v>
      </c>
      <c r="I59" s="46"/>
      <c r="J59" s="46"/>
      <c r="K59" s="46"/>
      <c r="L59" s="46"/>
      <c r="M59" s="46"/>
      <c r="N59" s="46"/>
      <c r="O59" s="46"/>
      <c r="P59" s="46"/>
      <c r="Q59" s="46"/>
      <c r="R59" s="46"/>
      <c r="S59" s="46"/>
      <c r="T59" s="46"/>
      <c r="U59" s="46"/>
      <c r="V59" s="46"/>
      <c r="W59" s="46"/>
      <c r="X59" s="46"/>
      <c r="Y59" s="46"/>
      <c r="Z59" s="46"/>
      <c r="AA59" s="46"/>
      <c r="AB59" s="46"/>
    </row>
    <row r="60" hidden="1">
      <c r="A60" s="90" t="s">
        <v>277</v>
      </c>
      <c r="B60" s="91" t="str">
        <f>IFERROR(VLOOKUP(A60,'Salary Calculation'!A60:F1057,2,0),"")</f>
        <v>August</v>
      </c>
      <c r="C60" s="91" t="str">
        <f>IFERROR(VLOOKUP(A60,'Salary Calculation'!$A$2:$T$999,3,0),"")</f>
        <v>PR 05</v>
      </c>
      <c r="D60" s="91" t="str">
        <f>IFERROR(VLOOKUP(A60,'Salary Calculation'!$A$2:$T$999,6,0),"")</f>
        <v>SANJAY BAGARTTI.K</v>
      </c>
      <c r="E60" s="91" t="str">
        <f>IFERROR(VLOOKUP(A60,'Salary Calculation'!$A$2:$T$999,8,0),"")</f>
        <v>8131010000021225</v>
      </c>
      <c r="F60" s="92" t="str">
        <f>IFERROR(VLOOKUP(C60,'Employees List'!$B$2:H999,6,0),"")</f>
        <v>DBS</v>
      </c>
      <c r="G60" s="93">
        <f>IFERROR(VLOOKUP(A60,'Salary Calculation'!$A$2:$T$999,7,0),"")</f>
        <v>20736.84677</v>
      </c>
      <c r="H60" s="94" t="s">
        <v>1219</v>
      </c>
      <c r="I60" s="46"/>
      <c r="J60" s="46"/>
      <c r="K60" s="46"/>
      <c r="L60" s="46"/>
      <c r="M60" s="46"/>
      <c r="N60" s="46"/>
      <c r="O60" s="46"/>
      <c r="P60" s="46"/>
      <c r="Q60" s="46"/>
      <c r="R60" s="46"/>
      <c r="S60" s="46"/>
      <c r="T60" s="46"/>
      <c r="U60" s="46"/>
      <c r="V60" s="46"/>
      <c r="W60" s="46"/>
      <c r="X60" s="46"/>
      <c r="Y60" s="46"/>
      <c r="Z60" s="46"/>
      <c r="AA60" s="46"/>
      <c r="AB60" s="46"/>
    </row>
    <row r="61" hidden="1">
      <c r="A61" s="90" t="s">
        <v>278</v>
      </c>
      <c r="B61" s="91" t="str">
        <f>IFERROR(VLOOKUP(A61,'Salary Calculation'!A61:F1058,2,0),"")</f>
        <v>August</v>
      </c>
      <c r="C61" s="91" t="str">
        <f>IFERROR(VLOOKUP(A61,'Salary Calculation'!$A$2:$T$999,3,0),"")</f>
        <v>PR 07</v>
      </c>
      <c r="D61" s="91" t="str">
        <f>IFERROR(VLOOKUP(A61,'Salary Calculation'!$A$2:$T$999,6,0),"")</f>
        <v>AMMU.S</v>
      </c>
      <c r="E61" s="91">
        <f>IFERROR(VLOOKUP(A61,'Salary Calculation'!$A$2:$T$999,8,0),"")</f>
        <v>65801000040238</v>
      </c>
      <c r="F61" s="92" t="str">
        <f>IFERROR(VLOOKUP(C61,'Employees List'!$B$2:H999,6,0),"")</f>
        <v>IOB</v>
      </c>
      <c r="G61" s="93">
        <f>IFERROR(VLOOKUP(A61,'Salary Calculation'!$A$2:$T$999,7,0),"")</f>
        <v>14276.99244</v>
      </c>
      <c r="H61" s="94" t="s">
        <v>1219</v>
      </c>
      <c r="I61" s="46"/>
      <c r="J61" s="46"/>
      <c r="K61" s="46"/>
      <c r="L61" s="46"/>
      <c r="M61" s="46"/>
      <c r="N61" s="46"/>
      <c r="O61" s="46"/>
      <c r="P61" s="46"/>
      <c r="Q61" s="46"/>
      <c r="R61" s="46"/>
      <c r="S61" s="46"/>
      <c r="T61" s="46"/>
      <c r="U61" s="46"/>
      <c r="V61" s="46"/>
      <c r="W61" s="46"/>
      <c r="X61" s="46"/>
      <c r="Y61" s="46"/>
      <c r="Z61" s="46"/>
      <c r="AA61" s="46"/>
      <c r="AB61" s="46"/>
    </row>
    <row r="62" hidden="1">
      <c r="A62" s="90" t="s">
        <v>279</v>
      </c>
      <c r="B62" s="91" t="str">
        <f>IFERROR(VLOOKUP(A62,'Salary Calculation'!A62:F1059,2,0),"")</f>
        <v>August</v>
      </c>
      <c r="C62" s="91" t="str">
        <f>IFERROR(VLOOKUP(A62,'Salary Calculation'!$A$2:$T$999,3,0),"")</f>
        <v>PR 08</v>
      </c>
      <c r="D62" s="91" t="str">
        <f>IFERROR(VLOOKUP(A62,'Salary Calculation'!$A$2:$T$999,6,0),"")</f>
        <v>REVATHI.S</v>
      </c>
      <c r="E62" s="91" t="str">
        <f>IFERROR(VLOOKUP(A62,'Salary Calculation'!$A$2:$T$999,8,0),"")</f>
        <v>8131010000016995</v>
      </c>
      <c r="F62" s="92" t="str">
        <f>IFERROR(VLOOKUP(C62,'Employees List'!$B$2:H999,6,0),"")</f>
        <v>DBS</v>
      </c>
      <c r="G62" s="93">
        <f>IFERROR(VLOOKUP(A62,'Salary Calculation'!$A$2:$T$999,7,0),"")</f>
        <v>9779.838206</v>
      </c>
      <c r="H62" s="94" t="s">
        <v>1219</v>
      </c>
      <c r="I62" s="46"/>
      <c r="J62" s="46"/>
      <c r="K62" s="46"/>
      <c r="L62" s="46"/>
      <c r="M62" s="46"/>
      <c r="N62" s="46"/>
      <c r="O62" s="46"/>
      <c r="P62" s="46"/>
      <c r="Q62" s="46"/>
      <c r="R62" s="46"/>
      <c r="S62" s="46"/>
      <c r="T62" s="46"/>
      <c r="U62" s="46"/>
      <c r="V62" s="46"/>
      <c r="W62" s="46"/>
      <c r="X62" s="46"/>
      <c r="Y62" s="46"/>
      <c r="Z62" s="46"/>
      <c r="AA62" s="46"/>
      <c r="AB62" s="46"/>
    </row>
    <row r="63" hidden="1">
      <c r="A63" s="90" t="s">
        <v>280</v>
      </c>
      <c r="B63" s="91" t="str">
        <f>IFERROR(VLOOKUP(A63,'Salary Calculation'!A63:F1060,2,0),"")</f>
        <v>August</v>
      </c>
      <c r="C63" s="91" t="str">
        <f>IFERROR(VLOOKUP(A63,'Salary Calculation'!$A$2:$T$999,3,0),"")</f>
        <v>AC 03</v>
      </c>
      <c r="D63" s="91" t="str">
        <f>IFERROR(VLOOKUP(A63,'Salary Calculation'!$A$2:$T$999,6,0),"")</f>
        <v>LEELAVATHI.M</v>
      </c>
      <c r="E63" s="91" t="str">
        <f>IFERROR(VLOOKUP(A63,'Salary Calculation'!$A$2:$T$999,8,0),"")</f>
        <v>8387010000017745</v>
      </c>
      <c r="F63" s="92" t="str">
        <f>IFERROR(VLOOKUP(C63,'Employees List'!$B$2:H999,6,0),"")</f>
        <v>DBS</v>
      </c>
      <c r="G63" s="93">
        <f>IFERROR(VLOOKUP(A63,'Salary Calculation'!$A$2:$T$999,7,0),"")</f>
        <v>14313.61089</v>
      </c>
      <c r="H63" s="94" t="s">
        <v>1219</v>
      </c>
      <c r="I63" s="46"/>
      <c r="J63" s="46"/>
      <c r="K63" s="46"/>
      <c r="L63" s="46"/>
      <c r="M63" s="46"/>
      <c r="N63" s="46"/>
      <c r="O63" s="46"/>
      <c r="P63" s="46"/>
      <c r="Q63" s="46"/>
      <c r="R63" s="46"/>
      <c r="S63" s="46"/>
      <c r="T63" s="46"/>
      <c r="U63" s="46"/>
      <c r="V63" s="46"/>
      <c r="W63" s="46"/>
      <c r="X63" s="46"/>
      <c r="Y63" s="46"/>
      <c r="Z63" s="46"/>
      <c r="AA63" s="46"/>
      <c r="AB63" s="46"/>
    </row>
    <row r="64" hidden="1">
      <c r="A64" s="90" t="s">
        <v>281</v>
      </c>
      <c r="B64" s="91" t="str">
        <f>IFERROR(VLOOKUP(A64,'Salary Calculation'!A64:F1061,2,0),"")</f>
        <v>August</v>
      </c>
      <c r="C64" s="91" t="str">
        <f>IFERROR(VLOOKUP(A64,'Salary Calculation'!$A$2:$T$999,3,0),"")</f>
        <v>PR 21</v>
      </c>
      <c r="D64" s="91" t="str">
        <f>IFERROR(VLOOKUP(A64,'Salary Calculation'!$A$2:$T$999,6,0),"")</f>
        <v>LIPAN</v>
      </c>
      <c r="E64" s="91" t="str">
        <f>IFERROR(VLOOKUP(A64,'Salary Calculation'!$A$2:$T$999,8,0),"")</f>
        <v>8131010000018957</v>
      </c>
      <c r="F64" s="92" t="str">
        <f>IFERROR(VLOOKUP(C64,'Employees List'!$B$2:H999,6,0),"")</f>
        <v>DBS</v>
      </c>
      <c r="G64" s="93">
        <f>IFERROR(VLOOKUP(A64,'Salary Calculation'!$A$2:$T$999,7,0),"")</f>
        <v>16209.48488</v>
      </c>
      <c r="H64" s="94" t="s">
        <v>1219</v>
      </c>
      <c r="I64" s="46"/>
      <c r="J64" s="46"/>
      <c r="K64" s="46"/>
      <c r="L64" s="46"/>
      <c r="M64" s="46"/>
      <c r="N64" s="46"/>
      <c r="O64" s="46"/>
      <c r="P64" s="46"/>
      <c r="Q64" s="46"/>
      <c r="R64" s="46"/>
      <c r="S64" s="46"/>
      <c r="T64" s="46"/>
      <c r="U64" s="46"/>
      <c r="V64" s="46"/>
      <c r="W64" s="46"/>
      <c r="X64" s="46"/>
      <c r="Y64" s="46"/>
      <c r="Z64" s="46"/>
      <c r="AA64" s="46"/>
      <c r="AB64" s="46"/>
    </row>
    <row r="65" hidden="1">
      <c r="A65" s="90" t="s">
        <v>282</v>
      </c>
      <c r="B65" s="91" t="str">
        <f>IFERROR(VLOOKUP(A65,'Salary Calculation'!A65:F1062,2,0),"")</f>
        <v>August</v>
      </c>
      <c r="C65" s="91" t="str">
        <f>IFERROR(VLOOKUP(A65,'Salary Calculation'!$A$2:$T$999,3,0),"")</f>
        <v>PR 27</v>
      </c>
      <c r="D65" s="91" t="str">
        <f>IFERROR(VLOOKUP(A65,'Salary Calculation'!$A$2:$T$999,6,0),"")</f>
        <v>PARSHU BAGH</v>
      </c>
      <c r="E65" s="91">
        <f>IFERROR(VLOOKUP(A65,'Salary Calculation'!$A$2:$T$999,8,0),"")</f>
        <v>40653547928</v>
      </c>
      <c r="F65" s="92" t="str">
        <f>IFERROR(VLOOKUP(C65,'Employees List'!$B$2:H999,6,0),"")</f>
        <v>SBI</v>
      </c>
      <c r="G65" s="93">
        <f>IFERROR(VLOOKUP(A65,'Salary Calculation'!$A$2:$T$999,7,0),"")</f>
        <v>2965.493952</v>
      </c>
      <c r="H65" s="97"/>
      <c r="I65" s="46"/>
      <c r="J65" s="46"/>
      <c r="K65" s="46"/>
      <c r="L65" s="46"/>
      <c r="M65" s="46"/>
      <c r="N65" s="46"/>
      <c r="O65" s="46"/>
      <c r="P65" s="46"/>
      <c r="Q65" s="46"/>
      <c r="R65" s="46"/>
      <c r="S65" s="46"/>
      <c r="T65" s="46"/>
      <c r="U65" s="46"/>
      <c r="V65" s="46"/>
      <c r="W65" s="46"/>
      <c r="X65" s="46"/>
      <c r="Y65" s="46"/>
      <c r="Z65" s="46"/>
      <c r="AA65" s="46"/>
      <c r="AB65" s="46"/>
    </row>
    <row r="66" hidden="1">
      <c r="A66" s="90" t="s">
        <v>283</v>
      </c>
      <c r="B66" s="91" t="str">
        <f>IFERROR(VLOOKUP(A66,'Salary Calculation'!A66:F1063,2,0),"")</f>
        <v>November</v>
      </c>
      <c r="C66" s="91" t="str">
        <f>IFERROR(VLOOKUP(A66,'Salary Calculation'!$A$2:$T$999,3,0),"")</f>
        <v>AC 01</v>
      </c>
      <c r="D66" s="91" t="str">
        <f>IFERROR(VLOOKUP(A66,'Salary Calculation'!$A$2:$T$999,6,0),"")</f>
        <v>BHUVANESHWARAN.V</v>
      </c>
      <c r="E66" s="91">
        <f>IFERROR(VLOOKUP(A66,'Salary Calculation'!$A$2:$T$999,8,0),"")</f>
        <v>500101011548924</v>
      </c>
      <c r="F66" s="92" t="str">
        <f>IFERROR(VLOOKUP(C66,'Employees List'!$B$2:H999,6,0),"")</f>
        <v>CUB</v>
      </c>
      <c r="G66" s="93">
        <f>IFERROR(VLOOKUP(A66,'Salary Calculation'!$A$2:$T$999,7,0),"")</f>
        <v>66900</v>
      </c>
      <c r="H66" s="94" t="s">
        <v>1219</v>
      </c>
      <c r="I66" s="46"/>
      <c r="J66" s="46"/>
      <c r="K66" s="46"/>
      <c r="L66" s="46"/>
      <c r="M66" s="46"/>
      <c r="N66" s="46"/>
      <c r="O66" s="46"/>
      <c r="P66" s="46"/>
      <c r="Q66" s="46"/>
      <c r="R66" s="46"/>
      <c r="S66" s="46"/>
      <c r="T66" s="46"/>
      <c r="U66" s="46"/>
      <c r="V66" s="46"/>
      <c r="W66" s="46"/>
      <c r="X66" s="46"/>
      <c r="Y66" s="46"/>
      <c r="Z66" s="46"/>
      <c r="AA66" s="46"/>
      <c r="AB66" s="46"/>
    </row>
    <row r="67" hidden="1">
      <c r="A67" s="90" t="s">
        <v>284</v>
      </c>
      <c r="B67" s="91" t="str">
        <f>IFERROR(VLOOKUP(A67,'Salary Calculation'!A67:F1064,2,0),"")</f>
        <v>November</v>
      </c>
      <c r="C67" s="91" t="str">
        <f>IFERROR(VLOOKUP(A67,'Salary Calculation'!$A$2:$T$999,3,0),"")</f>
        <v>AC 02</v>
      </c>
      <c r="D67" s="91" t="str">
        <f>IFERROR(VLOOKUP(A67,'Salary Calculation'!$A$2:$T$999,6,0),"")</f>
        <v>THIRIPURA SUNDARI.R</v>
      </c>
      <c r="E67" s="91" t="str">
        <f>IFERROR(VLOOKUP(A67,'Salary Calculation'!$A$2:$T$999,8,0),"")</f>
        <v>8131010000016977</v>
      </c>
      <c r="F67" s="92" t="str">
        <f>IFERROR(VLOOKUP(C67,'Employees List'!$B$2:H999,6,0),"")</f>
        <v>DBS</v>
      </c>
      <c r="G67" s="93">
        <f>IFERROR(VLOOKUP(A67,'Salary Calculation'!$A$2:$T$999,7,0),"")</f>
        <v>22684.82813</v>
      </c>
      <c r="H67" s="94" t="s">
        <v>1219</v>
      </c>
      <c r="I67" s="46"/>
      <c r="J67" s="46"/>
      <c r="K67" s="46"/>
      <c r="L67" s="46"/>
      <c r="M67" s="46"/>
      <c r="N67" s="46"/>
      <c r="O67" s="46"/>
      <c r="P67" s="46"/>
      <c r="Q67" s="46"/>
      <c r="R67" s="46"/>
      <c r="S67" s="46"/>
      <c r="T67" s="46"/>
      <c r="U67" s="46"/>
      <c r="V67" s="46"/>
      <c r="W67" s="46"/>
      <c r="X67" s="46"/>
      <c r="Y67" s="46"/>
      <c r="Z67" s="46"/>
      <c r="AA67" s="46"/>
      <c r="AB67" s="46"/>
    </row>
    <row r="68" hidden="1">
      <c r="A68" s="90" t="s">
        <v>285</v>
      </c>
      <c r="B68" s="91" t="str">
        <f>IFERROR(VLOOKUP(A68,'Salary Calculation'!A68:F1065,2,0),"")</f>
        <v>November</v>
      </c>
      <c r="C68" s="91" t="str">
        <f>IFERROR(VLOOKUP(A68,'Salary Calculation'!$A$2:$T$999,3,0),"")</f>
        <v>PR 02</v>
      </c>
      <c r="D68" s="91" t="str">
        <f>IFERROR(VLOOKUP(A68,'Salary Calculation'!$A$2:$T$999,6,0),"")</f>
        <v>GANESH</v>
      </c>
      <c r="E68" s="91" t="str">
        <f>IFERROR(VLOOKUP(A68,'Salary Calculation'!$A$2:$T$999,8,0),"")</f>
        <v>8811010012054879</v>
      </c>
      <c r="F68" s="92" t="str">
        <f>IFERROR(VLOOKUP(C68,'Employees List'!$B$2:H999,6,0),"")</f>
        <v>DBS</v>
      </c>
      <c r="G68" s="93">
        <f>IFERROR(VLOOKUP(A68,'Salary Calculation'!$A$2:$T$999,7,0),"")</f>
        <v>21139.15625</v>
      </c>
      <c r="H68" s="94" t="s">
        <v>1221</v>
      </c>
      <c r="I68" s="46"/>
      <c r="J68" s="46"/>
      <c r="K68" s="46"/>
      <c r="L68" s="46"/>
      <c r="M68" s="46"/>
      <c r="N68" s="46"/>
      <c r="O68" s="46"/>
      <c r="P68" s="46"/>
      <c r="Q68" s="46"/>
      <c r="R68" s="46"/>
      <c r="S68" s="46"/>
      <c r="T68" s="46"/>
      <c r="U68" s="46"/>
      <c r="V68" s="46"/>
      <c r="W68" s="46"/>
      <c r="X68" s="46"/>
      <c r="Y68" s="46"/>
      <c r="Z68" s="46"/>
      <c r="AA68" s="46"/>
      <c r="AB68" s="46"/>
    </row>
    <row r="69" hidden="1">
      <c r="A69" s="90" t="s">
        <v>286</v>
      </c>
      <c r="B69" s="91" t="str">
        <f>IFERROR(VLOOKUP(A69,'Salary Calculation'!A69:F1066,2,0),"")</f>
        <v>November</v>
      </c>
      <c r="C69" s="91" t="str">
        <f>IFERROR(VLOOKUP(A69,'Salary Calculation'!$A$2:$T$999,3,0),"")</f>
        <v>PR 01</v>
      </c>
      <c r="D69" s="91" t="str">
        <f>IFERROR(VLOOKUP(A69,'Salary Calculation'!$A$2:$T$999,6,0),"")</f>
        <v>VASANTHA.E</v>
      </c>
      <c r="E69" s="91" t="str">
        <f>IFERROR(VLOOKUP(A69,'Salary Calculation'!$A$2:$T$999,8,0),"")</f>
        <v>8131010000016959</v>
      </c>
      <c r="F69" s="92" t="str">
        <f>IFERROR(VLOOKUP(C69,'Employees List'!$B$2:H999,6,0),"")</f>
        <v>DBS</v>
      </c>
      <c r="G69" s="93">
        <f>IFERROR(VLOOKUP(A69,'Salary Calculation'!$A$2:$T$999,7,0),"")</f>
        <v>18585.59635</v>
      </c>
      <c r="H69" s="94" t="s">
        <v>1221</v>
      </c>
      <c r="I69" s="46"/>
      <c r="J69" s="46"/>
      <c r="K69" s="46"/>
      <c r="L69" s="46"/>
      <c r="M69" s="46"/>
      <c r="N69" s="46"/>
      <c r="O69" s="46"/>
      <c r="P69" s="46"/>
      <c r="Q69" s="46"/>
      <c r="R69" s="46"/>
      <c r="S69" s="46"/>
      <c r="T69" s="46"/>
      <c r="U69" s="46"/>
      <c r="V69" s="46"/>
      <c r="W69" s="46"/>
      <c r="X69" s="46"/>
      <c r="Y69" s="46"/>
      <c r="Z69" s="46"/>
      <c r="AA69" s="46"/>
      <c r="AB69" s="46"/>
    </row>
    <row r="70" hidden="1">
      <c r="A70" s="90" t="s">
        <v>287</v>
      </c>
      <c r="B70" s="91" t="str">
        <f>IFERROR(VLOOKUP(A70,'Salary Calculation'!A70:F1067,2,0),"")</f>
        <v>November</v>
      </c>
      <c r="C70" s="91" t="str">
        <f>IFERROR(VLOOKUP(A70,'Salary Calculation'!$A$2:$T$999,3,0),"")</f>
        <v>PR 05</v>
      </c>
      <c r="D70" s="91" t="str">
        <f>IFERROR(VLOOKUP(A70,'Salary Calculation'!$A$2:$T$999,6,0),"")</f>
        <v>SANJAY BAGARTTI.K</v>
      </c>
      <c r="E70" s="91" t="str">
        <f>IFERROR(VLOOKUP(A70,'Salary Calculation'!$A$2:$T$999,8,0),"")</f>
        <v>8131010000021225</v>
      </c>
      <c r="F70" s="92" t="str">
        <f>IFERROR(VLOOKUP(C70,'Employees List'!$B$2:H999,6,0),"")</f>
        <v>DBS</v>
      </c>
      <c r="G70" s="93">
        <f>IFERROR(VLOOKUP(A70,'Salary Calculation'!$A$2:$T$999,7,0),"")</f>
        <v>21171.26563</v>
      </c>
      <c r="H70" s="94" t="s">
        <v>1221</v>
      </c>
      <c r="I70" s="46"/>
      <c r="J70" s="46"/>
      <c r="K70" s="46"/>
      <c r="L70" s="46"/>
      <c r="M70" s="46"/>
      <c r="N70" s="46"/>
      <c r="O70" s="46"/>
      <c r="P70" s="46"/>
      <c r="Q70" s="46"/>
      <c r="R70" s="46"/>
      <c r="S70" s="46"/>
      <c r="T70" s="46"/>
      <c r="U70" s="46"/>
      <c r="V70" s="46"/>
      <c r="W70" s="46"/>
      <c r="X70" s="46"/>
      <c r="Y70" s="46"/>
      <c r="Z70" s="46"/>
      <c r="AA70" s="46"/>
      <c r="AB70" s="46"/>
    </row>
    <row r="71" hidden="1">
      <c r="A71" s="90" t="s">
        <v>288</v>
      </c>
      <c r="B71" s="91" t="str">
        <f>IFERROR(VLOOKUP(A71,'Salary Calculation'!A71:F1068,2,0),"")</f>
        <v>November</v>
      </c>
      <c r="C71" s="91" t="str">
        <f>IFERROR(VLOOKUP(A71,'Salary Calculation'!$A$2:$T$999,3,0),"")</f>
        <v>PR 07</v>
      </c>
      <c r="D71" s="91" t="str">
        <f>IFERROR(VLOOKUP(A71,'Salary Calculation'!$A$2:$T$999,6,0),"")</f>
        <v>AMMU.S</v>
      </c>
      <c r="E71" s="91">
        <f>IFERROR(VLOOKUP(A71,'Salary Calculation'!$A$2:$T$999,8,0),"")</f>
        <v>65801000040238</v>
      </c>
      <c r="F71" s="92" t="str">
        <f>IFERROR(VLOOKUP(C71,'Employees List'!$B$2:H999,6,0),"")</f>
        <v>IOB</v>
      </c>
      <c r="G71" s="93">
        <f>IFERROR(VLOOKUP(A71,'Salary Calculation'!$A$2:$T$999,7,0),"")</f>
        <v>12778.4375</v>
      </c>
      <c r="H71" s="94" t="s">
        <v>1221</v>
      </c>
      <c r="I71" s="46"/>
      <c r="J71" s="46"/>
      <c r="K71" s="46"/>
      <c r="L71" s="46"/>
      <c r="M71" s="46"/>
      <c r="N71" s="46"/>
      <c r="O71" s="46"/>
      <c r="P71" s="46"/>
      <c r="Q71" s="46"/>
      <c r="R71" s="46"/>
      <c r="S71" s="46"/>
      <c r="T71" s="46"/>
      <c r="U71" s="46"/>
      <c r="V71" s="46"/>
      <c r="W71" s="46"/>
      <c r="X71" s="46"/>
      <c r="Y71" s="46"/>
      <c r="Z71" s="46"/>
      <c r="AA71" s="46"/>
      <c r="AB71" s="46"/>
    </row>
    <row r="72" hidden="1">
      <c r="A72" s="90" t="s">
        <v>289</v>
      </c>
      <c r="B72" s="91" t="str">
        <f>IFERROR(VLOOKUP(A72,'Salary Calculation'!A72:F1069,2,0),"")</f>
        <v>November</v>
      </c>
      <c r="C72" s="91" t="str">
        <f>IFERROR(VLOOKUP(A72,'Salary Calculation'!$A$2:$T$999,3,0),"")</f>
        <v>PR 08</v>
      </c>
      <c r="D72" s="91" t="str">
        <f>IFERROR(VLOOKUP(A72,'Salary Calculation'!$A$2:$T$999,6,0),"")</f>
        <v>REVATHI.S</v>
      </c>
      <c r="E72" s="91" t="str">
        <f>IFERROR(VLOOKUP(A72,'Salary Calculation'!$A$2:$T$999,8,0),"")</f>
        <v>8131010000016995</v>
      </c>
      <c r="F72" s="92" t="str">
        <f>IFERROR(VLOOKUP(C72,'Employees List'!$B$2:H999,6,0),"")</f>
        <v>DBS</v>
      </c>
      <c r="G72" s="93">
        <f>IFERROR(VLOOKUP(A72,'Salary Calculation'!$A$2:$T$999,7,0),"")</f>
        <v>11126.46094</v>
      </c>
      <c r="H72" s="94" t="s">
        <v>1221</v>
      </c>
      <c r="I72" s="46"/>
      <c r="J72" s="46"/>
      <c r="K72" s="46"/>
      <c r="L72" s="46"/>
      <c r="M72" s="46"/>
      <c r="N72" s="46"/>
      <c r="O72" s="46"/>
      <c r="P72" s="46"/>
      <c r="Q72" s="46"/>
      <c r="R72" s="46"/>
      <c r="S72" s="46"/>
      <c r="T72" s="46"/>
      <c r="U72" s="46"/>
      <c r="V72" s="46"/>
      <c r="W72" s="46"/>
      <c r="X72" s="46"/>
      <c r="Y72" s="46"/>
      <c r="Z72" s="46"/>
      <c r="AA72" s="46"/>
      <c r="AB72" s="46"/>
    </row>
    <row r="73" hidden="1">
      <c r="A73" s="90" t="s">
        <v>290</v>
      </c>
      <c r="B73" s="91" t="str">
        <f>IFERROR(VLOOKUP(A73,'Salary Calculation'!A73:F1070,2,0),"")</f>
        <v>November</v>
      </c>
      <c r="C73" s="91" t="str">
        <f>IFERROR(VLOOKUP(A73,'Salary Calculation'!$A$2:$T$999,3,0),"")</f>
        <v>AC 03</v>
      </c>
      <c r="D73" s="91" t="str">
        <f>IFERROR(VLOOKUP(A73,'Salary Calculation'!$A$2:$T$999,6,0),"")</f>
        <v>LEELAVATHI.M</v>
      </c>
      <c r="E73" s="91" t="str">
        <f>IFERROR(VLOOKUP(A73,'Salary Calculation'!$A$2:$T$999,8,0),"")</f>
        <v>8387010000017745</v>
      </c>
      <c r="F73" s="92" t="str">
        <f>IFERROR(VLOOKUP(C73,'Employees List'!$B$2:H999,6,0),"")</f>
        <v>DBS</v>
      </c>
      <c r="G73" s="93">
        <f>IFERROR(VLOOKUP(A73,'Salary Calculation'!$A$2:$T$999,7,0),"")</f>
        <v>18299.21875</v>
      </c>
      <c r="H73" s="94" t="s">
        <v>1221</v>
      </c>
      <c r="I73" s="46"/>
      <c r="J73" s="46"/>
      <c r="K73" s="48"/>
      <c r="L73" s="48"/>
      <c r="M73" s="46"/>
      <c r="N73" s="46"/>
      <c r="O73" s="46"/>
      <c r="P73" s="46"/>
      <c r="Q73" s="46"/>
      <c r="R73" s="46"/>
      <c r="S73" s="46"/>
      <c r="T73" s="46"/>
      <c r="U73" s="46"/>
      <c r="V73" s="46"/>
      <c r="W73" s="46"/>
      <c r="X73" s="46"/>
      <c r="Y73" s="46"/>
      <c r="Z73" s="46"/>
      <c r="AA73" s="46"/>
      <c r="AB73" s="46"/>
    </row>
    <row r="74" hidden="1">
      <c r="A74" s="90" t="s">
        <v>291</v>
      </c>
      <c r="B74" s="91" t="str">
        <f>IFERROR(VLOOKUP(A74,'Salary Calculation'!A74:F1071,2,0),"")</f>
        <v>December</v>
      </c>
      <c r="C74" s="91" t="str">
        <f>IFERROR(VLOOKUP(A74,'Salary Calculation'!$A$2:$T$999,3,0),"")</f>
        <v>AC 01</v>
      </c>
      <c r="D74" s="91" t="str">
        <f>IFERROR(VLOOKUP(A74,'Salary Calculation'!$A$2:$T$999,6,0),"")</f>
        <v>BHUVANESHWARAN.V</v>
      </c>
      <c r="E74" s="91">
        <f>IFERROR(VLOOKUP(A74,'Salary Calculation'!$A$2:$T$999,8,0),"")</f>
        <v>500101011548924</v>
      </c>
      <c r="F74" s="92" t="str">
        <f>IFERROR(VLOOKUP(C74,'Employees List'!$B$2:H999,6,0),"")</f>
        <v>CUB</v>
      </c>
      <c r="G74" s="93">
        <f>IFERROR(VLOOKUP(A74,'Salary Calculation'!$A$2:$T$999,7,0),"")</f>
        <v>66900</v>
      </c>
      <c r="H74" s="94" t="s">
        <v>1219</v>
      </c>
      <c r="I74" s="46"/>
      <c r="J74" s="46"/>
      <c r="K74" s="46"/>
      <c r="L74" s="46"/>
      <c r="M74" s="46"/>
      <c r="N74" s="46"/>
      <c r="O74" s="46"/>
      <c r="P74" s="46"/>
      <c r="Q74" s="46"/>
      <c r="R74" s="46"/>
      <c r="S74" s="46"/>
      <c r="T74" s="46"/>
      <c r="U74" s="46"/>
      <c r="V74" s="46"/>
      <c r="W74" s="46"/>
      <c r="X74" s="46"/>
      <c r="Y74" s="46"/>
      <c r="Z74" s="46"/>
      <c r="AA74" s="46"/>
      <c r="AB74" s="46"/>
    </row>
    <row r="75" hidden="1">
      <c r="A75" s="90" t="s">
        <v>292</v>
      </c>
      <c r="B75" s="91" t="str">
        <f>IFERROR(VLOOKUP(A75,'Salary Calculation'!A75:F1072,2,0),"")</f>
        <v>December</v>
      </c>
      <c r="C75" s="91" t="str">
        <f>IFERROR(VLOOKUP(A75,'Salary Calculation'!$A$2:$T$999,3,0),"")</f>
        <v>AC 02</v>
      </c>
      <c r="D75" s="91" t="str">
        <f>IFERROR(VLOOKUP(A75,'Salary Calculation'!$A$2:$T$999,6,0),"")</f>
        <v>THIRIPURA SUNDARI.R</v>
      </c>
      <c r="E75" s="91" t="str">
        <f>IFERROR(VLOOKUP(A75,'Salary Calculation'!$A$2:$T$999,8,0),"")</f>
        <v>8131010000016977</v>
      </c>
      <c r="F75" s="92" t="str">
        <f>IFERROR(VLOOKUP(C75,'Employees List'!$B$2:H999,6,0),"")</f>
        <v>DBS</v>
      </c>
      <c r="G75" s="93">
        <f>IFERROR(VLOOKUP(A75,'Salary Calculation'!$A$2:$T$999,7,0),"")</f>
        <v>22033.5</v>
      </c>
      <c r="H75" s="94" t="s">
        <v>1219</v>
      </c>
      <c r="I75" s="46"/>
      <c r="J75" s="46"/>
      <c r="K75" s="46"/>
      <c r="L75" s="46"/>
      <c r="M75" s="46"/>
      <c r="N75" s="46"/>
      <c r="O75" s="46"/>
      <c r="P75" s="46"/>
      <c r="Q75" s="46"/>
      <c r="R75" s="46"/>
      <c r="S75" s="46"/>
      <c r="T75" s="46"/>
      <c r="U75" s="46"/>
      <c r="V75" s="46"/>
      <c r="W75" s="46"/>
      <c r="X75" s="46"/>
      <c r="Y75" s="46"/>
      <c r="Z75" s="46"/>
      <c r="AA75" s="46"/>
      <c r="AB75" s="46"/>
    </row>
    <row r="76" hidden="1">
      <c r="A76" s="90" t="s">
        <v>293</v>
      </c>
      <c r="B76" s="91" t="str">
        <f>IFERROR(VLOOKUP(A76,'Salary Calculation'!A76:F1073,2,0),"")</f>
        <v>December</v>
      </c>
      <c r="C76" s="91" t="str">
        <f>IFERROR(VLOOKUP(A76,'Salary Calculation'!$A$2:$T$999,3,0),"")</f>
        <v>PR 02</v>
      </c>
      <c r="D76" s="91" t="str">
        <f>IFERROR(VLOOKUP(A76,'Salary Calculation'!$A$2:$T$999,6,0),"")</f>
        <v>GANESH</v>
      </c>
      <c r="E76" s="91" t="str">
        <f>IFERROR(VLOOKUP(A76,'Salary Calculation'!$A$2:$T$999,8,0),"")</f>
        <v>8811010012054879</v>
      </c>
      <c r="F76" s="92" t="str">
        <f>IFERROR(VLOOKUP(C76,'Employees List'!$B$2:H999,6,0),"")</f>
        <v>DBS</v>
      </c>
      <c r="G76" s="93">
        <f>IFERROR(VLOOKUP(A76,'Salary Calculation'!$A$2:$T$999,7,0),"")</f>
        <v>16122.78175</v>
      </c>
      <c r="H76" s="94" t="s">
        <v>1219</v>
      </c>
      <c r="I76" s="46"/>
      <c r="J76" s="46"/>
      <c r="K76" s="46"/>
      <c r="L76" s="46"/>
      <c r="M76" s="46"/>
      <c r="N76" s="46"/>
      <c r="O76" s="46"/>
      <c r="P76" s="46"/>
      <c r="Q76" s="46"/>
      <c r="R76" s="46"/>
      <c r="S76" s="46"/>
      <c r="T76" s="46"/>
      <c r="U76" s="46"/>
      <c r="V76" s="46"/>
      <c r="W76" s="46"/>
      <c r="X76" s="46"/>
      <c r="Y76" s="46"/>
      <c r="Z76" s="46"/>
      <c r="AA76" s="46"/>
      <c r="AB76" s="46"/>
    </row>
    <row r="77" hidden="1">
      <c r="A77" s="90" t="s">
        <v>294</v>
      </c>
      <c r="B77" s="91" t="str">
        <f>IFERROR(VLOOKUP(A77,'Salary Calculation'!A77:F1074,2,0),"")</f>
        <v>December</v>
      </c>
      <c r="C77" s="91" t="str">
        <f>IFERROR(VLOOKUP(A77,'Salary Calculation'!$A$2:$T$999,3,0),"")</f>
        <v>PR 01</v>
      </c>
      <c r="D77" s="91" t="str">
        <f>IFERROR(VLOOKUP(A77,'Salary Calculation'!$A$2:$T$999,6,0),"")</f>
        <v>VASANTHA.E</v>
      </c>
      <c r="E77" s="91" t="str">
        <f>IFERROR(VLOOKUP(A77,'Salary Calculation'!$A$2:$T$999,8,0),"")</f>
        <v>8131010000016959</v>
      </c>
      <c r="F77" s="92" t="str">
        <f>IFERROR(VLOOKUP(C77,'Employees List'!$B$2:H999,6,0),"")</f>
        <v>DBS</v>
      </c>
      <c r="G77" s="93">
        <f>IFERROR(VLOOKUP(A77,'Salary Calculation'!$A$2:$T$999,7,0),"")</f>
        <v>17942.43901</v>
      </c>
      <c r="H77" s="94" t="s">
        <v>1219</v>
      </c>
      <c r="I77" s="46"/>
      <c r="J77" s="46"/>
      <c r="K77" s="46"/>
      <c r="L77" s="46"/>
      <c r="M77" s="46"/>
      <c r="N77" s="46"/>
      <c r="O77" s="46"/>
      <c r="P77" s="46"/>
      <c r="Q77" s="46"/>
      <c r="R77" s="46"/>
      <c r="S77" s="46"/>
      <c r="T77" s="46"/>
      <c r="U77" s="46"/>
      <c r="V77" s="46"/>
      <c r="W77" s="46"/>
      <c r="X77" s="46"/>
      <c r="Y77" s="46"/>
      <c r="Z77" s="46"/>
      <c r="AA77" s="46"/>
      <c r="AB77" s="46"/>
    </row>
    <row r="78" hidden="1">
      <c r="A78" s="90" t="s">
        <v>295</v>
      </c>
      <c r="B78" s="91" t="str">
        <f>IFERROR(VLOOKUP(A78,'Salary Calculation'!A78:F1075,2,0),"")</f>
        <v>December</v>
      </c>
      <c r="C78" s="91" t="str">
        <f>IFERROR(VLOOKUP(A78,'Salary Calculation'!$A$2:$T$999,3,0),"")</f>
        <v>PR 05</v>
      </c>
      <c r="D78" s="91" t="str">
        <f>IFERROR(VLOOKUP(A78,'Salary Calculation'!$A$2:$T$999,6,0),"")</f>
        <v>SANJAY BAGARTTI.K</v>
      </c>
      <c r="E78" s="91" t="str">
        <f>IFERROR(VLOOKUP(A78,'Salary Calculation'!$A$2:$T$999,8,0),"")</f>
        <v>8131010000021225</v>
      </c>
      <c r="F78" s="92" t="str">
        <f>IFERROR(VLOOKUP(C78,'Employees List'!$B$2:H999,6,0),"")</f>
        <v>DBS</v>
      </c>
      <c r="G78" s="93">
        <f>IFERROR(VLOOKUP(A78,'Salary Calculation'!$A$2:$T$999,7,0),"")</f>
        <v>5539.709677</v>
      </c>
      <c r="H78" s="94" t="s">
        <v>1219</v>
      </c>
      <c r="I78" s="46"/>
      <c r="J78" s="46"/>
      <c r="K78" s="46"/>
      <c r="L78" s="46"/>
      <c r="M78" s="46"/>
      <c r="N78" s="46"/>
      <c r="O78" s="46"/>
      <c r="P78" s="46"/>
      <c r="Q78" s="46"/>
      <c r="R78" s="46"/>
      <c r="S78" s="46"/>
      <c r="T78" s="46"/>
      <c r="U78" s="46"/>
      <c r="V78" s="46"/>
      <c r="W78" s="46"/>
      <c r="X78" s="46"/>
      <c r="Y78" s="46"/>
      <c r="Z78" s="46"/>
      <c r="AA78" s="46"/>
      <c r="AB78" s="46"/>
    </row>
    <row r="79" hidden="1">
      <c r="A79" s="90" t="s">
        <v>296</v>
      </c>
      <c r="B79" s="91" t="str">
        <f>IFERROR(VLOOKUP(A79,'Salary Calculation'!A79:F1076,2,0),"")</f>
        <v>December</v>
      </c>
      <c r="C79" s="91" t="str">
        <f>IFERROR(VLOOKUP(A79,'Salary Calculation'!$A$2:$T$999,3,0),"")</f>
        <v>PR 07</v>
      </c>
      <c r="D79" s="91" t="str">
        <f>IFERROR(VLOOKUP(A79,'Salary Calculation'!$A$2:$T$999,6,0),"")</f>
        <v>AMMU.S</v>
      </c>
      <c r="E79" s="91">
        <f>IFERROR(VLOOKUP(A79,'Salary Calculation'!$A$2:$T$999,8,0),"")</f>
        <v>65801000040238</v>
      </c>
      <c r="F79" s="92" t="str">
        <f>IFERROR(VLOOKUP(C79,'Employees List'!$B$2:H999,6,0),"")</f>
        <v>IOB</v>
      </c>
      <c r="G79" s="93">
        <f>IFERROR(VLOOKUP(A79,'Salary Calculation'!$A$2:$T$999,7,0),"")</f>
        <v>12023.45716</v>
      </c>
      <c r="H79" s="94" t="s">
        <v>1219</v>
      </c>
      <c r="I79" s="46"/>
      <c r="J79" s="46"/>
      <c r="K79" s="46"/>
      <c r="L79" s="46"/>
      <c r="M79" s="46"/>
      <c r="N79" s="46"/>
      <c r="O79" s="46"/>
      <c r="P79" s="46"/>
      <c r="Q79" s="46"/>
      <c r="R79" s="46"/>
      <c r="S79" s="46"/>
      <c r="T79" s="46"/>
      <c r="U79" s="46"/>
      <c r="V79" s="46"/>
      <c r="W79" s="46"/>
      <c r="X79" s="46"/>
      <c r="Y79" s="46"/>
      <c r="Z79" s="46"/>
      <c r="AA79" s="46"/>
      <c r="AB79" s="46"/>
    </row>
    <row r="80" hidden="1">
      <c r="A80" s="90" t="s">
        <v>297</v>
      </c>
      <c r="B80" s="91" t="str">
        <f>IFERROR(VLOOKUP(A80,'Salary Calculation'!A80:F1077,2,0),"")</f>
        <v>December</v>
      </c>
      <c r="C80" s="91" t="str">
        <f>IFERROR(VLOOKUP(A80,'Salary Calculation'!$A$2:$T$999,3,0),"")</f>
        <v>PR 08</v>
      </c>
      <c r="D80" s="91" t="str">
        <f>IFERROR(VLOOKUP(A80,'Salary Calculation'!$A$2:$T$999,6,0),"")</f>
        <v>REVATHI.S</v>
      </c>
      <c r="E80" s="91" t="str">
        <f>IFERROR(VLOOKUP(A80,'Salary Calculation'!$A$2:$T$999,8,0),"")</f>
        <v>8131010000016995</v>
      </c>
      <c r="F80" s="92" t="str">
        <f>IFERROR(VLOOKUP(C80,'Employees List'!$B$2:H999,6,0),"")</f>
        <v>DBS</v>
      </c>
      <c r="G80" s="93">
        <f>IFERROR(VLOOKUP(A80,'Salary Calculation'!$A$2:$T$999,7,0),"")</f>
        <v>11107.4995</v>
      </c>
      <c r="H80" s="94" t="s">
        <v>1219</v>
      </c>
      <c r="I80" s="46"/>
      <c r="J80" s="46"/>
      <c r="K80" s="46"/>
      <c r="L80" s="46"/>
      <c r="M80" s="46"/>
      <c r="N80" s="46"/>
      <c r="O80" s="46"/>
      <c r="P80" s="46"/>
      <c r="Q80" s="46"/>
      <c r="R80" s="46"/>
      <c r="S80" s="46"/>
      <c r="T80" s="46"/>
      <c r="U80" s="46"/>
      <c r="V80" s="46"/>
      <c r="W80" s="46"/>
      <c r="X80" s="46"/>
      <c r="Y80" s="46"/>
      <c r="Z80" s="46"/>
      <c r="AA80" s="46"/>
      <c r="AB80" s="46"/>
    </row>
    <row r="81" hidden="1">
      <c r="A81" s="90" t="s">
        <v>298</v>
      </c>
      <c r="B81" s="91" t="str">
        <f>IFERROR(VLOOKUP(A81,'Salary Calculation'!A81:F1078,2,0),"")</f>
        <v>December</v>
      </c>
      <c r="C81" s="91" t="str">
        <f>IFERROR(VLOOKUP(A81,'Salary Calculation'!$A$2:$T$999,3,0),"")</f>
        <v>AC 03</v>
      </c>
      <c r="D81" s="91" t="str">
        <f>IFERROR(VLOOKUP(A81,'Salary Calculation'!$A$2:$T$999,6,0),"")</f>
        <v>LEELAVATHI.M</v>
      </c>
      <c r="E81" s="91" t="str">
        <f>IFERROR(VLOOKUP(A81,'Salary Calculation'!$A$2:$T$999,8,0),"")</f>
        <v>8387010000017745</v>
      </c>
      <c r="F81" s="92" t="str">
        <f>IFERROR(VLOOKUP(C81,'Employees List'!$B$2:H999,6,0),"")</f>
        <v>DBS</v>
      </c>
      <c r="G81" s="93">
        <f>IFERROR(VLOOKUP(A81,'Salary Calculation'!$A$2:$T$999,7,0),"")</f>
        <v>17099.01411</v>
      </c>
      <c r="H81" s="94" t="s">
        <v>1219</v>
      </c>
      <c r="I81" s="46"/>
      <c r="J81" s="46"/>
      <c r="K81" s="46"/>
      <c r="L81" s="46"/>
      <c r="M81" s="46"/>
      <c r="N81" s="46"/>
      <c r="O81" s="46"/>
      <c r="P81" s="46"/>
      <c r="Q81" s="46"/>
      <c r="R81" s="46"/>
      <c r="S81" s="46"/>
      <c r="T81" s="46"/>
      <c r="U81" s="46"/>
      <c r="V81" s="46"/>
      <c r="W81" s="46"/>
      <c r="X81" s="46"/>
      <c r="Y81" s="46"/>
      <c r="Z81" s="46"/>
      <c r="AA81" s="46"/>
      <c r="AB81" s="46"/>
    </row>
    <row r="82" hidden="1">
      <c r="A82" s="90" t="s">
        <v>299</v>
      </c>
      <c r="B82" s="91" t="str">
        <f>IFERROR(VLOOKUP(A82,'Salary Calculation'!A82:F1079,2,0),"")</f>
        <v>December</v>
      </c>
      <c r="C82" s="91" t="str">
        <f>IFERROR(VLOOKUP(A82,'Salary Calculation'!$A$2:$T$999,3,0),"")</f>
        <v>PR 24</v>
      </c>
      <c r="D82" s="91" t="str">
        <f>IFERROR(VLOOKUP(A82,'Salary Calculation'!$A$2:$T$999,6,0),"")</f>
        <v>NILAMANI KISAN.B</v>
      </c>
      <c r="E82" s="91">
        <f>IFERROR(VLOOKUP(A82,'Salary Calculation'!$A$2:$T$999,8,0),"")</f>
        <v>38254473147</v>
      </c>
      <c r="F82" s="92" t="str">
        <f>IFERROR(VLOOKUP(C82,'Employees List'!$B$2:H999,6,0),"")</f>
        <v>SBI</v>
      </c>
      <c r="G82" s="93">
        <f>IFERROR(VLOOKUP(A82,'Salary Calculation'!$A$2:$T$999,7,0),"")</f>
        <v>10934.42742</v>
      </c>
      <c r="H82" s="94" t="s">
        <v>1219</v>
      </c>
      <c r="I82" s="46"/>
      <c r="J82" s="46"/>
      <c r="K82" s="46"/>
      <c r="L82" s="46"/>
      <c r="M82" s="46"/>
      <c r="N82" s="46"/>
      <c r="O82" s="46"/>
      <c r="P82" s="46"/>
      <c r="Q82" s="46"/>
      <c r="R82" s="46"/>
      <c r="S82" s="46"/>
      <c r="T82" s="46"/>
      <c r="U82" s="46"/>
      <c r="V82" s="46"/>
      <c r="W82" s="46"/>
      <c r="X82" s="46"/>
      <c r="Y82" s="46"/>
      <c r="Z82" s="46"/>
      <c r="AA82" s="46"/>
      <c r="AB82" s="46"/>
    </row>
    <row r="83" hidden="1">
      <c r="A83" s="90" t="s">
        <v>300</v>
      </c>
      <c r="B83" s="91" t="str">
        <f>IFERROR(VLOOKUP(A83,'Salary Calculation'!A83:F1080,2,0),"")</f>
        <v>January</v>
      </c>
      <c r="C83" s="91" t="str">
        <f>IFERROR(VLOOKUP(A83,'Salary Calculation'!$A$2:$T$999,3,0),"")</f>
        <v>AC 01</v>
      </c>
      <c r="D83" s="91" t="str">
        <f>IFERROR(VLOOKUP(A83,'Salary Calculation'!$A$2:$T$999,6,0),"")</f>
        <v>BHUVANESHWARAN.V</v>
      </c>
      <c r="E83" s="91">
        <f>IFERROR(VLOOKUP(A83,'Salary Calculation'!$A$2:$T$999,8,0),"")</f>
        <v>500101011548924</v>
      </c>
      <c r="F83" s="92" t="str">
        <f>IFERROR(VLOOKUP(C83,'Employees List'!$B$2:H999,6,0),"")</f>
        <v>CUB</v>
      </c>
      <c r="G83" s="93">
        <f>IFERROR(VLOOKUP(A83,'Salary Calculation'!$A$2:$T$999,7,0),"")</f>
        <v>66900</v>
      </c>
      <c r="H83" s="94" t="s">
        <v>1219</v>
      </c>
      <c r="I83" s="46"/>
      <c r="J83" s="46"/>
      <c r="K83" s="46"/>
      <c r="L83" s="46"/>
      <c r="M83" s="46"/>
      <c r="N83" s="46"/>
      <c r="O83" s="46"/>
      <c r="P83" s="46"/>
      <c r="Q83" s="46"/>
      <c r="R83" s="46"/>
      <c r="S83" s="46"/>
      <c r="T83" s="46"/>
      <c r="U83" s="46"/>
      <c r="V83" s="46"/>
      <c r="W83" s="46"/>
      <c r="X83" s="46"/>
      <c r="Y83" s="46"/>
      <c r="Z83" s="46"/>
      <c r="AA83" s="46"/>
      <c r="AB83" s="46"/>
    </row>
    <row r="84" hidden="1">
      <c r="A84" s="90" t="s">
        <v>301</v>
      </c>
      <c r="B84" s="91" t="str">
        <f>IFERROR(VLOOKUP(A84,'Salary Calculation'!A84:F1081,2,0),"")</f>
        <v>January</v>
      </c>
      <c r="C84" s="91" t="str">
        <f>IFERROR(VLOOKUP(A84,'Salary Calculation'!$A$2:$T$999,3,0),"")</f>
        <v>AC 02</v>
      </c>
      <c r="D84" s="91" t="str">
        <f>IFERROR(VLOOKUP(A84,'Salary Calculation'!$A$2:$T$999,6,0),"")</f>
        <v>THIRIPURA SUNDARI.R</v>
      </c>
      <c r="E84" s="91" t="str">
        <f>IFERROR(VLOOKUP(A84,'Salary Calculation'!$A$2:$T$999,8,0),"")</f>
        <v>8131010000016977</v>
      </c>
      <c r="F84" s="92" t="str">
        <f>IFERROR(VLOOKUP(C84,'Employees List'!$B$2:H999,6,0),"")</f>
        <v>DBS</v>
      </c>
      <c r="G84" s="93">
        <f>IFERROR(VLOOKUP(A84,'Salary Calculation'!$A$2:$T$999,7,0),"")</f>
        <v>22033.5</v>
      </c>
      <c r="H84" s="94" t="s">
        <v>1219</v>
      </c>
      <c r="I84" s="46"/>
      <c r="J84" s="46"/>
      <c r="K84" s="46"/>
      <c r="L84" s="46"/>
      <c r="M84" s="46"/>
      <c r="N84" s="46"/>
      <c r="O84" s="46"/>
      <c r="P84" s="46"/>
      <c r="Q84" s="46"/>
      <c r="R84" s="46"/>
      <c r="S84" s="46"/>
      <c r="T84" s="46"/>
      <c r="U84" s="46"/>
      <c r="V84" s="46"/>
      <c r="W84" s="46"/>
      <c r="X84" s="46"/>
      <c r="Y84" s="46"/>
      <c r="Z84" s="46"/>
      <c r="AA84" s="46"/>
      <c r="AB84" s="46"/>
    </row>
    <row r="85" hidden="1">
      <c r="A85" s="90" t="s">
        <v>302</v>
      </c>
      <c r="B85" s="91" t="str">
        <f>IFERROR(VLOOKUP(A85,'Salary Calculation'!A85:F1082,2,0),"")</f>
        <v>January</v>
      </c>
      <c r="C85" s="91" t="str">
        <f>IFERROR(VLOOKUP(A85,'Salary Calculation'!$A$2:$T$999,3,0),"")</f>
        <v>PR 02</v>
      </c>
      <c r="D85" s="91" t="str">
        <f>IFERROR(VLOOKUP(A85,'Salary Calculation'!$A$2:$T$999,6,0),"")</f>
        <v>GANESH</v>
      </c>
      <c r="E85" s="91" t="str">
        <f>IFERROR(VLOOKUP(A85,'Salary Calculation'!$A$2:$T$999,8,0),"")</f>
        <v>8811010012054879</v>
      </c>
      <c r="F85" s="92" t="str">
        <f>IFERROR(VLOOKUP(C85,'Employees List'!$B$2:H999,6,0),"")</f>
        <v>DBS</v>
      </c>
      <c r="G85" s="93">
        <f>IFERROR(VLOOKUP(A85,'Salary Calculation'!$A$2:$T$999,7,0),"")</f>
        <v>5587.25252</v>
      </c>
      <c r="H85" s="94" t="s">
        <v>1219</v>
      </c>
      <c r="I85" s="46"/>
      <c r="J85" s="46"/>
      <c r="K85" s="46"/>
      <c r="L85" s="46"/>
      <c r="M85" s="46"/>
      <c r="N85" s="46"/>
      <c r="O85" s="46"/>
      <c r="P85" s="46"/>
      <c r="Q85" s="46"/>
      <c r="R85" s="46"/>
      <c r="S85" s="46"/>
      <c r="T85" s="46"/>
      <c r="U85" s="46"/>
      <c r="V85" s="46"/>
      <c r="W85" s="46"/>
      <c r="X85" s="46"/>
      <c r="Y85" s="46"/>
      <c r="Z85" s="46"/>
      <c r="AA85" s="46"/>
      <c r="AB85" s="46"/>
    </row>
    <row r="86" hidden="1">
      <c r="A86" s="90" t="s">
        <v>303</v>
      </c>
      <c r="B86" s="91" t="str">
        <f>IFERROR(VLOOKUP(A86,'Salary Calculation'!A86:F1083,2,0),"")</f>
        <v>January</v>
      </c>
      <c r="C86" s="91" t="str">
        <f>IFERROR(VLOOKUP(A86,'Salary Calculation'!$A$2:$T$999,3,0),"")</f>
        <v>PR 01</v>
      </c>
      <c r="D86" s="91" t="str">
        <f>IFERROR(VLOOKUP(A86,'Salary Calculation'!$A$2:$T$999,6,0),"")</f>
        <v>VASANTHA.E</v>
      </c>
      <c r="E86" s="91" t="str">
        <f>IFERROR(VLOOKUP(A86,'Salary Calculation'!$A$2:$T$999,8,0),"")</f>
        <v>8131010000016959</v>
      </c>
      <c r="F86" s="92" t="str">
        <f>IFERROR(VLOOKUP(C86,'Employees List'!$B$2:H999,6,0),"")</f>
        <v>DBS</v>
      </c>
      <c r="G86" s="93">
        <f>IFERROR(VLOOKUP(A86,'Salary Calculation'!$A$2:$T$999,7,0),"")</f>
        <v>14721.81653</v>
      </c>
      <c r="H86" s="94" t="s">
        <v>1219</v>
      </c>
      <c r="I86" s="46"/>
      <c r="J86" s="46"/>
      <c r="K86" s="46"/>
      <c r="L86" s="46"/>
      <c r="M86" s="46"/>
      <c r="N86" s="46"/>
      <c r="O86" s="46"/>
      <c r="P86" s="46"/>
      <c r="Q86" s="46"/>
      <c r="R86" s="46"/>
      <c r="S86" s="46"/>
      <c r="T86" s="46"/>
      <c r="U86" s="46"/>
      <c r="V86" s="46"/>
      <c r="W86" s="46"/>
      <c r="X86" s="46"/>
      <c r="Y86" s="46"/>
      <c r="Z86" s="46"/>
      <c r="AA86" s="46"/>
      <c r="AB86" s="46"/>
    </row>
    <row r="87" hidden="1">
      <c r="A87" s="90" t="s">
        <v>304</v>
      </c>
      <c r="B87" s="91" t="str">
        <f>IFERROR(VLOOKUP(A87,'Salary Calculation'!A87:F1084,2,0),"")</f>
        <v>January</v>
      </c>
      <c r="C87" s="91" t="str">
        <f>IFERROR(VLOOKUP(A87,'Salary Calculation'!$A$2:$T$999,3,0),"")</f>
        <v>PR 05</v>
      </c>
      <c r="D87" s="91" t="str">
        <f>IFERROR(VLOOKUP(A87,'Salary Calculation'!$A$2:$T$999,6,0),"")</f>
        <v>SANJAY BAGARTTI.K</v>
      </c>
      <c r="E87" s="91" t="str">
        <f>IFERROR(VLOOKUP(A87,'Salary Calculation'!$A$2:$T$999,8,0),"")</f>
        <v>8131010000021225</v>
      </c>
      <c r="F87" s="92" t="str">
        <f>IFERROR(VLOOKUP(C87,'Employees List'!$B$2:H999,6,0),"")</f>
        <v>DBS</v>
      </c>
      <c r="G87" s="93">
        <f>IFERROR(VLOOKUP(A87,'Salary Calculation'!$A$2:$T$999,7,0),"")</f>
        <v>11814.35181</v>
      </c>
      <c r="H87" s="94" t="s">
        <v>1219</v>
      </c>
      <c r="I87" s="46"/>
      <c r="J87" s="46"/>
      <c r="K87" s="46"/>
      <c r="L87" s="46"/>
      <c r="M87" s="46"/>
      <c r="N87" s="46"/>
      <c r="O87" s="46"/>
      <c r="P87" s="46"/>
      <c r="Q87" s="46"/>
      <c r="R87" s="46"/>
      <c r="S87" s="46"/>
      <c r="T87" s="46"/>
      <c r="U87" s="46"/>
      <c r="V87" s="46"/>
      <c r="W87" s="46"/>
      <c r="X87" s="46"/>
      <c r="Y87" s="46"/>
      <c r="Z87" s="46"/>
      <c r="AA87" s="46"/>
      <c r="AB87" s="46"/>
    </row>
    <row r="88" hidden="1">
      <c r="A88" s="90" t="s">
        <v>305</v>
      </c>
      <c r="B88" s="91" t="str">
        <f>IFERROR(VLOOKUP(A88,'Salary Calculation'!A88:F1085,2,0),"")</f>
        <v>January</v>
      </c>
      <c r="C88" s="91" t="str">
        <f>IFERROR(VLOOKUP(A88,'Salary Calculation'!$A$2:$T$999,3,0),"")</f>
        <v>PR 07</v>
      </c>
      <c r="D88" s="91" t="str">
        <f>IFERROR(VLOOKUP(A88,'Salary Calculation'!$A$2:$T$999,6,0),"")</f>
        <v>AMMU.S</v>
      </c>
      <c r="E88" s="91">
        <f>IFERROR(VLOOKUP(A88,'Salary Calculation'!$A$2:$T$999,8,0),"")</f>
        <v>65801000040238</v>
      </c>
      <c r="F88" s="92" t="str">
        <f>IFERROR(VLOOKUP(C88,'Employees List'!$B$2:H999,6,0),"")</f>
        <v>IOB</v>
      </c>
      <c r="G88" s="93">
        <f>IFERROR(VLOOKUP(A88,'Salary Calculation'!$A$2:$T$999,7,0),"")</f>
        <v>10111.49395</v>
      </c>
      <c r="H88" s="94" t="s">
        <v>1219</v>
      </c>
      <c r="I88" s="46"/>
      <c r="J88" s="46"/>
      <c r="K88" s="46"/>
      <c r="L88" s="46"/>
      <c r="M88" s="46"/>
      <c r="N88" s="46"/>
      <c r="O88" s="46"/>
      <c r="P88" s="46"/>
      <c r="Q88" s="46"/>
      <c r="R88" s="46"/>
      <c r="S88" s="46"/>
      <c r="T88" s="46"/>
      <c r="U88" s="46"/>
      <c r="V88" s="46"/>
      <c r="W88" s="46"/>
      <c r="X88" s="46"/>
      <c r="Y88" s="46"/>
      <c r="Z88" s="46"/>
      <c r="AA88" s="46"/>
      <c r="AB88" s="46"/>
    </row>
    <row r="89" hidden="1">
      <c r="A89" s="90" t="s">
        <v>306</v>
      </c>
      <c r="B89" s="91" t="str">
        <f>IFERROR(VLOOKUP(A89,'Salary Calculation'!A89:F1086,2,0),"")</f>
        <v>January</v>
      </c>
      <c r="C89" s="91" t="str">
        <f>IFERROR(VLOOKUP(A89,'Salary Calculation'!$A$2:$T$999,3,0),"")</f>
        <v>PR 08</v>
      </c>
      <c r="D89" s="91" t="str">
        <f>IFERROR(VLOOKUP(A89,'Salary Calculation'!$A$2:$T$999,6,0),"")</f>
        <v>REVATHI.S</v>
      </c>
      <c r="E89" s="91" t="str">
        <f>IFERROR(VLOOKUP(A89,'Salary Calculation'!$A$2:$T$999,8,0),"")</f>
        <v>8131010000016995</v>
      </c>
      <c r="F89" s="92" t="str">
        <f>IFERROR(VLOOKUP(C89,'Employees List'!$B$2:H999,6,0),"")</f>
        <v>DBS</v>
      </c>
      <c r="G89" s="93">
        <f>IFERROR(VLOOKUP(A89,'Salary Calculation'!$A$2:$T$999,7,0),"")</f>
        <v>9250.05998</v>
      </c>
      <c r="H89" s="94" t="s">
        <v>1219</v>
      </c>
      <c r="I89" s="46"/>
      <c r="J89" s="46"/>
      <c r="K89" s="46"/>
      <c r="L89" s="46"/>
      <c r="M89" s="46"/>
      <c r="N89" s="46"/>
      <c r="O89" s="46"/>
      <c r="P89" s="46"/>
      <c r="Q89" s="46"/>
      <c r="R89" s="46"/>
      <c r="S89" s="46"/>
      <c r="T89" s="46"/>
      <c r="U89" s="46"/>
      <c r="V89" s="46"/>
      <c r="W89" s="46"/>
      <c r="X89" s="46"/>
      <c r="Y89" s="46"/>
      <c r="Z89" s="46"/>
      <c r="AA89" s="46"/>
      <c r="AB89" s="46"/>
    </row>
    <row r="90" hidden="1">
      <c r="A90" s="90" t="s">
        <v>307</v>
      </c>
      <c r="B90" s="91" t="str">
        <f>IFERROR(VLOOKUP(A90,'Salary Calculation'!A90:F1087,2,0),"")</f>
        <v>January</v>
      </c>
      <c r="C90" s="91" t="str">
        <f>IFERROR(VLOOKUP(A90,'Salary Calculation'!$A$2:$T$999,3,0),"")</f>
        <v>AC 03</v>
      </c>
      <c r="D90" s="91" t="str">
        <f>IFERROR(VLOOKUP(A90,'Salary Calculation'!$A$2:$T$999,6,0),"")</f>
        <v>LEELAVATHI.M</v>
      </c>
      <c r="E90" s="91" t="str">
        <f>IFERROR(VLOOKUP(A90,'Salary Calculation'!$A$2:$T$999,8,0),"")</f>
        <v>8387010000017745</v>
      </c>
      <c r="F90" s="92" t="str">
        <f>IFERROR(VLOOKUP(C90,'Employees List'!$B$2:H999,6,0),"")</f>
        <v>DBS</v>
      </c>
      <c r="G90" s="93">
        <f>IFERROR(VLOOKUP(A90,'Salary Calculation'!$A$2:$T$999,7,0),"")</f>
        <v>16032.87702</v>
      </c>
      <c r="H90" s="94" t="s">
        <v>1219</v>
      </c>
      <c r="I90" s="46"/>
      <c r="J90" s="46"/>
      <c r="K90" s="46"/>
      <c r="L90" s="46"/>
      <c r="M90" s="46"/>
      <c r="N90" s="46"/>
      <c r="O90" s="46"/>
      <c r="P90" s="46"/>
      <c r="Q90" s="46"/>
      <c r="R90" s="46"/>
      <c r="S90" s="46"/>
      <c r="T90" s="46"/>
      <c r="U90" s="46"/>
      <c r="V90" s="46"/>
      <c r="W90" s="46"/>
      <c r="X90" s="46"/>
      <c r="Y90" s="46"/>
      <c r="Z90" s="46"/>
      <c r="AA90" s="46"/>
      <c r="AB90" s="46"/>
    </row>
    <row r="91" hidden="1">
      <c r="A91" s="90" t="s">
        <v>308</v>
      </c>
      <c r="B91" s="91" t="str">
        <f>IFERROR(VLOOKUP(A91,'Salary Calculation'!A91:F1088,2,0),"")</f>
        <v>January</v>
      </c>
      <c r="C91" s="91" t="str">
        <f>IFERROR(VLOOKUP(A91,'Salary Calculation'!$A$2:$T$999,3,0),"")</f>
        <v>PR 03</v>
      </c>
      <c r="D91" s="91" t="str">
        <f>IFERROR(VLOOKUP(A91,'Salary Calculation'!$A$2:$T$999,6,0),"")</f>
        <v>ADHIKARI BALIA.A</v>
      </c>
      <c r="E91" s="91" t="str">
        <f>IFERROR(VLOOKUP(A91,'Salary Calculation'!$A$2:$T$999,8,0),"")</f>
        <v>8131010000018948</v>
      </c>
      <c r="F91" s="92" t="str">
        <f>IFERROR(VLOOKUP(C91,'Employees List'!$B$2:H999,6,0),"")</f>
        <v>DBS</v>
      </c>
      <c r="G91" s="93">
        <f>IFERROR(VLOOKUP(A91,'Salary Calculation'!$A$2:$T$999,7,0),"")</f>
        <v>6906.902218</v>
      </c>
      <c r="H91" s="94" t="s">
        <v>1219</v>
      </c>
      <c r="I91" s="46"/>
      <c r="J91" s="46"/>
      <c r="K91" s="46"/>
      <c r="L91" s="46"/>
      <c r="M91" s="46"/>
      <c r="N91" s="46"/>
      <c r="O91" s="46"/>
      <c r="P91" s="46"/>
      <c r="Q91" s="46"/>
      <c r="R91" s="46"/>
      <c r="S91" s="46"/>
      <c r="T91" s="46"/>
      <c r="U91" s="46"/>
      <c r="V91" s="46"/>
      <c r="W91" s="46"/>
      <c r="X91" s="46"/>
      <c r="Y91" s="46"/>
      <c r="Z91" s="46"/>
      <c r="AA91" s="46"/>
      <c r="AB91" s="46"/>
    </row>
    <row r="92" hidden="1">
      <c r="A92" s="90" t="s">
        <v>309</v>
      </c>
      <c r="B92" s="91" t="str">
        <f>IFERROR(VLOOKUP(A92,'Salary Calculation'!A92:F1089,2,0),"")</f>
        <v>January</v>
      </c>
      <c r="C92" s="91" t="str">
        <f>IFERROR(VLOOKUP(A92,'Salary Calculation'!$A$2:$T$999,3,0),"")</f>
        <v>PR 27</v>
      </c>
      <c r="D92" s="91" t="str">
        <f>IFERROR(VLOOKUP(A92,'Salary Calculation'!$A$2:$T$999,6,0),"")</f>
        <v>PARSHU BAGH</v>
      </c>
      <c r="E92" s="91">
        <f>IFERROR(VLOOKUP(A92,'Salary Calculation'!$A$2:$T$999,8,0),"")</f>
        <v>40653547928</v>
      </c>
      <c r="F92" s="92" t="str">
        <f>IFERROR(VLOOKUP(C92,'Employees List'!$B$2:H999,6,0),"")</f>
        <v>SBI</v>
      </c>
      <c r="G92" s="93">
        <f>IFERROR(VLOOKUP(A92,'Salary Calculation'!$A$2:$T$999,7,0),"")</f>
        <v>10204.54839</v>
      </c>
      <c r="H92" s="94" t="s">
        <v>1219</v>
      </c>
      <c r="I92" s="46"/>
      <c r="J92" s="46"/>
      <c r="K92" s="46"/>
      <c r="L92" s="46"/>
      <c r="M92" s="46"/>
      <c r="N92" s="46"/>
      <c r="O92" s="46"/>
      <c r="P92" s="46"/>
      <c r="Q92" s="46"/>
      <c r="R92" s="46"/>
      <c r="S92" s="46"/>
      <c r="T92" s="46"/>
      <c r="U92" s="46"/>
      <c r="V92" s="46"/>
      <c r="W92" s="46"/>
      <c r="X92" s="46"/>
      <c r="Y92" s="46"/>
      <c r="Z92" s="46"/>
      <c r="AA92" s="46"/>
      <c r="AB92" s="46"/>
    </row>
    <row r="93" hidden="1">
      <c r="A93" s="90" t="s">
        <v>310</v>
      </c>
      <c r="B93" s="91" t="str">
        <f>IFERROR(VLOOKUP(A93,'Salary Calculation'!A93:F1090,2,0),"")</f>
        <v>January</v>
      </c>
      <c r="C93" s="91" t="str">
        <f>IFERROR(VLOOKUP(A93,'Salary Calculation'!$A$2:$T$999,3,0),"")</f>
        <v>PR 24</v>
      </c>
      <c r="D93" s="91" t="str">
        <f>IFERROR(VLOOKUP(A93,'Salary Calculation'!$A$2:$T$999,6,0),"")</f>
        <v>NILAMANI KISAN.B</v>
      </c>
      <c r="E93" s="91">
        <f>IFERROR(VLOOKUP(A93,'Salary Calculation'!$A$2:$T$999,8,0),"")</f>
        <v>38254473147</v>
      </c>
      <c r="F93" s="92" t="str">
        <f>IFERROR(VLOOKUP(C93,'Employees List'!$B$2:H999,6,0),"")</f>
        <v>SBI</v>
      </c>
      <c r="G93" s="93">
        <f>IFERROR(VLOOKUP(A93,'Salary Calculation'!$A$2:$T$999,7,0),"")</f>
        <v>4418.225806</v>
      </c>
      <c r="H93" s="94" t="s">
        <v>1219</v>
      </c>
      <c r="I93" s="46"/>
      <c r="J93" s="46"/>
      <c r="K93" s="46"/>
      <c r="L93" s="46"/>
      <c r="M93" s="46"/>
      <c r="N93" s="46"/>
      <c r="O93" s="46"/>
      <c r="P93" s="46"/>
      <c r="Q93" s="46"/>
      <c r="R93" s="46"/>
      <c r="S93" s="46"/>
      <c r="T93" s="46"/>
      <c r="U93" s="46"/>
      <c r="V93" s="46"/>
      <c r="W93" s="46"/>
      <c r="X93" s="46"/>
      <c r="Y93" s="46"/>
      <c r="Z93" s="46"/>
      <c r="AA93" s="46"/>
      <c r="AB93" s="46"/>
    </row>
    <row r="94">
      <c r="A94" s="90" t="s">
        <v>311</v>
      </c>
      <c r="B94" s="91" t="str">
        <f>IFERROR(VLOOKUP(A94,'Salary Calculation'!A94:F1091,2,0),"")</f>
        <v>February</v>
      </c>
      <c r="C94" s="91" t="str">
        <f>IFERROR(VLOOKUP(A94,'Salary Calculation'!$A$2:$T$999,3,0),"")</f>
        <v>AC 01</v>
      </c>
      <c r="D94" s="91" t="str">
        <f>IFERROR(VLOOKUP(A94,'Salary Calculation'!$A$2:$T$999,6,0),"")</f>
        <v>BHUVANESHWARAN.V</v>
      </c>
      <c r="E94" s="91">
        <f>IFERROR(VLOOKUP(A94,'Salary Calculation'!$A$2:$T$999,8,0),"")</f>
        <v>500101011548924</v>
      </c>
      <c r="F94" s="92" t="str">
        <f>IFERROR(VLOOKUP(C94,'Employees List'!$B$2:H999,6,0),"")</f>
        <v>CUB</v>
      </c>
      <c r="G94" s="93">
        <f>IFERROR(VLOOKUP(A94,'Salary Calculation'!$A$2:$T$999,7,0),"")</f>
        <v>66900</v>
      </c>
      <c r="H94" s="94" t="s">
        <v>1219</v>
      </c>
      <c r="I94" s="46"/>
      <c r="J94" s="46"/>
      <c r="K94" s="46"/>
      <c r="L94" s="46"/>
      <c r="M94" s="46"/>
      <c r="N94" s="46"/>
      <c r="O94" s="46"/>
      <c r="P94" s="46"/>
      <c r="Q94" s="46"/>
      <c r="R94" s="46"/>
      <c r="S94" s="46"/>
      <c r="T94" s="46"/>
      <c r="U94" s="46"/>
      <c r="V94" s="46"/>
      <c r="W94" s="46"/>
      <c r="X94" s="46"/>
      <c r="Y94" s="46"/>
      <c r="Z94" s="46"/>
      <c r="AA94" s="46"/>
      <c r="AB94" s="46"/>
    </row>
    <row r="95">
      <c r="A95" s="90" t="s">
        <v>312</v>
      </c>
      <c r="B95" s="91" t="str">
        <f>IFERROR(VLOOKUP(A95,'Salary Calculation'!A95:F1092,2,0),"")</f>
        <v>February</v>
      </c>
      <c r="C95" s="91" t="str">
        <f>IFERROR(VLOOKUP(A95,'Salary Calculation'!$A$2:$T$999,3,0),"")</f>
        <v>AC 02</v>
      </c>
      <c r="D95" s="91" t="str">
        <f>IFERROR(VLOOKUP(A95,'Salary Calculation'!$A$2:$T$999,6,0),"")</f>
        <v>THIRIPURA SUNDARI.R</v>
      </c>
      <c r="E95" s="91" t="str">
        <f>IFERROR(VLOOKUP(A95,'Salary Calculation'!$A$2:$T$999,8,0),"")</f>
        <v>8131010000016977</v>
      </c>
      <c r="F95" s="92" t="str">
        <f>IFERROR(VLOOKUP(C95,'Employees List'!$B$2:H999,6,0),"")</f>
        <v>DBS</v>
      </c>
      <c r="G95" s="93">
        <f>IFERROR(VLOOKUP(A95,'Salary Calculation'!$A$2:$T$999,7,0),"")</f>
        <v>22033.5</v>
      </c>
      <c r="H95" s="94" t="s">
        <v>1219</v>
      </c>
      <c r="I95" s="46"/>
      <c r="J95" s="46"/>
      <c r="K95" s="46"/>
      <c r="L95" s="46"/>
      <c r="M95" s="46"/>
      <c r="N95" s="46"/>
      <c r="O95" s="46"/>
      <c r="P95" s="46"/>
      <c r="Q95" s="46"/>
      <c r="R95" s="46"/>
      <c r="S95" s="46"/>
      <c r="T95" s="46"/>
      <c r="U95" s="46"/>
      <c r="V95" s="46"/>
      <c r="W95" s="46"/>
      <c r="X95" s="46"/>
      <c r="Y95" s="46"/>
      <c r="Z95" s="46"/>
      <c r="AA95" s="46"/>
      <c r="AB95" s="46"/>
    </row>
    <row r="96">
      <c r="A96" s="90" t="s">
        <v>313</v>
      </c>
      <c r="B96" s="91" t="str">
        <f>IFERROR(VLOOKUP(A96,'Salary Calculation'!A96:F1093,2,0),"")</f>
        <v>February</v>
      </c>
      <c r="C96" s="91" t="str">
        <f>IFERROR(VLOOKUP(A96,'Salary Calculation'!$A$2:$T$999,3,0),"")</f>
        <v>PR 02</v>
      </c>
      <c r="D96" s="91" t="str">
        <f>IFERROR(VLOOKUP(A96,'Salary Calculation'!$A$2:$T$999,6,0),"")</f>
        <v>GANESH</v>
      </c>
      <c r="E96" s="91" t="str">
        <f>IFERROR(VLOOKUP(A96,'Salary Calculation'!$A$2:$T$999,8,0),"")</f>
        <v>8811010012054879</v>
      </c>
      <c r="F96" s="92" t="str">
        <f>IFERROR(VLOOKUP(C96,'Employees List'!$B$2:H999,6,0),"")</f>
        <v>DBS</v>
      </c>
      <c r="G96" s="93">
        <f>IFERROR(VLOOKUP(A96,'Salary Calculation'!$A$2:$T$999,7,0),"")</f>
        <v>14270.94001</v>
      </c>
      <c r="H96" s="94" t="s">
        <v>1219</v>
      </c>
      <c r="I96" s="46"/>
      <c r="J96" s="46"/>
      <c r="K96" s="46"/>
      <c r="L96" s="46"/>
      <c r="M96" s="46"/>
      <c r="N96" s="46"/>
      <c r="O96" s="46"/>
      <c r="P96" s="46"/>
      <c r="Q96" s="46"/>
      <c r="R96" s="46"/>
      <c r="S96" s="46"/>
      <c r="T96" s="46"/>
      <c r="U96" s="46"/>
      <c r="V96" s="46"/>
      <c r="W96" s="46"/>
      <c r="X96" s="46"/>
      <c r="Y96" s="46"/>
      <c r="Z96" s="46"/>
      <c r="AA96" s="46"/>
      <c r="AB96" s="46"/>
    </row>
    <row r="97">
      <c r="A97" s="90" t="s">
        <v>314</v>
      </c>
      <c r="B97" s="91" t="str">
        <f>IFERROR(VLOOKUP(A97,'Salary Calculation'!A97:F1094,2,0),"")</f>
        <v>February</v>
      </c>
      <c r="C97" s="91" t="str">
        <f>IFERROR(VLOOKUP(A97,'Salary Calculation'!$A$2:$T$999,3,0),"")</f>
        <v>PR 01</v>
      </c>
      <c r="D97" s="91" t="str">
        <f>IFERROR(VLOOKUP(A97,'Salary Calculation'!$A$2:$T$999,6,0),"")</f>
        <v>VASANTHA.E</v>
      </c>
      <c r="E97" s="91" t="str">
        <f>IFERROR(VLOOKUP(A97,'Salary Calculation'!$A$2:$T$999,8,0),"")</f>
        <v>8131010000016959</v>
      </c>
      <c r="F97" s="92" t="str">
        <f>IFERROR(VLOOKUP(C97,'Employees List'!$B$2:H999,6,0),"")</f>
        <v>DBS</v>
      </c>
      <c r="G97" s="93">
        <f>IFERROR(VLOOKUP(A97,'Salary Calculation'!$A$2:$T$999,7,0),"")</f>
        <v>13312.01702</v>
      </c>
      <c r="H97" s="94" t="s">
        <v>1219</v>
      </c>
      <c r="I97" s="46"/>
      <c r="J97" s="46"/>
      <c r="K97" s="46"/>
      <c r="L97" s="46"/>
      <c r="M97" s="46"/>
      <c r="N97" s="46"/>
      <c r="O97" s="46"/>
      <c r="P97" s="46"/>
      <c r="Q97" s="46"/>
      <c r="R97" s="46"/>
      <c r="S97" s="46"/>
      <c r="T97" s="46"/>
      <c r="U97" s="46"/>
      <c r="V97" s="46"/>
      <c r="W97" s="46"/>
      <c r="X97" s="46"/>
      <c r="Y97" s="46"/>
      <c r="Z97" s="46"/>
      <c r="AA97" s="46"/>
      <c r="AB97" s="46"/>
    </row>
    <row r="98">
      <c r="A98" s="90" t="s">
        <v>315</v>
      </c>
      <c r="B98" s="91" t="str">
        <f>IFERROR(VLOOKUP(A98,'Salary Calculation'!A98:F1095,2,0),"")</f>
        <v>February</v>
      </c>
      <c r="C98" s="91" t="str">
        <f>IFERROR(VLOOKUP(A98,'Salary Calculation'!$A$2:$T$999,3,0),"")</f>
        <v>PR 05</v>
      </c>
      <c r="D98" s="91" t="str">
        <f>IFERROR(VLOOKUP(A98,'Salary Calculation'!$A$2:$T$999,6,0),"")</f>
        <v>SANJAY BAGARTTI.K</v>
      </c>
      <c r="E98" s="91" t="str">
        <f>IFERROR(VLOOKUP(A98,'Salary Calculation'!$A$2:$T$999,8,0),"")</f>
        <v>8131010000021225</v>
      </c>
      <c r="F98" s="92" t="str">
        <f>IFERROR(VLOOKUP(C98,'Employees List'!$B$2:H999,6,0),"")</f>
        <v>DBS</v>
      </c>
      <c r="G98" s="93">
        <f>IFERROR(VLOOKUP(A98,'Salary Calculation'!$A$2:$T$999,7,0),"")</f>
        <v>16258.16908</v>
      </c>
      <c r="H98" s="94" t="s">
        <v>1219</v>
      </c>
      <c r="I98" s="46"/>
      <c r="J98" s="46"/>
      <c r="K98" s="48"/>
      <c r="L98" s="48"/>
      <c r="M98" s="46"/>
      <c r="N98" s="46"/>
      <c r="O98" s="46"/>
      <c r="P98" s="46"/>
      <c r="Q98" s="46"/>
      <c r="R98" s="46"/>
      <c r="S98" s="46"/>
      <c r="T98" s="46"/>
      <c r="U98" s="46"/>
      <c r="V98" s="46"/>
      <c r="W98" s="46"/>
      <c r="X98" s="46"/>
      <c r="Y98" s="46"/>
      <c r="Z98" s="46"/>
      <c r="AA98" s="46"/>
      <c r="AB98" s="46"/>
    </row>
    <row r="99">
      <c r="A99" s="90" t="s">
        <v>316</v>
      </c>
      <c r="B99" s="91" t="str">
        <f>IFERROR(VLOOKUP(A99,'Salary Calculation'!A99:F1096,2,0),"")</f>
        <v>February</v>
      </c>
      <c r="C99" s="91" t="str">
        <f>IFERROR(VLOOKUP(A99,'Salary Calculation'!$A$2:$T$999,3,0),"")</f>
        <v>PR 07</v>
      </c>
      <c r="D99" s="91" t="str">
        <f>IFERROR(VLOOKUP(A99,'Salary Calculation'!$A$2:$T$999,6,0),"")</f>
        <v>AMMU.S</v>
      </c>
      <c r="E99" s="91">
        <f>IFERROR(VLOOKUP(A99,'Salary Calculation'!$A$2:$T$999,8,0),"")</f>
        <v>65801000040238</v>
      </c>
      <c r="F99" s="92" t="str">
        <f>IFERROR(VLOOKUP(C99,'Employees List'!$B$2:H999,6,0),"")</f>
        <v>IOB</v>
      </c>
      <c r="G99" s="93">
        <f>IFERROR(VLOOKUP(A99,'Salary Calculation'!$A$2:$T$999,7,0),"")</f>
        <v>11454.07031</v>
      </c>
      <c r="H99" s="94" t="s">
        <v>1219</v>
      </c>
      <c r="I99" s="46"/>
      <c r="J99" s="46"/>
      <c r="K99" s="46"/>
      <c r="L99" s="46"/>
      <c r="M99" s="46"/>
      <c r="N99" s="46"/>
      <c r="O99" s="46"/>
      <c r="P99" s="46"/>
      <c r="Q99" s="46"/>
      <c r="R99" s="46"/>
      <c r="S99" s="46"/>
      <c r="T99" s="46"/>
      <c r="U99" s="46"/>
      <c r="V99" s="46"/>
      <c r="W99" s="46"/>
      <c r="X99" s="46"/>
      <c r="Y99" s="46"/>
      <c r="Z99" s="46"/>
      <c r="AA99" s="46"/>
      <c r="AB99" s="46"/>
    </row>
    <row r="100">
      <c r="A100" s="90" t="s">
        <v>317</v>
      </c>
      <c r="B100" s="91" t="str">
        <f>IFERROR(VLOOKUP(A100,'Salary Calculation'!A100:F1097,2,0),"")</f>
        <v>February</v>
      </c>
      <c r="C100" s="91" t="str">
        <f>IFERROR(VLOOKUP(A100,'Salary Calculation'!$A$2:$T$999,3,0),"")</f>
        <v>PR 08</v>
      </c>
      <c r="D100" s="91" t="str">
        <f>IFERROR(VLOOKUP(A100,'Salary Calculation'!$A$2:$T$999,6,0),"")</f>
        <v>REVATHI.S</v>
      </c>
      <c r="E100" s="91" t="str">
        <f>IFERROR(VLOOKUP(A100,'Salary Calculation'!$A$2:$T$999,8,0),"")</f>
        <v>8131010000016995</v>
      </c>
      <c r="F100" s="92" t="str">
        <f>IFERROR(VLOOKUP(C100,'Employees List'!$B$2:H999,6,0),"")</f>
        <v>DBS</v>
      </c>
      <c r="G100" s="93">
        <f>IFERROR(VLOOKUP(A100,'Salary Calculation'!$A$2:$T$999,7,0),"")</f>
        <v>9590.882813</v>
      </c>
      <c r="H100" s="94" t="s">
        <v>1219</v>
      </c>
      <c r="I100" s="46"/>
      <c r="J100" s="46"/>
      <c r="K100" s="46"/>
      <c r="L100" s="46"/>
      <c r="M100" s="46"/>
      <c r="N100" s="46"/>
      <c r="O100" s="46"/>
      <c r="P100" s="46"/>
      <c r="Q100" s="46"/>
      <c r="R100" s="46"/>
      <c r="S100" s="46"/>
      <c r="T100" s="46"/>
      <c r="U100" s="46"/>
      <c r="V100" s="46"/>
      <c r="W100" s="46"/>
      <c r="X100" s="46"/>
      <c r="Y100" s="46"/>
      <c r="Z100" s="46"/>
      <c r="AA100" s="46"/>
      <c r="AB100" s="46"/>
    </row>
    <row r="101">
      <c r="A101" s="90" t="s">
        <v>318</v>
      </c>
      <c r="B101" s="91" t="str">
        <f>IFERROR(VLOOKUP(A101,'Salary Calculation'!A101:F1098,2,0),"")</f>
        <v>February</v>
      </c>
      <c r="C101" s="91" t="str">
        <f>IFERROR(VLOOKUP(A101,'Salary Calculation'!$A$2:$T$999,3,0),"")</f>
        <v>AC 03</v>
      </c>
      <c r="D101" s="91" t="str">
        <f>IFERROR(VLOOKUP(A101,'Salary Calculation'!$A$2:$T$999,6,0),"")</f>
        <v>LEELAVATHI.M</v>
      </c>
      <c r="E101" s="91" t="str">
        <f>IFERROR(VLOOKUP(A101,'Salary Calculation'!$A$2:$T$999,8,0),"")</f>
        <v>8387010000017745</v>
      </c>
      <c r="F101" s="92" t="str">
        <f>IFERROR(VLOOKUP(C101,'Employees List'!$B$2:H999,6,0),"")</f>
        <v>DBS</v>
      </c>
      <c r="G101" s="93">
        <f>IFERROR(VLOOKUP(A101,'Salary Calculation'!$A$2:$T$999,7,0),"")</f>
        <v>16199.46094</v>
      </c>
      <c r="H101" s="94" t="s">
        <v>1219</v>
      </c>
      <c r="I101" s="46"/>
      <c r="J101" s="46"/>
      <c r="K101" s="46"/>
      <c r="L101" s="46"/>
      <c r="M101" s="46"/>
      <c r="N101" s="46"/>
      <c r="O101" s="46"/>
      <c r="P101" s="46"/>
      <c r="Q101" s="46"/>
      <c r="R101" s="46"/>
      <c r="S101" s="46"/>
      <c r="T101" s="46"/>
      <c r="U101" s="46"/>
      <c r="V101" s="46"/>
      <c r="W101" s="46"/>
      <c r="X101" s="46"/>
      <c r="Y101" s="46"/>
      <c r="Z101" s="46"/>
      <c r="AA101" s="46"/>
      <c r="AB101" s="46"/>
    </row>
    <row r="102">
      <c r="A102" s="90" t="s">
        <v>319</v>
      </c>
      <c r="B102" s="91" t="str">
        <f>IFERROR(VLOOKUP(A102,'Salary Calculation'!A102:F1099,2,0),"")</f>
        <v>February</v>
      </c>
      <c r="C102" s="91" t="str">
        <f>IFERROR(VLOOKUP(A102,'Salary Calculation'!$A$2:$T$999,3,0),"")</f>
        <v>PR 03</v>
      </c>
      <c r="D102" s="91" t="str">
        <f>IFERROR(VLOOKUP(A102,'Salary Calculation'!$A$2:$T$999,6,0),"")</f>
        <v>ADHIKARI BALIA.A</v>
      </c>
      <c r="E102" s="91" t="str">
        <f>IFERROR(VLOOKUP(A102,'Salary Calculation'!$A$2:$T$999,8,0),"")</f>
        <v>8131010000018948</v>
      </c>
      <c r="F102" s="92" t="str">
        <f>IFERROR(VLOOKUP(C102,'Employees List'!$B$2:H999,6,0),"")</f>
        <v>DBS</v>
      </c>
      <c r="G102" s="93">
        <f>IFERROR(VLOOKUP(A102,'Salary Calculation'!$A$2:$T$999,7,0),"")</f>
        <v>17368.59319</v>
      </c>
      <c r="H102" s="94" t="s">
        <v>1219</v>
      </c>
      <c r="I102" s="46"/>
      <c r="J102" s="46"/>
      <c r="K102" s="46"/>
      <c r="L102" s="46"/>
      <c r="M102" s="46"/>
      <c r="N102" s="46"/>
      <c r="O102" s="46"/>
      <c r="P102" s="46"/>
      <c r="Q102" s="46"/>
      <c r="R102" s="46"/>
      <c r="S102" s="46"/>
      <c r="T102" s="46"/>
      <c r="U102" s="46"/>
      <c r="V102" s="46"/>
      <c r="W102" s="46"/>
      <c r="X102" s="46"/>
      <c r="Y102" s="46"/>
      <c r="Z102" s="46"/>
      <c r="AA102" s="46"/>
      <c r="AB102" s="46"/>
    </row>
    <row r="103">
      <c r="A103" s="90" t="s">
        <v>320</v>
      </c>
      <c r="B103" s="91" t="str">
        <f>IFERROR(VLOOKUP(A103,'Salary Calculation'!A103:F1100,2,0),"")</f>
        <v>February</v>
      </c>
      <c r="C103" s="91" t="str">
        <f>IFERROR(VLOOKUP(A103,'Salary Calculation'!$A$2:$T$999,3,0),"")</f>
        <v>PR 27</v>
      </c>
      <c r="D103" s="91" t="str">
        <f>IFERROR(VLOOKUP(A103,'Salary Calculation'!$A$2:$T$999,6,0),"")</f>
        <v>PARSHU BAGH</v>
      </c>
      <c r="E103" s="91">
        <f>IFERROR(VLOOKUP(A103,'Salary Calculation'!$A$2:$T$999,8,0),"")</f>
        <v>40653547928</v>
      </c>
      <c r="F103" s="92" t="str">
        <f>IFERROR(VLOOKUP(C103,'Employees List'!$B$2:H999,6,0),"")</f>
        <v>SBI</v>
      </c>
      <c r="G103" s="93">
        <f>IFERROR(VLOOKUP(A103,'Salary Calculation'!$A$2:$T$999,7,0),"")</f>
        <v>9536.326451</v>
      </c>
      <c r="H103" s="94" t="s">
        <v>1219</v>
      </c>
      <c r="I103" s="46"/>
      <c r="J103" s="46"/>
      <c r="K103" s="46"/>
      <c r="L103" s="46"/>
      <c r="M103" s="46"/>
      <c r="N103" s="46"/>
      <c r="O103" s="46"/>
      <c r="P103" s="46"/>
      <c r="Q103" s="46"/>
      <c r="R103" s="46"/>
      <c r="S103" s="46"/>
      <c r="T103" s="46"/>
      <c r="U103" s="46"/>
      <c r="V103" s="46"/>
      <c r="W103" s="46"/>
      <c r="X103" s="46"/>
      <c r="Y103" s="46"/>
      <c r="Z103" s="46"/>
      <c r="AA103" s="46"/>
      <c r="AB103" s="46"/>
    </row>
    <row r="104" hidden="1">
      <c r="A104" s="90" t="s">
        <v>321</v>
      </c>
      <c r="B104" s="91" t="str">
        <f>IFERROR(VLOOKUP(A104,'Salary Calculation'!A104:F1101,2,0),"")</f>
        <v/>
      </c>
      <c r="C104" s="91" t="str">
        <f>IFERROR(VLOOKUP(A104,'Salary Calculation'!$A$2:$T$999,3,0),"")</f>
        <v/>
      </c>
      <c r="D104" s="91" t="str">
        <f>IFERROR(VLOOKUP(A104,'Salary Calculation'!$A$2:$T$999,6,0),"")</f>
        <v/>
      </c>
      <c r="E104" s="91" t="str">
        <f>IFERROR(VLOOKUP(A104,'Salary Calculation'!$A$2:$T$999,8,0),"")</f>
        <v/>
      </c>
      <c r="F104" s="92" t="str">
        <f>IFERROR(VLOOKUP(C104,'Employees List'!$B$2:H999,6,0),"")</f>
        <v/>
      </c>
      <c r="G104" s="93"/>
      <c r="H104" s="94"/>
      <c r="I104" s="46"/>
      <c r="J104" s="46"/>
      <c r="K104" s="46"/>
      <c r="L104" s="46"/>
      <c r="M104" s="46"/>
      <c r="N104" s="46"/>
      <c r="O104" s="46"/>
      <c r="P104" s="46"/>
      <c r="Q104" s="46"/>
      <c r="R104" s="46"/>
      <c r="S104" s="46"/>
      <c r="T104" s="46"/>
      <c r="U104" s="46"/>
      <c r="V104" s="46"/>
      <c r="W104" s="46"/>
      <c r="X104" s="46"/>
      <c r="Y104" s="46"/>
      <c r="Z104" s="46"/>
      <c r="AA104" s="46"/>
      <c r="AB104" s="46"/>
    </row>
    <row r="105" hidden="1">
      <c r="A105" s="90" t="s">
        <v>322</v>
      </c>
      <c r="B105" s="91" t="str">
        <f>IFERROR(VLOOKUP(A105,'Salary Calculation'!A105:F1102,2,0),"")</f>
        <v/>
      </c>
      <c r="C105" s="91" t="str">
        <f>IFERROR(VLOOKUP(A105,'Salary Calculation'!$A$2:$T$999,3,0),"")</f>
        <v/>
      </c>
      <c r="D105" s="91" t="str">
        <f>IFERROR(VLOOKUP(A105,'Salary Calculation'!$A$2:$T$999,6,0),"")</f>
        <v/>
      </c>
      <c r="E105" s="91" t="str">
        <f>IFERROR(VLOOKUP(A105,'Salary Calculation'!$A$2:$T$999,8,0),"")</f>
        <v/>
      </c>
      <c r="F105" s="92" t="str">
        <f>IFERROR(VLOOKUP(C105,'Employees List'!$B$2:H999,6,0),"")</f>
        <v/>
      </c>
      <c r="G105" s="93"/>
      <c r="H105" s="94"/>
      <c r="I105" s="46"/>
      <c r="J105" s="46"/>
      <c r="K105" s="46"/>
      <c r="L105" s="46"/>
      <c r="M105" s="46"/>
      <c r="N105" s="46"/>
      <c r="O105" s="46"/>
      <c r="P105" s="46"/>
      <c r="Q105" s="46"/>
      <c r="R105" s="46"/>
      <c r="S105" s="46"/>
      <c r="T105" s="46"/>
      <c r="U105" s="46"/>
      <c r="V105" s="46"/>
      <c r="W105" s="46"/>
      <c r="X105" s="46"/>
      <c r="Y105" s="46"/>
      <c r="Z105" s="46"/>
      <c r="AA105" s="46"/>
      <c r="AB105" s="46"/>
    </row>
    <row r="106" hidden="1">
      <c r="A106" s="90" t="s">
        <v>323</v>
      </c>
      <c r="B106" s="91" t="str">
        <f>IFERROR(VLOOKUP(A106,'Salary Calculation'!A106:F1103,2,0),"")</f>
        <v/>
      </c>
      <c r="C106" s="91" t="str">
        <f>IFERROR(VLOOKUP(A106,'Salary Calculation'!$A$2:$T$999,3,0),"")</f>
        <v/>
      </c>
      <c r="D106" s="91" t="str">
        <f>IFERROR(VLOOKUP(A106,'Salary Calculation'!$A$2:$T$999,6,0),"")</f>
        <v/>
      </c>
      <c r="E106" s="91" t="str">
        <f>IFERROR(VLOOKUP(A106,'Salary Calculation'!$A$2:$T$999,8,0),"")</f>
        <v/>
      </c>
      <c r="F106" s="92" t="str">
        <f>IFERROR(VLOOKUP(C106,'Employees List'!$B$2:H999,6,0),"")</f>
        <v/>
      </c>
      <c r="G106" s="93"/>
      <c r="H106" s="94"/>
      <c r="I106" s="46"/>
      <c r="J106" s="46"/>
      <c r="K106" s="46"/>
      <c r="L106" s="46"/>
      <c r="M106" s="46"/>
      <c r="N106" s="46"/>
      <c r="O106" s="46"/>
      <c r="P106" s="46"/>
      <c r="Q106" s="46"/>
      <c r="R106" s="46"/>
      <c r="S106" s="46"/>
      <c r="T106" s="46"/>
      <c r="U106" s="46"/>
      <c r="V106" s="46"/>
      <c r="W106" s="46"/>
      <c r="X106" s="46"/>
      <c r="Y106" s="46"/>
      <c r="Z106" s="46"/>
      <c r="AA106" s="46"/>
      <c r="AB106" s="46"/>
    </row>
    <row r="107" hidden="1">
      <c r="A107" s="90" t="s">
        <v>324</v>
      </c>
      <c r="B107" s="91" t="str">
        <f>IFERROR(VLOOKUP(A107,'Salary Calculation'!A107:F1104,2,0),"")</f>
        <v/>
      </c>
      <c r="C107" s="91" t="str">
        <f>IFERROR(VLOOKUP(A107,'Salary Calculation'!$A$2:$T$999,3,0),"")</f>
        <v/>
      </c>
      <c r="D107" s="91" t="str">
        <f>IFERROR(VLOOKUP(A107,'Salary Calculation'!$A$2:$T$999,6,0),"")</f>
        <v/>
      </c>
      <c r="E107" s="91" t="str">
        <f>IFERROR(VLOOKUP(A107,'Salary Calculation'!$A$2:$T$999,8,0),"")</f>
        <v/>
      </c>
      <c r="F107" s="92" t="str">
        <f>IFERROR(VLOOKUP(C107,'Employees List'!$B$2:H999,6,0),"")</f>
        <v/>
      </c>
      <c r="G107" s="93"/>
      <c r="H107" s="94"/>
      <c r="I107" s="46"/>
      <c r="J107" s="46"/>
      <c r="K107" s="46"/>
      <c r="L107" s="46"/>
      <c r="M107" s="46"/>
      <c r="N107" s="46"/>
      <c r="O107" s="46"/>
      <c r="P107" s="46"/>
      <c r="Q107" s="46"/>
      <c r="R107" s="46"/>
      <c r="S107" s="46"/>
      <c r="T107" s="46"/>
      <c r="U107" s="46"/>
      <c r="V107" s="46"/>
      <c r="W107" s="46"/>
      <c r="X107" s="46"/>
      <c r="Y107" s="46"/>
      <c r="Z107" s="46"/>
      <c r="AA107" s="46"/>
      <c r="AB107" s="46"/>
    </row>
    <row r="108" hidden="1">
      <c r="A108" s="90" t="s">
        <v>325</v>
      </c>
      <c r="B108" s="91" t="str">
        <f>IFERROR(VLOOKUP(A108,'Salary Calculation'!A108:F1105,2,0),"")</f>
        <v/>
      </c>
      <c r="C108" s="91" t="str">
        <f>IFERROR(VLOOKUP(A108,'Salary Calculation'!$A$2:$T$999,3,0),"")</f>
        <v/>
      </c>
      <c r="D108" s="91" t="str">
        <f>IFERROR(VLOOKUP(A108,'Salary Calculation'!$A$2:$T$999,6,0),"")</f>
        <v/>
      </c>
      <c r="E108" s="91" t="str">
        <f>IFERROR(VLOOKUP(A108,'Salary Calculation'!$A$2:$T$999,8,0),"")</f>
        <v/>
      </c>
      <c r="F108" s="92" t="str">
        <f>IFERROR(VLOOKUP(C108,'Employees List'!$B$2:H999,6,0),"")</f>
        <v/>
      </c>
      <c r="G108" s="93"/>
      <c r="H108" s="94"/>
      <c r="I108" s="46"/>
      <c r="J108" s="46"/>
      <c r="K108" s="46"/>
      <c r="L108" s="46"/>
      <c r="M108" s="46"/>
      <c r="N108" s="46"/>
      <c r="O108" s="46"/>
      <c r="P108" s="46"/>
      <c r="Q108" s="46"/>
      <c r="R108" s="46"/>
      <c r="S108" s="46"/>
      <c r="T108" s="46"/>
      <c r="U108" s="46"/>
      <c r="V108" s="46"/>
      <c r="W108" s="46"/>
      <c r="X108" s="46"/>
      <c r="Y108" s="46"/>
      <c r="Z108" s="46"/>
      <c r="AA108" s="46"/>
      <c r="AB108" s="46"/>
    </row>
    <row r="109" hidden="1">
      <c r="A109" s="90" t="s">
        <v>326</v>
      </c>
      <c r="B109" s="91" t="str">
        <f>IFERROR(VLOOKUP(A109,'Salary Calculation'!A109:F1106,2,0),"")</f>
        <v/>
      </c>
      <c r="C109" s="91" t="str">
        <f>IFERROR(VLOOKUP(A109,'Salary Calculation'!$A$2:$T$999,3,0),"")</f>
        <v/>
      </c>
      <c r="D109" s="91" t="str">
        <f>IFERROR(VLOOKUP(A109,'Salary Calculation'!$A$2:$T$999,6,0),"")</f>
        <v/>
      </c>
      <c r="E109" s="91" t="str">
        <f>IFERROR(VLOOKUP(A109,'Salary Calculation'!$A$2:$T$999,8,0),"")</f>
        <v/>
      </c>
      <c r="F109" s="92" t="str">
        <f>IFERROR(VLOOKUP(C109,'Employees List'!$B$2:H999,6,0),"")</f>
        <v/>
      </c>
      <c r="G109" s="93"/>
      <c r="H109" s="94"/>
      <c r="I109" s="46"/>
      <c r="J109" s="46"/>
      <c r="K109" s="46"/>
      <c r="L109" s="46"/>
      <c r="M109" s="46"/>
      <c r="N109" s="46"/>
      <c r="O109" s="46"/>
      <c r="P109" s="46"/>
      <c r="Q109" s="46"/>
      <c r="R109" s="46"/>
      <c r="S109" s="46"/>
      <c r="T109" s="46"/>
      <c r="U109" s="46"/>
      <c r="V109" s="46"/>
      <c r="W109" s="46"/>
      <c r="X109" s="46"/>
      <c r="Y109" s="46"/>
      <c r="Z109" s="46"/>
      <c r="AA109" s="46"/>
      <c r="AB109" s="46"/>
    </row>
    <row r="110" hidden="1">
      <c r="A110" s="90" t="s">
        <v>327</v>
      </c>
      <c r="B110" s="91" t="str">
        <f>IFERROR(VLOOKUP(A110,'Salary Calculation'!A110:F1107,2,0),"")</f>
        <v/>
      </c>
      <c r="C110" s="91" t="str">
        <f>IFERROR(VLOOKUP(A110,'Salary Calculation'!$A$2:$T$999,3,0),"")</f>
        <v/>
      </c>
      <c r="D110" s="91" t="str">
        <f>IFERROR(VLOOKUP(A110,'Salary Calculation'!$A$2:$T$999,6,0),"")</f>
        <v/>
      </c>
      <c r="E110" s="91" t="str">
        <f>IFERROR(VLOOKUP(A110,'Salary Calculation'!$A$2:$T$999,8,0),"")</f>
        <v/>
      </c>
      <c r="F110" s="92" t="str">
        <f>IFERROR(VLOOKUP(C110,'Employees List'!$B$2:H999,6,0),"")</f>
        <v/>
      </c>
      <c r="G110" s="93"/>
      <c r="H110" s="94"/>
      <c r="I110" s="46"/>
      <c r="J110" s="46"/>
      <c r="K110" s="46"/>
      <c r="L110" s="46"/>
      <c r="M110" s="46"/>
      <c r="N110" s="46"/>
      <c r="O110" s="46"/>
      <c r="P110" s="46"/>
      <c r="Q110" s="46"/>
      <c r="R110" s="46"/>
      <c r="S110" s="46"/>
      <c r="T110" s="46"/>
      <c r="U110" s="46"/>
      <c r="V110" s="46"/>
      <c r="W110" s="46"/>
      <c r="X110" s="46"/>
      <c r="Y110" s="46"/>
      <c r="Z110" s="46"/>
      <c r="AA110" s="46"/>
      <c r="AB110" s="46"/>
    </row>
    <row r="111" hidden="1">
      <c r="A111" s="90" t="s">
        <v>328</v>
      </c>
      <c r="B111" s="91" t="str">
        <f>IFERROR(VLOOKUP(A111,'Salary Calculation'!A111:F1108,2,0),"")</f>
        <v/>
      </c>
      <c r="C111" s="91" t="str">
        <f>IFERROR(VLOOKUP(A111,'Salary Calculation'!$A$2:$T$999,3,0),"")</f>
        <v/>
      </c>
      <c r="D111" s="91" t="str">
        <f>IFERROR(VLOOKUP(A111,'Salary Calculation'!$A$2:$T$999,6,0),"")</f>
        <v/>
      </c>
      <c r="E111" s="91" t="str">
        <f>IFERROR(VLOOKUP(A111,'Salary Calculation'!$A$2:$T$999,8,0),"")</f>
        <v/>
      </c>
      <c r="F111" s="92" t="str">
        <f>IFERROR(VLOOKUP(C111,'Employees List'!$B$2:H999,6,0),"")</f>
        <v/>
      </c>
      <c r="G111" s="93"/>
      <c r="H111" s="94"/>
      <c r="I111" s="46"/>
      <c r="J111" s="46"/>
      <c r="K111" s="46"/>
      <c r="L111" s="46"/>
      <c r="M111" s="46"/>
      <c r="N111" s="46"/>
      <c r="O111" s="46"/>
      <c r="P111" s="46"/>
      <c r="Q111" s="46"/>
      <c r="R111" s="46"/>
      <c r="S111" s="46"/>
      <c r="T111" s="46"/>
      <c r="U111" s="46"/>
      <c r="V111" s="46"/>
      <c r="W111" s="46"/>
      <c r="X111" s="46"/>
      <c r="Y111" s="46"/>
      <c r="Z111" s="46"/>
      <c r="AA111" s="46"/>
      <c r="AB111" s="46"/>
    </row>
    <row r="112" hidden="1">
      <c r="A112" s="90" t="s">
        <v>329</v>
      </c>
      <c r="B112" s="91" t="str">
        <f>IFERROR(VLOOKUP(A112,'Salary Calculation'!A112:F1109,2,0),"")</f>
        <v/>
      </c>
      <c r="C112" s="91" t="str">
        <f>IFERROR(VLOOKUP(A112,'Salary Calculation'!$A$2:$T$999,3,0),"")</f>
        <v/>
      </c>
      <c r="D112" s="91" t="str">
        <f>IFERROR(VLOOKUP(A112,'Salary Calculation'!$A$2:$T$999,6,0),"")</f>
        <v/>
      </c>
      <c r="E112" s="91" t="str">
        <f>IFERROR(VLOOKUP(A112,'Salary Calculation'!$A$2:$T$999,8,0),"")</f>
        <v/>
      </c>
      <c r="F112" s="92" t="str">
        <f>IFERROR(VLOOKUP(C112,'Employees List'!$B$2:H999,6,0),"")</f>
        <v/>
      </c>
      <c r="G112" s="93"/>
      <c r="H112" s="98"/>
      <c r="I112" s="46"/>
      <c r="J112" s="46"/>
      <c r="K112" s="46"/>
      <c r="L112" s="46"/>
      <c r="M112" s="46"/>
      <c r="N112" s="46"/>
      <c r="O112" s="46"/>
      <c r="P112" s="46"/>
      <c r="Q112" s="46"/>
      <c r="R112" s="46"/>
      <c r="S112" s="46"/>
      <c r="T112" s="46"/>
      <c r="U112" s="46"/>
      <c r="V112" s="46"/>
      <c r="W112" s="46"/>
      <c r="X112" s="46"/>
      <c r="Y112" s="46"/>
      <c r="Z112" s="46"/>
      <c r="AA112" s="46"/>
      <c r="AB112" s="46"/>
    </row>
    <row r="113" hidden="1">
      <c r="A113" s="90" t="s">
        <v>330</v>
      </c>
      <c r="B113" s="91" t="str">
        <f>IFERROR(VLOOKUP(A113,'Salary Calculation'!A113:F1110,2,0),"")</f>
        <v/>
      </c>
      <c r="C113" s="91" t="str">
        <f>IFERROR(VLOOKUP(A113,'Salary Calculation'!$A$2:$T$999,3,0),"")</f>
        <v/>
      </c>
      <c r="D113" s="91" t="str">
        <f>IFERROR(VLOOKUP(A113,'Salary Calculation'!$A$2:$T$999,6,0),"")</f>
        <v/>
      </c>
      <c r="E113" s="91" t="str">
        <f>IFERROR(VLOOKUP(A113,'Salary Calculation'!$A$2:$T$999,8,0),"")</f>
        <v/>
      </c>
      <c r="F113" s="92" t="str">
        <f>IFERROR(VLOOKUP(C113,'Employees List'!$B$2:H999,6,0),"")</f>
        <v/>
      </c>
      <c r="G113" s="93"/>
      <c r="H113" s="98"/>
      <c r="I113" s="46"/>
      <c r="J113" s="46"/>
      <c r="K113" s="46"/>
      <c r="L113" s="46"/>
      <c r="M113" s="46"/>
      <c r="N113" s="46"/>
      <c r="O113" s="46"/>
      <c r="P113" s="46"/>
      <c r="Q113" s="46"/>
      <c r="R113" s="46"/>
      <c r="S113" s="46"/>
      <c r="T113" s="46"/>
      <c r="U113" s="46"/>
      <c r="V113" s="46"/>
      <c r="W113" s="46"/>
      <c r="X113" s="46"/>
      <c r="Y113" s="46"/>
      <c r="Z113" s="46"/>
      <c r="AA113" s="46"/>
      <c r="AB113" s="46"/>
    </row>
    <row r="114" hidden="1">
      <c r="A114" s="90" t="s">
        <v>331</v>
      </c>
      <c r="B114" s="91" t="str">
        <f>IFERROR(VLOOKUP(A114,'Salary Calculation'!A114:F1111,2,0),"")</f>
        <v/>
      </c>
      <c r="C114" s="91" t="str">
        <f>IFERROR(VLOOKUP(A114,'Salary Calculation'!$A$2:$T$999,3,0),"")</f>
        <v/>
      </c>
      <c r="D114" s="91" t="str">
        <f>IFERROR(VLOOKUP(A114,'Salary Calculation'!$A$2:$T$999,6,0),"")</f>
        <v/>
      </c>
      <c r="E114" s="91" t="str">
        <f>IFERROR(VLOOKUP(A114,'Salary Calculation'!$A$2:$T$999,8,0),"")</f>
        <v/>
      </c>
      <c r="F114" s="92" t="str">
        <f>IFERROR(VLOOKUP(C114,'Employees List'!$B$2:H999,6,0),"")</f>
        <v/>
      </c>
      <c r="G114" s="93"/>
      <c r="H114" s="98"/>
      <c r="I114" s="46"/>
      <c r="J114" s="46"/>
      <c r="K114" s="46"/>
      <c r="L114" s="46"/>
      <c r="M114" s="46"/>
      <c r="N114" s="46"/>
      <c r="O114" s="46"/>
      <c r="P114" s="46"/>
      <c r="Q114" s="46"/>
      <c r="R114" s="46"/>
      <c r="S114" s="46"/>
      <c r="T114" s="46"/>
      <c r="U114" s="46"/>
      <c r="V114" s="46"/>
      <c r="W114" s="46"/>
      <c r="X114" s="46"/>
      <c r="Y114" s="46"/>
      <c r="Z114" s="46"/>
      <c r="AA114" s="46"/>
      <c r="AB114" s="46"/>
    </row>
    <row r="115" hidden="1">
      <c r="A115" s="90" t="s">
        <v>332</v>
      </c>
      <c r="B115" s="91" t="str">
        <f>IFERROR(VLOOKUP(A115,'Salary Calculation'!A115:F1112,2,0),"")</f>
        <v/>
      </c>
      <c r="C115" s="91" t="str">
        <f>IFERROR(VLOOKUP(A115,'Salary Calculation'!$A$2:$T$999,3,0),"")</f>
        <v/>
      </c>
      <c r="D115" s="91" t="str">
        <f>IFERROR(VLOOKUP(A115,'Salary Calculation'!$A$2:$T$999,6,0),"")</f>
        <v/>
      </c>
      <c r="E115" s="91" t="str">
        <f>IFERROR(VLOOKUP(A115,'Salary Calculation'!$A$2:$T$999,8,0),"")</f>
        <v/>
      </c>
      <c r="F115" s="92" t="str">
        <f>IFERROR(VLOOKUP(C115,'Employees List'!$B$2:H999,6,0),"")</f>
        <v/>
      </c>
      <c r="G115" s="93"/>
      <c r="H115" s="98"/>
      <c r="I115" s="99"/>
      <c r="J115" s="46"/>
      <c r="K115" s="46"/>
      <c r="L115" s="46"/>
      <c r="M115" s="46"/>
      <c r="N115" s="46"/>
      <c r="O115" s="46"/>
      <c r="P115" s="46"/>
      <c r="Q115" s="46"/>
      <c r="R115" s="46"/>
      <c r="S115" s="46"/>
      <c r="T115" s="46"/>
      <c r="U115" s="46"/>
      <c r="V115" s="46"/>
      <c r="W115" s="46"/>
      <c r="X115" s="46"/>
      <c r="Y115" s="46"/>
      <c r="Z115" s="46"/>
      <c r="AA115" s="46"/>
      <c r="AB115" s="46"/>
    </row>
    <row r="116" hidden="1">
      <c r="A116" s="90" t="s">
        <v>333</v>
      </c>
      <c r="B116" s="91" t="str">
        <f>IFERROR(VLOOKUP(A116,'Salary Calculation'!A116:F1113,2,0),"")</f>
        <v/>
      </c>
      <c r="C116" s="91" t="str">
        <f>IFERROR(VLOOKUP(A116,'Salary Calculation'!$A$2:$T$999,3,0),"")</f>
        <v/>
      </c>
      <c r="D116" s="91" t="str">
        <f>IFERROR(VLOOKUP(A116,'Salary Calculation'!$A$2:$T$999,6,0),"")</f>
        <v/>
      </c>
      <c r="E116" s="91" t="str">
        <f>IFERROR(VLOOKUP(A116,'Salary Calculation'!$A$2:$T$999,8,0),"")</f>
        <v/>
      </c>
      <c r="F116" s="92" t="str">
        <f>IFERROR(VLOOKUP(C116,'Employees List'!$B$2:H999,6,0),"")</f>
        <v/>
      </c>
      <c r="G116" s="93"/>
      <c r="H116" s="98"/>
      <c r="I116" s="46"/>
      <c r="J116" s="46"/>
      <c r="K116" s="46"/>
      <c r="L116" s="46"/>
      <c r="M116" s="46"/>
      <c r="N116" s="46"/>
      <c r="O116" s="46"/>
      <c r="P116" s="46"/>
      <c r="Q116" s="46"/>
      <c r="R116" s="46"/>
      <c r="S116" s="46"/>
      <c r="T116" s="46"/>
      <c r="U116" s="46"/>
      <c r="V116" s="46"/>
      <c r="W116" s="46"/>
      <c r="X116" s="46"/>
      <c r="Y116" s="46"/>
      <c r="Z116" s="46"/>
      <c r="AA116" s="46"/>
      <c r="AB116" s="46"/>
    </row>
    <row r="117" hidden="1">
      <c r="A117" s="90" t="s">
        <v>334</v>
      </c>
      <c r="B117" s="91" t="str">
        <f>IFERROR(VLOOKUP(A117,'Salary Calculation'!A117:F1114,2,0),"")</f>
        <v/>
      </c>
      <c r="C117" s="91" t="str">
        <f>IFERROR(VLOOKUP(A117,'Salary Calculation'!$A$2:$T$999,3,0),"")</f>
        <v/>
      </c>
      <c r="D117" s="91" t="str">
        <f>IFERROR(VLOOKUP(A117,'Salary Calculation'!$A$2:$T$999,6,0),"")</f>
        <v/>
      </c>
      <c r="E117" s="91" t="str">
        <f>IFERROR(VLOOKUP(A117,'Salary Calculation'!$A$2:$T$999,8,0),"")</f>
        <v/>
      </c>
      <c r="F117" s="92" t="str">
        <f>IFERROR(VLOOKUP(C117,'Employees List'!$B$2:H999,6,0),"")</f>
        <v/>
      </c>
      <c r="G117" s="93"/>
      <c r="H117" s="98"/>
      <c r="I117" s="46"/>
      <c r="J117" s="46"/>
      <c r="K117" s="46"/>
      <c r="L117" s="46"/>
      <c r="M117" s="46"/>
      <c r="N117" s="46"/>
      <c r="O117" s="46"/>
      <c r="P117" s="46"/>
      <c r="Q117" s="46"/>
      <c r="R117" s="46"/>
      <c r="S117" s="46"/>
      <c r="T117" s="46"/>
      <c r="U117" s="46"/>
      <c r="V117" s="46"/>
      <c r="W117" s="46"/>
      <c r="X117" s="46"/>
      <c r="Y117" s="46"/>
      <c r="Z117" s="46"/>
      <c r="AA117" s="46"/>
      <c r="AB117" s="46"/>
    </row>
    <row r="118" hidden="1">
      <c r="A118" s="90" t="s">
        <v>335</v>
      </c>
      <c r="B118" s="91" t="str">
        <f>IFERROR(VLOOKUP(A118,'Salary Calculation'!A118:F1115,2,0),"")</f>
        <v/>
      </c>
      <c r="C118" s="91" t="str">
        <f>IFERROR(VLOOKUP(A118,'Salary Calculation'!$A$2:$T$999,3,0),"")</f>
        <v/>
      </c>
      <c r="D118" s="91" t="str">
        <f>IFERROR(VLOOKUP(A118,'Salary Calculation'!$A$2:$T$999,6,0),"")</f>
        <v/>
      </c>
      <c r="E118" s="91" t="str">
        <f>IFERROR(VLOOKUP(A118,'Salary Calculation'!$A$2:$T$999,8,0),"")</f>
        <v/>
      </c>
      <c r="F118" s="92" t="str">
        <f>IFERROR(VLOOKUP(C118,'Employees List'!$B$2:H999,6,0),"")</f>
        <v/>
      </c>
      <c r="G118" s="93"/>
      <c r="H118" s="98"/>
      <c r="I118" s="46"/>
      <c r="J118" s="46"/>
      <c r="K118" s="46"/>
      <c r="L118" s="46"/>
      <c r="M118" s="46"/>
      <c r="N118" s="46"/>
      <c r="O118" s="46"/>
      <c r="P118" s="46"/>
      <c r="Q118" s="46"/>
      <c r="R118" s="46"/>
      <c r="S118" s="46"/>
      <c r="T118" s="46"/>
      <c r="U118" s="46"/>
      <c r="V118" s="46"/>
      <c r="W118" s="46"/>
      <c r="X118" s="46"/>
      <c r="Y118" s="46"/>
      <c r="Z118" s="46"/>
      <c r="AA118" s="46"/>
      <c r="AB118" s="46"/>
    </row>
    <row r="119" hidden="1">
      <c r="A119" s="90" t="s">
        <v>336</v>
      </c>
      <c r="B119" s="91" t="str">
        <f>IFERROR(VLOOKUP(A119,'Salary Calculation'!A119:F1116,2,0),"")</f>
        <v/>
      </c>
      <c r="C119" s="91" t="str">
        <f>IFERROR(VLOOKUP(A119,'Salary Calculation'!$A$2:$T$999,3,0),"")</f>
        <v/>
      </c>
      <c r="D119" s="91" t="str">
        <f>IFERROR(VLOOKUP(A119,'Salary Calculation'!$A$2:$T$999,6,0),"")</f>
        <v/>
      </c>
      <c r="E119" s="91" t="str">
        <f>IFERROR(VLOOKUP(A119,'Salary Calculation'!$A$2:$T$999,8,0),"")</f>
        <v/>
      </c>
      <c r="F119" s="92" t="str">
        <f>IFERROR(VLOOKUP(C119,'Employees List'!$B$2:H999,6,0),"")</f>
        <v/>
      </c>
      <c r="G119" s="93"/>
      <c r="H119" s="98"/>
      <c r="I119" s="46"/>
      <c r="J119" s="46"/>
      <c r="K119" s="46"/>
      <c r="L119" s="46"/>
      <c r="M119" s="46"/>
      <c r="N119" s="46"/>
      <c r="O119" s="46"/>
      <c r="P119" s="46"/>
      <c r="Q119" s="46"/>
      <c r="R119" s="46"/>
      <c r="S119" s="46"/>
      <c r="T119" s="46"/>
      <c r="U119" s="46"/>
      <c r="V119" s="46"/>
      <c r="W119" s="46"/>
      <c r="X119" s="46"/>
      <c r="Y119" s="46"/>
      <c r="Z119" s="46"/>
      <c r="AA119" s="46"/>
      <c r="AB119" s="46"/>
    </row>
    <row r="120" hidden="1">
      <c r="A120" s="90" t="s">
        <v>337</v>
      </c>
      <c r="B120" s="91" t="str">
        <f>IFERROR(VLOOKUP(A120,'Salary Calculation'!A120:F1117,2,0),"")</f>
        <v/>
      </c>
      <c r="C120" s="91" t="str">
        <f>IFERROR(VLOOKUP(A120,'Salary Calculation'!$A$2:$T$999,3,0),"")</f>
        <v/>
      </c>
      <c r="D120" s="91" t="str">
        <f>IFERROR(VLOOKUP(A120,'Salary Calculation'!$A$2:$T$999,6,0),"")</f>
        <v/>
      </c>
      <c r="E120" s="91" t="str">
        <f>IFERROR(VLOOKUP(A120,'Salary Calculation'!$A$2:$T$999,8,0),"")</f>
        <v/>
      </c>
      <c r="F120" s="92" t="str">
        <f>IFERROR(VLOOKUP(C120,'Employees List'!$B$2:H999,6,0),"")</f>
        <v/>
      </c>
      <c r="G120" s="93"/>
      <c r="H120" s="98"/>
      <c r="I120" s="46"/>
      <c r="J120" s="46"/>
      <c r="K120" s="46"/>
      <c r="L120" s="46"/>
      <c r="M120" s="46"/>
      <c r="N120" s="46"/>
      <c r="O120" s="46"/>
      <c r="P120" s="46"/>
      <c r="Q120" s="46"/>
      <c r="R120" s="46"/>
      <c r="S120" s="46"/>
      <c r="T120" s="46"/>
      <c r="U120" s="46"/>
      <c r="V120" s="46"/>
      <c r="W120" s="46"/>
      <c r="X120" s="46"/>
      <c r="Y120" s="46"/>
      <c r="Z120" s="46"/>
      <c r="AA120" s="46"/>
      <c r="AB120" s="46"/>
    </row>
    <row r="121" hidden="1">
      <c r="A121" s="90" t="s">
        <v>338</v>
      </c>
      <c r="B121" s="91" t="str">
        <f>IFERROR(VLOOKUP(A121,'Salary Calculation'!A121:F1118,2,0),"")</f>
        <v/>
      </c>
      <c r="C121" s="91" t="str">
        <f>IFERROR(VLOOKUP(A121,'Salary Calculation'!$A$2:$T$999,3,0),"")</f>
        <v/>
      </c>
      <c r="D121" s="91" t="str">
        <f>IFERROR(VLOOKUP(A121,'Salary Calculation'!$A$2:$T$999,6,0),"")</f>
        <v/>
      </c>
      <c r="E121" s="91" t="str">
        <f>IFERROR(VLOOKUP(A121,'Salary Calculation'!$A$2:$T$999,8,0),"")</f>
        <v/>
      </c>
      <c r="F121" s="92" t="str">
        <f>IFERROR(VLOOKUP(C121,'Employees List'!$B$2:H999,6,0),"")</f>
        <v/>
      </c>
      <c r="G121" s="93"/>
      <c r="H121" s="94"/>
      <c r="I121" s="46"/>
      <c r="J121" s="46"/>
      <c r="K121" s="46"/>
      <c r="L121" s="46"/>
      <c r="M121" s="46"/>
      <c r="N121" s="46"/>
      <c r="O121" s="46"/>
      <c r="P121" s="46"/>
      <c r="Q121" s="46"/>
      <c r="R121" s="46"/>
      <c r="S121" s="46"/>
      <c r="T121" s="46"/>
      <c r="U121" s="46"/>
      <c r="V121" s="46"/>
      <c r="W121" s="46"/>
      <c r="X121" s="46"/>
      <c r="Y121" s="46"/>
      <c r="Z121" s="46"/>
      <c r="AA121" s="46"/>
      <c r="AB121" s="46"/>
    </row>
    <row r="122" hidden="1">
      <c r="A122" s="90" t="s">
        <v>339</v>
      </c>
      <c r="B122" s="91" t="str">
        <f>IFERROR(VLOOKUP(A122,'Salary Calculation'!A122:F1119,2,0),"")</f>
        <v/>
      </c>
      <c r="C122" s="91" t="str">
        <f>IFERROR(VLOOKUP(A122,'Salary Calculation'!$A$2:$T$999,3,0),"")</f>
        <v/>
      </c>
      <c r="D122" s="91" t="str">
        <f>IFERROR(VLOOKUP(A122,'Salary Calculation'!$A$2:$T$999,6,0),"")</f>
        <v/>
      </c>
      <c r="E122" s="91" t="str">
        <f>IFERROR(VLOOKUP(A122,'Salary Calculation'!$A$2:$T$999,8,0),"")</f>
        <v/>
      </c>
      <c r="F122" s="92" t="str">
        <f>IFERROR(VLOOKUP(C122,'Employees List'!$B$2:H999,6,0),"")</f>
        <v/>
      </c>
      <c r="G122" s="93"/>
      <c r="H122" s="94"/>
      <c r="I122" s="46"/>
      <c r="J122" s="46"/>
      <c r="K122" s="46"/>
      <c r="L122" s="46"/>
      <c r="M122" s="46"/>
      <c r="N122" s="46"/>
      <c r="O122" s="46"/>
      <c r="P122" s="46"/>
      <c r="Q122" s="46"/>
      <c r="R122" s="46"/>
      <c r="S122" s="46"/>
      <c r="T122" s="46"/>
      <c r="U122" s="46"/>
      <c r="V122" s="46"/>
      <c r="W122" s="46"/>
      <c r="X122" s="46"/>
      <c r="Y122" s="46"/>
      <c r="Z122" s="46"/>
      <c r="AA122" s="46"/>
      <c r="AB122" s="46"/>
    </row>
    <row r="123" hidden="1">
      <c r="A123" s="90" t="s">
        <v>340</v>
      </c>
      <c r="B123" s="91" t="str">
        <f>IFERROR(VLOOKUP(A123,'Salary Calculation'!A123:F1120,2,0),"")</f>
        <v/>
      </c>
      <c r="C123" s="91" t="str">
        <f>IFERROR(VLOOKUP(A123,'Salary Calculation'!$A$2:$T$999,3,0),"")</f>
        <v/>
      </c>
      <c r="D123" s="91" t="str">
        <f>IFERROR(VLOOKUP(A123,'Salary Calculation'!$A$2:$T$999,6,0),"")</f>
        <v/>
      </c>
      <c r="E123" s="91" t="str">
        <f>IFERROR(VLOOKUP(A123,'Salary Calculation'!$A$2:$T$999,8,0),"")</f>
        <v/>
      </c>
      <c r="F123" s="92" t="str">
        <f>IFERROR(VLOOKUP(C123,'Employees List'!$B$2:H999,6,0),"")</f>
        <v/>
      </c>
      <c r="G123" s="93"/>
      <c r="H123" s="94"/>
      <c r="I123" s="46"/>
      <c r="J123" s="46"/>
      <c r="K123" s="46"/>
      <c r="L123" s="46"/>
      <c r="M123" s="46"/>
      <c r="N123" s="46"/>
      <c r="O123" s="46"/>
      <c r="P123" s="46"/>
      <c r="Q123" s="46"/>
      <c r="R123" s="46"/>
      <c r="S123" s="46"/>
      <c r="T123" s="46"/>
      <c r="U123" s="46"/>
      <c r="V123" s="46"/>
      <c r="W123" s="46"/>
      <c r="X123" s="46"/>
      <c r="Y123" s="46"/>
      <c r="Z123" s="46"/>
      <c r="AA123" s="46"/>
      <c r="AB123" s="46"/>
    </row>
    <row r="124" hidden="1">
      <c r="A124" s="90" t="s">
        <v>341</v>
      </c>
      <c r="B124" s="91" t="str">
        <f>IFERROR(VLOOKUP(A124,'Salary Calculation'!A124:F1121,2,0),"")</f>
        <v/>
      </c>
      <c r="C124" s="91" t="str">
        <f>IFERROR(VLOOKUP(A124,'Salary Calculation'!$A$2:$T$999,3,0),"")</f>
        <v/>
      </c>
      <c r="D124" s="91" t="str">
        <f>IFERROR(VLOOKUP(A124,'Salary Calculation'!$A$2:$T$999,6,0),"")</f>
        <v/>
      </c>
      <c r="E124" s="91" t="str">
        <f>IFERROR(VLOOKUP(A124,'Salary Calculation'!$A$2:$T$999,8,0),"")</f>
        <v/>
      </c>
      <c r="F124" s="92" t="str">
        <f>IFERROR(VLOOKUP(C124,'Employees List'!$B$2:H999,6,0),"")</f>
        <v/>
      </c>
      <c r="G124" s="93"/>
      <c r="H124" s="94"/>
      <c r="I124" s="46"/>
      <c r="J124" s="46"/>
      <c r="K124" s="46"/>
      <c r="L124" s="46"/>
      <c r="M124" s="46"/>
      <c r="N124" s="46"/>
      <c r="O124" s="46"/>
      <c r="P124" s="46"/>
      <c r="Q124" s="46"/>
      <c r="R124" s="46"/>
      <c r="S124" s="46"/>
      <c r="T124" s="46"/>
      <c r="U124" s="46"/>
      <c r="V124" s="46"/>
      <c r="W124" s="46"/>
      <c r="X124" s="46"/>
      <c r="Y124" s="46"/>
      <c r="Z124" s="46"/>
      <c r="AA124" s="46"/>
      <c r="AB124" s="46"/>
    </row>
    <row r="125" hidden="1">
      <c r="A125" s="90" t="s">
        <v>342</v>
      </c>
      <c r="B125" s="91" t="str">
        <f>IFERROR(VLOOKUP(A125,'Salary Calculation'!A125:F1122,2,0),"")</f>
        <v/>
      </c>
      <c r="C125" s="91" t="str">
        <f>IFERROR(VLOOKUP(A125,'Salary Calculation'!$A$2:$T$999,3,0),"")</f>
        <v/>
      </c>
      <c r="D125" s="91" t="str">
        <f>IFERROR(VLOOKUP(A125,'Salary Calculation'!$A$2:$T$999,6,0),"")</f>
        <v/>
      </c>
      <c r="E125" s="91" t="str">
        <f>IFERROR(VLOOKUP(A125,'Salary Calculation'!$A$2:$T$999,8,0),"")</f>
        <v/>
      </c>
      <c r="F125" s="92" t="str">
        <f>IFERROR(VLOOKUP(C125,'Employees List'!$B$2:H999,6,0),"")</f>
        <v/>
      </c>
      <c r="G125" s="93"/>
      <c r="H125" s="94"/>
      <c r="I125" s="46"/>
      <c r="J125" s="46"/>
      <c r="K125" s="46"/>
      <c r="L125" s="46"/>
      <c r="M125" s="46"/>
      <c r="N125" s="46"/>
      <c r="O125" s="46"/>
      <c r="P125" s="46"/>
      <c r="Q125" s="46"/>
      <c r="R125" s="46"/>
      <c r="S125" s="46"/>
      <c r="T125" s="46"/>
      <c r="U125" s="46"/>
      <c r="V125" s="46"/>
      <c r="W125" s="46"/>
      <c r="X125" s="46"/>
      <c r="Y125" s="46"/>
      <c r="Z125" s="46"/>
      <c r="AA125" s="46"/>
      <c r="AB125" s="46"/>
    </row>
    <row r="126" hidden="1">
      <c r="A126" s="90" t="s">
        <v>343</v>
      </c>
      <c r="B126" s="91" t="str">
        <f>IFERROR(VLOOKUP(A126,'Salary Calculation'!A126:F1123,2,0),"")</f>
        <v/>
      </c>
      <c r="C126" s="91" t="str">
        <f>IFERROR(VLOOKUP(A126,'Salary Calculation'!$A$2:$T$999,3,0),"")</f>
        <v/>
      </c>
      <c r="D126" s="91" t="str">
        <f>IFERROR(VLOOKUP(A126,'Salary Calculation'!$A$2:$T$999,6,0),"")</f>
        <v/>
      </c>
      <c r="E126" s="91" t="str">
        <f>IFERROR(VLOOKUP(A126,'Salary Calculation'!$A$2:$T$999,8,0),"")</f>
        <v/>
      </c>
      <c r="F126" s="92" t="str">
        <f>IFERROR(VLOOKUP(C126,'Employees List'!$B$2:H999,6,0),"")</f>
        <v/>
      </c>
      <c r="G126" s="93"/>
      <c r="H126" s="94"/>
      <c r="I126" s="46"/>
      <c r="J126" s="46"/>
      <c r="K126" s="46"/>
      <c r="L126" s="46"/>
      <c r="M126" s="46"/>
      <c r="N126" s="46"/>
      <c r="O126" s="46"/>
      <c r="P126" s="46"/>
      <c r="Q126" s="46"/>
      <c r="R126" s="46"/>
      <c r="S126" s="46"/>
      <c r="T126" s="46"/>
      <c r="U126" s="46"/>
      <c r="V126" s="46"/>
      <c r="W126" s="46"/>
      <c r="X126" s="46"/>
      <c r="Y126" s="46"/>
      <c r="Z126" s="46"/>
      <c r="AA126" s="46"/>
      <c r="AB126" s="46"/>
    </row>
    <row r="127" hidden="1">
      <c r="A127" s="90" t="s">
        <v>344</v>
      </c>
      <c r="B127" s="91" t="str">
        <f>IFERROR(VLOOKUP(A127,'Salary Calculation'!A127:F1124,2,0),"")</f>
        <v/>
      </c>
      <c r="C127" s="91" t="str">
        <f>IFERROR(VLOOKUP(A127,'Salary Calculation'!$A$2:$T$999,3,0),"")</f>
        <v/>
      </c>
      <c r="D127" s="91" t="str">
        <f>IFERROR(VLOOKUP(A127,'Salary Calculation'!$A$2:$T$999,6,0),"")</f>
        <v/>
      </c>
      <c r="E127" s="91" t="str">
        <f>IFERROR(VLOOKUP(A127,'Salary Calculation'!$A$2:$T$999,8,0),"")</f>
        <v/>
      </c>
      <c r="F127" s="92" t="str">
        <f>IFERROR(VLOOKUP(C127,'Employees List'!$B$2:H999,6,0),"")</f>
        <v/>
      </c>
      <c r="G127" s="93"/>
      <c r="H127" s="94"/>
      <c r="I127" s="46"/>
      <c r="J127" s="46"/>
      <c r="K127" s="46"/>
      <c r="L127" s="46"/>
      <c r="M127" s="46"/>
      <c r="N127" s="46"/>
      <c r="O127" s="46"/>
      <c r="P127" s="46"/>
      <c r="Q127" s="46"/>
      <c r="R127" s="46"/>
      <c r="S127" s="46"/>
      <c r="T127" s="46"/>
      <c r="U127" s="46"/>
      <c r="V127" s="46"/>
      <c r="W127" s="46"/>
      <c r="X127" s="46"/>
      <c r="Y127" s="46"/>
      <c r="Z127" s="46"/>
      <c r="AA127" s="46"/>
      <c r="AB127" s="46"/>
    </row>
    <row r="128" hidden="1">
      <c r="A128" s="90" t="s">
        <v>345</v>
      </c>
      <c r="B128" s="91" t="str">
        <f>IFERROR(VLOOKUP(A128,'Salary Calculation'!A128:F1125,2,0),"")</f>
        <v/>
      </c>
      <c r="C128" s="91" t="str">
        <f>IFERROR(VLOOKUP(A128,'Salary Calculation'!$A$2:$T$999,3,0),"")</f>
        <v/>
      </c>
      <c r="D128" s="91" t="str">
        <f>IFERROR(VLOOKUP(A128,'Salary Calculation'!$A$2:$T$999,6,0),"")</f>
        <v/>
      </c>
      <c r="E128" s="91" t="str">
        <f>IFERROR(VLOOKUP(A128,'Salary Calculation'!$A$2:$T$999,8,0),"")</f>
        <v/>
      </c>
      <c r="F128" s="92" t="str">
        <f>IFERROR(VLOOKUP(C128,'Employees List'!$B$2:H999,6,0),"")</f>
        <v/>
      </c>
      <c r="G128" s="93"/>
      <c r="H128" s="94"/>
      <c r="I128" s="46"/>
      <c r="J128" s="46"/>
      <c r="K128" s="46"/>
      <c r="L128" s="46"/>
      <c r="M128" s="46"/>
      <c r="N128" s="46"/>
      <c r="O128" s="46"/>
      <c r="P128" s="46"/>
      <c r="Q128" s="46"/>
      <c r="R128" s="46"/>
      <c r="S128" s="46"/>
      <c r="T128" s="46"/>
      <c r="U128" s="46"/>
      <c r="V128" s="46"/>
      <c r="W128" s="46"/>
      <c r="X128" s="46"/>
      <c r="Y128" s="46"/>
      <c r="Z128" s="46"/>
      <c r="AA128" s="46"/>
      <c r="AB128" s="46"/>
    </row>
    <row r="129" hidden="1">
      <c r="A129" s="90" t="s">
        <v>346</v>
      </c>
      <c r="B129" s="91" t="str">
        <f>IFERROR(VLOOKUP(A129,'Salary Calculation'!A129:F1126,2,0),"")</f>
        <v/>
      </c>
      <c r="C129" s="91" t="str">
        <f>IFERROR(VLOOKUP(A129,'Salary Calculation'!$A$2:$T$999,3,0),"")</f>
        <v/>
      </c>
      <c r="D129" s="91" t="str">
        <f>IFERROR(VLOOKUP(A129,'Salary Calculation'!$A$2:$T$999,6,0),"")</f>
        <v/>
      </c>
      <c r="E129" s="91" t="str">
        <f>IFERROR(VLOOKUP(A129,'Salary Calculation'!$A$2:$T$999,8,0),"")</f>
        <v/>
      </c>
      <c r="F129" s="92" t="str">
        <f>IFERROR(VLOOKUP(C129,'Employees List'!$B$2:H999,6,0),"")</f>
        <v/>
      </c>
      <c r="G129" s="93"/>
      <c r="H129" s="94"/>
      <c r="I129" s="46"/>
      <c r="J129" s="46"/>
      <c r="K129" s="46"/>
      <c r="L129" s="46"/>
      <c r="M129" s="46"/>
      <c r="N129" s="46"/>
      <c r="O129" s="46"/>
      <c r="P129" s="46"/>
      <c r="Q129" s="46"/>
      <c r="R129" s="46"/>
      <c r="S129" s="46"/>
      <c r="T129" s="46"/>
      <c r="U129" s="46"/>
      <c r="V129" s="46"/>
      <c r="W129" s="46"/>
      <c r="X129" s="46"/>
      <c r="Y129" s="46"/>
      <c r="Z129" s="46"/>
      <c r="AA129" s="46"/>
      <c r="AB129" s="46"/>
    </row>
    <row r="130" hidden="1">
      <c r="A130" s="90" t="s">
        <v>347</v>
      </c>
      <c r="B130" s="91" t="str">
        <f>IFERROR(VLOOKUP(A130,'Salary Calculation'!A130:F1127,2,0),"")</f>
        <v/>
      </c>
      <c r="C130" s="91" t="str">
        <f>IFERROR(VLOOKUP(A130,'Salary Calculation'!$A$2:$T$999,3,0),"")</f>
        <v/>
      </c>
      <c r="D130" s="91" t="str">
        <f>IFERROR(VLOOKUP(A130,'Salary Calculation'!$A$2:$T$999,6,0),"")</f>
        <v/>
      </c>
      <c r="E130" s="91" t="str">
        <f>IFERROR(VLOOKUP(A130,'Salary Calculation'!$A$2:$T$999,8,0),"")</f>
        <v/>
      </c>
      <c r="F130" s="92" t="str">
        <f>IFERROR(VLOOKUP(C130,'Employees List'!$B$2:H999,6,0),"")</f>
        <v/>
      </c>
      <c r="G130" s="93"/>
      <c r="H130" s="94"/>
      <c r="I130" s="46"/>
      <c r="J130" s="46"/>
      <c r="K130" s="46"/>
      <c r="L130" s="46"/>
      <c r="M130" s="46"/>
      <c r="N130" s="46"/>
      <c r="O130" s="46"/>
      <c r="P130" s="46"/>
      <c r="Q130" s="46"/>
      <c r="R130" s="46"/>
      <c r="S130" s="46"/>
      <c r="T130" s="46"/>
      <c r="U130" s="46"/>
      <c r="V130" s="46"/>
      <c r="W130" s="46"/>
      <c r="X130" s="46"/>
      <c r="Y130" s="46"/>
      <c r="Z130" s="46"/>
      <c r="AA130" s="46"/>
      <c r="AB130" s="46"/>
    </row>
    <row r="131" hidden="1">
      <c r="A131" s="90" t="s">
        <v>348</v>
      </c>
      <c r="B131" s="91" t="str">
        <f>IFERROR(VLOOKUP(A131,'Salary Calculation'!A131:F1128,2,0),"")</f>
        <v/>
      </c>
      <c r="C131" s="91" t="str">
        <f>IFERROR(VLOOKUP(A131,'Salary Calculation'!$A$2:$T$999,3,0),"")</f>
        <v/>
      </c>
      <c r="D131" s="91" t="str">
        <f>IFERROR(VLOOKUP(A131,'Salary Calculation'!$A$2:$T$999,6,0),"")</f>
        <v/>
      </c>
      <c r="E131" s="91" t="str">
        <f>IFERROR(VLOOKUP(A131,'Salary Calculation'!$A$2:$T$999,8,0),"")</f>
        <v/>
      </c>
      <c r="F131" s="92" t="str">
        <f>IFERROR(VLOOKUP(C131,'Employees List'!$B$2:H999,6,0),"")</f>
        <v/>
      </c>
      <c r="G131" s="93"/>
      <c r="H131" s="94"/>
      <c r="I131" s="46"/>
      <c r="J131" s="46"/>
      <c r="K131" s="46"/>
      <c r="L131" s="46"/>
      <c r="M131" s="46"/>
      <c r="N131" s="46"/>
      <c r="O131" s="46"/>
      <c r="P131" s="46"/>
      <c r="Q131" s="46"/>
      <c r="R131" s="46"/>
      <c r="S131" s="46"/>
      <c r="T131" s="46"/>
      <c r="U131" s="46"/>
      <c r="V131" s="46"/>
      <c r="W131" s="46"/>
      <c r="X131" s="46"/>
      <c r="Y131" s="46"/>
      <c r="Z131" s="46"/>
      <c r="AA131" s="46"/>
      <c r="AB131" s="46"/>
    </row>
    <row r="132" hidden="1">
      <c r="A132" s="90" t="s">
        <v>349</v>
      </c>
      <c r="B132" s="91" t="str">
        <f>IFERROR(VLOOKUP(A132,'Salary Calculation'!A132:F1129,2,0),"")</f>
        <v/>
      </c>
      <c r="C132" s="91" t="str">
        <f>IFERROR(VLOOKUP(A132,'Salary Calculation'!$A$2:$T$999,3,0),"")</f>
        <v/>
      </c>
      <c r="D132" s="91" t="str">
        <f>IFERROR(VLOOKUP(A132,'Salary Calculation'!$A$2:$T$999,6,0),"")</f>
        <v/>
      </c>
      <c r="E132" s="91" t="str">
        <f>IFERROR(VLOOKUP(A132,'Salary Calculation'!$A$2:$T$999,8,0),"")</f>
        <v/>
      </c>
      <c r="F132" s="92" t="str">
        <f>IFERROR(VLOOKUP(C132,'Employees List'!$B$2:H999,6,0),"")</f>
        <v/>
      </c>
      <c r="G132" s="93"/>
      <c r="H132" s="94"/>
      <c r="I132" s="46"/>
      <c r="J132" s="46"/>
      <c r="K132" s="46"/>
      <c r="L132" s="46"/>
      <c r="M132" s="46"/>
      <c r="N132" s="46"/>
      <c r="O132" s="46"/>
      <c r="P132" s="46"/>
      <c r="Q132" s="46"/>
      <c r="R132" s="46"/>
      <c r="S132" s="46"/>
      <c r="T132" s="46"/>
      <c r="U132" s="46"/>
      <c r="V132" s="46"/>
      <c r="W132" s="46"/>
      <c r="X132" s="46"/>
      <c r="Y132" s="46"/>
      <c r="Z132" s="46"/>
      <c r="AA132" s="46"/>
      <c r="AB132" s="46"/>
    </row>
    <row r="133" hidden="1">
      <c r="A133" s="90" t="s">
        <v>350</v>
      </c>
      <c r="B133" s="91" t="str">
        <f>IFERROR(VLOOKUP(A133,'Salary Calculation'!A133:F1130,2,0),"")</f>
        <v/>
      </c>
      <c r="C133" s="91" t="str">
        <f>IFERROR(VLOOKUP(A133,'Salary Calculation'!$A$2:$T$999,3,0),"")</f>
        <v/>
      </c>
      <c r="D133" s="91" t="str">
        <f>IFERROR(VLOOKUP(A133,'Salary Calculation'!$A$2:$T$999,6,0),"")</f>
        <v/>
      </c>
      <c r="E133" s="91" t="str">
        <f>IFERROR(VLOOKUP(A133,'Salary Calculation'!$A$2:$T$999,8,0),"")</f>
        <v/>
      </c>
      <c r="F133" s="92" t="str">
        <f>IFERROR(VLOOKUP(C133,'Employees List'!$B$2:H999,6,0),"")</f>
        <v/>
      </c>
      <c r="G133" s="93"/>
      <c r="H133" s="94"/>
      <c r="I133" s="46"/>
      <c r="J133" s="46"/>
      <c r="K133" s="46"/>
      <c r="L133" s="46"/>
      <c r="M133" s="46"/>
      <c r="N133" s="46"/>
      <c r="O133" s="46"/>
      <c r="P133" s="46"/>
      <c r="Q133" s="46"/>
      <c r="R133" s="46"/>
      <c r="S133" s="46"/>
      <c r="T133" s="46"/>
      <c r="U133" s="46"/>
      <c r="V133" s="46"/>
      <c r="W133" s="46"/>
      <c r="X133" s="46"/>
      <c r="Y133" s="46"/>
      <c r="Z133" s="46"/>
      <c r="AA133" s="46"/>
      <c r="AB133" s="46"/>
    </row>
    <row r="134" hidden="1">
      <c r="A134" s="90" t="s">
        <v>351</v>
      </c>
      <c r="B134" s="91" t="str">
        <f>IFERROR(VLOOKUP(A134,'Salary Calculation'!A134:F1131,2,0),"")</f>
        <v/>
      </c>
      <c r="C134" s="91" t="str">
        <f>IFERROR(VLOOKUP(A134,'Salary Calculation'!$A$2:$T$999,3,0),"")</f>
        <v/>
      </c>
      <c r="D134" s="91" t="str">
        <f>IFERROR(VLOOKUP(A134,'Salary Calculation'!$A$2:$T$999,6,0),"")</f>
        <v/>
      </c>
      <c r="E134" s="91" t="str">
        <f>IFERROR(VLOOKUP(A134,'Salary Calculation'!$A$2:$T$999,8,0),"")</f>
        <v/>
      </c>
      <c r="F134" s="92" t="str">
        <f>IFERROR(VLOOKUP(C134,'Employees List'!$B$2:H999,6,0),"")</f>
        <v/>
      </c>
      <c r="G134" s="93"/>
      <c r="H134" s="94"/>
      <c r="I134" s="46"/>
      <c r="J134" s="46"/>
      <c r="K134" s="46"/>
      <c r="L134" s="46"/>
      <c r="M134" s="46"/>
      <c r="N134" s="46"/>
      <c r="O134" s="46"/>
      <c r="P134" s="46"/>
      <c r="Q134" s="46"/>
      <c r="R134" s="46"/>
      <c r="S134" s="46"/>
      <c r="T134" s="46"/>
      <c r="U134" s="46"/>
      <c r="V134" s="46"/>
      <c r="W134" s="46"/>
      <c r="X134" s="46"/>
      <c r="Y134" s="46"/>
      <c r="Z134" s="46"/>
      <c r="AA134" s="46"/>
      <c r="AB134" s="46"/>
    </row>
    <row r="135" hidden="1">
      <c r="A135" s="90" t="s">
        <v>352</v>
      </c>
      <c r="B135" s="91" t="str">
        <f>IFERROR(VLOOKUP(A135,'Salary Calculation'!A135:F1132,2,0),"")</f>
        <v/>
      </c>
      <c r="C135" s="91" t="str">
        <f>IFERROR(VLOOKUP(A135,'Salary Calculation'!$A$2:$T$999,3,0),"")</f>
        <v/>
      </c>
      <c r="D135" s="91" t="str">
        <f>IFERROR(VLOOKUP(A135,'Salary Calculation'!$A$2:$T$999,6,0),"")</f>
        <v/>
      </c>
      <c r="E135" s="91" t="str">
        <f>IFERROR(VLOOKUP(A135,'Salary Calculation'!$A$2:$T$999,8,0),"")</f>
        <v/>
      </c>
      <c r="F135" s="92" t="str">
        <f>IFERROR(VLOOKUP(C135,'Employees List'!$B$2:H999,6,0),"")</f>
        <v/>
      </c>
      <c r="G135" s="93"/>
      <c r="H135" s="94"/>
      <c r="I135" s="46"/>
      <c r="J135" s="46"/>
      <c r="K135" s="46"/>
      <c r="L135" s="46"/>
      <c r="M135" s="46"/>
      <c r="N135" s="46"/>
      <c r="O135" s="46"/>
      <c r="P135" s="46"/>
      <c r="Q135" s="46"/>
      <c r="R135" s="46"/>
      <c r="S135" s="46"/>
      <c r="T135" s="46"/>
      <c r="U135" s="46"/>
      <c r="V135" s="46"/>
      <c r="W135" s="46"/>
      <c r="X135" s="46"/>
      <c r="Y135" s="46"/>
      <c r="Z135" s="46"/>
      <c r="AA135" s="46"/>
      <c r="AB135" s="46"/>
    </row>
    <row r="136" hidden="1">
      <c r="A136" s="90" t="s">
        <v>353</v>
      </c>
      <c r="B136" s="91" t="str">
        <f>IFERROR(VLOOKUP(A136,'Salary Calculation'!A136:F1133,2,0),"")</f>
        <v/>
      </c>
      <c r="C136" s="91" t="str">
        <f>IFERROR(VLOOKUP(A136,'Salary Calculation'!$A$2:$T$999,3,0),"")</f>
        <v/>
      </c>
      <c r="D136" s="91" t="str">
        <f>IFERROR(VLOOKUP(A136,'Salary Calculation'!$A$2:$T$999,6,0),"")</f>
        <v/>
      </c>
      <c r="E136" s="91" t="str">
        <f>IFERROR(VLOOKUP(A136,'Salary Calculation'!$A$2:$T$999,8,0),"")</f>
        <v/>
      </c>
      <c r="F136" s="92" t="str">
        <f>IFERROR(VLOOKUP(C136,'Employees List'!$B$2:H999,6,0),"")</f>
        <v/>
      </c>
      <c r="G136" s="93"/>
      <c r="H136" s="94"/>
      <c r="I136" s="46"/>
      <c r="J136" s="46"/>
      <c r="K136" s="46"/>
      <c r="L136" s="46"/>
      <c r="M136" s="46"/>
      <c r="N136" s="46"/>
      <c r="O136" s="46"/>
      <c r="P136" s="46"/>
      <c r="Q136" s="46"/>
      <c r="R136" s="46"/>
      <c r="S136" s="46"/>
      <c r="T136" s="46"/>
      <c r="U136" s="46"/>
      <c r="V136" s="46"/>
      <c r="W136" s="46"/>
      <c r="X136" s="46"/>
      <c r="Y136" s="46"/>
      <c r="Z136" s="46"/>
      <c r="AA136" s="46"/>
      <c r="AB136" s="46"/>
    </row>
    <row r="137" hidden="1">
      <c r="A137" s="90" t="s">
        <v>354</v>
      </c>
      <c r="B137" s="91" t="str">
        <f>IFERROR(VLOOKUP(A137,'Salary Calculation'!A137:F1134,2,0),"")</f>
        <v/>
      </c>
      <c r="C137" s="91" t="str">
        <f>IFERROR(VLOOKUP(A137,'Salary Calculation'!$A$2:$T$999,3,0),"")</f>
        <v/>
      </c>
      <c r="D137" s="91" t="str">
        <f>IFERROR(VLOOKUP(A137,'Salary Calculation'!$A$2:$T$999,6,0),"")</f>
        <v/>
      </c>
      <c r="E137" s="91" t="str">
        <f>IFERROR(VLOOKUP(A137,'Salary Calculation'!$A$2:$T$999,8,0),"")</f>
        <v/>
      </c>
      <c r="F137" s="92" t="str">
        <f>IFERROR(VLOOKUP(C137,'Employees List'!$B$2:H999,6,0),"")</f>
        <v/>
      </c>
      <c r="G137" s="93"/>
      <c r="H137" s="94"/>
      <c r="I137" s="46"/>
      <c r="J137" s="46"/>
      <c r="K137" s="46"/>
      <c r="L137" s="46"/>
      <c r="M137" s="46"/>
      <c r="N137" s="46"/>
      <c r="O137" s="46"/>
      <c r="P137" s="46"/>
      <c r="Q137" s="46"/>
      <c r="R137" s="46"/>
      <c r="S137" s="46"/>
      <c r="T137" s="46"/>
      <c r="U137" s="46"/>
      <c r="V137" s="46"/>
      <c r="W137" s="46"/>
      <c r="X137" s="46"/>
      <c r="Y137" s="46"/>
      <c r="Z137" s="46"/>
      <c r="AA137" s="46"/>
      <c r="AB137" s="46"/>
    </row>
    <row r="138" hidden="1">
      <c r="A138" s="90" t="s">
        <v>355</v>
      </c>
      <c r="B138" s="91" t="str">
        <f>IFERROR(VLOOKUP(A138,'Salary Calculation'!A138:F1135,2,0),"")</f>
        <v/>
      </c>
      <c r="C138" s="91" t="str">
        <f>IFERROR(VLOOKUP(A138,'Salary Calculation'!$A$2:$T$999,3,0),"")</f>
        <v/>
      </c>
      <c r="D138" s="91" t="str">
        <f>IFERROR(VLOOKUP(A138,'Salary Calculation'!$A$2:$T$999,6,0),"")</f>
        <v/>
      </c>
      <c r="E138" s="91" t="str">
        <f>IFERROR(VLOOKUP(A138,'Salary Calculation'!$A$2:$T$999,8,0),"")</f>
        <v/>
      </c>
      <c r="F138" s="92" t="str">
        <f>IFERROR(VLOOKUP(C138,'Employees List'!$B$2:H999,6,0),"")</f>
        <v/>
      </c>
      <c r="G138" s="93"/>
      <c r="H138" s="94"/>
      <c r="I138" s="46"/>
      <c r="J138" s="46"/>
      <c r="K138" s="46"/>
      <c r="L138" s="46"/>
      <c r="M138" s="46"/>
      <c r="N138" s="46"/>
      <c r="O138" s="46"/>
      <c r="P138" s="46"/>
      <c r="Q138" s="46"/>
      <c r="R138" s="46"/>
      <c r="S138" s="46"/>
      <c r="T138" s="46"/>
      <c r="U138" s="46"/>
      <c r="V138" s="46"/>
      <c r="W138" s="46"/>
      <c r="X138" s="46"/>
      <c r="Y138" s="46"/>
      <c r="Z138" s="46"/>
      <c r="AA138" s="46"/>
      <c r="AB138" s="46"/>
    </row>
    <row r="139" hidden="1">
      <c r="A139" s="90" t="s">
        <v>356</v>
      </c>
      <c r="B139" s="91" t="str">
        <f>IFERROR(VLOOKUP(A139,'Salary Calculation'!A139:F1136,2,0),"")</f>
        <v/>
      </c>
      <c r="C139" s="91" t="str">
        <f>IFERROR(VLOOKUP(A139,'Salary Calculation'!$A$2:$T$999,3,0),"")</f>
        <v/>
      </c>
      <c r="D139" s="91" t="str">
        <f>IFERROR(VLOOKUP(A139,'Salary Calculation'!$A$2:$T$999,6,0),"")</f>
        <v/>
      </c>
      <c r="E139" s="91" t="str">
        <f>IFERROR(VLOOKUP(A139,'Salary Calculation'!$A$2:$T$999,8,0),"")</f>
        <v/>
      </c>
      <c r="F139" s="92" t="str">
        <f>IFERROR(VLOOKUP(C139,'Employees List'!$B$2:H999,6,0),"")</f>
        <v/>
      </c>
      <c r="G139" s="93"/>
      <c r="H139" s="94"/>
      <c r="I139" s="46"/>
      <c r="J139" s="46"/>
      <c r="K139" s="46"/>
      <c r="L139" s="46"/>
      <c r="M139" s="46"/>
      <c r="N139" s="46"/>
      <c r="O139" s="46"/>
      <c r="P139" s="46"/>
      <c r="Q139" s="46"/>
      <c r="R139" s="46"/>
      <c r="S139" s="46"/>
      <c r="T139" s="46"/>
      <c r="U139" s="46"/>
      <c r="V139" s="46"/>
      <c r="W139" s="46"/>
      <c r="X139" s="46"/>
      <c r="Y139" s="46"/>
      <c r="Z139" s="46"/>
      <c r="AA139" s="46"/>
      <c r="AB139" s="46"/>
    </row>
    <row r="140" hidden="1">
      <c r="A140" s="90" t="s">
        <v>357</v>
      </c>
      <c r="B140" s="91" t="str">
        <f>IFERROR(VLOOKUP(A140,'Salary Calculation'!A140:F1137,2,0),"")</f>
        <v/>
      </c>
      <c r="C140" s="91" t="str">
        <f>IFERROR(VLOOKUP(A140,'Salary Calculation'!$A$2:$T$999,3,0),"")</f>
        <v/>
      </c>
      <c r="D140" s="91" t="str">
        <f>IFERROR(VLOOKUP(A140,'Salary Calculation'!$A$2:$T$999,6,0),"")</f>
        <v/>
      </c>
      <c r="E140" s="91" t="str">
        <f>IFERROR(VLOOKUP(A140,'Salary Calculation'!$A$2:$T$999,8,0),"")</f>
        <v/>
      </c>
      <c r="F140" s="92" t="str">
        <f>IFERROR(VLOOKUP(C140,'Employees List'!$B$2:H999,6,0),"")</f>
        <v/>
      </c>
      <c r="G140" s="93"/>
      <c r="H140" s="94"/>
      <c r="I140" s="46"/>
      <c r="J140" s="46"/>
      <c r="K140" s="46"/>
      <c r="L140" s="46"/>
      <c r="M140" s="46"/>
      <c r="N140" s="46"/>
      <c r="O140" s="46"/>
      <c r="P140" s="46"/>
      <c r="Q140" s="46"/>
      <c r="R140" s="46"/>
      <c r="S140" s="46"/>
      <c r="T140" s="46"/>
      <c r="U140" s="46"/>
      <c r="V140" s="46"/>
      <c r="W140" s="46"/>
      <c r="X140" s="46"/>
      <c r="Y140" s="46"/>
      <c r="Z140" s="46"/>
      <c r="AA140" s="46"/>
      <c r="AB140" s="46"/>
    </row>
    <row r="141" hidden="1">
      <c r="A141" s="90" t="s">
        <v>358</v>
      </c>
      <c r="B141" s="91" t="str">
        <f>IFERROR(VLOOKUP(A141,'Salary Calculation'!A141:F1138,2,0),"")</f>
        <v/>
      </c>
      <c r="C141" s="91" t="str">
        <f>IFERROR(VLOOKUP(A141,'Salary Calculation'!$A$2:$T$999,3,0),"")</f>
        <v/>
      </c>
      <c r="D141" s="91" t="str">
        <f>IFERROR(VLOOKUP(A141,'Salary Calculation'!$A$2:$T$999,6,0),"")</f>
        <v/>
      </c>
      <c r="E141" s="91" t="str">
        <f>IFERROR(VLOOKUP(A141,'Salary Calculation'!$A$2:$T$999,8,0),"")</f>
        <v/>
      </c>
      <c r="F141" s="92" t="str">
        <f>IFERROR(VLOOKUP(C141,'Employees List'!$B$2:H999,6,0),"")</f>
        <v/>
      </c>
      <c r="G141" s="93"/>
      <c r="H141" s="94"/>
      <c r="I141" s="46"/>
      <c r="J141" s="46"/>
      <c r="K141" s="46"/>
      <c r="L141" s="46"/>
      <c r="M141" s="46"/>
      <c r="N141" s="46"/>
      <c r="O141" s="46"/>
      <c r="P141" s="46"/>
      <c r="Q141" s="46"/>
      <c r="R141" s="46"/>
      <c r="S141" s="46"/>
      <c r="T141" s="46"/>
      <c r="U141" s="46"/>
      <c r="V141" s="46"/>
      <c r="W141" s="46"/>
      <c r="X141" s="46"/>
      <c r="Y141" s="46"/>
      <c r="Z141" s="46"/>
      <c r="AA141" s="46"/>
      <c r="AB141" s="46"/>
    </row>
    <row r="142" hidden="1">
      <c r="A142" s="90" t="s">
        <v>359</v>
      </c>
      <c r="B142" s="91" t="str">
        <f>IFERROR(VLOOKUP(A142,'Salary Calculation'!A142:F1139,2,0),"")</f>
        <v/>
      </c>
      <c r="C142" s="91" t="str">
        <f>IFERROR(VLOOKUP(A142,'Salary Calculation'!$A$2:$T$999,3,0),"")</f>
        <v/>
      </c>
      <c r="D142" s="91" t="str">
        <f>IFERROR(VLOOKUP(A142,'Salary Calculation'!$A$2:$T$999,6,0),"")</f>
        <v/>
      </c>
      <c r="E142" s="91" t="str">
        <f>IFERROR(VLOOKUP(A142,'Salary Calculation'!$A$2:$T$999,8,0),"")</f>
        <v/>
      </c>
      <c r="F142" s="92" t="str">
        <f>IFERROR(VLOOKUP(C142,'Employees List'!$B$2:H999,6,0),"")</f>
        <v/>
      </c>
      <c r="G142" s="93"/>
      <c r="H142" s="94"/>
      <c r="I142" s="46"/>
      <c r="J142" s="46"/>
      <c r="K142" s="46"/>
      <c r="L142" s="46"/>
      <c r="M142" s="46"/>
      <c r="N142" s="46"/>
      <c r="O142" s="46"/>
      <c r="P142" s="46"/>
      <c r="Q142" s="46"/>
      <c r="R142" s="46"/>
      <c r="S142" s="46"/>
      <c r="T142" s="46"/>
      <c r="U142" s="46"/>
      <c r="V142" s="46"/>
      <c r="W142" s="46"/>
      <c r="X142" s="46"/>
      <c r="Y142" s="46"/>
      <c r="Z142" s="46"/>
      <c r="AA142" s="46"/>
      <c r="AB142" s="46"/>
    </row>
    <row r="143" hidden="1">
      <c r="A143" s="90" t="s">
        <v>360</v>
      </c>
      <c r="B143" s="91" t="str">
        <f>IFERROR(VLOOKUP(A143,'Salary Calculation'!A143:F1140,2,0),"")</f>
        <v/>
      </c>
      <c r="C143" s="91" t="str">
        <f>IFERROR(VLOOKUP(A143,'Salary Calculation'!$A$2:$T$999,3,0),"")</f>
        <v/>
      </c>
      <c r="D143" s="91" t="str">
        <f>IFERROR(VLOOKUP(A143,'Salary Calculation'!$A$2:$T$999,6,0),"")</f>
        <v/>
      </c>
      <c r="E143" s="91" t="str">
        <f>IFERROR(VLOOKUP(A143,'Salary Calculation'!$A$2:$T$999,8,0),"")</f>
        <v/>
      </c>
      <c r="F143" s="92" t="str">
        <f>IFERROR(VLOOKUP(C143,'Employees List'!$B$2:H999,6,0),"")</f>
        <v/>
      </c>
      <c r="G143" s="93"/>
      <c r="H143" s="94"/>
      <c r="I143" s="46"/>
      <c r="J143" s="46"/>
      <c r="K143" s="46"/>
      <c r="L143" s="46"/>
      <c r="M143" s="46"/>
      <c r="N143" s="46"/>
      <c r="O143" s="46"/>
      <c r="P143" s="46"/>
      <c r="Q143" s="46"/>
      <c r="R143" s="46"/>
      <c r="S143" s="46"/>
      <c r="T143" s="46"/>
      <c r="U143" s="46"/>
      <c r="V143" s="46"/>
      <c r="W143" s="46"/>
      <c r="X143" s="46"/>
      <c r="Y143" s="46"/>
      <c r="Z143" s="46"/>
      <c r="AA143" s="46"/>
      <c r="AB143" s="46"/>
    </row>
    <row r="144" hidden="1">
      <c r="A144" s="90" t="s">
        <v>361</v>
      </c>
      <c r="B144" s="91" t="str">
        <f>IFERROR(VLOOKUP(A144,'Salary Calculation'!A144:F1141,2,0),"")</f>
        <v/>
      </c>
      <c r="C144" s="91" t="str">
        <f>IFERROR(VLOOKUP(A144,'Salary Calculation'!$A$2:$T$999,3,0),"")</f>
        <v/>
      </c>
      <c r="D144" s="91" t="str">
        <f>IFERROR(VLOOKUP(A144,'Salary Calculation'!$A$2:$T$999,6,0),"")</f>
        <v/>
      </c>
      <c r="E144" s="91" t="str">
        <f>IFERROR(VLOOKUP(A144,'Salary Calculation'!$A$2:$T$999,8,0),"")</f>
        <v/>
      </c>
      <c r="F144" s="92" t="str">
        <f>IFERROR(VLOOKUP(C144,'Employees List'!$B$2:H999,6,0),"")</f>
        <v/>
      </c>
      <c r="G144" s="93"/>
      <c r="H144" s="94"/>
      <c r="I144" s="46"/>
      <c r="J144" s="46"/>
      <c r="K144" s="46"/>
      <c r="L144" s="46"/>
      <c r="M144" s="46"/>
      <c r="N144" s="46"/>
      <c r="O144" s="46"/>
      <c r="P144" s="46"/>
      <c r="Q144" s="46"/>
      <c r="R144" s="46"/>
      <c r="S144" s="46"/>
      <c r="T144" s="46"/>
      <c r="U144" s="46"/>
      <c r="V144" s="46"/>
      <c r="W144" s="46"/>
      <c r="X144" s="46"/>
      <c r="Y144" s="46"/>
      <c r="Z144" s="46"/>
      <c r="AA144" s="46"/>
      <c r="AB144" s="46"/>
    </row>
    <row r="145" hidden="1">
      <c r="A145" s="90" t="s">
        <v>362</v>
      </c>
      <c r="B145" s="91" t="str">
        <f>IFERROR(VLOOKUP(A145,'Salary Calculation'!A145:F1142,2,0),"")</f>
        <v/>
      </c>
      <c r="C145" s="91" t="str">
        <f>IFERROR(VLOOKUP(A145,'Salary Calculation'!$A$2:$T$999,3,0),"")</f>
        <v/>
      </c>
      <c r="D145" s="91" t="str">
        <f>IFERROR(VLOOKUP(A145,'Salary Calculation'!$A$2:$T$999,6,0),"")</f>
        <v/>
      </c>
      <c r="E145" s="91" t="str">
        <f>IFERROR(VLOOKUP(A145,'Salary Calculation'!$A$2:$T$999,8,0),"")</f>
        <v/>
      </c>
      <c r="F145" s="92" t="str">
        <f>IFERROR(VLOOKUP(C145,'Employees List'!$B$2:H999,6,0),"")</f>
        <v/>
      </c>
      <c r="G145" s="93"/>
      <c r="H145" s="94"/>
      <c r="I145" s="46"/>
      <c r="J145" s="46"/>
      <c r="K145" s="46"/>
      <c r="L145" s="46"/>
      <c r="M145" s="46"/>
      <c r="N145" s="46"/>
      <c r="O145" s="46"/>
      <c r="P145" s="46"/>
      <c r="Q145" s="46"/>
      <c r="R145" s="46"/>
      <c r="S145" s="46"/>
      <c r="T145" s="46"/>
      <c r="U145" s="46"/>
      <c r="V145" s="46"/>
      <c r="W145" s="46"/>
      <c r="X145" s="46"/>
      <c r="Y145" s="46"/>
      <c r="Z145" s="46"/>
      <c r="AA145" s="46"/>
      <c r="AB145" s="46"/>
    </row>
    <row r="146" hidden="1">
      <c r="A146" s="90" t="s">
        <v>363</v>
      </c>
      <c r="B146" s="91" t="str">
        <f>IFERROR(VLOOKUP(A146,'Salary Calculation'!A146:F1143,2,0),"")</f>
        <v/>
      </c>
      <c r="C146" s="91" t="str">
        <f>IFERROR(VLOOKUP(A146,'Salary Calculation'!$A$2:$T$999,3,0),"")</f>
        <v/>
      </c>
      <c r="D146" s="91" t="str">
        <f>IFERROR(VLOOKUP(A146,'Salary Calculation'!$A$2:$T$999,6,0),"")</f>
        <v/>
      </c>
      <c r="E146" s="91" t="str">
        <f>IFERROR(VLOOKUP(A146,'Salary Calculation'!$A$2:$T$999,8,0),"")</f>
        <v/>
      </c>
      <c r="F146" s="92" t="str">
        <f>IFERROR(VLOOKUP(C146,'Employees List'!$B$2:H999,6,0),"")</f>
        <v/>
      </c>
      <c r="G146" s="93"/>
      <c r="H146" s="94"/>
      <c r="I146" s="46"/>
      <c r="J146" s="46"/>
      <c r="K146" s="46"/>
      <c r="L146" s="46"/>
      <c r="M146" s="46"/>
      <c r="N146" s="46"/>
      <c r="O146" s="46"/>
      <c r="P146" s="46"/>
      <c r="Q146" s="46"/>
      <c r="R146" s="46"/>
      <c r="S146" s="46"/>
      <c r="T146" s="46"/>
      <c r="U146" s="46"/>
      <c r="V146" s="46"/>
      <c r="W146" s="46"/>
      <c r="X146" s="46"/>
      <c r="Y146" s="46"/>
      <c r="Z146" s="46"/>
      <c r="AA146" s="46"/>
      <c r="AB146" s="46"/>
    </row>
    <row r="147" hidden="1">
      <c r="A147" s="90" t="s">
        <v>364</v>
      </c>
      <c r="B147" s="91" t="str">
        <f>IFERROR(VLOOKUP(A147,'Salary Calculation'!A147:F1144,2,0),"")</f>
        <v/>
      </c>
      <c r="C147" s="91" t="str">
        <f>IFERROR(VLOOKUP(A147,'Salary Calculation'!$A$2:$T$999,3,0),"")</f>
        <v/>
      </c>
      <c r="D147" s="91" t="str">
        <f>IFERROR(VLOOKUP(A147,'Salary Calculation'!$A$2:$T$999,6,0),"")</f>
        <v/>
      </c>
      <c r="E147" s="91" t="str">
        <f>IFERROR(VLOOKUP(A147,'Salary Calculation'!$A$2:$T$999,8,0),"")</f>
        <v/>
      </c>
      <c r="F147" s="92" t="str">
        <f>IFERROR(VLOOKUP(C147,'Employees List'!$B$2:H999,6,0),"")</f>
        <v/>
      </c>
      <c r="G147" s="93"/>
      <c r="H147" s="94"/>
      <c r="I147" s="46"/>
      <c r="J147" s="46"/>
      <c r="K147" s="46"/>
      <c r="L147" s="46"/>
      <c r="M147" s="46"/>
      <c r="N147" s="46"/>
      <c r="O147" s="46"/>
      <c r="P147" s="46"/>
      <c r="Q147" s="46"/>
      <c r="R147" s="46"/>
      <c r="S147" s="46"/>
      <c r="T147" s="46"/>
      <c r="U147" s="46"/>
      <c r="V147" s="46"/>
      <c r="W147" s="46"/>
      <c r="X147" s="46"/>
      <c r="Y147" s="46"/>
      <c r="Z147" s="46"/>
      <c r="AA147" s="46"/>
      <c r="AB147" s="46"/>
    </row>
    <row r="148" hidden="1">
      <c r="A148" s="90" t="s">
        <v>365</v>
      </c>
      <c r="B148" s="91" t="str">
        <f>IFERROR(VLOOKUP(A148,'Salary Calculation'!A148:F1145,2,0),"")</f>
        <v/>
      </c>
      <c r="C148" s="91" t="str">
        <f>IFERROR(VLOOKUP(A148,'Salary Calculation'!$A$2:$T$999,3,0),"")</f>
        <v/>
      </c>
      <c r="D148" s="91" t="str">
        <f>IFERROR(VLOOKUP(A148,'Salary Calculation'!$A$2:$T$999,6,0),"")</f>
        <v/>
      </c>
      <c r="E148" s="91" t="str">
        <f>IFERROR(VLOOKUP(A148,'Salary Calculation'!$A$2:$T$999,8,0),"")</f>
        <v/>
      </c>
      <c r="F148" s="92" t="str">
        <f>IFERROR(VLOOKUP(C148,'Employees List'!$B$2:H999,6,0),"")</f>
        <v/>
      </c>
      <c r="G148" s="93"/>
      <c r="H148" s="94"/>
      <c r="I148" s="46"/>
      <c r="J148" s="46"/>
      <c r="K148" s="46"/>
      <c r="L148" s="46"/>
      <c r="M148" s="46"/>
      <c r="N148" s="46"/>
      <c r="O148" s="46"/>
      <c r="P148" s="46"/>
      <c r="Q148" s="46"/>
      <c r="R148" s="46"/>
      <c r="S148" s="46"/>
      <c r="T148" s="46"/>
      <c r="U148" s="46"/>
      <c r="V148" s="46"/>
      <c r="W148" s="46"/>
      <c r="X148" s="46"/>
      <c r="Y148" s="46"/>
      <c r="Z148" s="46"/>
      <c r="AA148" s="46"/>
      <c r="AB148" s="46"/>
    </row>
    <row r="149" hidden="1">
      <c r="A149" s="90" t="s">
        <v>366</v>
      </c>
      <c r="B149" s="91" t="str">
        <f>IFERROR(VLOOKUP(A149,'Salary Calculation'!A149:F1146,2,0),"")</f>
        <v/>
      </c>
      <c r="C149" s="91" t="str">
        <f>IFERROR(VLOOKUP(A149,'Salary Calculation'!$A$2:$T$999,3,0),"")</f>
        <v/>
      </c>
      <c r="D149" s="91" t="str">
        <f>IFERROR(VLOOKUP(A149,'Salary Calculation'!$A$2:$T$999,6,0),"")</f>
        <v/>
      </c>
      <c r="E149" s="91" t="str">
        <f>IFERROR(VLOOKUP(A149,'Salary Calculation'!$A$2:$T$999,8,0),"")</f>
        <v/>
      </c>
      <c r="F149" s="92" t="str">
        <f>IFERROR(VLOOKUP(C149,'Employees List'!$B$2:H999,6,0),"")</f>
        <v/>
      </c>
      <c r="G149" s="93"/>
      <c r="H149" s="94"/>
      <c r="I149" s="46"/>
      <c r="J149" s="46"/>
      <c r="K149" s="46"/>
      <c r="L149" s="46"/>
      <c r="M149" s="46"/>
      <c r="N149" s="46"/>
      <c r="O149" s="46"/>
      <c r="P149" s="46"/>
      <c r="Q149" s="46"/>
      <c r="R149" s="46"/>
      <c r="S149" s="46"/>
      <c r="T149" s="46"/>
      <c r="U149" s="46"/>
      <c r="V149" s="46"/>
      <c r="W149" s="46"/>
      <c r="X149" s="46"/>
      <c r="Y149" s="46"/>
      <c r="Z149" s="46"/>
      <c r="AA149" s="46"/>
      <c r="AB149" s="46"/>
    </row>
    <row r="150" hidden="1">
      <c r="A150" s="90" t="s">
        <v>367</v>
      </c>
      <c r="B150" s="91" t="str">
        <f>IFERROR(VLOOKUP(A150,'Salary Calculation'!A150:F1147,2,0),"")</f>
        <v/>
      </c>
      <c r="C150" s="91" t="str">
        <f>IFERROR(VLOOKUP(A150,'Salary Calculation'!$A$2:$T$999,3,0),"")</f>
        <v/>
      </c>
      <c r="D150" s="91" t="str">
        <f>IFERROR(VLOOKUP(A150,'Salary Calculation'!$A$2:$T$999,6,0),"")</f>
        <v/>
      </c>
      <c r="E150" s="91" t="str">
        <f>IFERROR(VLOOKUP(A150,'Salary Calculation'!$A$2:$T$999,8,0),"")</f>
        <v/>
      </c>
      <c r="F150" s="92" t="str">
        <f>IFERROR(VLOOKUP(C150,'Employees List'!$B$2:H999,6,0),"")</f>
        <v/>
      </c>
      <c r="G150" s="93"/>
      <c r="H150" s="94"/>
      <c r="I150" s="46"/>
      <c r="J150" s="46"/>
      <c r="K150" s="46"/>
      <c r="L150" s="46"/>
      <c r="M150" s="46"/>
      <c r="N150" s="46"/>
      <c r="O150" s="46"/>
      <c r="P150" s="46"/>
      <c r="Q150" s="46"/>
      <c r="R150" s="46"/>
      <c r="S150" s="46"/>
      <c r="T150" s="46"/>
      <c r="U150" s="46"/>
      <c r="V150" s="46"/>
      <c r="W150" s="46"/>
      <c r="X150" s="46"/>
      <c r="Y150" s="46"/>
      <c r="Z150" s="46"/>
      <c r="AA150" s="46"/>
      <c r="AB150" s="46"/>
    </row>
    <row r="151" hidden="1">
      <c r="A151" s="90" t="s">
        <v>368</v>
      </c>
      <c r="B151" s="91" t="str">
        <f>IFERROR(VLOOKUP(A151,'Salary Calculation'!A151:F1148,2,0),"")</f>
        <v/>
      </c>
      <c r="C151" s="91" t="str">
        <f>IFERROR(VLOOKUP(A151,'Salary Calculation'!$A$2:$T$999,3,0),"")</f>
        <v/>
      </c>
      <c r="D151" s="91" t="str">
        <f>IFERROR(VLOOKUP(A151,'Salary Calculation'!$A$2:$T$999,6,0),"")</f>
        <v/>
      </c>
      <c r="E151" s="91" t="str">
        <f>IFERROR(VLOOKUP(A151,'Salary Calculation'!$A$2:$T$999,8,0),"")</f>
        <v/>
      </c>
      <c r="F151" s="92" t="str">
        <f>IFERROR(VLOOKUP(C151,'Employees List'!$B$2:H999,6,0),"")</f>
        <v/>
      </c>
      <c r="G151" s="93"/>
      <c r="H151" s="94"/>
      <c r="I151" s="46"/>
      <c r="J151" s="46"/>
      <c r="K151" s="46"/>
      <c r="L151" s="46"/>
      <c r="M151" s="46"/>
      <c r="N151" s="46"/>
      <c r="O151" s="46"/>
      <c r="P151" s="46"/>
      <c r="Q151" s="46"/>
      <c r="R151" s="46"/>
      <c r="S151" s="46"/>
      <c r="T151" s="46"/>
      <c r="U151" s="46"/>
      <c r="V151" s="46"/>
      <c r="W151" s="46"/>
      <c r="X151" s="46"/>
      <c r="Y151" s="46"/>
      <c r="Z151" s="46"/>
      <c r="AA151" s="46"/>
      <c r="AB151" s="46"/>
    </row>
    <row r="152" hidden="1">
      <c r="A152" s="90" t="s">
        <v>369</v>
      </c>
      <c r="B152" s="91" t="str">
        <f>IFERROR(VLOOKUP(A152,'Salary Calculation'!A152:F1149,2,0),"")</f>
        <v/>
      </c>
      <c r="C152" s="91" t="str">
        <f>IFERROR(VLOOKUP(A152,'Salary Calculation'!$A$2:$T$999,3,0),"")</f>
        <v/>
      </c>
      <c r="D152" s="91" t="str">
        <f>IFERROR(VLOOKUP(A152,'Salary Calculation'!$A$2:$T$999,6,0),"")</f>
        <v/>
      </c>
      <c r="E152" s="91" t="str">
        <f>IFERROR(VLOOKUP(A152,'Salary Calculation'!$A$2:$T$999,8,0),"")</f>
        <v/>
      </c>
      <c r="F152" s="92" t="str">
        <f>IFERROR(VLOOKUP(C152,'Employees List'!$B$2:H999,6,0),"")</f>
        <v/>
      </c>
      <c r="G152" s="93"/>
      <c r="H152" s="94"/>
      <c r="I152" s="46"/>
      <c r="J152" s="46"/>
      <c r="K152" s="46"/>
      <c r="L152" s="46"/>
      <c r="M152" s="46"/>
      <c r="N152" s="46"/>
      <c r="O152" s="46"/>
      <c r="P152" s="46"/>
      <c r="Q152" s="46"/>
      <c r="R152" s="46"/>
      <c r="S152" s="46"/>
      <c r="T152" s="46"/>
      <c r="U152" s="46"/>
      <c r="V152" s="46"/>
      <c r="W152" s="46"/>
      <c r="X152" s="46"/>
      <c r="Y152" s="46"/>
      <c r="Z152" s="46"/>
      <c r="AA152" s="46"/>
      <c r="AB152" s="46"/>
    </row>
    <row r="153" hidden="1">
      <c r="A153" s="90" t="s">
        <v>370</v>
      </c>
      <c r="B153" s="91" t="str">
        <f>IFERROR(VLOOKUP(A153,'Salary Calculation'!A153:F1150,2,0),"")</f>
        <v/>
      </c>
      <c r="C153" s="91" t="str">
        <f>IFERROR(VLOOKUP(A153,'Salary Calculation'!$A$2:$T$999,3,0),"")</f>
        <v/>
      </c>
      <c r="D153" s="91" t="str">
        <f>IFERROR(VLOOKUP(A153,'Salary Calculation'!$A$2:$T$999,6,0),"")</f>
        <v/>
      </c>
      <c r="E153" s="91" t="str">
        <f>IFERROR(VLOOKUP(A153,'Salary Calculation'!$A$2:$T$999,8,0),"")</f>
        <v/>
      </c>
      <c r="F153" s="92" t="str">
        <f>IFERROR(VLOOKUP(C153,'Employees List'!$B$2:H999,6,0),"")</f>
        <v/>
      </c>
      <c r="G153" s="93"/>
      <c r="H153" s="94"/>
      <c r="I153" s="46"/>
      <c r="J153" s="46"/>
      <c r="K153" s="46"/>
      <c r="L153" s="46"/>
      <c r="M153" s="46"/>
      <c r="N153" s="46"/>
      <c r="O153" s="46"/>
      <c r="P153" s="46"/>
      <c r="Q153" s="46"/>
      <c r="R153" s="46"/>
      <c r="S153" s="46"/>
      <c r="T153" s="46"/>
      <c r="U153" s="46"/>
      <c r="V153" s="46"/>
      <c r="W153" s="46"/>
      <c r="X153" s="46"/>
      <c r="Y153" s="46"/>
      <c r="Z153" s="46"/>
      <c r="AA153" s="46"/>
      <c r="AB153" s="46"/>
    </row>
    <row r="154" hidden="1">
      <c r="A154" s="90" t="s">
        <v>371</v>
      </c>
      <c r="B154" s="91" t="str">
        <f>IFERROR(VLOOKUP(A154,'Salary Calculation'!A154:F1151,2,0),"")</f>
        <v/>
      </c>
      <c r="C154" s="91" t="str">
        <f>IFERROR(VLOOKUP(A154,'Salary Calculation'!$A$2:$T$999,3,0),"")</f>
        <v/>
      </c>
      <c r="D154" s="91" t="str">
        <f>IFERROR(VLOOKUP(A154,'Salary Calculation'!$A$2:$T$999,6,0),"")</f>
        <v/>
      </c>
      <c r="E154" s="91" t="str">
        <f>IFERROR(VLOOKUP(A154,'Salary Calculation'!$A$2:$T$999,8,0),"")</f>
        <v/>
      </c>
      <c r="F154" s="92" t="str">
        <f>IFERROR(VLOOKUP(C154,'Employees List'!$B$2:H999,6,0),"")</f>
        <v/>
      </c>
      <c r="G154" s="93"/>
      <c r="H154" s="94"/>
      <c r="I154" s="46"/>
      <c r="J154" s="46"/>
      <c r="K154" s="46"/>
      <c r="L154" s="46"/>
      <c r="M154" s="46"/>
      <c r="N154" s="46"/>
      <c r="O154" s="46"/>
      <c r="P154" s="46"/>
      <c r="Q154" s="46"/>
      <c r="R154" s="46"/>
      <c r="S154" s="46"/>
      <c r="T154" s="46"/>
      <c r="U154" s="46"/>
      <c r="V154" s="46"/>
      <c r="W154" s="46"/>
      <c r="X154" s="46"/>
      <c r="Y154" s="46"/>
      <c r="Z154" s="46"/>
      <c r="AA154" s="46"/>
      <c r="AB154" s="46"/>
    </row>
    <row r="155" hidden="1">
      <c r="A155" s="90" t="s">
        <v>372</v>
      </c>
      <c r="B155" s="91" t="str">
        <f>IFERROR(VLOOKUP(A155,'Salary Calculation'!A155:F1152,2,0),"")</f>
        <v/>
      </c>
      <c r="C155" s="91" t="str">
        <f>IFERROR(VLOOKUP(A155,'Salary Calculation'!$A$2:$T$999,3,0),"")</f>
        <v/>
      </c>
      <c r="D155" s="91" t="str">
        <f>IFERROR(VLOOKUP(A155,'Salary Calculation'!$A$2:$T$999,6,0),"")</f>
        <v/>
      </c>
      <c r="E155" s="91" t="str">
        <f>IFERROR(VLOOKUP(A155,'Salary Calculation'!$A$2:$T$999,8,0),"")</f>
        <v/>
      </c>
      <c r="F155" s="92" t="str">
        <f>IFERROR(VLOOKUP(C155,'Employees List'!$B$2:H999,6,0),"")</f>
        <v/>
      </c>
      <c r="G155" s="93"/>
      <c r="H155" s="94"/>
      <c r="I155" s="46"/>
      <c r="J155" s="46"/>
      <c r="K155" s="46"/>
      <c r="L155" s="46"/>
      <c r="M155" s="46"/>
      <c r="N155" s="46"/>
      <c r="O155" s="46"/>
      <c r="P155" s="46"/>
      <c r="Q155" s="46"/>
      <c r="R155" s="46"/>
      <c r="S155" s="46"/>
      <c r="T155" s="46"/>
      <c r="U155" s="46"/>
      <c r="V155" s="46"/>
      <c r="W155" s="46"/>
      <c r="X155" s="46"/>
      <c r="Y155" s="46"/>
      <c r="Z155" s="46"/>
      <c r="AA155" s="46"/>
      <c r="AB155" s="46"/>
    </row>
    <row r="156" hidden="1">
      <c r="A156" s="90" t="s">
        <v>373</v>
      </c>
      <c r="B156" s="91" t="str">
        <f>IFERROR(VLOOKUP(A156,'Salary Calculation'!A156:F1153,2,0),"")</f>
        <v/>
      </c>
      <c r="C156" s="91" t="str">
        <f>IFERROR(VLOOKUP(A156,'Salary Calculation'!$A$2:$T$999,3,0),"")</f>
        <v/>
      </c>
      <c r="D156" s="91" t="str">
        <f>IFERROR(VLOOKUP(A156,'Salary Calculation'!$A$2:$T$999,6,0),"")</f>
        <v/>
      </c>
      <c r="E156" s="91" t="str">
        <f>IFERROR(VLOOKUP(A156,'Salary Calculation'!$A$2:$T$999,8,0),"")</f>
        <v/>
      </c>
      <c r="F156" s="92" t="str">
        <f>IFERROR(VLOOKUP(C156,'Employees List'!$B$2:H999,6,0),"")</f>
        <v/>
      </c>
      <c r="G156" s="93"/>
      <c r="H156" s="94"/>
      <c r="I156" s="46"/>
      <c r="J156" s="46"/>
      <c r="K156" s="46"/>
      <c r="L156" s="46"/>
      <c r="M156" s="46"/>
      <c r="N156" s="46"/>
      <c r="O156" s="46"/>
      <c r="P156" s="46"/>
      <c r="Q156" s="46"/>
      <c r="R156" s="46"/>
      <c r="S156" s="46"/>
      <c r="T156" s="46"/>
      <c r="U156" s="46"/>
      <c r="V156" s="46"/>
      <c r="W156" s="46"/>
      <c r="X156" s="46"/>
      <c r="Y156" s="46"/>
      <c r="Z156" s="46"/>
      <c r="AA156" s="46"/>
      <c r="AB156" s="46"/>
    </row>
    <row r="157" hidden="1">
      <c r="A157" s="90" t="s">
        <v>374</v>
      </c>
      <c r="B157" s="91" t="str">
        <f>IFERROR(VLOOKUP(A157,'Salary Calculation'!A157:F1154,2,0),"")</f>
        <v/>
      </c>
      <c r="C157" s="91" t="str">
        <f>IFERROR(VLOOKUP(A157,'Salary Calculation'!$A$2:$T$999,3,0),"")</f>
        <v/>
      </c>
      <c r="D157" s="91" t="str">
        <f>IFERROR(VLOOKUP(A157,'Salary Calculation'!$A$2:$T$999,6,0),"")</f>
        <v/>
      </c>
      <c r="E157" s="91" t="str">
        <f>IFERROR(VLOOKUP(A157,'Salary Calculation'!$A$2:$T$999,8,0),"")</f>
        <v/>
      </c>
      <c r="F157" s="92" t="str">
        <f>IFERROR(VLOOKUP(C157,'Employees List'!$B$2:H999,6,0),"")</f>
        <v/>
      </c>
      <c r="G157" s="93"/>
      <c r="H157" s="94"/>
      <c r="I157" s="46"/>
      <c r="J157" s="46"/>
      <c r="K157" s="46"/>
      <c r="L157" s="46"/>
      <c r="M157" s="46"/>
      <c r="N157" s="46"/>
      <c r="O157" s="46"/>
      <c r="P157" s="46"/>
      <c r="Q157" s="46"/>
      <c r="R157" s="46"/>
      <c r="S157" s="46"/>
      <c r="T157" s="46"/>
      <c r="U157" s="46"/>
      <c r="V157" s="46"/>
      <c r="W157" s="46"/>
      <c r="X157" s="46"/>
      <c r="Y157" s="46"/>
      <c r="Z157" s="46"/>
      <c r="AA157" s="46"/>
      <c r="AB157" s="46"/>
    </row>
    <row r="158" hidden="1">
      <c r="A158" s="90" t="s">
        <v>375</v>
      </c>
      <c r="B158" s="91" t="str">
        <f>IFERROR(VLOOKUP(A158,'Salary Calculation'!A158:F1155,2,0),"")</f>
        <v/>
      </c>
      <c r="C158" s="91" t="str">
        <f>IFERROR(VLOOKUP(A158,'Salary Calculation'!$A$2:$T$999,3,0),"")</f>
        <v/>
      </c>
      <c r="D158" s="91" t="str">
        <f>IFERROR(VLOOKUP(A158,'Salary Calculation'!$A$2:$T$999,6,0),"")</f>
        <v/>
      </c>
      <c r="E158" s="91" t="str">
        <f>IFERROR(VLOOKUP(A158,'Salary Calculation'!$A$2:$T$999,8,0),"")</f>
        <v/>
      </c>
      <c r="F158" s="92" t="str">
        <f>IFERROR(VLOOKUP(C158,'Employees List'!$B$2:H999,6,0),"")</f>
        <v/>
      </c>
      <c r="G158" s="93"/>
      <c r="H158" s="94"/>
      <c r="I158" s="46"/>
      <c r="J158" s="46"/>
      <c r="K158" s="46"/>
      <c r="L158" s="46"/>
      <c r="M158" s="46"/>
      <c r="N158" s="46"/>
      <c r="O158" s="46"/>
      <c r="P158" s="46"/>
      <c r="Q158" s="46"/>
      <c r="R158" s="46"/>
      <c r="S158" s="46"/>
      <c r="T158" s="46"/>
      <c r="U158" s="46"/>
      <c r="V158" s="46"/>
      <c r="W158" s="46"/>
      <c r="X158" s="46"/>
      <c r="Y158" s="46"/>
      <c r="Z158" s="46"/>
      <c r="AA158" s="46"/>
      <c r="AB158" s="46"/>
    </row>
    <row r="159" hidden="1">
      <c r="A159" s="90" t="s">
        <v>376</v>
      </c>
      <c r="B159" s="91" t="str">
        <f>IFERROR(VLOOKUP(A159,'Salary Calculation'!A159:F1156,2,0),"")</f>
        <v/>
      </c>
      <c r="C159" s="91" t="str">
        <f>IFERROR(VLOOKUP(A159,'Salary Calculation'!$A$2:$T$999,3,0),"")</f>
        <v/>
      </c>
      <c r="D159" s="91" t="str">
        <f>IFERROR(VLOOKUP(A159,'Salary Calculation'!$A$2:$T$999,6,0),"")</f>
        <v/>
      </c>
      <c r="E159" s="91" t="str">
        <f>IFERROR(VLOOKUP(A159,'Salary Calculation'!$A$2:$T$999,8,0),"")</f>
        <v/>
      </c>
      <c r="F159" s="92" t="str">
        <f>IFERROR(VLOOKUP(C159,'Employees List'!$B$2:H999,6,0),"")</f>
        <v/>
      </c>
      <c r="G159" s="93"/>
      <c r="H159" s="94"/>
      <c r="I159" s="46"/>
      <c r="J159" s="46"/>
      <c r="K159" s="46"/>
      <c r="L159" s="46"/>
      <c r="M159" s="46"/>
      <c r="N159" s="46"/>
      <c r="O159" s="46"/>
      <c r="P159" s="46"/>
      <c r="Q159" s="46"/>
      <c r="R159" s="46"/>
      <c r="S159" s="46"/>
      <c r="T159" s="46"/>
      <c r="U159" s="46"/>
      <c r="V159" s="46"/>
      <c r="W159" s="46"/>
      <c r="X159" s="46"/>
      <c r="Y159" s="46"/>
      <c r="Z159" s="46"/>
      <c r="AA159" s="46"/>
      <c r="AB159" s="46"/>
    </row>
    <row r="160" hidden="1">
      <c r="A160" s="90" t="s">
        <v>377</v>
      </c>
      <c r="B160" s="91" t="str">
        <f>IFERROR(VLOOKUP(A160,'Salary Calculation'!A160:F1157,2,0),"")</f>
        <v/>
      </c>
      <c r="C160" s="91" t="str">
        <f>IFERROR(VLOOKUP(A160,'Salary Calculation'!$A$2:$T$999,3,0),"")</f>
        <v/>
      </c>
      <c r="D160" s="91" t="str">
        <f>IFERROR(VLOOKUP(A160,'Salary Calculation'!$A$2:$T$999,6,0),"")</f>
        <v/>
      </c>
      <c r="E160" s="91" t="str">
        <f>IFERROR(VLOOKUP(A160,'Salary Calculation'!$A$2:$T$999,8,0),"")</f>
        <v/>
      </c>
      <c r="F160" s="92" t="str">
        <f>IFERROR(VLOOKUP(C160,'Employees List'!$B$2:H999,6,0),"")</f>
        <v/>
      </c>
      <c r="G160" s="93"/>
      <c r="H160" s="94"/>
      <c r="I160" s="46"/>
      <c r="J160" s="46"/>
      <c r="K160" s="46"/>
      <c r="L160" s="46"/>
      <c r="M160" s="46"/>
      <c r="N160" s="46"/>
      <c r="O160" s="46"/>
      <c r="P160" s="46"/>
      <c r="Q160" s="46"/>
      <c r="R160" s="46"/>
      <c r="S160" s="46"/>
      <c r="T160" s="46"/>
      <c r="U160" s="46"/>
      <c r="V160" s="46"/>
      <c r="W160" s="46"/>
      <c r="X160" s="46"/>
      <c r="Y160" s="46"/>
      <c r="Z160" s="46"/>
      <c r="AA160" s="46"/>
      <c r="AB160" s="46"/>
    </row>
    <row r="161" hidden="1">
      <c r="A161" s="90" t="s">
        <v>378</v>
      </c>
      <c r="B161" s="91" t="str">
        <f>IFERROR(VLOOKUP(A161,'Salary Calculation'!A161:F1158,2,0),"")</f>
        <v/>
      </c>
      <c r="C161" s="91" t="str">
        <f>IFERROR(VLOOKUP(A161,'Salary Calculation'!$A$2:$T$999,3,0),"")</f>
        <v/>
      </c>
      <c r="D161" s="91" t="str">
        <f>IFERROR(VLOOKUP(A161,'Salary Calculation'!$A$2:$T$999,6,0),"")</f>
        <v/>
      </c>
      <c r="E161" s="91" t="str">
        <f>IFERROR(VLOOKUP(A161,'Salary Calculation'!$A$2:$T$999,8,0),"")</f>
        <v/>
      </c>
      <c r="F161" s="92" t="str">
        <f>IFERROR(VLOOKUP(C161,'Employees List'!$B$2:H999,6,0),"")</f>
        <v/>
      </c>
      <c r="G161" s="93"/>
      <c r="H161" s="94"/>
      <c r="I161" s="46"/>
      <c r="J161" s="46"/>
      <c r="K161" s="46"/>
      <c r="L161" s="46"/>
      <c r="M161" s="46"/>
      <c r="N161" s="46"/>
      <c r="O161" s="46"/>
      <c r="P161" s="46"/>
      <c r="Q161" s="46"/>
      <c r="R161" s="46"/>
      <c r="S161" s="46"/>
      <c r="T161" s="46"/>
      <c r="U161" s="46"/>
      <c r="V161" s="46"/>
      <c r="W161" s="46"/>
      <c r="X161" s="46"/>
      <c r="Y161" s="46"/>
      <c r="Z161" s="46"/>
      <c r="AA161" s="46"/>
      <c r="AB161" s="46"/>
    </row>
    <row r="162" hidden="1">
      <c r="A162" s="90" t="s">
        <v>379</v>
      </c>
      <c r="B162" s="91" t="str">
        <f>IFERROR(VLOOKUP(A162,'Salary Calculation'!A162:F1159,2,0),"")</f>
        <v/>
      </c>
      <c r="C162" s="91" t="str">
        <f>IFERROR(VLOOKUP(A162,'Salary Calculation'!$A$2:$T$999,3,0),"")</f>
        <v/>
      </c>
      <c r="D162" s="91" t="str">
        <f>IFERROR(VLOOKUP(A162,'Salary Calculation'!$A$2:$T$999,6,0),"")</f>
        <v/>
      </c>
      <c r="E162" s="91" t="str">
        <f>IFERROR(VLOOKUP(A162,'Salary Calculation'!$A$2:$T$999,8,0),"")</f>
        <v/>
      </c>
      <c r="F162" s="92" t="str">
        <f>IFERROR(VLOOKUP(C162,'Employees List'!$B$2:H999,6,0),"")</f>
        <v/>
      </c>
      <c r="G162" s="93"/>
      <c r="H162" s="94"/>
      <c r="I162" s="46"/>
      <c r="J162" s="46"/>
      <c r="K162" s="46"/>
      <c r="L162" s="46"/>
      <c r="M162" s="46"/>
      <c r="N162" s="46"/>
      <c r="O162" s="46"/>
      <c r="P162" s="46"/>
      <c r="Q162" s="46"/>
      <c r="R162" s="46"/>
      <c r="S162" s="46"/>
      <c r="T162" s="46"/>
      <c r="U162" s="46"/>
      <c r="V162" s="46"/>
      <c r="W162" s="46"/>
      <c r="X162" s="46"/>
      <c r="Y162" s="46"/>
      <c r="Z162" s="46"/>
      <c r="AA162" s="46"/>
      <c r="AB162" s="46"/>
    </row>
    <row r="163" hidden="1">
      <c r="A163" s="90" t="s">
        <v>380</v>
      </c>
      <c r="B163" s="91" t="str">
        <f>IFERROR(VLOOKUP(A163,'Salary Calculation'!A163:F1160,2,0),"")</f>
        <v/>
      </c>
      <c r="C163" s="91" t="str">
        <f>IFERROR(VLOOKUP(A163,'Salary Calculation'!$A$2:$T$999,3,0),"")</f>
        <v/>
      </c>
      <c r="D163" s="91" t="str">
        <f>IFERROR(VLOOKUP(A163,'Salary Calculation'!$A$2:$T$999,6,0),"")</f>
        <v/>
      </c>
      <c r="E163" s="91" t="str">
        <f>IFERROR(VLOOKUP(A163,'Salary Calculation'!$A$2:$T$999,8,0),"")</f>
        <v/>
      </c>
      <c r="F163" s="92" t="str">
        <f>IFERROR(VLOOKUP(C163,'Employees List'!$B$2:H999,6,0),"")</f>
        <v/>
      </c>
      <c r="G163" s="93"/>
      <c r="H163" s="94"/>
      <c r="I163" s="46"/>
      <c r="J163" s="46"/>
      <c r="K163" s="46"/>
      <c r="L163" s="46"/>
      <c r="M163" s="46"/>
      <c r="N163" s="46"/>
      <c r="O163" s="46"/>
      <c r="P163" s="46"/>
      <c r="Q163" s="46"/>
      <c r="R163" s="46"/>
      <c r="S163" s="46"/>
      <c r="T163" s="46"/>
      <c r="U163" s="46"/>
      <c r="V163" s="46"/>
      <c r="W163" s="46"/>
      <c r="X163" s="46"/>
      <c r="Y163" s="46"/>
      <c r="Z163" s="46"/>
      <c r="AA163" s="46"/>
      <c r="AB163" s="46"/>
    </row>
    <row r="164" hidden="1">
      <c r="A164" s="90" t="s">
        <v>381</v>
      </c>
      <c r="B164" s="91" t="str">
        <f>IFERROR(VLOOKUP(A164,'Salary Calculation'!A164:F1161,2,0),"")</f>
        <v/>
      </c>
      <c r="C164" s="91" t="str">
        <f>IFERROR(VLOOKUP(A164,'Salary Calculation'!$A$2:$T$999,3,0),"")</f>
        <v/>
      </c>
      <c r="D164" s="91" t="str">
        <f>IFERROR(VLOOKUP(A164,'Salary Calculation'!$A$2:$T$999,6,0),"")</f>
        <v/>
      </c>
      <c r="E164" s="91" t="str">
        <f>IFERROR(VLOOKUP(A164,'Salary Calculation'!$A$2:$T$999,8,0),"")</f>
        <v/>
      </c>
      <c r="F164" s="92" t="str">
        <f>IFERROR(VLOOKUP(C164,'Employees List'!$B$2:H999,6,0),"")</f>
        <v/>
      </c>
      <c r="G164" s="93"/>
      <c r="H164" s="94"/>
      <c r="I164" s="46"/>
      <c r="J164" s="46"/>
      <c r="K164" s="46"/>
      <c r="L164" s="46"/>
      <c r="M164" s="46"/>
      <c r="N164" s="46"/>
      <c r="O164" s="46"/>
      <c r="P164" s="46"/>
      <c r="Q164" s="46"/>
      <c r="R164" s="46"/>
      <c r="S164" s="46"/>
      <c r="T164" s="46"/>
      <c r="U164" s="46"/>
      <c r="V164" s="46"/>
      <c r="W164" s="46"/>
      <c r="X164" s="46"/>
      <c r="Y164" s="46"/>
      <c r="Z164" s="46"/>
      <c r="AA164" s="46"/>
      <c r="AB164" s="46"/>
    </row>
    <row r="165" hidden="1">
      <c r="A165" s="90" t="s">
        <v>382</v>
      </c>
      <c r="B165" s="91" t="str">
        <f>IFERROR(VLOOKUP(A165,'Salary Calculation'!A165:F1162,2,0),"")</f>
        <v/>
      </c>
      <c r="C165" s="91" t="str">
        <f>IFERROR(VLOOKUP(A165,'Salary Calculation'!$A$2:$T$999,3,0),"")</f>
        <v/>
      </c>
      <c r="D165" s="91" t="str">
        <f>IFERROR(VLOOKUP(A165,'Salary Calculation'!$A$2:$T$999,6,0),"")</f>
        <v/>
      </c>
      <c r="E165" s="91" t="str">
        <f>IFERROR(VLOOKUP(A165,'Salary Calculation'!$A$2:$T$999,8,0),"")</f>
        <v/>
      </c>
      <c r="F165" s="92" t="str">
        <f>IFERROR(VLOOKUP(C165,'Employees List'!$B$2:H999,6,0),"")</f>
        <v/>
      </c>
      <c r="G165" s="93"/>
      <c r="H165" s="94"/>
      <c r="I165" s="46"/>
      <c r="J165" s="46"/>
      <c r="K165" s="46"/>
      <c r="L165" s="46"/>
      <c r="M165" s="46"/>
      <c r="N165" s="46"/>
      <c r="O165" s="46"/>
      <c r="P165" s="46"/>
      <c r="Q165" s="46"/>
      <c r="R165" s="46"/>
      <c r="S165" s="46"/>
      <c r="T165" s="46"/>
      <c r="U165" s="46"/>
      <c r="V165" s="46"/>
      <c r="W165" s="46"/>
      <c r="X165" s="46"/>
      <c r="Y165" s="46"/>
      <c r="Z165" s="46"/>
      <c r="AA165" s="46"/>
      <c r="AB165" s="46"/>
    </row>
    <row r="166" hidden="1">
      <c r="A166" s="90" t="s">
        <v>383</v>
      </c>
      <c r="B166" s="91" t="str">
        <f>IFERROR(VLOOKUP(A166,'Salary Calculation'!A166:F1163,2,0),"")</f>
        <v/>
      </c>
      <c r="C166" s="91" t="str">
        <f>IFERROR(VLOOKUP(A166,'Salary Calculation'!$A$2:$T$999,3,0),"")</f>
        <v/>
      </c>
      <c r="D166" s="91" t="str">
        <f>IFERROR(VLOOKUP(A166,'Salary Calculation'!$A$2:$T$999,6,0),"")</f>
        <v/>
      </c>
      <c r="E166" s="91" t="str">
        <f>IFERROR(VLOOKUP(A166,'Salary Calculation'!$A$2:$T$999,8,0),"")</f>
        <v/>
      </c>
      <c r="F166" s="92" t="str">
        <f>IFERROR(VLOOKUP(C166,'Employees List'!$B$2:H999,6,0),"")</f>
        <v/>
      </c>
      <c r="G166" s="93"/>
      <c r="H166" s="94"/>
      <c r="I166" s="46"/>
      <c r="J166" s="46"/>
      <c r="K166" s="46"/>
      <c r="L166" s="46"/>
      <c r="M166" s="46"/>
      <c r="N166" s="46"/>
      <c r="O166" s="46"/>
      <c r="P166" s="46"/>
      <c r="Q166" s="46"/>
      <c r="R166" s="46"/>
      <c r="S166" s="46"/>
      <c r="T166" s="46"/>
      <c r="U166" s="46"/>
      <c r="V166" s="46"/>
      <c r="W166" s="46"/>
      <c r="X166" s="46"/>
      <c r="Y166" s="46"/>
      <c r="Z166" s="46"/>
      <c r="AA166" s="46"/>
      <c r="AB166" s="46"/>
    </row>
    <row r="167" hidden="1">
      <c r="A167" s="90" t="s">
        <v>384</v>
      </c>
      <c r="B167" s="91" t="str">
        <f>IFERROR(VLOOKUP(A167,'Salary Calculation'!A167:F1164,2,0),"")</f>
        <v/>
      </c>
      <c r="C167" s="91" t="str">
        <f>IFERROR(VLOOKUP(A167,'Salary Calculation'!$A$2:$T$999,3,0),"")</f>
        <v/>
      </c>
      <c r="D167" s="91" t="str">
        <f>IFERROR(VLOOKUP(A167,'Salary Calculation'!$A$2:$T$999,6,0),"")</f>
        <v/>
      </c>
      <c r="E167" s="91" t="str">
        <f>IFERROR(VLOOKUP(A167,'Salary Calculation'!$A$2:$T$999,8,0),"")</f>
        <v/>
      </c>
      <c r="F167" s="92" t="str">
        <f>IFERROR(VLOOKUP(C167,'Employees List'!$B$2:H999,6,0),"")</f>
        <v/>
      </c>
      <c r="G167" s="93"/>
      <c r="H167" s="94"/>
      <c r="I167" s="46"/>
      <c r="J167" s="46"/>
      <c r="K167" s="46"/>
      <c r="L167" s="46"/>
      <c r="M167" s="46"/>
      <c r="N167" s="46"/>
      <c r="O167" s="46"/>
      <c r="P167" s="46"/>
      <c r="Q167" s="46"/>
      <c r="R167" s="46"/>
      <c r="S167" s="46"/>
      <c r="T167" s="46"/>
      <c r="U167" s="46"/>
      <c r="V167" s="46"/>
      <c r="W167" s="46"/>
      <c r="X167" s="46"/>
      <c r="Y167" s="46"/>
      <c r="Z167" s="46"/>
      <c r="AA167" s="46"/>
      <c r="AB167" s="46"/>
    </row>
    <row r="168" hidden="1">
      <c r="A168" s="90" t="s">
        <v>385</v>
      </c>
      <c r="B168" s="91" t="str">
        <f>IFERROR(VLOOKUP(A168,'Salary Calculation'!A168:F1165,2,0),"")</f>
        <v/>
      </c>
      <c r="C168" s="91" t="str">
        <f>IFERROR(VLOOKUP(A168,'Salary Calculation'!$A$2:$T$999,3,0),"")</f>
        <v/>
      </c>
      <c r="D168" s="91" t="str">
        <f>IFERROR(VLOOKUP(A168,'Salary Calculation'!$A$2:$T$999,6,0),"")</f>
        <v/>
      </c>
      <c r="E168" s="91" t="str">
        <f>IFERROR(VLOOKUP(A168,'Salary Calculation'!$A$2:$T$999,8,0),"")</f>
        <v/>
      </c>
      <c r="F168" s="92" t="str">
        <f>IFERROR(VLOOKUP(C168,'Employees List'!$B$2:H999,6,0),"")</f>
        <v/>
      </c>
      <c r="G168" s="93"/>
      <c r="H168" s="94"/>
      <c r="I168" s="46"/>
      <c r="J168" s="46"/>
      <c r="K168" s="46"/>
      <c r="L168" s="46"/>
      <c r="M168" s="46"/>
      <c r="N168" s="46"/>
      <c r="O168" s="46"/>
      <c r="P168" s="46"/>
      <c r="Q168" s="46"/>
      <c r="R168" s="46"/>
      <c r="S168" s="46"/>
      <c r="T168" s="46"/>
      <c r="U168" s="46"/>
      <c r="V168" s="46"/>
      <c r="W168" s="46"/>
      <c r="X168" s="46"/>
      <c r="Y168" s="46"/>
      <c r="Z168" s="46"/>
      <c r="AA168" s="46"/>
      <c r="AB168" s="46"/>
    </row>
    <row r="169" hidden="1">
      <c r="A169" s="90" t="s">
        <v>386</v>
      </c>
      <c r="B169" s="91" t="str">
        <f>IFERROR(VLOOKUP(A169,'Salary Calculation'!A169:F1166,2,0),"")</f>
        <v/>
      </c>
      <c r="C169" s="91" t="str">
        <f>IFERROR(VLOOKUP(A169,'Salary Calculation'!$A$2:$T$999,3,0),"")</f>
        <v/>
      </c>
      <c r="D169" s="91" t="str">
        <f>IFERROR(VLOOKUP(A169,'Salary Calculation'!$A$2:$T$999,6,0),"")</f>
        <v/>
      </c>
      <c r="E169" s="91" t="str">
        <f>IFERROR(VLOOKUP(A169,'Salary Calculation'!$A$2:$T$999,8,0),"")</f>
        <v/>
      </c>
      <c r="F169" s="92" t="str">
        <f>IFERROR(VLOOKUP(C169,'Employees List'!$B$2:H999,6,0),"")</f>
        <v/>
      </c>
      <c r="G169" s="93"/>
      <c r="H169" s="94"/>
      <c r="I169" s="46"/>
      <c r="J169" s="46"/>
      <c r="K169" s="46"/>
      <c r="L169" s="46"/>
      <c r="M169" s="46"/>
      <c r="N169" s="46"/>
      <c r="O169" s="46"/>
      <c r="P169" s="46"/>
      <c r="Q169" s="46"/>
      <c r="R169" s="46"/>
      <c r="S169" s="46"/>
      <c r="T169" s="46"/>
      <c r="U169" s="46"/>
      <c r="V169" s="46"/>
      <c r="W169" s="46"/>
      <c r="X169" s="46"/>
      <c r="Y169" s="46"/>
      <c r="Z169" s="46"/>
      <c r="AA169" s="46"/>
      <c r="AB169" s="46"/>
    </row>
    <row r="170" hidden="1">
      <c r="A170" s="90" t="s">
        <v>387</v>
      </c>
      <c r="B170" s="91" t="str">
        <f>IFERROR(VLOOKUP(A170,'Salary Calculation'!A170:F1167,2,0),"")</f>
        <v/>
      </c>
      <c r="C170" s="91" t="str">
        <f>IFERROR(VLOOKUP(A170,'Salary Calculation'!$A$2:$T$999,3,0),"")</f>
        <v/>
      </c>
      <c r="D170" s="91" t="str">
        <f>IFERROR(VLOOKUP(A170,'Salary Calculation'!$A$2:$T$999,6,0),"")</f>
        <v/>
      </c>
      <c r="E170" s="91" t="str">
        <f>IFERROR(VLOOKUP(A170,'Salary Calculation'!$A$2:$T$999,8,0),"")</f>
        <v/>
      </c>
      <c r="F170" s="92" t="str">
        <f>IFERROR(VLOOKUP(C170,'Employees List'!$B$2:H999,6,0),"")</f>
        <v/>
      </c>
      <c r="G170" s="93"/>
      <c r="H170" s="94"/>
      <c r="I170" s="46"/>
      <c r="J170" s="46"/>
      <c r="K170" s="46"/>
      <c r="L170" s="46"/>
      <c r="M170" s="46"/>
      <c r="N170" s="46"/>
      <c r="O170" s="46"/>
      <c r="P170" s="46"/>
      <c r="Q170" s="46"/>
      <c r="R170" s="46"/>
      <c r="S170" s="46"/>
      <c r="T170" s="46"/>
      <c r="U170" s="46"/>
      <c r="V170" s="46"/>
      <c r="W170" s="46"/>
      <c r="X170" s="46"/>
      <c r="Y170" s="46"/>
      <c r="Z170" s="46"/>
      <c r="AA170" s="46"/>
      <c r="AB170" s="46"/>
    </row>
    <row r="171" hidden="1">
      <c r="A171" s="90" t="s">
        <v>388</v>
      </c>
      <c r="B171" s="91" t="str">
        <f>IFERROR(VLOOKUP(A171,'Salary Calculation'!A171:F1168,2,0),"")</f>
        <v/>
      </c>
      <c r="C171" s="91" t="str">
        <f>IFERROR(VLOOKUP(A171,'Salary Calculation'!$A$2:$T$999,3,0),"")</f>
        <v/>
      </c>
      <c r="D171" s="91" t="str">
        <f>IFERROR(VLOOKUP(A171,'Salary Calculation'!$A$2:$T$999,6,0),"")</f>
        <v/>
      </c>
      <c r="E171" s="91" t="str">
        <f>IFERROR(VLOOKUP(A171,'Salary Calculation'!$A$2:$T$999,8,0),"")</f>
        <v/>
      </c>
      <c r="F171" s="92" t="str">
        <f>IFERROR(VLOOKUP(C171,'Employees List'!$B$2:H999,6,0),"")</f>
        <v/>
      </c>
      <c r="G171" s="93"/>
      <c r="H171" s="94"/>
      <c r="I171" s="46"/>
      <c r="J171" s="46"/>
      <c r="K171" s="46"/>
      <c r="L171" s="46"/>
      <c r="M171" s="46"/>
      <c r="N171" s="46"/>
      <c r="O171" s="46"/>
      <c r="P171" s="46"/>
      <c r="Q171" s="46"/>
      <c r="R171" s="46"/>
      <c r="S171" s="46"/>
      <c r="T171" s="46"/>
      <c r="U171" s="46"/>
      <c r="V171" s="46"/>
      <c r="W171" s="46"/>
      <c r="X171" s="46"/>
      <c r="Y171" s="46"/>
      <c r="Z171" s="46"/>
      <c r="AA171" s="46"/>
      <c r="AB171" s="46"/>
    </row>
    <row r="172" hidden="1">
      <c r="A172" s="90" t="s">
        <v>389</v>
      </c>
      <c r="B172" s="91" t="str">
        <f>IFERROR(VLOOKUP(A172,'Salary Calculation'!A172:F1169,2,0),"")</f>
        <v/>
      </c>
      <c r="C172" s="91" t="str">
        <f>IFERROR(VLOOKUP(A172,'Salary Calculation'!$A$2:$T$999,3,0),"")</f>
        <v/>
      </c>
      <c r="D172" s="91" t="str">
        <f>IFERROR(VLOOKUP(A172,'Salary Calculation'!$A$2:$T$999,6,0),"")</f>
        <v/>
      </c>
      <c r="E172" s="91" t="str">
        <f>IFERROR(VLOOKUP(A172,'Salary Calculation'!$A$2:$T$999,8,0),"")</f>
        <v/>
      </c>
      <c r="F172" s="92" t="str">
        <f>IFERROR(VLOOKUP(C172,'Employees List'!$B$2:H999,6,0),"")</f>
        <v/>
      </c>
      <c r="G172" s="93"/>
      <c r="H172" s="94"/>
      <c r="I172" s="46"/>
      <c r="J172" s="46"/>
      <c r="K172" s="46"/>
      <c r="L172" s="46"/>
      <c r="M172" s="46"/>
      <c r="N172" s="46"/>
      <c r="O172" s="46"/>
      <c r="P172" s="46"/>
      <c r="Q172" s="46"/>
      <c r="R172" s="46"/>
      <c r="S172" s="46"/>
      <c r="T172" s="46"/>
      <c r="U172" s="46"/>
      <c r="V172" s="46"/>
      <c r="W172" s="46"/>
      <c r="X172" s="46"/>
      <c r="Y172" s="46"/>
      <c r="Z172" s="46"/>
      <c r="AA172" s="46"/>
      <c r="AB172" s="46"/>
    </row>
    <row r="173" hidden="1">
      <c r="A173" s="90" t="s">
        <v>390</v>
      </c>
      <c r="B173" s="91" t="str">
        <f>IFERROR(VLOOKUP(A173,'Salary Calculation'!A173:F1170,2,0),"")</f>
        <v/>
      </c>
      <c r="C173" s="91" t="str">
        <f>IFERROR(VLOOKUP(A173,'Salary Calculation'!$A$2:$T$999,3,0),"")</f>
        <v/>
      </c>
      <c r="D173" s="91" t="str">
        <f>IFERROR(VLOOKUP(A173,'Salary Calculation'!$A$2:$T$999,6,0),"")</f>
        <v/>
      </c>
      <c r="E173" s="91" t="str">
        <f>IFERROR(VLOOKUP(A173,'Salary Calculation'!$A$2:$T$999,8,0),"")</f>
        <v/>
      </c>
      <c r="F173" s="92" t="str">
        <f>IFERROR(VLOOKUP(C173,'Employees List'!$B$2:H999,6,0),"")</f>
        <v/>
      </c>
      <c r="G173" s="93"/>
      <c r="H173" s="94"/>
      <c r="I173" s="46"/>
      <c r="J173" s="46"/>
      <c r="K173" s="46"/>
      <c r="L173" s="46"/>
      <c r="M173" s="46"/>
      <c r="N173" s="46"/>
      <c r="O173" s="46"/>
      <c r="P173" s="46"/>
      <c r="Q173" s="46"/>
      <c r="R173" s="46"/>
      <c r="S173" s="46"/>
      <c r="T173" s="46"/>
      <c r="U173" s="46"/>
      <c r="V173" s="46"/>
      <c r="W173" s="46"/>
      <c r="X173" s="46"/>
      <c r="Y173" s="46"/>
      <c r="Z173" s="46"/>
      <c r="AA173" s="46"/>
      <c r="AB173" s="46"/>
    </row>
    <row r="174" hidden="1">
      <c r="A174" s="90" t="s">
        <v>391</v>
      </c>
      <c r="B174" s="91" t="str">
        <f>IFERROR(VLOOKUP(A174,'Salary Calculation'!A174:F1171,2,0),"")</f>
        <v/>
      </c>
      <c r="C174" s="91" t="str">
        <f>IFERROR(VLOOKUP(A174,'Salary Calculation'!$A$2:$T$999,3,0),"")</f>
        <v/>
      </c>
      <c r="D174" s="91" t="str">
        <f>IFERROR(VLOOKUP(A174,'Salary Calculation'!$A$2:$T$999,6,0),"")</f>
        <v/>
      </c>
      <c r="E174" s="91" t="str">
        <f>IFERROR(VLOOKUP(A174,'Salary Calculation'!$A$2:$T$999,8,0),"")</f>
        <v/>
      </c>
      <c r="F174" s="92" t="str">
        <f>IFERROR(VLOOKUP(C174,'Employees List'!$B$2:H999,6,0),"")</f>
        <v/>
      </c>
      <c r="G174" s="93"/>
      <c r="H174" s="94"/>
      <c r="I174" s="46"/>
      <c r="J174" s="46"/>
      <c r="K174" s="46"/>
      <c r="L174" s="46"/>
      <c r="M174" s="46"/>
      <c r="N174" s="46"/>
      <c r="O174" s="46"/>
      <c r="P174" s="46"/>
      <c r="Q174" s="46"/>
      <c r="R174" s="46"/>
      <c r="S174" s="46"/>
      <c r="T174" s="46"/>
      <c r="U174" s="46"/>
      <c r="V174" s="46"/>
      <c r="W174" s="46"/>
      <c r="X174" s="46"/>
      <c r="Y174" s="46"/>
      <c r="Z174" s="46"/>
      <c r="AA174" s="46"/>
      <c r="AB174" s="46"/>
    </row>
    <row r="175" hidden="1">
      <c r="A175" s="90" t="s">
        <v>392</v>
      </c>
      <c r="B175" s="91" t="str">
        <f>IFERROR(VLOOKUP(A175,'Salary Calculation'!A175:F1172,2,0),"")</f>
        <v/>
      </c>
      <c r="C175" s="91" t="str">
        <f>IFERROR(VLOOKUP(A175,'Salary Calculation'!$A$2:$T$999,3,0),"")</f>
        <v/>
      </c>
      <c r="D175" s="91" t="str">
        <f>IFERROR(VLOOKUP(A175,'Salary Calculation'!$A$2:$T$999,6,0),"")</f>
        <v/>
      </c>
      <c r="E175" s="91" t="str">
        <f>IFERROR(VLOOKUP(A175,'Salary Calculation'!$A$2:$T$999,8,0),"")</f>
        <v/>
      </c>
      <c r="F175" s="92" t="str">
        <f>IFERROR(VLOOKUP(C175,'Employees List'!$B$2:H999,6,0),"")</f>
        <v/>
      </c>
      <c r="G175" s="93"/>
      <c r="H175" s="94"/>
      <c r="I175" s="46"/>
      <c r="J175" s="46"/>
      <c r="K175" s="46"/>
      <c r="L175" s="46"/>
      <c r="M175" s="46"/>
      <c r="N175" s="46"/>
      <c r="O175" s="46"/>
      <c r="P175" s="46"/>
      <c r="Q175" s="46"/>
      <c r="R175" s="46"/>
      <c r="S175" s="46"/>
      <c r="T175" s="46"/>
      <c r="U175" s="46"/>
      <c r="V175" s="46"/>
      <c r="W175" s="46"/>
      <c r="X175" s="46"/>
      <c r="Y175" s="46"/>
      <c r="Z175" s="46"/>
      <c r="AA175" s="46"/>
      <c r="AB175" s="46"/>
    </row>
    <row r="176" hidden="1">
      <c r="A176" s="90" t="s">
        <v>393</v>
      </c>
      <c r="B176" s="91" t="str">
        <f>IFERROR(VLOOKUP(A176,'Salary Calculation'!A176:F1173,2,0),"")</f>
        <v/>
      </c>
      <c r="C176" s="91" t="str">
        <f>IFERROR(VLOOKUP(A176,'Salary Calculation'!$A$2:$T$999,3,0),"")</f>
        <v/>
      </c>
      <c r="D176" s="91" t="str">
        <f>IFERROR(VLOOKUP(A176,'Salary Calculation'!$A$2:$T$999,6,0),"")</f>
        <v/>
      </c>
      <c r="E176" s="91" t="str">
        <f>IFERROR(VLOOKUP(A176,'Salary Calculation'!$A$2:$T$999,8,0),"")</f>
        <v/>
      </c>
      <c r="F176" s="92" t="str">
        <f>IFERROR(VLOOKUP(C176,'Employees List'!$B$2:H999,6,0),"")</f>
        <v/>
      </c>
      <c r="G176" s="93"/>
      <c r="H176" s="94"/>
      <c r="I176" s="46"/>
      <c r="J176" s="46"/>
      <c r="K176" s="46"/>
      <c r="L176" s="46"/>
      <c r="M176" s="46"/>
      <c r="N176" s="46"/>
      <c r="O176" s="46"/>
      <c r="P176" s="46"/>
      <c r="Q176" s="46"/>
      <c r="R176" s="46"/>
      <c r="S176" s="46"/>
      <c r="T176" s="46"/>
      <c r="U176" s="46"/>
      <c r="V176" s="46"/>
      <c r="W176" s="46"/>
      <c r="X176" s="46"/>
      <c r="Y176" s="46"/>
      <c r="Z176" s="46"/>
      <c r="AA176" s="46"/>
      <c r="AB176" s="46"/>
    </row>
    <row r="177" hidden="1">
      <c r="A177" s="90" t="s">
        <v>394</v>
      </c>
      <c r="B177" s="91" t="str">
        <f>IFERROR(VLOOKUP(A177,'Salary Calculation'!A177:F1174,2,0),"")</f>
        <v/>
      </c>
      <c r="C177" s="91" t="str">
        <f>IFERROR(VLOOKUP(A177,'Salary Calculation'!$A$2:$T$999,3,0),"")</f>
        <v/>
      </c>
      <c r="D177" s="91" t="str">
        <f>IFERROR(VLOOKUP(A177,'Salary Calculation'!$A$2:$T$999,6,0),"")</f>
        <v/>
      </c>
      <c r="E177" s="91" t="str">
        <f>IFERROR(VLOOKUP(A177,'Salary Calculation'!$A$2:$T$999,8,0),"")</f>
        <v/>
      </c>
      <c r="F177" s="92" t="str">
        <f>IFERROR(VLOOKUP(C177,'Employees List'!$B$2:H999,6,0),"")</f>
        <v/>
      </c>
      <c r="G177" s="93"/>
      <c r="H177" s="94"/>
      <c r="I177" s="46"/>
      <c r="J177" s="46"/>
      <c r="K177" s="46"/>
      <c r="L177" s="46"/>
      <c r="M177" s="46"/>
      <c r="N177" s="46"/>
      <c r="O177" s="46"/>
      <c r="P177" s="46"/>
      <c r="Q177" s="46"/>
      <c r="R177" s="46"/>
      <c r="S177" s="46"/>
      <c r="T177" s="46"/>
      <c r="U177" s="46"/>
      <c r="V177" s="46"/>
      <c r="W177" s="46"/>
      <c r="X177" s="46"/>
      <c r="Y177" s="46"/>
      <c r="Z177" s="46"/>
      <c r="AA177" s="46"/>
      <c r="AB177" s="46"/>
    </row>
    <row r="178" hidden="1">
      <c r="A178" s="90" t="s">
        <v>395</v>
      </c>
      <c r="B178" s="91" t="str">
        <f>IFERROR(VLOOKUP(A178,'Salary Calculation'!A178:F1175,2,0),"")</f>
        <v/>
      </c>
      <c r="C178" s="91" t="str">
        <f>IFERROR(VLOOKUP(A178,'Salary Calculation'!$A$2:$T$999,3,0),"")</f>
        <v/>
      </c>
      <c r="D178" s="91" t="str">
        <f>IFERROR(VLOOKUP(A178,'Salary Calculation'!$A$2:$T$999,6,0),"")</f>
        <v/>
      </c>
      <c r="E178" s="91" t="str">
        <f>IFERROR(VLOOKUP(A178,'Salary Calculation'!$A$2:$T$999,8,0),"")</f>
        <v/>
      </c>
      <c r="F178" s="92" t="str">
        <f>IFERROR(VLOOKUP(C178,'Employees List'!$B$2:H999,6,0),"")</f>
        <v/>
      </c>
      <c r="G178" s="93"/>
      <c r="H178" s="94"/>
      <c r="I178" s="46"/>
      <c r="J178" s="46"/>
      <c r="K178" s="46"/>
      <c r="L178" s="46"/>
      <c r="M178" s="46"/>
      <c r="N178" s="46"/>
      <c r="O178" s="46"/>
      <c r="P178" s="46"/>
      <c r="Q178" s="46"/>
      <c r="R178" s="46"/>
      <c r="S178" s="46"/>
      <c r="T178" s="46"/>
      <c r="U178" s="46"/>
      <c r="V178" s="46"/>
      <c r="W178" s="46"/>
      <c r="X178" s="46"/>
      <c r="Y178" s="46"/>
      <c r="Z178" s="46"/>
      <c r="AA178" s="46"/>
      <c r="AB178" s="46"/>
    </row>
    <row r="179" hidden="1">
      <c r="A179" s="90" t="s">
        <v>396</v>
      </c>
      <c r="B179" s="91" t="str">
        <f>IFERROR(VLOOKUP(A179,'Salary Calculation'!A179:F1176,2,0),"")</f>
        <v/>
      </c>
      <c r="C179" s="91" t="str">
        <f>IFERROR(VLOOKUP(A179,'Salary Calculation'!$A$2:$T$999,3,0),"")</f>
        <v/>
      </c>
      <c r="D179" s="91" t="str">
        <f>IFERROR(VLOOKUP(A179,'Salary Calculation'!$A$2:$T$999,6,0),"")</f>
        <v/>
      </c>
      <c r="E179" s="91" t="str">
        <f>IFERROR(VLOOKUP(A179,'Salary Calculation'!$A$2:$T$999,8,0),"")</f>
        <v/>
      </c>
      <c r="F179" s="92" t="str">
        <f>IFERROR(VLOOKUP(C179,'Employees List'!$B$2:H999,6,0),"")</f>
        <v/>
      </c>
      <c r="G179" s="93"/>
      <c r="H179" s="94"/>
      <c r="I179" s="46"/>
      <c r="J179" s="46"/>
      <c r="K179" s="46"/>
      <c r="L179" s="46"/>
      <c r="M179" s="46"/>
      <c r="N179" s="46"/>
      <c r="O179" s="46"/>
      <c r="P179" s="46"/>
      <c r="Q179" s="46"/>
      <c r="R179" s="46"/>
      <c r="S179" s="46"/>
      <c r="T179" s="46"/>
      <c r="U179" s="46"/>
      <c r="V179" s="46"/>
      <c r="W179" s="46"/>
      <c r="X179" s="46"/>
      <c r="Y179" s="46"/>
      <c r="Z179" s="46"/>
      <c r="AA179" s="46"/>
      <c r="AB179" s="46"/>
    </row>
    <row r="180" hidden="1">
      <c r="A180" s="90" t="s">
        <v>397</v>
      </c>
      <c r="B180" s="91" t="str">
        <f>IFERROR(VLOOKUP(A180,'Salary Calculation'!A180:F1177,2,0),"")</f>
        <v/>
      </c>
      <c r="C180" s="91" t="str">
        <f>IFERROR(VLOOKUP(A180,'Salary Calculation'!$A$2:$T$999,3,0),"")</f>
        <v/>
      </c>
      <c r="D180" s="91" t="str">
        <f>IFERROR(VLOOKUP(A180,'Salary Calculation'!$A$2:$T$999,6,0),"")</f>
        <v/>
      </c>
      <c r="E180" s="91" t="str">
        <f>IFERROR(VLOOKUP(A180,'Salary Calculation'!$A$2:$T$999,8,0),"")</f>
        <v/>
      </c>
      <c r="F180" s="92" t="str">
        <f>IFERROR(VLOOKUP(C180,'Employees List'!$B$2:H999,6,0),"")</f>
        <v/>
      </c>
      <c r="G180" s="93"/>
      <c r="H180" s="94"/>
      <c r="I180" s="46"/>
      <c r="J180" s="46"/>
      <c r="K180" s="46"/>
      <c r="L180" s="46"/>
      <c r="M180" s="46"/>
      <c r="N180" s="46"/>
      <c r="O180" s="46"/>
      <c r="P180" s="46"/>
      <c r="Q180" s="46"/>
      <c r="R180" s="46"/>
      <c r="S180" s="46"/>
      <c r="T180" s="46"/>
      <c r="U180" s="46"/>
      <c r="V180" s="46"/>
      <c r="W180" s="46"/>
      <c r="X180" s="46"/>
      <c r="Y180" s="46"/>
      <c r="Z180" s="46"/>
      <c r="AA180" s="46"/>
      <c r="AB180" s="46"/>
    </row>
    <row r="181" hidden="1">
      <c r="A181" s="90" t="s">
        <v>398</v>
      </c>
      <c r="B181" s="91" t="str">
        <f>IFERROR(VLOOKUP(A181,'Salary Calculation'!A181:F1178,2,0),"")</f>
        <v/>
      </c>
      <c r="C181" s="91" t="str">
        <f>IFERROR(VLOOKUP(A181,'Salary Calculation'!$A$2:$T$999,3,0),"")</f>
        <v/>
      </c>
      <c r="D181" s="91" t="str">
        <f>IFERROR(VLOOKUP(A181,'Salary Calculation'!$A$2:$T$999,6,0),"")</f>
        <v/>
      </c>
      <c r="E181" s="91" t="str">
        <f>IFERROR(VLOOKUP(A181,'Salary Calculation'!$A$2:$T$999,8,0),"")</f>
        <v/>
      </c>
      <c r="F181" s="92" t="str">
        <f>IFERROR(VLOOKUP(C181,'Employees List'!$B$2:H999,6,0),"")</f>
        <v/>
      </c>
      <c r="G181" s="93"/>
      <c r="H181" s="94"/>
      <c r="I181" s="46"/>
      <c r="J181" s="46"/>
      <c r="K181" s="46"/>
      <c r="L181" s="46"/>
      <c r="M181" s="46"/>
      <c r="N181" s="46"/>
      <c r="O181" s="46"/>
      <c r="P181" s="46"/>
      <c r="Q181" s="46"/>
      <c r="R181" s="46"/>
      <c r="S181" s="46"/>
      <c r="T181" s="46"/>
      <c r="U181" s="46"/>
      <c r="V181" s="46"/>
      <c r="W181" s="46"/>
      <c r="X181" s="46"/>
      <c r="Y181" s="46"/>
      <c r="Z181" s="46"/>
      <c r="AA181" s="46"/>
      <c r="AB181" s="46"/>
    </row>
    <row r="182" hidden="1">
      <c r="A182" s="90" t="s">
        <v>399</v>
      </c>
      <c r="B182" s="91" t="str">
        <f>IFERROR(VLOOKUP(A182,'Salary Calculation'!A182:F1179,2,0),"")</f>
        <v/>
      </c>
      <c r="C182" s="91" t="str">
        <f>IFERROR(VLOOKUP(A182,'Salary Calculation'!$A$2:$T$999,3,0),"")</f>
        <v/>
      </c>
      <c r="D182" s="91" t="str">
        <f>IFERROR(VLOOKUP(A182,'Salary Calculation'!$A$2:$T$999,6,0),"")</f>
        <v/>
      </c>
      <c r="E182" s="91" t="str">
        <f>IFERROR(VLOOKUP(A182,'Salary Calculation'!$A$2:$T$999,8,0),"")</f>
        <v/>
      </c>
      <c r="F182" s="92" t="str">
        <f>IFERROR(VLOOKUP(C182,'Employees List'!$B$2:H999,6,0),"")</f>
        <v/>
      </c>
      <c r="G182" s="93"/>
      <c r="H182" s="94"/>
      <c r="I182" s="46"/>
      <c r="J182" s="46"/>
      <c r="K182" s="46"/>
      <c r="L182" s="46"/>
      <c r="M182" s="46"/>
      <c r="N182" s="46"/>
      <c r="O182" s="46"/>
      <c r="P182" s="46"/>
      <c r="Q182" s="46"/>
      <c r="R182" s="46"/>
      <c r="S182" s="46"/>
      <c r="T182" s="46"/>
      <c r="U182" s="46"/>
      <c r="V182" s="46"/>
      <c r="W182" s="46"/>
      <c r="X182" s="46"/>
      <c r="Y182" s="46"/>
      <c r="Z182" s="46"/>
      <c r="AA182" s="46"/>
      <c r="AB182" s="46"/>
    </row>
    <row r="183" hidden="1">
      <c r="A183" s="90" t="s">
        <v>400</v>
      </c>
      <c r="B183" s="91" t="str">
        <f>IFERROR(VLOOKUP(A183,'Salary Calculation'!A183:F1180,2,0),"")</f>
        <v/>
      </c>
      <c r="C183" s="91" t="str">
        <f>IFERROR(VLOOKUP(A183,'Salary Calculation'!$A$2:$T$999,3,0),"")</f>
        <v/>
      </c>
      <c r="D183" s="91" t="str">
        <f>IFERROR(VLOOKUP(A183,'Salary Calculation'!$A$2:$T$999,6,0),"")</f>
        <v/>
      </c>
      <c r="E183" s="91" t="str">
        <f>IFERROR(VLOOKUP(A183,'Salary Calculation'!$A$2:$T$999,8,0),"")</f>
        <v/>
      </c>
      <c r="F183" s="92" t="str">
        <f>IFERROR(VLOOKUP(C183,'Employees List'!$B$2:H999,6,0),"")</f>
        <v/>
      </c>
      <c r="G183" s="93"/>
      <c r="H183" s="94"/>
      <c r="I183" s="46"/>
      <c r="J183" s="46"/>
      <c r="K183" s="46"/>
      <c r="L183" s="46"/>
      <c r="M183" s="46"/>
      <c r="N183" s="46"/>
      <c r="O183" s="46"/>
      <c r="P183" s="46"/>
      <c r="Q183" s="46"/>
      <c r="R183" s="46"/>
      <c r="S183" s="46"/>
      <c r="T183" s="46"/>
      <c r="U183" s="46"/>
      <c r="V183" s="46"/>
      <c r="W183" s="46"/>
      <c r="X183" s="46"/>
      <c r="Y183" s="46"/>
      <c r="Z183" s="46"/>
      <c r="AA183" s="46"/>
      <c r="AB183" s="46"/>
    </row>
    <row r="184" hidden="1">
      <c r="A184" s="90" t="s">
        <v>401</v>
      </c>
      <c r="B184" s="91" t="str">
        <f>IFERROR(VLOOKUP(A184,'Salary Calculation'!A184:F1181,2,0),"")</f>
        <v/>
      </c>
      <c r="C184" s="91" t="str">
        <f>IFERROR(VLOOKUP(A184,'Salary Calculation'!$A$2:$T$999,3,0),"")</f>
        <v/>
      </c>
      <c r="D184" s="91" t="str">
        <f>IFERROR(VLOOKUP(A184,'Salary Calculation'!$A$2:$T$999,6,0),"")</f>
        <v/>
      </c>
      <c r="E184" s="91" t="str">
        <f>IFERROR(VLOOKUP(A184,'Salary Calculation'!$A$2:$T$999,8,0),"")</f>
        <v/>
      </c>
      <c r="F184" s="92" t="str">
        <f>IFERROR(VLOOKUP(C184,'Employees List'!$B$2:H999,6,0),"")</f>
        <v/>
      </c>
      <c r="G184" s="93"/>
      <c r="H184" s="94"/>
      <c r="I184" s="46"/>
      <c r="J184" s="46"/>
      <c r="K184" s="46"/>
      <c r="L184" s="46"/>
      <c r="M184" s="46"/>
      <c r="N184" s="46"/>
      <c r="O184" s="46"/>
      <c r="P184" s="46"/>
      <c r="Q184" s="46"/>
      <c r="R184" s="46"/>
      <c r="S184" s="46"/>
      <c r="T184" s="46"/>
      <c r="U184" s="46"/>
      <c r="V184" s="46"/>
      <c r="W184" s="46"/>
      <c r="X184" s="46"/>
      <c r="Y184" s="46"/>
      <c r="Z184" s="46"/>
      <c r="AA184" s="46"/>
      <c r="AB184" s="46"/>
    </row>
    <row r="185" hidden="1">
      <c r="A185" s="90" t="s">
        <v>402</v>
      </c>
      <c r="B185" s="91" t="str">
        <f>IFERROR(VLOOKUP(A185,'Salary Calculation'!A185:F1182,2,0),"")</f>
        <v/>
      </c>
      <c r="C185" s="91" t="str">
        <f>IFERROR(VLOOKUP(A185,'Salary Calculation'!$A$2:$T$999,3,0),"")</f>
        <v/>
      </c>
      <c r="D185" s="91" t="str">
        <f>IFERROR(VLOOKUP(A185,'Salary Calculation'!$A$2:$T$999,6,0),"")</f>
        <v/>
      </c>
      <c r="E185" s="91" t="str">
        <f>IFERROR(VLOOKUP(A185,'Salary Calculation'!$A$2:$T$999,8,0),"")</f>
        <v/>
      </c>
      <c r="F185" s="92" t="str">
        <f>IFERROR(VLOOKUP(C185,'Employees List'!$B$2:H999,6,0),"")</f>
        <v/>
      </c>
      <c r="G185" s="93"/>
      <c r="H185" s="94"/>
      <c r="I185" s="46"/>
      <c r="J185" s="46"/>
      <c r="K185" s="46"/>
      <c r="L185" s="46"/>
      <c r="M185" s="46"/>
      <c r="N185" s="46"/>
      <c r="O185" s="46"/>
      <c r="P185" s="46"/>
      <c r="Q185" s="46"/>
      <c r="R185" s="46"/>
      <c r="S185" s="46"/>
      <c r="T185" s="46"/>
      <c r="U185" s="46"/>
      <c r="V185" s="46"/>
      <c r="W185" s="46"/>
      <c r="X185" s="46"/>
      <c r="Y185" s="46"/>
      <c r="Z185" s="46"/>
      <c r="AA185" s="46"/>
      <c r="AB185" s="46"/>
    </row>
    <row r="186" hidden="1">
      <c r="A186" s="90" t="s">
        <v>403</v>
      </c>
      <c r="B186" s="91" t="str">
        <f>IFERROR(VLOOKUP(A186,'Salary Calculation'!A186:F1183,2,0),"")</f>
        <v/>
      </c>
      <c r="C186" s="91" t="str">
        <f>IFERROR(VLOOKUP(A186,'Salary Calculation'!$A$2:$T$999,3,0),"")</f>
        <v/>
      </c>
      <c r="D186" s="91" t="str">
        <f>IFERROR(VLOOKUP(A186,'Salary Calculation'!$A$2:$T$999,6,0),"")</f>
        <v/>
      </c>
      <c r="E186" s="91" t="str">
        <f>IFERROR(VLOOKUP(A186,'Salary Calculation'!$A$2:$T$999,8,0),"")</f>
        <v/>
      </c>
      <c r="F186" s="92" t="str">
        <f>IFERROR(VLOOKUP(C186,'Employees List'!$B$2:H999,6,0),"")</f>
        <v/>
      </c>
      <c r="G186" s="93"/>
      <c r="H186" s="94"/>
      <c r="I186" s="46"/>
      <c r="J186" s="46"/>
      <c r="K186" s="46"/>
      <c r="L186" s="46"/>
      <c r="M186" s="46"/>
      <c r="N186" s="46"/>
      <c r="O186" s="46"/>
      <c r="P186" s="46"/>
      <c r="Q186" s="46"/>
      <c r="R186" s="46"/>
      <c r="S186" s="46"/>
      <c r="T186" s="46"/>
      <c r="U186" s="46"/>
      <c r="V186" s="46"/>
      <c r="W186" s="46"/>
      <c r="X186" s="46"/>
      <c r="Y186" s="46"/>
      <c r="Z186" s="46"/>
      <c r="AA186" s="46"/>
      <c r="AB186" s="46"/>
    </row>
    <row r="187" hidden="1">
      <c r="A187" s="90" t="s">
        <v>404</v>
      </c>
      <c r="B187" s="91" t="str">
        <f>IFERROR(VLOOKUP(A187,'Salary Calculation'!A187:F1184,2,0),"")</f>
        <v/>
      </c>
      <c r="C187" s="91" t="str">
        <f>IFERROR(VLOOKUP(A187,'Salary Calculation'!$A$2:$T$999,3,0),"")</f>
        <v/>
      </c>
      <c r="D187" s="91" t="str">
        <f>IFERROR(VLOOKUP(A187,'Salary Calculation'!$A$2:$T$999,6,0),"")</f>
        <v/>
      </c>
      <c r="E187" s="91" t="str">
        <f>IFERROR(VLOOKUP(A187,'Salary Calculation'!$A$2:$T$999,8,0),"")</f>
        <v/>
      </c>
      <c r="F187" s="92" t="str">
        <f>IFERROR(VLOOKUP(C187,'Employees List'!$B$2:H999,6,0),"")</f>
        <v/>
      </c>
      <c r="G187" s="93"/>
      <c r="H187" s="94"/>
      <c r="I187" s="46"/>
      <c r="J187" s="46"/>
      <c r="K187" s="46"/>
      <c r="L187" s="46"/>
      <c r="M187" s="46"/>
      <c r="N187" s="46"/>
      <c r="O187" s="46"/>
      <c r="P187" s="46"/>
      <c r="Q187" s="46"/>
      <c r="R187" s="46"/>
      <c r="S187" s="46"/>
      <c r="T187" s="46"/>
      <c r="U187" s="46"/>
      <c r="V187" s="46"/>
      <c r="W187" s="46"/>
      <c r="X187" s="46"/>
      <c r="Y187" s="46"/>
      <c r="Z187" s="46"/>
      <c r="AA187" s="46"/>
      <c r="AB187" s="46"/>
    </row>
    <row r="188" hidden="1">
      <c r="A188" s="90" t="s">
        <v>405</v>
      </c>
      <c r="B188" s="91" t="str">
        <f>IFERROR(VLOOKUP(A188,'Salary Calculation'!A188:F1185,2,0),"")</f>
        <v/>
      </c>
      <c r="C188" s="91" t="str">
        <f>IFERROR(VLOOKUP(A188,'Salary Calculation'!$A$2:$T$999,3,0),"")</f>
        <v/>
      </c>
      <c r="D188" s="91" t="str">
        <f>IFERROR(VLOOKUP(A188,'Salary Calculation'!$A$2:$T$999,6,0),"")</f>
        <v/>
      </c>
      <c r="E188" s="91" t="str">
        <f>IFERROR(VLOOKUP(A188,'Salary Calculation'!$A$2:$T$999,8,0),"")</f>
        <v/>
      </c>
      <c r="F188" s="92" t="str">
        <f>IFERROR(VLOOKUP(C188,'Employees List'!$B$2:H999,6,0),"")</f>
        <v/>
      </c>
      <c r="G188" s="93"/>
      <c r="H188" s="94"/>
      <c r="I188" s="46"/>
      <c r="J188" s="46"/>
      <c r="K188" s="46"/>
      <c r="L188" s="46"/>
      <c r="M188" s="46"/>
      <c r="N188" s="46"/>
      <c r="O188" s="46"/>
      <c r="P188" s="46"/>
      <c r="Q188" s="46"/>
      <c r="R188" s="46"/>
      <c r="S188" s="46"/>
      <c r="T188" s="46"/>
      <c r="U188" s="46"/>
      <c r="V188" s="46"/>
      <c r="W188" s="46"/>
      <c r="X188" s="46"/>
      <c r="Y188" s="46"/>
      <c r="Z188" s="46"/>
      <c r="AA188" s="46"/>
      <c r="AB188" s="46"/>
    </row>
    <row r="189" hidden="1">
      <c r="A189" s="90" t="s">
        <v>406</v>
      </c>
      <c r="B189" s="91" t="str">
        <f>IFERROR(VLOOKUP(A189,'Salary Calculation'!A189:F1186,2,0),"")</f>
        <v/>
      </c>
      <c r="C189" s="91" t="str">
        <f>IFERROR(VLOOKUP(A189,'Salary Calculation'!$A$2:$T$999,3,0),"")</f>
        <v/>
      </c>
      <c r="D189" s="91" t="str">
        <f>IFERROR(VLOOKUP(A189,'Salary Calculation'!$A$2:$T$999,6,0),"")</f>
        <v/>
      </c>
      <c r="E189" s="91" t="str">
        <f>IFERROR(VLOOKUP(A189,'Salary Calculation'!$A$2:$T$999,8,0),"")</f>
        <v/>
      </c>
      <c r="F189" s="92" t="str">
        <f>IFERROR(VLOOKUP(C189,'Employees List'!$B$2:H999,6,0),"")</f>
        <v/>
      </c>
      <c r="G189" s="93"/>
      <c r="H189" s="94"/>
      <c r="I189" s="46"/>
      <c r="J189" s="46"/>
      <c r="K189" s="46"/>
      <c r="L189" s="46"/>
      <c r="M189" s="46"/>
      <c r="N189" s="46"/>
      <c r="O189" s="46"/>
      <c r="P189" s="46"/>
      <c r="Q189" s="46"/>
      <c r="R189" s="46"/>
      <c r="S189" s="46"/>
      <c r="T189" s="46"/>
      <c r="U189" s="46"/>
      <c r="V189" s="46"/>
      <c r="W189" s="46"/>
      <c r="X189" s="46"/>
      <c r="Y189" s="46"/>
      <c r="Z189" s="46"/>
      <c r="AA189" s="46"/>
      <c r="AB189" s="46"/>
    </row>
    <row r="190" hidden="1">
      <c r="A190" s="90" t="s">
        <v>407</v>
      </c>
      <c r="B190" s="91" t="str">
        <f>IFERROR(VLOOKUP(A190,'Salary Calculation'!A190:F1187,2,0),"")</f>
        <v/>
      </c>
      <c r="C190" s="91" t="str">
        <f>IFERROR(VLOOKUP(A190,'Salary Calculation'!$A$2:$T$999,3,0),"")</f>
        <v/>
      </c>
      <c r="D190" s="91" t="str">
        <f>IFERROR(VLOOKUP(A190,'Salary Calculation'!$A$2:$T$999,6,0),"")</f>
        <v/>
      </c>
      <c r="E190" s="91" t="str">
        <f>IFERROR(VLOOKUP(A190,'Salary Calculation'!$A$2:$T$999,8,0),"")</f>
        <v/>
      </c>
      <c r="F190" s="92" t="str">
        <f>IFERROR(VLOOKUP(C190,'Employees List'!$B$2:H999,6,0),"")</f>
        <v/>
      </c>
      <c r="G190" s="93"/>
      <c r="H190" s="94"/>
      <c r="I190" s="46"/>
      <c r="J190" s="46"/>
      <c r="K190" s="46"/>
      <c r="L190" s="46"/>
      <c r="M190" s="46"/>
      <c r="N190" s="46"/>
      <c r="O190" s="46"/>
      <c r="P190" s="46"/>
      <c r="Q190" s="46"/>
      <c r="R190" s="46"/>
      <c r="S190" s="46"/>
      <c r="T190" s="46"/>
      <c r="U190" s="46"/>
      <c r="V190" s="46"/>
      <c r="W190" s="46"/>
      <c r="X190" s="46"/>
      <c r="Y190" s="46"/>
      <c r="Z190" s="46"/>
      <c r="AA190" s="46"/>
      <c r="AB190" s="46"/>
    </row>
    <row r="191" hidden="1">
      <c r="A191" s="90" t="s">
        <v>408</v>
      </c>
      <c r="B191" s="91" t="str">
        <f>IFERROR(VLOOKUP(A191,'Salary Calculation'!A191:F1188,2,0),"")</f>
        <v/>
      </c>
      <c r="C191" s="91" t="str">
        <f>IFERROR(VLOOKUP(A191,'Salary Calculation'!$A$2:$T$999,3,0),"")</f>
        <v/>
      </c>
      <c r="D191" s="91" t="str">
        <f>IFERROR(VLOOKUP(A191,'Salary Calculation'!$A$2:$T$999,6,0),"")</f>
        <v/>
      </c>
      <c r="E191" s="91" t="str">
        <f>IFERROR(VLOOKUP(A191,'Salary Calculation'!$A$2:$T$999,8,0),"")</f>
        <v/>
      </c>
      <c r="F191" s="92" t="str">
        <f>IFERROR(VLOOKUP(C191,'Employees List'!$B$2:H999,6,0),"")</f>
        <v/>
      </c>
      <c r="G191" s="93"/>
      <c r="H191" s="94"/>
      <c r="I191" s="46"/>
      <c r="J191" s="46"/>
      <c r="K191" s="46"/>
      <c r="L191" s="46"/>
      <c r="M191" s="46"/>
      <c r="N191" s="46"/>
      <c r="O191" s="46"/>
      <c r="P191" s="46"/>
      <c r="Q191" s="46"/>
      <c r="R191" s="46"/>
      <c r="S191" s="46"/>
      <c r="T191" s="46"/>
      <c r="U191" s="46"/>
      <c r="V191" s="46"/>
      <c r="W191" s="46"/>
      <c r="X191" s="46"/>
      <c r="Y191" s="46"/>
      <c r="Z191" s="46"/>
      <c r="AA191" s="46"/>
      <c r="AB191" s="46"/>
    </row>
    <row r="192" hidden="1">
      <c r="A192" s="90" t="s">
        <v>409</v>
      </c>
      <c r="B192" s="91" t="str">
        <f>IFERROR(VLOOKUP(A192,'Salary Calculation'!A192:F1189,2,0),"")</f>
        <v/>
      </c>
      <c r="C192" s="91" t="str">
        <f>IFERROR(VLOOKUP(A192,'Salary Calculation'!$A$2:$T$999,3,0),"")</f>
        <v/>
      </c>
      <c r="D192" s="91" t="str">
        <f>IFERROR(VLOOKUP(A192,'Salary Calculation'!$A$2:$T$999,6,0),"")</f>
        <v/>
      </c>
      <c r="E192" s="91" t="str">
        <f>IFERROR(VLOOKUP(A192,'Salary Calculation'!$A$2:$T$999,8,0),"")</f>
        <v/>
      </c>
      <c r="F192" s="92" t="str">
        <f>IFERROR(VLOOKUP(C192,'Employees List'!$B$2:H999,6,0),"")</f>
        <v/>
      </c>
      <c r="G192" s="93"/>
      <c r="H192" s="94"/>
      <c r="I192" s="46"/>
      <c r="J192" s="46"/>
      <c r="K192" s="46"/>
      <c r="L192" s="46"/>
      <c r="M192" s="46"/>
      <c r="N192" s="46"/>
      <c r="O192" s="46"/>
      <c r="P192" s="46"/>
      <c r="Q192" s="46"/>
      <c r="R192" s="46"/>
      <c r="S192" s="46"/>
      <c r="T192" s="46"/>
      <c r="U192" s="46"/>
      <c r="V192" s="46"/>
      <c r="W192" s="46"/>
      <c r="X192" s="46"/>
      <c r="Y192" s="46"/>
      <c r="Z192" s="46"/>
      <c r="AA192" s="46"/>
      <c r="AB192" s="46"/>
    </row>
    <row r="193" hidden="1">
      <c r="A193" s="90" t="s">
        <v>410</v>
      </c>
      <c r="B193" s="91" t="str">
        <f>IFERROR(VLOOKUP(A193,'Salary Calculation'!A193:F1190,2,0),"")</f>
        <v/>
      </c>
      <c r="C193" s="91" t="str">
        <f>IFERROR(VLOOKUP(A193,'Salary Calculation'!$A$2:$T$999,3,0),"")</f>
        <v/>
      </c>
      <c r="D193" s="91" t="str">
        <f>IFERROR(VLOOKUP(A193,'Salary Calculation'!$A$2:$T$999,6,0),"")</f>
        <v/>
      </c>
      <c r="E193" s="91" t="str">
        <f>IFERROR(VLOOKUP(A193,'Salary Calculation'!$A$2:$T$999,8,0),"")</f>
        <v/>
      </c>
      <c r="F193" s="92" t="str">
        <f>IFERROR(VLOOKUP(C193,'Employees List'!$B$2:H999,6,0),"")</f>
        <v/>
      </c>
      <c r="G193" s="93"/>
      <c r="H193" s="94"/>
      <c r="I193" s="46"/>
      <c r="J193" s="46"/>
      <c r="K193" s="46"/>
      <c r="L193" s="46"/>
      <c r="M193" s="46"/>
      <c r="N193" s="46"/>
      <c r="O193" s="46"/>
      <c r="P193" s="46"/>
      <c r="Q193" s="46"/>
      <c r="R193" s="46"/>
      <c r="S193" s="46"/>
      <c r="T193" s="46"/>
      <c r="U193" s="46"/>
      <c r="V193" s="46"/>
      <c r="W193" s="46"/>
      <c r="X193" s="46"/>
      <c r="Y193" s="46"/>
      <c r="Z193" s="46"/>
      <c r="AA193" s="46"/>
      <c r="AB193" s="46"/>
    </row>
    <row r="194" hidden="1">
      <c r="A194" s="90" t="s">
        <v>411</v>
      </c>
      <c r="B194" s="91" t="str">
        <f>IFERROR(VLOOKUP(A194,'Salary Calculation'!A194:F1191,2,0),"")</f>
        <v/>
      </c>
      <c r="C194" s="91" t="str">
        <f>IFERROR(VLOOKUP(A194,'Salary Calculation'!$A$2:$T$999,3,0),"")</f>
        <v/>
      </c>
      <c r="D194" s="91" t="str">
        <f>IFERROR(VLOOKUP(A194,'Salary Calculation'!$A$2:$T$999,6,0),"")</f>
        <v/>
      </c>
      <c r="E194" s="91" t="str">
        <f>IFERROR(VLOOKUP(A194,'Salary Calculation'!$A$2:$T$999,8,0),"")</f>
        <v/>
      </c>
      <c r="F194" s="92" t="str">
        <f>IFERROR(VLOOKUP(C194,'Employees List'!$B$2:H999,6,0),"")</f>
        <v/>
      </c>
      <c r="G194" s="93"/>
      <c r="H194" s="94"/>
      <c r="I194" s="46"/>
      <c r="J194" s="46"/>
      <c r="K194" s="46"/>
      <c r="L194" s="46"/>
      <c r="M194" s="46"/>
      <c r="N194" s="46"/>
      <c r="O194" s="46"/>
      <c r="P194" s="46"/>
      <c r="Q194" s="46"/>
      <c r="R194" s="46"/>
      <c r="S194" s="46"/>
      <c r="T194" s="46"/>
      <c r="U194" s="46"/>
      <c r="V194" s="46"/>
      <c r="W194" s="46"/>
      <c r="X194" s="46"/>
      <c r="Y194" s="46"/>
      <c r="Z194" s="46"/>
      <c r="AA194" s="46"/>
      <c r="AB194" s="46"/>
    </row>
    <row r="195" hidden="1">
      <c r="A195" s="90" t="s">
        <v>412</v>
      </c>
      <c r="B195" s="91" t="str">
        <f>IFERROR(VLOOKUP(A195,'Salary Calculation'!A195:F1192,2,0),"")</f>
        <v/>
      </c>
      <c r="C195" s="91" t="str">
        <f>IFERROR(VLOOKUP(A195,'Salary Calculation'!$A$2:$T$999,3,0),"")</f>
        <v/>
      </c>
      <c r="D195" s="91" t="str">
        <f>IFERROR(VLOOKUP(A195,'Salary Calculation'!$A$2:$T$999,6,0),"")</f>
        <v/>
      </c>
      <c r="E195" s="91" t="str">
        <f>IFERROR(VLOOKUP(A195,'Salary Calculation'!$A$2:$T$999,8,0),"")</f>
        <v/>
      </c>
      <c r="F195" s="92" t="str">
        <f>IFERROR(VLOOKUP(C195,'Employees List'!$B$2:H999,6,0),"")</f>
        <v/>
      </c>
      <c r="G195" s="93"/>
      <c r="H195" s="94"/>
      <c r="I195" s="46"/>
      <c r="J195" s="46"/>
      <c r="K195" s="46"/>
      <c r="L195" s="46"/>
      <c r="M195" s="46"/>
      <c r="N195" s="46"/>
      <c r="O195" s="46"/>
      <c r="P195" s="46"/>
      <c r="Q195" s="46"/>
      <c r="R195" s="46"/>
      <c r="S195" s="46"/>
      <c r="T195" s="46"/>
      <c r="U195" s="46"/>
      <c r="V195" s="46"/>
      <c r="W195" s="46"/>
      <c r="X195" s="46"/>
      <c r="Y195" s="46"/>
      <c r="Z195" s="46"/>
      <c r="AA195" s="46"/>
      <c r="AB195" s="46"/>
    </row>
    <row r="196" hidden="1">
      <c r="A196" s="90" t="s">
        <v>413</v>
      </c>
      <c r="B196" s="91" t="str">
        <f>IFERROR(VLOOKUP(A196,'Salary Calculation'!A196:F1193,2,0),"")</f>
        <v/>
      </c>
      <c r="C196" s="91" t="str">
        <f>IFERROR(VLOOKUP(A196,'Salary Calculation'!$A$2:$T$999,3,0),"")</f>
        <v/>
      </c>
      <c r="D196" s="91" t="str">
        <f>IFERROR(VLOOKUP(A196,'Salary Calculation'!$A$2:$T$999,6,0),"")</f>
        <v/>
      </c>
      <c r="E196" s="91" t="str">
        <f>IFERROR(VLOOKUP(A196,'Salary Calculation'!$A$2:$T$999,8,0),"")</f>
        <v/>
      </c>
      <c r="F196" s="92" t="str">
        <f>IFERROR(VLOOKUP(C196,'Employees List'!$B$2:H999,6,0),"")</f>
        <v/>
      </c>
      <c r="G196" s="93"/>
      <c r="H196" s="94"/>
      <c r="I196" s="46"/>
      <c r="J196" s="46"/>
      <c r="K196" s="46"/>
      <c r="L196" s="46"/>
      <c r="M196" s="46"/>
      <c r="N196" s="46"/>
      <c r="O196" s="46"/>
      <c r="P196" s="46"/>
      <c r="Q196" s="46"/>
      <c r="R196" s="46"/>
      <c r="S196" s="46"/>
      <c r="T196" s="46"/>
      <c r="U196" s="46"/>
      <c r="V196" s="46"/>
      <c r="W196" s="46"/>
      <c r="X196" s="46"/>
      <c r="Y196" s="46"/>
      <c r="Z196" s="46"/>
      <c r="AA196" s="46"/>
      <c r="AB196" s="46"/>
    </row>
    <row r="197" hidden="1">
      <c r="A197" s="90" t="s">
        <v>414</v>
      </c>
      <c r="B197" s="91" t="str">
        <f>IFERROR(VLOOKUP(A197,'Salary Calculation'!A197:F1194,2,0),"")</f>
        <v/>
      </c>
      <c r="C197" s="91" t="str">
        <f>IFERROR(VLOOKUP(A197,'Salary Calculation'!$A$2:$T$999,3,0),"")</f>
        <v/>
      </c>
      <c r="D197" s="91" t="str">
        <f>IFERROR(VLOOKUP(A197,'Salary Calculation'!$A$2:$T$999,6,0),"")</f>
        <v/>
      </c>
      <c r="E197" s="91" t="str">
        <f>IFERROR(VLOOKUP(A197,'Salary Calculation'!$A$2:$T$999,8,0),"")</f>
        <v/>
      </c>
      <c r="F197" s="92" t="str">
        <f>IFERROR(VLOOKUP(C197,'Employees List'!$B$2:H999,6,0),"")</f>
        <v/>
      </c>
      <c r="G197" s="93"/>
      <c r="H197" s="94"/>
      <c r="I197" s="46"/>
      <c r="J197" s="46"/>
      <c r="K197" s="46"/>
      <c r="L197" s="46"/>
      <c r="M197" s="46"/>
      <c r="N197" s="46"/>
      <c r="O197" s="46"/>
      <c r="P197" s="46"/>
      <c r="Q197" s="46"/>
      <c r="R197" s="46"/>
      <c r="S197" s="46"/>
      <c r="T197" s="46"/>
      <c r="U197" s="46"/>
      <c r="V197" s="46"/>
      <c r="W197" s="46"/>
      <c r="X197" s="46"/>
      <c r="Y197" s="46"/>
      <c r="Z197" s="46"/>
      <c r="AA197" s="46"/>
      <c r="AB197" s="46"/>
    </row>
    <row r="198" hidden="1">
      <c r="A198" s="90" t="s">
        <v>415</v>
      </c>
      <c r="B198" s="91" t="str">
        <f>IFERROR(VLOOKUP(A198,'Salary Calculation'!A198:F1195,2,0),"")</f>
        <v/>
      </c>
      <c r="C198" s="91" t="str">
        <f>IFERROR(VLOOKUP(A198,'Salary Calculation'!$A$2:$T$999,3,0),"")</f>
        <v/>
      </c>
      <c r="D198" s="91" t="str">
        <f>IFERROR(VLOOKUP(A198,'Salary Calculation'!$A$2:$T$999,6,0),"")</f>
        <v/>
      </c>
      <c r="E198" s="91" t="str">
        <f>IFERROR(VLOOKUP(A198,'Salary Calculation'!$A$2:$T$999,8,0),"")</f>
        <v/>
      </c>
      <c r="F198" s="92" t="str">
        <f>IFERROR(VLOOKUP(C198,'Employees List'!$B$2:H999,6,0),"")</f>
        <v/>
      </c>
      <c r="G198" s="93"/>
      <c r="H198" s="94"/>
      <c r="I198" s="46"/>
      <c r="J198" s="46"/>
      <c r="K198" s="46"/>
      <c r="L198" s="46"/>
      <c r="M198" s="46"/>
      <c r="N198" s="46"/>
      <c r="O198" s="46"/>
      <c r="P198" s="46"/>
      <c r="Q198" s="46"/>
      <c r="R198" s="46"/>
      <c r="S198" s="46"/>
      <c r="T198" s="46"/>
      <c r="U198" s="46"/>
      <c r="V198" s="46"/>
      <c r="W198" s="46"/>
      <c r="X198" s="46"/>
      <c r="Y198" s="46"/>
      <c r="Z198" s="46"/>
      <c r="AA198" s="46"/>
      <c r="AB198" s="46"/>
    </row>
    <row r="199" hidden="1">
      <c r="A199" s="90" t="s">
        <v>416</v>
      </c>
      <c r="B199" s="91" t="str">
        <f>IFERROR(VLOOKUP(A199,'Salary Calculation'!A199:F1196,2,0),"")</f>
        <v/>
      </c>
      <c r="C199" s="91" t="str">
        <f>IFERROR(VLOOKUP(A199,'Salary Calculation'!$A$2:$T$999,3,0),"")</f>
        <v/>
      </c>
      <c r="D199" s="91" t="str">
        <f>IFERROR(VLOOKUP(A199,'Salary Calculation'!$A$2:$T$999,6,0),"")</f>
        <v/>
      </c>
      <c r="E199" s="91" t="str">
        <f>IFERROR(VLOOKUP(A199,'Salary Calculation'!$A$2:$T$999,8,0),"")</f>
        <v/>
      </c>
      <c r="F199" s="92" t="str">
        <f>IFERROR(VLOOKUP(C199,'Employees List'!$B$2:H999,6,0),"")</f>
        <v/>
      </c>
      <c r="G199" s="93"/>
      <c r="H199" s="94"/>
      <c r="I199" s="46"/>
      <c r="J199" s="46"/>
      <c r="K199" s="46"/>
      <c r="L199" s="46"/>
      <c r="M199" s="46"/>
      <c r="N199" s="46"/>
      <c r="O199" s="46"/>
      <c r="P199" s="46"/>
      <c r="Q199" s="46"/>
      <c r="R199" s="46"/>
      <c r="S199" s="46"/>
      <c r="T199" s="46"/>
      <c r="U199" s="46"/>
      <c r="V199" s="46"/>
      <c r="W199" s="46"/>
      <c r="X199" s="46"/>
      <c r="Y199" s="46"/>
      <c r="Z199" s="46"/>
      <c r="AA199" s="46"/>
      <c r="AB199" s="46"/>
    </row>
    <row r="200" hidden="1">
      <c r="A200" s="90" t="s">
        <v>417</v>
      </c>
      <c r="B200" s="91" t="str">
        <f>IFERROR(VLOOKUP(A200,'Salary Calculation'!A200:F1197,2,0),"")</f>
        <v/>
      </c>
      <c r="C200" s="91" t="str">
        <f>IFERROR(VLOOKUP(A200,'Salary Calculation'!$A$2:$T$999,3,0),"")</f>
        <v/>
      </c>
      <c r="D200" s="91" t="str">
        <f>IFERROR(VLOOKUP(A200,'Salary Calculation'!$A$2:$T$999,6,0),"")</f>
        <v/>
      </c>
      <c r="E200" s="91" t="str">
        <f>IFERROR(VLOOKUP(A200,'Salary Calculation'!$A$2:$T$999,8,0),"")</f>
        <v/>
      </c>
      <c r="F200" s="92" t="str">
        <f>IFERROR(VLOOKUP(C200,'Employees List'!$B$2:H999,6,0),"")</f>
        <v/>
      </c>
      <c r="G200" s="93"/>
      <c r="H200" s="94"/>
      <c r="I200" s="46"/>
      <c r="J200" s="46"/>
      <c r="K200" s="46"/>
      <c r="L200" s="46"/>
      <c r="M200" s="46"/>
      <c r="N200" s="46"/>
      <c r="O200" s="46"/>
      <c r="P200" s="46"/>
      <c r="Q200" s="46"/>
      <c r="R200" s="46"/>
      <c r="S200" s="46"/>
      <c r="T200" s="46"/>
      <c r="U200" s="46"/>
      <c r="V200" s="46"/>
      <c r="W200" s="46"/>
      <c r="X200" s="46"/>
      <c r="Y200" s="46"/>
      <c r="Z200" s="46"/>
      <c r="AA200" s="46"/>
      <c r="AB200" s="46"/>
    </row>
    <row r="201" hidden="1">
      <c r="A201" s="90" t="s">
        <v>418</v>
      </c>
      <c r="B201" s="91" t="str">
        <f>IFERROR(VLOOKUP(A201,'Salary Calculation'!A201:F1198,2,0),"")</f>
        <v/>
      </c>
      <c r="C201" s="91" t="str">
        <f>IFERROR(VLOOKUP(A201,'Salary Calculation'!$A$2:$T$999,3,0),"")</f>
        <v/>
      </c>
      <c r="D201" s="91" t="str">
        <f>IFERROR(VLOOKUP(A201,'Salary Calculation'!$A$2:$T$999,6,0),"")</f>
        <v/>
      </c>
      <c r="E201" s="91" t="str">
        <f>IFERROR(VLOOKUP(A201,'Salary Calculation'!$A$2:$T$999,8,0),"")</f>
        <v/>
      </c>
      <c r="F201" s="92" t="str">
        <f>IFERROR(VLOOKUP(C201,'Employees List'!$B$2:H999,6,0),"")</f>
        <v/>
      </c>
      <c r="G201" s="93"/>
      <c r="H201" s="94"/>
      <c r="I201" s="46"/>
      <c r="J201" s="46"/>
      <c r="K201" s="46"/>
      <c r="L201" s="46"/>
      <c r="M201" s="46"/>
      <c r="N201" s="46"/>
      <c r="O201" s="46"/>
      <c r="P201" s="46"/>
      <c r="Q201" s="46"/>
      <c r="R201" s="46"/>
      <c r="S201" s="46"/>
      <c r="T201" s="46"/>
      <c r="U201" s="46"/>
      <c r="V201" s="46"/>
      <c r="W201" s="46"/>
      <c r="X201" s="46"/>
      <c r="Y201" s="46"/>
      <c r="Z201" s="46"/>
      <c r="AA201" s="46"/>
      <c r="AB201" s="46"/>
    </row>
    <row r="202" hidden="1">
      <c r="A202" s="90" t="s">
        <v>419</v>
      </c>
      <c r="B202" s="91" t="str">
        <f>IFERROR(VLOOKUP(A202,'Salary Calculation'!A202:F1199,2,0),"")</f>
        <v/>
      </c>
      <c r="C202" s="91" t="str">
        <f>IFERROR(VLOOKUP(A202,'Salary Calculation'!$A$2:$T$999,3,0),"")</f>
        <v/>
      </c>
      <c r="D202" s="91" t="str">
        <f>IFERROR(VLOOKUP(A202,'Salary Calculation'!$A$2:$T$999,6,0),"")</f>
        <v/>
      </c>
      <c r="E202" s="91" t="str">
        <f>IFERROR(VLOOKUP(A202,'Salary Calculation'!$A$2:$T$999,8,0),"")</f>
        <v/>
      </c>
      <c r="F202" s="92" t="str">
        <f>IFERROR(VLOOKUP(C202,'Employees List'!$B$2:H999,6,0),"")</f>
        <v/>
      </c>
      <c r="G202" s="93" t="str">
        <f>IFERROR(VLOOKUP(A202,'Salary Calculation'!$A$2:$T$999,7,0),"")</f>
        <v/>
      </c>
      <c r="H202" s="94"/>
      <c r="I202" s="46"/>
      <c r="J202" s="46"/>
      <c r="K202" s="46"/>
      <c r="L202" s="46"/>
      <c r="M202" s="46"/>
      <c r="N202" s="46"/>
      <c r="O202" s="46"/>
      <c r="P202" s="46"/>
      <c r="Q202" s="46"/>
      <c r="R202" s="46"/>
      <c r="S202" s="46"/>
      <c r="T202" s="46"/>
      <c r="U202" s="46"/>
      <c r="V202" s="46"/>
      <c r="W202" s="46"/>
      <c r="X202" s="46"/>
      <c r="Y202" s="46"/>
      <c r="Z202" s="46"/>
      <c r="AA202" s="46"/>
      <c r="AB202" s="46"/>
    </row>
    <row r="203" hidden="1">
      <c r="A203" s="90" t="s">
        <v>420</v>
      </c>
      <c r="B203" s="91" t="str">
        <f>IFERROR(VLOOKUP(A203,'Salary Calculation'!A203:F1200,2,0),"")</f>
        <v/>
      </c>
      <c r="C203" s="91" t="str">
        <f>IFERROR(VLOOKUP(A203,'Salary Calculation'!$A$2:$T$999,3,0),"")</f>
        <v/>
      </c>
      <c r="D203" s="91" t="str">
        <f>IFERROR(VLOOKUP(A203,'Salary Calculation'!$A$2:$T$999,6,0),"")</f>
        <v/>
      </c>
      <c r="E203" s="91" t="str">
        <f>IFERROR(VLOOKUP(A203,'Salary Calculation'!$A$2:$T$999,8,0),"")</f>
        <v/>
      </c>
      <c r="F203" s="92" t="str">
        <f>IFERROR(VLOOKUP(C203,'Employees List'!$B$2:H999,6,0),"")</f>
        <v/>
      </c>
      <c r="G203" s="93" t="str">
        <f>IFERROR(VLOOKUP(A203,'Salary Calculation'!$A$2:$T$999,7,0),"")</f>
        <v/>
      </c>
      <c r="H203" s="94"/>
      <c r="I203" s="46"/>
      <c r="J203" s="46"/>
      <c r="K203" s="46"/>
      <c r="L203" s="46"/>
      <c r="M203" s="46"/>
      <c r="N203" s="46"/>
      <c r="O203" s="46"/>
      <c r="P203" s="46"/>
      <c r="Q203" s="46"/>
      <c r="R203" s="46"/>
      <c r="S203" s="46"/>
      <c r="T203" s="46"/>
      <c r="U203" s="46"/>
      <c r="V203" s="46"/>
      <c r="W203" s="46"/>
      <c r="X203" s="46"/>
      <c r="Y203" s="46"/>
      <c r="Z203" s="46"/>
      <c r="AA203" s="46"/>
      <c r="AB203" s="46"/>
    </row>
    <row r="204" hidden="1">
      <c r="A204" s="90" t="s">
        <v>421</v>
      </c>
      <c r="B204" s="91" t="str">
        <f>IFERROR(VLOOKUP(A204,'Salary Calculation'!A204:F1201,2,0),"")</f>
        <v/>
      </c>
      <c r="C204" s="91" t="str">
        <f>IFERROR(VLOOKUP(A204,'Salary Calculation'!$A$2:$T$999,3,0),"")</f>
        <v/>
      </c>
      <c r="D204" s="91" t="str">
        <f>IFERROR(VLOOKUP(A204,'Salary Calculation'!$A$2:$T$999,6,0),"")</f>
        <v/>
      </c>
      <c r="E204" s="91" t="str">
        <f>IFERROR(VLOOKUP(A204,'Salary Calculation'!$A$2:$T$999,8,0),"")</f>
        <v/>
      </c>
      <c r="F204" s="92" t="str">
        <f>IFERROR(VLOOKUP(C204,'Employees List'!$B$2:H999,6,0),"")</f>
        <v/>
      </c>
      <c r="G204" s="93" t="str">
        <f>IFERROR(VLOOKUP(A204,'Salary Calculation'!$A$2:$T$999,7,0),"")</f>
        <v/>
      </c>
      <c r="H204" s="94"/>
      <c r="I204" s="46"/>
      <c r="J204" s="46"/>
      <c r="K204" s="46"/>
      <c r="L204" s="46"/>
      <c r="M204" s="46"/>
      <c r="N204" s="46"/>
      <c r="O204" s="46"/>
      <c r="P204" s="46"/>
      <c r="Q204" s="46"/>
      <c r="R204" s="46"/>
      <c r="S204" s="46"/>
      <c r="T204" s="46"/>
      <c r="U204" s="46"/>
      <c r="V204" s="46"/>
      <c r="W204" s="46"/>
      <c r="X204" s="46"/>
      <c r="Y204" s="46"/>
      <c r="Z204" s="46"/>
      <c r="AA204" s="46"/>
      <c r="AB204" s="46"/>
    </row>
    <row r="205" hidden="1">
      <c r="A205" s="90" t="s">
        <v>422</v>
      </c>
      <c r="B205" s="91" t="str">
        <f>IFERROR(VLOOKUP(A205,'Salary Calculation'!A205:F1202,2,0),"")</f>
        <v/>
      </c>
      <c r="C205" s="91" t="str">
        <f>IFERROR(VLOOKUP(A205,'Salary Calculation'!$A$2:$T$999,3,0),"")</f>
        <v/>
      </c>
      <c r="D205" s="91" t="str">
        <f>IFERROR(VLOOKUP(A205,'Salary Calculation'!$A$2:$T$999,6,0),"")</f>
        <v/>
      </c>
      <c r="E205" s="91" t="str">
        <f>IFERROR(VLOOKUP(A205,'Salary Calculation'!$A$2:$T$999,8,0),"")</f>
        <v/>
      </c>
      <c r="F205" s="92" t="str">
        <f>IFERROR(VLOOKUP(C205,'Employees List'!$B$2:H999,6,0),"")</f>
        <v/>
      </c>
      <c r="G205" s="93" t="str">
        <f>IFERROR(VLOOKUP(A205,'Salary Calculation'!$A$2:$T$999,7,0),"")</f>
        <v/>
      </c>
      <c r="H205" s="94"/>
      <c r="I205" s="46"/>
      <c r="J205" s="46"/>
      <c r="K205" s="46"/>
      <c r="L205" s="46"/>
      <c r="M205" s="46"/>
      <c r="N205" s="46"/>
      <c r="O205" s="46"/>
      <c r="P205" s="46"/>
      <c r="Q205" s="46"/>
      <c r="R205" s="46"/>
      <c r="S205" s="46"/>
      <c r="T205" s="46"/>
      <c r="U205" s="46"/>
      <c r="V205" s="46"/>
      <c r="W205" s="46"/>
      <c r="X205" s="46"/>
      <c r="Y205" s="46"/>
      <c r="Z205" s="46"/>
      <c r="AA205" s="46"/>
      <c r="AB205" s="46"/>
    </row>
    <row r="206" hidden="1">
      <c r="A206" s="90" t="s">
        <v>423</v>
      </c>
      <c r="B206" s="91" t="str">
        <f>IFERROR(VLOOKUP(A206,'Salary Calculation'!A206:F1203,2,0),"")</f>
        <v/>
      </c>
      <c r="C206" s="91" t="str">
        <f>IFERROR(VLOOKUP(A206,'Salary Calculation'!$A$2:$T$999,3,0),"")</f>
        <v/>
      </c>
      <c r="D206" s="91" t="str">
        <f>IFERROR(VLOOKUP(A206,'Salary Calculation'!$A$2:$T$999,6,0),"")</f>
        <v/>
      </c>
      <c r="E206" s="91" t="str">
        <f>IFERROR(VLOOKUP(A206,'Salary Calculation'!$A$2:$T$999,8,0),"")</f>
        <v/>
      </c>
      <c r="F206" s="92" t="str">
        <f>IFERROR(VLOOKUP(C206,'Employees List'!$B$2:H999,6,0),"")</f>
        <v/>
      </c>
      <c r="G206" s="93" t="str">
        <f>IFERROR(VLOOKUP(A206,'Salary Calculation'!$A$2:$T$999,7,0),"")</f>
        <v/>
      </c>
      <c r="H206" s="94"/>
      <c r="I206" s="46"/>
      <c r="J206" s="46"/>
      <c r="K206" s="46"/>
      <c r="L206" s="46"/>
      <c r="M206" s="46"/>
      <c r="N206" s="46"/>
      <c r="O206" s="46"/>
      <c r="P206" s="46"/>
      <c r="Q206" s="46"/>
      <c r="R206" s="46"/>
      <c r="S206" s="46"/>
      <c r="T206" s="46"/>
      <c r="U206" s="46"/>
      <c r="V206" s="46"/>
      <c r="W206" s="46"/>
      <c r="X206" s="46"/>
      <c r="Y206" s="46"/>
      <c r="Z206" s="46"/>
      <c r="AA206" s="46"/>
      <c r="AB206" s="46"/>
    </row>
    <row r="207" hidden="1">
      <c r="A207" s="90" t="s">
        <v>424</v>
      </c>
      <c r="B207" s="91" t="str">
        <f>IFERROR(VLOOKUP(A207,'Salary Calculation'!A207:F1204,2,0),"")</f>
        <v/>
      </c>
      <c r="C207" s="91" t="str">
        <f>IFERROR(VLOOKUP(A207,'Salary Calculation'!$A$2:$T$999,3,0),"")</f>
        <v/>
      </c>
      <c r="D207" s="91" t="str">
        <f>IFERROR(VLOOKUP(A207,'Salary Calculation'!$A$2:$T$999,6,0),"")</f>
        <v/>
      </c>
      <c r="E207" s="91" t="str">
        <f>IFERROR(VLOOKUP(A207,'Salary Calculation'!$A$2:$T$999,8,0),"")</f>
        <v/>
      </c>
      <c r="F207" s="92" t="str">
        <f>IFERROR(VLOOKUP(C207,'Employees List'!$B$2:H999,6,0),"")</f>
        <v/>
      </c>
      <c r="G207" s="93" t="str">
        <f>IFERROR(VLOOKUP(A207,'Salary Calculation'!$A$2:$T$999,7,0),"")</f>
        <v/>
      </c>
      <c r="H207" s="94"/>
      <c r="I207" s="46"/>
      <c r="J207" s="46"/>
      <c r="K207" s="46"/>
      <c r="L207" s="46"/>
      <c r="M207" s="46"/>
      <c r="N207" s="46"/>
      <c r="O207" s="46"/>
      <c r="P207" s="46"/>
      <c r="Q207" s="46"/>
      <c r="R207" s="46"/>
      <c r="S207" s="46"/>
      <c r="T207" s="46"/>
      <c r="U207" s="46"/>
      <c r="V207" s="46"/>
      <c r="W207" s="46"/>
      <c r="X207" s="46"/>
      <c r="Y207" s="46"/>
      <c r="Z207" s="46"/>
      <c r="AA207" s="46"/>
      <c r="AB207" s="46"/>
    </row>
    <row r="208" hidden="1">
      <c r="A208" s="90" t="s">
        <v>425</v>
      </c>
      <c r="B208" s="91" t="str">
        <f>IFERROR(VLOOKUP(A208,'Salary Calculation'!A208:F1205,2,0),"")</f>
        <v/>
      </c>
      <c r="C208" s="91" t="str">
        <f>IFERROR(VLOOKUP(A208,'Salary Calculation'!$A$2:$T$999,3,0),"")</f>
        <v/>
      </c>
      <c r="D208" s="91" t="str">
        <f>IFERROR(VLOOKUP(A208,'Salary Calculation'!$A$2:$T$999,6,0),"")</f>
        <v/>
      </c>
      <c r="E208" s="91" t="str">
        <f>IFERROR(VLOOKUP(A208,'Salary Calculation'!$A$2:$T$999,8,0),"")</f>
        <v/>
      </c>
      <c r="F208" s="92" t="str">
        <f>IFERROR(VLOOKUP(C208,'Employees List'!$B$2:H999,6,0),"")</f>
        <v/>
      </c>
      <c r="G208" s="93" t="str">
        <f>IFERROR(VLOOKUP(A208,'Salary Calculation'!$A$2:$T$999,7,0),"")</f>
        <v/>
      </c>
      <c r="H208" s="94"/>
      <c r="I208" s="46"/>
      <c r="J208" s="46"/>
      <c r="K208" s="46"/>
      <c r="L208" s="46"/>
      <c r="M208" s="46"/>
      <c r="N208" s="46"/>
      <c r="O208" s="46"/>
      <c r="P208" s="46"/>
      <c r="Q208" s="46"/>
      <c r="R208" s="46"/>
      <c r="S208" s="46"/>
      <c r="T208" s="46"/>
      <c r="U208" s="46"/>
      <c r="V208" s="46"/>
      <c r="W208" s="46"/>
      <c r="X208" s="46"/>
      <c r="Y208" s="46"/>
      <c r="Z208" s="46"/>
      <c r="AA208" s="46"/>
      <c r="AB208" s="46"/>
    </row>
    <row r="209" hidden="1">
      <c r="A209" s="90" t="s">
        <v>426</v>
      </c>
      <c r="B209" s="91" t="str">
        <f>IFERROR(VLOOKUP(A209,'Salary Calculation'!A209:F1206,2,0),"")</f>
        <v/>
      </c>
      <c r="C209" s="91" t="str">
        <f>IFERROR(VLOOKUP(A209,'Salary Calculation'!$A$2:$T$999,3,0),"")</f>
        <v/>
      </c>
      <c r="D209" s="91" t="str">
        <f>IFERROR(VLOOKUP(A209,'Salary Calculation'!$A$2:$T$999,6,0),"")</f>
        <v/>
      </c>
      <c r="E209" s="91" t="str">
        <f>IFERROR(VLOOKUP(A209,'Salary Calculation'!$A$2:$T$999,8,0),"")</f>
        <v/>
      </c>
      <c r="F209" s="92" t="str">
        <f>IFERROR(VLOOKUP(C209,'Employees List'!$B$2:H999,6,0),"")</f>
        <v/>
      </c>
      <c r="G209" s="93" t="str">
        <f>IFERROR(VLOOKUP(A209,'Salary Calculation'!$A$2:$T$999,7,0),"")</f>
        <v/>
      </c>
      <c r="H209" s="94"/>
      <c r="I209" s="46"/>
      <c r="J209" s="46"/>
      <c r="K209" s="46"/>
      <c r="L209" s="46"/>
      <c r="M209" s="46"/>
      <c r="N209" s="46"/>
      <c r="O209" s="46"/>
      <c r="P209" s="46"/>
      <c r="Q209" s="46"/>
      <c r="R209" s="46"/>
      <c r="S209" s="46"/>
      <c r="T209" s="46"/>
      <c r="U209" s="46"/>
      <c r="V209" s="46"/>
      <c r="W209" s="46"/>
      <c r="X209" s="46"/>
      <c r="Y209" s="46"/>
      <c r="Z209" s="46"/>
      <c r="AA209" s="46"/>
      <c r="AB209" s="46"/>
    </row>
    <row r="210" hidden="1">
      <c r="A210" s="90" t="s">
        <v>427</v>
      </c>
      <c r="B210" s="91" t="str">
        <f>IFERROR(VLOOKUP(A210,'Salary Calculation'!A210:F1207,2,0),"")</f>
        <v/>
      </c>
      <c r="C210" s="91" t="str">
        <f>IFERROR(VLOOKUP(A210,'Salary Calculation'!$A$2:$T$999,3,0),"")</f>
        <v/>
      </c>
      <c r="D210" s="91" t="str">
        <f>IFERROR(VLOOKUP(A210,'Salary Calculation'!$A$2:$T$999,6,0),"")</f>
        <v/>
      </c>
      <c r="E210" s="91" t="str">
        <f>IFERROR(VLOOKUP(A210,'Salary Calculation'!$A$2:$T$999,8,0),"")</f>
        <v/>
      </c>
      <c r="F210" s="92" t="str">
        <f>IFERROR(VLOOKUP(C210,'Employees List'!$B$2:H999,6,0),"")</f>
        <v/>
      </c>
      <c r="G210" s="93" t="str">
        <f>IFERROR(VLOOKUP(A210,'Salary Calculation'!$A$2:$T$999,7,0),"")</f>
        <v/>
      </c>
      <c r="H210" s="94"/>
      <c r="I210" s="46"/>
      <c r="J210" s="46"/>
      <c r="K210" s="46"/>
      <c r="L210" s="46"/>
      <c r="M210" s="46"/>
      <c r="N210" s="46"/>
      <c r="O210" s="46"/>
      <c r="P210" s="46"/>
      <c r="Q210" s="46"/>
      <c r="R210" s="46"/>
      <c r="S210" s="46"/>
      <c r="T210" s="46"/>
      <c r="U210" s="46"/>
      <c r="V210" s="46"/>
      <c r="W210" s="46"/>
      <c r="X210" s="46"/>
      <c r="Y210" s="46"/>
      <c r="Z210" s="46"/>
      <c r="AA210" s="46"/>
      <c r="AB210" s="46"/>
    </row>
    <row r="211" hidden="1">
      <c r="A211" s="90" t="s">
        <v>428</v>
      </c>
      <c r="B211" s="91" t="str">
        <f>IFERROR(VLOOKUP(A211,'Salary Calculation'!A211:F1208,2,0),"")</f>
        <v/>
      </c>
      <c r="C211" s="91" t="str">
        <f>IFERROR(VLOOKUP(A211,'Salary Calculation'!$A$2:$T$999,3,0),"")</f>
        <v/>
      </c>
      <c r="D211" s="91" t="str">
        <f>IFERROR(VLOOKUP(A211,'Salary Calculation'!$A$2:$T$999,6,0),"")</f>
        <v/>
      </c>
      <c r="E211" s="91" t="str">
        <f>IFERROR(VLOOKUP(A211,'Salary Calculation'!$A$2:$T$999,8,0),"")</f>
        <v/>
      </c>
      <c r="F211" s="92" t="str">
        <f>IFERROR(VLOOKUP(C211,'Employees List'!$B$2:H999,6,0),"")</f>
        <v/>
      </c>
      <c r="G211" s="93" t="str">
        <f>IFERROR(VLOOKUP(A211,'Salary Calculation'!$A$2:$T$999,7,0),"")</f>
        <v/>
      </c>
      <c r="H211" s="94"/>
      <c r="I211" s="46"/>
      <c r="J211" s="46"/>
      <c r="K211" s="46"/>
      <c r="L211" s="46"/>
      <c r="M211" s="46"/>
      <c r="N211" s="46"/>
      <c r="O211" s="46"/>
      <c r="P211" s="46"/>
      <c r="Q211" s="46"/>
      <c r="R211" s="46"/>
      <c r="S211" s="46"/>
      <c r="T211" s="46"/>
      <c r="U211" s="46"/>
      <c r="V211" s="46"/>
      <c r="W211" s="46"/>
      <c r="X211" s="46"/>
      <c r="Y211" s="46"/>
      <c r="Z211" s="46"/>
      <c r="AA211" s="46"/>
      <c r="AB211" s="46"/>
    </row>
    <row r="212" hidden="1">
      <c r="A212" s="90" t="s">
        <v>429</v>
      </c>
      <c r="B212" s="91" t="str">
        <f>IFERROR(VLOOKUP(A212,'Salary Calculation'!A212:F1209,2,0),"")</f>
        <v/>
      </c>
      <c r="C212" s="91" t="str">
        <f>IFERROR(VLOOKUP(A212,'Salary Calculation'!$A$2:$T$999,3,0),"")</f>
        <v/>
      </c>
      <c r="D212" s="91" t="str">
        <f>IFERROR(VLOOKUP(A212,'Salary Calculation'!$A$2:$T$999,6,0),"")</f>
        <v/>
      </c>
      <c r="E212" s="91" t="str">
        <f>IFERROR(VLOOKUP(A212,'Salary Calculation'!$A$2:$T$999,8,0),"")</f>
        <v/>
      </c>
      <c r="F212" s="92" t="str">
        <f>IFERROR(VLOOKUP(C212,'Employees List'!$B$2:H999,6,0),"")</f>
        <v/>
      </c>
      <c r="G212" s="93" t="str">
        <f>IFERROR(VLOOKUP(A212,'Salary Calculation'!$A$2:$T$999,7,0),"")</f>
        <v/>
      </c>
      <c r="H212" s="94"/>
      <c r="I212" s="46"/>
      <c r="J212" s="46"/>
      <c r="K212" s="46"/>
      <c r="L212" s="46"/>
      <c r="M212" s="46"/>
      <c r="N212" s="46"/>
      <c r="O212" s="46"/>
      <c r="P212" s="46"/>
      <c r="Q212" s="46"/>
      <c r="R212" s="46"/>
      <c r="S212" s="46"/>
      <c r="T212" s="46"/>
      <c r="U212" s="46"/>
      <c r="V212" s="46"/>
      <c r="W212" s="46"/>
      <c r="X212" s="46"/>
      <c r="Y212" s="46"/>
      <c r="Z212" s="46"/>
      <c r="AA212" s="46"/>
      <c r="AB212" s="46"/>
    </row>
    <row r="213" hidden="1">
      <c r="A213" s="90" t="s">
        <v>430</v>
      </c>
      <c r="B213" s="91" t="str">
        <f>IFERROR(VLOOKUP(A213,'Salary Calculation'!A213:F1210,2,0),"")</f>
        <v/>
      </c>
      <c r="C213" s="91" t="str">
        <f>IFERROR(VLOOKUP(A213,'Salary Calculation'!$A$2:$T$999,3,0),"")</f>
        <v/>
      </c>
      <c r="D213" s="91" t="str">
        <f>IFERROR(VLOOKUP(A213,'Salary Calculation'!$A$2:$T$999,6,0),"")</f>
        <v/>
      </c>
      <c r="E213" s="91" t="str">
        <f>IFERROR(VLOOKUP(A213,'Salary Calculation'!$A$2:$T$999,8,0),"")</f>
        <v/>
      </c>
      <c r="F213" s="92" t="str">
        <f>IFERROR(VLOOKUP(C213,'Employees List'!$B$2:H999,6,0),"")</f>
        <v/>
      </c>
      <c r="G213" s="93" t="str">
        <f>IFERROR(VLOOKUP(A213,'Salary Calculation'!$A$2:$T$999,7,0),"")</f>
        <v/>
      </c>
      <c r="H213" s="94"/>
      <c r="I213" s="46"/>
      <c r="J213" s="46"/>
      <c r="K213" s="46"/>
      <c r="L213" s="46"/>
      <c r="M213" s="46"/>
      <c r="N213" s="46"/>
      <c r="O213" s="46"/>
      <c r="P213" s="46"/>
      <c r="Q213" s="46"/>
      <c r="R213" s="46"/>
      <c r="S213" s="46"/>
      <c r="T213" s="46"/>
      <c r="U213" s="46"/>
      <c r="V213" s="46"/>
      <c r="W213" s="46"/>
      <c r="X213" s="46"/>
      <c r="Y213" s="46"/>
      <c r="Z213" s="46"/>
      <c r="AA213" s="46"/>
      <c r="AB213" s="46"/>
    </row>
    <row r="214" hidden="1">
      <c r="A214" s="90" t="s">
        <v>431</v>
      </c>
      <c r="B214" s="91" t="str">
        <f>IFERROR(VLOOKUP(A214,'Salary Calculation'!A214:F1211,2,0),"")</f>
        <v/>
      </c>
      <c r="C214" s="91" t="str">
        <f>IFERROR(VLOOKUP(A214,'Salary Calculation'!$A$2:$T$999,3,0),"")</f>
        <v/>
      </c>
      <c r="D214" s="91" t="str">
        <f>IFERROR(VLOOKUP(A214,'Salary Calculation'!$A$2:$T$999,6,0),"")</f>
        <v/>
      </c>
      <c r="E214" s="91" t="str">
        <f>IFERROR(VLOOKUP(A214,'Salary Calculation'!$A$2:$T$999,8,0),"")</f>
        <v/>
      </c>
      <c r="F214" s="92" t="str">
        <f>IFERROR(VLOOKUP(C214,'Employees List'!$B$2:H999,6,0),"")</f>
        <v/>
      </c>
      <c r="G214" s="93" t="str">
        <f>IFERROR(VLOOKUP(A214,'Salary Calculation'!$A$2:$T$999,7,0),"")</f>
        <v/>
      </c>
      <c r="H214" s="94"/>
      <c r="I214" s="46"/>
      <c r="J214" s="46"/>
      <c r="K214" s="46"/>
      <c r="L214" s="46"/>
      <c r="M214" s="46"/>
      <c r="N214" s="46"/>
      <c r="O214" s="46"/>
      <c r="P214" s="46"/>
      <c r="Q214" s="46"/>
      <c r="R214" s="46"/>
      <c r="S214" s="46"/>
      <c r="T214" s="46"/>
      <c r="U214" s="46"/>
      <c r="V214" s="46"/>
      <c r="W214" s="46"/>
      <c r="X214" s="46"/>
      <c r="Y214" s="46"/>
      <c r="Z214" s="46"/>
      <c r="AA214" s="46"/>
      <c r="AB214" s="46"/>
    </row>
    <row r="215" hidden="1">
      <c r="A215" s="90" t="s">
        <v>432</v>
      </c>
      <c r="B215" s="91" t="str">
        <f>IFERROR(VLOOKUP(A215,'Salary Calculation'!A215:F1212,2,0),"")</f>
        <v/>
      </c>
      <c r="C215" s="91" t="str">
        <f>IFERROR(VLOOKUP(A215,'Salary Calculation'!$A$2:$T$999,3,0),"")</f>
        <v/>
      </c>
      <c r="D215" s="91" t="str">
        <f>IFERROR(VLOOKUP(A215,'Salary Calculation'!$A$2:$T$999,6,0),"")</f>
        <v/>
      </c>
      <c r="E215" s="91" t="str">
        <f>IFERROR(VLOOKUP(A215,'Salary Calculation'!$A$2:$T$999,8,0),"")</f>
        <v/>
      </c>
      <c r="F215" s="92" t="str">
        <f>IFERROR(VLOOKUP(C215,'Employees List'!$B$2:H999,6,0),"")</f>
        <v/>
      </c>
      <c r="G215" s="93" t="str">
        <f>IFERROR(VLOOKUP(A215,'Salary Calculation'!$A$2:$T$999,7,0),"")</f>
        <v/>
      </c>
      <c r="H215" s="94"/>
      <c r="I215" s="46"/>
      <c r="J215" s="46"/>
      <c r="K215" s="46"/>
      <c r="L215" s="46"/>
      <c r="M215" s="46"/>
      <c r="N215" s="46"/>
      <c r="O215" s="46"/>
      <c r="P215" s="46"/>
      <c r="Q215" s="46"/>
      <c r="R215" s="46"/>
      <c r="S215" s="46"/>
      <c r="T215" s="46"/>
      <c r="U215" s="46"/>
      <c r="V215" s="46"/>
      <c r="W215" s="46"/>
      <c r="X215" s="46"/>
      <c r="Y215" s="46"/>
      <c r="Z215" s="46"/>
      <c r="AA215" s="46"/>
      <c r="AB215" s="46"/>
    </row>
    <row r="216" hidden="1">
      <c r="A216" s="90" t="s">
        <v>433</v>
      </c>
      <c r="B216" s="91" t="str">
        <f>IFERROR(VLOOKUP(A216,'Salary Calculation'!A216:F1213,2,0),"")</f>
        <v/>
      </c>
      <c r="C216" s="91" t="str">
        <f>IFERROR(VLOOKUP(A216,'Salary Calculation'!$A$2:$T$999,3,0),"")</f>
        <v/>
      </c>
      <c r="D216" s="91" t="str">
        <f>IFERROR(VLOOKUP(A216,'Salary Calculation'!$A$2:$T$999,6,0),"")</f>
        <v/>
      </c>
      <c r="E216" s="91" t="str">
        <f>IFERROR(VLOOKUP(A216,'Salary Calculation'!$A$2:$T$999,8,0),"")</f>
        <v/>
      </c>
      <c r="F216" s="92" t="str">
        <f>IFERROR(VLOOKUP(C216,'Employees List'!$B$2:H999,6,0),"")</f>
        <v/>
      </c>
      <c r="G216" s="93" t="str">
        <f>IFERROR(VLOOKUP(A216,'Salary Calculation'!$A$2:$T$999,7,0),"")</f>
        <v/>
      </c>
      <c r="H216" s="94"/>
      <c r="I216" s="46"/>
      <c r="J216" s="46"/>
      <c r="K216" s="46"/>
      <c r="L216" s="46"/>
      <c r="M216" s="46"/>
      <c r="N216" s="46"/>
      <c r="O216" s="46"/>
      <c r="P216" s="46"/>
      <c r="Q216" s="46"/>
      <c r="R216" s="46"/>
      <c r="S216" s="46"/>
      <c r="T216" s="46"/>
      <c r="U216" s="46"/>
      <c r="V216" s="46"/>
      <c r="W216" s="46"/>
      <c r="X216" s="46"/>
      <c r="Y216" s="46"/>
      <c r="Z216" s="46"/>
      <c r="AA216" s="46"/>
      <c r="AB216" s="46"/>
    </row>
    <row r="217" hidden="1">
      <c r="A217" s="90" t="s">
        <v>434</v>
      </c>
      <c r="B217" s="91" t="str">
        <f>IFERROR(VLOOKUP(A217,'Salary Calculation'!A217:F1214,2,0),"")</f>
        <v/>
      </c>
      <c r="C217" s="91" t="str">
        <f>IFERROR(VLOOKUP(A217,'Salary Calculation'!$A$2:$T$999,3,0),"")</f>
        <v/>
      </c>
      <c r="D217" s="91" t="str">
        <f>IFERROR(VLOOKUP(A217,'Salary Calculation'!$A$2:$T$999,6,0),"")</f>
        <v/>
      </c>
      <c r="E217" s="91" t="str">
        <f>IFERROR(VLOOKUP(A217,'Salary Calculation'!$A$2:$T$999,8,0),"")</f>
        <v/>
      </c>
      <c r="F217" s="92" t="str">
        <f>IFERROR(VLOOKUP(C217,'Employees List'!$B$2:H999,6,0),"")</f>
        <v/>
      </c>
      <c r="G217" s="93" t="str">
        <f>IFERROR(VLOOKUP(A217,'Salary Calculation'!$A$2:$T$999,7,0),"")</f>
        <v/>
      </c>
      <c r="H217" s="94"/>
      <c r="I217" s="46"/>
      <c r="J217" s="46"/>
      <c r="K217" s="46"/>
      <c r="L217" s="46"/>
      <c r="M217" s="46"/>
      <c r="N217" s="46"/>
      <c r="O217" s="46"/>
      <c r="P217" s="46"/>
      <c r="Q217" s="46"/>
      <c r="R217" s="46"/>
      <c r="S217" s="46"/>
      <c r="T217" s="46"/>
      <c r="U217" s="46"/>
      <c r="V217" s="46"/>
      <c r="W217" s="46"/>
      <c r="X217" s="46"/>
      <c r="Y217" s="46"/>
      <c r="Z217" s="46"/>
      <c r="AA217" s="46"/>
      <c r="AB217" s="46"/>
    </row>
    <row r="218" hidden="1">
      <c r="A218" s="90" t="s">
        <v>435</v>
      </c>
      <c r="B218" s="91" t="str">
        <f>IFERROR(VLOOKUP(A218,'Salary Calculation'!A218:F1215,2,0),"")</f>
        <v/>
      </c>
      <c r="C218" s="91" t="str">
        <f>IFERROR(VLOOKUP(A218,'Salary Calculation'!$A$2:$T$999,3,0),"")</f>
        <v/>
      </c>
      <c r="D218" s="91" t="str">
        <f>IFERROR(VLOOKUP(A218,'Salary Calculation'!$A$2:$T$999,6,0),"")</f>
        <v/>
      </c>
      <c r="E218" s="91" t="str">
        <f>IFERROR(VLOOKUP(A218,'Salary Calculation'!$A$2:$T$999,8,0),"")</f>
        <v/>
      </c>
      <c r="F218" s="92" t="str">
        <f>IFERROR(VLOOKUP(C218,'Employees List'!$B$2:H999,6,0),"")</f>
        <v/>
      </c>
      <c r="G218" s="93" t="str">
        <f>IFERROR(VLOOKUP(A218,'Salary Calculation'!$A$2:$T$999,7,0),"")</f>
        <v/>
      </c>
      <c r="H218" s="94"/>
      <c r="I218" s="46"/>
      <c r="J218" s="46"/>
      <c r="K218" s="46"/>
      <c r="L218" s="46"/>
      <c r="M218" s="46"/>
      <c r="N218" s="46"/>
      <c r="O218" s="46"/>
      <c r="P218" s="46"/>
      <c r="Q218" s="46"/>
      <c r="R218" s="46"/>
      <c r="S218" s="46"/>
      <c r="T218" s="46"/>
      <c r="U218" s="46"/>
      <c r="V218" s="46"/>
      <c r="W218" s="46"/>
      <c r="X218" s="46"/>
      <c r="Y218" s="46"/>
      <c r="Z218" s="46"/>
      <c r="AA218" s="46"/>
      <c r="AB218" s="46"/>
    </row>
    <row r="219" hidden="1">
      <c r="A219" s="90" t="s">
        <v>436</v>
      </c>
      <c r="B219" s="91" t="str">
        <f>IFERROR(VLOOKUP(A219,'Salary Calculation'!A219:F1216,2,0),"")</f>
        <v/>
      </c>
      <c r="C219" s="91" t="str">
        <f>IFERROR(VLOOKUP(A219,'Salary Calculation'!$A$2:$T$999,3,0),"")</f>
        <v/>
      </c>
      <c r="D219" s="91" t="str">
        <f>IFERROR(VLOOKUP(A219,'Salary Calculation'!$A$2:$T$999,6,0),"")</f>
        <v/>
      </c>
      <c r="E219" s="91" t="str">
        <f>IFERROR(VLOOKUP(A219,'Salary Calculation'!$A$2:$T$999,8,0),"")</f>
        <v/>
      </c>
      <c r="F219" s="92" t="str">
        <f>IFERROR(VLOOKUP(C219,'Employees List'!$B$2:H999,6,0),"")</f>
        <v/>
      </c>
      <c r="G219" s="93" t="str">
        <f>IFERROR(VLOOKUP(A219,'Salary Calculation'!$A$2:$T$999,7,0),"")</f>
        <v/>
      </c>
      <c r="H219" s="94"/>
      <c r="I219" s="46"/>
      <c r="J219" s="46"/>
      <c r="K219" s="46"/>
      <c r="L219" s="46"/>
      <c r="M219" s="46"/>
      <c r="N219" s="46"/>
      <c r="O219" s="46"/>
      <c r="P219" s="46"/>
      <c r="Q219" s="46"/>
      <c r="R219" s="46"/>
      <c r="S219" s="46"/>
      <c r="T219" s="46"/>
      <c r="U219" s="46"/>
      <c r="V219" s="46"/>
      <c r="W219" s="46"/>
      <c r="X219" s="46"/>
      <c r="Y219" s="46"/>
      <c r="Z219" s="46"/>
      <c r="AA219" s="46"/>
      <c r="AB219" s="46"/>
    </row>
    <row r="220" hidden="1">
      <c r="A220" s="90" t="s">
        <v>437</v>
      </c>
      <c r="B220" s="91" t="str">
        <f>IFERROR(VLOOKUP(A220,'Salary Calculation'!A220:F1217,2,0),"")</f>
        <v/>
      </c>
      <c r="C220" s="91" t="str">
        <f>IFERROR(VLOOKUP(A220,'Salary Calculation'!$A$2:$T$999,3,0),"")</f>
        <v/>
      </c>
      <c r="D220" s="91" t="str">
        <f>IFERROR(VLOOKUP(A220,'Salary Calculation'!$A$2:$T$999,6,0),"")</f>
        <v/>
      </c>
      <c r="E220" s="91" t="str">
        <f>IFERROR(VLOOKUP(A220,'Salary Calculation'!$A$2:$T$999,8,0),"")</f>
        <v/>
      </c>
      <c r="F220" s="92" t="str">
        <f>IFERROR(VLOOKUP(C220,'Employees List'!$B$2:H999,6,0),"")</f>
        <v/>
      </c>
      <c r="G220" s="93" t="str">
        <f>IFERROR(VLOOKUP(A220,'Salary Calculation'!$A$2:$T$999,7,0),"")</f>
        <v/>
      </c>
      <c r="H220" s="94"/>
      <c r="I220" s="46"/>
      <c r="J220" s="46"/>
      <c r="K220" s="46"/>
      <c r="L220" s="46"/>
      <c r="M220" s="46"/>
      <c r="N220" s="46"/>
      <c r="O220" s="46"/>
      <c r="P220" s="46"/>
      <c r="Q220" s="46"/>
      <c r="R220" s="46"/>
      <c r="S220" s="46"/>
      <c r="T220" s="46"/>
      <c r="U220" s="46"/>
      <c r="V220" s="46"/>
      <c r="W220" s="46"/>
      <c r="X220" s="46"/>
      <c r="Y220" s="46"/>
      <c r="Z220" s="46"/>
      <c r="AA220" s="46"/>
      <c r="AB220" s="46"/>
    </row>
    <row r="221" hidden="1">
      <c r="A221" s="90" t="s">
        <v>438</v>
      </c>
      <c r="B221" s="91" t="str">
        <f>IFERROR(VLOOKUP(A221,'Salary Calculation'!A221:F1218,2,0),"")</f>
        <v/>
      </c>
      <c r="C221" s="91" t="str">
        <f>IFERROR(VLOOKUP(A221,'Salary Calculation'!$A$2:$T$999,3,0),"")</f>
        <v/>
      </c>
      <c r="D221" s="91" t="str">
        <f>IFERROR(VLOOKUP(A221,'Salary Calculation'!$A$2:$T$999,6,0),"")</f>
        <v/>
      </c>
      <c r="E221" s="91" t="str">
        <f>IFERROR(VLOOKUP(A221,'Salary Calculation'!$A$2:$T$999,8,0),"")</f>
        <v/>
      </c>
      <c r="F221" s="92" t="str">
        <f>IFERROR(VLOOKUP(C221,'Employees List'!$B$2:H999,6,0),"")</f>
        <v/>
      </c>
      <c r="G221" s="93" t="str">
        <f>IFERROR(VLOOKUP(A221,'Salary Calculation'!$A$2:$T$999,7,0),"")</f>
        <v/>
      </c>
      <c r="H221" s="94"/>
      <c r="I221" s="46"/>
      <c r="J221" s="46"/>
      <c r="K221" s="46"/>
      <c r="L221" s="46"/>
      <c r="M221" s="46"/>
      <c r="N221" s="46"/>
      <c r="O221" s="46"/>
      <c r="P221" s="46"/>
      <c r="Q221" s="46"/>
      <c r="R221" s="46"/>
      <c r="S221" s="46"/>
      <c r="T221" s="46"/>
      <c r="U221" s="46"/>
      <c r="V221" s="46"/>
      <c r="W221" s="46"/>
      <c r="X221" s="46"/>
      <c r="Y221" s="46"/>
      <c r="Z221" s="46"/>
      <c r="AA221" s="46"/>
      <c r="AB221" s="46"/>
    </row>
    <row r="222" hidden="1">
      <c r="A222" s="90" t="s">
        <v>439</v>
      </c>
      <c r="B222" s="91" t="str">
        <f>IFERROR(VLOOKUP(A222,'Salary Calculation'!A222:F1219,2,0),"")</f>
        <v/>
      </c>
      <c r="C222" s="91" t="str">
        <f>IFERROR(VLOOKUP(A222,'Salary Calculation'!$A$2:$T$999,3,0),"")</f>
        <v/>
      </c>
      <c r="D222" s="91" t="str">
        <f>IFERROR(VLOOKUP(A222,'Salary Calculation'!$A$2:$T$999,6,0),"")</f>
        <v/>
      </c>
      <c r="E222" s="91" t="str">
        <f>IFERROR(VLOOKUP(A222,'Salary Calculation'!$A$2:$T$999,8,0),"")</f>
        <v/>
      </c>
      <c r="F222" s="92" t="str">
        <f>IFERROR(VLOOKUP(C222,'Employees List'!$B$2:H999,6,0),"")</f>
        <v/>
      </c>
      <c r="G222" s="93" t="str">
        <f>IFERROR(VLOOKUP(A222,'Salary Calculation'!$A$2:$T$999,7,0),"")</f>
        <v/>
      </c>
      <c r="H222" s="94"/>
      <c r="I222" s="46"/>
      <c r="J222" s="46"/>
      <c r="K222" s="46"/>
      <c r="L222" s="46"/>
      <c r="M222" s="46"/>
      <c r="N222" s="46"/>
      <c r="O222" s="46"/>
      <c r="P222" s="46"/>
      <c r="Q222" s="46"/>
      <c r="R222" s="46"/>
      <c r="S222" s="46"/>
      <c r="T222" s="46"/>
      <c r="U222" s="46"/>
      <c r="V222" s="46"/>
      <c r="W222" s="46"/>
      <c r="X222" s="46"/>
      <c r="Y222" s="46"/>
      <c r="Z222" s="46"/>
      <c r="AA222" s="46"/>
      <c r="AB222" s="46"/>
    </row>
    <row r="223" hidden="1">
      <c r="A223" s="90" t="s">
        <v>440</v>
      </c>
      <c r="B223" s="91" t="str">
        <f>IFERROR(VLOOKUP(A223,'Salary Calculation'!A223:F1220,2,0),"")</f>
        <v/>
      </c>
      <c r="C223" s="91" t="str">
        <f>IFERROR(VLOOKUP(A223,'Salary Calculation'!$A$2:$T$999,3,0),"")</f>
        <v/>
      </c>
      <c r="D223" s="91" t="str">
        <f>IFERROR(VLOOKUP(A223,'Salary Calculation'!$A$2:$T$999,6,0),"")</f>
        <v/>
      </c>
      <c r="E223" s="91" t="str">
        <f>IFERROR(VLOOKUP(A223,'Salary Calculation'!$A$2:$T$999,8,0),"")</f>
        <v/>
      </c>
      <c r="F223" s="92" t="str">
        <f>IFERROR(VLOOKUP(C223,'Employees List'!$B$2:H999,6,0),"")</f>
        <v/>
      </c>
      <c r="G223" s="93" t="str">
        <f>IFERROR(VLOOKUP(A223,'Salary Calculation'!$A$2:$T$999,7,0),"")</f>
        <v/>
      </c>
      <c r="H223" s="94"/>
      <c r="I223" s="46"/>
      <c r="J223" s="46"/>
      <c r="K223" s="46"/>
      <c r="L223" s="46"/>
      <c r="M223" s="46"/>
      <c r="N223" s="46"/>
      <c r="O223" s="46"/>
      <c r="P223" s="46"/>
      <c r="Q223" s="46"/>
      <c r="R223" s="46"/>
      <c r="S223" s="46"/>
      <c r="T223" s="46"/>
      <c r="U223" s="46"/>
      <c r="V223" s="46"/>
      <c r="W223" s="46"/>
      <c r="X223" s="46"/>
      <c r="Y223" s="46"/>
      <c r="Z223" s="46"/>
      <c r="AA223" s="46"/>
      <c r="AB223" s="46"/>
    </row>
    <row r="224" hidden="1">
      <c r="A224" s="90" t="s">
        <v>441</v>
      </c>
      <c r="B224" s="91" t="str">
        <f>IFERROR(VLOOKUP(A224,'Salary Calculation'!A224:F1221,2,0),"")</f>
        <v/>
      </c>
      <c r="C224" s="91" t="str">
        <f>IFERROR(VLOOKUP(A224,'Salary Calculation'!$A$2:$T$999,3,0),"")</f>
        <v/>
      </c>
      <c r="D224" s="91" t="str">
        <f>IFERROR(VLOOKUP(A224,'Salary Calculation'!$A$2:$T$999,6,0),"")</f>
        <v/>
      </c>
      <c r="E224" s="91" t="str">
        <f>IFERROR(VLOOKUP(A224,'Salary Calculation'!$A$2:$T$999,8,0),"")</f>
        <v/>
      </c>
      <c r="F224" s="92" t="str">
        <f>IFERROR(VLOOKUP(C224,'Employees List'!$B$2:H999,6,0),"")</f>
        <v/>
      </c>
      <c r="G224" s="93" t="str">
        <f>IFERROR(VLOOKUP(A224,'Salary Calculation'!$A$2:$T$999,7,0),"")</f>
        <v/>
      </c>
      <c r="H224" s="94"/>
      <c r="I224" s="46"/>
      <c r="J224" s="46"/>
      <c r="K224" s="46"/>
      <c r="L224" s="46"/>
      <c r="M224" s="46"/>
      <c r="N224" s="46"/>
      <c r="O224" s="46"/>
      <c r="P224" s="46"/>
      <c r="Q224" s="46"/>
      <c r="R224" s="46"/>
      <c r="S224" s="46"/>
      <c r="T224" s="46"/>
      <c r="U224" s="46"/>
      <c r="V224" s="46"/>
      <c r="W224" s="46"/>
      <c r="X224" s="46"/>
      <c r="Y224" s="46"/>
      <c r="Z224" s="46"/>
      <c r="AA224" s="46"/>
      <c r="AB224" s="46"/>
    </row>
    <row r="225" hidden="1">
      <c r="A225" s="90" t="s">
        <v>442</v>
      </c>
      <c r="B225" s="91" t="str">
        <f>IFERROR(VLOOKUP(A225,'Salary Calculation'!A225:F1222,2,0),"")</f>
        <v/>
      </c>
      <c r="C225" s="91" t="str">
        <f>IFERROR(VLOOKUP(A225,'Salary Calculation'!$A$2:$T$999,3,0),"")</f>
        <v/>
      </c>
      <c r="D225" s="91" t="str">
        <f>IFERROR(VLOOKUP(A225,'Salary Calculation'!$A$2:$T$999,6,0),"")</f>
        <v/>
      </c>
      <c r="E225" s="91" t="str">
        <f>IFERROR(VLOOKUP(A225,'Salary Calculation'!$A$2:$T$999,8,0),"")</f>
        <v/>
      </c>
      <c r="F225" s="92" t="str">
        <f>IFERROR(VLOOKUP(C225,'Employees List'!$B$2:H999,6,0),"")</f>
        <v/>
      </c>
      <c r="G225" s="93" t="str">
        <f>IFERROR(VLOOKUP(A225,'Salary Calculation'!$A$2:$T$999,7,0),"")</f>
        <v/>
      </c>
      <c r="H225" s="94"/>
      <c r="I225" s="46"/>
      <c r="J225" s="46"/>
      <c r="K225" s="46"/>
      <c r="L225" s="46"/>
      <c r="M225" s="46"/>
      <c r="N225" s="46"/>
      <c r="O225" s="46"/>
      <c r="P225" s="46"/>
      <c r="Q225" s="46"/>
      <c r="R225" s="46"/>
      <c r="S225" s="46"/>
      <c r="T225" s="46"/>
      <c r="U225" s="46"/>
      <c r="V225" s="46"/>
      <c r="W225" s="46"/>
      <c r="X225" s="46"/>
      <c r="Y225" s="46"/>
      <c r="Z225" s="46"/>
      <c r="AA225" s="46"/>
      <c r="AB225" s="46"/>
    </row>
    <row r="226" hidden="1">
      <c r="A226" s="90" t="s">
        <v>443</v>
      </c>
      <c r="B226" s="91" t="str">
        <f>IFERROR(VLOOKUP(A226,'Salary Calculation'!A226:F1223,2,0),"")</f>
        <v/>
      </c>
      <c r="C226" s="91" t="str">
        <f>IFERROR(VLOOKUP(A226,'Salary Calculation'!$A$2:$T$999,3,0),"")</f>
        <v/>
      </c>
      <c r="D226" s="91" t="str">
        <f>IFERROR(VLOOKUP(A226,'Salary Calculation'!$A$2:$T$999,6,0),"")</f>
        <v/>
      </c>
      <c r="E226" s="91" t="str">
        <f>IFERROR(VLOOKUP(A226,'Salary Calculation'!$A$2:$T$999,8,0),"")</f>
        <v/>
      </c>
      <c r="F226" s="92" t="str">
        <f>IFERROR(VLOOKUP(C226,'Employees List'!$B$2:H999,6,0),"")</f>
        <v/>
      </c>
      <c r="G226" s="93" t="str">
        <f>IFERROR(VLOOKUP(A226,'Salary Calculation'!$A$2:$T$999,7,0),"")</f>
        <v/>
      </c>
      <c r="H226" s="94"/>
      <c r="I226" s="46"/>
      <c r="J226" s="46"/>
      <c r="K226" s="46"/>
      <c r="L226" s="46"/>
      <c r="M226" s="46"/>
      <c r="N226" s="46"/>
      <c r="O226" s="46"/>
      <c r="P226" s="46"/>
      <c r="Q226" s="46"/>
      <c r="R226" s="46"/>
      <c r="S226" s="46"/>
      <c r="T226" s="46"/>
      <c r="U226" s="46"/>
      <c r="V226" s="46"/>
      <c r="W226" s="46"/>
      <c r="X226" s="46"/>
      <c r="Y226" s="46"/>
      <c r="Z226" s="46"/>
      <c r="AA226" s="46"/>
      <c r="AB226" s="46"/>
    </row>
    <row r="227" hidden="1">
      <c r="A227" s="90" t="s">
        <v>444</v>
      </c>
      <c r="B227" s="91" t="str">
        <f>IFERROR(VLOOKUP(A227,'Salary Calculation'!A227:F1224,2,0),"")</f>
        <v/>
      </c>
      <c r="C227" s="91" t="str">
        <f>IFERROR(VLOOKUP(A227,'Salary Calculation'!$A$2:$T$999,3,0),"")</f>
        <v/>
      </c>
      <c r="D227" s="91" t="str">
        <f>IFERROR(VLOOKUP(A227,'Salary Calculation'!$A$2:$T$999,6,0),"")</f>
        <v/>
      </c>
      <c r="E227" s="91" t="str">
        <f>IFERROR(VLOOKUP(A227,'Salary Calculation'!$A$2:$T$999,8,0),"")</f>
        <v/>
      </c>
      <c r="F227" s="92" t="str">
        <f>IFERROR(VLOOKUP(C227,'Employees List'!$B$2:H999,6,0),"")</f>
        <v/>
      </c>
      <c r="G227" s="93" t="str">
        <f>IFERROR(VLOOKUP(A227,'Salary Calculation'!$A$2:$T$999,7,0),"")</f>
        <v/>
      </c>
      <c r="H227" s="94"/>
      <c r="I227" s="46"/>
      <c r="J227" s="46"/>
      <c r="K227" s="46"/>
      <c r="L227" s="46"/>
      <c r="M227" s="46"/>
      <c r="N227" s="46"/>
      <c r="O227" s="46"/>
      <c r="P227" s="46"/>
      <c r="Q227" s="46"/>
      <c r="R227" s="46"/>
      <c r="S227" s="46"/>
      <c r="T227" s="46"/>
      <c r="U227" s="46"/>
      <c r="V227" s="46"/>
      <c r="W227" s="46"/>
      <c r="X227" s="46"/>
      <c r="Y227" s="46"/>
      <c r="Z227" s="46"/>
      <c r="AA227" s="46"/>
      <c r="AB227" s="46"/>
    </row>
    <row r="228" hidden="1">
      <c r="A228" s="90" t="s">
        <v>445</v>
      </c>
      <c r="B228" s="91" t="str">
        <f>IFERROR(VLOOKUP(A228,'Salary Calculation'!A228:F1225,2,0),"")</f>
        <v/>
      </c>
      <c r="C228" s="91" t="str">
        <f>IFERROR(VLOOKUP(A228,'Salary Calculation'!$A$2:$T$999,3,0),"")</f>
        <v/>
      </c>
      <c r="D228" s="91" t="str">
        <f>IFERROR(VLOOKUP(A228,'Salary Calculation'!$A$2:$T$999,6,0),"")</f>
        <v/>
      </c>
      <c r="E228" s="91" t="str">
        <f>IFERROR(VLOOKUP(A228,'Salary Calculation'!$A$2:$T$999,8,0),"")</f>
        <v/>
      </c>
      <c r="F228" s="92" t="str">
        <f>IFERROR(VLOOKUP(C228,'Employees List'!$B$2:H999,6,0),"")</f>
        <v/>
      </c>
      <c r="G228" s="93" t="str">
        <f>IFERROR(VLOOKUP(A228,'Salary Calculation'!$A$2:$T$999,7,0),"")</f>
        <v/>
      </c>
      <c r="H228" s="94"/>
      <c r="I228" s="46"/>
      <c r="J228" s="46"/>
      <c r="K228" s="46"/>
      <c r="L228" s="46"/>
      <c r="M228" s="46"/>
      <c r="N228" s="46"/>
      <c r="O228" s="46"/>
      <c r="P228" s="46"/>
      <c r="Q228" s="46"/>
      <c r="R228" s="46"/>
      <c r="S228" s="46"/>
      <c r="T228" s="46"/>
      <c r="U228" s="46"/>
      <c r="V228" s="46"/>
      <c r="W228" s="46"/>
      <c r="X228" s="46"/>
      <c r="Y228" s="46"/>
      <c r="Z228" s="46"/>
      <c r="AA228" s="46"/>
      <c r="AB228" s="46"/>
    </row>
    <row r="229" hidden="1">
      <c r="A229" s="90" t="s">
        <v>446</v>
      </c>
      <c r="B229" s="91" t="str">
        <f>IFERROR(VLOOKUP(A229,'Salary Calculation'!A229:F1226,2,0),"")</f>
        <v/>
      </c>
      <c r="C229" s="91" t="str">
        <f>IFERROR(VLOOKUP(A229,'Salary Calculation'!$A$2:$T$999,3,0),"")</f>
        <v/>
      </c>
      <c r="D229" s="91" t="str">
        <f>IFERROR(VLOOKUP(A229,'Salary Calculation'!$A$2:$T$999,6,0),"")</f>
        <v/>
      </c>
      <c r="E229" s="91" t="str">
        <f>IFERROR(VLOOKUP(A229,'Salary Calculation'!$A$2:$T$999,8,0),"")</f>
        <v/>
      </c>
      <c r="F229" s="92" t="str">
        <f>IFERROR(VLOOKUP(C229,'Employees List'!$B$2:H999,6,0),"")</f>
        <v/>
      </c>
      <c r="G229" s="93" t="str">
        <f>IFERROR(VLOOKUP(A229,'Salary Calculation'!$A$2:$T$999,7,0),"")</f>
        <v/>
      </c>
      <c r="H229" s="94"/>
      <c r="I229" s="46"/>
      <c r="J229" s="46"/>
      <c r="K229" s="46"/>
      <c r="L229" s="46"/>
      <c r="M229" s="46"/>
      <c r="N229" s="46"/>
      <c r="O229" s="46"/>
      <c r="P229" s="46"/>
      <c r="Q229" s="46"/>
      <c r="R229" s="46"/>
      <c r="S229" s="46"/>
      <c r="T229" s="46"/>
      <c r="U229" s="46"/>
      <c r="V229" s="46"/>
      <c r="W229" s="46"/>
      <c r="X229" s="46"/>
      <c r="Y229" s="46"/>
      <c r="Z229" s="46"/>
      <c r="AA229" s="46"/>
      <c r="AB229" s="46"/>
    </row>
    <row r="230" hidden="1">
      <c r="A230" s="90" t="s">
        <v>447</v>
      </c>
      <c r="B230" s="91" t="str">
        <f>IFERROR(VLOOKUP(A230,'Salary Calculation'!A230:F1227,2,0),"")</f>
        <v/>
      </c>
      <c r="C230" s="91" t="str">
        <f>IFERROR(VLOOKUP(A230,'Salary Calculation'!$A$2:$T$999,3,0),"")</f>
        <v/>
      </c>
      <c r="D230" s="91" t="str">
        <f>IFERROR(VLOOKUP(A230,'Salary Calculation'!$A$2:$T$999,6,0),"")</f>
        <v/>
      </c>
      <c r="E230" s="91" t="str">
        <f>IFERROR(VLOOKUP(A230,'Salary Calculation'!$A$2:$T$999,8,0),"")</f>
        <v/>
      </c>
      <c r="F230" s="92" t="str">
        <f>IFERROR(VLOOKUP(C230,'Employees List'!$B$2:H999,6,0),"")</f>
        <v/>
      </c>
      <c r="G230" s="93" t="str">
        <f>IFERROR(VLOOKUP(A230,'Salary Calculation'!$A$2:$T$999,7,0),"")</f>
        <v/>
      </c>
      <c r="H230" s="94"/>
      <c r="I230" s="46"/>
      <c r="J230" s="46"/>
      <c r="K230" s="46"/>
      <c r="L230" s="46"/>
      <c r="M230" s="46"/>
      <c r="N230" s="46"/>
      <c r="O230" s="46"/>
      <c r="P230" s="46"/>
      <c r="Q230" s="46"/>
      <c r="R230" s="46"/>
      <c r="S230" s="46"/>
      <c r="T230" s="46"/>
      <c r="U230" s="46"/>
      <c r="V230" s="46"/>
      <c r="W230" s="46"/>
      <c r="X230" s="46"/>
      <c r="Y230" s="46"/>
      <c r="Z230" s="46"/>
      <c r="AA230" s="46"/>
      <c r="AB230" s="46"/>
    </row>
    <row r="231" hidden="1">
      <c r="A231" s="90" t="s">
        <v>448</v>
      </c>
      <c r="B231" s="91" t="str">
        <f>IFERROR(VLOOKUP(A231,'Salary Calculation'!A231:F1228,2,0),"")</f>
        <v/>
      </c>
      <c r="C231" s="91" t="str">
        <f>IFERROR(VLOOKUP(A231,'Salary Calculation'!$A$2:$T$999,3,0),"")</f>
        <v/>
      </c>
      <c r="D231" s="91" t="str">
        <f>IFERROR(VLOOKUP(A231,'Salary Calculation'!$A$2:$T$999,6,0),"")</f>
        <v/>
      </c>
      <c r="E231" s="91" t="str">
        <f>IFERROR(VLOOKUP(A231,'Salary Calculation'!$A$2:$T$999,8,0),"")</f>
        <v/>
      </c>
      <c r="F231" s="92" t="str">
        <f>IFERROR(VLOOKUP(C231,'Employees List'!$B$2:H999,6,0),"")</f>
        <v/>
      </c>
      <c r="G231" s="93" t="str">
        <f>IFERROR(VLOOKUP(A231,'Salary Calculation'!$A$2:$T$999,7,0),"")</f>
        <v/>
      </c>
      <c r="H231" s="94"/>
      <c r="I231" s="46"/>
      <c r="J231" s="46"/>
      <c r="K231" s="46"/>
      <c r="L231" s="46"/>
      <c r="M231" s="46"/>
      <c r="N231" s="46"/>
      <c r="O231" s="46"/>
      <c r="P231" s="46"/>
      <c r="Q231" s="46"/>
      <c r="R231" s="46"/>
      <c r="S231" s="46"/>
      <c r="T231" s="46"/>
      <c r="U231" s="46"/>
      <c r="V231" s="46"/>
      <c r="W231" s="46"/>
      <c r="X231" s="46"/>
      <c r="Y231" s="46"/>
      <c r="Z231" s="46"/>
      <c r="AA231" s="46"/>
      <c r="AB231" s="46"/>
    </row>
    <row r="232" hidden="1">
      <c r="A232" s="90" t="s">
        <v>449</v>
      </c>
      <c r="B232" s="91" t="str">
        <f>IFERROR(VLOOKUP(A232,'Salary Calculation'!A232:F1229,2,0),"")</f>
        <v/>
      </c>
      <c r="C232" s="91" t="str">
        <f>IFERROR(VLOOKUP(A232,'Salary Calculation'!$A$2:$T$999,3,0),"")</f>
        <v/>
      </c>
      <c r="D232" s="91" t="str">
        <f>IFERROR(VLOOKUP(A232,'Salary Calculation'!$A$2:$T$999,6,0),"")</f>
        <v/>
      </c>
      <c r="E232" s="91" t="str">
        <f>IFERROR(VLOOKUP(A232,'Salary Calculation'!$A$2:$T$999,8,0),"")</f>
        <v/>
      </c>
      <c r="F232" s="92" t="str">
        <f>IFERROR(VLOOKUP(C232,'Employees List'!$B$2:H999,6,0),"")</f>
        <v/>
      </c>
      <c r="G232" s="93" t="str">
        <f>IFERROR(VLOOKUP(A232,'Salary Calculation'!$A$2:$T$999,7,0),"")</f>
        <v/>
      </c>
      <c r="H232" s="94"/>
      <c r="I232" s="46"/>
      <c r="J232" s="46"/>
      <c r="K232" s="46"/>
      <c r="L232" s="46"/>
      <c r="M232" s="46"/>
      <c r="N232" s="46"/>
      <c r="O232" s="46"/>
      <c r="P232" s="46"/>
      <c r="Q232" s="46"/>
      <c r="R232" s="46"/>
      <c r="S232" s="46"/>
      <c r="T232" s="46"/>
      <c r="U232" s="46"/>
      <c r="V232" s="46"/>
      <c r="W232" s="46"/>
      <c r="X232" s="46"/>
      <c r="Y232" s="46"/>
      <c r="Z232" s="46"/>
      <c r="AA232" s="46"/>
      <c r="AB232" s="46"/>
    </row>
    <row r="233" hidden="1">
      <c r="A233" s="90" t="s">
        <v>450</v>
      </c>
      <c r="B233" s="91" t="str">
        <f>IFERROR(VLOOKUP(A233,'Salary Calculation'!A233:F1230,2,0),"")</f>
        <v/>
      </c>
      <c r="C233" s="91" t="str">
        <f>IFERROR(VLOOKUP(A233,'Salary Calculation'!$A$2:$T$999,3,0),"")</f>
        <v/>
      </c>
      <c r="D233" s="91" t="str">
        <f>IFERROR(VLOOKUP(A233,'Salary Calculation'!$A$2:$T$999,6,0),"")</f>
        <v/>
      </c>
      <c r="E233" s="91" t="str">
        <f>IFERROR(VLOOKUP(A233,'Salary Calculation'!$A$2:$T$999,8,0),"")</f>
        <v/>
      </c>
      <c r="F233" s="92" t="str">
        <f>IFERROR(VLOOKUP(C233,'Employees List'!$B$2:H999,6,0),"")</f>
        <v/>
      </c>
      <c r="G233" s="93" t="str">
        <f>IFERROR(VLOOKUP(A233,'Salary Calculation'!$A$2:$T$999,7,0),"")</f>
        <v/>
      </c>
      <c r="H233" s="94"/>
      <c r="I233" s="46"/>
      <c r="J233" s="46"/>
      <c r="K233" s="46"/>
      <c r="L233" s="46"/>
      <c r="M233" s="46"/>
      <c r="N233" s="46"/>
      <c r="O233" s="46"/>
      <c r="P233" s="46"/>
      <c r="Q233" s="46"/>
      <c r="R233" s="46"/>
      <c r="S233" s="46"/>
      <c r="T233" s="46"/>
      <c r="U233" s="46"/>
      <c r="V233" s="46"/>
      <c r="W233" s="46"/>
      <c r="X233" s="46"/>
      <c r="Y233" s="46"/>
      <c r="Z233" s="46"/>
      <c r="AA233" s="46"/>
      <c r="AB233" s="46"/>
    </row>
    <row r="234" hidden="1">
      <c r="A234" s="90" t="s">
        <v>451</v>
      </c>
      <c r="B234" s="91" t="str">
        <f>IFERROR(VLOOKUP(A234,'Salary Calculation'!A234:F1231,2,0),"")</f>
        <v/>
      </c>
      <c r="C234" s="91" t="str">
        <f>IFERROR(VLOOKUP(A234,'Salary Calculation'!$A$2:$T$999,3,0),"")</f>
        <v/>
      </c>
      <c r="D234" s="91" t="str">
        <f>IFERROR(VLOOKUP(A234,'Salary Calculation'!$A$2:$T$999,6,0),"")</f>
        <v/>
      </c>
      <c r="E234" s="91" t="str">
        <f>IFERROR(VLOOKUP(A234,'Salary Calculation'!$A$2:$T$999,8,0),"")</f>
        <v/>
      </c>
      <c r="F234" s="92" t="str">
        <f>IFERROR(VLOOKUP(C234,'Employees List'!$B$2:H999,6,0),"")</f>
        <v/>
      </c>
      <c r="G234" s="93" t="str">
        <f>IFERROR(VLOOKUP(A234,'Salary Calculation'!$A$2:$T$999,7,0),"")</f>
        <v/>
      </c>
      <c r="H234" s="94"/>
      <c r="I234" s="46"/>
      <c r="J234" s="46"/>
      <c r="K234" s="46"/>
      <c r="L234" s="46"/>
      <c r="M234" s="46"/>
      <c r="N234" s="46"/>
      <c r="O234" s="46"/>
      <c r="P234" s="46"/>
      <c r="Q234" s="46"/>
      <c r="R234" s="46"/>
      <c r="S234" s="46"/>
      <c r="T234" s="46"/>
      <c r="U234" s="46"/>
      <c r="V234" s="46"/>
      <c r="W234" s="46"/>
      <c r="X234" s="46"/>
      <c r="Y234" s="46"/>
      <c r="Z234" s="46"/>
      <c r="AA234" s="46"/>
      <c r="AB234" s="46"/>
    </row>
    <row r="235" hidden="1">
      <c r="A235" s="90" t="s">
        <v>452</v>
      </c>
      <c r="B235" s="91" t="str">
        <f>IFERROR(VLOOKUP(A235,'Salary Calculation'!A235:F1232,2,0),"")</f>
        <v/>
      </c>
      <c r="C235" s="91" t="str">
        <f>IFERROR(VLOOKUP(A235,'Salary Calculation'!$A$2:$T$999,3,0),"")</f>
        <v/>
      </c>
      <c r="D235" s="91" t="str">
        <f>IFERROR(VLOOKUP(A235,'Salary Calculation'!$A$2:$T$999,6,0),"")</f>
        <v/>
      </c>
      <c r="E235" s="91" t="str">
        <f>IFERROR(VLOOKUP(A235,'Salary Calculation'!$A$2:$T$999,8,0),"")</f>
        <v/>
      </c>
      <c r="F235" s="92" t="str">
        <f>IFERROR(VLOOKUP(C235,'Employees List'!$B$2:H999,6,0),"")</f>
        <v/>
      </c>
      <c r="G235" s="93" t="str">
        <f>IFERROR(VLOOKUP(A235,'Salary Calculation'!$A$2:$T$999,7,0),"")</f>
        <v/>
      </c>
      <c r="H235" s="94"/>
      <c r="I235" s="46"/>
      <c r="J235" s="46"/>
      <c r="K235" s="46"/>
      <c r="L235" s="46"/>
      <c r="M235" s="46"/>
      <c r="N235" s="46"/>
      <c r="O235" s="46"/>
      <c r="P235" s="46"/>
      <c r="Q235" s="46"/>
      <c r="R235" s="46"/>
      <c r="S235" s="46"/>
      <c r="T235" s="46"/>
      <c r="U235" s="46"/>
      <c r="V235" s="46"/>
      <c r="W235" s="46"/>
      <c r="X235" s="46"/>
      <c r="Y235" s="46"/>
      <c r="Z235" s="46"/>
      <c r="AA235" s="46"/>
      <c r="AB235" s="46"/>
    </row>
    <row r="236" hidden="1">
      <c r="A236" s="90" t="s">
        <v>453</v>
      </c>
      <c r="B236" s="91" t="str">
        <f>IFERROR(VLOOKUP(A236,'Salary Calculation'!A236:F1233,2,0),"")</f>
        <v/>
      </c>
      <c r="C236" s="91" t="str">
        <f>IFERROR(VLOOKUP(A236,'Salary Calculation'!$A$2:$T$999,3,0),"")</f>
        <v/>
      </c>
      <c r="D236" s="91" t="str">
        <f>IFERROR(VLOOKUP(A236,'Salary Calculation'!$A$2:$T$999,6,0),"")</f>
        <v/>
      </c>
      <c r="E236" s="91" t="str">
        <f>IFERROR(VLOOKUP(A236,'Salary Calculation'!$A$2:$T$999,8,0),"")</f>
        <v/>
      </c>
      <c r="F236" s="92" t="str">
        <f>IFERROR(VLOOKUP(C236,'Employees List'!$B$2:H999,6,0),"")</f>
        <v/>
      </c>
      <c r="G236" s="93" t="str">
        <f>IFERROR(VLOOKUP(A236,'Salary Calculation'!$A$2:$T$999,7,0),"")</f>
        <v/>
      </c>
      <c r="H236" s="94"/>
      <c r="I236" s="46"/>
      <c r="J236" s="46"/>
      <c r="K236" s="46"/>
      <c r="L236" s="46"/>
      <c r="M236" s="46"/>
      <c r="N236" s="46"/>
      <c r="O236" s="46"/>
      <c r="P236" s="46"/>
      <c r="Q236" s="46"/>
      <c r="R236" s="46"/>
      <c r="S236" s="46"/>
      <c r="T236" s="46"/>
      <c r="U236" s="46"/>
      <c r="V236" s="46"/>
      <c r="W236" s="46"/>
      <c r="X236" s="46"/>
      <c r="Y236" s="46"/>
      <c r="Z236" s="46"/>
      <c r="AA236" s="46"/>
      <c r="AB236" s="46"/>
    </row>
    <row r="237" hidden="1">
      <c r="A237" s="90" t="s">
        <v>454</v>
      </c>
      <c r="B237" s="91" t="str">
        <f>IFERROR(VLOOKUP(A237,'Salary Calculation'!A237:F1234,2,0),"")</f>
        <v/>
      </c>
      <c r="C237" s="91" t="str">
        <f>IFERROR(VLOOKUP(A237,'Salary Calculation'!$A$2:$T$999,3,0),"")</f>
        <v/>
      </c>
      <c r="D237" s="91" t="str">
        <f>IFERROR(VLOOKUP(A237,'Salary Calculation'!$A$2:$T$999,6,0),"")</f>
        <v/>
      </c>
      <c r="E237" s="91" t="str">
        <f>IFERROR(VLOOKUP(A237,'Salary Calculation'!$A$2:$T$999,8,0),"")</f>
        <v/>
      </c>
      <c r="F237" s="92" t="str">
        <f>IFERROR(VLOOKUP(C237,'Employees List'!$B$2:H999,6,0),"")</f>
        <v/>
      </c>
      <c r="G237" s="93" t="str">
        <f>IFERROR(VLOOKUP(A237,'Salary Calculation'!$A$2:$T$999,7,0),"")</f>
        <v/>
      </c>
      <c r="H237" s="94"/>
      <c r="I237" s="46"/>
      <c r="J237" s="46"/>
      <c r="K237" s="46"/>
      <c r="L237" s="46"/>
      <c r="M237" s="46"/>
      <c r="N237" s="46"/>
      <c r="O237" s="46"/>
      <c r="P237" s="46"/>
      <c r="Q237" s="46"/>
      <c r="R237" s="46"/>
      <c r="S237" s="46"/>
      <c r="T237" s="46"/>
      <c r="U237" s="46"/>
      <c r="V237" s="46"/>
      <c r="W237" s="46"/>
      <c r="X237" s="46"/>
      <c r="Y237" s="46"/>
      <c r="Z237" s="46"/>
      <c r="AA237" s="46"/>
      <c r="AB237" s="46"/>
    </row>
    <row r="238" hidden="1">
      <c r="A238" s="90" t="s">
        <v>455</v>
      </c>
      <c r="B238" s="91" t="str">
        <f>IFERROR(VLOOKUP(A238,'Salary Calculation'!A238:F1235,2,0),"")</f>
        <v/>
      </c>
      <c r="C238" s="91" t="str">
        <f>IFERROR(VLOOKUP(A238,'Salary Calculation'!$A$2:$T$999,3,0),"")</f>
        <v/>
      </c>
      <c r="D238" s="91" t="str">
        <f>IFERROR(VLOOKUP(A238,'Salary Calculation'!$A$2:$T$999,6,0),"")</f>
        <v/>
      </c>
      <c r="E238" s="91" t="str">
        <f>IFERROR(VLOOKUP(A238,'Salary Calculation'!$A$2:$T$999,8,0),"")</f>
        <v/>
      </c>
      <c r="F238" s="92" t="str">
        <f>IFERROR(VLOOKUP(C238,'Employees List'!$B$2:H999,6,0),"")</f>
        <v/>
      </c>
      <c r="G238" s="93" t="str">
        <f>IFERROR(VLOOKUP(A238,'Salary Calculation'!$A$2:$T$999,7,0),"")</f>
        <v/>
      </c>
      <c r="H238" s="94"/>
      <c r="I238" s="46"/>
      <c r="J238" s="46"/>
      <c r="K238" s="46"/>
      <c r="L238" s="46"/>
      <c r="M238" s="46"/>
      <c r="N238" s="46"/>
      <c r="O238" s="46"/>
      <c r="P238" s="46"/>
      <c r="Q238" s="46"/>
      <c r="R238" s="46"/>
      <c r="S238" s="46"/>
      <c r="T238" s="46"/>
      <c r="U238" s="46"/>
      <c r="V238" s="46"/>
      <c r="W238" s="46"/>
      <c r="X238" s="46"/>
      <c r="Y238" s="46"/>
      <c r="Z238" s="46"/>
      <c r="AA238" s="46"/>
      <c r="AB238" s="46"/>
    </row>
    <row r="239" hidden="1">
      <c r="A239" s="90" t="s">
        <v>456</v>
      </c>
      <c r="B239" s="91" t="str">
        <f>IFERROR(VLOOKUP(A239,'Salary Calculation'!A239:F1236,2,0),"")</f>
        <v/>
      </c>
      <c r="C239" s="91" t="str">
        <f>IFERROR(VLOOKUP(A239,'Salary Calculation'!$A$2:$T$999,3,0),"")</f>
        <v/>
      </c>
      <c r="D239" s="91" t="str">
        <f>IFERROR(VLOOKUP(A239,'Salary Calculation'!$A$2:$T$999,6,0),"")</f>
        <v/>
      </c>
      <c r="E239" s="91" t="str">
        <f>IFERROR(VLOOKUP(A239,'Salary Calculation'!$A$2:$T$999,8,0),"")</f>
        <v/>
      </c>
      <c r="F239" s="92" t="str">
        <f>IFERROR(VLOOKUP(C239,'Employees List'!$B$2:H999,6,0),"")</f>
        <v/>
      </c>
      <c r="G239" s="93" t="str">
        <f>IFERROR(VLOOKUP(A239,'Salary Calculation'!$A$2:$T$999,7,0),"")</f>
        <v/>
      </c>
      <c r="H239" s="94"/>
      <c r="I239" s="46"/>
      <c r="J239" s="46"/>
      <c r="K239" s="46"/>
      <c r="L239" s="46"/>
      <c r="M239" s="46"/>
      <c r="N239" s="46"/>
      <c r="O239" s="46"/>
      <c r="P239" s="46"/>
      <c r="Q239" s="46"/>
      <c r="R239" s="46"/>
      <c r="S239" s="46"/>
      <c r="T239" s="46"/>
      <c r="U239" s="46"/>
      <c r="V239" s="46"/>
      <c r="W239" s="46"/>
      <c r="X239" s="46"/>
      <c r="Y239" s="46"/>
      <c r="Z239" s="46"/>
      <c r="AA239" s="46"/>
      <c r="AB239" s="46"/>
    </row>
    <row r="240" hidden="1">
      <c r="A240" s="90" t="s">
        <v>457</v>
      </c>
      <c r="B240" s="91" t="str">
        <f>IFERROR(VLOOKUP(A240,'Salary Calculation'!A240:F1237,2,0),"")</f>
        <v/>
      </c>
      <c r="C240" s="91" t="str">
        <f>IFERROR(VLOOKUP(A240,'Salary Calculation'!$A$2:$T$999,3,0),"")</f>
        <v/>
      </c>
      <c r="D240" s="91" t="str">
        <f>IFERROR(VLOOKUP(A240,'Salary Calculation'!$A$2:$T$999,6,0),"")</f>
        <v/>
      </c>
      <c r="E240" s="91" t="str">
        <f>IFERROR(VLOOKUP(A240,'Salary Calculation'!$A$2:$T$999,8,0),"")</f>
        <v/>
      </c>
      <c r="F240" s="92" t="str">
        <f>IFERROR(VLOOKUP(C240,'Employees List'!$B$2:H999,6,0),"")</f>
        <v/>
      </c>
      <c r="G240" s="93" t="str">
        <f>IFERROR(VLOOKUP(A240,'Salary Calculation'!$A$2:$T$999,7,0),"")</f>
        <v/>
      </c>
      <c r="H240" s="94"/>
      <c r="I240" s="46"/>
      <c r="J240" s="46"/>
      <c r="K240" s="46"/>
      <c r="L240" s="46"/>
      <c r="M240" s="46"/>
      <c r="N240" s="46"/>
      <c r="O240" s="46"/>
      <c r="P240" s="46"/>
      <c r="Q240" s="46"/>
      <c r="R240" s="46"/>
      <c r="S240" s="46"/>
      <c r="T240" s="46"/>
      <c r="U240" s="46"/>
      <c r="V240" s="46"/>
      <c r="W240" s="46"/>
      <c r="X240" s="46"/>
      <c r="Y240" s="46"/>
      <c r="Z240" s="46"/>
      <c r="AA240" s="46"/>
      <c r="AB240" s="46"/>
    </row>
    <row r="241" hidden="1">
      <c r="A241" s="90" t="s">
        <v>458</v>
      </c>
      <c r="B241" s="91" t="str">
        <f>IFERROR(VLOOKUP(A241,'Salary Calculation'!A241:F1238,2,0),"")</f>
        <v/>
      </c>
      <c r="C241" s="91" t="str">
        <f>IFERROR(VLOOKUP(A241,'Salary Calculation'!$A$2:$T$999,3,0),"")</f>
        <v/>
      </c>
      <c r="D241" s="91" t="str">
        <f>IFERROR(VLOOKUP(A241,'Salary Calculation'!$A$2:$T$999,6,0),"")</f>
        <v/>
      </c>
      <c r="E241" s="91" t="str">
        <f>IFERROR(VLOOKUP(A241,'Salary Calculation'!$A$2:$T$999,8,0),"")</f>
        <v/>
      </c>
      <c r="F241" s="92" t="str">
        <f>IFERROR(VLOOKUP(C241,'Employees List'!$B$2:H999,6,0),"")</f>
        <v/>
      </c>
      <c r="G241" s="93" t="str">
        <f>IFERROR(VLOOKUP(A241,'Salary Calculation'!$A$2:$T$999,7,0),"")</f>
        <v/>
      </c>
      <c r="H241" s="94"/>
      <c r="I241" s="46"/>
      <c r="J241" s="46"/>
      <c r="K241" s="46"/>
      <c r="L241" s="46"/>
      <c r="M241" s="46"/>
      <c r="N241" s="46"/>
      <c r="O241" s="46"/>
      <c r="P241" s="46"/>
      <c r="Q241" s="46"/>
      <c r="R241" s="46"/>
      <c r="S241" s="46"/>
      <c r="T241" s="46"/>
      <c r="U241" s="46"/>
      <c r="V241" s="46"/>
      <c r="W241" s="46"/>
      <c r="X241" s="46"/>
      <c r="Y241" s="46"/>
      <c r="Z241" s="46"/>
      <c r="AA241" s="46"/>
      <c r="AB241" s="46"/>
    </row>
    <row r="242" hidden="1">
      <c r="A242" s="90" t="s">
        <v>459</v>
      </c>
      <c r="B242" s="91" t="str">
        <f>IFERROR(VLOOKUP(A242,'Salary Calculation'!A242:F1239,2,0),"")</f>
        <v/>
      </c>
      <c r="C242" s="91" t="str">
        <f>IFERROR(VLOOKUP(A242,'Salary Calculation'!$A$2:$T$999,3,0),"")</f>
        <v/>
      </c>
      <c r="D242" s="91" t="str">
        <f>IFERROR(VLOOKUP(A242,'Salary Calculation'!$A$2:$T$999,6,0),"")</f>
        <v/>
      </c>
      <c r="E242" s="91" t="str">
        <f>IFERROR(VLOOKUP(A242,'Salary Calculation'!$A$2:$T$999,8,0),"")</f>
        <v/>
      </c>
      <c r="F242" s="92" t="str">
        <f>IFERROR(VLOOKUP(C242,'Employees List'!$B$2:H999,6,0),"")</f>
        <v/>
      </c>
      <c r="G242" s="93" t="str">
        <f>IFERROR(VLOOKUP(A242,'Salary Calculation'!$A$2:$T$999,7,0),"")</f>
        <v/>
      </c>
      <c r="H242" s="94"/>
      <c r="I242" s="46"/>
      <c r="J242" s="46"/>
      <c r="K242" s="46"/>
      <c r="L242" s="46"/>
      <c r="M242" s="46"/>
      <c r="N242" s="46"/>
      <c r="O242" s="46"/>
      <c r="P242" s="46"/>
      <c r="Q242" s="46"/>
      <c r="R242" s="46"/>
      <c r="S242" s="46"/>
      <c r="T242" s="46"/>
      <c r="U242" s="46"/>
      <c r="V242" s="46"/>
      <c r="W242" s="46"/>
      <c r="X242" s="46"/>
      <c r="Y242" s="46"/>
      <c r="Z242" s="46"/>
      <c r="AA242" s="46"/>
      <c r="AB242" s="46"/>
    </row>
    <row r="243" hidden="1">
      <c r="A243" s="90" t="s">
        <v>460</v>
      </c>
      <c r="B243" s="91" t="str">
        <f>IFERROR(VLOOKUP(A243,'Salary Calculation'!A243:F1240,2,0),"")</f>
        <v/>
      </c>
      <c r="C243" s="91" t="str">
        <f>IFERROR(VLOOKUP(A243,'Salary Calculation'!$A$2:$T$999,3,0),"")</f>
        <v/>
      </c>
      <c r="D243" s="91" t="str">
        <f>IFERROR(VLOOKUP(A243,'Salary Calculation'!$A$2:$T$999,6,0),"")</f>
        <v/>
      </c>
      <c r="E243" s="91" t="str">
        <f>IFERROR(VLOOKUP(A243,'Salary Calculation'!$A$2:$T$999,8,0),"")</f>
        <v/>
      </c>
      <c r="F243" s="92" t="str">
        <f>IFERROR(VLOOKUP(C243,'Employees List'!$B$2:H999,6,0),"")</f>
        <v/>
      </c>
      <c r="G243" s="93" t="str">
        <f>IFERROR(VLOOKUP(A243,'Salary Calculation'!$A$2:$T$999,7,0),"")</f>
        <v/>
      </c>
      <c r="H243" s="94"/>
      <c r="I243" s="46"/>
      <c r="J243" s="46"/>
      <c r="K243" s="46"/>
      <c r="L243" s="46"/>
      <c r="M243" s="46"/>
      <c r="N243" s="46"/>
      <c r="O243" s="46"/>
      <c r="P243" s="46"/>
      <c r="Q243" s="46"/>
      <c r="R243" s="46"/>
      <c r="S243" s="46"/>
      <c r="T243" s="46"/>
      <c r="U243" s="46"/>
      <c r="V243" s="46"/>
      <c r="W243" s="46"/>
      <c r="X243" s="46"/>
      <c r="Y243" s="46"/>
      <c r="Z243" s="46"/>
      <c r="AA243" s="46"/>
      <c r="AB243" s="46"/>
    </row>
    <row r="244" hidden="1">
      <c r="A244" s="90" t="s">
        <v>461</v>
      </c>
      <c r="B244" s="91" t="str">
        <f>IFERROR(VLOOKUP(A244,'Salary Calculation'!A244:F1241,2,0),"")</f>
        <v/>
      </c>
      <c r="C244" s="91" t="str">
        <f>IFERROR(VLOOKUP(A244,'Salary Calculation'!$A$2:$T$999,3,0),"")</f>
        <v/>
      </c>
      <c r="D244" s="91" t="str">
        <f>IFERROR(VLOOKUP(A244,'Salary Calculation'!$A$2:$T$999,6,0),"")</f>
        <v/>
      </c>
      <c r="E244" s="91" t="str">
        <f>IFERROR(VLOOKUP(A244,'Salary Calculation'!$A$2:$T$999,8,0),"")</f>
        <v/>
      </c>
      <c r="F244" s="92" t="str">
        <f>IFERROR(VLOOKUP(C244,'Employees List'!$B$2:H999,6,0),"")</f>
        <v/>
      </c>
      <c r="G244" s="93" t="str">
        <f>IFERROR(VLOOKUP(A244,'Salary Calculation'!$A$2:$T$999,7,0),"")</f>
        <v/>
      </c>
      <c r="H244" s="94"/>
      <c r="I244" s="46"/>
      <c r="J244" s="46"/>
      <c r="K244" s="46"/>
      <c r="L244" s="46"/>
      <c r="M244" s="46"/>
      <c r="N244" s="46"/>
      <c r="O244" s="46"/>
      <c r="P244" s="46"/>
      <c r="Q244" s="46"/>
      <c r="R244" s="46"/>
      <c r="S244" s="46"/>
      <c r="T244" s="46"/>
      <c r="U244" s="46"/>
      <c r="V244" s="46"/>
      <c r="W244" s="46"/>
      <c r="X244" s="46"/>
      <c r="Y244" s="46"/>
      <c r="Z244" s="46"/>
      <c r="AA244" s="46"/>
      <c r="AB244" s="46"/>
    </row>
    <row r="245" hidden="1">
      <c r="A245" s="90" t="s">
        <v>462</v>
      </c>
      <c r="B245" s="91" t="str">
        <f>IFERROR(VLOOKUP(A245,'Salary Calculation'!A245:F1242,2,0),"")</f>
        <v/>
      </c>
      <c r="C245" s="91" t="str">
        <f>IFERROR(VLOOKUP(A245,'Salary Calculation'!$A$2:$T$999,3,0),"")</f>
        <v/>
      </c>
      <c r="D245" s="91" t="str">
        <f>IFERROR(VLOOKUP(A245,'Salary Calculation'!$A$2:$T$999,6,0),"")</f>
        <v/>
      </c>
      <c r="E245" s="91" t="str">
        <f>IFERROR(VLOOKUP(A245,'Salary Calculation'!$A$2:$T$999,8,0),"")</f>
        <v/>
      </c>
      <c r="F245" s="92" t="str">
        <f>IFERROR(VLOOKUP(C245,'Employees List'!$B$2:H999,6,0),"")</f>
        <v/>
      </c>
      <c r="G245" s="93" t="str">
        <f>IFERROR(VLOOKUP(A245,'Salary Calculation'!$A$2:$T$999,7,0),"")</f>
        <v/>
      </c>
      <c r="H245" s="94"/>
      <c r="I245" s="46"/>
      <c r="J245" s="46"/>
      <c r="K245" s="46"/>
      <c r="L245" s="46"/>
      <c r="M245" s="46"/>
      <c r="N245" s="46"/>
      <c r="O245" s="46"/>
      <c r="P245" s="46"/>
      <c r="Q245" s="46"/>
      <c r="R245" s="46"/>
      <c r="S245" s="46"/>
      <c r="T245" s="46"/>
      <c r="U245" s="46"/>
      <c r="V245" s="46"/>
      <c r="W245" s="46"/>
      <c r="X245" s="46"/>
      <c r="Y245" s="46"/>
      <c r="Z245" s="46"/>
      <c r="AA245" s="46"/>
      <c r="AB245" s="46"/>
    </row>
    <row r="246" hidden="1">
      <c r="A246" s="90" t="s">
        <v>463</v>
      </c>
      <c r="B246" s="91" t="str">
        <f>IFERROR(VLOOKUP(A246,'Salary Calculation'!A246:F1243,2,0),"")</f>
        <v/>
      </c>
      <c r="C246" s="91" t="str">
        <f>IFERROR(VLOOKUP(A246,'Salary Calculation'!$A$2:$T$999,3,0),"")</f>
        <v/>
      </c>
      <c r="D246" s="91" t="str">
        <f>IFERROR(VLOOKUP(A246,'Salary Calculation'!$A$2:$T$999,6,0),"")</f>
        <v/>
      </c>
      <c r="E246" s="91" t="str">
        <f>IFERROR(VLOOKUP(A246,'Salary Calculation'!$A$2:$T$999,8,0),"")</f>
        <v/>
      </c>
      <c r="F246" s="92" t="str">
        <f>IFERROR(VLOOKUP(C246,'Employees List'!$B$2:H999,6,0),"")</f>
        <v/>
      </c>
      <c r="G246" s="93" t="str">
        <f>IFERROR(VLOOKUP(A246,'Salary Calculation'!$A$2:$T$999,7,0),"")</f>
        <v/>
      </c>
      <c r="H246" s="94"/>
      <c r="I246" s="46"/>
      <c r="J246" s="46"/>
      <c r="K246" s="46"/>
      <c r="L246" s="46"/>
      <c r="M246" s="46"/>
      <c r="N246" s="46"/>
      <c r="O246" s="46"/>
      <c r="P246" s="46"/>
      <c r="Q246" s="46"/>
      <c r="R246" s="46"/>
      <c r="S246" s="46"/>
      <c r="T246" s="46"/>
      <c r="U246" s="46"/>
      <c r="V246" s="46"/>
      <c r="W246" s="46"/>
      <c r="X246" s="46"/>
      <c r="Y246" s="46"/>
      <c r="Z246" s="46"/>
      <c r="AA246" s="46"/>
      <c r="AB246" s="46"/>
    </row>
    <row r="247" hidden="1">
      <c r="A247" s="90" t="s">
        <v>464</v>
      </c>
      <c r="B247" s="91" t="str">
        <f>IFERROR(VLOOKUP(A247,'Salary Calculation'!A247:F1244,2,0),"")</f>
        <v/>
      </c>
      <c r="C247" s="91" t="str">
        <f>IFERROR(VLOOKUP(A247,'Salary Calculation'!$A$2:$T$999,3,0),"")</f>
        <v/>
      </c>
      <c r="D247" s="91" t="str">
        <f>IFERROR(VLOOKUP(A247,'Salary Calculation'!$A$2:$T$999,6,0),"")</f>
        <v/>
      </c>
      <c r="E247" s="91" t="str">
        <f>IFERROR(VLOOKUP(A247,'Salary Calculation'!$A$2:$T$999,8,0),"")</f>
        <v/>
      </c>
      <c r="F247" s="92" t="str">
        <f>IFERROR(VLOOKUP(C247,'Employees List'!$B$2:H999,6,0),"")</f>
        <v/>
      </c>
      <c r="G247" s="93" t="str">
        <f>IFERROR(VLOOKUP(A247,'Salary Calculation'!$A$2:$T$999,7,0),"")</f>
        <v/>
      </c>
      <c r="H247" s="94"/>
      <c r="I247" s="46"/>
      <c r="J247" s="46"/>
      <c r="K247" s="46"/>
      <c r="L247" s="46"/>
      <c r="M247" s="46"/>
      <c r="N247" s="46"/>
      <c r="O247" s="46"/>
      <c r="P247" s="46"/>
      <c r="Q247" s="46"/>
      <c r="R247" s="46"/>
      <c r="S247" s="46"/>
      <c r="T247" s="46"/>
      <c r="U247" s="46"/>
      <c r="V247" s="46"/>
      <c r="W247" s="46"/>
      <c r="X247" s="46"/>
      <c r="Y247" s="46"/>
      <c r="Z247" s="46"/>
      <c r="AA247" s="46"/>
      <c r="AB247" s="46"/>
    </row>
    <row r="248" hidden="1">
      <c r="A248" s="90" t="s">
        <v>465</v>
      </c>
      <c r="B248" s="91" t="str">
        <f>IFERROR(VLOOKUP(A248,'Salary Calculation'!A248:F1245,2,0),"")</f>
        <v/>
      </c>
      <c r="C248" s="91" t="str">
        <f>IFERROR(VLOOKUP(A248,'Salary Calculation'!$A$2:$T$999,3,0),"")</f>
        <v/>
      </c>
      <c r="D248" s="91" t="str">
        <f>IFERROR(VLOOKUP(A248,'Salary Calculation'!$A$2:$T$999,6,0),"")</f>
        <v/>
      </c>
      <c r="E248" s="91" t="str">
        <f>IFERROR(VLOOKUP(A248,'Salary Calculation'!$A$2:$T$999,8,0),"")</f>
        <v/>
      </c>
      <c r="F248" s="92" t="str">
        <f>IFERROR(VLOOKUP(C248,'Employees List'!$B$2:H999,6,0),"")</f>
        <v/>
      </c>
      <c r="G248" s="93" t="str">
        <f>IFERROR(VLOOKUP(A248,'Salary Calculation'!$A$2:$T$999,7,0),"")</f>
        <v/>
      </c>
      <c r="H248" s="94"/>
      <c r="I248" s="46"/>
      <c r="J248" s="46"/>
      <c r="K248" s="46"/>
      <c r="L248" s="46"/>
      <c r="M248" s="46"/>
      <c r="N248" s="46"/>
      <c r="O248" s="46"/>
      <c r="P248" s="46"/>
      <c r="Q248" s="46"/>
      <c r="R248" s="46"/>
      <c r="S248" s="46"/>
      <c r="T248" s="46"/>
      <c r="U248" s="46"/>
      <c r="V248" s="46"/>
      <c r="W248" s="46"/>
      <c r="X248" s="46"/>
      <c r="Y248" s="46"/>
      <c r="Z248" s="46"/>
      <c r="AA248" s="46"/>
      <c r="AB248" s="46"/>
    </row>
    <row r="249" hidden="1">
      <c r="A249" s="90" t="s">
        <v>466</v>
      </c>
      <c r="B249" s="91" t="str">
        <f>IFERROR(VLOOKUP(A249,'Salary Calculation'!A249:F1246,2,0),"")</f>
        <v/>
      </c>
      <c r="C249" s="91" t="str">
        <f>IFERROR(VLOOKUP(A249,'Salary Calculation'!$A$2:$T$999,3,0),"")</f>
        <v/>
      </c>
      <c r="D249" s="91" t="str">
        <f>IFERROR(VLOOKUP(A249,'Salary Calculation'!$A$2:$T$999,6,0),"")</f>
        <v/>
      </c>
      <c r="E249" s="91" t="str">
        <f>IFERROR(VLOOKUP(A249,'Salary Calculation'!$A$2:$T$999,8,0),"")</f>
        <v/>
      </c>
      <c r="F249" s="92" t="str">
        <f>IFERROR(VLOOKUP(C249,'Employees List'!$B$2:H999,6,0),"")</f>
        <v/>
      </c>
      <c r="G249" s="93" t="str">
        <f>IFERROR(VLOOKUP(A249,'Salary Calculation'!$A$2:$T$999,7,0),"")</f>
        <v/>
      </c>
      <c r="H249" s="94"/>
      <c r="I249" s="46"/>
      <c r="J249" s="46"/>
      <c r="K249" s="46"/>
      <c r="L249" s="46"/>
      <c r="M249" s="46"/>
      <c r="N249" s="46"/>
      <c r="O249" s="46"/>
      <c r="P249" s="46"/>
      <c r="Q249" s="46"/>
      <c r="R249" s="46"/>
      <c r="S249" s="46"/>
      <c r="T249" s="46"/>
      <c r="U249" s="46"/>
      <c r="V249" s="46"/>
      <c r="W249" s="46"/>
      <c r="X249" s="46"/>
      <c r="Y249" s="46"/>
      <c r="Z249" s="46"/>
      <c r="AA249" s="46"/>
      <c r="AB249" s="46"/>
    </row>
    <row r="250" hidden="1">
      <c r="A250" s="90" t="s">
        <v>467</v>
      </c>
      <c r="B250" s="91" t="str">
        <f>IFERROR(VLOOKUP(A250,'Salary Calculation'!A250:F1247,2,0),"")</f>
        <v/>
      </c>
      <c r="C250" s="91" t="str">
        <f>IFERROR(VLOOKUP(A250,'Salary Calculation'!$A$2:$T$999,3,0),"")</f>
        <v/>
      </c>
      <c r="D250" s="91" t="str">
        <f>IFERROR(VLOOKUP(A250,'Salary Calculation'!$A$2:$T$999,6,0),"")</f>
        <v/>
      </c>
      <c r="E250" s="91" t="str">
        <f>IFERROR(VLOOKUP(A250,'Salary Calculation'!$A$2:$T$999,8,0),"")</f>
        <v/>
      </c>
      <c r="F250" s="92" t="str">
        <f>IFERROR(VLOOKUP(C250,'Employees List'!$B$2:H999,6,0),"")</f>
        <v/>
      </c>
      <c r="G250" s="93" t="str">
        <f>IFERROR(VLOOKUP(A250,'Salary Calculation'!$A$2:$T$999,7,0),"")</f>
        <v/>
      </c>
      <c r="H250" s="94"/>
      <c r="I250" s="46"/>
      <c r="J250" s="46"/>
      <c r="K250" s="46"/>
      <c r="L250" s="46"/>
      <c r="M250" s="46"/>
      <c r="N250" s="46"/>
      <c r="O250" s="46"/>
      <c r="P250" s="46"/>
      <c r="Q250" s="46"/>
      <c r="R250" s="46"/>
      <c r="S250" s="46"/>
      <c r="T250" s="46"/>
      <c r="U250" s="46"/>
      <c r="V250" s="46"/>
      <c r="W250" s="46"/>
      <c r="X250" s="46"/>
      <c r="Y250" s="46"/>
      <c r="Z250" s="46"/>
      <c r="AA250" s="46"/>
      <c r="AB250" s="46"/>
    </row>
    <row r="251" hidden="1">
      <c r="A251" s="90" t="s">
        <v>468</v>
      </c>
      <c r="B251" s="91" t="str">
        <f>IFERROR(VLOOKUP(A251,'Salary Calculation'!A251:F1248,2,0),"")</f>
        <v/>
      </c>
      <c r="C251" s="91" t="str">
        <f>IFERROR(VLOOKUP(A251,'Salary Calculation'!$A$2:$T$999,3,0),"")</f>
        <v/>
      </c>
      <c r="D251" s="91" t="str">
        <f>IFERROR(VLOOKUP(A251,'Salary Calculation'!$A$2:$T$999,6,0),"")</f>
        <v/>
      </c>
      <c r="E251" s="91" t="str">
        <f>IFERROR(VLOOKUP(A251,'Salary Calculation'!$A$2:$T$999,8,0),"")</f>
        <v/>
      </c>
      <c r="F251" s="92" t="str">
        <f>IFERROR(VLOOKUP(C251,'Employees List'!$B$2:H999,6,0),"")</f>
        <v/>
      </c>
      <c r="G251" s="93" t="str">
        <f>IFERROR(VLOOKUP(A251,'Salary Calculation'!$A$2:$T$999,7,0),"")</f>
        <v/>
      </c>
      <c r="H251" s="94"/>
      <c r="I251" s="46"/>
      <c r="J251" s="46"/>
      <c r="K251" s="46"/>
      <c r="L251" s="46"/>
      <c r="M251" s="46"/>
      <c r="N251" s="46"/>
      <c r="O251" s="46"/>
      <c r="P251" s="46"/>
      <c r="Q251" s="46"/>
      <c r="R251" s="46"/>
      <c r="S251" s="46"/>
      <c r="T251" s="46"/>
      <c r="U251" s="46"/>
      <c r="V251" s="46"/>
      <c r="W251" s="46"/>
      <c r="X251" s="46"/>
      <c r="Y251" s="46"/>
      <c r="Z251" s="46"/>
      <c r="AA251" s="46"/>
      <c r="AB251" s="46"/>
    </row>
    <row r="252" hidden="1">
      <c r="A252" s="90" t="s">
        <v>469</v>
      </c>
      <c r="B252" s="91" t="str">
        <f>IFERROR(VLOOKUP(A252,'Salary Calculation'!A252:F1249,2,0),"")</f>
        <v/>
      </c>
      <c r="C252" s="91" t="str">
        <f>IFERROR(VLOOKUP(A252,'Salary Calculation'!$A$2:$T$999,3,0),"")</f>
        <v/>
      </c>
      <c r="D252" s="91" t="str">
        <f>IFERROR(VLOOKUP(A252,'Salary Calculation'!$A$2:$T$999,6,0),"")</f>
        <v/>
      </c>
      <c r="E252" s="91" t="str">
        <f>IFERROR(VLOOKUP(A252,'Salary Calculation'!$A$2:$T$999,8,0),"")</f>
        <v/>
      </c>
      <c r="F252" s="92" t="str">
        <f>IFERROR(VLOOKUP(C252,'Employees List'!$B$2:H999,6,0),"")</f>
        <v/>
      </c>
      <c r="G252" s="93" t="str">
        <f>IFERROR(VLOOKUP(A252,'Salary Calculation'!$A$2:$T$999,7,0),"")</f>
        <v/>
      </c>
      <c r="H252" s="94"/>
      <c r="I252" s="46"/>
      <c r="J252" s="46"/>
      <c r="K252" s="46"/>
      <c r="L252" s="46"/>
      <c r="M252" s="46"/>
      <c r="N252" s="46"/>
      <c r="O252" s="46"/>
      <c r="P252" s="46"/>
      <c r="Q252" s="46"/>
      <c r="R252" s="46"/>
      <c r="S252" s="46"/>
      <c r="T252" s="46"/>
      <c r="U252" s="46"/>
      <c r="V252" s="46"/>
      <c r="W252" s="46"/>
      <c r="X252" s="46"/>
      <c r="Y252" s="46"/>
      <c r="Z252" s="46"/>
      <c r="AA252" s="46"/>
      <c r="AB252" s="46"/>
    </row>
    <row r="253" hidden="1">
      <c r="A253" s="90" t="s">
        <v>470</v>
      </c>
      <c r="B253" s="91" t="str">
        <f>IFERROR(VLOOKUP(A253,'Salary Calculation'!A253:F1250,2,0),"")</f>
        <v/>
      </c>
      <c r="C253" s="91" t="str">
        <f>IFERROR(VLOOKUP(A253,'Salary Calculation'!$A$2:$T$999,3,0),"")</f>
        <v/>
      </c>
      <c r="D253" s="91" t="str">
        <f>IFERROR(VLOOKUP(A253,'Salary Calculation'!$A$2:$T$999,6,0),"")</f>
        <v/>
      </c>
      <c r="E253" s="91" t="str">
        <f>IFERROR(VLOOKUP(A253,'Salary Calculation'!$A$2:$T$999,8,0),"")</f>
        <v/>
      </c>
      <c r="F253" s="92" t="str">
        <f>IFERROR(VLOOKUP(C253,'Employees List'!$B$2:H999,6,0),"")</f>
        <v/>
      </c>
      <c r="G253" s="93" t="str">
        <f>IFERROR(VLOOKUP(A253,'Salary Calculation'!$A$2:$T$999,7,0),"")</f>
        <v/>
      </c>
      <c r="H253" s="94"/>
      <c r="I253" s="46"/>
      <c r="J253" s="46"/>
      <c r="K253" s="46"/>
      <c r="L253" s="46"/>
      <c r="M253" s="46"/>
      <c r="N253" s="46"/>
      <c r="O253" s="46"/>
      <c r="P253" s="46"/>
      <c r="Q253" s="46"/>
      <c r="R253" s="46"/>
      <c r="S253" s="46"/>
      <c r="T253" s="46"/>
      <c r="U253" s="46"/>
      <c r="V253" s="46"/>
      <c r="W253" s="46"/>
      <c r="X253" s="46"/>
      <c r="Y253" s="46"/>
      <c r="Z253" s="46"/>
      <c r="AA253" s="46"/>
      <c r="AB253" s="46"/>
    </row>
    <row r="254" hidden="1">
      <c r="A254" s="90" t="s">
        <v>471</v>
      </c>
      <c r="B254" s="91" t="str">
        <f>IFERROR(VLOOKUP(A254,'Salary Calculation'!A254:F1251,2,0),"")</f>
        <v/>
      </c>
      <c r="C254" s="91" t="str">
        <f>IFERROR(VLOOKUP(A254,'Salary Calculation'!$A$2:$T$999,3,0),"")</f>
        <v/>
      </c>
      <c r="D254" s="91" t="str">
        <f>IFERROR(VLOOKUP(A254,'Salary Calculation'!$A$2:$T$999,6,0),"")</f>
        <v/>
      </c>
      <c r="E254" s="91" t="str">
        <f>IFERROR(VLOOKUP(A254,'Salary Calculation'!$A$2:$T$999,8,0),"")</f>
        <v/>
      </c>
      <c r="F254" s="92" t="str">
        <f>IFERROR(VLOOKUP(C254,'Employees List'!$B$2:H999,6,0),"")</f>
        <v/>
      </c>
      <c r="G254" s="93" t="str">
        <f>IFERROR(VLOOKUP(A254,'Salary Calculation'!$A$2:$T$999,7,0),"")</f>
        <v/>
      </c>
      <c r="H254" s="94"/>
      <c r="I254" s="46"/>
      <c r="J254" s="46"/>
      <c r="K254" s="46"/>
      <c r="L254" s="46"/>
      <c r="M254" s="46"/>
      <c r="N254" s="46"/>
      <c r="O254" s="46"/>
      <c r="P254" s="46"/>
      <c r="Q254" s="46"/>
      <c r="R254" s="46"/>
      <c r="S254" s="46"/>
      <c r="T254" s="46"/>
      <c r="U254" s="46"/>
      <c r="V254" s="46"/>
      <c r="W254" s="46"/>
      <c r="X254" s="46"/>
      <c r="Y254" s="46"/>
      <c r="Z254" s="46"/>
      <c r="AA254" s="46"/>
      <c r="AB254" s="46"/>
    </row>
    <row r="255" hidden="1">
      <c r="A255" s="90" t="s">
        <v>472</v>
      </c>
      <c r="B255" s="91" t="str">
        <f>IFERROR(VLOOKUP(A255,'Salary Calculation'!A255:F1252,2,0),"")</f>
        <v/>
      </c>
      <c r="C255" s="91" t="str">
        <f>IFERROR(VLOOKUP(A255,'Salary Calculation'!$A$2:$T$999,3,0),"")</f>
        <v/>
      </c>
      <c r="D255" s="91" t="str">
        <f>IFERROR(VLOOKUP(A255,'Salary Calculation'!$A$2:$T$999,6,0),"")</f>
        <v/>
      </c>
      <c r="E255" s="91" t="str">
        <f>IFERROR(VLOOKUP(A255,'Salary Calculation'!$A$2:$T$999,8,0),"")</f>
        <v/>
      </c>
      <c r="F255" s="92" t="str">
        <f>IFERROR(VLOOKUP(C255,'Employees List'!$B$2:H999,6,0),"")</f>
        <v/>
      </c>
      <c r="G255" s="93" t="str">
        <f>IFERROR(VLOOKUP(A255,'Salary Calculation'!$A$2:$T$999,7,0),"")</f>
        <v/>
      </c>
      <c r="H255" s="94"/>
      <c r="I255" s="46"/>
      <c r="J255" s="46"/>
      <c r="K255" s="46"/>
      <c r="L255" s="46"/>
      <c r="M255" s="46"/>
      <c r="N255" s="46"/>
      <c r="O255" s="46"/>
      <c r="P255" s="46"/>
      <c r="Q255" s="46"/>
      <c r="R255" s="46"/>
      <c r="S255" s="46"/>
      <c r="T255" s="46"/>
      <c r="U255" s="46"/>
      <c r="V255" s="46"/>
      <c r="W255" s="46"/>
      <c r="X255" s="46"/>
      <c r="Y255" s="46"/>
      <c r="Z255" s="46"/>
      <c r="AA255" s="46"/>
      <c r="AB255" s="46"/>
    </row>
    <row r="256" hidden="1">
      <c r="A256" s="90" t="s">
        <v>473</v>
      </c>
      <c r="B256" s="91" t="str">
        <f>IFERROR(VLOOKUP(A256,'Salary Calculation'!A256:F1253,2,0),"")</f>
        <v/>
      </c>
      <c r="C256" s="91" t="str">
        <f>IFERROR(VLOOKUP(A256,'Salary Calculation'!$A$2:$T$999,3,0),"")</f>
        <v/>
      </c>
      <c r="D256" s="91" t="str">
        <f>IFERROR(VLOOKUP(A256,'Salary Calculation'!$A$2:$T$999,6,0),"")</f>
        <v/>
      </c>
      <c r="E256" s="91" t="str">
        <f>IFERROR(VLOOKUP(A256,'Salary Calculation'!$A$2:$T$999,8,0),"")</f>
        <v/>
      </c>
      <c r="F256" s="92" t="str">
        <f>IFERROR(VLOOKUP(C256,'Employees List'!$B$2:H999,6,0),"")</f>
        <v/>
      </c>
      <c r="G256" s="93" t="str">
        <f>IFERROR(VLOOKUP(A256,'Salary Calculation'!$A$2:$T$999,7,0),"")</f>
        <v/>
      </c>
      <c r="H256" s="94"/>
      <c r="I256" s="46"/>
      <c r="J256" s="46"/>
      <c r="K256" s="46"/>
      <c r="L256" s="46"/>
      <c r="M256" s="46"/>
      <c r="N256" s="46"/>
      <c r="O256" s="46"/>
      <c r="P256" s="46"/>
      <c r="Q256" s="46"/>
      <c r="R256" s="46"/>
      <c r="S256" s="46"/>
      <c r="T256" s="46"/>
      <c r="U256" s="46"/>
      <c r="V256" s="46"/>
      <c r="W256" s="46"/>
      <c r="X256" s="46"/>
      <c r="Y256" s="46"/>
      <c r="Z256" s="46"/>
      <c r="AA256" s="46"/>
      <c r="AB256" s="46"/>
    </row>
    <row r="257" hidden="1">
      <c r="A257" s="90" t="s">
        <v>474</v>
      </c>
      <c r="B257" s="91" t="str">
        <f>IFERROR(VLOOKUP(A257,'Salary Calculation'!A257:F1254,2,0),"")</f>
        <v/>
      </c>
      <c r="C257" s="91" t="str">
        <f>IFERROR(VLOOKUP(A257,'Salary Calculation'!$A$2:$T$999,3,0),"")</f>
        <v/>
      </c>
      <c r="D257" s="91" t="str">
        <f>IFERROR(VLOOKUP(A257,'Salary Calculation'!$A$2:$T$999,6,0),"")</f>
        <v/>
      </c>
      <c r="E257" s="91" t="str">
        <f>IFERROR(VLOOKUP(A257,'Salary Calculation'!$A$2:$T$999,8,0),"")</f>
        <v/>
      </c>
      <c r="F257" s="92" t="str">
        <f>IFERROR(VLOOKUP(C257,'Employees List'!$B$2:H999,6,0),"")</f>
        <v/>
      </c>
      <c r="G257" s="93" t="str">
        <f>IFERROR(VLOOKUP(A257,'Salary Calculation'!$A$2:$T$999,7,0),"")</f>
        <v/>
      </c>
      <c r="H257" s="94"/>
      <c r="I257" s="46"/>
      <c r="J257" s="46"/>
      <c r="K257" s="46"/>
      <c r="L257" s="46"/>
      <c r="M257" s="46"/>
      <c r="N257" s="46"/>
      <c r="O257" s="46"/>
      <c r="P257" s="46"/>
      <c r="Q257" s="46"/>
      <c r="R257" s="46"/>
      <c r="S257" s="46"/>
      <c r="T257" s="46"/>
      <c r="U257" s="46"/>
      <c r="V257" s="46"/>
      <c r="W257" s="46"/>
      <c r="X257" s="46"/>
      <c r="Y257" s="46"/>
      <c r="Z257" s="46"/>
      <c r="AA257" s="46"/>
      <c r="AB257" s="46"/>
    </row>
    <row r="258" hidden="1">
      <c r="A258" s="90" t="s">
        <v>475</v>
      </c>
      <c r="B258" s="91" t="str">
        <f>IFERROR(VLOOKUP(A258,'Salary Calculation'!A258:F1255,2,0),"")</f>
        <v/>
      </c>
      <c r="C258" s="91" t="str">
        <f>IFERROR(VLOOKUP(A258,'Salary Calculation'!$A$2:$T$999,3,0),"")</f>
        <v/>
      </c>
      <c r="D258" s="91" t="str">
        <f>IFERROR(VLOOKUP(A258,'Salary Calculation'!$A$2:$T$999,6,0),"")</f>
        <v/>
      </c>
      <c r="E258" s="91" t="str">
        <f>IFERROR(VLOOKUP(A258,'Salary Calculation'!$A$2:$T$999,8,0),"")</f>
        <v/>
      </c>
      <c r="F258" s="92" t="str">
        <f>IFERROR(VLOOKUP(C258,'Employees List'!$B$2:H999,6,0),"")</f>
        <v/>
      </c>
      <c r="G258" s="93" t="str">
        <f>IFERROR(VLOOKUP(A258,'Salary Calculation'!$A$2:$T$999,7,0),"")</f>
        <v/>
      </c>
      <c r="H258" s="94"/>
      <c r="I258" s="46"/>
      <c r="J258" s="46"/>
      <c r="K258" s="46"/>
      <c r="L258" s="46"/>
      <c r="M258" s="46"/>
      <c r="N258" s="46"/>
      <c r="O258" s="46"/>
      <c r="P258" s="46"/>
      <c r="Q258" s="46"/>
      <c r="R258" s="46"/>
      <c r="S258" s="46"/>
      <c r="T258" s="46"/>
      <c r="U258" s="46"/>
      <c r="V258" s="46"/>
      <c r="W258" s="46"/>
      <c r="X258" s="46"/>
      <c r="Y258" s="46"/>
      <c r="Z258" s="46"/>
      <c r="AA258" s="46"/>
      <c r="AB258" s="46"/>
    </row>
    <row r="259" hidden="1">
      <c r="A259" s="90" t="s">
        <v>476</v>
      </c>
      <c r="B259" s="91" t="str">
        <f>IFERROR(VLOOKUP(A259,'Salary Calculation'!A259:F1256,2,0),"")</f>
        <v/>
      </c>
      <c r="C259" s="91" t="str">
        <f>IFERROR(VLOOKUP(A259,'Salary Calculation'!$A$2:$T$999,3,0),"")</f>
        <v/>
      </c>
      <c r="D259" s="91" t="str">
        <f>IFERROR(VLOOKUP(A259,'Salary Calculation'!$A$2:$T$999,6,0),"")</f>
        <v/>
      </c>
      <c r="E259" s="91" t="str">
        <f>IFERROR(VLOOKUP(A259,'Salary Calculation'!$A$2:$T$999,8,0),"")</f>
        <v/>
      </c>
      <c r="F259" s="92" t="str">
        <f>IFERROR(VLOOKUP(C259,'Employees List'!$B$2:H999,6,0),"")</f>
        <v/>
      </c>
      <c r="G259" s="93" t="str">
        <f>IFERROR(VLOOKUP(A259,'Salary Calculation'!$A$2:$T$999,7,0),"")</f>
        <v/>
      </c>
      <c r="H259" s="94"/>
      <c r="I259" s="46"/>
      <c r="J259" s="46"/>
      <c r="K259" s="46"/>
      <c r="L259" s="46"/>
      <c r="M259" s="46"/>
      <c r="N259" s="46"/>
      <c r="O259" s="46"/>
      <c r="P259" s="46"/>
      <c r="Q259" s="46"/>
      <c r="R259" s="46"/>
      <c r="S259" s="46"/>
      <c r="T259" s="46"/>
      <c r="U259" s="46"/>
      <c r="V259" s="46"/>
      <c r="W259" s="46"/>
      <c r="X259" s="46"/>
      <c r="Y259" s="46"/>
      <c r="Z259" s="46"/>
      <c r="AA259" s="46"/>
      <c r="AB259" s="46"/>
    </row>
    <row r="260" hidden="1">
      <c r="A260" s="90" t="s">
        <v>477</v>
      </c>
      <c r="B260" s="91" t="str">
        <f>IFERROR(VLOOKUP(A260,'Salary Calculation'!A260:F1257,2,0),"")</f>
        <v/>
      </c>
      <c r="C260" s="91" t="str">
        <f>IFERROR(VLOOKUP(A260,'Salary Calculation'!$A$2:$T$999,3,0),"")</f>
        <v/>
      </c>
      <c r="D260" s="91" t="str">
        <f>IFERROR(VLOOKUP(A260,'Salary Calculation'!$A$2:$T$999,6,0),"")</f>
        <v/>
      </c>
      <c r="E260" s="91" t="str">
        <f>IFERROR(VLOOKUP(A260,'Salary Calculation'!$A$2:$T$999,8,0),"")</f>
        <v/>
      </c>
      <c r="F260" s="92" t="str">
        <f>IFERROR(VLOOKUP(C260,'Employees List'!$B$2:H999,6,0),"")</f>
        <v/>
      </c>
      <c r="G260" s="93" t="str">
        <f>IFERROR(VLOOKUP(A260,'Salary Calculation'!$A$2:$T$999,7,0),"")</f>
        <v/>
      </c>
      <c r="H260" s="94"/>
      <c r="I260" s="46"/>
      <c r="J260" s="46"/>
      <c r="K260" s="46"/>
      <c r="L260" s="46"/>
      <c r="M260" s="46"/>
      <c r="N260" s="46"/>
      <c r="O260" s="46"/>
      <c r="P260" s="46"/>
      <c r="Q260" s="46"/>
      <c r="R260" s="46"/>
      <c r="S260" s="46"/>
      <c r="T260" s="46"/>
      <c r="U260" s="46"/>
      <c r="V260" s="46"/>
      <c r="W260" s="46"/>
      <c r="X260" s="46"/>
      <c r="Y260" s="46"/>
      <c r="Z260" s="46"/>
      <c r="AA260" s="46"/>
      <c r="AB260" s="46"/>
    </row>
    <row r="261" hidden="1">
      <c r="A261" s="90" t="s">
        <v>478</v>
      </c>
      <c r="B261" s="91" t="str">
        <f>IFERROR(VLOOKUP(A261,'Salary Calculation'!A261:F1258,2,0),"")</f>
        <v/>
      </c>
      <c r="C261" s="91" t="str">
        <f>IFERROR(VLOOKUP(A261,'Salary Calculation'!$A$2:$T$999,3,0),"")</f>
        <v/>
      </c>
      <c r="D261" s="91" t="str">
        <f>IFERROR(VLOOKUP(A261,'Salary Calculation'!$A$2:$T$999,6,0),"")</f>
        <v/>
      </c>
      <c r="E261" s="91" t="str">
        <f>IFERROR(VLOOKUP(A261,'Salary Calculation'!$A$2:$T$999,8,0),"")</f>
        <v/>
      </c>
      <c r="F261" s="92" t="str">
        <f>IFERROR(VLOOKUP(C261,'Employees List'!$B$2:H999,6,0),"")</f>
        <v/>
      </c>
      <c r="G261" s="93" t="str">
        <f>IFERROR(VLOOKUP(A261,'Salary Calculation'!$A$2:$T$999,7,0),"")</f>
        <v/>
      </c>
      <c r="H261" s="94"/>
      <c r="I261" s="46"/>
      <c r="J261" s="46"/>
      <c r="K261" s="46"/>
      <c r="L261" s="46"/>
      <c r="M261" s="46"/>
      <c r="N261" s="46"/>
      <c r="O261" s="46"/>
      <c r="P261" s="46"/>
      <c r="Q261" s="46"/>
      <c r="R261" s="46"/>
      <c r="S261" s="46"/>
      <c r="T261" s="46"/>
      <c r="U261" s="46"/>
      <c r="V261" s="46"/>
      <c r="W261" s="46"/>
      <c r="X261" s="46"/>
      <c r="Y261" s="46"/>
      <c r="Z261" s="46"/>
      <c r="AA261" s="46"/>
      <c r="AB261" s="46"/>
    </row>
    <row r="262" hidden="1">
      <c r="A262" s="90" t="s">
        <v>479</v>
      </c>
      <c r="B262" s="91" t="str">
        <f>IFERROR(VLOOKUP(A262,'Salary Calculation'!A262:F1259,2,0),"")</f>
        <v/>
      </c>
      <c r="C262" s="91" t="str">
        <f>IFERROR(VLOOKUP(A262,'Salary Calculation'!$A$2:$T$999,3,0),"")</f>
        <v/>
      </c>
      <c r="D262" s="91" t="str">
        <f>IFERROR(VLOOKUP(A262,'Salary Calculation'!$A$2:$T$999,6,0),"")</f>
        <v/>
      </c>
      <c r="E262" s="91" t="str">
        <f>IFERROR(VLOOKUP(A262,'Salary Calculation'!$A$2:$T$999,8,0),"")</f>
        <v/>
      </c>
      <c r="F262" s="92" t="str">
        <f>IFERROR(VLOOKUP(C262,'Employees List'!$B$2:H999,6,0),"")</f>
        <v/>
      </c>
      <c r="G262" s="93" t="str">
        <f>IFERROR(VLOOKUP(A262,'Salary Calculation'!$A$2:$T$999,7,0),"")</f>
        <v/>
      </c>
      <c r="H262" s="94"/>
      <c r="I262" s="46"/>
      <c r="J262" s="46"/>
      <c r="K262" s="46"/>
      <c r="L262" s="46"/>
      <c r="M262" s="46"/>
      <c r="N262" s="46"/>
      <c r="O262" s="46"/>
      <c r="P262" s="46"/>
      <c r="Q262" s="46"/>
      <c r="R262" s="46"/>
      <c r="S262" s="46"/>
      <c r="T262" s="46"/>
      <c r="U262" s="46"/>
      <c r="V262" s="46"/>
      <c r="W262" s="46"/>
      <c r="X262" s="46"/>
      <c r="Y262" s="46"/>
      <c r="Z262" s="46"/>
      <c r="AA262" s="46"/>
      <c r="AB262" s="46"/>
    </row>
    <row r="263" hidden="1">
      <c r="A263" s="90" t="s">
        <v>480</v>
      </c>
      <c r="B263" s="91" t="str">
        <f>IFERROR(VLOOKUP(A263,'Salary Calculation'!A263:F1260,2,0),"")</f>
        <v/>
      </c>
      <c r="C263" s="91" t="str">
        <f>IFERROR(VLOOKUP(A263,'Salary Calculation'!$A$2:$T$999,3,0),"")</f>
        <v/>
      </c>
      <c r="D263" s="91" t="str">
        <f>IFERROR(VLOOKUP(A263,'Salary Calculation'!$A$2:$T$999,6,0),"")</f>
        <v/>
      </c>
      <c r="E263" s="91" t="str">
        <f>IFERROR(VLOOKUP(A263,'Salary Calculation'!$A$2:$T$999,8,0),"")</f>
        <v/>
      </c>
      <c r="F263" s="92" t="str">
        <f>IFERROR(VLOOKUP(C263,'Employees List'!$B$2:H999,6,0),"")</f>
        <v/>
      </c>
      <c r="G263" s="93" t="str">
        <f>IFERROR(VLOOKUP(A263,'Salary Calculation'!$A$2:$T$999,7,0),"")</f>
        <v/>
      </c>
      <c r="H263" s="94"/>
      <c r="I263" s="46"/>
      <c r="J263" s="46"/>
      <c r="K263" s="46"/>
      <c r="L263" s="46"/>
      <c r="M263" s="46"/>
      <c r="N263" s="46"/>
      <c r="O263" s="46"/>
      <c r="P263" s="46"/>
      <c r="Q263" s="46"/>
      <c r="R263" s="46"/>
      <c r="S263" s="46"/>
      <c r="T263" s="46"/>
      <c r="U263" s="46"/>
      <c r="V263" s="46"/>
      <c r="W263" s="46"/>
      <c r="X263" s="46"/>
      <c r="Y263" s="46"/>
      <c r="Z263" s="46"/>
      <c r="AA263" s="46"/>
      <c r="AB263" s="46"/>
    </row>
    <row r="264" hidden="1">
      <c r="A264" s="90" t="s">
        <v>481</v>
      </c>
      <c r="B264" s="91" t="str">
        <f>IFERROR(VLOOKUP(A264,'Salary Calculation'!A264:F1261,2,0),"")</f>
        <v/>
      </c>
      <c r="C264" s="91" t="str">
        <f>IFERROR(VLOOKUP(A264,'Salary Calculation'!$A$2:$T$999,3,0),"")</f>
        <v/>
      </c>
      <c r="D264" s="91" t="str">
        <f>IFERROR(VLOOKUP(A264,'Salary Calculation'!$A$2:$T$999,6,0),"")</f>
        <v/>
      </c>
      <c r="E264" s="91" t="str">
        <f>IFERROR(VLOOKUP(A264,'Salary Calculation'!$A$2:$T$999,8,0),"")</f>
        <v/>
      </c>
      <c r="F264" s="92" t="str">
        <f>IFERROR(VLOOKUP(C264,'Employees List'!$B$2:H999,6,0),"")</f>
        <v/>
      </c>
      <c r="G264" s="93" t="str">
        <f>IFERROR(VLOOKUP(A264,'Salary Calculation'!$A$2:$T$999,7,0),"")</f>
        <v/>
      </c>
      <c r="H264" s="94"/>
      <c r="I264" s="46"/>
      <c r="J264" s="46"/>
      <c r="K264" s="46"/>
      <c r="L264" s="46"/>
      <c r="M264" s="46"/>
      <c r="N264" s="46"/>
      <c r="O264" s="46"/>
      <c r="P264" s="46"/>
      <c r="Q264" s="46"/>
      <c r="R264" s="46"/>
      <c r="S264" s="46"/>
      <c r="T264" s="46"/>
      <c r="U264" s="46"/>
      <c r="V264" s="46"/>
      <c r="W264" s="46"/>
      <c r="X264" s="46"/>
      <c r="Y264" s="46"/>
      <c r="Z264" s="46"/>
      <c r="AA264" s="46"/>
      <c r="AB264" s="46"/>
    </row>
    <row r="265" hidden="1">
      <c r="A265" s="90" t="s">
        <v>482</v>
      </c>
      <c r="B265" s="91" t="str">
        <f>IFERROR(VLOOKUP(A265,'Salary Calculation'!A265:F1262,2,0),"")</f>
        <v/>
      </c>
      <c r="C265" s="91" t="str">
        <f>IFERROR(VLOOKUP(A265,'Salary Calculation'!$A$2:$T$999,3,0),"")</f>
        <v/>
      </c>
      <c r="D265" s="91" t="str">
        <f>IFERROR(VLOOKUP(A265,'Salary Calculation'!$A$2:$T$999,6,0),"")</f>
        <v/>
      </c>
      <c r="E265" s="91" t="str">
        <f>IFERROR(VLOOKUP(A265,'Salary Calculation'!$A$2:$T$999,8,0),"")</f>
        <v/>
      </c>
      <c r="F265" s="92" t="str">
        <f>IFERROR(VLOOKUP(C265,'Employees List'!$B$2:H999,6,0),"")</f>
        <v/>
      </c>
      <c r="G265" s="93" t="str">
        <f>IFERROR(VLOOKUP(A265,'Salary Calculation'!$A$2:$T$999,7,0),"")</f>
        <v/>
      </c>
      <c r="H265" s="94"/>
      <c r="I265" s="46"/>
      <c r="J265" s="46"/>
      <c r="K265" s="46"/>
      <c r="L265" s="46"/>
      <c r="M265" s="46"/>
      <c r="N265" s="46"/>
      <c r="O265" s="46"/>
      <c r="P265" s="46"/>
      <c r="Q265" s="46"/>
      <c r="R265" s="46"/>
      <c r="S265" s="46"/>
      <c r="T265" s="46"/>
      <c r="U265" s="46"/>
      <c r="V265" s="46"/>
      <c r="W265" s="46"/>
      <c r="X265" s="46"/>
      <c r="Y265" s="46"/>
      <c r="Z265" s="46"/>
      <c r="AA265" s="46"/>
      <c r="AB265" s="46"/>
    </row>
    <row r="266" hidden="1">
      <c r="A266" s="90" t="s">
        <v>483</v>
      </c>
      <c r="B266" s="91" t="str">
        <f>IFERROR(VLOOKUP(A266,'Salary Calculation'!A266:F1263,2,0),"")</f>
        <v/>
      </c>
      <c r="C266" s="91" t="str">
        <f>IFERROR(VLOOKUP(A266,'Salary Calculation'!$A$2:$T$999,3,0),"")</f>
        <v/>
      </c>
      <c r="D266" s="91" t="str">
        <f>IFERROR(VLOOKUP(A266,'Salary Calculation'!$A$2:$T$999,6,0),"")</f>
        <v/>
      </c>
      <c r="E266" s="91" t="str">
        <f>IFERROR(VLOOKUP(A266,'Salary Calculation'!$A$2:$T$999,8,0),"")</f>
        <v/>
      </c>
      <c r="F266" s="92" t="str">
        <f>IFERROR(VLOOKUP(C266,'Employees List'!$B$2:H999,6,0),"")</f>
        <v/>
      </c>
      <c r="G266" s="93" t="str">
        <f>IFERROR(VLOOKUP(A266,'Salary Calculation'!$A$2:$T$999,7,0),"")</f>
        <v/>
      </c>
      <c r="H266" s="94"/>
      <c r="I266" s="46"/>
      <c r="J266" s="46"/>
      <c r="K266" s="46"/>
      <c r="L266" s="46"/>
      <c r="M266" s="46"/>
      <c r="N266" s="46"/>
      <c r="O266" s="46"/>
      <c r="P266" s="46"/>
      <c r="Q266" s="46"/>
      <c r="R266" s="46"/>
      <c r="S266" s="46"/>
      <c r="T266" s="46"/>
      <c r="U266" s="46"/>
      <c r="V266" s="46"/>
      <c r="W266" s="46"/>
      <c r="X266" s="46"/>
      <c r="Y266" s="46"/>
      <c r="Z266" s="46"/>
      <c r="AA266" s="46"/>
      <c r="AB266" s="46"/>
    </row>
    <row r="267" hidden="1">
      <c r="A267" s="90" t="s">
        <v>484</v>
      </c>
      <c r="B267" s="91" t="str">
        <f>IFERROR(VLOOKUP(A267,'Salary Calculation'!A267:F1264,2,0),"")</f>
        <v/>
      </c>
      <c r="C267" s="91" t="str">
        <f>IFERROR(VLOOKUP(A267,'Salary Calculation'!$A$2:$T$999,3,0),"")</f>
        <v/>
      </c>
      <c r="D267" s="91" t="str">
        <f>IFERROR(VLOOKUP(A267,'Salary Calculation'!$A$2:$T$999,6,0),"")</f>
        <v/>
      </c>
      <c r="E267" s="91" t="str">
        <f>IFERROR(VLOOKUP(A267,'Salary Calculation'!$A$2:$T$999,8,0),"")</f>
        <v/>
      </c>
      <c r="F267" s="92" t="str">
        <f>IFERROR(VLOOKUP(C267,'Employees List'!$B$2:H999,6,0),"")</f>
        <v/>
      </c>
      <c r="G267" s="93" t="str">
        <f>IFERROR(VLOOKUP(A267,'Salary Calculation'!$A$2:$T$999,7,0),"")</f>
        <v/>
      </c>
      <c r="H267" s="94"/>
      <c r="I267" s="46"/>
      <c r="J267" s="46"/>
      <c r="K267" s="46"/>
      <c r="L267" s="46"/>
      <c r="M267" s="46"/>
      <c r="N267" s="46"/>
      <c r="O267" s="46"/>
      <c r="P267" s="46"/>
      <c r="Q267" s="46"/>
      <c r="R267" s="46"/>
      <c r="S267" s="46"/>
      <c r="T267" s="46"/>
      <c r="U267" s="46"/>
      <c r="V267" s="46"/>
      <c r="W267" s="46"/>
      <c r="X267" s="46"/>
      <c r="Y267" s="46"/>
      <c r="Z267" s="46"/>
      <c r="AA267" s="46"/>
      <c r="AB267" s="46"/>
    </row>
    <row r="268" hidden="1">
      <c r="A268" s="90" t="s">
        <v>485</v>
      </c>
      <c r="B268" s="91" t="str">
        <f>IFERROR(VLOOKUP(A268,'Salary Calculation'!A268:F1265,2,0),"")</f>
        <v/>
      </c>
      <c r="C268" s="91" t="str">
        <f>IFERROR(VLOOKUP(A268,'Salary Calculation'!$A$2:$T$999,3,0),"")</f>
        <v/>
      </c>
      <c r="D268" s="91" t="str">
        <f>IFERROR(VLOOKUP(A268,'Salary Calculation'!$A$2:$T$999,6,0),"")</f>
        <v/>
      </c>
      <c r="E268" s="91" t="str">
        <f>IFERROR(VLOOKUP(A268,'Salary Calculation'!$A$2:$T$999,8,0),"")</f>
        <v/>
      </c>
      <c r="F268" s="92" t="str">
        <f>IFERROR(VLOOKUP(C268,'Employees List'!$B$2:H999,6,0),"")</f>
        <v/>
      </c>
      <c r="G268" s="93" t="str">
        <f>IFERROR(VLOOKUP(A268,'Salary Calculation'!$A$2:$T$999,7,0),"")</f>
        <v/>
      </c>
      <c r="H268" s="94"/>
      <c r="I268" s="46"/>
      <c r="J268" s="46"/>
      <c r="K268" s="46"/>
      <c r="L268" s="46"/>
      <c r="M268" s="46"/>
      <c r="N268" s="46"/>
      <c r="O268" s="46"/>
      <c r="P268" s="46"/>
      <c r="Q268" s="46"/>
      <c r="R268" s="46"/>
      <c r="S268" s="46"/>
      <c r="T268" s="46"/>
      <c r="U268" s="46"/>
      <c r="V268" s="46"/>
      <c r="W268" s="46"/>
      <c r="X268" s="46"/>
      <c r="Y268" s="46"/>
      <c r="Z268" s="46"/>
      <c r="AA268" s="46"/>
      <c r="AB268" s="46"/>
    </row>
    <row r="269" hidden="1">
      <c r="A269" s="90" t="s">
        <v>486</v>
      </c>
      <c r="B269" s="91" t="str">
        <f>IFERROR(VLOOKUP(A269,'Salary Calculation'!A269:F1266,2,0),"")</f>
        <v/>
      </c>
      <c r="C269" s="91" t="str">
        <f>IFERROR(VLOOKUP(A269,'Salary Calculation'!$A$2:$T$999,3,0),"")</f>
        <v/>
      </c>
      <c r="D269" s="91" t="str">
        <f>IFERROR(VLOOKUP(A269,'Salary Calculation'!$A$2:$T$999,6,0),"")</f>
        <v/>
      </c>
      <c r="E269" s="91" t="str">
        <f>IFERROR(VLOOKUP(A269,'Salary Calculation'!$A$2:$T$999,8,0),"")</f>
        <v/>
      </c>
      <c r="F269" s="92" t="str">
        <f>IFERROR(VLOOKUP(C269,'Employees List'!$B$2:H999,6,0),"")</f>
        <v/>
      </c>
      <c r="G269" s="93" t="str">
        <f>IFERROR(VLOOKUP(A269,'Salary Calculation'!$A$2:$T$999,7,0),"")</f>
        <v/>
      </c>
      <c r="H269" s="94"/>
      <c r="I269" s="46"/>
      <c r="J269" s="46"/>
      <c r="K269" s="46"/>
      <c r="L269" s="46"/>
      <c r="M269" s="46"/>
      <c r="N269" s="46"/>
      <c r="O269" s="46"/>
      <c r="P269" s="46"/>
      <c r="Q269" s="46"/>
      <c r="R269" s="46"/>
      <c r="S269" s="46"/>
      <c r="T269" s="46"/>
      <c r="U269" s="46"/>
      <c r="V269" s="46"/>
      <c r="W269" s="46"/>
      <c r="X269" s="46"/>
      <c r="Y269" s="46"/>
      <c r="Z269" s="46"/>
      <c r="AA269" s="46"/>
      <c r="AB269" s="46"/>
    </row>
    <row r="270" hidden="1">
      <c r="A270" s="90" t="s">
        <v>487</v>
      </c>
      <c r="B270" s="91" t="str">
        <f>IFERROR(VLOOKUP(A270,'Salary Calculation'!A270:F1267,2,0),"")</f>
        <v/>
      </c>
      <c r="C270" s="91" t="str">
        <f>IFERROR(VLOOKUP(A270,'Salary Calculation'!$A$2:$T$999,3,0),"")</f>
        <v/>
      </c>
      <c r="D270" s="91" t="str">
        <f>IFERROR(VLOOKUP(A270,'Salary Calculation'!$A$2:$T$999,6,0),"")</f>
        <v/>
      </c>
      <c r="E270" s="91" t="str">
        <f>IFERROR(VLOOKUP(A270,'Salary Calculation'!$A$2:$T$999,8,0),"")</f>
        <v/>
      </c>
      <c r="F270" s="92" t="str">
        <f>IFERROR(VLOOKUP(C270,'Employees List'!$B$2:H999,6,0),"")</f>
        <v/>
      </c>
      <c r="G270" s="93" t="str">
        <f>IFERROR(VLOOKUP(A270,'Salary Calculation'!$A$2:$T$999,7,0),"")</f>
        <v/>
      </c>
      <c r="H270" s="94"/>
      <c r="I270" s="46"/>
      <c r="J270" s="46"/>
      <c r="K270" s="46"/>
      <c r="L270" s="46"/>
      <c r="M270" s="46"/>
      <c r="N270" s="46"/>
      <c r="O270" s="46"/>
      <c r="P270" s="46"/>
      <c r="Q270" s="46"/>
      <c r="R270" s="46"/>
      <c r="S270" s="46"/>
      <c r="T270" s="46"/>
      <c r="U270" s="46"/>
      <c r="V270" s="46"/>
      <c r="W270" s="46"/>
      <c r="X270" s="46"/>
      <c r="Y270" s="46"/>
      <c r="Z270" s="46"/>
      <c r="AA270" s="46"/>
      <c r="AB270" s="46"/>
    </row>
    <row r="271" hidden="1">
      <c r="A271" s="90" t="s">
        <v>488</v>
      </c>
      <c r="B271" s="91" t="str">
        <f>IFERROR(VLOOKUP(A271,'Salary Calculation'!A271:F1268,2,0),"")</f>
        <v/>
      </c>
      <c r="C271" s="91" t="str">
        <f>IFERROR(VLOOKUP(A271,'Salary Calculation'!$A$2:$T$999,3,0),"")</f>
        <v/>
      </c>
      <c r="D271" s="91" t="str">
        <f>IFERROR(VLOOKUP(A271,'Salary Calculation'!$A$2:$T$999,6,0),"")</f>
        <v/>
      </c>
      <c r="E271" s="91" t="str">
        <f>IFERROR(VLOOKUP(A271,'Salary Calculation'!$A$2:$T$999,8,0),"")</f>
        <v/>
      </c>
      <c r="F271" s="92" t="str">
        <f>IFERROR(VLOOKUP(C271,'Employees List'!$B$2:H999,6,0),"")</f>
        <v/>
      </c>
      <c r="G271" s="93" t="str">
        <f>IFERROR(VLOOKUP(A271,'Salary Calculation'!$A$2:$T$999,7,0),"")</f>
        <v/>
      </c>
      <c r="H271" s="94"/>
      <c r="I271" s="46"/>
      <c r="J271" s="46"/>
      <c r="K271" s="46"/>
      <c r="L271" s="46"/>
      <c r="M271" s="46"/>
      <c r="N271" s="46"/>
      <c r="O271" s="46"/>
      <c r="P271" s="46"/>
      <c r="Q271" s="46"/>
      <c r="R271" s="46"/>
      <c r="S271" s="46"/>
      <c r="T271" s="46"/>
      <c r="U271" s="46"/>
      <c r="V271" s="46"/>
      <c r="W271" s="46"/>
      <c r="X271" s="46"/>
      <c r="Y271" s="46"/>
      <c r="Z271" s="46"/>
      <c r="AA271" s="46"/>
      <c r="AB271" s="46"/>
    </row>
    <row r="272" hidden="1">
      <c r="A272" s="90" t="s">
        <v>489</v>
      </c>
      <c r="B272" s="91" t="str">
        <f>IFERROR(VLOOKUP(A272,'Salary Calculation'!A272:F1269,2,0),"")</f>
        <v/>
      </c>
      <c r="C272" s="91" t="str">
        <f>IFERROR(VLOOKUP(A272,'Salary Calculation'!$A$2:$T$999,3,0),"")</f>
        <v/>
      </c>
      <c r="D272" s="91" t="str">
        <f>IFERROR(VLOOKUP(A272,'Salary Calculation'!$A$2:$T$999,6,0),"")</f>
        <v/>
      </c>
      <c r="E272" s="91" t="str">
        <f>IFERROR(VLOOKUP(A272,'Salary Calculation'!$A$2:$T$999,8,0),"")</f>
        <v/>
      </c>
      <c r="F272" s="92" t="str">
        <f>IFERROR(VLOOKUP(C272,'Employees List'!$B$2:H999,6,0),"")</f>
        <v/>
      </c>
      <c r="G272" s="93" t="str">
        <f>IFERROR(VLOOKUP(A272,'Salary Calculation'!$A$2:$T$999,7,0),"")</f>
        <v/>
      </c>
      <c r="H272" s="94"/>
      <c r="I272" s="46"/>
      <c r="J272" s="46"/>
      <c r="K272" s="46"/>
      <c r="L272" s="46"/>
      <c r="M272" s="46"/>
      <c r="N272" s="46"/>
      <c r="O272" s="46"/>
      <c r="P272" s="46"/>
      <c r="Q272" s="46"/>
      <c r="R272" s="46"/>
      <c r="S272" s="46"/>
      <c r="T272" s="46"/>
      <c r="U272" s="46"/>
      <c r="V272" s="46"/>
      <c r="W272" s="46"/>
      <c r="X272" s="46"/>
      <c r="Y272" s="46"/>
      <c r="Z272" s="46"/>
      <c r="AA272" s="46"/>
      <c r="AB272" s="46"/>
    </row>
    <row r="273" hidden="1">
      <c r="A273" s="90" t="s">
        <v>490</v>
      </c>
      <c r="B273" s="91" t="str">
        <f>IFERROR(VLOOKUP(A273,'Salary Calculation'!A273:F1270,2,0),"")</f>
        <v/>
      </c>
      <c r="C273" s="91" t="str">
        <f>IFERROR(VLOOKUP(A273,'Salary Calculation'!$A$2:$T$999,3,0),"")</f>
        <v/>
      </c>
      <c r="D273" s="91" t="str">
        <f>IFERROR(VLOOKUP(A273,'Salary Calculation'!$A$2:$T$999,6,0),"")</f>
        <v/>
      </c>
      <c r="E273" s="91" t="str">
        <f>IFERROR(VLOOKUP(A273,'Salary Calculation'!$A$2:$T$999,8,0),"")</f>
        <v/>
      </c>
      <c r="F273" s="92" t="str">
        <f>IFERROR(VLOOKUP(C273,'Employees List'!$B$2:H999,6,0),"")</f>
        <v/>
      </c>
      <c r="G273" s="93" t="str">
        <f>IFERROR(VLOOKUP(A273,'Salary Calculation'!$A$2:$T$999,7,0),"")</f>
        <v/>
      </c>
      <c r="H273" s="94"/>
      <c r="I273" s="46"/>
      <c r="J273" s="46"/>
      <c r="K273" s="46"/>
      <c r="L273" s="46"/>
      <c r="M273" s="46"/>
      <c r="N273" s="46"/>
      <c r="O273" s="46"/>
      <c r="P273" s="46"/>
      <c r="Q273" s="46"/>
      <c r="R273" s="46"/>
      <c r="S273" s="46"/>
      <c r="T273" s="46"/>
      <c r="U273" s="46"/>
      <c r="V273" s="46"/>
      <c r="W273" s="46"/>
      <c r="X273" s="46"/>
      <c r="Y273" s="46"/>
      <c r="Z273" s="46"/>
      <c r="AA273" s="46"/>
      <c r="AB273" s="46"/>
    </row>
    <row r="274" hidden="1">
      <c r="A274" s="90" t="s">
        <v>491</v>
      </c>
      <c r="B274" s="91" t="str">
        <f>IFERROR(VLOOKUP(A274,'Salary Calculation'!A274:F1271,2,0),"")</f>
        <v/>
      </c>
      <c r="C274" s="91" t="str">
        <f>IFERROR(VLOOKUP(A274,'Salary Calculation'!$A$2:$T$999,3,0),"")</f>
        <v/>
      </c>
      <c r="D274" s="91" t="str">
        <f>IFERROR(VLOOKUP(A274,'Salary Calculation'!$A$2:$T$999,6,0),"")</f>
        <v/>
      </c>
      <c r="E274" s="91" t="str">
        <f>IFERROR(VLOOKUP(A274,'Salary Calculation'!$A$2:$T$999,8,0),"")</f>
        <v/>
      </c>
      <c r="F274" s="92" t="str">
        <f>IFERROR(VLOOKUP(C274,'Employees List'!$B$2:H999,6,0),"")</f>
        <v/>
      </c>
      <c r="G274" s="93" t="str">
        <f>IFERROR(VLOOKUP(A274,'Salary Calculation'!$A$2:$T$999,7,0),"")</f>
        <v/>
      </c>
      <c r="H274" s="94"/>
      <c r="I274" s="46"/>
      <c r="J274" s="46"/>
      <c r="K274" s="46"/>
      <c r="L274" s="46"/>
      <c r="M274" s="46"/>
      <c r="N274" s="46"/>
      <c r="O274" s="46"/>
      <c r="P274" s="46"/>
      <c r="Q274" s="46"/>
      <c r="R274" s="46"/>
      <c r="S274" s="46"/>
      <c r="T274" s="46"/>
      <c r="U274" s="46"/>
      <c r="V274" s="46"/>
      <c r="W274" s="46"/>
      <c r="X274" s="46"/>
      <c r="Y274" s="46"/>
      <c r="Z274" s="46"/>
      <c r="AA274" s="46"/>
      <c r="AB274" s="46"/>
    </row>
    <row r="275" hidden="1">
      <c r="A275" s="90" t="s">
        <v>492</v>
      </c>
      <c r="B275" s="91" t="str">
        <f>IFERROR(VLOOKUP(A275,'Salary Calculation'!A275:F1272,2,0),"")</f>
        <v/>
      </c>
      <c r="C275" s="91" t="str">
        <f>IFERROR(VLOOKUP(A275,'Salary Calculation'!$A$2:$T$999,3,0),"")</f>
        <v/>
      </c>
      <c r="D275" s="91" t="str">
        <f>IFERROR(VLOOKUP(A275,'Salary Calculation'!$A$2:$T$999,6,0),"")</f>
        <v/>
      </c>
      <c r="E275" s="91" t="str">
        <f>IFERROR(VLOOKUP(A275,'Salary Calculation'!$A$2:$T$999,8,0),"")</f>
        <v/>
      </c>
      <c r="F275" s="92" t="str">
        <f>IFERROR(VLOOKUP(C275,'Employees List'!$B$2:H999,6,0),"")</f>
        <v/>
      </c>
      <c r="G275" s="93" t="str">
        <f>IFERROR(VLOOKUP(A275,'Salary Calculation'!$A$2:$T$999,7,0),"")</f>
        <v/>
      </c>
      <c r="H275" s="94"/>
      <c r="I275" s="46"/>
      <c r="J275" s="46"/>
      <c r="K275" s="46"/>
      <c r="L275" s="46"/>
      <c r="M275" s="46"/>
      <c r="N275" s="46"/>
      <c r="O275" s="46"/>
      <c r="P275" s="46"/>
      <c r="Q275" s="46"/>
      <c r="R275" s="46"/>
      <c r="S275" s="46"/>
      <c r="T275" s="46"/>
      <c r="U275" s="46"/>
      <c r="V275" s="46"/>
      <c r="W275" s="46"/>
      <c r="X275" s="46"/>
      <c r="Y275" s="46"/>
      <c r="Z275" s="46"/>
      <c r="AA275" s="46"/>
      <c r="AB275" s="46"/>
    </row>
    <row r="276" hidden="1">
      <c r="A276" s="90" t="s">
        <v>493</v>
      </c>
      <c r="B276" s="91" t="str">
        <f>IFERROR(VLOOKUP(A276,'Salary Calculation'!A276:F1273,2,0),"")</f>
        <v/>
      </c>
      <c r="C276" s="91" t="str">
        <f>IFERROR(VLOOKUP(A276,'Salary Calculation'!$A$2:$T$999,3,0),"")</f>
        <v/>
      </c>
      <c r="D276" s="91" t="str">
        <f>IFERROR(VLOOKUP(A276,'Salary Calculation'!$A$2:$T$999,6,0),"")</f>
        <v/>
      </c>
      <c r="E276" s="91" t="str">
        <f>IFERROR(VLOOKUP(A276,'Salary Calculation'!$A$2:$T$999,8,0),"")</f>
        <v/>
      </c>
      <c r="F276" s="92" t="str">
        <f>IFERROR(VLOOKUP(C276,'Employees List'!$B$2:H999,6,0),"")</f>
        <v/>
      </c>
      <c r="G276" s="93" t="str">
        <f>IFERROR(VLOOKUP(A276,'Salary Calculation'!$A$2:$T$999,7,0),"")</f>
        <v/>
      </c>
      <c r="H276" s="94"/>
      <c r="I276" s="46"/>
      <c r="J276" s="46"/>
      <c r="K276" s="46"/>
      <c r="L276" s="46"/>
      <c r="M276" s="46"/>
      <c r="N276" s="46"/>
      <c r="O276" s="46"/>
      <c r="P276" s="46"/>
      <c r="Q276" s="46"/>
      <c r="R276" s="46"/>
      <c r="S276" s="46"/>
      <c r="T276" s="46"/>
      <c r="U276" s="46"/>
      <c r="V276" s="46"/>
      <c r="W276" s="46"/>
      <c r="X276" s="46"/>
      <c r="Y276" s="46"/>
      <c r="Z276" s="46"/>
      <c r="AA276" s="46"/>
      <c r="AB276" s="46"/>
    </row>
    <row r="277" hidden="1">
      <c r="A277" s="90" t="s">
        <v>494</v>
      </c>
      <c r="B277" s="91" t="str">
        <f>IFERROR(VLOOKUP(A277,'Salary Calculation'!A277:F1274,2,0),"")</f>
        <v/>
      </c>
      <c r="C277" s="91" t="str">
        <f>IFERROR(VLOOKUP(A277,'Salary Calculation'!$A$2:$T$999,3,0),"")</f>
        <v/>
      </c>
      <c r="D277" s="91" t="str">
        <f>IFERROR(VLOOKUP(A277,'Salary Calculation'!$A$2:$T$999,6,0),"")</f>
        <v/>
      </c>
      <c r="E277" s="91" t="str">
        <f>IFERROR(VLOOKUP(A277,'Salary Calculation'!$A$2:$T$999,8,0),"")</f>
        <v/>
      </c>
      <c r="F277" s="92" t="str">
        <f>IFERROR(VLOOKUP(C277,'Employees List'!$B$2:H999,6,0),"")</f>
        <v/>
      </c>
      <c r="G277" s="93" t="str">
        <f>IFERROR(VLOOKUP(A277,'Salary Calculation'!$A$2:$T$999,7,0),"")</f>
        <v/>
      </c>
      <c r="H277" s="94"/>
      <c r="I277" s="46"/>
      <c r="J277" s="46"/>
      <c r="K277" s="46"/>
      <c r="L277" s="46"/>
      <c r="M277" s="46"/>
      <c r="N277" s="46"/>
      <c r="O277" s="46"/>
      <c r="P277" s="46"/>
      <c r="Q277" s="46"/>
      <c r="R277" s="46"/>
      <c r="S277" s="46"/>
      <c r="T277" s="46"/>
      <c r="U277" s="46"/>
      <c r="V277" s="46"/>
      <c r="W277" s="46"/>
      <c r="X277" s="46"/>
      <c r="Y277" s="46"/>
      <c r="Z277" s="46"/>
      <c r="AA277" s="46"/>
      <c r="AB277" s="46"/>
    </row>
    <row r="278" hidden="1">
      <c r="A278" s="90" t="s">
        <v>495</v>
      </c>
      <c r="B278" s="91" t="str">
        <f>IFERROR(VLOOKUP(A278,'Salary Calculation'!A278:F1275,2,0),"")</f>
        <v/>
      </c>
      <c r="C278" s="91" t="str">
        <f>IFERROR(VLOOKUP(A278,'Salary Calculation'!$A$2:$T$999,3,0),"")</f>
        <v/>
      </c>
      <c r="D278" s="91" t="str">
        <f>IFERROR(VLOOKUP(A278,'Salary Calculation'!$A$2:$T$999,6,0),"")</f>
        <v/>
      </c>
      <c r="E278" s="91" t="str">
        <f>IFERROR(VLOOKUP(A278,'Salary Calculation'!$A$2:$T$999,8,0),"")</f>
        <v/>
      </c>
      <c r="F278" s="92" t="str">
        <f>IFERROR(VLOOKUP(C278,'Employees List'!$B$2:H999,6,0),"")</f>
        <v/>
      </c>
      <c r="G278" s="93" t="str">
        <f>IFERROR(VLOOKUP(A278,'Salary Calculation'!$A$2:$T$999,7,0),"")</f>
        <v/>
      </c>
      <c r="H278" s="94"/>
      <c r="I278" s="46"/>
      <c r="J278" s="46"/>
      <c r="K278" s="46"/>
      <c r="L278" s="46"/>
      <c r="M278" s="46"/>
      <c r="N278" s="46"/>
      <c r="O278" s="46"/>
      <c r="P278" s="46"/>
      <c r="Q278" s="46"/>
      <c r="R278" s="46"/>
      <c r="S278" s="46"/>
      <c r="T278" s="46"/>
      <c r="U278" s="46"/>
      <c r="V278" s="46"/>
      <c r="W278" s="46"/>
      <c r="X278" s="46"/>
      <c r="Y278" s="46"/>
      <c r="Z278" s="46"/>
      <c r="AA278" s="46"/>
      <c r="AB278" s="46"/>
    </row>
    <row r="279" hidden="1">
      <c r="A279" s="90" t="s">
        <v>496</v>
      </c>
      <c r="B279" s="91" t="str">
        <f>IFERROR(VLOOKUP(A279,'Salary Calculation'!A279:F1276,2,0),"")</f>
        <v/>
      </c>
      <c r="C279" s="91" t="str">
        <f>IFERROR(VLOOKUP(A279,'Salary Calculation'!$A$2:$T$999,3,0),"")</f>
        <v/>
      </c>
      <c r="D279" s="91" t="str">
        <f>IFERROR(VLOOKUP(A279,'Salary Calculation'!$A$2:$T$999,6,0),"")</f>
        <v/>
      </c>
      <c r="E279" s="91" t="str">
        <f>IFERROR(VLOOKUP(A279,'Salary Calculation'!$A$2:$T$999,8,0),"")</f>
        <v/>
      </c>
      <c r="F279" s="92" t="str">
        <f>IFERROR(VLOOKUP(C279,'Employees List'!$B$2:H999,6,0),"")</f>
        <v/>
      </c>
      <c r="G279" s="93" t="str">
        <f>IFERROR(VLOOKUP(A279,'Salary Calculation'!$A$2:$T$999,7,0),"")</f>
        <v/>
      </c>
      <c r="H279" s="94"/>
      <c r="I279" s="46"/>
      <c r="J279" s="46"/>
      <c r="K279" s="46"/>
      <c r="L279" s="46"/>
      <c r="M279" s="46"/>
      <c r="N279" s="46"/>
      <c r="O279" s="46"/>
      <c r="P279" s="46"/>
      <c r="Q279" s="46"/>
      <c r="R279" s="46"/>
      <c r="S279" s="46"/>
      <c r="T279" s="46"/>
      <c r="U279" s="46"/>
      <c r="V279" s="46"/>
      <c r="W279" s="46"/>
      <c r="X279" s="46"/>
      <c r="Y279" s="46"/>
      <c r="Z279" s="46"/>
      <c r="AA279" s="46"/>
      <c r="AB279" s="46"/>
    </row>
    <row r="280" hidden="1">
      <c r="A280" s="90" t="s">
        <v>497</v>
      </c>
      <c r="B280" s="91" t="str">
        <f>IFERROR(VLOOKUP(A280,'Salary Calculation'!A280:F1277,2,0),"")</f>
        <v/>
      </c>
      <c r="C280" s="91" t="str">
        <f>IFERROR(VLOOKUP(A280,'Salary Calculation'!$A$2:$T$999,3,0),"")</f>
        <v/>
      </c>
      <c r="D280" s="91" t="str">
        <f>IFERROR(VLOOKUP(A280,'Salary Calculation'!$A$2:$T$999,6,0),"")</f>
        <v/>
      </c>
      <c r="E280" s="91" t="str">
        <f>IFERROR(VLOOKUP(A280,'Salary Calculation'!$A$2:$T$999,8,0),"")</f>
        <v/>
      </c>
      <c r="F280" s="92" t="str">
        <f>IFERROR(VLOOKUP(C280,'Employees List'!$B$2:H999,6,0),"")</f>
        <v/>
      </c>
      <c r="G280" s="93" t="str">
        <f>IFERROR(VLOOKUP(A280,'Salary Calculation'!$A$2:$T$999,7,0),"")</f>
        <v/>
      </c>
      <c r="H280" s="94"/>
      <c r="I280" s="46"/>
      <c r="J280" s="46"/>
      <c r="K280" s="46"/>
      <c r="L280" s="46"/>
      <c r="M280" s="46"/>
      <c r="N280" s="46"/>
      <c r="O280" s="46"/>
      <c r="P280" s="46"/>
      <c r="Q280" s="46"/>
      <c r="R280" s="46"/>
      <c r="S280" s="46"/>
      <c r="T280" s="46"/>
      <c r="U280" s="46"/>
      <c r="V280" s="46"/>
      <c r="W280" s="46"/>
      <c r="X280" s="46"/>
      <c r="Y280" s="46"/>
      <c r="Z280" s="46"/>
      <c r="AA280" s="46"/>
      <c r="AB280" s="46"/>
    </row>
    <row r="281" hidden="1">
      <c r="A281" s="90" t="s">
        <v>498</v>
      </c>
      <c r="B281" s="91" t="str">
        <f>IFERROR(VLOOKUP(A281,'Salary Calculation'!A281:F1278,2,0),"")</f>
        <v/>
      </c>
      <c r="C281" s="91" t="str">
        <f>IFERROR(VLOOKUP(A281,'Salary Calculation'!$A$2:$T$999,3,0),"")</f>
        <v/>
      </c>
      <c r="D281" s="91" t="str">
        <f>IFERROR(VLOOKUP(A281,'Salary Calculation'!$A$2:$T$999,6,0),"")</f>
        <v/>
      </c>
      <c r="E281" s="91" t="str">
        <f>IFERROR(VLOOKUP(A281,'Salary Calculation'!$A$2:$T$999,8,0),"")</f>
        <v/>
      </c>
      <c r="F281" s="92" t="str">
        <f>IFERROR(VLOOKUP(C281,'Employees List'!$B$2:H999,6,0),"")</f>
        <v/>
      </c>
      <c r="G281" s="93" t="str">
        <f>IFERROR(VLOOKUP(A281,'Salary Calculation'!$A$2:$T$999,7,0),"")</f>
        <v/>
      </c>
      <c r="H281" s="94"/>
      <c r="I281" s="46"/>
      <c r="J281" s="46"/>
      <c r="K281" s="46"/>
      <c r="L281" s="46"/>
      <c r="M281" s="46"/>
      <c r="N281" s="46"/>
      <c r="O281" s="46"/>
      <c r="P281" s="46"/>
      <c r="Q281" s="46"/>
      <c r="R281" s="46"/>
      <c r="S281" s="46"/>
      <c r="T281" s="46"/>
      <c r="U281" s="46"/>
      <c r="V281" s="46"/>
      <c r="W281" s="46"/>
      <c r="X281" s="46"/>
      <c r="Y281" s="46"/>
      <c r="Z281" s="46"/>
      <c r="AA281" s="46"/>
      <c r="AB281" s="46"/>
    </row>
    <row r="282" hidden="1">
      <c r="A282" s="90" t="s">
        <v>499</v>
      </c>
      <c r="B282" s="91" t="str">
        <f>IFERROR(VLOOKUP(A282,'Salary Calculation'!A282:F1279,2,0),"")</f>
        <v/>
      </c>
      <c r="C282" s="91" t="str">
        <f>IFERROR(VLOOKUP(A282,'Salary Calculation'!$A$2:$T$999,3,0),"")</f>
        <v/>
      </c>
      <c r="D282" s="91" t="str">
        <f>IFERROR(VLOOKUP(A282,'Salary Calculation'!$A$2:$T$999,6,0),"")</f>
        <v/>
      </c>
      <c r="E282" s="91" t="str">
        <f>IFERROR(VLOOKUP(A282,'Salary Calculation'!$A$2:$T$999,8,0),"")</f>
        <v/>
      </c>
      <c r="F282" s="92" t="str">
        <f>IFERROR(VLOOKUP(C282,'Employees List'!$B$2:H999,6,0),"")</f>
        <v/>
      </c>
      <c r="G282" s="93" t="str">
        <f>IFERROR(VLOOKUP(A282,'Salary Calculation'!$A$2:$T$999,7,0),"")</f>
        <v/>
      </c>
      <c r="H282" s="94"/>
      <c r="I282" s="46"/>
      <c r="J282" s="46"/>
      <c r="K282" s="46"/>
      <c r="L282" s="46"/>
      <c r="M282" s="46"/>
      <c r="N282" s="46"/>
      <c r="O282" s="46"/>
      <c r="P282" s="46"/>
      <c r="Q282" s="46"/>
      <c r="R282" s="46"/>
      <c r="S282" s="46"/>
      <c r="T282" s="46"/>
      <c r="U282" s="46"/>
      <c r="V282" s="46"/>
      <c r="W282" s="46"/>
      <c r="X282" s="46"/>
      <c r="Y282" s="46"/>
      <c r="Z282" s="46"/>
      <c r="AA282" s="46"/>
      <c r="AB282" s="46"/>
    </row>
    <row r="283" hidden="1">
      <c r="A283" s="90" t="s">
        <v>500</v>
      </c>
      <c r="B283" s="91" t="str">
        <f>IFERROR(VLOOKUP(A283,'Salary Calculation'!A283:F1280,2,0),"")</f>
        <v/>
      </c>
      <c r="C283" s="91" t="str">
        <f>IFERROR(VLOOKUP(A283,'Salary Calculation'!$A$2:$T$999,3,0),"")</f>
        <v/>
      </c>
      <c r="D283" s="91" t="str">
        <f>IFERROR(VLOOKUP(A283,'Salary Calculation'!$A$2:$T$999,6,0),"")</f>
        <v/>
      </c>
      <c r="E283" s="91" t="str">
        <f>IFERROR(VLOOKUP(A283,'Salary Calculation'!$A$2:$T$999,8,0),"")</f>
        <v/>
      </c>
      <c r="F283" s="92" t="str">
        <f>IFERROR(VLOOKUP(C283,'Employees List'!$B$2:H999,6,0),"")</f>
        <v/>
      </c>
      <c r="G283" s="93" t="str">
        <f>IFERROR(VLOOKUP(A283,'Salary Calculation'!$A$2:$T$999,7,0),"")</f>
        <v/>
      </c>
      <c r="H283" s="94"/>
      <c r="I283" s="46"/>
      <c r="J283" s="46"/>
      <c r="K283" s="46"/>
      <c r="L283" s="46"/>
      <c r="M283" s="46"/>
      <c r="N283" s="46"/>
      <c r="O283" s="46"/>
      <c r="P283" s="46"/>
      <c r="Q283" s="46"/>
      <c r="R283" s="46"/>
      <c r="S283" s="46"/>
      <c r="T283" s="46"/>
      <c r="U283" s="46"/>
      <c r="V283" s="46"/>
      <c r="W283" s="46"/>
      <c r="X283" s="46"/>
      <c r="Y283" s="46"/>
      <c r="Z283" s="46"/>
      <c r="AA283" s="46"/>
      <c r="AB283" s="46"/>
    </row>
    <row r="284" hidden="1">
      <c r="A284" s="90" t="s">
        <v>501</v>
      </c>
      <c r="B284" s="91" t="str">
        <f>IFERROR(VLOOKUP(A284,'Salary Calculation'!A284:F1281,2,0),"")</f>
        <v/>
      </c>
      <c r="C284" s="91" t="str">
        <f>IFERROR(VLOOKUP(A284,'Salary Calculation'!$A$2:$T$999,3,0),"")</f>
        <v/>
      </c>
      <c r="D284" s="91" t="str">
        <f>IFERROR(VLOOKUP(A284,'Salary Calculation'!$A$2:$T$999,6,0),"")</f>
        <v/>
      </c>
      <c r="E284" s="91" t="str">
        <f>IFERROR(VLOOKUP(A284,'Salary Calculation'!$A$2:$T$999,8,0),"")</f>
        <v/>
      </c>
      <c r="F284" s="92" t="str">
        <f>IFERROR(VLOOKUP(C284,'Employees List'!$B$2:H999,6,0),"")</f>
        <v/>
      </c>
      <c r="G284" s="93" t="str">
        <f>IFERROR(VLOOKUP(A284,'Salary Calculation'!$A$2:$T$999,7,0),"")</f>
        <v/>
      </c>
      <c r="H284" s="94"/>
      <c r="I284" s="46"/>
      <c r="J284" s="46"/>
      <c r="K284" s="46"/>
      <c r="L284" s="46"/>
      <c r="M284" s="46"/>
      <c r="N284" s="46"/>
      <c r="O284" s="46"/>
      <c r="P284" s="46"/>
      <c r="Q284" s="46"/>
      <c r="R284" s="46"/>
      <c r="S284" s="46"/>
      <c r="T284" s="46"/>
      <c r="U284" s="46"/>
      <c r="V284" s="46"/>
      <c r="W284" s="46"/>
      <c r="X284" s="46"/>
      <c r="Y284" s="46"/>
      <c r="Z284" s="46"/>
      <c r="AA284" s="46"/>
      <c r="AB284" s="46"/>
    </row>
    <row r="285" hidden="1">
      <c r="A285" s="90" t="s">
        <v>502</v>
      </c>
      <c r="B285" s="91" t="str">
        <f>IFERROR(VLOOKUP(A285,'Salary Calculation'!A285:F1282,2,0),"")</f>
        <v/>
      </c>
      <c r="C285" s="91" t="str">
        <f>IFERROR(VLOOKUP(A285,'Salary Calculation'!$A$2:$T$999,3,0),"")</f>
        <v/>
      </c>
      <c r="D285" s="91" t="str">
        <f>IFERROR(VLOOKUP(A285,'Salary Calculation'!$A$2:$T$999,6,0),"")</f>
        <v/>
      </c>
      <c r="E285" s="91" t="str">
        <f>IFERROR(VLOOKUP(A285,'Salary Calculation'!$A$2:$T$999,8,0),"")</f>
        <v/>
      </c>
      <c r="F285" s="92" t="str">
        <f>IFERROR(VLOOKUP(C285,'Employees List'!$B$2:H999,6,0),"")</f>
        <v/>
      </c>
      <c r="G285" s="93" t="str">
        <f>IFERROR(VLOOKUP(A285,'Salary Calculation'!$A$2:$T$999,7,0),"")</f>
        <v/>
      </c>
      <c r="H285" s="94"/>
      <c r="I285" s="46"/>
      <c r="J285" s="46"/>
      <c r="K285" s="46"/>
      <c r="L285" s="46"/>
      <c r="M285" s="46"/>
      <c r="N285" s="46"/>
      <c r="O285" s="46"/>
      <c r="P285" s="46"/>
      <c r="Q285" s="46"/>
      <c r="R285" s="46"/>
      <c r="S285" s="46"/>
      <c r="T285" s="46"/>
      <c r="U285" s="46"/>
      <c r="V285" s="46"/>
      <c r="W285" s="46"/>
      <c r="X285" s="46"/>
      <c r="Y285" s="46"/>
      <c r="Z285" s="46"/>
      <c r="AA285" s="46"/>
      <c r="AB285" s="46"/>
    </row>
    <row r="286" hidden="1">
      <c r="A286" s="90" t="s">
        <v>503</v>
      </c>
      <c r="B286" s="91" t="str">
        <f>IFERROR(VLOOKUP(A286,'Salary Calculation'!A286:F1283,2,0),"")</f>
        <v/>
      </c>
      <c r="C286" s="91" t="str">
        <f>IFERROR(VLOOKUP(A286,'Salary Calculation'!$A$2:$T$999,3,0),"")</f>
        <v/>
      </c>
      <c r="D286" s="91" t="str">
        <f>IFERROR(VLOOKUP(A286,'Salary Calculation'!$A$2:$T$999,6,0),"")</f>
        <v/>
      </c>
      <c r="E286" s="91" t="str">
        <f>IFERROR(VLOOKUP(A286,'Salary Calculation'!$A$2:$T$999,8,0),"")</f>
        <v/>
      </c>
      <c r="F286" s="92" t="str">
        <f>IFERROR(VLOOKUP(C286,'Employees List'!$B$2:H999,6,0),"")</f>
        <v/>
      </c>
      <c r="G286" s="93" t="str">
        <f>IFERROR(VLOOKUP(A286,'Salary Calculation'!$A$2:$T$999,7,0),"")</f>
        <v/>
      </c>
      <c r="H286" s="94"/>
      <c r="I286" s="46"/>
      <c r="J286" s="46"/>
      <c r="K286" s="46"/>
      <c r="L286" s="46"/>
      <c r="M286" s="46"/>
      <c r="N286" s="46"/>
      <c r="O286" s="46"/>
      <c r="P286" s="46"/>
      <c r="Q286" s="46"/>
      <c r="R286" s="46"/>
      <c r="S286" s="46"/>
      <c r="T286" s="46"/>
      <c r="U286" s="46"/>
      <c r="V286" s="46"/>
      <c r="W286" s="46"/>
      <c r="X286" s="46"/>
      <c r="Y286" s="46"/>
      <c r="Z286" s="46"/>
      <c r="AA286" s="46"/>
      <c r="AB286" s="46"/>
    </row>
    <row r="287" hidden="1">
      <c r="A287" s="90" t="s">
        <v>504</v>
      </c>
      <c r="B287" s="91" t="str">
        <f>IFERROR(VLOOKUP(A287,'Salary Calculation'!A287:F1284,2,0),"")</f>
        <v/>
      </c>
      <c r="C287" s="91" t="str">
        <f>IFERROR(VLOOKUP(A287,'Salary Calculation'!$A$2:$T$999,3,0),"")</f>
        <v/>
      </c>
      <c r="D287" s="91" t="str">
        <f>IFERROR(VLOOKUP(A287,'Salary Calculation'!$A$2:$T$999,6,0),"")</f>
        <v/>
      </c>
      <c r="E287" s="91" t="str">
        <f>IFERROR(VLOOKUP(A287,'Salary Calculation'!$A$2:$T$999,8,0),"")</f>
        <v/>
      </c>
      <c r="F287" s="92" t="str">
        <f>IFERROR(VLOOKUP(C287,'Employees List'!$B$2:H999,6,0),"")</f>
        <v/>
      </c>
      <c r="G287" s="93" t="str">
        <f>IFERROR(VLOOKUP(A287,'Salary Calculation'!$A$2:$T$999,7,0),"")</f>
        <v/>
      </c>
      <c r="H287" s="94"/>
      <c r="I287" s="46"/>
      <c r="J287" s="46"/>
      <c r="K287" s="46"/>
      <c r="L287" s="46"/>
      <c r="M287" s="46"/>
      <c r="N287" s="46"/>
      <c r="O287" s="46"/>
      <c r="P287" s="46"/>
      <c r="Q287" s="46"/>
      <c r="R287" s="46"/>
      <c r="S287" s="46"/>
      <c r="T287" s="46"/>
      <c r="U287" s="46"/>
      <c r="V287" s="46"/>
      <c r="W287" s="46"/>
      <c r="X287" s="46"/>
      <c r="Y287" s="46"/>
      <c r="Z287" s="46"/>
      <c r="AA287" s="46"/>
      <c r="AB287" s="46"/>
    </row>
    <row r="288" hidden="1">
      <c r="A288" s="90" t="s">
        <v>505</v>
      </c>
      <c r="B288" s="91" t="str">
        <f>IFERROR(VLOOKUP(A288,'Salary Calculation'!A288:F1285,2,0),"")</f>
        <v/>
      </c>
      <c r="C288" s="91" t="str">
        <f>IFERROR(VLOOKUP(A288,'Salary Calculation'!$A$2:$T$999,3,0),"")</f>
        <v/>
      </c>
      <c r="D288" s="91" t="str">
        <f>IFERROR(VLOOKUP(A288,'Salary Calculation'!$A$2:$T$999,6,0),"")</f>
        <v/>
      </c>
      <c r="E288" s="91" t="str">
        <f>IFERROR(VLOOKUP(A288,'Salary Calculation'!$A$2:$T$999,8,0),"")</f>
        <v/>
      </c>
      <c r="F288" s="92" t="str">
        <f>IFERROR(VLOOKUP(C288,'Employees List'!$B$2:H999,6,0),"")</f>
        <v/>
      </c>
      <c r="G288" s="93" t="str">
        <f>IFERROR(VLOOKUP(A288,'Salary Calculation'!$A$2:$T$999,7,0),"")</f>
        <v/>
      </c>
      <c r="H288" s="94"/>
      <c r="I288" s="46"/>
      <c r="J288" s="46"/>
      <c r="K288" s="46"/>
      <c r="L288" s="46"/>
      <c r="M288" s="46"/>
      <c r="N288" s="46"/>
      <c r="O288" s="46"/>
      <c r="P288" s="46"/>
      <c r="Q288" s="46"/>
      <c r="R288" s="46"/>
      <c r="S288" s="46"/>
      <c r="T288" s="46"/>
      <c r="U288" s="46"/>
      <c r="V288" s="46"/>
      <c r="W288" s="46"/>
      <c r="X288" s="46"/>
      <c r="Y288" s="46"/>
      <c r="Z288" s="46"/>
      <c r="AA288" s="46"/>
      <c r="AB288" s="46"/>
    </row>
    <row r="289" hidden="1">
      <c r="A289" s="90" t="s">
        <v>506</v>
      </c>
      <c r="B289" s="91" t="str">
        <f>IFERROR(VLOOKUP(A289,'Salary Calculation'!A289:F1286,2,0),"")</f>
        <v/>
      </c>
      <c r="C289" s="91" t="str">
        <f>IFERROR(VLOOKUP(A289,'Salary Calculation'!$A$2:$T$999,3,0),"")</f>
        <v/>
      </c>
      <c r="D289" s="91" t="str">
        <f>IFERROR(VLOOKUP(A289,'Salary Calculation'!$A$2:$T$999,6,0),"")</f>
        <v/>
      </c>
      <c r="E289" s="91" t="str">
        <f>IFERROR(VLOOKUP(A289,'Salary Calculation'!$A$2:$T$999,8,0),"")</f>
        <v/>
      </c>
      <c r="F289" s="92" t="str">
        <f>IFERROR(VLOOKUP(C289,'Employees List'!$B$2:H999,6,0),"")</f>
        <v/>
      </c>
      <c r="G289" s="93" t="str">
        <f>IFERROR(VLOOKUP(A289,'Salary Calculation'!$A$2:$T$999,7,0),"")</f>
        <v/>
      </c>
      <c r="H289" s="94"/>
      <c r="I289" s="46"/>
      <c r="J289" s="46"/>
      <c r="K289" s="46"/>
      <c r="L289" s="46"/>
      <c r="M289" s="46"/>
      <c r="N289" s="46"/>
      <c r="O289" s="46"/>
      <c r="P289" s="46"/>
      <c r="Q289" s="46"/>
      <c r="R289" s="46"/>
      <c r="S289" s="46"/>
      <c r="T289" s="46"/>
      <c r="U289" s="46"/>
      <c r="V289" s="46"/>
      <c r="W289" s="46"/>
      <c r="X289" s="46"/>
      <c r="Y289" s="46"/>
      <c r="Z289" s="46"/>
      <c r="AA289" s="46"/>
      <c r="AB289" s="46"/>
    </row>
    <row r="290" hidden="1">
      <c r="A290" s="90" t="s">
        <v>507</v>
      </c>
      <c r="B290" s="91" t="str">
        <f>IFERROR(VLOOKUP(A290,'Salary Calculation'!A290:F1287,2,0),"")</f>
        <v/>
      </c>
      <c r="C290" s="91" t="str">
        <f>IFERROR(VLOOKUP(A290,'Salary Calculation'!$A$2:$T$999,3,0),"")</f>
        <v/>
      </c>
      <c r="D290" s="91" t="str">
        <f>IFERROR(VLOOKUP(A290,'Salary Calculation'!$A$2:$T$999,6,0),"")</f>
        <v/>
      </c>
      <c r="E290" s="91" t="str">
        <f>IFERROR(VLOOKUP(A290,'Salary Calculation'!$A$2:$T$999,8,0),"")</f>
        <v/>
      </c>
      <c r="F290" s="92" t="str">
        <f>IFERROR(VLOOKUP(C290,'Employees List'!$B$2:H999,6,0),"")</f>
        <v/>
      </c>
      <c r="G290" s="93" t="str">
        <f>IFERROR(VLOOKUP(A290,'Salary Calculation'!$A$2:$T$999,7,0),"")</f>
        <v/>
      </c>
      <c r="H290" s="94"/>
      <c r="I290" s="46"/>
      <c r="J290" s="46"/>
      <c r="K290" s="46"/>
      <c r="L290" s="46"/>
      <c r="M290" s="46"/>
      <c r="N290" s="46"/>
      <c r="O290" s="46"/>
      <c r="P290" s="46"/>
      <c r="Q290" s="46"/>
      <c r="R290" s="46"/>
      <c r="S290" s="46"/>
      <c r="T290" s="46"/>
      <c r="U290" s="46"/>
      <c r="V290" s="46"/>
      <c r="W290" s="46"/>
      <c r="X290" s="46"/>
      <c r="Y290" s="46"/>
      <c r="Z290" s="46"/>
      <c r="AA290" s="46"/>
      <c r="AB290" s="46"/>
    </row>
    <row r="291" hidden="1">
      <c r="A291" s="90" t="s">
        <v>508</v>
      </c>
      <c r="B291" s="91" t="str">
        <f>IFERROR(VLOOKUP(A291,'Salary Calculation'!A291:F1288,2,0),"")</f>
        <v/>
      </c>
      <c r="C291" s="91" t="str">
        <f>IFERROR(VLOOKUP(A291,'Salary Calculation'!$A$2:$T$999,3,0),"")</f>
        <v/>
      </c>
      <c r="D291" s="91" t="str">
        <f>IFERROR(VLOOKUP(A291,'Salary Calculation'!$A$2:$T$999,6,0),"")</f>
        <v/>
      </c>
      <c r="E291" s="91" t="str">
        <f>IFERROR(VLOOKUP(A291,'Salary Calculation'!$A$2:$T$999,8,0),"")</f>
        <v/>
      </c>
      <c r="F291" s="92" t="str">
        <f>IFERROR(VLOOKUP(C291,'Employees List'!$B$2:H999,6,0),"")</f>
        <v/>
      </c>
      <c r="G291" s="93" t="str">
        <f>IFERROR(VLOOKUP(A291,'Salary Calculation'!$A$2:$T$999,7,0),"")</f>
        <v/>
      </c>
      <c r="H291" s="94"/>
      <c r="I291" s="46"/>
      <c r="J291" s="46"/>
      <c r="K291" s="46"/>
      <c r="L291" s="46"/>
      <c r="M291" s="46"/>
      <c r="N291" s="46"/>
      <c r="O291" s="46"/>
      <c r="P291" s="46"/>
      <c r="Q291" s="46"/>
      <c r="R291" s="46"/>
      <c r="S291" s="46"/>
      <c r="T291" s="46"/>
      <c r="U291" s="46"/>
      <c r="V291" s="46"/>
      <c r="W291" s="46"/>
      <c r="X291" s="46"/>
      <c r="Y291" s="46"/>
      <c r="Z291" s="46"/>
      <c r="AA291" s="46"/>
      <c r="AB291" s="46"/>
    </row>
    <row r="292" hidden="1">
      <c r="A292" s="90" t="s">
        <v>509</v>
      </c>
      <c r="B292" s="91" t="str">
        <f>IFERROR(VLOOKUP(A292,'Salary Calculation'!A292:F1289,2,0),"")</f>
        <v/>
      </c>
      <c r="C292" s="91" t="str">
        <f>IFERROR(VLOOKUP(A292,'Salary Calculation'!$A$2:$T$999,3,0),"")</f>
        <v/>
      </c>
      <c r="D292" s="91" t="str">
        <f>IFERROR(VLOOKUP(A292,'Salary Calculation'!$A$2:$T$999,6,0),"")</f>
        <v/>
      </c>
      <c r="E292" s="91" t="str">
        <f>IFERROR(VLOOKUP(A292,'Salary Calculation'!$A$2:$T$999,8,0),"")</f>
        <v/>
      </c>
      <c r="F292" s="92" t="str">
        <f>IFERROR(VLOOKUP(C292,'Employees List'!$B$2:H999,6,0),"")</f>
        <v/>
      </c>
      <c r="G292" s="93" t="str">
        <f>IFERROR(VLOOKUP(A292,'Salary Calculation'!$A$2:$T$999,7,0),"")</f>
        <v/>
      </c>
      <c r="H292" s="94"/>
      <c r="I292" s="46"/>
      <c r="J292" s="46"/>
      <c r="K292" s="46"/>
      <c r="L292" s="46"/>
      <c r="M292" s="46"/>
      <c r="N292" s="46"/>
      <c r="O292" s="46"/>
      <c r="P292" s="46"/>
      <c r="Q292" s="46"/>
      <c r="R292" s="46"/>
      <c r="S292" s="46"/>
      <c r="T292" s="46"/>
      <c r="U292" s="46"/>
      <c r="V292" s="46"/>
      <c r="W292" s="46"/>
      <c r="X292" s="46"/>
      <c r="Y292" s="46"/>
      <c r="Z292" s="46"/>
      <c r="AA292" s="46"/>
      <c r="AB292" s="46"/>
    </row>
    <row r="293" hidden="1">
      <c r="A293" s="90" t="s">
        <v>510</v>
      </c>
      <c r="B293" s="91" t="str">
        <f>IFERROR(VLOOKUP(A293,'Salary Calculation'!A293:F1290,2,0),"")</f>
        <v/>
      </c>
      <c r="C293" s="91" t="str">
        <f>IFERROR(VLOOKUP(A293,'Salary Calculation'!$A$2:$T$999,3,0),"")</f>
        <v/>
      </c>
      <c r="D293" s="91" t="str">
        <f>IFERROR(VLOOKUP(A293,'Salary Calculation'!$A$2:$T$999,6,0),"")</f>
        <v/>
      </c>
      <c r="E293" s="91" t="str">
        <f>IFERROR(VLOOKUP(A293,'Salary Calculation'!$A$2:$T$999,8,0),"")</f>
        <v/>
      </c>
      <c r="F293" s="92" t="str">
        <f>IFERROR(VLOOKUP(C293,'Employees List'!$B$2:H999,6,0),"")</f>
        <v/>
      </c>
      <c r="G293" s="93" t="str">
        <f>IFERROR(VLOOKUP(A293,'Salary Calculation'!$A$2:$T$999,7,0),"")</f>
        <v/>
      </c>
      <c r="H293" s="94"/>
      <c r="I293" s="46"/>
      <c r="J293" s="46"/>
      <c r="K293" s="46"/>
      <c r="L293" s="46"/>
      <c r="M293" s="46"/>
      <c r="N293" s="46"/>
      <c r="O293" s="46"/>
      <c r="P293" s="46"/>
      <c r="Q293" s="46"/>
      <c r="R293" s="46"/>
      <c r="S293" s="46"/>
      <c r="T293" s="46"/>
      <c r="U293" s="46"/>
      <c r="V293" s="46"/>
      <c r="W293" s="46"/>
      <c r="X293" s="46"/>
      <c r="Y293" s="46"/>
      <c r="Z293" s="46"/>
      <c r="AA293" s="46"/>
      <c r="AB293" s="46"/>
    </row>
    <row r="294" hidden="1">
      <c r="A294" s="90" t="s">
        <v>511</v>
      </c>
      <c r="B294" s="91" t="str">
        <f>IFERROR(VLOOKUP(A294,'Salary Calculation'!A294:F1291,2,0),"")</f>
        <v/>
      </c>
      <c r="C294" s="91" t="str">
        <f>IFERROR(VLOOKUP(A294,'Salary Calculation'!$A$2:$T$999,3,0),"")</f>
        <v/>
      </c>
      <c r="D294" s="91" t="str">
        <f>IFERROR(VLOOKUP(A294,'Salary Calculation'!$A$2:$T$999,6,0),"")</f>
        <v/>
      </c>
      <c r="E294" s="91" t="str">
        <f>IFERROR(VLOOKUP(A294,'Salary Calculation'!$A$2:$T$999,8,0),"")</f>
        <v/>
      </c>
      <c r="F294" s="92" t="str">
        <f>IFERROR(VLOOKUP(C294,'Employees List'!$B$2:H999,6,0),"")</f>
        <v/>
      </c>
      <c r="G294" s="93" t="str">
        <f>IFERROR(VLOOKUP(A294,'Salary Calculation'!$A$2:$T$999,7,0),"")</f>
        <v/>
      </c>
      <c r="H294" s="94"/>
      <c r="I294" s="46"/>
      <c r="J294" s="46"/>
      <c r="K294" s="46"/>
      <c r="L294" s="46"/>
      <c r="M294" s="46"/>
      <c r="N294" s="46"/>
      <c r="O294" s="46"/>
      <c r="P294" s="46"/>
      <c r="Q294" s="46"/>
      <c r="R294" s="46"/>
      <c r="S294" s="46"/>
      <c r="T294" s="46"/>
      <c r="U294" s="46"/>
      <c r="V294" s="46"/>
      <c r="W294" s="46"/>
      <c r="X294" s="46"/>
      <c r="Y294" s="46"/>
      <c r="Z294" s="46"/>
      <c r="AA294" s="46"/>
      <c r="AB294" s="46"/>
    </row>
    <row r="295" hidden="1">
      <c r="A295" s="90" t="s">
        <v>512</v>
      </c>
      <c r="B295" s="91" t="str">
        <f>IFERROR(VLOOKUP(A295,'Salary Calculation'!A295:F1292,2,0),"")</f>
        <v/>
      </c>
      <c r="C295" s="91" t="str">
        <f>IFERROR(VLOOKUP(A295,'Salary Calculation'!$A$2:$T$999,3,0),"")</f>
        <v/>
      </c>
      <c r="D295" s="91" t="str">
        <f>IFERROR(VLOOKUP(A295,'Salary Calculation'!$A$2:$T$999,6,0),"")</f>
        <v/>
      </c>
      <c r="E295" s="91" t="str">
        <f>IFERROR(VLOOKUP(A295,'Salary Calculation'!$A$2:$T$999,8,0),"")</f>
        <v/>
      </c>
      <c r="F295" s="92" t="str">
        <f>IFERROR(VLOOKUP(C295,'Employees List'!$B$2:H999,6,0),"")</f>
        <v/>
      </c>
      <c r="G295" s="93" t="str">
        <f>IFERROR(VLOOKUP(A295,'Salary Calculation'!$A$2:$T$999,7,0),"")</f>
        <v/>
      </c>
      <c r="H295" s="94"/>
      <c r="I295" s="46"/>
      <c r="J295" s="46"/>
      <c r="K295" s="46"/>
      <c r="L295" s="46"/>
      <c r="M295" s="46"/>
      <c r="N295" s="46"/>
      <c r="O295" s="46"/>
      <c r="P295" s="46"/>
      <c r="Q295" s="46"/>
      <c r="R295" s="46"/>
      <c r="S295" s="46"/>
      <c r="T295" s="46"/>
      <c r="U295" s="46"/>
      <c r="V295" s="46"/>
      <c r="W295" s="46"/>
      <c r="X295" s="46"/>
      <c r="Y295" s="46"/>
      <c r="Z295" s="46"/>
      <c r="AA295" s="46"/>
      <c r="AB295" s="46"/>
    </row>
    <row r="296" hidden="1">
      <c r="A296" s="90" t="s">
        <v>513</v>
      </c>
      <c r="B296" s="91" t="str">
        <f>IFERROR(VLOOKUP(A296,'Salary Calculation'!A296:F1293,2,0),"")</f>
        <v/>
      </c>
      <c r="C296" s="91" t="str">
        <f>IFERROR(VLOOKUP(A296,'Salary Calculation'!$A$2:$T$999,3,0),"")</f>
        <v/>
      </c>
      <c r="D296" s="91" t="str">
        <f>IFERROR(VLOOKUP(A296,'Salary Calculation'!$A$2:$T$999,6,0),"")</f>
        <v/>
      </c>
      <c r="E296" s="91" t="str">
        <f>IFERROR(VLOOKUP(A296,'Salary Calculation'!$A$2:$T$999,8,0),"")</f>
        <v/>
      </c>
      <c r="F296" s="92" t="str">
        <f>IFERROR(VLOOKUP(C296,'Employees List'!$B$2:H999,6,0),"")</f>
        <v/>
      </c>
      <c r="G296" s="93" t="str">
        <f>IFERROR(VLOOKUP(A296,'Salary Calculation'!$A$2:$T$999,7,0),"")</f>
        <v/>
      </c>
      <c r="H296" s="94"/>
      <c r="I296" s="46"/>
      <c r="J296" s="46"/>
      <c r="K296" s="46"/>
      <c r="L296" s="46"/>
      <c r="M296" s="46"/>
      <c r="N296" s="46"/>
      <c r="O296" s="46"/>
      <c r="P296" s="46"/>
      <c r="Q296" s="46"/>
      <c r="R296" s="46"/>
      <c r="S296" s="46"/>
      <c r="T296" s="46"/>
      <c r="U296" s="46"/>
      <c r="V296" s="46"/>
      <c r="W296" s="46"/>
      <c r="X296" s="46"/>
      <c r="Y296" s="46"/>
      <c r="Z296" s="46"/>
      <c r="AA296" s="46"/>
      <c r="AB296" s="46"/>
    </row>
    <row r="297" hidden="1">
      <c r="A297" s="90" t="s">
        <v>514</v>
      </c>
      <c r="B297" s="91" t="str">
        <f>IFERROR(VLOOKUP(A297,'Salary Calculation'!A297:F1294,2,0),"")</f>
        <v/>
      </c>
      <c r="C297" s="91" t="str">
        <f>IFERROR(VLOOKUP(A297,'Salary Calculation'!$A$2:$T$999,3,0),"")</f>
        <v/>
      </c>
      <c r="D297" s="91" t="str">
        <f>IFERROR(VLOOKUP(A297,'Salary Calculation'!$A$2:$T$999,6,0),"")</f>
        <v/>
      </c>
      <c r="E297" s="91" t="str">
        <f>IFERROR(VLOOKUP(A297,'Salary Calculation'!$A$2:$T$999,8,0),"")</f>
        <v/>
      </c>
      <c r="F297" s="92" t="str">
        <f>IFERROR(VLOOKUP(C297,'Employees List'!$B$2:H999,6,0),"")</f>
        <v/>
      </c>
      <c r="G297" s="93" t="str">
        <f>IFERROR(VLOOKUP(A297,'Salary Calculation'!$A$2:$T$999,7,0),"")</f>
        <v/>
      </c>
      <c r="H297" s="94"/>
      <c r="I297" s="46"/>
      <c r="J297" s="46"/>
      <c r="K297" s="46"/>
      <c r="L297" s="46"/>
      <c r="M297" s="46"/>
      <c r="N297" s="46"/>
      <c r="O297" s="46"/>
      <c r="P297" s="46"/>
      <c r="Q297" s="46"/>
      <c r="R297" s="46"/>
      <c r="S297" s="46"/>
      <c r="T297" s="46"/>
      <c r="U297" s="46"/>
      <c r="V297" s="46"/>
      <c r="W297" s="46"/>
      <c r="X297" s="46"/>
      <c r="Y297" s="46"/>
      <c r="Z297" s="46"/>
      <c r="AA297" s="46"/>
      <c r="AB297" s="46"/>
    </row>
    <row r="298" hidden="1">
      <c r="A298" s="90" t="s">
        <v>515</v>
      </c>
      <c r="B298" s="91" t="str">
        <f>IFERROR(VLOOKUP(A298,'Salary Calculation'!A298:F1295,2,0),"")</f>
        <v/>
      </c>
      <c r="C298" s="91" t="str">
        <f>IFERROR(VLOOKUP(A298,'Salary Calculation'!$A$2:$T$999,3,0),"")</f>
        <v/>
      </c>
      <c r="D298" s="91" t="str">
        <f>IFERROR(VLOOKUP(A298,'Salary Calculation'!$A$2:$T$999,6,0),"")</f>
        <v/>
      </c>
      <c r="E298" s="91" t="str">
        <f>IFERROR(VLOOKUP(A298,'Salary Calculation'!$A$2:$T$999,8,0),"")</f>
        <v/>
      </c>
      <c r="F298" s="92" t="str">
        <f>IFERROR(VLOOKUP(C298,'Employees List'!$B$2:H999,6,0),"")</f>
        <v/>
      </c>
      <c r="G298" s="93" t="str">
        <f>IFERROR(VLOOKUP(A298,'Salary Calculation'!$A$2:$T$999,7,0),"")</f>
        <v/>
      </c>
      <c r="H298" s="94"/>
      <c r="I298" s="46"/>
      <c r="J298" s="46"/>
      <c r="K298" s="46"/>
      <c r="L298" s="46"/>
      <c r="M298" s="46"/>
      <c r="N298" s="46"/>
      <c r="O298" s="46"/>
      <c r="P298" s="46"/>
      <c r="Q298" s="46"/>
      <c r="R298" s="46"/>
      <c r="S298" s="46"/>
      <c r="T298" s="46"/>
      <c r="U298" s="46"/>
      <c r="V298" s="46"/>
      <c r="W298" s="46"/>
      <c r="X298" s="46"/>
      <c r="Y298" s="46"/>
      <c r="Z298" s="46"/>
      <c r="AA298" s="46"/>
      <c r="AB298" s="46"/>
    </row>
    <row r="299" hidden="1">
      <c r="A299" s="90" t="s">
        <v>516</v>
      </c>
      <c r="B299" s="91" t="str">
        <f>IFERROR(VLOOKUP(A299,'Salary Calculation'!A299:F1296,2,0),"")</f>
        <v/>
      </c>
      <c r="C299" s="91" t="str">
        <f>IFERROR(VLOOKUP(A299,'Salary Calculation'!$A$2:$T$999,3,0),"")</f>
        <v/>
      </c>
      <c r="D299" s="91" t="str">
        <f>IFERROR(VLOOKUP(A299,'Salary Calculation'!$A$2:$T$999,6,0),"")</f>
        <v/>
      </c>
      <c r="E299" s="91" t="str">
        <f>IFERROR(VLOOKUP(A299,'Salary Calculation'!$A$2:$T$999,8,0),"")</f>
        <v/>
      </c>
      <c r="F299" s="92" t="str">
        <f>IFERROR(VLOOKUP(C299,'Employees List'!$B$2:H999,6,0),"")</f>
        <v/>
      </c>
      <c r="G299" s="93" t="str">
        <f>IFERROR(VLOOKUP(A299,'Salary Calculation'!$A$2:$T$999,7,0),"")</f>
        <v/>
      </c>
      <c r="H299" s="94"/>
      <c r="I299" s="46"/>
      <c r="J299" s="46"/>
      <c r="K299" s="46"/>
      <c r="L299" s="46"/>
      <c r="M299" s="46"/>
      <c r="N299" s="46"/>
      <c r="O299" s="46"/>
      <c r="P299" s="46"/>
      <c r="Q299" s="46"/>
      <c r="R299" s="46"/>
      <c r="S299" s="46"/>
      <c r="T299" s="46"/>
      <c r="U299" s="46"/>
      <c r="V299" s="46"/>
      <c r="W299" s="46"/>
      <c r="X299" s="46"/>
      <c r="Y299" s="46"/>
      <c r="Z299" s="46"/>
      <c r="AA299" s="46"/>
      <c r="AB299" s="46"/>
    </row>
    <row r="300" hidden="1">
      <c r="A300" s="90" t="s">
        <v>517</v>
      </c>
      <c r="B300" s="91" t="str">
        <f>IFERROR(VLOOKUP(A300,'Salary Calculation'!A300:F1297,2,0),"")</f>
        <v/>
      </c>
      <c r="C300" s="91" t="str">
        <f>IFERROR(VLOOKUP(A300,'Salary Calculation'!$A$2:$T$999,3,0),"")</f>
        <v/>
      </c>
      <c r="D300" s="91" t="str">
        <f>IFERROR(VLOOKUP(A300,'Salary Calculation'!$A$2:$T$999,6,0),"")</f>
        <v/>
      </c>
      <c r="E300" s="91" t="str">
        <f>IFERROR(VLOOKUP(A300,'Salary Calculation'!$A$2:$T$999,8,0),"")</f>
        <v/>
      </c>
      <c r="F300" s="92" t="str">
        <f>IFERROR(VLOOKUP(C300,'Employees List'!$B$2:H999,6,0),"")</f>
        <v/>
      </c>
      <c r="G300" s="93" t="str">
        <f>IFERROR(VLOOKUP(A300,'Salary Calculation'!$A$2:$T$999,7,0),"")</f>
        <v/>
      </c>
      <c r="H300" s="94"/>
      <c r="I300" s="46"/>
      <c r="J300" s="46"/>
      <c r="K300" s="46"/>
      <c r="L300" s="46"/>
      <c r="M300" s="46"/>
      <c r="N300" s="46"/>
      <c r="O300" s="46"/>
      <c r="P300" s="46"/>
      <c r="Q300" s="46"/>
      <c r="R300" s="46"/>
      <c r="S300" s="46"/>
      <c r="T300" s="46"/>
      <c r="U300" s="46"/>
      <c r="V300" s="46"/>
      <c r="W300" s="46"/>
      <c r="X300" s="46"/>
      <c r="Y300" s="46"/>
      <c r="Z300" s="46"/>
      <c r="AA300" s="46"/>
      <c r="AB300" s="46"/>
    </row>
    <row r="301" hidden="1">
      <c r="A301" s="90" t="s">
        <v>518</v>
      </c>
      <c r="B301" s="91" t="str">
        <f>IFERROR(VLOOKUP(A301,'Salary Calculation'!A301:F1298,2,0),"")</f>
        <v/>
      </c>
      <c r="C301" s="91" t="str">
        <f>IFERROR(VLOOKUP(A301,'Salary Calculation'!$A$2:$T$999,3,0),"")</f>
        <v/>
      </c>
      <c r="D301" s="91" t="str">
        <f>IFERROR(VLOOKUP(A301,'Salary Calculation'!$A$2:$T$999,6,0),"")</f>
        <v/>
      </c>
      <c r="E301" s="91" t="str">
        <f>IFERROR(VLOOKUP(A301,'Salary Calculation'!$A$2:$T$999,8,0),"")</f>
        <v/>
      </c>
      <c r="F301" s="92" t="str">
        <f>IFERROR(VLOOKUP(C301,'Employees List'!$B$2:H999,6,0),"")</f>
        <v/>
      </c>
      <c r="G301" s="93" t="str">
        <f>IFERROR(VLOOKUP(A301,'Salary Calculation'!$A$2:$T$999,7,0),"")</f>
        <v/>
      </c>
      <c r="H301" s="94"/>
      <c r="I301" s="46"/>
      <c r="J301" s="46"/>
      <c r="K301" s="46"/>
      <c r="L301" s="46"/>
      <c r="M301" s="46"/>
      <c r="N301" s="46"/>
      <c r="O301" s="46"/>
      <c r="P301" s="46"/>
      <c r="Q301" s="46"/>
      <c r="R301" s="46"/>
      <c r="S301" s="46"/>
      <c r="T301" s="46"/>
      <c r="U301" s="46"/>
      <c r="V301" s="46"/>
      <c r="W301" s="46"/>
      <c r="X301" s="46"/>
      <c r="Y301" s="46"/>
      <c r="Z301" s="46"/>
      <c r="AA301" s="46"/>
      <c r="AB301" s="46"/>
    </row>
    <row r="302" hidden="1">
      <c r="A302" s="90" t="s">
        <v>519</v>
      </c>
      <c r="B302" s="91" t="str">
        <f>IFERROR(VLOOKUP(A302,'Salary Calculation'!A302:F1299,2,0),"")</f>
        <v/>
      </c>
      <c r="C302" s="91" t="str">
        <f>IFERROR(VLOOKUP(A302,'Salary Calculation'!$A$2:$T$999,3,0),"")</f>
        <v/>
      </c>
      <c r="D302" s="91" t="str">
        <f>IFERROR(VLOOKUP(A302,'Salary Calculation'!$A$2:$T$999,6,0),"")</f>
        <v/>
      </c>
      <c r="E302" s="91" t="str">
        <f>IFERROR(VLOOKUP(A302,'Salary Calculation'!$A$2:$T$999,8,0),"")</f>
        <v/>
      </c>
      <c r="F302" s="92" t="str">
        <f>IFERROR(VLOOKUP(C302,'Employees List'!$B$2:H999,6,0),"")</f>
        <v/>
      </c>
      <c r="G302" s="93" t="str">
        <f>IFERROR(VLOOKUP(A302,'Salary Calculation'!$A$2:$T$999,7,0),"")</f>
        <v/>
      </c>
      <c r="H302" s="94"/>
      <c r="I302" s="46"/>
      <c r="J302" s="46"/>
      <c r="K302" s="46"/>
      <c r="L302" s="46"/>
      <c r="M302" s="46"/>
      <c r="N302" s="46"/>
      <c r="O302" s="46"/>
      <c r="P302" s="46"/>
      <c r="Q302" s="46"/>
      <c r="R302" s="46"/>
      <c r="S302" s="46"/>
      <c r="T302" s="46"/>
      <c r="U302" s="46"/>
      <c r="V302" s="46"/>
      <c r="W302" s="46"/>
      <c r="X302" s="46"/>
      <c r="Y302" s="46"/>
      <c r="Z302" s="46"/>
      <c r="AA302" s="46"/>
      <c r="AB302" s="46"/>
    </row>
    <row r="303" hidden="1">
      <c r="A303" s="90" t="s">
        <v>520</v>
      </c>
      <c r="B303" s="91" t="str">
        <f>IFERROR(VLOOKUP(A303,'Salary Calculation'!A303:F1300,2,0),"")</f>
        <v/>
      </c>
      <c r="C303" s="91" t="str">
        <f>IFERROR(VLOOKUP(A303,'Salary Calculation'!$A$2:$T$999,3,0),"")</f>
        <v/>
      </c>
      <c r="D303" s="91" t="str">
        <f>IFERROR(VLOOKUP(A303,'Salary Calculation'!$A$2:$T$999,6,0),"")</f>
        <v/>
      </c>
      <c r="E303" s="91" t="str">
        <f>IFERROR(VLOOKUP(A303,'Salary Calculation'!$A$2:$T$999,8,0),"")</f>
        <v/>
      </c>
      <c r="F303" s="92" t="str">
        <f>IFERROR(VLOOKUP(C303,'Employees List'!$B$2:H999,6,0),"")</f>
        <v/>
      </c>
      <c r="G303" s="93" t="str">
        <f>IFERROR(VLOOKUP(A303,'Salary Calculation'!$A$2:$T$999,7,0),"")</f>
        <v/>
      </c>
      <c r="H303" s="94"/>
      <c r="I303" s="46"/>
      <c r="J303" s="46"/>
      <c r="K303" s="46"/>
      <c r="L303" s="46"/>
      <c r="M303" s="46"/>
      <c r="N303" s="46"/>
      <c r="O303" s="46"/>
      <c r="P303" s="46"/>
      <c r="Q303" s="46"/>
      <c r="R303" s="46"/>
      <c r="S303" s="46"/>
      <c r="T303" s="46"/>
      <c r="U303" s="46"/>
      <c r="V303" s="46"/>
      <c r="W303" s="46"/>
      <c r="X303" s="46"/>
      <c r="Y303" s="46"/>
      <c r="Z303" s="46"/>
      <c r="AA303" s="46"/>
      <c r="AB303" s="46"/>
    </row>
    <row r="304" hidden="1">
      <c r="A304" s="90" t="s">
        <v>521</v>
      </c>
      <c r="B304" s="91" t="str">
        <f>IFERROR(VLOOKUP(A304,'Salary Calculation'!A304:F1301,2,0),"")</f>
        <v/>
      </c>
      <c r="C304" s="91" t="str">
        <f>IFERROR(VLOOKUP(A304,'Salary Calculation'!$A$2:$T$999,3,0),"")</f>
        <v/>
      </c>
      <c r="D304" s="91" t="str">
        <f>IFERROR(VLOOKUP(A304,'Salary Calculation'!$A$2:$T$999,6,0),"")</f>
        <v/>
      </c>
      <c r="E304" s="91" t="str">
        <f>IFERROR(VLOOKUP(A304,'Salary Calculation'!$A$2:$T$999,8,0),"")</f>
        <v/>
      </c>
      <c r="F304" s="92" t="str">
        <f>IFERROR(VLOOKUP(C304,'Employees List'!$B$2:H999,6,0),"")</f>
        <v/>
      </c>
      <c r="G304" s="93" t="str">
        <f>IFERROR(VLOOKUP(A304,'Salary Calculation'!$A$2:$T$999,7,0),"")</f>
        <v/>
      </c>
      <c r="H304" s="94"/>
      <c r="I304" s="46"/>
      <c r="J304" s="46"/>
      <c r="K304" s="46"/>
      <c r="L304" s="46"/>
      <c r="M304" s="46"/>
      <c r="N304" s="46"/>
      <c r="O304" s="46"/>
      <c r="P304" s="46"/>
      <c r="Q304" s="46"/>
      <c r="R304" s="46"/>
      <c r="S304" s="46"/>
      <c r="T304" s="46"/>
      <c r="U304" s="46"/>
      <c r="V304" s="46"/>
      <c r="W304" s="46"/>
      <c r="X304" s="46"/>
      <c r="Y304" s="46"/>
      <c r="Z304" s="46"/>
      <c r="AA304" s="46"/>
      <c r="AB304" s="46"/>
    </row>
    <row r="305" hidden="1">
      <c r="A305" s="90" t="s">
        <v>522</v>
      </c>
      <c r="B305" s="91" t="str">
        <f>IFERROR(VLOOKUP(A305,'Salary Calculation'!A305:F1302,2,0),"")</f>
        <v/>
      </c>
      <c r="C305" s="91" t="str">
        <f>IFERROR(VLOOKUP(A305,'Salary Calculation'!$A$2:$T$999,3,0),"")</f>
        <v/>
      </c>
      <c r="D305" s="91" t="str">
        <f>IFERROR(VLOOKUP(A305,'Salary Calculation'!$A$2:$T$999,6,0),"")</f>
        <v/>
      </c>
      <c r="E305" s="91" t="str">
        <f>IFERROR(VLOOKUP(A305,'Salary Calculation'!$A$2:$T$999,8,0),"")</f>
        <v/>
      </c>
      <c r="F305" s="92" t="str">
        <f>IFERROR(VLOOKUP(C305,'Employees List'!$B$2:H999,6,0),"")</f>
        <v/>
      </c>
      <c r="G305" s="93" t="str">
        <f>IFERROR(VLOOKUP(A305,'Salary Calculation'!$A$2:$T$999,7,0),"")</f>
        <v/>
      </c>
      <c r="H305" s="94"/>
      <c r="I305" s="46"/>
      <c r="J305" s="46"/>
      <c r="K305" s="46"/>
      <c r="L305" s="46"/>
      <c r="M305" s="46"/>
      <c r="N305" s="46"/>
      <c r="O305" s="46"/>
      <c r="P305" s="46"/>
      <c r="Q305" s="46"/>
      <c r="R305" s="46"/>
      <c r="S305" s="46"/>
      <c r="T305" s="46"/>
      <c r="U305" s="46"/>
      <c r="V305" s="46"/>
      <c r="W305" s="46"/>
      <c r="X305" s="46"/>
      <c r="Y305" s="46"/>
      <c r="Z305" s="46"/>
      <c r="AA305" s="46"/>
      <c r="AB305" s="46"/>
    </row>
    <row r="306" hidden="1">
      <c r="A306" s="90" t="s">
        <v>523</v>
      </c>
      <c r="B306" s="91" t="str">
        <f>IFERROR(VLOOKUP(A306,'Salary Calculation'!A306:F1303,2,0),"")</f>
        <v/>
      </c>
      <c r="C306" s="91" t="str">
        <f>IFERROR(VLOOKUP(A306,'Salary Calculation'!$A$2:$T$999,3,0),"")</f>
        <v/>
      </c>
      <c r="D306" s="91" t="str">
        <f>IFERROR(VLOOKUP(A306,'Salary Calculation'!$A$2:$T$999,6,0),"")</f>
        <v/>
      </c>
      <c r="E306" s="91" t="str">
        <f>IFERROR(VLOOKUP(A306,'Salary Calculation'!$A$2:$T$999,8,0),"")</f>
        <v/>
      </c>
      <c r="F306" s="92" t="str">
        <f>IFERROR(VLOOKUP(C306,'Employees List'!$B$2:H999,6,0),"")</f>
        <v/>
      </c>
      <c r="G306" s="93" t="str">
        <f>IFERROR(VLOOKUP(A306,'Salary Calculation'!$A$2:$T$999,7,0),"")</f>
        <v/>
      </c>
      <c r="H306" s="94"/>
      <c r="I306" s="46"/>
      <c r="J306" s="46"/>
      <c r="K306" s="46"/>
      <c r="L306" s="46"/>
      <c r="M306" s="46"/>
      <c r="N306" s="46"/>
      <c r="O306" s="46"/>
      <c r="P306" s="46"/>
      <c r="Q306" s="46"/>
      <c r="R306" s="46"/>
      <c r="S306" s="46"/>
      <c r="T306" s="46"/>
      <c r="U306" s="46"/>
      <c r="V306" s="46"/>
      <c r="W306" s="46"/>
      <c r="X306" s="46"/>
      <c r="Y306" s="46"/>
      <c r="Z306" s="46"/>
      <c r="AA306" s="46"/>
      <c r="AB306" s="46"/>
    </row>
    <row r="307" hidden="1">
      <c r="A307" s="90" t="s">
        <v>524</v>
      </c>
      <c r="B307" s="91" t="str">
        <f>IFERROR(VLOOKUP(A307,'Salary Calculation'!A307:F1304,2,0),"")</f>
        <v/>
      </c>
      <c r="C307" s="91" t="str">
        <f>IFERROR(VLOOKUP(A307,'Salary Calculation'!$A$2:$T$999,3,0),"")</f>
        <v/>
      </c>
      <c r="D307" s="91" t="str">
        <f>IFERROR(VLOOKUP(A307,'Salary Calculation'!$A$2:$T$999,6,0),"")</f>
        <v/>
      </c>
      <c r="E307" s="91" t="str">
        <f>IFERROR(VLOOKUP(A307,'Salary Calculation'!$A$2:$T$999,8,0),"")</f>
        <v/>
      </c>
      <c r="F307" s="92" t="str">
        <f>IFERROR(VLOOKUP(C307,'Employees List'!$B$2:H999,6,0),"")</f>
        <v/>
      </c>
      <c r="G307" s="93" t="str">
        <f>IFERROR(VLOOKUP(A307,'Salary Calculation'!$A$2:$T$999,7,0),"")</f>
        <v/>
      </c>
      <c r="H307" s="94"/>
      <c r="I307" s="46"/>
      <c r="J307" s="46"/>
      <c r="K307" s="46"/>
      <c r="L307" s="46"/>
      <c r="M307" s="46"/>
      <c r="N307" s="46"/>
      <c r="O307" s="46"/>
      <c r="P307" s="46"/>
      <c r="Q307" s="46"/>
      <c r="R307" s="46"/>
      <c r="S307" s="46"/>
      <c r="T307" s="46"/>
      <c r="U307" s="46"/>
      <c r="V307" s="46"/>
      <c r="W307" s="46"/>
      <c r="X307" s="46"/>
      <c r="Y307" s="46"/>
      <c r="Z307" s="46"/>
      <c r="AA307" s="46"/>
      <c r="AB307" s="46"/>
    </row>
    <row r="308" hidden="1">
      <c r="A308" s="90" t="s">
        <v>525</v>
      </c>
      <c r="B308" s="91" t="str">
        <f>IFERROR(VLOOKUP(A308,'Salary Calculation'!A308:F1305,2,0),"")</f>
        <v/>
      </c>
      <c r="C308" s="91" t="str">
        <f>IFERROR(VLOOKUP(A308,'Salary Calculation'!$A$2:$T$999,3,0),"")</f>
        <v/>
      </c>
      <c r="D308" s="91" t="str">
        <f>IFERROR(VLOOKUP(A308,'Salary Calculation'!$A$2:$T$999,6,0),"")</f>
        <v/>
      </c>
      <c r="E308" s="91" t="str">
        <f>IFERROR(VLOOKUP(A308,'Salary Calculation'!$A$2:$T$999,8,0),"")</f>
        <v/>
      </c>
      <c r="F308" s="92" t="str">
        <f>IFERROR(VLOOKUP(C308,'Employees List'!$B$2:H999,6,0),"")</f>
        <v/>
      </c>
      <c r="G308" s="93" t="str">
        <f>IFERROR(VLOOKUP(A308,'Salary Calculation'!$A$2:$T$999,7,0),"")</f>
        <v/>
      </c>
      <c r="H308" s="94"/>
      <c r="I308" s="46"/>
      <c r="J308" s="46"/>
      <c r="K308" s="46"/>
      <c r="L308" s="46"/>
      <c r="M308" s="46"/>
      <c r="N308" s="46"/>
      <c r="O308" s="46"/>
      <c r="P308" s="46"/>
      <c r="Q308" s="46"/>
      <c r="R308" s="46"/>
      <c r="S308" s="46"/>
      <c r="T308" s="46"/>
      <c r="U308" s="46"/>
      <c r="V308" s="46"/>
      <c r="W308" s="46"/>
      <c r="X308" s="46"/>
      <c r="Y308" s="46"/>
      <c r="Z308" s="46"/>
      <c r="AA308" s="46"/>
      <c r="AB308" s="46"/>
    </row>
    <row r="309" hidden="1">
      <c r="A309" s="90" t="s">
        <v>526</v>
      </c>
      <c r="B309" s="91" t="str">
        <f>IFERROR(VLOOKUP(A309,'Salary Calculation'!A309:F1306,2,0),"")</f>
        <v/>
      </c>
      <c r="C309" s="91" t="str">
        <f>IFERROR(VLOOKUP(A309,'Salary Calculation'!$A$2:$T$999,3,0),"")</f>
        <v/>
      </c>
      <c r="D309" s="91" t="str">
        <f>IFERROR(VLOOKUP(A309,'Salary Calculation'!$A$2:$T$999,6,0),"")</f>
        <v/>
      </c>
      <c r="E309" s="91" t="str">
        <f>IFERROR(VLOOKUP(A309,'Salary Calculation'!$A$2:$T$999,8,0),"")</f>
        <v/>
      </c>
      <c r="F309" s="92" t="str">
        <f>IFERROR(VLOOKUP(C309,'Employees List'!$B$2:H999,6,0),"")</f>
        <v/>
      </c>
      <c r="G309" s="93" t="str">
        <f>IFERROR(VLOOKUP(A309,'Salary Calculation'!$A$2:$T$999,7,0),"")</f>
        <v/>
      </c>
      <c r="H309" s="94"/>
      <c r="I309" s="46"/>
      <c r="J309" s="46"/>
      <c r="K309" s="46"/>
      <c r="L309" s="46"/>
      <c r="M309" s="46"/>
      <c r="N309" s="46"/>
      <c r="O309" s="46"/>
      <c r="P309" s="46"/>
      <c r="Q309" s="46"/>
      <c r="R309" s="46"/>
      <c r="S309" s="46"/>
      <c r="T309" s="46"/>
      <c r="U309" s="46"/>
      <c r="V309" s="46"/>
      <c r="W309" s="46"/>
      <c r="X309" s="46"/>
      <c r="Y309" s="46"/>
      <c r="Z309" s="46"/>
      <c r="AA309" s="46"/>
      <c r="AB309" s="46"/>
    </row>
    <row r="310" hidden="1">
      <c r="A310" s="90" t="s">
        <v>527</v>
      </c>
      <c r="B310" s="91" t="str">
        <f>IFERROR(VLOOKUP(A310,'Salary Calculation'!A310:F1307,2,0),"")</f>
        <v/>
      </c>
      <c r="C310" s="91" t="str">
        <f>IFERROR(VLOOKUP(A310,'Salary Calculation'!$A$2:$T$999,3,0),"")</f>
        <v/>
      </c>
      <c r="D310" s="91" t="str">
        <f>IFERROR(VLOOKUP(A310,'Salary Calculation'!$A$2:$T$999,6,0),"")</f>
        <v/>
      </c>
      <c r="E310" s="91" t="str">
        <f>IFERROR(VLOOKUP(A310,'Salary Calculation'!$A$2:$T$999,8,0),"")</f>
        <v/>
      </c>
      <c r="F310" s="92" t="str">
        <f>IFERROR(VLOOKUP(C310,'Employees List'!$B$2:H999,6,0),"")</f>
        <v/>
      </c>
      <c r="G310" s="93" t="str">
        <f>IFERROR(VLOOKUP(A310,'Salary Calculation'!$A$2:$T$999,7,0),"")</f>
        <v/>
      </c>
      <c r="H310" s="94"/>
      <c r="I310" s="46"/>
      <c r="J310" s="46"/>
      <c r="K310" s="46"/>
      <c r="L310" s="46"/>
      <c r="M310" s="46"/>
      <c r="N310" s="46"/>
      <c r="O310" s="46"/>
      <c r="P310" s="46"/>
      <c r="Q310" s="46"/>
      <c r="R310" s="46"/>
      <c r="S310" s="46"/>
      <c r="T310" s="46"/>
      <c r="U310" s="46"/>
      <c r="V310" s="46"/>
      <c r="W310" s="46"/>
      <c r="X310" s="46"/>
      <c r="Y310" s="46"/>
      <c r="Z310" s="46"/>
      <c r="AA310" s="46"/>
      <c r="AB310" s="46"/>
    </row>
    <row r="311" hidden="1">
      <c r="A311" s="90" t="s">
        <v>528</v>
      </c>
      <c r="B311" s="91" t="str">
        <f>IFERROR(VLOOKUP(A311,'Salary Calculation'!A311:F1308,2,0),"")</f>
        <v/>
      </c>
      <c r="C311" s="91" t="str">
        <f>IFERROR(VLOOKUP(A311,'Salary Calculation'!$A$2:$T$999,3,0),"")</f>
        <v/>
      </c>
      <c r="D311" s="91" t="str">
        <f>IFERROR(VLOOKUP(A311,'Salary Calculation'!$A$2:$T$999,6,0),"")</f>
        <v/>
      </c>
      <c r="E311" s="91" t="str">
        <f>IFERROR(VLOOKUP(A311,'Salary Calculation'!$A$2:$T$999,8,0),"")</f>
        <v/>
      </c>
      <c r="F311" s="92" t="str">
        <f>IFERROR(VLOOKUP(C311,'Employees List'!$B$2:H999,6,0),"")</f>
        <v/>
      </c>
      <c r="G311" s="93" t="str">
        <f>IFERROR(VLOOKUP(A311,'Salary Calculation'!$A$2:$T$999,7,0),"")</f>
        <v/>
      </c>
      <c r="H311" s="94"/>
      <c r="I311" s="46"/>
      <c r="J311" s="46"/>
      <c r="K311" s="46"/>
      <c r="L311" s="46"/>
      <c r="M311" s="46"/>
      <c r="N311" s="46"/>
      <c r="O311" s="46"/>
      <c r="P311" s="46"/>
      <c r="Q311" s="46"/>
      <c r="R311" s="46"/>
      <c r="S311" s="46"/>
      <c r="T311" s="46"/>
      <c r="U311" s="46"/>
      <c r="V311" s="46"/>
      <c r="W311" s="46"/>
      <c r="X311" s="46"/>
      <c r="Y311" s="46"/>
      <c r="Z311" s="46"/>
      <c r="AA311" s="46"/>
      <c r="AB311" s="46"/>
    </row>
    <row r="312" hidden="1">
      <c r="A312" s="90" t="s">
        <v>529</v>
      </c>
      <c r="B312" s="91" t="str">
        <f>IFERROR(VLOOKUP(A312,'Salary Calculation'!A312:F1309,2,0),"")</f>
        <v/>
      </c>
      <c r="C312" s="91" t="str">
        <f>IFERROR(VLOOKUP(A312,'Salary Calculation'!$A$2:$T$999,3,0),"")</f>
        <v/>
      </c>
      <c r="D312" s="91" t="str">
        <f>IFERROR(VLOOKUP(A312,'Salary Calculation'!$A$2:$T$999,6,0),"")</f>
        <v/>
      </c>
      <c r="E312" s="91" t="str">
        <f>IFERROR(VLOOKUP(A312,'Salary Calculation'!$A$2:$T$999,8,0),"")</f>
        <v/>
      </c>
      <c r="F312" s="92" t="str">
        <f>IFERROR(VLOOKUP(C312,'Employees List'!$B$2:H999,6,0),"")</f>
        <v/>
      </c>
      <c r="G312" s="93" t="str">
        <f>IFERROR(VLOOKUP(A312,'Salary Calculation'!$A$2:$T$999,7,0),"")</f>
        <v/>
      </c>
      <c r="H312" s="94"/>
      <c r="I312" s="46"/>
      <c r="J312" s="46"/>
      <c r="K312" s="46"/>
      <c r="L312" s="46"/>
      <c r="M312" s="46"/>
      <c r="N312" s="46"/>
      <c r="O312" s="46"/>
      <c r="P312" s="46"/>
      <c r="Q312" s="46"/>
      <c r="R312" s="46"/>
      <c r="S312" s="46"/>
      <c r="T312" s="46"/>
      <c r="U312" s="46"/>
      <c r="V312" s="46"/>
      <c r="W312" s="46"/>
      <c r="X312" s="46"/>
      <c r="Y312" s="46"/>
      <c r="Z312" s="46"/>
      <c r="AA312" s="46"/>
      <c r="AB312" s="46"/>
    </row>
    <row r="313" hidden="1">
      <c r="A313" s="90" t="s">
        <v>530</v>
      </c>
      <c r="B313" s="91" t="str">
        <f>IFERROR(VLOOKUP(A313,'Salary Calculation'!A313:F1310,2,0),"")</f>
        <v/>
      </c>
      <c r="C313" s="91" t="str">
        <f>IFERROR(VLOOKUP(A313,'Salary Calculation'!$A$2:$T$999,3,0),"")</f>
        <v/>
      </c>
      <c r="D313" s="91" t="str">
        <f>IFERROR(VLOOKUP(A313,'Salary Calculation'!$A$2:$T$999,6,0),"")</f>
        <v/>
      </c>
      <c r="E313" s="91" t="str">
        <f>IFERROR(VLOOKUP(A313,'Salary Calculation'!$A$2:$T$999,8,0),"")</f>
        <v/>
      </c>
      <c r="F313" s="92" t="str">
        <f>IFERROR(VLOOKUP(C313,'Employees List'!$B$2:H999,6,0),"")</f>
        <v/>
      </c>
      <c r="G313" s="93" t="str">
        <f>IFERROR(VLOOKUP(A313,'Salary Calculation'!$A$2:$T$999,7,0),"")</f>
        <v/>
      </c>
      <c r="H313" s="94"/>
      <c r="I313" s="46"/>
      <c r="J313" s="46"/>
      <c r="K313" s="46"/>
      <c r="L313" s="46"/>
      <c r="M313" s="46"/>
      <c r="N313" s="46"/>
      <c r="O313" s="46"/>
      <c r="P313" s="46"/>
      <c r="Q313" s="46"/>
      <c r="R313" s="46"/>
      <c r="S313" s="46"/>
      <c r="T313" s="46"/>
      <c r="U313" s="46"/>
      <c r="V313" s="46"/>
      <c r="W313" s="46"/>
      <c r="X313" s="46"/>
      <c r="Y313" s="46"/>
      <c r="Z313" s="46"/>
      <c r="AA313" s="46"/>
      <c r="AB313" s="46"/>
    </row>
    <row r="314" hidden="1">
      <c r="A314" s="90" t="s">
        <v>531</v>
      </c>
      <c r="B314" s="91" t="str">
        <f>IFERROR(VLOOKUP(A314,'Salary Calculation'!A314:F1311,2,0),"")</f>
        <v/>
      </c>
      <c r="C314" s="91" t="str">
        <f>IFERROR(VLOOKUP(A314,'Salary Calculation'!$A$2:$T$999,3,0),"")</f>
        <v/>
      </c>
      <c r="D314" s="91" t="str">
        <f>IFERROR(VLOOKUP(A314,'Salary Calculation'!$A$2:$T$999,6,0),"")</f>
        <v/>
      </c>
      <c r="E314" s="91" t="str">
        <f>IFERROR(VLOOKUP(A314,'Salary Calculation'!$A$2:$T$999,8,0),"")</f>
        <v/>
      </c>
      <c r="F314" s="92" t="str">
        <f>IFERROR(VLOOKUP(C314,'Employees List'!$B$2:H999,6,0),"")</f>
        <v/>
      </c>
      <c r="G314" s="93" t="str">
        <f>IFERROR(VLOOKUP(A314,'Salary Calculation'!$A$2:$T$999,7,0),"")</f>
        <v/>
      </c>
      <c r="H314" s="94"/>
      <c r="I314" s="46"/>
      <c r="J314" s="46"/>
      <c r="K314" s="46"/>
      <c r="L314" s="46"/>
      <c r="M314" s="46"/>
      <c r="N314" s="46"/>
      <c r="O314" s="46"/>
      <c r="P314" s="46"/>
      <c r="Q314" s="46"/>
      <c r="R314" s="46"/>
      <c r="S314" s="46"/>
      <c r="T314" s="46"/>
      <c r="U314" s="46"/>
      <c r="V314" s="46"/>
      <c r="W314" s="46"/>
      <c r="X314" s="46"/>
      <c r="Y314" s="46"/>
      <c r="Z314" s="46"/>
      <c r="AA314" s="46"/>
      <c r="AB314" s="46"/>
    </row>
    <row r="315" hidden="1">
      <c r="A315" s="90" t="s">
        <v>532</v>
      </c>
      <c r="B315" s="91" t="str">
        <f>IFERROR(VLOOKUP(A315,'Salary Calculation'!A315:F1312,2,0),"")</f>
        <v/>
      </c>
      <c r="C315" s="91" t="str">
        <f>IFERROR(VLOOKUP(A315,'Salary Calculation'!$A$2:$T$999,3,0),"")</f>
        <v/>
      </c>
      <c r="D315" s="91" t="str">
        <f>IFERROR(VLOOKUP(A315,'Salary Calculation'!$A$2:$T$999,6,0),"")</f>
        <v/>
      </c>
      <c r="E315" s="91" t="str">
        <f>IFERROR(VLOOKUP(A315,'Salary Calculation'!$A$2:$T$999,8,0),"")</f>
        <v/>
      </c>
      <c r="F315" s="92" t="str">
        <f>IFERROR(VLOOKUP(C315,'Employees List'!$B$2:H999,6,0),"")</f>
        <v/>
      </c>
      <c r="G315" s="93" t="str">
        <f>IFERROR(VLOOKUP(A315,'Salary Calculation'!$A$2:$T$999,7,0),"")</f>
        <v/>
      </c>
      <c r="H315" s="94"/>
      <c r="I315" s="46"/>
      <c r="J315" s="46"/>
      <c r="K315" s="46"/>
      <c r="L315" s="46"/>
      <c r="M315" s="46"/>
      <c r="N315" s="46"/>
      <c r="O315" s="46"/>
      <c r="P315" s="46"/>
      <c r="Q315" s="46"/>
      <c r="R315" s="46"/>
      <c r="S315" s="46"/>
      <c r="T315" s="46"/>
      <c r="U315" s="46"/>
      <c r="V315" s="46"/>
      <c r="W315" s="46"/>
      <c r="X315" s="46"/>
      <c r="Y315" s="46"/>
      <c r="Z315" s="46"/>
      <c r="AA315" s="46"/>
      <c r="AB315" s="46"/>
    </row>
    <row r="316" hidden="1">
      <c r="A316" s="90" t="s">
        <v>533</v>
      </c>
      <c r="B316" s="91" t="str">
        <f>IFERROR(VLOOKUP(A316,'Salary Calculation'!A316:F1313,2,0),"")</f>
        <v/>
      </c>
      <c r="C316" s="91" t="str">
        <f>IFERROR(VLOOKUP(A316,'Salary Calculation'!$A$2:$T$999,3,0),"")</f>
        <v/>
      </c>
      <c r="D316" s="91" t="str">
        <f>IFERROR(VLOOKUP(A316,'Salary Calculation'!$A$2:$T$999,6,0),"")</f>
        <v/>
      </c>
      <c r="E316" s="91" t="str">
        <f>IFERROR(VLOOKUP(A316,'Salary Calculation'!$A$2:$T$999,8,0),"")</f>
        <v/>
      </c>
      <c r="F316" s="92" t="str">
        <f>IFERROR(VLOOKUP(C316,'Employees List'!$B$2:H999,6,0),"")</f>
        <v/>
      </c>
      <c r="G316" s="93" t="str">
        <f>IFERROR(VLOOKUP(A316,'Salary Calculation'!$A$2:$T$999,7,0),"")</f>
        <v/>
      </c>
      <c r="H316" s="94"/>
      <c r="I316" s="46"/>
      <c r="J316" s="46"/>
      <c r="K316" s="46"/>
      <c r="L316" s="46"/>
      <c r="M316" s="46"/>
      <c r="N316" s="46"/>
      <c r="O316" s="46"/>
      <c r="P316" s="46"/>
      <c r="Q316" s="46"/>
      <c r="R316" s="46"/>
      <c r="S316" s="46"/>
      <c r="T316" s="46"/>
      <c r="U316" s="46"/>
      <c r="V316" s="46"/>
      <c r="W316" s="46"/>
      <c r="X316" s="46"/>
      <c r="Y316" s="46"/>
      <c r="Z316" s="46"/>
      <c r="AA316" s="46"/>
      <c r="AB316" s="46"/>
    </row>
    <row r="317" hidden="1">
      <c r="A317" s="90" t="s">
        <v>534</v>
      </c>
      <c r="B317" s="91" t="str">
        <f>IFERROR(VLOOKUP(A317,'Salary Calculation'!A317:F1314,2,0),"")</f>
        <v/>
      </c>
      <c r="C317" s="91" t="str">
        <f>IFERROR(VLOOKUP(A317,'Salary Calculation'!$A$2:$T$999,3,0),"")</f>
        <v/>
      </c>
      <c r="D317" s="91" t="str">
        <f>IFERROR(VLOOKUP(A317,'Salary Calculation'!$A$2:$T$999,6,0),"")</f>
        <v/>
      </c>
      <c r="E317" s="91" t="str">
        <f>IFERROR(VLOOKUP(A317,'Salary Calculation'!$A$2:$T$999,8,0),"")</f>
        <v/>
      </c>
      <c r="F317" s="92" t="str">
        <f>IFERROR(VLOOKUP(C317,'Employees List'!$B$2:H999,6,0),"")</f>
        <v/>
      </c>
      <c r="G317" s="93" t="str">
        <f>IFERROR(VLOOKUP(A317,'Salary Calculation'!$A$2:$T$999,7,0),"")</f>
        <v/>
      </c>
      <c r="H317" s="94"/>
      <c r="I317" s="46"/>
      <c r="J317" s="46"/>
      <c r="K317" s="46"/>
      <c r="L317" s="46"/>
      <c r="M317" s="46"/>
      <c r="N317" s="46"/>
      <c r="O317" s="46"/>
      <c r="P317" s="46"/>
      <c r="Q317" s="46"/>
      <c r="R317" s="46"/>
      <c r="S317" s="46"/>
      <c r="T317" s="46"/>
      <c r="U317" s="46"/>
      <c r="V317" s="46"/>
      <c r="W317" s="46"/>
      <c r="X317" s="46"/>
      <c r="Y317" s="46"/>
      <c r="Z317" s="46"/>
      <c r="AA317" s="46"/>
      <c r="AB317" s="46"/>
    </row>
    <row r="318" hidden="1">
      <c r="A318" s="90" t="s">
        <v>535</v>
      </c>
      <c r="B318" s="91" t="str">
        <f>IFERROR(VLOOKUP(A318,'Salary Calculation'!A318:F1315,2,0),"")</f>
        <v/>
      </c>
      <c r="C318" s="91" t="str">
        <f>IFERROR(VLOOKUP(A318,'Salary Calculation'!$A$2:$T$999,3,0),"")</f>
        <v/>
      </c>
      <c r="D318" s="91" t="str">
        <f>IFERROR(VLOOKUP(A318,'Salary Calculation'!$A$2:$T$999,6,0),"")</f>
        <v/>
      </c>
      <c r="E318" s="91" t="str">
        <f>IFERROR(VLOOKUP(A318,'Salary Calculation'!$A$2:$T$999,8,0),"")</f>
        <v/>
      </c>
      <c r="F318" s="92" t="str">
        <f>IFERROR(VLOOKUP(C318,'Employees List'!$B$2:H999,6,0),"")</f>
        <v/>
      </c>
      <c r="G318" s="93" t="str">
        <f>IFERROR(VLOOKUP(A318,'Salary Calculation'!$A$2:$T$999,7,0),"")</f>
        <v/>
      </c>
      <c r="H318" s="94"/>
      <c r="I318" s="46"/>
      <c r="J318" s="46"/>
      <c r="K318" s="46"/>
      <c r="L318" s="46"/>
      <c r="M318" s="46"/>
      <c r="N318" s="46"/>
      <c r="O318" s="46"/>
      <c r="P318" s="46"/>
      <c r="Q318" s="46"/>
      <c r="R318" s="46"/>
      <c r="S318" s="46"/>
      <c r="T318" s="46"/>
      <c r="U318" s="46"/>
      <c r="V318" s="46"/>
      <c r="W318" s="46"/>
      <c r="X318" s="46"/>
      <c r="Y318" s="46"/>
      <c r="Z318" s="46"/>
      <c r="AA318" s="46"/>
      <c r="AB318" s="46"/>
    </row>
    <row r="319" hidden="1">
      <c r="A319" s="90" t="s">
        <v>536</v>
      </c>
      <c r="B319" s="91" t="str">
        <f>IFERROR(VLOOKUP(A319,'Salary Calculation'!A319:F1316,2,0),"")</f>
        <v/>
      </c>
      <c r="C319" s="91" t="str">
        <f>IFERROR(VLOOKUP(A319,'Salary Calculation'!$A$2:$T$999,3,0),"")</f>
        <v/>
      </c>
      <c r="D319" s="91" t="str">
        <f>IFERROR(VLOOKUP(A319,'Salary Calculation'!$A$2:$T$999,6,0),"")</f>
        <v/>
      </c>
      <c r="E319" s="91" t="str">
        <f>IFERROR(VLOOKUP(A319,'Salary Calculation'!$A$2:$T$999,8,0),"")</f>
        <v/>
      </c>
      <c r="F319" s="92" t="str">
        <f>IFERROR(VLOOKUP(C319,'Employees List'!$B$2:H999,6,0),"")</f>
        <v/>
      </c>
      <c r="G319" s="93" t="str">
        <f>IFERROR(VLOOKUP(A319,'Salary Calculation'!$A$2:$T$999,7,0),"")</f>
        <v/>
      </c>
      <c r="H319" s="94"/>
      <c r="I319" s="46"/>
      <c r="J319" s="46"/>
      <c r="K319" s="46"/>
      <c r="L319" s="46"/>
      <c r="M319" s="46"/>
      <c r="N319" s="46"/>
      <c r="O319" s="46"/>
      <c r="P319" s="46"/>
      <c r="Q319" s="46"/>
      <c r="R319" s="46"/>
      <c r="S319" s="46"/>
      <c r="T319" s="46"/>
      <c r="U319" s="46"/>
      <c r="V319" s="46"/>
      <c r="W319" s="46"/>
      <c r="X319" s="46"/>
      <c r="Y319" s="46"/>
      <c r="Z319" s="46"/>
      <c r="AA319" s="46"/>
      <c r="AB319" s="46"/>
    </row>
    <row r="320" hidden="1">
      <c r="A320" s="90" t="s">
        <v>537</v>
      </c>
      <c r="B320" s="91" t="str">
        <f>IFERROR(VLOOKUP(A320,'Salary Calculation'!A320:F1317,2,0),"")</f>
        <v/>
      </c>
      <c r="C320" s="91" t="str">
        <f>IFERROR(VLOOKUP(A320,'Salary Calculation'!$A$2:$T$999,3,0),"")</f>
        <v/>
      </c>
      <c r="D320" s="91" t="str">
        <f>IFERROR(VLOOKUP(A320,'Salary Calculation'!$A$2:$T$999,6,0),"")</f>
        <v/>
      </c>
      <c r="E320" s="91" t="str">
        <f>IFERROR(VLOOKUP(A320,'Salary Calculation'!$A$2:$T$999,8,0),"")</f>
        <v/>
      </c>
      <c r="F320" s="92" t="str">
        <f>IFERROR(VLOOKUP(C320,'Employees List'!$B$2:H999,6,0),"")</f>
        <v/>
      </c>
      <c r="G320" s="93" t="str">
        <f>IFERROR(VLOOKUP(A320,'Salary Calculation'!$A$2:$T$999,7,0),"")</f>
        <v/>
      </c>
      <c r="H320" s="94"/>
      <c r="I320" s="46"/>
      <c r="J320" s="46"/>
      <c r="K320" s="46"/>
      <c r="L320" s="46"/>
      <c r="M320" s="46"/>
      <c r="N320" s="46"/>
      <c r="O320" s="46"/>
      <c r="P320" s="46"/>
      <c r="Q320" s="46"/>
      <c r="R320" s="46"/>
      <c r="S320" s="46"/>
      <c r="T320" s="46"/>
      <c r="U320" s="46"/>
      <c r="V320" s="46"/>
      <c r="W320" s="46"/>
      <c r="X320" s="46"/>
      <c r="Y320" s="46"/>
      <c r="Z320" s="46"/>
      <c r="AA320" s="46"/>
      <c r="AB320" s="46"/>
    </row>
    <row r="321" hidden="1">
      <c r="A321" s="90" t="s">
        <v>538</v>
      </c>
      <c r="B321" s="91" t="str">
        <f>IFERROR(VLOOKUP(A321,'Salary Calculation'!A321:F1318,2,0),"")</f>
        <v/>
      </c>
      <c r="C321" s="91" t="str">
        <f>IFERROR(VLOOKUP(A321,'Salary Calculation'!$A$2:$T$999,3,0),"")</f>
        <v/>
      </c>
      <c r="D321" s="91" t="str">
        <f>IFERROR(VLOOKUP(A321,'Salary Calculation'!$A$2:$T$999,6,0),"")</f>
        <v/>
      </c>
      <c r="E321" s="91" t="str">
        <f>IFERROR(VLOOKUP(A321,'Salary Calculation'!$A$2:$T$999,8,0),"")</f>
        <v/>
      </c>
      <c r="F321" s="92" t="str">
        <f>IFERROR(VLOOKUP(C321,'Employees List'!$B$2:H999,6,0),"")</f>
        <v/>
      </c>
      <c r="G321" s="93" t="str">
        <f>IFERROR(VLOOKUP(A321,'Salary Calculation'!$A$2:$T$999,7,0),"")</f>
        <v/>
      </c>
      <c r="H321" s="94"/>
      <c r="I321" s="46"/>
      <c r="J321" s="46"/>
      <c r="K321" s="46"/>
      <c r="L321" s="46"/>
      <c r="M321" s="46"/>
      <c r="N321" s="46"/>
      <c r="O321" s="46"/>
      <c r="P321" s="46"/>
      <c r="Q321" s="46"/>
      <c r="R321" s="46"/>
      <c r="S321" s="46"/>
      <c r="T321" s="46"/>
      <c r="U321" s="46"/>
      <c r="V321" s="46"/>
      <c r="W321" s="46"/>
      <c r="X321" s="46"/>
      <c r="Y321" s="46"/>
      <c r="Z321" s="46"/>
      <c r="AA321" s="46"/>
      <c r="AB321" s="46"/>
    </row>
    <row r="322" hidden="1">
      <c r="A322" s="90" t="s">
        <v>539</v>
      </c>
      <c r="B322" s="91" t="str">
        <f>IFERROR(VLOOKUP(A322,'Salary Calculation'!A322:F1319,2,0),"")</f>
        <v/>
      </c>
      <c r="C322" s="91" t="str">
        <f>IFERROR(VLOOKUP(A322,'Salary Calculation'!$A$2:$T$999,3,0),"")</f>
        <v/>
      </c>
      <c r="D322" s="91" t="str">
        <f>IFERROR(VLOOKUP(A322,'Salary Calculation'!$A$2:$T$999,6,0),"")</f>
        <v/>
      </c>
      <c r="E322" s="91" t="str">
        <f>IFERROR(VLOOKUP(A322,'Salary Calculation'!$A$2:$T$999,8,0),"")</f>
        <v/>
      </c>
      <c r="F322" s="92" t="str">
        <f>IFERROR(VLOOKUP(C322,'Employees List'!$B$2:H999,6,0),"")</f>
        <v/>
      </c>
      <c r="G322" s="93" t="str">
        <f>IFERROR(VLOOKUP(A322,'Salary Calculation'!$A$2:$T$999,7,0),"")</f>
        <v/>
      </c>
      <c r="H322" s="94"/>
      <c r="I322" s="46"/>
      <c r="J322" s="46"/>
      <c r="K322" s="46"/>
      <c r="L322" s="46"/>
      <c r="M322" s="46"/>
      <c r="N322" s="46"/>
      <c r="O322" s="46"/>
      <c r="P322" s="46"/>
      <c r="Q322" s="46"/>
      <c r="R322" s="46"/>
      <c r="S322" s="46"/>
      <c r="T322" s="46"/>
      <c r="U322" s="46"/>
      <c r="V322" s="46"/>
      <c r="W322" s="46"/>
      <c r="X322" s="46"/>
      <c r="Y322" s="46"/>
      <c r="Z322" s="46"/>
      <c r="AA322" s="46"/>
      <c r="AB322" s="46"/>
    </row>
    <row r="323" hidden="1">
      <c r="A323" s="90" t="s">
        <v>540</v>
      </c>
      <c r="B323" s="91" t="str">
        <f>IFERROR(VLOOKUP(A323,'Salary Calculation'!A323:F1320,2,0),"")</f>
        <v/>
      </c>
      <c r="C323" s="91" t="str">
        <f>IFERROR(VLOOKUP(A323,'Salary Calculation'!$A$2:$T$999,3,0),"")</f>
        <v/>
      </c>
      <c r="D323" s="91" t="str">
        <f>IFERROR(VLOOKUP(A323,'Salary Calculation'!$A$2:$T$999,6,0),"")</f>
        <v/>
      </c>
      <c r="E323" s="91" t="str">
        <f>IFERROR(VLOOKUP(A323,'Salary Calculation'!$A$2:$T$999,8,0),"")</f>
        <v/>
      </c>
      <c r="F323" s="92" t="str">
        <f>IFERROR(VLOOKUP(C323,'Employees List'!$B$2:H999,6,0),"")</f>
        <v/>
      </c>
      <c r="G323" s="93" t="str">
        <f>IFERROR(VLOOKUP(A323,'Salary Calculation'!$A$2:$T$999,7,0),"")</f>
        <v/>
      </c>
      <c r="H323" s="94"/>
      <c r="I323" s="46"/>
      <c r="J323" s="46"/>
      <c r="K323" s="46"/>
      <c r="L323" s="46"/>
      <c r="M323" s="46"/>
      <c r="N323" s="46"/>
      <c r="O323" s="46"/>
      <c r="P323" s="46"/>
      <c r="Q323" s="46"/>
      <c r="R323" s="46"/>
      <c r="S323" s="46"/>
      <c r="T323" s="46"/>
      <c r="U323" s="46"/>
      <c r="V323" s="46"/>
      <c r="W323" s="46"/>
      <c r="X323" s="46"/>
      <c r="Y323" s="46"/>
      <c r="Z323" s="46"/>
      <c r="AA323" s="46"/>
      <c r="AB323" s="46"/>
    </row>
    <row r="324" hidden="1">
      <c r="A324" s="90" t="s">
        <v>541</v>
      </c>
      <c r="B324" s="91" t="str">
        <f>IFERROR(VLOOKUP(A324,'Salary Calculation'!A324:F1321,2,0),"")</f>
        <v/>
      </c>
      <c r="C324" s="91" t="str">
        <f>IFERROR(VLOOKUP(A324,'Salary Calculation'!$A$2:$T$999,3,0),"")</f>
        <v/>
      </c>
      <c r="D324" s="91" t="str">
        <f>IFERROR(VLOOKUP(A324,'Salary Calculation'!$A$2:$T$999,6,0),"")</f>
        <v/>
      </c>
      <c r="E324" s="91" t="str">
        <f>IFERROR(VLOOKUP(A324,'Salary Calculation'!$A$2:$T$999,8,0),"")</f>
        <v/>
      </c>
      <c r="F324" s="92" t="str">
        <f>IFERROR(VLOOKUP(C324,'Employees List'!$B$2:H999,6,0),"")</f>
        <v/>
      </c>
      <c r="G324" s="93" t="str">
        <f>IFERROR(VLOOKUP(A324,'Salary Calculation'!$A$2:$T$999,7,0),"")</f>
        <v/>
      </c>
      <c r="H324" s="94"/>
      <c r="I324" s="46"/>
      <c r="J324" s="46"/>
      <c r="K324" s="46"/>
      <c r="L324" s="46"/>
      <c r="M324" s="46"/>
      <c r="N324" s="46"/>
      <c r="O324" s="46"/>
      <c r="P324" s="46"/>
      <c r="Q324" s="46"/>
      <c r="R324" s="46"/>
      <c r="S324" s="46"/>
      <c r="T324" s="46"/>
      <c r="U324" s="46"/>
      <c r="V324" s="46"/>
      <c r="W324" s="46"/>
      <c r="X324" s="46"/>
      <c r="Y324" s="46"/>
      <c r="Z324" s="46"/>
      <c r="AA324" s="46"/>
      <c r="AB324" s="46"/>
    </row>
    <row r="325" hidden="1">
      <c r="A325" s="90" t="s">
        <v>542</v>
      </c>
      <c r="B325" s="91" t="str">
        <f>IFERROR(VLOOKUP(A325,'Salary Calculation'!A325:F1322,2,0),"")</f>
        <v/>
      </c>
      <c r="C325" s="91" t="str">
        <f>IFERROR(VLOOKUP(A325,'Salary Calculation'!$A$2:$T$999,3,0),"")</f>
        <v/>
      </c>
      <c r="D325" s="91" t="str">
        <f>IFERROR(VLOOKUP(A325,'Salary Calculation'!$A$2:$T$999,6,0),"")</f>
        <v/>
      </c>
      <c r="E325" s="91" t="str">
        <f>IFERROR(VLOOKUP(A325,'Salary Calculation'!$A$2:$T$999,8,0),"")</f>
        <v/>
      </c>
      <c r="F325" s="92" t="str">
        <f>IFERROR(VLOOKUP(C325,'Employees List'!$B$2:H999,6,0),"")</f>
        <v/>
      </c>
      <c r="G325" s="93" t="str">
        <f>IFERROR(VLOOKUP(A325,'Salary Calculation'!$A$2:$T$999,7,0),"")</f>
        <v/>
      </c>
      <c r="H325" s="94"/>
      <c r="I325" s="46"/>
      <c r="J325" s="46"/>
      <c r="K325" s="46"/>
      <c r="L325" s="46"/>
      <c r="M325" s="46"/>
      <c r="N325" s="46"/>
      <c r="O325" s="46"/>
      <c r="P325" s="46"/>
      <c r="Q325" s="46"/>
      <c r="R325" s="46"/>
      <c r="S325" s="46"/>
      <c r="T325" s="46"/>
      <c r="U325" s="46"/>
      <c r="V325" s="46"/>
      <c r="W325" s="46"/>
      <c r="X325" s="46"/>
      <c r="Y325" s="46"/>
      <c r="Z325" s="46"/>
      <c r="AA325" s="46"/>
      <c r="AB325" s="46"/>
    </row>
    <row r="326" hidden="1">
      <c r="A326" s="90" t="s">
        <v>543</v>
      </c>
      <c r="B326" s="91" t="str">
        <f>IFERROR(VLOOKUP(A326,'Salary Calculation'!A326:F1323,2,0),"")</f>
        <v/>
      </c>
      <c r="C326" s="91" t="str">
        <f>IFERROR(VLOOKUP(A326,'Salary Calculation'!$A$2:$T$999,3,0),"")</f>
        <v/>
      </c>
      <c r="D326" s="91" t="str">
        <f>IFERROR(VLOOKUP(A326,'Salary Calculation'!$A$2:$T$999,6,0),"")</f>
        <v/>
      </c>
      <c r="E326" s="91" t="str">
        <f>IFERROR(VLOOKUP(A326,'Salary Calculation'!$A$2:$T$999,8,0),"")</f>
        <v/>
      </c>
      <c r="F326" s="92" t="str">
        <f>IFERROR(VLOOKUP(C326,'Employees List'!$B$2:H999,6,0),"")</f>
        <v/>
      </c>
      <c r="G326" s="93" t="str">
        <f>IFERROR(VLOOKUP(A326,'Salary Calculation'!$A$2:$T$999,7,0),"")</f>
        <v/>
      </c>
      <c r="H326" s="94"/>
      <c r="I326" s="46"/>
      <c r="J326" s="46"/>
      <c r="K326" s="46"/>
      <c r="L326" s="46"/>
      <c r="M326" s="46"/>
      <c r="N326" s="46"/>
      <c r="O326" s="46"/>
      <c r="P326" s="46"/>
      <c r="Q326" s="46"/>
      <c r="R326" s="46"/>
      <c r="S326" s="46"/>
      <c r="T326" s="46"/>
      <c r="U326" s="46"/>
      <c r="V326" s="46"/>
      <c r="W326" s="46"/>
      <c r="X326" s="46"/>
      <c r="Y326" s="46"/>
      <c r="Z326" s="46"/>
      <c r="AA326" s="46"/>
      <c r="AB326" s="46"/>
    </row>
    <row r="327" hidden="1">
      <c r="A327" s="90" t="s">
        <v>544</v>
      </c>
      <c r="B327" s="91" t="str">
        <f>IFERROR(VLOOKUP(A327,'Salary Calculation'!A327:F1324,2,0),"")</f>
        <v/>
      </c>
      <c r="C327" s="91" t="str">
        <f>IFERROR(VLOOKUP(A327,'Salary Calculation'!$A$2:$T$999,3,0),"")</f>
        <v/>
      </c>
      <c r="D327" s="91" t="str">
        <f>IFERROR(VLOOKUP(A327,'Salary Calculation'!$A$2:$T$999,6,0),"")</f>
        <v/>
      </c>
      <c r="E327" s="91" t="str">
        <f>IFERROR(VLOOKUP(A327,'Salary Calculation'!$A$2:$T$999,8,0),"")</f>
        <v/>
      </c>
      <c r="F327" s="92" t="str">
        <f>IFERROR(VLOOKUP(C327,'Employees List'!$B$2:H999,6,0),"")</f>
        <v/>
      </c>
      <c r="G327" s="93" t="str">
        <f>IFERROR(VLOOKUP(A327,'Salary Calculation'!$A$2:$T$999,7,0),"")</f>
        <v/>
      </c>
      <c r="H327" s="94"/>
      <c r="I327" s="46"/>
      <c r="J327" s="46"/>
      <c r="K327" s="46"/>
      <c r="L327" s="46"/>
      <c r="M327" s="46"/>
      <c r="N327" s="46"/>
      <c r="O327" s="46"/>
      <c r="P327" s="46"/>
      <c r="Q327" s="46"/>
      <c r="R327" s="46"/>
      <c r="S327" s="46"/>
      <c r="T327" s="46"/>
      <c r="U327" s="46"/>
      <c r="V327" s="46"/>
      <c r="W327" s="46"/>
      <c r="X327" s="46"/>
      <c r="Y327" s="46"/>
      <c r="Z327" s="46"/>
      <c r="AA327" s="46"/>
      <c r="AB327" s="46"/>
    </row>
    <row r="328" hidden="1">
      <c r="A328" s="90" t="s">
        <v>545</v>
      </c>
      <c r="B328" s="91" t="str">
        <f>IFERROR(VLOOKUP(A328,'Salary Calculation'!A328:F1325,2,0),"")</f>
        <v/>
      </c>
      <c r="C328" s="91" t="str">
        <f>IFERROR(VLOOKUP(A328,'Salary Calculation'!$A$2:$T$999,3,0),"")</f>
        <v/>
      </c>
      <c r="D328" s="91" t="str">
        <f>IFERROR(VLOOKUP(A328,'Salary Calculation'!$A$2:$T$999,6,0),"")</f>
        <v/>
      </c>
      <c r="E328" s="91" t="str">
        <f>IFERROR(VLOOKUP(A328,'Salary Calculation'!$A$2:$T$999,8,0),"")</f>
        <v/>
      </c>
      <c r="F328" s="92" t="str">
        <f>IFERROR(VLOOKUP(C328,'Employees List'!$B$2:H999,6,0),"")</f>
        <v/>
      </c>
      <c r="G328" s="93" t="str">
        <f>IFERROR(VLOOKUP(A328,'Salary Calculation'!$A$2:$T$999,7,0),"")</f>
        <v/>
      </c>
      <c r="H328" s="94"/>
      <c r="I328" s="46"/>
      <c r="J328" s="46"/>
      <c r="K328" s="46"/>
      <c r="L328" s="46"/>
      <c r="M328" s="46"/>
      <c r="N328" s="46"/>
      <c r="O328" s="46"/>
      <c r="P328" s="46"/>
      <c r="Q328" s="46"/>
      <c r="R328" s="46"/>
      <c r="S328" s="46"/>
      <c r="T328" s="46"/>
      <c r="U328" s="46"/>
      <c r="V328" s="46"/>
      <c r="W328" s="46"/>
      <c r="X328" s="46"/>
      <c r="Y328" s="46"/>
      <c r="Z328" s="46"/>
      <c r="AA328" s="46"/>
      <c r="AB328" s="46"/>
    </row>
    <row r="329" hidden="1">
      <c r="A329" s="90" t="s">
        <v>546</v>
      </c>
      <c r="B329" s="91" t="str">
        <f>IFERROR(VLOOKUP(A329,'Salary Calculation'!A329:F1326,2,0),"")</f>
        <v/>
      </c>
      <c r="C329" s="91" t="str">
        <f>IFERROR(VLOOKUP(A329,'Salary Calculation'!$A$2:$T$999,3,0),"")</f>
        <v/>
      </c>
      <c r="D329" s="91" t="str">
        <f>IFERROR(VLOOKUP(A329,'Salary Calculation'!$A$2:$T$999,6,0),"")</f>
        <v/>
      </c>
      <c r="E329" s="91" t="str">
        <f>IFERROR(VLOOKUP(A329,'Salary Calculation'!$A$2:$T$999,8,0),"")</f>
        <v/>
      </c>
      <c r="F329" s="92" t="str">
        <f>IFERROR(VLOOKUP(C329,'Employees List'!$B$2:H999,6,0),"")</f>
        <v/>
      </c>
      <c r="G329" s="93" t="str">
        <f>IFERROR(VLOOKUP(A329,'Salary Calculation'!$A$2:$T$999,7,0),"")</f>
        <v/>
      </c>
      <c r="H329" s="94"/>
      <c r="I329" s="46"/>
      <c r="J329" s="46"/>
      <c r="K329" s="46"/>
      <c r="L329" s="46"/>
      <c r="M329" s="46"/>
      <c r="N329" s="46"/>
      <c r="O329" s="46"/>
      <c r="P329" s="46"/>
      <c r="Q329" s="46"/>
      <c r="R329" s="46"/>
      <c r="S329" s="46"/>
      <c r="T329" s="46"/>
      <c r="U329" s="46"/>
      <c r="V329" s="46"/>
      <c r="W329" s="46"/>
      <c r="X329" s="46"/>
      <c r="Y329" s="46"/>
      <c r="Z329" s="46"/>
      <c r="AA329" s="46"/>
      <c r="AB329" s="46"/>
    </row>
    <row r="330" hidden="1">
      <c r="A330" s="90" t="s">
        <v>547</v>
      </c>
      <c r="B330" s="91" t="str">
        <f>IFERROR(VLOOKUP(A330,'Salary Calculation'!A330:F1327,2,0),"")</f>
        <v/>
      </c>
      <c r="C330" s="91" t="str">
        <f>IFERROR(VLOOKUP(A330,'Salary Calculation'!$A$2:$T$999,3,0),"")</f>
        <v/>
      </c>
      <c r="D330" s="91" t="str">
        <f>IFERROR(VLOOKUP(A330,'Salary Calculation'!$A$2:$T$999,6,0),"")</f>
        <v/>
      </c>
      <c r="E330" s="91" t="str">
        <f>IFERROR(VLOOKUP(A330,'Salary Calculation'!$A$2:$T$999,8,0),"")</f>
        <v/>
      </c>
      <c r="F330" s="92" t="str">
        <f>IFERROR(VLOOKUP(C330,'Employees List'!$B$2:H999,6,0),"")</f>
        <v/>
      </c>
      <c r="G330" s="93" t="str">
        <f>IFERROR(VLOOKUP(A330,'Salary Calculation'!$A$2:$T$999,7,0),"")</f>
        <v/>
      </c>
      <c r="H330" s="94"/>
      <c r="I330" s="46"/>
      <c r="J330" s="46"/>
      <c r="K330" s="46"/>
      <c r="L330" s="46"/>
      <c r="M330" s="46"/>
      <c r="N330" s="46"/>
      <c r="O330" s="46"/>
      <c r="P330" s="46"/>
      <c r="Q330" s="46"/>
      <c r="R330" s="46"/>
      <c r="S330" s="46"/>
      <c r="T330" s="46"/>
      <c r="U330" s="46"/>
      <c r="V330" s="46"/>
      <c r="W330" s="46"/>
      <c r="X330" s="46"/>
      <c r="Y330" s="46"/>
      <c r="Z330" s="46"/>
      <c r="AA330" s="46"/>
      <c r="AB330" s="46"/>
    </row>
    <row r="331" hidden="1">
      <c r="A331" s="90" t="s">
        <v>548</v>
      </c>
      <c r="B331" s="91" t="str">
        <f>IFERROR(VLOOKUP(A331,'Salary Calculation'!A331:F1328,2,0),"")</f>
        <v/>
      </c>
      <c r="C331" s="91" t="str">
        <f>IFERROR(VLOOKUP(A331,'Salary Calculation'!$A$2:$T$999,3,0),"")</f>
        <v/>
      </c>
      <c r="D331" s="91" t="str">
        <f>IFERROR(VLOOKUP(A331,'Salary Calculation'!$A$2:$T$999,6,0),"")</f>
        <v/>
      </c>
      <c r="E331" s="91" t="str">
        <f>IFERROR(VLOOKUP(A331,'Salary Calculation'!$A$2:$T$999,8,0),"")</f>
        <v/>
      </c>
      <c r="F331" s="92" t="str">
        <f>IFERROR(VLOOKUP(C331,'Employees List'!$B$2:H999,6,0),"")</f>
        <v/>
      </c>
      <c r="G331" s="93" t="str">
        <f>IFERROR(VLOOKUP(A331,'Salary Calculation'!$A$2:$T$999,7,0),"")</f>
        <v/>
      </c>
      <c r="H331" s="94"/>
      <c r="I331" s="46"/>
      <c r="J331" s="46"/>
      <c r="K331" s="46"/>
      <c r="L331" s="46"/>
      <c r="M331" s="46"/>
      <c r="N331" s="46"/>
      <c r="O331" s="46"/>
      <c r="P331" s="46"/>
      <c r="Q331" s="46"/>
      <c r="R331" s="46"/>
      <c r="S331" s="46"/>
      <c r="T331" s="46"/>
      <c r="U331" s="46"/>
      <c r="V331" s="46"/>
      <c r="W331" s="46"/>
      <c r="X331" s="46"/>
      <c r="Y331" s="46"/>
      <c r="Z331" s="46"/>
      <c r="AA331" s="46"/>
      <c r="AB331" s="46"/>
    </row>
    <row r="332" hidden="1">
      <c r="A332" s="90" t="s">
        <v>549</v>
      </c>
      <c r="B332" s="91" t="str">
        <f>IFERROR(VLOOKUP(A332,'Salary Calculation'!A332:F1329,2,0),"")</f>
        <v/>
      </c>
      <c r="C332" s="91" t="str">
        <f>IFERROR(VLOOKUP(A332,'Salary Calculation'!$A$2:$T$999,3,0),"")</f>
        <v/>
      </c>
      <c r="D332" s="91" t="str">
        <f>IFERROR(VLOOKUP(A332,'Salary Calculation'!$A$2:$T$999,6,0),"")</f>
        <v/>
      </c>
      <c r="E332" s="91" t="str">
        <f>IFERROR(VLOOKUP(A332,'Salary Calculation'!$A$2:$T$999,8,0),"")</f>
        <v/>
      </c>
      <c r="F332" s="92" t="str">
        <f>IFERROR(VLOOKUP(C332,'Employees List'!$B$2:H999,6,0),"")</f>
        <v/>
      </c>
      <c r="G332" s="93" t="str">
        <f>IFERROR(VLOOKUP(A332,'Salary Calculation'!$A$2:$T$999,7,0),"")</f>
        <v/>
      </c>
      <c r="H332" s="94"/>
      <c r="I332" s="46"/>
      <c r="J332" s="46"/>
      <c r="K332" s="46"/>
      <c r="L332" s="46"/>
      <c r="M332" s="46"/>
      <c r="N332" s="46"/>
      <c r="O332" s="46"/>
      <c r="P332" s="46"/>
      <c r="Q332" s="46"/>
      <c r="R332" s="46"/>
      <c r="S332" s="46"/>
      <c r="T332" s="46"/>
      <c r="U332" s="46"/>
      <c r="V332" s="46"/>
      <c r="W332" s="46"/>
      <c r="X332" s="46"/>
      <c r="Y332" s="46"/>
      <c r="Z332" s="46"/>
      <c r="AA332" s="46"/>
      <c r="AB332" s="46"/>
    </row>
    <row r="333" hidden="1">
      <c r="A333" s="90" t="s">
        <v>550</v>
      </c>
      <c r="B333" s="91" t="str">
        <f>IFERROR(VLOOKUP(A333,'Salary Calculation'!A333:F1330,2,0),"")</f>
        <v/>
      </c>
      <c r="C333" s="91" t="str">
        <f>IFERROR(VLOOKUP(A333,'Salary Calculation'!$A$2:$T$999,3,0),"")</f>
        <v/>
      </c>
      <c r="D333" s="91" t="str">
        <f>IFERROR(VLOOKUP(A333,'Salary Calculation'!$A$2:$T$999,6,0),"")</f>
        <v/>
      </c>
      <c r="E333" s="91" t="str">
        <f>IFERROR(VLOOKUP(A333,'Salary Calculation'!$A$2:$T$999,8,0),"")</f>
        <v/>
      </c>
      <c r="F333" s="92" t="str">
        <f>IFERROR(VLOOKUP(C333,'Employees List'!$B$2:H999,6,0),"")</f>
        <v/>
      </c>
      <c r="G333" s="93" t="str">
        <f>IFERROR(VLOOKUP(A333,'Salary Calculation'!$A$2:$T$999,7,0),"")</f>
        <v/>
      </c>
      <c r="H333" s="94"/>
      <c r="I333" s="46"/>
      <c r="J333" s="46"/>
      <c r="K333" s="46"/>
      <c r="L333" s="46"/>
      <c r="M333" s="46"/>
      <c r="N333" s="46"/>
      <c r="O333" s="46"/>
      <c r="P333" s="46"/>
      <c r="Q333" s="46"/>
      <c r="R333" s="46"/>
      <c r="S333" s="46"/>
      <c r="T333" s="46"/>
      <c r="U333" s="46"/>
      <c r="V333" s="46"/>
      <c r="W333" s="46"/>
      <c r="X333" s="46"/>
      <c r="Y333" s="46"/>
      <c r="Z333" s="46"/>
      <c r="AA333" s="46"/>
      <c r="AB333" s="46"/>
    </row>
    <row r="334" hidden="1">
      <c r="A334" s="90" t="s">
        <v>551</v>
      </c>
      <c r="B334" s="91" t="str">
        <f>IFERROR(VLOOKUP(A334,'Salary Calculation'!A334:F1331,2,0),"")</f>
        <v/>
      </c>
      <c r="C334" s="91" t="str">
        <f>IFERROR(VLOOKUP(A334,'Salary Calculation'!$A$2:$T$999,3,0),"")</f>
        <v/>
      </c>
      <c r="D334" s="91" t="str">
        <f>IFERROR(VLOOKUP(A334,'Salary Calculation'!$A$2:$T$999,6,0),"")</f>
        <v/>
      </c>
      <c r="E334" s="91" t="str">
        <f>IFERROR(VLOOKUP(A334,'Salary Calculation'!$A$2:$T$999,8,0),"")</f>
        <v/>
      </c>
      <c r="F334" s="92" t="str">
        <f>IFERROR(VLOOKUP(C334,'Employees List'!$B$2:H999,6,0),"")</f>
        <v/>
      </c>
      <c r="G334" s="93" t="str">
        <f>IFERROR(VLOOKUP(A334,'Salary Calculation'!$A$2:$T$999,7,0),"")</f>
        <v/>
      </c>
      <c r="H334" s="94"/>
      <c r="I334" s="46"/>
      <c r="J334" s="46"/>
      <c r="K334" s="46"/>
      <c r="L334" s="46"/>
      <c r="M334" s="46"/>
      <c r="N334" s="46"/>
      <c r="O334" s="46"/>
      <c r="P334" s="46"/>
      <c r="Q334" s="46"/>
      <c r="R334" s="46"/>
      <c r="S334" s="46"/>
      <c r="T334" s="46"/>
      <c r="U334" s="46"/>
      <c r="V334" s="46"/>
      <c r="W334" s="46"/>
      <c r="X334" s="46"/>
      <c r="Y334" s="46"/>
      <c r="Z334" s="46"/>
      <c r="AA334" s="46"/>
      <c r="AB334" s="46"/>
    </row>
    <row r="335" hidden="1">
      <c r="A335" s="90" t="s">
        <v>552</v>
      </c>
      <c r="B335" s="91" t="str">
        <f>IFERROR(VLOOKUP(A335,'Salary Calculation'!A335:F1332,2,0),"")</f>
        <v/>
      </c>
      <c r="C335" s="91" t="str">
        <f>IFERROR(VLOOKUP(A335,'Salary Calculation'!$A$2:$T$999,3,0),"")</f>
        <v/>
      </c>
      <c r="D335" s="91" t="str">
        <f>IFERROR(VLOOKUP(A335,'Salary Calculation'!$A$2:$T$999,6,0),"")</f>
        <v/>
      </c>
      <c r="E335" s="91" t="str">
        <f>IFERROR(VLOOKUP(A335,'Salary Calculation'!$A$2:$T$999,8,0),"")</f>
        <v/>
      </c>
      <c r="F335" s="92" t="str">
        <f>IFERROR(VLOOKUP(C335,'Employees List'!$B$2:H999,6,0),"")</f>
        <v/>
      </c>
      <c r="G335" s="93" t="str">
        <f>IFERROR(VLOOKUP(A335,'Salary Calculation'!$A$2:$T$999,7,0),"")</f>
        <v/>
      </c>
      <c r="H335" s="94"/>
      <c r="I335" s="46"/>
      <c r="J335" s="46"/>
      <c r="K335" s="46"/>
      <c r="L335" s="46"/>
      <c r="M335" s="46"/>
      <c r="N335" s="46"/>
      <c r="O335" s="46"/>
      <c r="P335" s="46"/>
      <c r="Q335" s="46"/>
      <c r="R335" s="46"/>
      <c r="S335" s="46"/>
      <c r="T335" s="46"/>
      <c r="U335" s="46"/>
      <c r="V335" s="46"/>
      <c r="W335" s="46"/>
      <c r="X335" s="46"/>
      <c r="Y335" s="46"/>
      <c r="Z335" s="46"/>
      <c r="AA335" s="46"/>
      <c r="AB335" s="46"/>
    </row>
    <row r="336" hidden="1">
      <c r="A336" s="90" t="s">
        <v>553</v>
      </c>
      <c r="B336" s="91" t="str">
        <f>IFERROR(VLOOKUP(A336,'Salary Calculation'!A336:F1333,2,0),"")</f>
        <v/>
      </c>
      <c r="C336" s="91" t="str">
        <f>IFERROR(VLOOKUP(A336,'Salary Calculation'!$A$2:$T$999,3,0),"")</f>
        <v/>
      </c>
      <c r="D336" s="91" t="str">
        <f>IFERROR(VLOOKUP(A336,'Salary Calculation'!$A$2:$T$999,6,0),"")</f>
        <v/>
      </c>
      <c r="E336" s="91" t="str">
        <f>IFERROR(VLOOKUP(A336,'Salary Calculation'!$A$2:$T$999,8,0),"")</f>
        <v/>
      </c>
      <c r="F336" s="92" t="str">
        <f>IFERROR(VLOOKUP(C336,'Employees List'!$B$2:H999,6,0),"")</f>
        <v/>
      </c>
      <c r="G336" s="93" t="str">
        <f>IFERROR(VLOOKUP(A336,'Salary Calculation'!$A$2:$T$999,7,0),"")</f>
        <v/>
      </c>
      <c r="H336" s="94"/>
      <c r="I336" s="46"/>
      <c r="J336" s="46"/>
      <c r="K336" s="46"/>
      <c r="L336" s="46"/>
      <c r="M336" s="46"/>
      <c r="N336" s="46"/>
      <c r="O336" s="46"/>
      <c r="P336" s="46"/>
      <c r="Q336" s="46"/>
      <c r="R336" s="46"/>
      <c r="S336" s="46"/>
      <c r="T336" s="46"/>
      <c r="U336" s="46"/>
      <c r="V336" s="46"/>
      <c r="W336" s="46"/>
      <c r="X336" s="46"/>
      <c r="Y336" s="46"/>
      <c r="Z336" s="46"/>
      <c r="AA336" s="46"/>
      <c r="AB336" s="46"/>
    </row>
    <row r="337" hidden="1">
      <c r="A337" s="90" t="s">
        <v>554</v>
      </c>
      <c r="B337" s="91" t="str">
        <f>IFERROR(VLOOKUP(A337,'Salary Calculation'!A337:F1334,2,0),"")</f>
        <v/>
      </c>
      <c r="C337" s="91" t="str">
        <f>IFERROR(VLOOKUP(A337,'Salary Calculation'!$A$2:$T$999,3,0),"")</f>
        <v/>
      </c>
      <c r="D337" s="91" t="str">
        <f>IFERROR(VLOOKUP(A337,'Salary Calculation'!$A$2:$T$999,6,0),"")</f>
        <v/>
      </c>
      <c r="E337" s="91" t="str">
        <f>IFERROR(VLOOKUP(A337,'Salary Calculation'!$A$2:$T$999,8,0),"")</f>
        <v/>
      </c>
      <c r="F337" s="92" t="str">
        <f>IFERROR(VLOOKUP(C337,'Employees List'!$B$2:H999,6,0),"")</f>
        <v/>
      </c>
      <c r="G337" s="93" t="str">
        <f>IFERROR(VLOOKUP(A337,'Salary Calculation'!$A$2:$T$999,7,0),"")</f>
        <v/>
      </c>
      <c r="H337" s="94"/>
      <c r="I337" s="46"/>
      <c r="J337" s="46"/>
      <c r="K337" s="46"/>
      <c r="L337" s="46"/>
      <c r="M337" s="46"/>
      <c r="N337" s="46"/>
      <c r="O337" s="46"/>
      <c r="P337" s="46"/>
      <c r="Q337" s="46"/>
      <c r="R337" s="46"/>
      <c r="S337" s="46"/>
      <c r="T337" s="46"/>
      <c r="U337" s="46"/>
      <c r="V337" s="46"/>
      <c r="W337" s="46"/>
      <c r="X337" s="46"/>
      <c r="Y337" s="46"/>
      <c r="Z337" s="46"/>
      <c r="AA337" s="46"/>
      <c r="AB337" s="46"/>
    </row>
    <row r="338" hidden="1">
      <c r="A338" s="90" t="s">
        <v>555</v>
      </c>
      <c r="B338" s="91" t="str">
        <f>IFERROR(VLOOKUP(A338,'Salary Calculation'!A338:F1335,2,0),"")</f>
        <v/>
      </c>
      <c r="C338" s="91" t="str">
        <f>IFERROR(VLOOKUP(A338,'Salary Calculation'!$A$2:$T$999,3,0),"")</f>
        <v/>
      </c>
      <c r="D338" s="91" t="str">
        <f>IFERROR(VLOOKUP(A338,'Salary Calculation'!$A$2:$T$999,6,0),"")</f>
        <v/>
      </c>
      <c r="E338" s="91" t="str">
        <f>IFERROR(VLOOKUP(A338,'Salary Calculation'!$A$2:$T$999,8,0),"")</f>
        <v/>
      </c>
      <c r="F338" s="92" t="str">
        <f>IFERROR(VLOOKUP(C338,'Employees List'!$B$2:H999,6,0),"")</f>
        <v/>
      </c>
      <c r="G338" s="93" t="str">
        <f>IFERROR(VLOOKUP(A338,'Salary Calculation'!$A$2:$T$999,7,0),"")</f>
        <v/>
      </c>
      <c r="H338" s="94"/>
      <c r="I338" s="46"/>
      <c r="J338" s="46"/>
      <c r="K338" s="46"/>
      <c r="L338" s="46"/>
      <c r="M338" s="46"/>
      <c r="N338" s="46"/>
      <c r="O338" s="46"/>
      <c r="P338" s="46"/>
      <c r="Q338" s="46"/>
      <c r="R338" s="46"/>
      <c r="S338" s="46"/>
      <c r="T338" s="46"/>
      <c r="U338" s="46"/>
      <c r="V338" s="46"/>
      <c r="W338" s="46"/>
      <c r="X338" s="46"/>
      <c r="Y338" s="46"/>
      <c r="Z338" s="46"/>
      <c r="AA338" s="46"/>
      <c r="AB338" s="46"/>
    </row>
    <row r="339" hidden="1">
      <c r="A339" s="90" t="s">
        <v>556</v>
      </c>
      <c r="B339" s="91" t="str">
        <f>IFERROR(VLOOKUP(A339,'Salary Calculation'!A339:F1336,2,0),"")</f>
        <v/>
      </c>
      <c r="C339" s="91" t="str">
        <f>IFERROR(VLOOKUP(A339,'Salary Calculation'!$A$2:$T$999,3,0),"")</f>
        <v/>
      </c>
      <c r="D339" s="91" t="str">
        <f>IFERROR(VLOOKUP(A339,'Salary Calculation'!$A$2:$T$999,6,0),"")</f>
        <v/>
      </c>
      <c r="E339" s="91" t="str">
        <f>IFERROR(VLOOKUP(A339,'Salary Calculation'!$A$2:$T$999,8,0),"")</f>
        <v/>
      </c>
      <c r="F339" s="92" t="str">
        <f>IFERROR(VLOOKUP(C339,'Employees List'!$B$2:H999,6,0),"")</f>
        <v/>
      </c>
      <c r="G339" s="93" t="str">
        <f>IFERROR(VLOOKUP(A339,'Salary Calculation'!$A$2:$T$999,7,0),"")</f>
        <v/>
      </c>
      <c r="H339" s="94"/>
      <c r="I339" s="46"/>
      <c r="J339" s="46"/>
      <c r="K339" s="46"/>
      <c r="L339" s="46"/>
      <c r="M339" s="46"/>
      <c r="N339" s="46"/>
      <c r="O339" s="46"/>
      <c r="P339" s="46"/>
      <c r="Q339" s="46"/>
      <c r="R339" s="46"/>
      <c r="S339" s="46"/>
      <c r="T339" s="46"/>
      <c r="U339" s="46"/>
      <c r="V339" s="46"/>
      <c r="W339" s="46"/>
      <c r="X339" s="46"/>
      <c r="Y339" s="46"/>
      <c r="Z339" s="46"/>
      <c r="AA339" s="46"/>
      <c r="AB339" s="46"/>
    </row>
    <row r="340" hidden="1">
      <c r="A340" s="90" t="s">
        <v>557</v>
      </c>
      <c r="B340" s="91" t="str">
        <f>IFERROR(VLOOKUP(A340,'Salary Calculation'!A340:F1337,2,0),"")</f>
        <v/>
      </c>
      <c r="C340" s="91" t="str">
        <f>IFERROR(VLOOKUP(A340,'Salary Calculation'!$A$2:$T$999,3,0),"")</f>
        <v/>
      </c>
      <c r="D340" s="91" t="str">
        <f>IFERROR(VLOOKUP(A340,'Salary Calculation'!$A$2:$T$999,6,0),"")</f>
        <v/>
      </c>
      <c r="E340" s="91" t="str">
        <f>IFERROR(VLOOKUP(A340,'Salary Calculation'!$A$2:$T$999,8,0),"")</f>
        <v/>
      </c>
      <c r="F340" s="92" t="str">
        <f>IFERROR(VLOOKUP(C340,'Employees List'!$B$2:H999,6,0),"")</f>
        <v/>
      </c>
      <c r="G340" s="93" t="str">
        <f>IFERROR(VLOOKUP(A340,'Salary Calculation'!$A$2:$T$999,7,0),"")</f>
        <v/>
      </c>
      <c r="H340" s="94"/>
      <c r="I340" s="46"/>
      <c r="J340" s="46"/>
      <c r="K340" s="46"/>
      <c r="L340" s="46"/>
      <c r="M340" s="46"/>
      <c r="N340" s="46"/>
      <c r="O340" s="46"/>
      <c r="P340" s="46"/>
      <c r="Q340" s="46"/>
      <c r="R340" s="46"/>
      <c r="S340" s="46"/>
      <c r="T340" s="46"/>
      <c r="U340" s="46"/>
      <c r="V340" s="46"/>
      <c r="W340" s="46"/>
      <c r="X340" s="46"/>
      <c r="Y340" s="46"/>
      <c r="Z340" s="46"/>
      <c r="AA340" s="46"/>
      <c r="AB340" s="46"/>
    </row>
    <row r="341" hidden="1">
      <c r="A341" s="90" t="s">
        <v>558</v>
      </c>
      <c r="B341" s="91" t="str">
        <f>IFERROR(VLOOKUP(A341,'Salary Calculation'!A341:F1338,2,0),"")</f>
        <v/>
      </c>
      <c r="C341" s="91" t="str">
        <f>IFERROR(VLOOKUP(A341,'Salary Calculation'!$A$2:$T$999,3,0),"")</f>
        <v/>
      </c>
      <c r="D341" s="91" t="str">
        <f>IFERROR(VLOOKUP(A341,'Salary Calculation'!$A$2:$T$999,6,0),"")</f>
        <v/>
      </c>
      <c r="E341" s="91" t="str">
        <f>IFERROR(VLOOKUP(A341,'Salary Calculation'!$A$2:$T$999,8,0),"")</f>
        <v/>
      </c>
      <c r="F341" s="92" t="str">
        <f>IFERROR(VLOOKUP(C341,'Employees List'!$B$2:H999,6,0),"")</f>
        <v/>
      </c>
      <c r="G341" s="93" t="str">
        <f>IFERROR(VLOOKUP(A341,'Salary Calculation'!$A$2:$T$999,7,0),"")</f>
        <v/>
      </c>
      <c r="H341" s="94"/>
      <c r="I341" s="46"/>
      <c r="J341" s="46"/>
      <c r="K341" s="46"/>
      <c r="L341" s="46"/>
      <c r="M341" s="46"/>
      <c r="N341" s="46"/>
      <c r="O341" s="46"/>
      <c r="P341" s="46"/>
      <c r="Q341" s="46"/>
      <c r="R341" s="46"/>
      <c r="S341" s="46"/>
      <c r="T341" s="46"/>
      <c r="U341" s="46"/>
      <c r="V341" s="46"/>
      <c r="W341" s="46"/>
      <c r="X341" s="46"/>
      <c r="Y341" s="46"/>
      <c r="Z341" s="46"/>
      <c r="AA341" s="46"/>
      <c r="AB341" s="46"/>
    </row>
    <row r="342" hidden="1">
      <c r="A342" s="90" t="s">
        <v>559</v>
      </c>
      <c r="B342" s="91" t="str">
        <f>IFERROR(VLOOKUP(A342,'Salary Calculation'!A342:F1339,2,0),"")</f>
        <v/>
      </c>
      <c r="C342" s="91" t="str">
        <f>IFERROR(VLOOKUP(A342,'Salary Calculation'!$A$2:$T$999,3,0),"")</f>
        <v/>
      </c>
      <c r="D342" s="91" t="str">
        <f>IFERROR(VLOOKUP(A342,'Salary Calculation'!$A$2:$T$999,6,0),"")</f>
        <v/>
      </c>
      <c r="E342" s="91" t="str">
        <f>IFERROR(VLOOKUP(A342,'Salary Calculation'!$A$2:$T$999,8,0),"")</f>
        <v/>
      </c>
      <c r="F342" s="92" t="str">
        <f>IFERROR(VLOOKUP(C342,'Employees List'!$B$2:H999,6,0),"")</f>
        <v/>
      </c>
      <c r="G342" s="93" t="str">
        <f>IFERROR(VLOOKUP(A342,'Salary Calculation'!$A$2:$T$999,7,0),"")</f>
        <v/>
      </c>
      <c r="H342" s="94"/>
      <c r="I342" s="46"/>
      <c r="J342" s="46"/>
      <c r="K342" s="46"/>
      <c r="L342" s="46"/>
      <c r="M342" s="46"/>
      <c r="N342" s="46"/>
      <c r="O342" s="46"/>
      <c r="P342" s="46"/>
      <c r="Q342" s="46"/>
      <c r="R342" s="46"/>
      <c r="S342" s="46"/>
      <c r="T342" s="46"/>
      <c r="U342" s="46"/>
      <c r="V342" s="46"/>
      <c r="W342" s="46"/>
      <c r="X342" s="46"/>
      <c r="Y342" s="46"/>
      <c r="Z342" s="46"/>
      <c r="AA342" s="46"/>
      <c r="AB342" s="46"/>
    </row>
    <row r="343" hidden="1">
      <c r="A343" s="90" t="s">
        <v>560</v>
      </c>
      <c r="B343" s="91" t="str">
        <f>IFERROR(VLOOKUP(A343,'Salary Calculation'!A343:F1340,2,0),"")</f>
        <v/>
      </c>
      <c r="C343" s="91" t="str">
        <f>IFERROR(VLOOKUP(A343,'Salary Calculation'!$A$2:$T$999,3,0),"")</f>
        <v/>
      </c>
      <c r="D343" s="91" t="str">
        <f>IFERROR(VLOOKUP(A343,'Salary Calculation'!$A$2:$T$999,6,0),"")</f>
        <v/>
      </c>
      <c r="E343" s="91" t="str">
        <f>IFERROR(VLOOKUP(A343,'Salary Calculation'!$A$2:$T$999,8,0),"")</f>
        <v/>
      </c>
      <c r="F343" s="92" t="str">
        <f>IFERROR(VLOOKUP(C343,'Employees List'!$B$2:H999,6,0),"")</f>
        <v/>
      </c>
      <c r="G343" s="93" t="str">
        <f>IFERROR(VLOOKUP(A343,'Salary Calculation'!$A$2:$T$999,7,0),"")</f>
        <v/>
      </c>
      <c r="H343" s="94"/>
      <c r="I343" s="46"/>
      <c r="J343" s="46"/>
      <c r="K343" s="46"/>
      <c r="L343" s="46"/>
      <c r="M343" s="46"/>
      <c r="N343" s="46"/>
      <c r="O343" s="46"/>
      <c r="P343" s="46"/>
      <c r="Q343" s="46"/>
      <c r="R343" s="46"/>
      <c r="S343" s="46"/>
      <c r="T343" s="46"/>
      <c r="U343" s="46"/>
      <c r="V343" s="46"/>
      <c r="W343" s="46"/>
      <c r="X343" s="46"/>
      <c r="Y343" s="46"/>
      <c r="Z343" s="46"/>
      <c r="AA343" s="46"/>
      <c r="AB343" s="46"/>
    </row>
    <row r="344" hidden="1">
      <c r="A344" s="90" t="s">
        <v>561</v>
      </c>
      <c r="B344" s="91" t="str">
        <f>IFERROR(VLOOKUP(A344,'Salary Calculation'!A344:F1341,2,0),"")</f>
        <v/>
      </c>
      <c r="C344" s="91" t="str">
        <f>IFERROR(VLOOKUP(A344,'Salary Calculation'!$A$2:$T$999,3,0),"")</f>
        <v/>
      </c>
      <c r="D344" s="91" t="str">
        <f>IFERROR(VLOOKUP(A344,'Salary Calculation'!$A$2:$T$999,6,0),"")</f>
        <v/>
      </c>
      <c r="E344" s="91" t="str">
        <f>IFERROR(VLOOKUP(A344,'Salary Calculation'!$A$2:$T$999,8,0),"")</f>
        <v/>
      </c>
      <c r="F344" s="92" t="str">
        <f>IFERROR(VLOOKUP(C344,'Employees List'!$B$2:H999,6,0),"")</f>
        <v/>
      </c>
      <c r="G344" s="93" t="str">
        <f>IFERROR(VLOOKUP(A344,'Salary Calculation'!$A$2:$T$999,7,0),"")</f>
        <v/>
      </c>
      <c r="H344" s="94"/>
      <c r="I344" s="46"/>
      <c r="J344" s="46"/>
      <c r="K344" s="46"/>
      <c r="L344" s="46"/>
      <c r="M344" s="46"/>
      <c r="N344" s="46"/>
      <c r="O344" s="46"/>
      <c r="P344" s="46"/>
      <c r="Q344" s="46"/>
      <c r="R344" s="46"/>
      <c r="S344" s="46"/>
      <c r="T344" s="46"/>
      <c r="U344" s="46"/>
      <c r="V344" s="46"/>
      <c r="W344" s="46"/>
      <c r="X344" s="46"/>
      <c r="Y344" s="46"/>
      <c r="Z344" s="46"/>
      <c r="AA344" s="46"/>
      <c r="AB344" s="46"/>
    </row>
    <row r="345" hidden="1">
      <c r="A345" s="90" t="s">
        <v>562</v>
      </c>
      <c r="B345" s="91" t="str">
        <f>IFERROR(VLOOKUP(A345,'Salary Calculation'!A345:F1342,2,0),"")</f>
        <v/>
      </c>
      <c r="C345" s="91" t="str">
        <f>IFERROR(VLOOKUP(A345,'Salary Calculation'!$A$2:$T$999,3,0),"")</f>
        <v/>
      </c>
      <c r="D345" s="91" t="str">
        <f>IFERROR(VLOOKUP(A345,'Salary Calculation'!$A$2:$T$999,6,0),"")</f>
        <v/>
      </c>
      <c r="E345" s="91" t="str">
        <f>IFERROR(VLOOKUP(A345,'Salary Calculation'!$A$2:$T$999,8,0),"")</f>
        <v/>
      </c>
      <c r="F345" s="92" t="str">
        <f>IFERROR(VLOOKUP(C345,'Employees List'!$B$2:H999,6,0),"")</f>
        <v/>
      </c>
      <c r="G345" s="93" t="str">
        <f>IFERROR(VLOOKUP(A345,'Salary Calculation'!$A$2:$T$999,7,0),"")</f>
        <v/>
      </c>
      <c r="H345" s="94"/>
      <c r="I345" s="46"/>
      <c r="J345" s="46"/>
      <c r="K345" s="46"/>
      <c r="L345" s="46"/>
      <c r="M345" s="46"/>
      <c r="N345" s="46"/>
      <c r="O345" s="46"/>
      <c r="P345" s="46"/>
      <c r="Q345" s="46"/>
      <c r="R345" s="46"/>
      <c r="S345" s="46"/>
      <c r="T345" s="46"/>
      <c r="U345" s="46"/>
      <c r="V345" s="46"/>
      <c r="W345" s="46"/>
      <c r="X345" s="46"/>
      <c r="Y345" s="46"/>
      <c r="Z345" s="46"/>
      <c r="AA345" s="46"/>
      <c r="AB345" s="46"/>
    </row>
    <row r="346" hidden="1">
      <c r="A346" s="90" t="s">
        <v>563</v>
      </c>
      <c r="B346" s="91" t="str">
        <f>IFERROR(VLOOKUP(A346,'Salary Calculation'!A346:F1343,2,0),"")</f>
        <v/>
      </c>
      <c r="C346" s="91" t="str">
        <f>IFERROR(VLOOKUP(A346,'Salary Calculation'!$A$2:$T$999,3,0),"")</f>
        <v/>
      </c>
      <c r="D346" s="91" t="str">
        <f>IFERROR(VLOOKUP(A346,'Salary Calculation'!$A$2:$T$999,6,0),"")</f>
        <v/>
      </c>
      <c r="E346" s="91" t="str">
        <f>IFERROR(VLOOKUP(A346,'Salary Calculation'!$A$2:$T$999,8,0),"")</f>
        <v/>
      </c>
      <c r="F346" s="92" t="str">
        <f>IFERROR(VLOOKUP(C346,'Employees List'!$B$2:H999,6,0),"")</f>
        <v/>
      </c>
      <c r="G346" s="93" t="str">
        <f>IFERROR(VLOOKUP(A346,'Salary Calculation'!$A$2:$T$999,7,0),"")</f>
        <v/>
      </c>
      <c r="H346" s="94"/>
      <c r="I346" s="46"/>
      <c r="J346" s="46"/>
      <c r="K346" s="46"/>
      <c r="L346" s="46"/>
      <c r="M346" s="46"/>
      <c r="N346" s="46"/>
      <c r="O346" s="46"/>
      <c r="P346" s="46"/>
      <c r="Q346" s="46"/>
      <c r="R346" s="46"/>
      <c r="S346" s="46"/>
      <c r="T346" s="46"/>
      <c r="U346" s="46"/>
      <c r="V346" s="46"/>
      <c r="W346" s="46"/>
      <c r="X346" s="46"/>
      <c r="Y346" s="46"/>
      <c r="Z346" s="46"/>
      <c r="AA346" s="46"/>
      <c r="AB346" s="46"/>
    </row>
    <row r="347" hidden="1">
      <c r="A347" s="90" t="s">
        <v>564</v>
      </c>
      <c r="B347" s="91" t="str">
        <f>IFERROR(VLOOKUP(A347,'Salary Calculation'!A347:F1344,2,0),"")</f>
        <v/>
      </c>
      <c r="C347" s="91" t="str">
        <f>IFERROR(VLOOKUP(A347,'Salary Calculation'!$A$2:$T$999,3,0),"")</f>
        <v/>
      </c>
      <c r="D347" s="91" t="str">
        <f>IFERROR(VLOOKUP(A347,'Salary Calculation'!$A$2:$T$999,6,0),"")</f>
        <v/>
      </c>
      <c r="E347" s="91" t="str">
        <f>IFERROR(VLOOKUP(A347,'Salary Calculation'!$A$2:$T$999,8,0),"")</f>
        <v/>
      </c>
      <c r="F347" s="92" t="str">
        <f>IFERROR(VLOOKUP(C347,'Employees List'!$B$2:H999,6,0),"")</f>
        <v/>
      </c>
      <c r="G347" s="93" t="str">
        <f>IFERROR(VLOOKUP(A347,'Salary Calculation'!$A$2:$T$999,7,0),"")</f>
        <v/>
      </c>
      <c r="H347" s="94"/>
      <c r="I347" s="46"/>
      <c r="J347" s="46"/>
      <c r="K347" s="46"/>
      <c r="L347" s="46"/>
      <c r="M347" s="46"/>
      <c r="N347" s="46"/>
      <c r="O347" s="46"/>
      <c r="P347" s="46"/>
      <c r="Q347" s="46"/>
      <c r="R347" s="46"/>
      <c r="S347" s="46"/>
      <c r="T347" s="46"/>
      <c r="U347" s="46"/>
      <c r="V347" s="46"/>
      <c r="W347" s="46"/>
      <c r="X347" s="46"/>
      <c r="Y347" s="46"/>
      <c r="Z347" s="46"/>
      <c r="AA347" s="46"/>
      <c r="AB347" s="46"/>
    </row>
    <row r="348" hidden="1">
      <c r="A348" s="90" t="s">
        <v>565</v>
      </c>
      <c r="B348" s="91" t="str">
        <f>IFERROR(VLOOKUP(A348,'Salary Calculation'!A348:F1345,2,0),"")</f>
        <v/>
      </c>
      <c r="C348" s="91" t="str">
        <f>IFERROR(VLOOKUP(A348,'Salary Calculation'!$A$2:$T$999,3,0),"")</f>
        <v/>
      </c>
      <c r="D348" s="91" t="str">
        <f>IFERROR(VLOOKUP(A348,'Salary Calculation'!$A$2:$T$999,6,0),"")</f>
        <v/>
      </c>
      <c r="E348" s="91" t="str">
        <f>IFERROR(VLOOKUP(A348,'Salary Calculation'!$A$2:$T$999,8,0),"")</f>
        <v/>
      </c>
      <c r="F348" s="92" t="str">
        <f>IFERROR(VLOOKUP(C348,'Employees List'!$B$2:H999,6,0),"")</f>
        <v/>
      </c>
      <c r="G348" s="93" t="str">
        <f>IFERROR(VLOOKUP(A348,'Salary Calculation'!$A$2:$T$999,7,0),"")</f>
        <v/>
      </c>
      <c r="H348" s="94"/>
      <c r="I348" s="46"/>
      <c r="J348" s="46"/>
      <c r="K348" s="46"/>
      <c r="L348" s="46"/>
      <c r="M348" s="46"/>
      <c r="N348" s="46"/>
      <c r="O348" s="46"/>
      <c r="P348" s="46"/>
      <c r="Q348" s="46"/>
      <c r="R348" s="46"/>
      <c r="S348" s="46"/>
      <c r="T348" s="46"/>
      <c r="U348" s="46"/>
      <c r="V348" s="46"/>
      <c r="W348" s="46"/>
      <c r="X348" s="46"/>
      <c r="Y348" s="46"/>
      <c r="Z348" s="46"/>
      <c r="AA348" s="46"/>
      <c r="AB348" s="46"/>
    </row>
    <row r="349" hidden="1">
      <c r="A349" s="90" t="s">
        <v>566</v>
      </c>
      <c r="B349" s="91" t="str">
        <f>IFERROR(VLOOKUP(A349,'Salary Calculation'!A349:F1346,2,0),"")</f>
        <v/>
      </c>
      <c r="C349" s="91" t="str">
        <f>IFERROR(VLOOKUP(A349,'Salary Calculation'!$A$2:$T$999,3,0),"")</f>
        <v/>
      </c>
      <c r="D349" s="91" t="str">
        <f>IFERROR(VLOOKUP(A349,'Salary Calculation'!$A$2:$T$999,6,0),"")</f>
        <v/>
      </c>
      <c r="E349" s="91" t="str">
        <f>IFERROR(VLOOKUP(A349,'Salary Calculation'!$A$2:$T$999,8,0),"")</f>
        <v/>
      </c>
      <c r="F349" s="92" t="str">
        <f>IFERROR(VLOOKUP(C349,'Employees List'!$B$2:H999,6,0),"")</f>
        <v/>
      </c>
      <c r="G349" s="93" t="str">
        <f>IFERROR(VLOOKUP(A349,'Salary Calculation'!$A$2:$T$999,7,0),"")</f>
        <v/>
      </c>
      <c r="H349" s="94"/>
      <c r="I349" s="46"/>
      <c r="J349" s="46"/>
      <c r="K349" s="46"/>
      <c r="L349" s="46"/>
      <c r="M349" s="46"/>
      <c r="N349" s="46"/>
      <c r="O349" s="46"/>
      <c r="P349" s="46"/>
      <c r="Q349" s="46"/>
      <c r="R349" s="46"/>
      <c r="S349" s="46"/>
      <c r="T349" s="46"/>
      <c r="U349" s="46"/>
      <c r="V349" s="46"/>
      <c r="W349" s="46"/>
      <c r="X349" s="46"/>
      <c r="Y349" s="46"/>
      <c r="Z349" s="46"/>
      <c r="AA349" s="46"/>
      <c r="AB349" s="46"/>
    </row>
    <row r="350" hidden="1">
      <c r="A350" s="90" t="s">
        <v>567</v>
      </c>
      <c r="B350" s="91" t="str">
        <f>IFERROR(VLOOKUP(A350,'Salary Calculation'!A350:F1347,2,0),"")</f>
        <v/>
      </c>
      <c r="C350" s="91" t="str">
        <f>IFERROR(VLOOKUP(A350,'Salary Calculation'!$A$2:$T$999,3,0),"")</f>
        <v/>
      </c>
      <c r="D350" s="91" t="str">
        <f>IFERROR(VLOOKUP(A350,'Salary Calculation'!$A$2:$T$999,6,0),"")</f>
        <v/>
      </c>
      <c r="E350" s="91" t="str">
        <f>IFERROR(VLOOKUP(A350,'Salary Calculation'!$A$2:$T$999,8,0),"")</f>
        <v/>
      </c>
      <c r="F350" s="92" t="str">
        <f>IFERROR(VLOOKUP(C350,'Employees List'!$B$2:H999,6,0),"")</f>
        <v/>
      </c>
      <c r="G350" s="93" t="str">
        <f>IFERROR(VLOOKUP(A350,'Salary Calculation'!$A$2:$T$999,7,0),"")</f>
        <v/>
      </c>
      <c r="H350" s="94"/>
      <c r="I350" s="46"/>
      <c r="J350" s="46"/>
      <c r="K350" s="46"/>
      <c r="L350" s="46"/>
      <c r="M350" s="46"/>
      <c r="N350" s="46"/>
      <c r="O350" s="46"/>
      <c r="P350" s="46"/>
      <c r="Q350" s="46"/>
      <c r="R350" s="46"/>
      <c r="S350" s="46"/>
      <c r="T350" s="46"/>
      <c r="U350" s="46"/>
      <c r="V350" s="46"/>
      <c r="W350" s="46"/>
      <c r="X350" s="46"/>
      <c r="Y350" s="46"/>
      <c r="Z350" s="46"/>
      <c r="AA350" s="46"/>
      <c r="AB350" s="46"/>
    </row>
    <row r="351" hidden="1">
      <c r="A351" s="90" t="s">
        <v>568</v>
      </c>
      <c r="B351" s="91" t="str">
        <f>IFERROR(VLOOKUP(A351,'Salary Calculation'!A351:F1348,2,0),"")</f>
        <v/>
      </c>
      <c r="C351" s="91" t="str">
        <f>IFERROR(VLOOKUP(A351,'Salary Calculation'!$A$2:$T$999,3,0),"")</f>
        <v/>
      </c>
      <c r="D351" s="91" t="str">
        <f>IFERROR(VLOOKUP(A351,'Salary Calculation'!$A$2:$T$999,6,0),"")</f>
        <v/>
      </c>
      <c r="E351" s="91" t="str">
        <f>IFERROR(VLOOKUP(A351,'Salary Calculation'!$A$2:$T$999,8,0),"")</f>
        <v/>
      </c>
      <c r="F351" s="92" t="str">
        <f>IFERROR(VLOOKUP(C351,'Employees List'!$B$2:H999,6,0),"")</f>
        <v/>
      </c>
      <c r="G351" s="93" t="str">
        <f>IFERROR(VLOOKUP(A351,'Salary Calculation'!$A$2:$T$999,7,0),"")</f>
        <v/>
      </c>
      <c r="H351" s="94"/>
      <c r="I351" s="46"/>
      <c r="J351" s="46"/>
      <c r="K351" s="46"/>
      <c r="L351" s="46"/>
      <c r="M351" s="46"/>
      <c r="N351" s="46"/>
      <c r="O351" s="46"/>
      <c r="P351" s="46"/>
      <c r="Q351" s="46"/>
      <c r="R351" s="46"/>
      <c r="S351" s="46"/>
      <c r="T351" s="46"/>
      <c r="U351" s="46"/>
      <c r="V351" s="46"/>
      <c r="W351" s="46"/>
      <c r="X351" s="46"/>
      <c r="Y351" s="46"/>
      <c r="Z351" s="46"/>
      <c r="AA351" s="46"/>
      <c r="AB351" s="46"/>
    </row>
    <row r="352" hidden="1">
      <c r="A352" s="90" t="s">
        <v>569</v>
      </c>
      <c r="B352" s="91" t="str">
        <f>IFERROR(VLOOKUP(A352,'Salary Calculation'!A352:F1349,2,0),"")</f>
        <v/>
      </c>
      <c r="C352" s="91" t="str">
        <f>IFERROR(VLOOKUP(A352,'Salary Calculation'!$A$2:$T$999,3,0),"")</f>
        <v/>
      </c>
      <c r="D352" s="91" t="str">
        <f>IFERROR(VLOOKUP(A352,'Salary Calculation'!$A$2:$T$999,6,0),"")</f>
        <v/>
      </c>
      <c r="E352" s="91" t="str">
        <f>IFERROR(VLOOKUP(A352,'Salary Calculation'!$A$2:$T$999,8,0),"")</f>
        <v/>
      </c>
      <c r="F352" s="92" t="str">
        <f>IFERROR(VLOOKUP(C352,'Employees List'!$B$2:H999,6,0),"")</f>
        <v/>
      </c>
      <c r="G352" s="93" t="str">
        <f>IFERROR(VLOOKUP(A352,'Salary Calculation'!$A$2:$T$999,7,0),"")</f>
        <v/>
      </c>
      <c r="H352" s="94"/>
      <c r="I352" s="46"/>
      <c r="J352" s="46"/>
      <c r="K352" s="46"/>
      <c r="L352" s="46"/>
      <c r="M352" s="46"/>
      <c r="N352" s="46"/>
      <c r="O352" s="46"/>
      <c r="P352" s="46"/>
      <c r="Q352" s="46"/>
      <c r="R352" s="46"/>
      <c r="S352" s="46"/>
      <c r="T352" s="46"/>
      <c r="U352" s="46"/>
      <c r="V352" s="46"/>
      <c r="W352" s="46"/>
      <c r="X352" s="46"/>
      <c r="Y352" s="46"/>
      <c r="Z352" s="46"/>
      <c r="AA352" s="46"/>
      <c r="AB352" s="46"/>
    </row>
    <row r="353" hidden="1">
      <c r="A353" s="90" t="s">
        <v>570</v>
      </c>
      <c r="B353" s="91" t="str">
        <f>IFERROR(VLOOKUP(A353,'Salary Calculation'!A353:F1350,2,0),"")</f>
        <v/>
      </c>
      <c r="C353" s="91" t="str">
        <f>IFERROR(VLOOKUP(A353,'Salary Calculation'!$A$2:$T$999,3,0),"")</f>
        <v/>
      </c>
      <c r="D353" s="91" t="str">
        <f>IFERROR(VLOOKUP(A353,'Salary Calculation'!$A$2:$T$999,6,0),"")</f>
        <v/>
      </c>
      <c r="E353" s="91" t="str">
        <f>IFERROR(VLOOKUP(A353,'Salary Calculation'!$A$2:$T$999,8,0),"")</f>
        <v/>
      </c>
      <c r="F353" s="92" t="str">
        <f>IFERROR(VLOOKUP(C353,'Employees List'!$B$2:H999,6,0),"")</f>
        <v/>
      </c>
      <c r="G353" s="93" t="str">
        <f>IFERROR(VLOOKUP(A353,'Salary Calculation'!$A$2:$T$999,7,0),"")</f>
        <v/>
      </c>
      <c r="H353" s="94"/>
      <c r="I353" s="46"/>
      <c r="J353" s="46"/>
      <c r="K353" s="46"/>
      <c r="L353" s="46"/>
      <c r="M353" s="46"/>
      <c r="N353" s="46"/>
      <c r="O353" s="46"/>
      <c r="P353" s="46"/>
      <c r="Q353" s="46"/>
      <c r="R353" s="46"/>
      <c r="S353" s="46"/>
      <c r="T353" s="46"/>
      <c r="U353" s="46"/>
      <c r="V353" s="46"/>
      <c r="W353" s="46"/>
      <c r="X353" s="46"/>
      <c r="Y353" s="46"/>
      <c r="Z353" s="46"/>
      <c r="AA353" s="46"/>
      <c r="AB353" s="46"/>
    </row>
    <row r="354" hidden="1">
      <c r="A354" s="90" t="s">
        <v>571</v>
      </c>
      <c r="B354" s="91" t="str">
        <f>IFERROR(VLOOKUP(A354,'Salary Calculation'!A354:F1351,2,0),"")</f>
        <v/>
      </c>
      <c r="C354" s="91" t="str">
        <f>IFERROR(VLOOKUP(A354,'Salary Calculation'!$A$2:$T$999,3,0),"")</f>
        <v/>
      </c>
      <c r="D354" s="91" t="str">
        <f>IFERROR(VLOOKUP(A354,'Salary Calculation'!$A$2:$T$999,6,0),"")</f>
        <v/>
      </c>
      <c r="E354" s="91" t="str">
        <f>IFERROR(VLOOKUP(A354,'Salary Calculation'!$A$2:$T$999,8,0),"")</f>
        <v/>
      </c>
      <c r="F354" s="92" t="str">
        <f>IFERROR(VLOOKUP(C354,'Employees List'!$B$2:H999,6,0),"")</f>
        <v/>
      </c>
      <c r="G354" s="93" t="str">
        <f>IFERROR(VLOOKUP(A354,'Salary Calculation'!$A$2:$T$999,7,0),"")</f>
        <v/>
      </c>
      <c r="H354" s="94"/>
      <c r="I354" s="46"/>
      <c r="J354" s="46"/>
      <c r="K354" s="46"/>
      <c r="L354" s="46"/>
      <c r="M354" s="46"/>
      <c r="N354" s="46"/>
      <c r="O354" s="46"/>
      <c r="P354" s="46"/>
      <c r="Q354" s="46"/>
      <c r="R354" s="46"/>
      <c r="S354" s="46"/>
      <c r="T354" s="46"/>
      <c r="U354" s="46"/>
      <c r="V354" s="46"/>
      <c r="W354" s="46"/>
      <c r="X354" s="46"/>
      <c r="Y354" s="46"/>
      <c r="Z354" s="46"/>
      <c r="AA354" s="46"/>
      <c r="AB354" s="46"/>
    </row>
    <row r="355" hidden="1">
      <c r="A355" s="90" t="s">
        <v>572</v>
      </c>
      <c r="B355" s="91" t="str">
        <f>IFERROR(VLOOKUP(A355,'Salary Calculation'!A355:F1352,2,0),"")</f>
        <v/>
      </c>
      <c r="C355" s="91" t="str">
        <f>IFERROR(VLOOKUP(A355,'Salary Calculation'!$A$2:$T$999,3,0),"")</f>
        <v/>
      </c>
      <c r="D355" s="91" t="str">
        <f>IFERROR(VLOOKUP(A355,'Salary Calculation'!$A$2:$T$999,6,0),"")</f>
        <v/>
      </c>
      <c r="E355" s="91" t="str">
        <f>IFERROR(VLOOKUP(A355,'Salary Calculation'!$A$2:$T$999,8,0),"")</f>
        <v/>
      </c>
      <c r="F355" s="92" t="str">
        <f>IFERROR(VLOOKUP(C355,'Employees List'!$B$2:H999,6,0),"")</f>
        <v/>
      </c>
      <c r="G355" s="93" t="str">
        <f>IFERROR(VLOOKUP(A355,'Salary Calculation'!$A$2:$T$999,7,0),"")</f>
        <v/>
      </c>
      <c r="H355" s="94"/>
      <c r="I355" s="46"/>
      <c r="J355" s="46"/>
      <c r="K355" s="46"/>
      <c r="L355" s="46"/>
      <c r="M355" s="46"/>
      <c r="N355" s="46"/>
      <c r="O355" s="46"/>
      <c r="P355" s="46"/>
      <c r="Q355" s="46"/>
      <c r="R355" s="46"/>
      <c r="S355" s="46"/>
      <c r="T355" s="46"/>
      <c r="U355" s="46"/>
      <c r="V355" s="46"/>
      <c r="W355" s="46"/>
      <c r="X355" s="46"/>
      <c r="Y355" s="46"/>
      <c r="Z355" s="46"/>
      <c r="AA355" s="46"/>
      <c r="AB355" s="46"/>
    </row>
    <row r="356" hidden="1">
      <c r="A356" s="90" t="s">
        <v>573</v>
      </c>
      <c r="B356" s="91" t="str">
        <f>IFERROR(VLOOKUP(A356,'Salary Calculation'!A356:F1353,2,0),"")</f>
        <v/>
      </c>
      <c r="C356" s="91" t="str">
        <f>IFERROR(VLOOKUP(A356,'Salary Calculation'!$A$2:$T$999,3,0),"")</f>
        <v/>
      </c>
      <c r="D356" s="91" t="str">
        <f>IFERROR(VLOOKUP(A356,'Salary Calculation'!$A$2:$T$999,6,0),"")</f>
        <v/>
      </c>
      <c r="E356" s="91" t="str">
        <f>IFERROR(VLOOKUP(A356,'Salary Calculation'!$A$2:$T$999,8,0),"")</f>
        <v/>
      </c>
      <c r="F356" s="92" t="str">
        <f>IFERROR(VLOOKUP(C356,'Employees List'!$B$2:H999,6,0),"")</f>
        <v/>
      </c>
      <c r="G356" s="93" t="str">
        <f>IFERROR(VLOOKUP(A356,'Salary Calculation'!$A$2:$T$999,7,0),"")</f>
        <v/>
      </c>
      <c r="H356" s="94"/>
      <c r="I356" s="46"/>
      <c r="J356" s="46"/>
      <c r="K356" s="46"/>
      <c r="L356" s="46"/>
      <c r="M356" s="46"/>
      <c r="N356" s="46"/>
      <c r="O356" s="46"/>
      <c r="P356" s="46"/>
      <c r="Q356" s="46"/>
      <c r="R356" s="46"/>
      <c r="S356" s="46"/>
      <c r="T356" s="46"/>
      <c r="U356" s="46"/>
      <c r="V356" s="46"/>
      <c r="W356" s="46"/>
      <c r="X356" s="46"/>
      <c r="Y356" s="46"/>
      <c r="Z356" s="46"/>
      <c r="AA356" s="46"/>
      <c r="AB356" s="46"/>
    </row>
    <row r="357" hidden="1">
      <c r="A357" s="90" t="s">
        <v>574</v>
      </c>
      <c r="B357" s="91" t="str">
        <f>IFERROR(VLOOKUP(A357,'Salary Calculation'!A357:F1354,2,0),"")</f>
        <v/>
      </c>
      <c r="C357" s="91" t="str">
        <f>IFERROR(VLOOKUP(A357,'Salary Calculation'!$A$2:$T$999,3,0),"")</f>
        <v/>
      </c>
      <c r="D357" s="91" t="str">
        <f>IFERROR(VLOOKUP(A357,'Salary Calculation'!$A$2:$T$999,6,0),"")</f>
        <v/>
      </c>
      <c r="E357" s="91" t="str">
        <f>IFERROR(VLOOKUP(A357,'Salary Calculation'!$A$2:$T$999,8,0),"")</f>
        <v/>
      </c>
      <c r="F357" s="92" t="str">
        <f>IFERROR(VLOOKUP(C357,'Employees List'!$B$2:H999,6,0),"")</f>
        <v/>
      </c>
      <c r="G357" s="93" t="str">
        <f>IFERROR(VLOOKUP(A357,'Salary Calculation'!$A$2:$T$999,7,0),"")</f>
        <v/>
      </c>
      <c r="H357" s="94"/>
      <c r="I357" s="46"/>
      <c r="J357" s="46"/>
      <c r="K357" s="46"/>
      <c r="L357" s="46"/>
      <c r="M357" s="46"/>
      <c r="N357" s="46"/>
      <c r="O357" s="46"/>
      <c r="P357" s="46"/>
      <c r="Q357" s="46"/>
      <c r="R357" s="46"/>
      <c r="S357" s="46"/>
      <c r="T357" s="46"/>
      <c r="U357" s="46"/>
      <c r="V357" s="46"/>
      <c r="W357" s="46"/>
      <c r="X357" s="46"/>
      <c r="Y357" s="46"/>
      <c r="Z357" s="46"/>
      <c r="AA357" s="46"/>
      <c r="AB357" s="46"/>
    </row>
    <row r="358" hidden="1">
      <c r="A358" s="90" t="s">
        <v>575</v>
      </c>
      <c r="B358" s="91" t="str">
        <f>IFERROR(VLOOKUP(A358,'Salary Calculation'!A358:F1355,2,0),"")</f>
        <v/>
      </c>
      <c r="C358" s="91" t="str">
        <f>IFERROR(VLOOKUP(A358,'Salary Calculation'!$A$2:$T$999,3,0),"")</f>
        <v/>
      </c>
      <c r="D358" s="91" t="str">
        <f>IFERROR(VLOOKUP(A358,'Salary Calculation'!$A$2:$T$999,6,0),"")</f>
        <v/>
      </c>
      <c r="E358" s="91" t="str">
        <f>IFERROR(VLOOKUP(A358,'Salary Calculation'!$A$2:$T$999,8,0),"")</f>
        <v/>
      </c>
      <c r="F358" s="92" t="str">
        <f>IFERROR(VLOOKUP(C358,'Employees List'!$B$2:H999,6,0),"")</f>
        <v/>
      </c>
      <c r="G358" s="93" t="str">
        <f>IFERROR(VLOOKUP(A358,'Salary Calculation'!$A$2:$T$999,7,0),"")</f>
        <v/>
      </c>
      <c r="H358" s="94"/>
      <c r="I358" s="46"/>
      <c r="J358" s="46"/>
      <c r="K358" s="46"/>
      <c r="L358" s="46"/>
      <c r="M358" s="46"/>
      <c r="N358" s="46"/>
      <c r="O358" s="46"/>
      <c r="P358" s="46"/>
      <c r="Q358" s="46"/>
      <c r="R358" s="46"/>
      <c r="S358" s="46"/>
      <c r="T358" s="46"/>
      <c r="U358" s="46"/>
      <c r="V358" s="46"/>
      <c r="W358" s="46"/>
      <c r="X358" s="46"/>
      <c r="Y358" s="46"/>
      <c r="Z358" s="46"/>
      <c r="AA358" s="46"/>
      <c r="AB358" s="46"/>
    </row>
    <row r="359" hidden="1">
      <c r="A359" s="90" t="s">
        <v>576</v>
      </c>
      <c r="B359" s="91" t="str">
        <f>IFERROR(VLOOKUP(A359,'Salary Calculation'!A359:F1356,2,0),"")</f>
        <v/>
      </c>
      <c r="C359" s="91" t="str">
        <f>IFERROR(VLOOKUP(A359,'Salary Calculation'!$A$2:$T$999,3,0),"")</f>
        <v/>
      </c>
      <c r="D359" s="91" t="str">
        <f>IFERROR(VLOOKUP(A359,'Salary Calculation'!$A$2:$T$999,6,0),"")</f>
        <v/>
      </c>
      <c r="E359" s="91" t="str">
        <f>IFERROR(VLOOKUP(A359,'Salary Calculation'!$A$2:$T$999,8,0),"")</f>
        <v/>
      </c>
      <c r="F359" s="92" t="str">
        <f>IFERROR(VLOOKUP(C359,'Employees List'!$B$2:H999,6,0),"")</f>
        <v/>
      </c>
      <c r="G359" s="93" t="str">
        <f>IFERROR(VLOOKUP(A359,'Salary Calculation'!$A$2:$T$999,7,0),"")</f>
        <v/>
      </c>
      <c r="H359" s="94"/>
      <c r="I359" s="46"/>
      <c r="J359" s="46"/>
      <c r="K359" s="46"/>
      <c r="L359" s="46"/>
      <c r="M359" s="46"/>
      <c r="N359" s="46"/>
      <c r="O359" s="46"/>
      <c r="P359" s="46"/>
      <c r="Q359" s="46"/>
      <c r="R359" s="46"/>
      <c r="S359" s="46"/>
      <c r="T359" s="46"/>
      <c r="U359" s="46"/>
      <c r="V359" s="46"/>
      <c r="W359" s="46"/>
      <c r="X359" s="46"/>
      <c r="Y359" s="46"/>
      <c r="Z359" s="46"/>
      <c r="AA359" s="46"/>
      <c r="AB359" s="46"/>
    </row>
    <row r="360" hidden="1">
      <c r="A360" s="90" t="s">
        <v>577</v>
      </c>
      <c r="B360" s="91" t="str">
        <f>IFERROR(VLOOKUP(A360,'Salary Calculation'!A360:F1357,2,0),"")</f>
        <v/>
      </c>
      <c r="C360" s="91" t="str">
        <f>IFERROR(VLOOKUP(A360,'Salary Calculation'!$A$2:$T$999,3,0),"")</f>
        <v/>
      </c>
      <c r="D360" s="91" t="str">
        <f>IFERROR(VLOOKUP(A360,'Salary Calculation'!$A$2:$T$999,6,0),"")</f>
        <v/>
      </c>
      <c r="E360" s="91" t="str">
        <f>IFERROR(VLOOKUP(A360,'Salary Calculation'!$A$2:$T$999,8,0),"")</f>
        <v/>
      </c>
      <c r="F360" s="92" t="str">
        <f>IFERROR(VLOOKUP(C360,'Employees List'!$B$2:H999,6,0),"")</f>
        <v/>
      </c>
      <c r="G360" s="93" t="str">
        <f>IFERROR(VLOOKUP(A360,'Salary Calculation'!$A$2:$T$999,7,0),"")</f>
        <v/>
      </c>
      <c r="H360" s="94"/>
      <c r="I360" s="46"/>
      <c r="J360" s="46"/>
      <c r="K360" s="46"/>
      <c r="L360" s="46"/>
      <c r="M360" s="46"/>
      <c r="N360" s="46"/>
      <c r="O360" s="46"/>
      <c r="P360" s="46"/>
      <c r="Q360" s="46"/>
      <c r="R360" s="46"/>
      <c r="S360" s="46"/>
      <c r="T360" s="46"/>
      <c r="U360" s="46"/>
      <c r="V360" s="46"/>
      <c r="W360" s="46"/>
      <c r="X360" s="46"/>
      <c r="Y360" s="46"/>
      <c r="Z360" s="46"/>
      <c r="AA360" s="46"/>
      <c r="AB360" s="46"/>
    </row>
    <row r="361" hidden="1">
      <c r="A361" s="90" t="s">
        <v>578</v>
      </c>
      <c r="B361" s="91" t="str">
        <f>IFERROR(VLOOKUP(A361,'Salary Calculation'!A361:F1358,2,0),"")</f>
        <v/>
      </c>
      <c r="C361" s="91" t="str">
        <f>IFERROR(VLOOKUP(A361,'Salary Calculation'!$A$2:$T$999,3,0),"")</f>
        <v/>
      </c>
      <c r="D361" s="91" t="str">
        <f>IFERROR(VLOOKUP(A361,'Salary Calculation'!$A$2:$T$999,6,0),"")</f>
        <v/>
      </c>
      <c r="E361" s="91" t="str">
        <f>IFERROR(VLOOKUP(A361,'Salary Calculation'!$A$2:$T$999,8,0),"")</f>
        <v/>
      </c>
      <c r="F361" s="92" t="str">
        <f>IFERROR(VLOOKUP(C361,'Employees List'!$B$2:H999,6,0),"")</f>
        <v/>
      </c>
      <c r="G361" s="93" t="str">
        <f>IFERROR(VLOOKUP(A361,'Salary Calculation'!$A$2:$T$999,7,0),"")</f>
        <v/>
      </c>
      <c r="H361" s="94"/>
      <c r="I361" s="46"/>
      <c r="J361" s="46"/>
      <c r="K361" s="46"/>
      <c r="L361" s="46"/>
      <c r="M361" s="46"/>
      <c r="N361" s="46"/>
      <c r="O361" s="46"/>
      <c r="P361" s="46"/>
      <c r="Q361" s="46"/>
      <c r="R361" s="46"/>
      <c r="S361" s="46"/>
      <c r="T361" s="46"/>
      <c r="U361" s="46"/>
      <c r="V361" s="46"/>
      <c r="W361" s="46"/>
      <c r="X361" s="46"/>
      <c r="Y361" s="46"/>
      <c r="Z361" s="46"/>
      <c r="AA361" s="46"/>
      <c r="AB361" s="46"/>
    </row>
    <row r="362" hidden="1">
      <c r="A362" s="90" t="s">
        <v>579</v>
      </c>
      <c r="B362" s="91" t="str">
        <f>IFERROR(VLOOKUP(A362,'Salary Calculation'!A362:F1359,2,0),"")</f>
        <v/>
      </c>
      <c r="C362" s="91" t="str">
        <f>IFERROR(VLOOKUP(A362,'Salary Calculation'!$A$2:$T$999,3,0),"")</f>
        <v/>
      </c>
      <c r="D362" s="91" t="str">
        <f>IFERROR(VLOOKUP(A362,'Salary Calculation'!$A$2:$T$999,6,0),"")</f>
        <v/>
      </c>
      <c r="E362" s="91" t="str">
        <f>IFERROR(VLOOKUP(A362,'Salary Calculation'!$A$2:$T$999,8,0),"")</f>
        <v/>
      </c>
      <c r="F362" s="92" t="str">
        <f>IFERROR(VLOOKUP(C362,'Employees List'!$B$2:H999,6,0),"")</f>
        <v/>
      </c>
      <c r="G362" s="93" t="str">
        <f>IFERROR(VLOOKUP(A362,'Salary Calculation'!$A$2:$T$999,7,0),"")</f>
        <v/>
      </c>
      <c r="H362" s="94"/>
      <c r="I362" s="46"/>
      <c r="J362" s="46"/>
      <c r="K362" s="46"/>
      <c r="L362" s="46"/>
      <c r="M362" s="46"/>
      <c r="N362" s="46"/>
      <c r="O362" s="46"/>
      <c r="P362" s="46"/>
      <c r="Q362" s="46"/>
      <c r="R362" s="46"/>
      <c r="S362" s="46"/>
      <c r="T362" s="46"/>
      <c r="U362" s="46"/>
      <c r="V362" s="46"/>
      <c r="W362" s="46"/>
      <c r="X362" s="46"/>
      <c r="Y362" s="46"/>
      <c r="Z362" s="46"/>
      <c r="AA362" s="46"/>
      <c r="AB362" s="46"/>
    </row>
    <row r="363" hidden="1">
      <c r="A363" s="90" t="s">
        <v>580</v>
      </c>
      <c r="B363" s="91" t="str">
        <f>IFERROR(VLOOKUP(A363,'Salary Calculation'!A363:F1360,2,0),"")</f>
        <v/>
      </c>
      <c r="C363" s="91" t="str">
        <f>IFERROR(VLOOKUP(A363,'Salary Calculation'!$A$2:$T$999,3,0),"")</f>
        <v/>
      </c>
      <c r="D363" s="91" t="str">
        <f>IFERROR(VLOOKUP(A363,'Salary Calculation'!$A$2:$T$999,6,0),"")</f>
        <v/>
      </c>
      <c r="E363" s="91" t="str">
        <f>IFERROR(VLOOKUP(A363,'Salary Calculation'!$A$2:$T$999,8,0),"")</f>
        <v/>
      </c>
      <c r="F363" s="92" t="str">
        <f>IFERROR(VLOOKUP(C363,'Employees List'!$B$2:H999,6,0),"")</f>
        <v/>
      </c>
      <c r="G363" s="93" t="str">
        <f>IFERROR(VLOOKUP(A363,'Salary Calculation'!$A$2:$T$999,7,0),"")</f>
        <v/>
      </c>
      <c r="H363" s="94"/>
      <c r="I363" s="46"/>
      <c r="J363" s="46"/>
      <c r="K363" s="46"/>
      <c r="L363" s="46"/>
      <c r="M363" s="46"/>
      <c r="N363" s="46"/>
      <c r="O363" s="46"/>
      <c r="P363" s="46"/>
      <c r="Q363" s="46"/>
      <c r="R363" s="46"/>
      <c r="S363" s="46"/>
      <c r="T363" s="46"/>
      <c r="U363" s="46"/>
      <c r="V363" s="46"/>
      <c r="W363" s="46"/>
      <c r="X363" s="46"/>
      <c r="Y363" s="46"/>
      <c r="Z363" s="46"/>
      <c r="AA363" s="46"/>
      <c r="AB363" s="46"/>
    </row>
    <row r="364" hidden="1">
      <c r="A364" s="90" t="s">
        <v>581</v>
      </c>
      <c r="B364" s="91" t="str">
        <f>IFERROR(VLOOKUP(A364,'Salary Calculation'!A364:F1361,2,0),"")</f>
        <v/>
      </c>
      <c r="C364" s="91" t="str">
        <f>IFERROR(VLOOKUP(A364,'Salary Calculation'!$A$2:$T$999,3,0),"")</f>
        <v/>
      </c>
      <c r="D364" s="91" t="str">
        <f>IFERROR(VLOOKUP(A364,'Salary Calculation'!$A$2:$T$999,6,0),"")</f>
        <v/>
      </c>
      <c r="E364" s="91" t="str">
        <f>IFERROR(VLOOKUP(A364,'Salary Calculation'!$A$2:$T$999,8,0),"")</f>
        <v/>
      </c>
      <c r="F364" s="92" t="str">
        <f>IFERROR(VLOOKUP(C364,'Employees List'!$B$2:H999,6,0),"")</f>
        <v/>
      </c>
      <c r="G364" s="93" t="str">
        <f>IFERROR(VLOOKUP(A364,'Salary Calculation'!$A$2:$T$999,7,0),"")</f>
        <v/>
      </c>
      <c r="H364" s="94"/>
      <c r="I364" s="46"/>
      <c r="J364" s="46"/>
      <c r="K364" s="46"/>
      <c r="L364" s="46"/>
      <c r="M364" s="46"/>
      <c r="N364" s="46"/>
      <c r="O364" s="46"/>
      <c r="P364" s="46"/>
      <c r="Q364" s="46"/>
      <c r="R364" s="46"/>
      <c r="S364" s="46"/>
      <c r="T364" s="46"/>
      <c r="U364" s="46"/>
      <c r="V364" s="46"/>
      <c r="W364" s="46"/>
      <c r="X364" s="46"/>
      <c r="Y364" s="46"/>
      <c r="Z364" s="46"/>
      <c r="AA364" s="46"/>
      <c r="AB364" s="46"/>
    </row>
    <row r="365" hidden="1">
      <c r="A365" s="90" t="s">
        <v>582</v>
      </c>
      <c r="B365" s="91" t="str">
        <f>IFERROR(VLOOKUP(A365,'Salary Calculation'!A365:F1362,2,0),"")</f>
        <v/>
      </c>
      <c r="C365" s="91" t="str">
        <f>IFERROR(VLOOKUP(A365,'Salary Calculation'!$A$2:$T$999,3,0),"")</f>
        <v/>
      </c>
      <c r="D365" s="91" t="str">
        <f>IFERROR(VLOOKUP(A365,'Salary Calculation'!$A$2:$T$999,6,0),"")</f>
        <v/>
      </c>
      <c r="E365" s="91" t="str">
        <f>IFERROR(VLOOKUP(A365,'Salary Calculation'!$A$2:$T$999,8,0),"")</f>
        <v/>
      </c>
      <c r="F365" s="92" t="str">
        <f>IFERROR(VLOOKUP(C365,'Employees List'!$B$2:H999,6,0),"")</f>
        <v/>
      </c>
      <c r="G365" s="93" t="str">
        <f>IFERROR(VLOOKUP(A365,'Salary Calculation'!$A$2:$T$999,7,0),"")</f>
        <v/>
      </c>
      <c r="H365" s="94"/>
      <c r="I365" s="46"/>
      <c r="J365" s="46"/>
      <c r="K365" s="46"/>
      <c r="L365" s="46"/>
      <c r="M365" s="46"/>
      <c r="N365" s="46"/>
      <c r="O365" s="46"/>
      <c r="P365" s="46"/>
      <c r="Q365" s="46"/>
      <c r="R365" s="46"/>
      <c r="S365" s="46"/>
      <c r="T365" s="46"/>
      <c r="U365" s="46"/>
      <c r="V365" s="46"/>
      <c r="W365" s="46"/>
      <c r="X365" s="46"/>
      <c r="Y365" s="46"/>
      <c r="Z365" s="46"/>
      <c r="AA365" s="46"/>
      <c r="AB365" s="46"/>
    </row>
    <row r="366" hidden="1">
      <c r="A366" s="90" t="s">
        <v>583</v>
      </c>
      <c r="B366" s="91" t="str">
        <f>IFERROR(VLOOKUP(A366,'Salary Calculation'!A366:F1363,2,0),"")</f>
        <v/>
      </c>
      <c r="C366" s="91" t="str">
        <f>IFERROR(VLOOKUP(A366,'Salary Calculation'!$A$2:$T$999,3,0),"")</f>
        <v/>
      </c>
      <c r="D366" s="91" t="str">
        <f>IFERROR(VLOOKUP(A366,'Salary Calculation'!$A$2:$T$999,6,0),"")</f>
        <v/>
      </c>
      <c r="E366" s="91" t="str">
        <f>IFERROR(VLOOKUP(A366,'Salary Calculation'!$A$2:$T$999,8,0),"")</f>
        <v/>
      </c>
      <c r="F366" s="92" t="str">
        <f>IFERROR(VLOOKUP(C366,'Employees List'!$B$2:H999,6,0),"")</f>
        <v/>
      </c>
      <c r="G366" s="93" t="str">
        <f>IFERROR(VLOOKUP(A366,'Salary Calculation'!$A$2:$T$999,7,0),"")</f>
        <v/>
      </c>
      <c r="H366" s="94"/>
      <c r="I366" s="46"/>
      <c r="J366" s="46"/>
      <c r="K366" s="46"/>
      <c r="L366" s="46"/>
      <c r="M366" s="46"/>
      <c r="N366" s="46"/>
      <c r="O366" s="46"/>
      <c r="P366" s="46"/>
      <c r="Q366" s="46"/>
      <c r="R366" s="46"/>
      <c r="S366" s="46"/>
      <c r="T366" s="46"/>
      <c r="U366" s="46"/>
      <c r="V366" s="46"/>
      <c r="W366" s="46"/>
      <c r="X366" s="46"/>
      <c r="Y366" s="46"/>
      <c r="Z366" s="46"/>
      <c r="AA366" s="46"/>
      <c r="AB366" s="46"/>
    </row>
    <row r="367" hidden="1">
      <c r="A367" s="90" t="s">
        <v>584</v>
      </c>
      <c r="B367" s="91" t="str">
        <f>IFERROR(VLOOKUP(A367,'Salary Calculation'!A367:F1364,2,0),"")</f>
        <v/>
      </c>
      <c r="C367" s="91" t="str">
        <f>IFERROR(VLOOKUP(A367,'Salary Calculation'!$A$2:$T$999,3,0),"")</f>
        <v/>
      </c>
      <c r="D367" s="91" t="str">
        <f>IFERROR(VLOOKUP(A367,'Salary Calculation'!$A$2:$T$999,6,0),"")</f>
        <v/>
      </c>
      <c r="E367" s="91" t="str">
        <f>IFERROR(VLOOKUP(A367,'Salary Calculation'!$A$2:$T$999,8,0),"")</f>
        <v/>
      </c>
      <c r="F367" s="92" t="str">
        <f>IFERROR(VLOOKUP(C367,'Employees List'!$B$2:H999,6,0),"")</f>
        <v/>
      </c>
      <c r="G367" s="93" t="str">
        <f>IFERROR(VLOOKUP(A367,'Salary Calculation'!$A$2:$T$999,7,0),"")</f>
        <v/>
      </c>
      <c r="H367" s="94"/>
      <c r="I367" s="46"/>
      <c r="J367" s="46"/>
      <c r="K367" s="46"/>
      <c r="L367" s="46"/>
      <c r="M367" s="46"/>
      <c r="N367" s="46"/>
      <c r="O367" s="46"/>
      <c r="P367" s="46"/>
      <c r="Q367" s="46"/>
      <c r="R367" s="46"/>
      <c r="S367" s="46"/>
      <c r="T367" s="46"/>
      <c r="U367" s="46"/>
      <c r="V367" s="46"/>
      <c r="W367" s="46"/>
      <c r="X367" s="46"/>
      <c r="Y367" s="46"/>
      <c r="Z367" s="46"/>
      <c r="AA367" s="46"/>
      <c r="AB367" s="46"/>
    </row>
    <row r="368" hidden="1">
      <c r="A368" s="90" t="s">
        <v>585</v>
      </c>
      <c r="B368" s="91" t="str">
        <f>IFERROR(VLOOKUP(A368,'Salary Calculation'!A368:F1365,2,0),"")</f>
        <v/>
      </c>
      <c r="C368" s="91" t="str">
        <f>IFERROR(VLOOKUP(A368,'Salary Calculation'!$A$2:$T$999,3,0),"")</f>
        <v/>
      </c>
      <c r="D368" s="91" t="str">
        <f>IFERROR(VLOOKUP(A368,'Salary Calculation'!$A$2:$T$999,6,0),"")</f>
        <v/>
      </c>
      <c r="E368" s="91" t="str">
        <f>IFERROR(VLOOKUP(A368,'Salary Calculation'!$A$2:$T$999,8,0),"")</f>
        <v/>
      </c>
      <c r="F368" s="92" t="str">
        <f>IFERROR(VLOOKUP(C368,'Employees List'!$B$2:H999,6,0),"")</f>
        <v/>
      </c>
      <c r="G368" s="93" t="str">
        <f>IFERROR(VLOOKUP(A368,'Salary Calculation'!$A$2:$T$999,7,0),"")</f>
        <v/>
      </c>
      <c r="H368" s="94"/>
      <c r="I368" s="46"/>
      <c r="J368" s="46"/>
      <c r="K368" s="46"/>
      <c r="L368" s="46"/>
      <c r="M368" s="46"/>
      <c r="N368" s="46"/>
      <c r="O368" s="46"/>
      <c r="P368" s="46"/>
      <c r="Q368" s="46"/>
      <c r="R368" s="46"/>
      <c r="S368" s="46"/>
      <c r="T368" s="46"/>
      <c r="U368" s="46"/>
      <c r="V368" s="46"/>
      <c r="W368" s="46"/>
      <c r="X368" s="46"/>
      <c r="Y368" s="46"/>
      <c r="Z368" s="46"/>
      <c r="AA368" s="46"/>
      <c r="AB368" s="46"/>
    </row>
    <row r="369" hidden="1">
      <c r="A369" s="90" t="s">
        <v>586</v>
      </c>
      <c r="B369" s="91" t="str">
        <f>IFERROR(VLOOKUP(A369,'Salary Calculation'!A369:F1366,2,0),"")</f>
        <v/>
      </c>
      <c r="C369" s="91" t="str">
        <f>IFERROR(VLOOKUP(A369,'Salary Calculation'!$A$2:$T$999,3,0),"")</f>
        <v/>
      </c>
      <c r="D369" s="91" t="str">
        <f>IFERROR(VLOOKUP(A369,'Salary Calculation'!$A$2:$T$999,6,0),"")</f>
        <v/>
      </c>
      <c r="E369" s="91" t="str">
        <f>IFERROR(VLOOKUP(A369,'Salary Calculation'!$A$2:$T$999,8,0),"")</f>
        <v/>
      </c>
      <c r="F369" s="92" t="str">
        <f>IFERROR(VLOOKUP(C369,'Employees List'!$B$2:H999,6,0),"")</f>
        <v/>
      </c>
      <c r="G369" s="93" t="str">
        <f>IFERROR(VLOOKUP(A369,'Salary Calculation'!$A$2:$T$999,7,0),"")</f>
        <v/>
      </c>
      <c r="H369" s="94"/>
      <c r="I369" s="46"/>
      <c r="J369" s="46"/>
      <c r="K369" s="46"/>
      <c r="L369" s="46"/>
      <c r="M369" s="46"/>
      <c r="N369" s="46"/>
      <c r="O369" s="46"/>
      <c r="P369" s="46"/>
      <c r="Q369" s="46"/>
      <c r="R369" s="46"/>
      <c r="S369" s="46"/>
      <c r="T369" s="46"/>
      <c r="U369" s="46"/>
      <c r="V369" s="46"/>
      <c r="W369" s="46"/>
      <c r="X369" s="46"/>
      <c r="Y369" s="46"/>
      <c r="Z369" s="46"/>
      <c r="AA369" s="46"/>
      <c r="AB369" s="46"/>
    </row>
    <row r="370" hidden="1">
      <c r="A370" s="90" t="s">
        <v>587</v>
      </c>
      <c r="B370" s="91" t="str">
        <f>IFERROR(VLOOKUP(A370,'Salary Calculation'!A370:F1367,2,0),"")</f>
        <v/>
      </c>
      <c r="C370" s="91" t="str">
        <f>IFERROR(VLOOKUP(A370,'Salary Calculation'!$A$2:$T$999,3,0),"")</f>
        <v/>
      </c>
      <c r="D370" s="91" t="str">
        <f>IFERROR(VLOOKUP(A370,'Salary Calculation'!$A$2:$T$999,6,0),"")</f>
        <v/>
      </c>
      <c r="E370" s="91" t="str">
        <f>IFERROR(VLOOKUP(A370,'Salary Calculation'!$A$2:$T$999,8,0),"")</f>
        <v/>
      </c>
      <c r="F370" s="92" t="str">
        <f>IFERROR(VLOOKUP(C370,'Employees List'!$B$2:H999,6,0),"")</f>
        <v/>
      </c>
      <c r="G370" s="93" t="str">
        <f>IFERROR(VLOOKUP(A370,'Salary Calculation'!$A$2:$T$999,7,0),"")</f>
        <v/>
      </c>
      <c r="H370" s="94"/>
      <c r="I370" s="46"/>
      <c r="J370" s="46"/>
      <c r="K370" s="46"/>
      <c r="L370" s="46"/>
      <c r="M370" s="46"/>
      <c r="N370" s="46"/>
      <c r="O370" s="46"/>
      <c r="P370" s="46"/>
      <c r="Q370" s="46"/>
      <c r="R370" s="46"/>
      <c r="S370" s="46"/>
      <c r="T370" s="46"/>
      <c r="U370" s="46"/>
      <c r="V370" s="46"/>
      <c r="W370" s="46"/>
      <c r="X370" s="46"/>
      <c r="Y370" s="46"/>
      <c r="Z370" s="46"/>
      <c r="AA370" s="46"/>
      <c r="AB370" s="46"/>
    </row>
    <row r="371" hidden="1">
      <c r="A371" s="90" t="s">
        <v>588</v>
      </c>
      <c r="B371" s="91" t="str">
        <f>IFERROR(VLOOKUP(A371,'Salary Calculation'!A371:F1368,2,0),"")</f>
        <v/>
      </c>
      <c r="C371" s="91" t="str">
        <f>IFERROR(VLOOKUP(A371,'Salary Calculation'!$A$2:$T$999,3,0),"")</f>
        <v/>
      </c>
      <c r="D371" s="91" t="str">
        <f>IFERROR(VLOOKUP(A371,'Salary Calculation'!$A$2:$T$999,6,0),"")</f>
        <v/>
      </c>
      <c r="E371" s="91" t="str">
        <f>IFERROR(VLOOKUP(A371,'Salary Calculation'!$A$2:$T$999,8,0),"")</f>
        <v/>
      </c>
      <c r="F371" s="92" t="str">
        <f>IFERROR(VLOOKUP(C371,'Employees List'!$B$2:H999,6,0),"")</f>
        <v/>
      </c>
      <c r="G371" s="93" t="str">
        <f>IFERROR(VLOOKUP(A371,'Salary Calculation'!$A$2:$T$999,7,0),"")</f>
        <v/>
      </c>
      <c r="H371" s="94"/>
      <c r="I371" s="46"/>
      <c r="J371" s="46"/>
      <c r="K371" s="46"/>
      <c r="L371" s="46"/>
      <c r="M371" s="46"/>
      <c r="N371" s="46"/>
      <c r="O371" s="46"/>
      <c r="P371" s="46"/>
      <c r="Q371" s="46"/>
      <c r="R371" s="46"/>
      <c r="S371" s="46"/>
      <c r="T371" s="46"/>
      <c r="U371" s="46"/>
      <c r="V371" s="46"/>
      <c r="W371" s="46"/>
      <c r="X371" s="46"/>
      <c r="Y371" s="46"/>
      <c r="Z371" s="46"/>
      <c r="AA371" s="46"/>
      <c r="AB371" s="46"/>
    </row>
    <row r="372" hidden="1">
      <c r="A372" s="90" t="s">
        <v>589</v>
      </c>
      <c r="B372" s="91" t="str">
        <f>IFERROR(VLOOKUP(A372,'Salary Calculation'!A372:F1369,2,0),"")</f>
        <v/>
      </c>
      <c r="C372" s="91" t="str">
        <f>IFERROR(VLOOKUP(A372,'Salary Calculation'!$A$2:$T$999,3,0),"")</f>
        <v/>
      </c>
      <c r="D372" s="91" t="str">
        <f>IFERROR(VLOOKUP(A372,'Salary Calculation'!$A$2:$T$999,6,0),"")</f>
        <v/>
      </c>
      <c r="E372" s="91" t="str">
        <f>IFERROR(VLOOKUP(A372,'Salary Calculation'!$A$2:$T$999,8,0),"")</f>
        <v/>
      </c>
      <c r="F372" s="92" t="str">
        <f>IFERROR(VLOOKUP(C372,'Employees List'!$B$2:H999,6,0),"")</f>
        <v/>
      </c>
      <c r="G372" s="93" t="str">
        <f>IFERROR(VLOOKUP(A372,'Salary Calculation'!$A$2:$T$999,7,0),"")</f>
        <v/>
      </c>
      <c r="H372" s="94"/>
      <c r="I372" s="46"/>
      <c r="J372" s="46"/>
      <c r="K372" s="46"/>
      <c r="L372" s="46"/>
      <c r="M372" s="46"/>
      <c r="N372" s="46"/>
      <c r="O372" s="46"/>
      <c r="P372" s="46"/>
      <c r="Q372" s="46"/>
      <c r="R372" s="46"/>
      <c r="S372" s="46"/>
      <c r="T372" s="46"/>
      <c r="U372" s="46"/>
      <c r="V372" s="46"/>
      <c r="W372" s="46"/>
      <c r="X372" s="46"/>
      <c r="Y372" s="46"/>
      <c r="Z372" s="46"/>
      <c r="AA372" s="46"/>
      <c r="AB372" s="46"/>
    </row>
    <row r="373" hidden="1">
      <c r="A373" s="90" t="s">
        <v>590</v>
      </c>
      <c r="B373" s="91" t="str">
        <f>IFERROR(VLOOKUP(A373,'Salary Calculation'!A373:F1370,2,0),"")</f>
        <v/>
      </c>
      <c r="C373" s="91" t="str">
        <f>IFERROR(VLOOKUP(A373,'Salary Calculation'!$A$2:$T$999,3,0),"")</f>
        <v/>
      </c>
      <c r="D373" s="91" t="str">
        <f>IFERROR(VLOOKUP(A373,'Salary Calculation'!$A$2:$T$999,6,0),"")</f>
        <v/>
      </c>
      <c r="E373" s="91" t="str">
        <f>IFERROR(VLOOKUP(A373,'Salary Calculation'!$A$2:$T$999,8,0),"")</f>
        <v/>
      </c>
      <c r="F373" s="92" t="str">
        <f>IFERROR(VLOOKUP(C373,'Employees List'!$B$2:H999,6,0),"")</f>
        <v/>
      </c>
      <c r="G373" s="93" t="str">
        <f>IFERROR(VLOOKUP(A373,'Salary Calculation'!$A$2:$T$999,7,0),"")</f>
        <v/>
      </c>
      <c r="H373" s="94"/>
      <c r="I373" s="46"/>
      <c r="J373" s="46"/>
      <c r="K373" s="46"/>
      <c r="L373" s="46"/>
      <c r="M373" s="46"/>
      <c r="N373" s="46"/>
      <c r="O373" s="46"/>
      <c r="P373" s="46"/>
      <c r="Q373" s="46"/>
      <c r="R373" s="46"/>
      <c r="S373" s="46"/>
      <c r="T373" s="46"/>
      <c r="U373" s="46"/>
      <c r="V373" s="46"/>
      <c r="W373" s="46"/>
      <c r="X373" s="46"/>
      <c r="Y373" s="46"/>
      <c r="Z373" s="46"/>
      <c r="AA373" s="46"/>
      <c r="AB373" s="46"/>
    </row>
    <row r="374" hidden="1">
      <c r="A374" s="90" t="s">
        <v>591</v>
      </c>
      <c r="B374" s="91" t="str">
        <f>IFERROR(VLOOKUP(A374,'Salary Calculation'!A374:F1371,2,0),"")</f>
        <v/>
      </c>
      <c r="C374" s="91" t="str">
        <f>IFERROR(VLOOKUP(A374,'Salary Calculation'!$A$2:$T$999,3,0),"")</f>
        <v/>
      </c>
      <c r="D374" s="91" t="str">
        <f>IFERROR(VLOOKUP(A374,'Salary Calculation'!$A$2:$T$999,6,0),"")</f>
        <v/>
      </c>
      <c r="E374" s="91" t="str">
        <f>IFERROR(VLOOKUP(A374,'Salary Calculation'!$A$2:$T$999,8,0),"")</f>
        <v/>
      </c>
      <c r="F374" s="92" t="str">
        <f>IFERROR(VLOOKUP(C374,'Employees List'!$B$2:H999,6,0),"")</f>
        <v/>
      </c>
      <c r="G374" s="93" t="str">
        <f>IFERROR(VLOOKUP(A374,'Salary Calculation'!$A$2:$T$999,7,0),"")</f>
        <v/>
      </c>
      <c r="H374" s="94"/>
      <c r="I374" s="46"/>
      <c r="J374" s="46"/>
      <c r="K374" s="46"/>
      <c r="L374" s="46"/>
      <c r="M374" s="46"/>
      <c r="N374" s="46"/>
      <c r="O374" s="46"/>
      <c r="P374" s="46"/>
      <c r="Q374" s="46"/>
      <c r="R374" s="46"/>
      <c r="S374" s="46"/>
      <c r="T374" s="46"/>
      <c r="U374" s="46"/>
      <c r="V374" s="46"/>
      <c r="W374" s="46"/>
      <c r="X374" s="46"/>
      <c r="Y374" s="46"/>
      <c r="Z374" s="46"/>
      <c r="AA374" s="46"/>
      <c r="AB374" s="46"/>
    </row>
    <row r="375" hidden="1">
      <c r="A375" s="90" t="s">
        <v>592</v>
      </c>
      <c r="B375" s="91" t="str">
        <f>IFERROR(VLOOKUP(A375,'Salary Calculation'!A375:F1372,2,0),"")</f>
        <v/>
      </c>
      <c r="C375" s="91" t="str">
        <f>IFERROR(VLOOKUP(A375,'Salary Calculation'!$A$2:$T$999,3,0),"")</f>
        <v/>
      </c>
      <c r="D375" s="91" t="str">
        <f>IFERROR(VLOOKUP(A375,'Salary Calculation'!$A$2:$T$999,6,0),"")</f>
        <v/>
      </c>
      <c r="E375" s="91" t="str">
        <f>IFERROR(VLOOKUP(A375,'Salary Calculation'!$A$2:$T$999,8,0),"")</f>
        <v/>
      </c>
      <c r="F375" s="92" t="str">
        <f>IFERROR(VLOOKUP(C375,'Employees List'!$B$2:H999,6,0),"")</f>
        <v/>
      </c>
      <c r="G375" s="93" t="str">
        <f>IFERROR(VLOOKUP(A375,'Salary Calculation'!$A$2:$T$999,7,0),"")</f>
        <v/>
      </c>
      <c r="H375" s="94"/>
      <c r="I375" s="46"/>
      <c r="J375" s="46"/>
      <c r="K375" s="46"/>
      <c r="L375" s="46"/>
      <c r="M375" s="46"/>
      <c r="N375" s="46"/>
      <c r="O375" s="46"/>
      <c r="P375" s="46"/>
      <c r="Q375" s="46"/>
      <c r="R375" s="46"/>
      <c r="S375" s="46"/>
      <c r="T375" s="46"/>
      <c r="U375" s="46"/>
      <c r="V375" s="46"/>
      <c r="W375" s="46"/>
      <c r="X375" s="46"/>
      <c r="Y375" s="46"/>
      <c r="Z375" s="46"/>
      <c r="AA375" s="46"/>
      <c r="AB375" s="46"/>
    </row>
    <row r="376" hidden="1">
      <c r="A376" s="90" t="s">
        <v>593</v>
      </c>
      <c r="B376" s="91" t="str">
        <f>IFERROR(VLOOKUP(A376,'Salary Calculation'!A376:F1373,2,0),"")</f>
        <v/>
      </c>
      <c r="C376" s="91" t="str">
        <f>IFERROR(VLOOKUP(A376,'Salary Calculation'!$A$2:$T$999,3,0),"")</f>
        <v/>
      </c>
      <c r="D376" s="91" t="str">
        <f>IFERROR(VLOOKUP(A376,'Salary Calculation'!$A$2:$T$999,6,0),"")</f>
        <v/>
      </c>
      <c r="E376" s="91" t="str">
        <f>IFERROR(VLOOKUP(A376,'Salary Calculation'!$A$2:$T$999,8,0),"")</f>
        <v/>
      </c>
      <c r="F376" s="92" t="str">
        <f>IFERROR(VLOOKUP(C376,'Employees List'!$B$2:H999,6,0),"")</f>
        <v/>
      </c>
      <c r="G376" s="93" t="str">
        <f>IFERROR(VLOOKUP(A376,'Salary Calculation'!$A$2:$T$999,7,0),"")</f>
        <v/>
      </c>
      <c r="H376" s="94"/>
      <c r="I376" s="46"/>
      <c r="J376" s="46"/>
      <c r="K376" s="46"/>
      <c r="L376" s="46"/>
      <c r="M376" s="46"/>
      <c r="N376" s="46"/>
      <c r="O376" s="46"/>
      <c r="P376" s="46"/>
      <c r="Q376" s="46"/>
      <c r="R376" s="46"/>
      <c r="S376" s="46"/>
      <c r="T376" s="46"/>
      <c r="U376" s="46"/>
      <c r="V376" s="46"/>
      <c r="W376" s="46"/>
      <c r="X376" s="46"/>
      <c r="Y376" s="46"/>
      <c r="Z376" s="46"/>
      <c r="AA376" s="46"/>
      <c r="AB376" s="46"/>
    </row>
    <row r="377" hidden="1">
      <c r="A377" s="90" t="s">
        <v>594</v>
      </c>
      <c r="B377" s="91" t="str">
        <f>IFERROR(VLOOKUP(A377,'Salary Calculation'!A377:F1374,2,0),"")</f>
        <v/>
      </c>
      <c r="C377" s="91" t="str">
        <f>IFERROR(VLOOKUP(A377,'Salary Calculation'!$A$2:$T$999,3,0),"")</f>
        <v/>
      </c>
      <c r="D377" s="91" t="str">
        <f>IFERROR(VLOOKUP(A377,'Salary Calculation'!$A$2:$T$999,6,0),"")</f>
        <v/>
      </c>
      <c r="E377" s="91" t="str">
        <f>IFERROR(VLOOKUP(A377,'Salary Calculation'!$A$2:$T$999,8,0),"")</f>
        <v/>
      </c>
      <c r="F377" s="92" t="str">
        <f>IFERROR(VLOOKUP(C377,'Employees List'!$B$2:H999,6,0),"")</f>
        <v/>
      </c>
      <c r="G377" s="93" t="str">
        <f>IFERROR(VLOOKUP(A377,'Salary Calculation'!$A$2:$T$999,7,0),"")</f>
        <v/>
      </c>
      <c r="H377" s="94"/>
      <c r="I377" s="46"/>
      <c r="J377" s="46"/>
      <c r="K377" s="46"/>
      <c r="L377" s="46"/>
      <c r="M377" s="46"/>
      <c r="N377" s="46"/>
      <c r="O377" s="46"/>
      <c r="P377" s="46"/>
      <c r="Q377" s="46"/>
      <c r="R377" s="46"/>
      <c r="S377" s="46"/>
      <c r="T377" s="46"/>
      <c r="U377" s="46"/>
      <c r="V377" s="46"/>
      <c r="W377" s="46"/>
      <c r="X377" s="46"/>
      <c r="Y377" s="46"/>
      <c r="Z377" s="46"/>
      <c r="AA377" s="46"/>
      <c r="AB377" s="46"/>
    </row>
    <row r="378" hidden="1">
      <c r="A378" s="90" t="s">
        <v>595</v>
      </c>
      <c r="B378" s="91" t="str">
        <f>IFERROR(VLOOKUP(A378,'Salary Calculation'!A378:F1375,2,0),"")</f>
        <v/>
      </c>
      <c r="C378" s="91" t="str">
        <f>IFERROR(VLOOKUP(A378,'Salary Calculation'!$A$2:$T$999,3,0),"")</f>
        <v/>
      </c>
      <c r="D378" s="91" t="str">
        <f>IFERROR(VLOOKUP(A378,'Salary Calculation'!$A$2:$T$999,6,0),"")</f>
        <v/>
      </c>
      <c r="E378" s="91" t="str">
        <f>IFERROR(VLOOKUP(A378,'Salary Calculation'!$A$2:$T$999,8,0),"")</f>
        <v/>
      </c>
      <c r="F378" s="92" t="str">
        <f>IFERROR(VLOOKUP(C378,'Employees List'!$B$2:H999,6,0),"")</f>
        <v/>
      </c>
      <c r="G378" s="93" t="str">
        <f>IFERROR(VLOOKUP(A378,'Salary Calculation'!$A$2:$T$999,7,0),"")</f>
        <v/>
      </c>
      <c r="H378" s="94"/>
      <c r="I378" s="46"/>
      <c r="J378" s="46"/>
      <c r="K378" s="46"/>
      <c r="L378" s="46"/>
      <c r="M378" s="46"/>
      <c r="N378" s="46"/>
      <c r="O378" s="46"/>
      <c r="P378" s="46"/>
      <c r="Q378" s="46"/>
      <c r="R378" s="46"/>
      <c r="S378" s="46"/>
      <c r="T378" s="46"/>
      <c r="U378" s="46"/>
      <c r="V378" s="46"/>
      <c r="W378" s="46"/>
      <c r="X378" s="46"/>
      <c r="Y378" s="46"/>
      <c r="Z378" s="46"/>
      <c r="AA378" s="46"/>
      <c r="AB378" s="46"/>
    </row>
    <row r="379" hidden="1">
      <c r="A379" s="90" t="s">
        <v>596</v>
      </c>
      <c r="B379" s="91" t="str">
        <f>IFERROR(VLOOKUP(A379,'Salary Calculation'!A379:F1376,2,0),"")</f>
        <v/>
      </c>
      <c r="C379" s="91" t="str">
        <f>IFERROR(VLOOKUP(A379,'Salary Calculation'!$A$2:$T$999,3,0),"")</f>
        <v/>
      </c>
      <c r="D379" s="91" t="str">
        <f>IFERROR(VLOOKUP(A379,'Salary Calculation'!$A$2:$T$999,6,0),"")</f>
        <v/>
      </c>
      <c r="E379" s="91" t="str">
        <f>IFERROR(VLOOKUP(A379,'Salary Calculation'!$A$2:$T$999,8,0),"")</f>
        <v/>
      </c>
      <c r="F379" s="92" t="str">
        <f>IFERROR(VLOOKUP(C379,'Employees List'!$B$2:H999,6,0),"")</f>
        <v/>
      </c>
      <c r="G379" s="93" t="str">
        <f>IFERROR(VLOOKUP(A379,'Salary Calculation'!$A$2:$T$999,7,0),"")</f>
        <v/>
      </c>
      <c r="H379" s="94"/>
      <c r="I379" s="46"/>
      <c r="J379" s="46"/>
      <c r="K379" s="46"/>
      <c r="L379" s="46"/>
      <c r="M379" s="46"/>
      <c r="N379" s="46"/>
      <c r="O379" s="46"/>
      <c r="P379" s="46"/>
      <c r="Q379" s="46"/>
      <c r="R379" s="46"/>
      <c r="S379" s="46"/>
      <c r="T379" s="46"/>
      <c r="U379" s="46"/>
      <c r="V379" s="46"/>
      <c r="W379" s="46"/>
      <c r="X379" s="46"/>
      <c r="Y379" s="46"/>
      <c r="Z379" s="46"/>
      <c r="AA379" s="46"/>
      <c r="AB379" s="46"/>
    </row>
    <row r="380" hidden="1">
      <c r="A380" s="90" t="s">
        <v>597</v>
      </c>
      <c r="B380" s="91" t="str">
        <f>IFERROR(VLOOKUP(A380,'Salary Calculation'!A380:F1377,2,0),"")</f>
        <v/>
      </c>
      <c r="C380" s="91" t="str">
        <f>IFERROR(VLOOKUP(A380,'Salary Calculation'!$A$2:$T$999,3,0),"")</f>
        <v/>
      </c>
      <c r="D380" s="91" t="str">
        <f>IFERROR(VLOOKUP(A380,'Salary Calculation'!$A$2:$T$999,6,0),"")</f>
        <v/>
      </c>
      <c r="E380" s="91" t="str">
        <f>IFERROR(VLOOKUP(A380,'Salary Calculation'!$A$2:$T$999,8,0),"")</f>
        <v/>
      </c>
      <c r="F380" s="92" t="str">
        <f>IFERROR(VLOOKUP(C380,'Employees List'!$B$2:H999,6,0),"")</f>
        <v/>
      </c>
      <c r="G380" s="93" t="str">
        <f>IFERROR(VLOOKUP(A380,'Salary Calculation'!$A$2:$T$999,7,0),"")</f>
        <v/>
      </c>
      <c r="H380" s="94"/>
      <c r="I380" s="46"/>
      <c r="J380" s="46"/>
      <c r="K380" s="46"/>
      <c r="L380" s="46"/>
      <c r="M380" s="46"/>
      <c r="N380" s="46"/>
      <c r="O380" s="46"/>
      <c r="P380" s="46"/>
      <c r="Q380" s="46"/>
      <c r="R380" s="46"/>
      <c r="S380" s="46"/>
      <c r="T380" s="46"/>
      <c r="U380" s="46"/>
      <c r="V380" s="46"/>
      <c r="W380" s="46"/>
      <c r="X380" s="46"/>
      <c r="Y380" s="46"/>
      <c r="Z380" s="46"/>
      <c r="AA380" s="46"/>
      <c r="AB380" s="46"/>
    </row>
    <row r="381" hidden="1">
      <c r="A381" s="90" t="s">
        <v>598</v>
      </c>
      <c r="B381" s="91" t="str">
        <f>IFERROR(VLOOKUP(A381,'Salary Calculation'!A381:F1378,2,0),"")</f>
        <v/>
      </c>
      <c r="C381" s="91" t="str">
        <f>IFERROR(VLOOKUP(A381,'Salary Calculation'!$A$2:$T$999,3,0),"")</f>
        <v/>
      </c>
      <c r="D381" s="91" t="str">
        <f>IFERROR(VLOOKUP(A381,'Salary Calculation'!$A$2:$T$999,6,0),"")</f>
        <v/>
      </c>
      <c r="E381" s="91" t="str">
        <f>IFERROR(VLOOKUP(A381,'Salary Calculation'!$A$2:$T$999,8,0),"")</f>
        <v/>
      </c>
      <c r="F381" s="92" t="str">
        <f>IFERROR(VLOOKUP(C381,'Employees List'!$B$2:H999,6,0),"")</f>
        <v/>
      </c>
      <c r="G381" s="93" t="str">
        <f>IFERROR(VLOOKUP(A381,'Salary Calculation'!$A$2:$T$999,7,0),"")</f>
        <v/>
      </c>
      <c r="H381" s="94"/>
      <c r="I381" s="46"/>
      <c r="J381" s="46"/>
      <c r="K381" s="46"/>
      <c r="L381" s="46"/>
      <c r="M381" s="46"/>
      <c r="N381" s="46"/>
      <c r="O381" s="46"/>
      <c r="P381" s="46"/>
      <c r="Q381" s="46"/>
      <c r="R381" s="46"/>
      <c r="S381" s="46"/>
      <c r="T381" s="46"/>
      <c r="U381" s="46"/>
      <c r="V381" s="46"/>
      <c r="W381" s="46"/>
      <c r="X381" s="46"/>
      <c r="Y381" s="46"/>
      <c r="Z381" s="46"/>
      <c r="AA381" s="46"/>
      <c r="AB381" s="46"/>
    </row>
    <row r="382" hidden="1">
      <c r="A382" s="90" t="s">
        <v>599</v>
      </c>
      <c r="B382" s="91" t="str">
        <f>IFERROR(VLOOKUP(A382,'Salary Calculation'!A382:F1379,2,0),"")</f>
        <v/>
      </c>
      <c r="C382" s="91" t="str">
        <f>IFERROR(VLOOKUP(A382,'Salary Calculation'!$A$2:$T$999,3,0),"")</f>
        <v/>
      </c>
      <c r="D382" s="91" t="str">
        <f>IFERROR(VLOOKUP(A382,'Salary Calculation'!$A$2:$T$999,6,0),"")</f>
        <v/>
      </c>
      <c r="E382" s="91" t="str">
        <f>IFERROR(VLOOKUP(A382,'Salary Calculation'!$A$2:$T$999,8,0),"")</f>
        <v/>
      </c>
      <c r="F382" s="92" t="str">
        <f>IFERROR(VLOOKUP(C382,'Employees List'!$B$2:H999,6,0),"")</f>
        <v/>
      </c>
      <c r="G382" s="93" t="str">
        <f>IFERROR(VLOOKUP(A382,'Salary Calculation'!$A$2:$T$999,7,0),"")</f>
        <v/>
      </c>
      <c r="H382" s="94"/>
      <c r="I382" s="46"/>
      <c r="J382" s="46"/>
      <c r="K382" s="46"/>
      <c r="L382" s="46"/>
      <c r="M382" s="46"/>
      <c r="N382" s="46"/>
      <c r="O382" s="46"/>
      <c r="P382" s="46"/>
      <c r="Q382" s="46"/>
      <c r="R382" s="46"/>
      <c r="S382" s="46"/>
      <c r="T382" s="46"/>
      <c r="U382" s="46"/>
      <c r="V382" s="46"/>
      <c r="W382" s="46"/>
      <c r="X382" s="46"/>
      <c r="Y382" s="46"/>
      <c r="Z382" s="46"/>
      <c r="AA382" s="46"/>
      <c r="AB382" s="46"/>
    </row>
    <row r="383" hidden="1">
      <c r="A383" s="90" t="s">
        <v>600</v>
      </c>
      <c r="B383" s="91" t="str">
        <f>IFERROR(VLOOKUP(A383,'Salary Calculation'!A383:F1380,2,0),"")</f>
        <v/>
      </c>
      <c r="C383" s="91" t="str">
        <f>IFERROR(VLOOKUP(A383,'Salary Calculation'!$A$2:$T$999,3,0),"")</f>
        <v/>
      </c>
      <c r="D383" s="91" t="str">
        <f>IFERROR(VLOOKUP(A383,'Salary Calculation'!$A$2:$T$999,6,0),"")</f>
        <v/>
      </c>
      <c r="E383" s="91" t="str">
        <f>IFERROR(VLOOKUP(A383,'Salary Calculation'!$A$2:$T$999,8,0),"")</f>
        <v/>
      </c>
      <c r="F383" s="92" t="str">
        <f>IFERROR(VLOOKUP(C383,'Employees List'!$B$2:H999,6,0),"")</f>
        <v/>
      </c>
      <c r="G383" s="93" t="str">
        <f>IFERROR(VLOOKUP(A383,'Salary Calculation'!$A$2:$T$999,7,0),"")</f>
        <v/>
      </c>
      <c r="H383" s="94"/>
      <c r="I383" s="46"/>
      <c r="J383" s="46"/>
      <c r="K383" s="46"/>
      <c r="L383" s="46"/>
      <c r="M383" s="46"/>
      <c r="N383" s="46"/>
      <c r="O383" s="46"/>
      <c r="P383" s="46"/>
      <c r="Q383" s="46"/>
      <c r="R383" s="46"/>
      <c r="S383" s="46"/>
      <c r="T383" s="46"/>
      <c r="U383" s="46"/>
      <c r="V383" s="46"/>
      <c r="W383" s="46"/>
      <c r="X383" s="46"/>
      <c r="Y383" s="46"/>
      <c r="Z383" s="46"/>
      <c r="AA383" s="46"/>
      <c r="AB383" s="46"/>
    </row>
    <row r="384" hidden="1">
      <c r="A384" s="90" t="s">
        <v>601</v>
      </c>
      <c r="B384" s="91" t="str">
        <f>IFERROR(VLOOKUP(A384,'Salary Calculation'!A384:F1381,2,0),"")</f>
        <v/>
      </c>
      <c r="C384" s="91" t="str">
        <f>IFERROR(VLOOKUP(A384,'Salary Calculation'!$A$2:$T$999,3,0),"")</f>
        <v/>
      </c>
      <c r="D384" s="91" t="str">
        <f>IFERROR(VLOOKUP(A384,'Salary Calculation'!$A$2:$T$999,6,0),"")</f>
        <v/>
      </c>
      <c r="E384" s="91" t="str">
        <f>IFERROR(VLOOKUP(A384,'Salary Calculation'!$A$2:$T$999,8,0),"")</f>
        <v/>
      </c>
      <c r="F384" s="92" t="str">
        <f>IFERROR(VLOOKUP(C384,'Employees List'!$B$2:H999,6,0),"")</f>
        <v/>
      </c>
      <c r="G384" s="93" t="str">
        <f>IFERROR(VLOOKUP(A384,'Salary Calculation'!$A$2:$T$999,7,0),"")</f>
        <v/>
      </c>
      <c r="H384" s="94"/>
      <c r="I384" s="46"/>
      <c r="J384" s="46"/>
      <c r="K384" s="46"/>
      <c r="L384" s="46"/>
      <c r="M384" s="46"/>
      <c r="N384" s="46"/>
      <c r="O384" s="46"/>
      <c r="P384" s="46"/>
      <c r="Q384" s="46"/>
      <c r="R384" s="46"/>
      <c r="S384" s="46"/>
      <c r="T384" s="46"/>
      <c r="U384" s="46"/>
      <c r="V384" s="46"/>
      <c r="W384" s="46"/>
      <c r="X384" s="46"/>
      <c r="Y384" s="46"/>
      <c r="Z384" s="46"/>
      <c r="AA384" s="46"/>
      <c r="AB384" s="46"/>
    </row>
    <row r="385" hidden="1">
      <c r="A385" s="90" t="s">
        <v>602</v>
      </c>
      <c r="B385" s="91" t="str">
        <f>IFERROR(VLOOKUP(A385,'Salary Calculation'!A385:F1382,2,0),"")</f>
        <v/>
      </c>
      <c r="C385" s="91" t="str">
        <f>IFERROR(VLOOKUP(A385,'Salary Calculation'!$A$2:$T$999,3,0),"")</f>
        <v/>
      </c>
      <c r="D385" s="91" t="str">
        <f>IFERROR(VLOOKUP(A385,'Salary Calculation'!$A$2:$T$999,6,0),"")</f>
        <v/>
      </c>
      <c r="E385" s="91" t="str">
        <f>IFERROR(VLOOKUP(A385,'Salary Calculation'!$A$2:$T$999,8,0),"")</f>
        <v/>
      </c>
      <c r="F385" s="92" t="str">
        <f>IFERROR(VLOOKUP(C385,'Employees List'!$B$2:H999,6,0),"")</f>
        <v/>
      </c>
      <c r="G385" s="93" t="str">
        <f>IFERROR(VLOOKUP(A385,'Salary Calculation'!$A$2:$T$999,7,0),"")</f>
        <v/>
      </c>
      <c r="H385" s="94"/>
      <c r="I385" s="46"/>
      <c r="J385" s="46"/>
      <c r="K385" s="46"/>
      <c r="L385" s="46"/>
      <c r="M385" s="46"/>
      <c r="N385" s="46"/>
      <c r="O385" s="46"/>
      <c r="P385" s="46"/>
      <c r="Q385" s="46"/>
      <c r="R385" s="46"/>
      <c r="S385" s="46"/>
      <c r="T385" s="46"/>
      <c r="U385" s="46"/>
      <c r="V385" s="46"/>
      <c r="W385" s="46"/>
      <c r="X385" s="46"/>
      <c r="Y385" s="46"/>
      <c r="Z385" s="46"/>
      <c r="AA385" s="46"/>
      <c r="AB385" s="46"/>
    </row>
    <row r="386" hidden="1">
      <c r="A386" s="90" t="s">
        <v>603</v>
      </c>
      <c r="B386" s="91" t="str">
        <f>IFERROR(VLOOKUP(A386,'Salary Calculation'!A386:F1383,2,0),"")</f>
        <v/>
      </c>
      <c r="C386" s="91" t="str">
        <f>IFERROR(VLOOKUP(A386,'Salary Calculation'!$A$2:$T$999,3,0),"")</f>
        <v/>
      </c>
      <c r="D386" s="91" t="str">
        <f>IFERROR(VLOOKUP(A386,'Salary Calculation'!$A$2:$T$999,6,0),"")</f>
        <v/>
      </c>
      <c r="E386" s="91" t="str">
        <f>IFERROR(VLOOKUP(A386,'Salary Calculation'!$A$2:$T$999,8,0),"")</f>
        <v/>
      </c>
      <c r="F386" s="92" t="str">
        <f>IFERROR(VLOOKUP(C386,'Employees List'!$B$2:H999,6,0),"")</f>
        <v/>
      </c>
      <c r="G386" s="93" t="str">
        <f>IFERROR(VLOOKUP(A386,'Salary Calculation'!$A$2:$T$999,7,0),"")</f>
        <v/>
      </c>
      <c r="H386" s="94"/>
      <c r="I386" s="46"/>
      <c r="J386" s="46"/>
      <c r="K386" s="46"/>
      <c r="L386" s="46"/>
      <c r="M386" s="46"/>
      <c r="N386" s="46"/>
      <c r="O386" s="46"/>
      <c r="P386" s="46"/>
      <c r="Q386" s="46"/>
      <c r="R386" s="46"/>
      <c r="S386" s="46"/>
      <c r="T386" s="46"/>
      <c r="U386" s="46"/>
      <c r="V386" s="46"/>
      <c r="W386" s="46"/>
      <c r="X386" s="46"/>
      <c r="Y386" s="46"/>
      <c r="Z386" s="46"/>
      <c r="AA386" s="46"/>
      <c r="AB386" s="46"/>
    </row>
    <row r="387" hidden="1">
      <c r="A387" s="90" t="s">
        <v>604</v>
      </c>
      <c r="B387" s="91" t="str">
        <f>IFERROR(VLOOKUP(A387,'Salary Calculation'!A387:F1384,2,0),"")</f>
        <v/>
      </c>
      <c r="C387" s="91" t="str">
        <f>IFERROR(VLOOKUP(A387,'Salary Calculation'!$A$2:$T$999,3,0),"")</f>
        <v/>
      </c>
      <c r="D387" s="91" t="str">
        <f>IFERROR(VLOOKUP(A387,'Salary Calculation'!$A$2:$T$999,6,0),"")</f>
        <v/>
      </c>
      <c r="E387" s="91" t="str">
        <f>IFERROR(VLOOKUP(A387,'Salary Calculation'!$A$2:$T$999,8,0),"")</f>
        <v/>
      </c>
      <c r="F387" s="92" t="str">
        <f>IFERROR(VLOOKUP(C387,'Employees List'!$B$2:H999,6,0),"")</f>
        <v/>
      </c>
      <c r="G387" s="93" t="str">
        <f>IFERROR(VLOOKUP(A387,'Salary Calculation'!$A$2:$T$999,7,0),"")</f>
        <v/>
      </c>
      <c r="H387" s="94"/>
      <c r="I387" s="46"/>
      <c r="J387" s="46"/>
      <c r="K387" s="46"/>
      <c r="L387" s="46"/>
      <c r="M387" s="46"/>
      <c r="N387" s="46"/>
      <c r="O387" s="46"/>
      <c r="P387" s="46"/>
      <c r="Q387" s="46"/>
      <c r="R387" s="46"/>
      <c r="S387" s="46"/>
      <c r="T387" s="46"/>
      <c r="U387" s="46"/>
      <c r="V387" s="46"/>
      <c r="W387" s="46"/>
      <c r="X387" s="46"/>
      <c r="Y387" s="46"/>
      <c r="Z387" s="46"/>
      <c r="AA387" s="46"/>
      <c r="AB387" s="46"/>
    </row>
    <row r="388" hidden="1">
      <c r="A388" s="90" t="s">
        <v>605</v>
      </c>
      <c r="B388" s="91" t="str">
        <f>IFERROR(VLOOKUP(A388,'Salary Calculation'!A388:F1385,2,0),"")</f>
        <v/>
      </c>
      <c r="C388" s="91" t="str">
        <f>IFERROR(VLOOKUP(A388,'Salary Calculation'!$A$2:$T$999,3,0),"")</f>
        <v/>
      </c>
      <c r="D388" s="91" t="str">
        <f>IFERROR(VLOOKUP(A388,'Salary Calculation'!$A$2:$T$999,6,0),"")</f>
        <v/>
      </c>
      <c r="E388" s="91" t="str">
        <f>IFERROR(VLOOKUP(A388,'Salary Calculation'!$A$2:$T$999,8,0),"")</f>
        <v/>
      </c>
      <c r="F388" s="92" t="str">
        <f>IFERROR(VLOOKUP(C388,'Employees List'!$B$2:H999,6,0),"")</f>
        <v/>
      </c>
      <c r="G388" s="93" t="str">
        <f>IFERROR(VLOOKUP(A388,'Salary Calculation'!$A$2:$T$999,7,0),"")</f>
        <v/>
      </c>
      <c r="H388" s="94"/>
      <c r="I388" s="46"/>
      <c r="J388" s="46"/>
      <c r="K388" s="46"/>
      <c r="L388" s="46"/>
      <c r="M388" s="46"/>
      <c r="N388" s="46"/>
      <c r="O388" s="46"/>
      <c r="P388" s="46"/>
      <c r="Q388" s="46"/>
      <c r="R388" s="46"/>
      <c r="S388" s="46"/>
      <c r="T388" s="46"/>
      <c r="U388" s="46"/>
      <c r="V388" s="46"/>
      <c r="W388" s="46"/>
      <c r="X388" s="46"/>
      <c r="Y388" s="46"/>
      <c r="Z388" s="46"/>
      <c r="AA388" s="46"/>
      <c r="AB388" s="46"/>
    </row>
    <row r="389" hidden="1">
      <c r="A389" s="90" t="s">
        <v>606</v>
      </c>
      <c r="B389" s="91" t="str">
        <f>IFERROR(VLOOKUP(A389,'Salary Calculation'!A389:F1386,2,0),"")</f>
        <v/>
      </c>
      <c r="C389" s="91" t="str">
        <f>IFERROR(VLOOKUP(A389,'Salary Calculation'!$A$2:$T$999,3,0),"")</f>
        <v/>
      </c>
      <c r="D389" s="91" t="str">
        <f>IFERROR(VLOOKUP(A389,'Salary Calculation'!$A$2:$T$999,6,0),"")</f>
        <v/>
      </c>
      <c r="E389" s="91" t="str">
        <f>IFERROR(VLOOKUP(A389,'Salary Calculation'!$A$2:$T$999,8,0),"")</f>
        <v/>
      </c>
      <c r="F389" s="92" t="str">
        <f>IFERROR(VLOOKUP(C389,'Employees List'!$B$2:H999,6,0),"")</f>
        <v/>
      </c>
      <c r="G389" s="93" t="str">
        <f>IFERROR(VLOOKUP(A389,'Salary Calculation'!$A$2:$T$999,7,0),"")</f>
        <v/>
      </c>
      <c r="H389" s="94"/>
      <c r="I389" s="46"/>
      <c r="J389" s="46"/>
      <c r="K389" s="46"/>
      <c r="L389" s="46"/>
      <c r="M389" s="46"/>
      <c r="N389" s="46"/>
      <c r="O389" s="46"/>
      <c r="P389" s="46"/>
      <c r="Q389" s="46"/>
      <c r="R389" s="46"/>
      <c r="S389" s="46"/>
      <c r="T389" s="46"/>
      <c r="U389" s="46"/>
      <c r="V389" s="46"/>
      <c r="W389" s="46"/>
      <c r="X389" s="46"/>
      <c r="Y389" s="46"/>
      <c r="Z389" s="46"/>
      <c r="AA389" s="46"/>
      <c r="AB389" s="46"/>
    </row>
    <row r="390" hidden="1">
      <c r="A390" s="90" t="s">
        <v>607</v>
      </c>
      <c r="B390" s="91" t="str">
        <f>IFERROR(VLOOKUP(A390,'Salary Calculation'!A390:F1387,2,0),"")</f>
        <v/>
      </c>
      <c r="C390" s="91" t="str">
        <f>IFERROR(VLOOKUP(A390,'Salary Calculation'!$A$2:$T$999,3,0),"")</f>
        <v/>
      </c>
      <c r="D390" s="91" t="str">
        <f>IFERROR(VLOOKUP(A390,'Salary Calculation'!$A$2:$T$999,6,0),"")</f>
        <v/>
      </c>
      <c r="E390" s="91" t="str">
        <f>IFERROR(VLOOKUP(A390,'Salary Calculation'!$A$2:$T$999,8,0),"")</f>
        <v/>
      </c>
      <c r="F390" s="92" t="str">
        <f>IFERROR(VLOOKUP(C390,'Employees List'!$B$2:H999,6,0),"")</f>
        <v/>
      </c>
      <c r="G390" s="93" t="str">
        <f>IFERROR(VLOOKUP(A390,'Salary Calculation'!$A$2:$T$999,7,0),"")</f>
        <v/>
      </c>
      <c r="H390" s="94"/>
      <c r="I390" s="46"/>
      <c r="J390" s="46"/>
      <c r="K390" s="46"/>
      <c r="L390" s="46"/>
      <c r="M390" s="46"/>
      <c r="N390" s="46"/>
      <c r="O390" s="46"/>
      <c r="P390" s="46"/>
      <c r="Q390" s="46"/>
      <c r="R390" s="46"/>
      <c r="S390" s="46"/>
      <c r="T390" s="46"/>
      <c r="U390" s="46"/>
      <c r="V390" s="46"/>
      <c r="W390" s="46"/>
      <c r="X390" s="46"/>
      <c r="Y390" s="46"/>
      <c r="Z390" s="46"/>
      <c r="AA390" s="46"/>
      <c r="AB390" s="46"/>
    </row>
    <row r="391" hidden="1">
      <c r="A391" s="90" t="s">
        <v>608</v>
      </c>
      <c r="B391" s="91" t="str">
        <f>IFERROR(VLOOKUP(A391,'Salary Calculation'!A391:F1388,2,0),"")</f>
        <v/>
      </c>
      <c r="C391" s="91" t="str">
        <f>IFERROR(VLOOKUP(A391,'Salary Calculation'!$A$2:$T$999,3,0),"")</f>
        <v/>
      </c>
      <c r="D391" s="91" t="str">
        <f>IFERROR(VLOOKUP(A391,'Salary Calculation'!$A$2:$T$999,6,0),"")</f>
        <v/>
      </c>
      <c r="E391" s="91" t="str">
        <f>IFERROR(VLOOKUP(A391,'Salary Calculation'!$A$2:$T$999,8,0),"")</f>
        <v/>
      </c>
      <c r="F391" s="92" t="str">
        <f>IFERROR(VLOOKUP(C391,'Employees List'!$B$2:H999,6,0),"")</f>
        <v/>
      </c>
      <c r="G391" s="93" t="str">
        <f>IFERROR(VLOOKUP(A391,'Salary Calculation'!$A$2:$T$999,7,0),"")</f>
        <v/>
      </c>
      <c r="H391" s="94"/>
      <c r="I391" s="46"/>
      <c r="J391" s="46"/>
      <c r="K391" s="46"/>
      <c r="L391" s="46"/>
      <c r="M391" s="46"/>
      <c r="N391" s="46"/>
      <c r="O391" s="46"/>
      <c r="P391" s="46"/>
      <c r="Q391" s="46"/>
      <c r="R391" s="46"/>
      <c r="S391" s="46"/>
      <c r="T391" s="46"/>
      <c r="U391" s="46"/>
      <c r="V391" s="46"/>
      <c r="W391" s="46"/>
      <c r="X391" s="46"/>
      <c r="Y391" s="46"/>
      <c r="Z391" s="46"/>
      <c r="AA391" s="46"/>
      <c r="AB391" s="46"/>
    </row>
    <row r="392" hidden="1">
      <c r="A392" s="90" t="s">
        <v>609</v>
      </c>
      <c r="B392" s="91" t="str">
        <f>IFERROR(VLOOKUP(A392,'Salary Calculation'!A392:F1389,2,0),"")</f>
        <v/>
      </c>
      <c r="C392" s="91" t="str">
        <f>IFERROR(VLOOKUP(A392,'Salary Calculation'!$A$2:$T$999,3,0),"")</f>
        <v/>
      </c>
      <c r="D392" s="91" t="str">
        <f>IFERROR(VLOOKUP(A392,'Salary Calculation'!$A$2:$T$999,6,0),"")</f>
        <v/>
      </c>
      <c r="E392" s="91" t="str">
        <f>IFERROR(VLOOKUP(A392,'Salary Calculation'!$A$2:$T$999,8,0),"")</f>
        <v/>
      </c>
      <c r="F392" s="92" t="str">
        <f>IFERROR(VLOOKUP(C392,'Employees List'!$B$2:H999,6,0),"")</f>
        <v/>
      </c>
      <c r="G392" s="93" t="str">
        <f>IFERROR(VLOOKUP(A392,'Salary Calculation'!$A$2:$T$999,7,0),"")</f>
        <v/>
      </c>
      <c r="H392" s="94"/>
      <c r="I392" s="46"/>
      <c r="J392" s="46"/>
      <c r="K392" s="46"/>
      <c r="L392" s="46"/>
      <c r="M392" s="46"/>
      <c r="N392" s="46"/>
      <c r="O392" s="46"/>
      <c r="P392" s="46"/>
      <c r="Q392" s="46"/>
      <c r="R392" s="46"/>
      <c r="S392" s="46"/>
      <c r="T392" s="46"/>
      <c r="U392" s="46"/>
      <c r="V392" s="46"/>
      <c r="W392" s="46"/>
      <c r="X392" s="46"/>
      <c r="Y392" s="46"/>
      <c r="Z392" s="46"/>
      <c r="AA392" s="46"/>
      <c r="AB392" s="46"/>
    </row>
    <row r="393" hidden="1">
      <c r="A393" s="90" t="s">
        <v>610</v>
      </c>
      <c r="B393" s="91" t="str">
        <f>IFERROR(VLOOKUP(A393,'Salary Calculation'!A393:F1390,2,0),"")</f>
        <v/>
      </c>
      <c r="C393" s="91" t="str">
        <f>IFERROR(VLOOKUP(A393,'Salary Calculation'!$A$2:$T$999,3,0),"")</f>
        <v/>
      </c>
      <c r="D393" s="91" t="str">
        <f>IFERROR(VLOOKUP(A393,'Salary Calculation'!$A$2:$T$999,6,0),"")</f>
        <v/>
      </c>
      <c r="E393" s="91" t="str">
        <f>IFERROR(VLOOKUP(A393,'Salary Calculation'!$A$2:$T$999,8,0),"")</f>
        <v/>
      </c>
      <c r="F393" s="92" t="str">
        <f>IFERROR(VLOOKUP(C393,'Employees List'!$B$2:H999,6,0),"")</f>
        <v/>
      </c>
      <c r="G393" s="93" t="str">
        <f>IFERROR(VLOOKUP(A393,'Salary Calculation'!$A$2:$T$999,7,0),"")</f>
        <v/>
      </c>
      <c r="H393" s="94"/>
      <c r="I393" s="46"/>
      <c r="J393" s="46"/>
      <c r="K393" s="46"/>
      <c r="L393" s="46"/>
      <c r="M393" s="46"/>
      <c r="N393" s="46"/>
      <c r="O393" s="46"/>
      <c r="P393" s="46"/>
      <c r="Q393" s="46"/>
      <c r="R393" s="46"/>
      <c r="S393" s="46"/>
      <c r="T393" s="46"/>
      <c r="U393" s="46"/>
      <c r="V393" s="46"/>
      <c r="W393" s="46"/>
      <c r="X393" s="46"/>
      <c r="Y393" s="46"/>
      <c r="Z393" s="46"/>
      <c r="AA393" s="46"/>
      <c r="AB393" s="46"/>
    </row>
    <row r="394" hidden="1">
      <c r="A394" s="90" t="s">
        <v>611</v>
      </c>
      <c r="B394" s="91" t="str">
        <f>IFERROR(VLOOKUP(A394,'Salary Calculation'!A394:F1391,2,0),"")</f>
        <v/>
      </c>
      <c r="C394" s="91" t="str">
        <f>IFERROR(VLOOKUP(A394,'Salary Calculation'!$A$2:$T$999,3,0),"")</f>
        <v/>
      </c>
      <c r="D394" s="91" t="str">
        <f>IFERROR(VLOOKUP(A394,'Salary Calculation'!$A$2:$T$999,6,0),"")</f>
        <v/>
      </c>
      <c r="E394" s="91" t="str">
        <f>IFERROR(VLOOKUP(A394,'Salary Calculation'!$A$2:$T$999,8,0),"")</f>
        <v/>
      </c>
      <c r="F394" s="92" t="str">
        <f>IFERROR(VLOOKUP(C394,'Employees List'!$B$2:H999,6,0),"")</f>
        <v/>
      </c>
      <c r="G394" s="93" t="str">
        <f>IFERROR(VLOOKUP(A394,'Salary Calculation'!$A$2:$T$999,7,0),"")</f>
        <v/>
      </c>
      <c r="H394" s="94"/>
      <c r="I394" s="46"/>
      <c r="J394" s="46"/>
      <c r="K394" s="46"/>
      <c r="L394" s="46"/>
      <c r="M394" s="46"/>
      <c r="N394" s="46"/>
      <c r="O394" s="46"/>
      <c r="P394" s="46"/>
      <c r="Q394" s="46"/>
      <c r="R394" s="46"/>
      <c r="S394" s="46"/>
      <c r="T394" s="46"/>
      <c r="U394" s="46"/>
      <c r="V394" s="46"/>
      <c r="W394" s="46"/>
      <c r="X394" s="46"/>
      <c r="Y394" s="46"/>
      <c r="Z394" s="46"/>
      <c r="AA394" s="46"/>
      <c r="AB394" s="46"/>
    </row>
    <row r="395" hidden="1">
      <c r="A395" s="90" t="s">
        <v>612</v>
      </c>
      <c r="B395" s="91" t="str">
        <f>IFERROR(VLOOKUP(A395,'Salary Calculation'!A395:F1392,2,0),"")</f>
        <v/>
      </c>
      <c r="C395" s="91" t="str">
        <f>IFERROR(VLOOKUP(A395,'Salary Calculation'!$A$2:$T$999,3,0),"")</f>
        <v/>
      </c>
      <c r="D395" s="91" t="str">
        <f>IFERROR(VLOOKUP(A395,'Salary Calculation'!$A$2:$T$999,6,0),"")</f>
        <v/>
      </c>
      <c r="E395" s="91" t="str">
        <f>IFERROR(VLOOKUP(A395,'Salary Calculation'!$A$2:$T$999,8,0),"")</f>
        <v/>
      </c>
      <c r="F395" s="92" t="str">
        <f>IFERROR(VLOOKUP(C395,'Employees List'!$B$2:H999,6,0),"")</f>
        <v/>
      </c>
      <c r="G395" s="93" t="str">
        <f>IFERROR(VLOOKUP(A395,'Salary Calculation'!$A$2:$T$999,7,0),"")</f>
        <v/>
      </c>
      <c r="H395" s="94"/>
      <c r="I395" s="46"/>
      <c r="J395" s="46"/>
      <c r="K395" s="46"/>
      <c r="L395" s="46"/>
      <c r="M395" s="46"/>
      <c r="N395" s="46"/>
      <c r="O395" s="46"/>
      <c r="P395" s="46"/>
      <c r="Q395" s="46"/>
      <c r="R395" s="46"/>
      <c r="S395" s="46"/>
      <c r="T395" s="46"/>
      <c r="U395" s="46"/>
      <c r="V395" s="46"/>
      <c r="W395" s="46"/>
      <c r="X395" s="46"/>
      <c r="Y395" s="46"/>
      <c r="Z395" s="46"/>
      <c r="AA395" s="46"/>
      <c r="AB395" s="46"/>
    </row>
    <row r="396" hidden="1">
      <c r="A396" s="90" t="s">
        <v>613</v>
      </c>
      <c r="B396" s="91" t="str">
        <f>IFERROR(VLOOKUP(A396,'Salary Calculation'!A396:F1393,2,0),"")</f>
        <v/>
      </c>
      <c r="C396" s="91" t="str">
        <f>IFERROR(VLOOKUP(A396,'Salary Calculation'!$A$2:$T$999,3,0),"")</f>
        <v/>
      </c>
      <c r="D396" s="91" t="str">
        <f>IFERROR(VLOOKUP(A396,'Salary Calculation'!$A$2:$T$999,6,0),"")</f>
        <v/>
      </c>
      <c r="E396" s="91" t="str">
        <f>IFERROR(VLOOKUP(A396,'Salary Calculation'!$A$2:$T$999,8,0),"")</f>
        <v/>
      </c>
      <c r="F396" s="92" t="str">
        <f>IFERROR(VLOOKUP(C396,'Employees List'!$B$2:H999,6,0),"")</f>
        <v/>
      </c>
      <c r="G396" s="93" t="str">
        <f>IFERROR(VLOOKUP(A396,'Salary Calculation'!$A$2:$T$999,7,0),"")</f>
        <v/>
      </c>
      <c r="H396" s="94"/>
      <c r="I396" s="46"/>
      <c r="J396" s="46"/>
      <c r="K396" s="46"/>
      <c r="L396" s="46"/>
      <c r="M396" s="46"/>
      <c r="N396" s="46"/>
      <c r="O396" s="46"/>
      <c r="P396" s="46"/>
      <c r="Q396" s="46"/>
      <c r="R396" s="46"/>
      <c r="S396" s="46"/>
      <c r="T396" s="46"/>
      <c r="U396" s="46"/>
      <c r="V396" s="46"/>
      <c r="W396" s="46"/>
      <c r="X396" s="46"/>
      <c r="Y396" s="46"/>
      <c r="Z396" s="46"/>
      <c r="AA396" s="46"/>
      <c r="AB396" s="46"/>
    </row>
    <row r="397" hidden="1">
      <c r="A397" s="90" t="s">
        <v>614</v>
      </c>
      <c r="B397" s="91" t="str">
        <f>IFERROR(VLOOKUP(A397,'Salary Calculation'!A397:F1394,2,0),"")</f>
        <v/>
      </c>
      <c r="C397" s="91" t="str">
        <f>IFERROR(VLOOKUP(A397,'Salary Calculation'!$A$2:$T$999,3,0),"")</f>
        <v/>
      </c>
      <c r="D397" s="91" t="str">
        <f>IFERROR(VLOOKUP(A397,'Salary Calculation'!$A$2:$T$999,6,0),"")</f>
        <v/>
      </c>
      <c r="E397" s="91" t="str">
        <f>IFERROR(VLOOKUP(A397,'Salary Calculation'!$A$2:$T$999,8,0),"")</f>
        <v/>
      </c>
      <c r="F397" s="92" t="str">
        <f>IFERROR(VLOOKUP(C397,'Employees List'!$B$2:H999,6,0),"")</f>
        <v/>
      </c>
      <c r="G397" s="93" t="str">
        <f>IFERROR(VLOOKUP(A397,'Salary Calculation'!$A$2:$T$999,7,0),"")</f>
        <v/>
      </c>
      <c r="H397" s="94"/>
      <c r="I397" s="46"/>
      <c r="J397" s="46"/>
      <c r="K397" s="46"/>
      <c r="L397" s="46"/>
      <c r="M397" s="46"/>
      <c r="N397" s="46"/>
      <c r="O397" s="46"/>
      <c r="P397" s="46"/>
      <c r="Q397" s="46"/>
      <c r="R397" s="46"/>
      <c r="S397" s="46"/>
      <c r="T397" s="46"/>
      <c r="U397" s="46"/>
      <c r="V397" s="46"/>
      <c r="W397" s="46"/>
      <c r="X397" s="46"/>
      <c r="Y397" s="46"/>
      <c r="Z397" s="46"/>
      <c r="AA397" s="46"/>
      <c r="AB397" s="46"/>
    </row>
    <row r="398" hidden="1">
      <c r="A398" s="90" t="s">
        <v>615</v>
      </c>
      <c r="B398" s="91" t="str">
        <f>IFERROR(VLOOKUP(A398,'Salary Calculation'!A398:F1395,2,0),"")</f>
        <v/>
      </c>
      <c r="C398" s="91" t="str">
        <f>IFERROR(VLOOKUP(A398,'Salary Calculation'!$A$2:$T$999,3,0),"")</f>
        <v/>
      </c>
      <c r="D398" s="91" t="str">
        <f>IFERROR(VLOOKUP(A398,'Salary Calculation'!$A$2:$T$999,6,0),"")</f>
        <v/>
      </c>
      <c r="E398" s="91" t="str">
        <f>IFERROR(VLOOKUP(A398,'Salary Calculation'!$A$2:$T$999,8,0),"")</f>
        <v/>
      </c>
      <c r="F398" s="92" t="str">
        <f>IFERROR(VLOOKUP(C398,'Employees List'!$B$2:H999,6,0),"")</f>
        <v/>
      </c>
      <c r="G398" s="93" t="str">
        <f>IFERROR(VLOOKUP(A398,'Salary Calculation'!$A$2:$T$999,7,0),"")</f>
        <v/>
      </c>
      <c r="H398" s="94"/>
      <c r="I398" s="46"/>
      <c r="J398" s="46"/>
      <c r="K398" s="46"/>
      <c r="L398" s="46"/>
      <c r="M398" s="46"/>
      <c r="N398" s="46"/>
      <c r="O398" s="46"/>
      <c r="P398" s="46"/>
      <c r="Q398" s="46"/>
      <c r="R398" s="46"/>
      <c r="S398" s="46"/>
      <c r="T398" s="46"/>
      <c r="U398" s="46"/>
      <c r="V398" s="46"/>
      <c r="W398" s="46"/>
      <c r="X398" s="46"/>
      <c r="Y398" s="46"/>
      <c r="Z398" s="46"/>
      <c r="AA398" s="46"/>
      <c r="AB398" s="46"/>
    </row>
    <row r="399" hidden="1">
      <c r="A399" s="90" t="s">
        <v>616</v>
      </c>
      <c r="B399" s="91" t="str">
        <f>IFERROR(VLOOKUP(A399,'Salary Calculation'!A399:F1396,2,0),"")</f>
        <v/>
      </c>
      <c r="C399" s="91" t="str">
        <f>IFERROR(VLOOKUP(A399,'Salary Calculation'!$A$2:$T$999,3,0),"")</f>
        <v/>
      </c>
      <c r="D399" s="91" t="str">
        <f>IFERROR(VLOOKUP(A399,'Salary Calculation'!$A$2:$T$999,6,0),"")</f>
        <v/>
      </c>
      <c r="E399" s="91" t="str">
        <f>IFERROR(VLOOKUP(A399,'Salary Calculation'!$A$2:$T$999,8,0),"")</f>
        <v/>
      </c>
      <c r="F399" s="92" t="str">
        <f>IFERROR(VLOOKUP(C399,'Employees List'!$B$2:H999,6,0),"")</f>
        <v/>
      </c>
      <c r="G399" s="93" t="str">
        <f>IFERROR(VLOOKUP(A399,'Salary Calculation'!$A$2:$T$999,7,0),"")</f>
        <v/>
      </c>
      <c r="H399" s="94"/>
      <c r="I399" s="46"/>
      <c r="J399" s="46"/>
      <c r="K399" s="46"/>
      <c r="L399" s="46"/>
      <c r="M399" s="46"/>
      <c r="N399" s="46"/>
      <c r="O399" s="46"/>
      <c r="P399" s="46"/>
      <c r="Q399" s="46"/>
      <c r="R399" s="46"/>
      <c r="S399" s="46"/>
      <c r="T399" s="46"/>
      <c r="U399" s="46"/>
      <c r="V399" s="46"/>
      <c r="W399" s="46"/>
      <c r="X399" s="46"/>
      <c r="Y399" s="46"/>
      <c r="Z399" s="46"/>
      <c r="AA399" s="46"/>
      <c r="AB399" s="46"/>
    </row>
    <row r="400" hidden="1">
      <c r="A400" s="90" t="s">
        <v>617</v>
      </c>
      <c r="B400" s="91" t="str">
        <f>IFERROR(VLOOKUP(A400,'Salary Calculation'!A400:F1397,2,0),"")</f>
        <v/>
      </c>
      <c r="C400" s="91" t="str">
        <f>IFERROR(VLOOKUP(A400,'Salary Calculation'!$A$2:$T$999,3,0),"")</f>
        <v/>
      </c>
      <c r="D400" s="91" t="str">
        <f>IFERROR(VLOOKUP(A400,'Salary Calculation'!$A$2:$T$999,6,0),"")</f>
        <v/>
      </c>
      <c r="E400" s="91" t="str">
        <f>IFERROR(VLOOKUP(A400,'Salary Calculation'!$A$2:$T$999,8,0),"")</f>
        <v/>
      </c>
      <c r="F400" s="92" t="str">
        <f>IFERROR(VLOOKUP(C400,'Employees List'!$B$2:H999,6,0),"")</f>
        <v/>
      </c>
      <c r="G400" s="93" t="str">
        <f>IFERROR(VLOOKUP(A400,'Salary Calculation'!$A$2:$T$999,7,0),"")</f>
        <v/>
      </c>
      <c r="H400" s="94"/>
      <c r="I400" s="46"/>
      <c r="J400" s="46"/>
      <c r="K400" s="46"/>
      <c r="L400" s="46"/>
      <c r="M400" s="46"/>
      <c r="N400" s="46"/>
      <c r="O400" s="46"/>
      <c r="P400" s="46"/>
      <c r="Q400" s="46"/>
      <c r="R400" s="46"/>
      <c r="S400" s="46"/>
      <c r="T400" s="46"/>
      <c r="U400" s="46"/>
      <c r="V400" s="46"/>
      <c r="W400" s="46"/>
      <c r="X400" s="46"/>
      <c r="Y400" s="46"/>
      <c r="Z400" s="46"/>
      <c r="AA400" s="46"/>
      <c r="AB400" s="46"/>
    </row>
    <row r="401" hidden="1">
      <c r="A401" s="90" t="s">
        <v>618</v>
      </c>
      <c r="B401" s="91" t="str">
        <f>IFERROR(VLOOKUP(A401,'Salary Calculation'!A401:F1398,2,0),"")</f>
        <v/>
      </c>
      <c r="C401" s="91" t="str">
        <f>IFERROR(VLOOKUP(A401,'Salary Calculation'!$A$2:$T$999,3,0),"")</f>
        <v/>
      </c>
      <c r="D401" s="91" t="str">
        <f>IFERROR(VLOOKUP(A401,'Salary Calculation'!$A$2:$T$999,6,0),"")</f>
        <v/>
      </c>
      <c r="E401" s="91" t="str">
        <f>IFERROR(VLOOKUP(A401,'Salary Calculation'!$A$2:$T$999,8,0),"")</f>
        <v/>
      </c>
      <c r="F401" s="92" t="str">
        <f>IFERROR(VLOOKUP(C401,'Employees List'!$B$2:H999,6,0),"")</f>
        <v/>
      </c>
      <c r="G401" s="93" t="str">
        <f>IFERROR(VLOOKUP(A401,'Salary Calculation'!$A$2:$T$999,7,0),"")</f>
        <v/>
      </c>
      <c r="H401" s="94"/>
      <c r="I401" s="46"/>
      <c r="J401" s="46"/>
      <c r="K401" s="46"/>
      <c r="L401" s="46"/>
      <c r="M401" s="46"/>
      <c r="N401" s="46"/>
      <c r="O401" s="46"/>
      <c r="P401" s="46"/>
      <c r="Q401" s="46"/>
      <c r="R401" s="46"/>
      <c r="S401" s="46"/>
      <c r="T401" s="46"/>
      <c r="U401" s="46"/>
      <c r="V401" s="46"/>
      <c r="W401" s="46"/>
      <c r="X401" s="46"/>
      <c r="Y401" s="46"/>
      <c r="Z401" s="46"/>
      <c r="AA401" s="46"/>
      <c r="AB401" s="46"/>
    </row>
    <row r="402" hidden="1">
      <c r="A402" s="90" t="s">
        <v>619</v>
      </c>
      <c r="B402" s="91" t="str">
        <f>IFERROR(VLOOKUP(A402,'Salary Calculation'!A402:F1399,2,0),"")</f>
        <v/>
      </c>
      <c r="C402" s="91" t="str">
        <f>IFERROR(VLOOKUP(A402,'Salary Calculation'!$A$2:$T$999,3,0),"")</f>
        <v/>
      </c>
      <c r="D402" s="91" t="str">
        <f>IFERROR(VLOOKUP(A402,'Salary Calculation'!$A$2:$T$999,6,0),"")</f>
        <v/>
      </c>
      <c r="E402" s="91" t="str">
        <f>IFERROR(VLOOKUP(A402,'Salary Calculation'!$A$2:$T$999,8,0),"")</f>
        <v/>
      </c>
      <c r="F402" s="92" t="str">
        <f>IFERROR(VLOOKUP(C402,'Employees List'!$B$2:H999,6,0),"")</f>
        <v/>
      </c>
      <c r="G402" s="93" t="str">
        <f>IFERROR(VLOOKUP(A402,'Salary Calculation'!$A$2:$T$999,7,0),"")</f>
        <v/>
      </c>
      <c r="H402" s="94"/>
      <c r="I402" s="46"/>
      <c r="J402" s="46"/>
      <c r="K402" s="46"/>
      <c r="L402" s="46"/>
      <c r="M402" s="46"/>
      <c r="N402" s="46"/>
      <c r="O402" s="46"/>
      <c r="P402" s="46"/>
      <c r="Q402" s="46"/>
      <c r="R402" s="46"/>
      <c r="S402" s="46"/>
      <c r="T402" s="46"/>
      <c r="U402" s="46"/>
      <c r="V402" s="46"/>
      <c r="W402" s="46"/>
      <c r="X402" s="46"/>
      <c r="Y402" s="46"/>
      <c r="Z402" s="46"/>
      <c r="AA402" s="46"/>
      <c r="AB402" s="46"/>
    </row>
    <row r="403" hidden="1">
      <c r="A403" s="90" t="s">
        <v>620</v>
      </c>
      <c r="B403" s="91" t="str">
        <f>IFERROR(VLOOKUP(A403,'Salary Calculation'!A403:F1400,2,0),"")</f>
        <v/>
      </c>
      <c r="C403" s="91" t="str">
        <f>IFERROR(VLOOKUP(A403,'Salary Calculation'!$A$2:$T$999,3,0),"")</f>
        <v/>
      </c>
      <c r="D403" s="91" t="str">
        <f>IFERROR(VLOOKUP(A403,'Salary Calculation'!$A$2:$T$999,6,0),"")</f>
        <v/>
      </c>
      <c r="E403" s="91" t="str">
        <f>IFERROR(VLOOKUP(A403,'Salary Calculation'!$A$2:$T$999,8,0),"")</f>
        <v/>
      </c>
      <c r="F403" s="92" t="str">
        <f>IFERROR(VLOOKUP(C403,'Employees List'!$B$2:H999,6,0),"")</f>
        <v/>
      </c>
      <c r="G403" s="93" t="str">
        <f>IFERROR(VLOOKUP(A403,'Salary Calculation'!$A$2:$T$999,7,0),"")</f>
        <v/>
      </c>
      <c r="H403" s="94"/>
      <c r="I403" s="46"/>
      <c r="J403" s="46"/>
      <c r="K403" s="46"/>
      <c r="L403" s="46"/>
      <c r="M403" s="46"/>
      <c r="N403" s="46"/>
      <c r="O403" s="46"/>
      <c r="P403" s="46"/>
      <c r="Q403" s="46"/>
      <c r="R403" s="46"/>
      <c r="S403" s="46"/>
      <c r="T403" s="46"/>
      <c r="U403" s="46"/>
      <c r="V403" s="46"/>
      <c r="W403" s="46"/>
      <c r="X403" s="46"/>
      <c r="Y403" s="46"/>
      <c r="Z403" s="46"/>
      <c r="AA403" s="46"/>
      <c r="AB403" s="46"/>
    </row>
    <row r="404" hidden="1">
      <c r="A404" s="90" t="s">
        <v>621</v>
      </c>
      <c r="B404" s="91" t="str">
        <f>IFERROR(VLOOKUP(A404,'Salary Calculation'!A404:F1401,2,0),"")</f>
        <v/>
      </c>
      <c r="C404" s="91" t="str">
        <f>IFERROR(VLOOKUP(A404,'Salary Calculation'!$A$2:$T$999,3,0),"")</f>
        <v/>
      </c>
      <c r="D404" s="91" t="str">
        <f>IFERROR(VLOOKUP(A404,'Salary Calculation'!$A$2:$T$999,6,0),"")</f>
        <v/>
      </c>
      <c r="E404" s="91" t="str">
        <f>IFERROR(VLOOKUP(A404,'Salary Calculation'!$A$2:$T$999,8,0),"")</f>
        <v/>
      </c>
      <c r="F404" s="92" t="str">
        <f>IFERROR(VLOOKUP(C404,'Employees List'!$B$2:H999,6,0),"")</f>
        <v/>
      </c>
      <c r="G404" s="93" t="str">
        <f>IFERROR(VLOOKUP(A404,'Salary Calculation'!$A$2:$T$999,7,0),"")</f>
        <v/>
      </c>
      <c r="H404" s="94"/>
      <c r="I404" s="46"/>
      <c r="J404" s="46"/>
      <c r="K404" s="46"/>
      <c r="L404" s="46"/>
      <c r="M404" s="46"/>
      <c r="N404" s="46"/>
      <c r="O404" s="46"/>
      <c r="P404" s="46"/>
      <c r="Q404" s="46"/>
      <c r="R404" s="46"/>
      <c r="S404" s="46"/>
      <c r="T404" s="46"/>
      <c r="U404" s="46"/>
      <c r="V404" s="46"/>
      <c r="W404" s="46"/>
      <c r="X404" s="46"/>
      <c r="Y404" s="46"/>
      <c r="Z404" s="46"/>
      <c r="AA404" s="46"/>
      <c r="AB404" s="46"/>
    </row>
    <row r="405" hidden="1">
      <c r="A405" s="90" t="s">
        <v>622</v>
      </c>
      <c r="B405" s="91" t="str">
        <f>IFERROR(VLOOKUP(A405,'Salary Calculation'!A405:F1402,2,0),"")</f>
        <v/>
      </c>
      <c r="C405" s="91" t="str">
        <f>IFERROR(VLOOKUP(A405,'Salary Calculation'!$A$2:$T$999,3,0),"")</f>
        <v/>
      </c>
      <c r="D405" s="91" t="str">
        <f>IFERROR(VLOOKUP(A405,'Salary Calculation'!$A$2:$T$999,6,0),"")</f>
        <v/>
      </c>
      <c r="E405" s="91" t="str">
        <f>IFERROR(VLOOKUP(A405,'Salary Calculation'!$A$2:$T$999,8,0),"")</f>
        <v/>
      </c>
      <c r="F405" s="92" t="str">
        <f>IFERROR(VLOOKUP(C405,'Employees List'!$B$2:H999,6,0),"")</f>
        <v/>
      </c>
      <c r="G405" s="93" t="str">
        <f>IFERROR(VLOOKUP(A405,'Salary Calculation'!$A$2:$T$999,7,0),"")</f>
        <v/>
      </c>
      <c r="H405" s="94"/>
      <c r="I405" s="46"/>
      <c r="J405" s="46"/>
      <c r="K405" s="46"/>
      <c r="L405" s="46"/>
      <c r="M405" s="46"/>
      <c r="N405" s="46"/>
      <c r="O405" s="46"/>
      <c r="P405" s="46"/>
      <c r="Q405" s="46"/>
      <c r="R405" s="46"/>
      <c r="S405" s="46"/>
      <c r="T405" s="46"/>
      <c r="U405" s="46"/>
      <c r="V405" s="46"/>
      <c r="W405" s="46"/>
      <c r="X405" s="46"/>
      <c r="Y405" s="46"/>
      <c r="Z405" s="46"/>
      <c r="AA405" s="46"/>
      <c r="AB405" s="46"/>
    </row>
    <row r="406" hidden="1">
      <c r="A406" s="90" t="s">
        <v>623</v>
      </c>
      <c r="B406" s="91" t="str">
        <f>IFERROR(VLOOKUP(A406,'Salary Calculation'!A406:F1403,2,0),"")</f>
        <v/>
      </c>
      <c r="C406" s="91" t="str">
        <f>IFERROR(VLOOKUP(A406,'Salary Calculation'!$A$2:$T$999,3,0),"")</f>
        <v/>
      </c>
      <c r="D406" s="91" t="str">
        <f>IFERROR(VLOOKUP(A406,'Salary Calculation'!$A$2:$T$999,6,0),"")</f>
        <v/>
      </c>
      <c r="E406" s="91" t="str">
        <f>IFERROR(VLOOKUP(A406,'Salary Calculation'!$A$2:$T$999,8,0),"")</f>
        <v/>
      </c>
      <c r="F406" s="92" t="str">
        <f>IFERROR(VLOOKUP(C406,'Employees List'!$B$2:H999,6,0),"")</f>
        <v/>
      </c>
      <c r="G406" s="93" t="str">
        <f>IFERROR(VLOOKUP(A406,'Salary Calculation'!$A$2:$T$999,7,0),"")</f>
        <v/>
      </c>
      <c r="H406" s="94"/>
      <c r="I406" s="46"/>
      <c r="J406" s="46"/>
      <c r="K406" s="46"/>
      <c r="L406" s="46"/>
      <c r="M406" s="46"/>
      <c r="N406" s="46"/>
      <c r="O406" s="46"/>
      <c r="P406" s="46"/>
      <c r="Q406" s="46"/>
      <c r="R406" s="46"/>
      <c r="S406" s="46"/>
      <c r="T406" s="46"/>
      <c r="U406" s="46"/>
      <c r="V406" s="46"/>
      <c r="W406" s="46"/>
      <c r="X406" s="46"/>
      <c r="Y406" s="46"/>
      <c r="Z406" s="46"/>
      <c r="AA406" s="46"/>
      <c r="AB406" s="46"/>
    </row>
    <row r="407" hidden="1">
      <c r="A407" s="90" t="s">
        <v>624</v>
      </c>
      <c r="B407" s="91" t="str">
        <f>IFERROR(VLOOKUP(A407,'Salary Calculation'!A407:F1404,2,0),"")</f>
        <v/>
      </c>
      <c r="C407" s="91" t="str">
        <f>IFERROR(VLOOKUP(A407,'Salary Calculation'!$A$2:$T$999,3,0),"")</f>
        <v/>
      </c>
      <c r="D407" s="91" t="str">
        <f>IFERROR(VLOOKUP(A407,'Salary Calculation'!$A$2:$T$999,6,0),"")</f>
        <v/>
      </c>
      <c r="E407" s="91" t="str">
        <f>IFERROR(VLOOKUP(A407,'Salary Calculation'!$A$2:$T$999,8,0),"")</f>
        <v/>
      </c>
      <c r="F407" s="92" t="str">
        <f>IFERROR(VLOOKUP(C407,'Employees List'!$B$2:H999,6,0),"")</f>
        <v/>
      </c>
      <c r="G407" s="93" t="str">
        <f>IFERROR(VLOOKUP(A407,'Salary Calculation'!$A$2:$T$999,7,0),"")</f>
        <v/>
      </c>
      <c r="H407" s="94"/>
      <c r="I407" s="46"/>
      <c r="J407" s="46"/>
      <c r="K407" s="46"/>
      <c r="L407" s="46"/>
      <c r="M407" s="46"/>
      <c r="N407" s="46"/>
      <c r="O407" s="46"/>
      <c r="P407" s="46"/>
      <c r="Q407" s="46"/>
      <c r="R407" s="46"/>
      <c r="S407" s="46"/>
      <c r="T407" s="46"/>
      <c r="U407" s="46"/>
      <c r="V407" s="46"/>
      <c r="W407" s="46"/>
      <c r="X407" s="46"/>
      <c r="Y407" s="46"/>
      <c r="Z407" s="46"/>
      <c r="AA407" s="46"/>
      <c r="AB407" s="46"/>
    </row>
    <row r="408" hidden="1">
      <c r="A408" s="90" t="s">
        <v>625</v>
      </c>
      <c r="B408" s="91" t="str">
        <f>IFERROR(VLOOKUP(A408,'Salary Calculation'!A408:F1405,2,0),"")</f>
        <v/>
      </c>
      <c r="C408" s="91" t="str">
        <f>IFERROR(VLOOKUP(A408,'Salary Calculation'!$A$2:$T$999,3,0),"")</f>
        <v/>
      </c>
      <c r="D408" s="91" t="str">
        <f>IFERROR(VLOOKUP(A408,'Salary Calculation'!$A$2:$T$999,6,0),"")</f>
        <v/>
      </c>
      <c r="E408" s="91" t="str">
        <f>IFERROR(VLOOKUP(A408,'Salary Calculation'!$A$2:$T$999,8,0),"")</f>
        <v/>
      </c>
      <c r="F408" s="92" t="str">
        <f>IFERROR(VLOOKUP(C408,'Employees List'!$B$2:H999,6,0),"")</f>
        <v/>
      </c>
      <c r="G408" s="93" t="str">
        <f>IFERROR(VLOOKUP(A408,'Salary Calculation'!$A$2:$T$999,7,0),"")</f>
        <v/>
      </c>
      <c r="H408" s="94"/>
      <c r="I408" s="46"/>
      <c r="J408" s="46"/>
      <c r="K408" s="46"/>
      <c r="L408" s="46"/>
      <c r="M408" s="46"/>
      <c r="N408" s="46"/>
      <c r="O408" s="46"/>
      <c r="P408" s="46"/>
      <c r="Q408" s="46"/>
      <c r="R408" s="46"/>
      <c r="S408" s="46"/>
      <c r="T408" s="46"/>
      <c r="U408" s="46"/>
      <c r="V408" s="46"/>
      <c r="W408" s="46"/>
      <c r="X408" s="46"/>
      <c r="Y408" s="46"/>
      <c r="Z408" s="46"/>
      <c r="AA408" s="46"/>
      <c r="AB408" s="46"/>
    </row>
    <row r="409" hidden="1">
      <c r="A409" s="90" t="s">
        <v>626</v>
      </c>
      <c r="B409" s="91" t="str">
        <f>IFERROR(VLOOKUP(A409,'Salary Calculation'!A409:F1406,2,0),"")</f>
        <v/>
      </c>
      <c r="C409" s="91" t="str">
        <f>IFERROR(VLOOKUP(A409,'Salary Calculation'!$A$2:$T$999,3,0),"")</f>
        <v/>
      </c>
      <c r="D409" s="91" t="str">
        <f>IFERROR(VLOOKUP(A409,'Salary Calculation'!$A$2:$T$999,6,0),"")</f>
        <v/>
      </c>
      <c r="E409" s="91" t="str">
        <f>IFERROR(VLOOKUP(A409,'Salary Calculation'!$A$2:$T$999,8,0),"")</f>
        <v/>
      </c>
      <c r="F409" s="92" t="str">
        <f>IFERROR(VLOOKUP(C409,'Employees List'!$B$2:H999,6,0),"")</f>
        <v/>
      </c>
      <c r="G409" s="93" t="str">
        <f>IFERROR(VLOOKUP(A409,'Salary Calculation'!$A$2:$T$999,7,0),"")</f>
        <v/>
      </c>
      <c r="H409" s="94"/>
      <c r="I409" s="46"/>
      <c r="J409" s="46"/>
      <c r="K409" s="46"/>
      <c r="L409" s="46"/>
      <c r="M409" s="46"/>
      <c r="N409" s="46"/>
      <c r="O409" s="46"/>
      <c r="P409" s="46"/>
      <c r="Q409" s="46"/>
      <c r="R409" s="46"/>
      <c r="S409" s="46"/>
      <c r="T409" s="46"/>
      <c r="U409" s="46"/>
      <c r="V409" s="46"/>
      <c r="W409" s="46"/>
      <c r="X409" s="46"/>
      <c r="Y409" s="46"/>
      <c r="Z409" s="46"/>
      <c r="AA409" s="46"/>
      <c r="AB409" s="46"/>
    </row>
    <row r="410" hidden="1">
      <c r="A410" s="90" t="s">
        <v>627</v>
      </c>
      <c r="B410" s="91" t="str">
        <f>IFERROR(VLOOKUP(A410,'Salary Calculation'!A410:F1407,2,0),"")</f>
        <v/>
      </c>
      <c r="C410" s="91" t="str">
        <f>IFERROR(VLOOKUP(A410,'Salary Calculation'!$A$2:$T$999,3,0),"")</f>
        <v/>
      </c>
      <c r="D410" s="91" t="str">
        <f>IFERROR(VLOOKUP(A410,'Salary Calculation'!$A$2:$T$999,6,0),"")</f>
        <v/>
      </c>
      <c r="E410" s="91" t="str">
        <f>IFERROR(VLOOKUP(A410,'Salary Calculation'!$A$2:$T$999,8,0),"")</f>
        <v/>
      </c>
      <c r="F410" s="92" t="str">
        <f>IFERROR(VLOOKUP(C410,'Employees List'!$B$2:H999,6,0),"")</f>
        <v/>
      </c>
      <c r="G410" s="93" t="str">
        <f>IFERROR(VLOOKUP(A410,'Salary Calculation'!$A$2:$T$999,7,0),"")</f>
        <v/>
      </c>
      <c r="H410" s="94"/>
      <c r="I410" s="46"/>
      <c r="J410" s="46"/>
      <c r="K410" s="46"/>
      <c r="L410" s="46"/>
      <c r="M410" s="46"/>
      <c r="N410" s="46"/>
      <c r="O410" s="46"/>
      <c r="P410" s="46"/>
      <c r="Q410" s="46"/>
      <c r="R410" s="46"/>
      <c r="S410" s="46"/>
      <c r="T410" s="46"/>
      <c r="U410" s="46"/>
      <c r="V410" s="46"/>
      <c r="W410" s="46"/>
      <c r="X410" s="46"/>
      <c r="Y410" s="46"/>
      <c r="Z410" s="46"/>
      <c r="AA410" s="46"/>
      <c r="AB410" s="46"/>
    </row>
    <row r="411" hidden="1">
      <c r="A411" s="90" t="s">
        <v>628</v>
      </c>
      <c r="B411" s="91" t="str">
        <f>IFERROR(VLOOKUP(A411,'Salary Calculation'!A411:F1408,2,0),"")</f>
        <v/>
      </c>
      <c r="C411" s="91" t="str">
        <f>IFERROR(VLOOKUP(A411,'Salary Calculation'!$A$2:$T$999,3,0),"")</f>
        <v/>
      </c>
      <c r="D411" s="91" t="str">
        <f>IFERROR(VLOOKUP(A411,'Salary Calculation'!$A$2:$T$999,6,0),"")</f>
        <v/>
      </c>
      <c r="E411" s="91" t="str">
        <f>IFERROR(VLOOKUP(A411,'Salary Calculation'!$A$2:$T$999,8,0),"")</f>
        <v/>
      </c>
      <c r="F411" s="92" t="str">
        <f>IFERROR(VLOOKUP(C411,'Employees List'!$B$2:H999,6,0),"")</f>
        <v/>
      </c>
      <c r="G411" s="93" t="str">
        <f>IFERROR(VLOOKUP(A411,'Salary Calculation'!$A$2:$T$999,7,0),"")</f>
        <v/>
      </c>
      <c r="H411" s="94"/>
      <c r="I411" s="46"/>
      <c r="J411" s="46"/>
      <c r="K411" s="46"/>
      <c r="L411" s="46"/>
      <c r="M411" s="46"/>
      <c r="N411" s="46"/>
      <c r="O411" s="46"/>
      <c r="P411" s="46"/>
      <c r="Q411" s="46"/>
      <c r="R411" s="46"/>
      <c r="S411" s="46"/>
      <c r="T411" s="46"/>
      <c r="U411" s="46"/>
      <c r="V411" s="46"/>
      <c r="W411" s="46"/>
      <c r="X411" s="46"/>
      <c r="Y411" s="46"/>
      <c r="Z411" s="46"/>
      <c r="AA411" s="46"/>
      <c r="AB411" s="46"/>
    </row>
    <row r="412" hidden="1">
      <c r="A412" s="90" t="s">
        <v>629</v>
      </c>
      <c r="B412" s="91" t="str">
        <f>IFERROR(VLOOKUP(A412,'Salary Calculation'!A412:F1409,2,0),"")</f>
        <v/>
      </c>
      <c r="C412" s="91" t="str">
        <f>IFERROR(VLOOKUP(A412,'Salary Calculation'!$A$2:$T$999,3,0),"")</f>
        <v/>
      </c>
      <c r="D412" s="91" t="str">
        <f>IFERROR(VLOOKUP(A412,'Salary Calculation'!$A$2:$T$999,6,0),"")</f>
        <v/>
      </c>
      <c r="E412" s="91" t="str">
        <f>IFERROR(VLOOKUP(A412,'Salary Calculation'!$A$2:$T$999,8,0),"")</f>
        <v/>
      </c>
      <c r="F412" s="92" t="str">
        <f>IFERROR(VLOOKUP(C412,'Employees List'!$B$2:H999,6,0),"")</f>
        <v/>
      </c>
      <c r="G412" s="93" t="str">
        <f>IFERROR(VLOOKUP(A412,'Salary Calculation'!$A$2:$T$999,7,0),"")</f>
        <v/>
      </c>
      <c r="H412" s="94"/>
      <c r="I412" s="46"/>
      <c r="J412" s="46"/>
      <c r="K412" s="46"/>
      <c r="L412" s="46"/>
      <c r="M412" s="46"/>
      <c r="N412" s="46"/>
      <c r="O412" s="46"/>
      <c r="P412" s="46"/>
      <c r="Q412" s="46"/>
      <c r="R412" s="46"/>
      <c r="S412" s="46"/>
      <c r="T412" s="46"/>
      <c r="U412" s="46"/>
      <c r="V412" s="46"/>
      <c r="W412" s="46"/>
      <c r="X412" s="46"/>
      <c r="Y412" s="46"/>
      <c r="Z412" s="46"/>
      <c r="AA412" s="46"/>
      <c r="AB412" s="46"/>
    </row>
    <row r="413" hidden="1">
      <c r="A413" s="90" t="s">
        <v>630</v>
      </c>
      <c r="B413" s="91" t="str">
        <f>IFERROR(VLOOKUP(A413,'Salary Calculation'!A413:F1410,2,0),"")</f>
        <v/>
      </c>
      <c r="C413" s="91" t="str">
        <f>IFERROR(VLOOKUP(A413,'Salary Calculation'!$A$2:$T$999,3,0),"")</f>
        <v/>
      </c>
      <c r="D413" s="91" t="str">
        <f>IFERROR(VLOOKUP(A413,'Salary Calculation'!$A$2:$T$999,6,0),"")</f>
        <v/>
      </c>
      <c r="E413" s="91" t="str">
        <f>IFERROR(VLOOKUP(A413,'Salary Calculation'!$A$2:$T$999,8,0),"")</f>
        <v/>
      </c>
      <c r="F413" s="92" t="str">
        <f>IFERROR(VLOOKUP(C413,'Employees List'!$B$2:H999,6,0),"")</f>
        <v/>
      </c>
      <c r="G413" s="93" t="str">
        <f>IFERROR(VLOOKUP(A413,'Salary Calculation'!$A$2:$T$999,7,0),"")</f>
        <v/>
      </c>
      <c r="H413" s="94"/>
      <c r="I413" s="46"/>
      <c r="J413" s="46"/>
      <c r="K413" s="46"/>
      <c r="L413" s="46"/>
      <c r="M413" s="46"/>
      <c r="N413" s="46"/>
      <c r="O413" s="46"/>
      <c r="P413" s="46"/>
      <c r="Q413" s="46"/>
      <c r="R413" s="46"/>
      <c r="S413" s="46"/>
      <c r="T413" s="46"/>
      <c r="U413" s="46"/>
      <c r="V413" s="46"/>
      <c r="W413" s="46"/>
      <c r="X413" s="46"/>
      <c r="Y413" s="46"/>
      <c r="Z413" s="46"/>
      <c r="AA413" s="46"/>
      <c r="AB413" s="46"/>
    </row>
    <row r="414" hidden="1">
      <c r="A414" s="90" t="s">
        <v>631</v>
      </c>
      <c r="B414" s="91" t="str">
        <f>IFERROR(VLOOKUP(A414,'Salary Calculation'!A414:F1411,2,0),"")</f>
        <v/>
      </c>
      <c r="C414" s="91" t="str">
        <f>IFERROR(VLOOKUP(A414,'Salary Calculation'!$A$2:$T$999,3,0),"")</f>
        <v/>
      </c>
      <c r="D414" s="91" t="str">
        <f>IFERROR(VLOOKUP(A414,'Salary Calculation'!$A$2:$T$999,6,0),"")</f>
        <v/>
      </c>
      <c r="E414" s="91" t="str">
        <f>IFERROR(VLOOKUP(A414,'Salary Calculation'!$A$2:$T$999,8,0),"")</f>
        <v/>
      </c>
      <c r="F414" s="92" t="str">
        <f>IFERROR(VLOOKUP(C414,'Employees List'!$B$2:H999,6,0),"")</f>
        <v/>
      </c>
      <c r="G414" s="93" t="str">
        <f>IFERROR(VLOOKUP(A414,'Salary Calculation'!$A$2:$T$999,7,0),"")</f>
        <v/>
      </c>
      <c r="H414" s="94"/>
      <c r="I414" s="46"/>
      <c r="J414" s="46"/>
      <c r="K414" s="46"/>
      <c r="L414" s="46"/>
      <c r="M414" s="46"/>
      <c r="N414" s="46"/>
      <c r="O414" s="46"/>
      <c r="P414" s="46"/>
      <c r="Q414" s="46"/>
      <c r="R414" s="46"/>
      <c r="S414" s="46"/>
      <c r="T414" s="46"/>
      <c r="U414" s="46"/>
      <c r="V414" s="46"/>
      <c r="W414" s="46"/>
      <c r="X414" s="46"/>
      <c r="Y414" s="46"/>
      <c r="Z414" s="46"/>
      <c r="AA414" s="46"/>
      <c r="AB414" s="46"/>
    </row>
    <row r="415" hidden="1">
      <c r="A415" s="90" t="s">
        <v>632</v>
      </c>
      <c r="B415" s="91" t="str">
        <f>IFERROR(VLOOKUP(A415,'Salary Calculation'!A415:F1412,2,0),"")</f>
        <v/>
      </c>
      <c r="C415" s="91" t="str">
        <f>IFERROR(VLOOKUP(A415,'Salary Calculation'!$A$2:$T$999,3,0),"")</f>
        <v/>
      </c>
      <c r="D415" s="91" t="str">
        <f>IFERROR(VLOOKUP(A415,'Salary Calculation'!$A$2:$T$999,6,0),"")</f>
        <v/>
      </c>
      <c r="E415" s="91" t="str">
        <f>IFERROR(VLOOKUP(A415,'Salary Calculation'!$A$2:$T$999,8,0),"")</f>
        <v/>
      </c>
      <c r="F415" s="92" t="str">
        <f>IFERROR(VLOOKUP(C415,'Employees List'!$B$2:H999,6,0),"")</f>
        <v/>
      </c>
      <c r="G415" s="93" t="str">
        <f>IFERROR(VLOOKUP(A415,'Salary Calculation'!$A$2:$T$999,7,0),"")</f>
        <v/>
      </c>
      <c r="H415" s="94"/>
      <c r="I415" s="46"/>
      <c r="J415" s="46"/>
      <c r="K415" s="46"/>
      <c r="L415" s="46"/>
      <c r="M415" s="46"/>
      <c r="N415" s="46"/>
      <c r="O415" s="46"/>
      <c r="P415" s="46"/>
      <c r="Q415" s="46"/>
      <c r="R415" s="46"/>
      <c r="S415" s="46"/>
      <c r="T415" s="46"/>
      <c r="U415" s="46"/>
      <c r="V415" s="46"/>
      <c r="W415" s="46"/>
      <c r="X415" s="46"/>
      <c r="Y415" s="46"/>
      <c r="Z415" s="46"/>
      <c r="AA415" s="46"/>
      <c r="AB415" s="46"/>
    </row>
    <row r="416" hidden="1">
      <c r="A416" s="90" t="s">
        <v>633</v>
      </c>
      <c r="B416" s="91" t="str">
        <f>IFERROR(VLOOKUP(A416,'Salary Calculation'!A416:F1413,2,0),"")</f>
        <v/>
      </c>
      <c r="C416" s="91" t="str">
        <f>IFERROR(VLOOKUP(A416,'Salary Calculation'!$A$2:$T$999,3,0),"")</f>
        <v/>
      </c>
      <c r="D416" s="91" t="str">
        <f>IFERROR(VLOOKUP(A416,'Salary Calculation'!$A$2:$T$999,6,0),"")</f>
        <v/>
      </c>
      <c r="E416" s="91" t="str">
        <f>IFERROR(VLOOKUP(A416,'Salary Calculation'!$A$2:$T$999,8,0),"")</f>
        <v/>
      </c>
      <c r="F416" s="92" t="str">
        <f>IFERROR(VLOOKUP(C416,'Employees List'!$B$2:H999,6,0),"")</f>
        <v/>
      </c>
      <c r="G416" s="93" t="str">
        <f>IFERROR(VLOOKUP(A416,'Salary Calculation'!$A$2:$T$999,7,0),"")</f>
        <v/>
      </c>
      <c r="H416" s="94"/>
      <c r="I416" s="46"/>
      <c r="J416" s="46"/>
      <c r="K416" s="46"/>
      <c r="L416" s="46"/>
      <c r="M416" s="46"/>
      <c r="N416" s="46"/>
      <c r="O416" s="46"/>
      <c r="P416" s="46"/>
      <c r="Q416" s="46"/>
      <c r="R416" s="46"/>
      <c r="S416" s="46"/>
      <c r="T416" s="46"/>
      <c r="U416" s="46"/>
      <c r="V416" s="46"/>
      <c r="W416" s="46"/>
      <c r="X416" s="46"/>
      <c r="Y416" s="46"/>
      <c r="Z416" s="46"/>
      <c r="AA416" s="46"/>
      <c r="AB416" s="46"/>
    </row>
    <row r="417" hidden="1">
      <c r="A417" s="90" t="s">
        <v>634</v>
      </c>
      <c r="B417" s="91" t="str">
        <f>IFERROR(VLOOKUP(A417,'Salary Calculation'!A417:F1414,2,0),"")</f>
        <v/>
      </c>
      <c r="C417" s="91" t="str">
        <f>IFERROR(VLOOKUP(A417,'Salary Calculation'!$A$2:$T$999,3,0),"")</f>
        <v/>
      </c>
      <c r="D417" s="91" t="str">
        <f>IFERROR(VLOOKUP(A417,'Salary Calculation'!$A$2:$T$999,6,0),"")</f>
        <v/>
      </c>
      <c r="E417" s="91" t="str">
        <f>IFERROR(VLOOKUP(A417,'Salary Calculation'!$A$2:$T$999,8,0),"")</f>
        <v/>
      </c>
      <c r="F417" s="92" t="str">
        <f>IFERROR(VLOOKUP(C417,'Employees List'!$B$2:H999,6,0),"")</f>
        <v/>
      </c>
      <c r="G417" s="93" t="str">
        <f>IFERROR(VLOOKUP(A417,'Salary Calculation'!$A$2:$T$999,7,0),"")</f>
        <v/>
      </c>
      <c r="H417" s="94"/>
      <c r="I417" s="46"/>
      <c r="J417" s="46"/>
      <c r="K417" s="46"/>
      <c r="L417" s="46"/>
      <c r="M417" s="46"/>
      <c r="N417" s="46"/>
      <c r="O417" s="46"/>
      <c r="P417" s="46"/>
      <c r="Q417" s="46"/>
      <c r="R417" s="46"/>
      <c r="S417" s="46"/>
      <c r="T417" s="46"/>
      <c r="U417" s="46"/>
      <c r="V417" s="46"/>
      <c r="W417" s="46"/>
      <c r="X417" s="46"/>
      <c r="Y417" s="46"/>
      <c r="Z417" s="46"/>
      <c r="AA417" s="46"/>
      <c r="AB417" s="46"/>
    </row>
    <row r="418" hidden="1">
      <c r="A418" s="90" t="s">
        <v>635</v>
      </c>
      <c r="B418" s="91" t="str">
        <f>IFERROR(VLOOKUP(A418,'Salary Calculation'!A418:F1415,2,0),"")</f>
        <v/>
      </c>
      <c r="C418" s="91" t="str">
        <f>IFERROR(VLOOKUP(A418,'Salary Calculation'!$A$2:$T$999,3,0),"")</f>
        <v/>
      </c>
      <c r="D418" s="91" t="str">
        <f>IFERROR(VLOOKUP(A418,'Salary Calculation'!$A$2:$T$999,6,0),"")</f>
        <v/>
      </c>
      <c r="E418" s="91" t="str">
        <f>IFERROR(VLOOKUP(A418,'Salary Calculation'!$A$2:$T$999,8,0),"")</f>
        <v/>
      </c>
      <c r="F418" s="92" t="str">
        <f>IFERROR(VLOOKUP(C418,'Employees List'!$B$2:H999,6,0),"")</f>
        <v/>
      </c>
      <c r="G418" s="93" t="str">
        <f>IFERROR(VLOOKUP(A418,'Salary Calculation'!$A$2:$T$999,7,0),"")</f>
        <v/>
      </c>
      <c r="H418" s="94"/>
      <c r="I418" s="46"/>
      <c r="J418" s="46"/>
      <c r="K418" s="46"/>
      <c r="L418" s="46"/>
      <c r="M418" s="46"/>
      <c r="N418" s="46"/>
      <c r="O418" s="46"/>
      <c r="P418" s="46"/>
      <c r="Q418" s="46"/>
      <c r="R418" s="46"/>
      <c r="S418" s="46"/>
      <c r="T418" s="46"/>
      <c r="U418" s="46"/>
      <c r="V418" s="46"/>
      <c r="W418" s="46"/>
      <c r="X418" s="46"/>
      <c r="Y418" s="46"/>
      <c r="Z418" s="46"/>
      <c r="AA418" s="46"/>
      <c r="AB418" s="46"/>
    </row>
    <row r="419" hidden="1">
      <c r="A419" s="90" t="s">
        <v>636</v>
      </c>
      <c r="B419" s="91" t="str">
        <f>IFERROR(VLOOKUP(A419,'Salary Calculation'!A419:F1416,2,0),"")</f>
        <v/>
      </c>
      <c r="C419" s="91" t="str">
        <f>IFERROR(VLOOKUP(A419,'Salary Calculation'!$A$2:$T$999,3,0),"")</f>
        <v/>
      </c>
      <c r="D419" s="91" t="str">
        <f>IFERROR(VLOOKUP(A419,'Salary Calculation'!$A$2:$T$999,6,0),"")</f>
        <v/>
      </c>
      <c r="E419" s="91" t="str">
        <f>IFERROR(VLOOKUP(A419,'Salary Calculation'!$A$2:$T$999,8,0),"")</f>
        <v/>
      </c>
      <c r="F419" s="92" t="str">
        <f>IFERROR(VLOOKUP(C419,'Employees List'!$B$2:H999,6,0),"")</f>
        <v/>
      </c>
      <c r="G419" s="93" t="str">
        <f>IFERROR(VLOOKUP(A419,'Salary Calculation'!$A$2:$T$999,7,0),"")</f>
        <v/>
      </c>
      <c r="H419" s="94"/>
      <c r="I419" s="46"/>
      <c r="J419" s="46"/>
      <c r="K419" s="46"/>
      <c r="L419" s="46"/>
      <c r="M419" s="46"/>
      <c r="N419" s="46"/>
      <c r="O419" s="46"/>
      <c r="P419" s="46"/>
      <c r="Q419" s="46"/>
      <c r="R419" s="46"/>
      <c r="S419" s="46"/>
      <c r="T419" s="46"/>
      <c r="U419" s="46"/>
      <c r="V419" s="46"/>
      <c r="W419" s="46"/>
      <c r="X419" s="46"/>
      <c r="Y419" s="46"/>
      <c r="Z419" s="46"/>
      <c r="AA419" s="46"/>
      <c r="AB419" s="46"/>
    </row>
    <row r="420" hidden="1">
      <c r="A420" s="90" t="s">
        <v>637</v>
      </c>
      <c r="B420" s="91" t="str">
        <f>IFERROR(VLOOKUP(A420,'Salary Calculation'!A420:F1417,2,0),"")</f>
        <v/>
      </c>
      <c r="C420" s="91" t="str">
        <f>IFERROR(VLOOKUP(A420,'Salary Calculation'!$A$2:$T$999,3,0),"")</f>
        <v/>
      </c>
      <c r="D420" s="91" t="str">
        <f>IFERROR(VLOOKUP(A420,'Salary Calculation'!$A$2:$T$999,6,0),"")</f>
        <v/>
      </c>
      <c r="E420" s="91" t="str">
        <f>IFERROR(VLOOKUP(A420,'Salary Calculation'!$A$2:$T$999,8,0),"")</f>
        <v/>
      </c>
      <c r="F420" s="92" t="str">
        <f>IFERROR(VLOOKUP(C420,'Employees List'!$B$2:H999,6,0),"")</f>
        <v/>
      </c>
      <c r="G420" s="93" t="str">
        <f>IFERROR(VLOOKUP(A420,'Salary Calculation'!$A$2:$T$999,7,0),"")</f>
        <v/>
      </c>
      <c r="H420" s="94"/>
      <c r="I420" s="46"/>
      <c r="J420" s="46"/>
      <c r="K420" s="46"/>
      <c r="L420" s="46"/>
      <c r="M420" s="46"/>
      <c r="N420" s="46"/>
      <c r="O420" s="46"/>
      <c r="P420" s="46"/>
      <c r="Q420" s="46"/>
      <c r="R420" s="46"/>
      <c r="S420" s="46"/>
      <c r="T420" s="46"/>
      <c r="U420" s="46"/>
      <c r="V420" s="46"/>
      <c r="W420" s="46"/>
      <c r="X420" s="46"/>
      <c r="Y420" s="46"/>
      <c r="Z420" s="46"/>
      <c r="AA420" s="46"/>
      <c r="AB420" s="46"/>
    </row>
    <row r="421" hidden="1">
      <c r="A421" s="90" t="s">
        <v>638</v>
      </c>
      <c r="B421" s="91" t="str">
        <f>IFERROR(VLOOKUP(A421,'Salary Calculation'!A421:F1418,2,0),"")</f>
        <v/>
      </c>
      <c r="C421" s="91" t="str">
        <f>IFERROR(VLOOKUP(A421,'Salary Calculation'!$A$2:$T$999,3,0),"")</f>
        <v/>
      </c>
      <c r="D421" s="91" t="str">
        <f>IFERROR(VLOOKUP(A421,'Salary Calculation'!$A$2:$T$999,6,0),"")</f>
        <v/>
      </c>
      <c r="E421" s="91" t="str">
        <f>IFERROR(VLOOKUP(A421,'Salary Calculation'!$A$2:$T$999,8,0),"")</f>
        <v/>
      </c>
      <c r="F421" s="92" t="str">
        <f>IFERROR(VLOOKUP(C421,'Employees List'!$B$2:H999,6,0),"")</f>
        <v/>
      </c>
      <c r="G421" s="93" t="str">
        <f>IFERROR(VLOOKUP(A421,'Salary Calculation'!$A$2:$T$999,7,0),"")</f>
        <v/>
      </c>
      <c r="H421" s="94"/>
      <c r="I421" s="46"/>
      <c r="J421" s="46"/>
      <c r="K421" s="46"/>
      <c r="L421" s="46"/>
      <c r="M421" s="46"/>
      <c r="N421" s="46"/>
      <c r="O421" s="46"/>
      <c r="P421" s="46"/>
      <c r="Q421" s="46"/>
      <c r="R421" s="46"/>
      <c r="S421" s="46"/>
      <c r="T421" s="46"/>
      <c r="U421" s="46"/>
      <c r="V421" s="46"/>
      <c r="W421" s="46"/>
      <c r="X421" s="46"/>
      <c r="Y421" s="46"/>
      <c r="Z421" s="46"/>
      <c r="AA421" s="46"/>
      <c r="AB421" s="46"/>
    </row>
    <row r="422" hidden="1">
      <c r="A422" s="90" t="s">
        <v>639</v>
      </c>
      <c r="B422" s="91" t="str">
        <f>IFERROR(VLOOKUP(A422,'Salary Calculation'!A422:F1419,2,0),"")</f>
        <v/>
      </c>
      <c r="C422" s="91" t="str">
        <f>IFERROR(VLOOKUP(A422,'Salary Calculation'!$A$2:$T$999,3,0),"")</f>
        <v/>
      </c>
      <c r="D422" s="91" t="str">
        <f>IFERROR(VLOOKUP(A422,'Salary Calculation'!$A$2:$T$999,6,0),"")</f>
        <v/>
      </c>
      <c r="E422" s="91" t="str">
        <f>IFERROR(VLOOKUP(A422,'Salary Calculation'!$A$2:$T$999,8,0),"")</f>
        <v/>
      </c>
      <c r="F422" s="92" t="str">
        <f>IFERROR(VLOOKUP(C422,'Employees List'!$B$2:H999,6,0),"")</f>
        <v/>
      </c>
      <c r="G422" s="93" t="str">
        <f>IFERROR(VLOOKUP(A422,'Salary Calculation'!$A$2:$T$999,7,0),"")</f>
        <v/>
      </c>
      <c r="H422" s="94"/>
      <c r="I422" s="46"/>
      <c r="J422" s="46"/>
      <c r="K422" s="46"/>
      <c r="L422" s="46"/>
      <c r="M422" s="46"/>
      <c r="N422" s="46"/>
      <c r="O422" s="46"/>
      <c r="P422" s="46"/>
      <c r="Q422" s="46"/>
      <c r="R422" s="46"/>
      <c r="S422" s="46"/>
      <c r="T422" s="46"/>
      <c r="U422" s="46"/>
      <c r="V422" s="46"/>
      <c r="W422" s="46"/>
      <c r="X422" s="46"/>
      <c r="Y422" s="46"/>
      <c r="Z422" s="46"/>
      <c r="AA422" s="46"/>
      <c r="AB422" s="46"/>
    </row>
    <row r="423" hidden="1">
      <c r="A423" s="90" t="s">
        <v>640</v>
      </c>
      <c r="B423" s="91" t="str">
        <f>IFERROR(VLOOKUP(A423,'Salary Calculation'!A423:F1420,2,0),"")</f>
        <v/>
      </c>
      <c r="C423" s="91" t="str">
        <f>IFERROR(VLOOKUP(A423,'Salary Calculation'!$A$2:$T$999,3,0),"")</f>
        <v/>
      </c>
      <c r="D423" s="91" t="str">
        <f>IFERROR(VLOOKUP(A423,'Salary Calculation'!$A$2:$T$999,6,0),"")</f>
        <v/>
      </c>
      <c r="E423" s="91" t="str">
        <f>IFERROR(VLOOKUP(A423,'Salary Calculation'!$A$2:$T$999,8,0),"")</f>
        <v/>
      </c>
      <c r="F423" s="92" t="str">
        <f>IFERROR(VLOOKUP(C423,'Employees List'!$B$2:H999,6,0),"")</f>
        <v/>
      </c>
      <c r="G423" s="93" t="str">
        <f>IFERROR(VLOOKUP(A423,'Salary Calculation'!$A$2:$T$999,7,0),"")</f>
        <v/>
      </c>
      <c r="H423" s="94"/>
      <c r="I423" s="46"/>
      <c r="J423" s="46"/>
      <c r="K423" s="46"/>
      <c r="L423" s="46"/>
      <c r="M423" s="46"/>
      <c r="N423" s="46"/>
      <c r="O423" s="46"/>
      <c r="P423" s="46"/>
      <c r="Q423" s="46"/>
      <c r="R423" s="46"/>
      <c r="S423" s="46"/>
      <c r="T423" s="46"/>
      <c r="U423" s="46"/>
      <c r="V423" s="46"/>
      <c r="W423" s="46"/>
      <c r="X423" s="46"/>
      <c r="Y423" s="46"/>
      <c r="Z423" s="46"/>
      <c r="AA423" s="46"/>
      <c r="AB423" s="46"/>
    </row>
    <row r="424" hidden="1">
      <c r="A424" s="90" t="s">
        <v>641</v>
      </c>
      <c r="B424" s="91" t="str">
        <f>IFERROR(VLOOKUP(A424,'Salary Calculation'!A424:F1421,2,0),"")</f>
        <v/>
      </c>
      <c r="C424" s="91" t="str">
        <f>IFERROR(VLOOKUP(A424,'Salary Calculation'!$A$2:$T$999,3,0),"")</f>
        <v/>
      </c>
      <c r="D424" s="91" t="str">
        <f>IFERROR(VLOOKUP(A424,'Salary Calculation'!$A$2:$T$999,6,0),"")</f>
        <v/>
      </c>
      <c r="E424" s="91" t="str">
        <f>IFERROR(VLOOKUP(A424,'Salary Calculation'!$A$2:$T$999,8,0),"")</f>
        <v/>
      </c>
      <c r="F424" s="92" t="str">
        <f>IFERROR(VLOOKUP(C424,'Employees List'!$B$2:H999,6,0),"")</f>
        <v/>
      </c>
      <c r="G424" s="93" t="str">
        <f>IFERROR(VLOOKUP(A424,'Salary Calculation'!$A$2:$T$999,7,0),"")</f>
        <v/>
      </c>
      <c r="H424" s="94"/>
      <c r="I424" s="46"/>
      <c r="J424" s="46"/>
      <c r="K424" s="46"/>
      <c r="L424" s="46"/>
      <c r="M424" s="46"/>
      <c r="N424" s="46"/>
      <c r="O424" s="46"/>
      <c r="P424" s="46"/>
      <c r="Q424" s="46"/>
      <c r="R424" s="46"/>
      <c r="S424" s="46"/>
      <c r="T424" s="46"/>
      <c r="U424" s="46"/>
      <c r="V424" s="46"/>
      <c r="W424" s="46"/>
      <c r="X424" s="46"/>
      <c r="Y424" s="46"/>
      <c r="Z424" s="46"/>
      <c r="AA424" s="46"/>
      <c r="AB424" s="46"/>
    </row>
    <row r="425" hidden="1">
      <c r="A425" s="90" t="s">
        <v>642</v>
      </c>
      <c r="B425" s="91" t="str">
        <f>IFERROR(VLOOKUP(A425,'Salary Calculation'!A425:F1422,2,0),"")</f>
        <v/>
      </c>
      <c r="C425" s="91" t="str">
        <f>IFERROR(VLOOKUP(A425,'Salary Calculation'!$A$2:$T$999,3,0),"")</f>
        <v/>
      </c>
      <c r="D425" s="91" t="str">
        <f>IFERROR(VLOOKUP(A425,'Salary Calculation'!$A$2:$T$999,6,0),"")</f>
        <v/>
      </c>
      <c r="E425" s="91" t="str">
        <f>IFERROR(VLOOKUP(A425,'Salary Calculation'!$A$2:$T$999,8,0),"")</f>
        <v/>
      </c>
      <c r="F425" s="92" t="str">
        <f>IFERROR(VLOOKUP(C425,'Employees List'!$B$2:H999,6,0),"")</f>
        <v/>
      </c>
      <c r="G425" s="93" t="str">
        <f>IFERROR(VLOOKUP(A425,'Salary Calculation'!$A$2:$T$999,7,0),"")</f>
        <v/>
      </c>
      <c r="H425" s="94"/>
      <c r="I425" s="46"/>
      <c r="J425" s="46"/>
      <c r="K425" s="46"/>
      <c r="L425" s="46"/>
      <c r="M425" s="46"/>
      <c r="N425" s="46"/>
      <c r="O425" s="46"/>
      <c r="P425" s="46"/>
      <c r="Q425" s="46"/>
      <c r="R425" s="46"/>
      <c r="S425" s="46"/>
      <c r="T425" s="46"/>
      <c r="U425" s="46"/>
      <c r="V425" s="46"/>
      <c r="W425" s="46"/>
      <c r="X425" s="46"/>
      <c r="Y425" s="46"/>
      <c r="Z425" s="46"/>
      <c r="AA425" s="46"/>
      <c r="AB425" s="46"/>
    </row>
    <row r="426" hidden="1">
      <c r="A426" s="90" t="s">
        <v>643</v>
      </c>
      <c r="B426" s="91" t="str">
        <f>IFERROR(VLOOKUP(A426,'Salary Calculation'!A426:F1423,2,0),"")</f>
        <v/>
      </c>
      <c r="C426" s="91" t="str">
        <f>IFERROR(VLOOKUP(A426,'Salary Calculation'!$A$2:$T$999,3,0),"")</f>
        <v/>
      </c>
      <c r="D426" s="91" t="str">
        <f>IFERROR(VLOOKUP(A426,'Salary Calculation'!$A$2:$T$999,6,0),"")</f>
        <v/>
      </c>
      <c r="E426" s="91" t="str">
        <f>IFERROR(VLOOKUP(A426,'Salary Calculation'!$A$2:$T$999,8,0),"")</f>
        <v/>
      </c>
      <c r="F426" s="92" t="str">
        <f>IFERROR(VLOOKUP(C426,'Employees List'!$B$2:H999,6,0),"")</f>
        <v/>
      </c>
      <c r="G426" s="93" t="str">
        <f>IFERROR(VLOOKUP(A426,'Salary Calculation'!$A$2:$T$999,7,0),"")</f>
        <v/>
      </c>
      <c r="H426" s="94"/>
      <c r="I426" s="46"/>
      <c r="J426" s="46"/>
      <c r="K426" s="46"/>
      <c r="L426" s="46"/>
      <c r="M426" s="46"/>
      <c r="N426" s="46"/>
      <c r="O426" s="46"/>
      <c r="P426" s="46"/>
      <c r="Q426" s="46"/>
      <c r="R426" s="46"/>
      <c r="S426" s="46"/>
      <c r="T426" s="46"/>
      <c r="U426" s="46"/>
      <c r="V426" s="46"/>
      <c r="W426" s="46"/>
      <c r="X426" s="46"/>
      <c r="Y426" s="46"/>
      <c r="Z426" s="46"/>
      <c r="AA426" s="46"/>
      <c r="AB426" s="46"/>
    </row>
    <row r="427" hidden="1">
      <c r="A427" s="90" t="s">
        <v>644</v>
      </c>
      <c r="B427" s="91" t="str">
        <f>IFERROR(VLOOKUP(A427,'Salary Calculation'!A427:F1424,2,0),"")</f>
        <v/>
      </c>
      <c r="C427" s="91" t="str">
        <f>IFERROR(VLOOKUP(A427,'Salary Calculation'!$A$2:$T$999,3,0),"")</f>
        <v/>
      </c>
      <c r="D427" s="91" t="str">
        <f>IFERROR(VLOOKUP(A427,'Salary Calculation'!$A$2:$T$999,6,0),"")</f>
        <v/>
      </c>
      <c r="E427" s="91" t="str">
        <f>IFERROR(VLOOKUP(A427,'Salary Calculation'!$A$2:$T$999,8,0),"")</f>
        <v/>
      </c>
      <c r="F427" s="92" t="str">
        <f>IFERROR(VLOOKUP(C427,'Employees List'!$B$2:H999,6,0),"")</f>
        <v/>
      </c>
      <c r="G427" s="93" t="str">
        <f>IFERROR(VLOOKUP(A427,'Salary Calculation'!$A$2:$T$999,7,0),"")</f>
        <v/>
      </c>
      <c r="H427" s="94"/>
      <c r="I427" s="46"/>
      <c r="J427" s="46"/>
      <c r="K427" s="46"/>
      <c r="L427" s="46"/>
      <c r="M427" s="46"/>
      <c r="N427" s="46"/>
      <c r="O427" s="46"/>
      <c r="P427" s="46"/>
      <c r="Q427" s="46"/>
      <c r="R427" s="46"/>
      <c r="S427" s="46"/>
      <c r="T427" s="46"/>
      <c r="U427" s="46"/>
      <c r="V427" s="46"/>
      <c r="W427" s="46"/>
      <c r="X427" s="46"/>
      <c r="Y427" s="46"/>
      <c r="Z427" s="46"/>
      <c r="AA427" s="46"/>
      <c r="AB427" s="46"/>
    </row>
    <row r="428" hidden="1">
      <c r="A428" s="90" t="s">
        <v>645</v>
      </c>
      <c r="B428" s="91" t="str">
        <f>IFERROR(VLOOKUP(A428,'Salary Calculation'!A428:F1425,2,0),"")</f>
        <v/>
      </c>
      <c r="C428" s="91" t="str">
        <f>IFERROR(VLOOKUP(A428,'Salary Calculation'!$A$2:$T$999,3,0),"")</f>
        <v/>
      </c>
      <c r="D428" s="91" t="str">
        <f>IFERROR(VLOOKUP(A428,'Salary Calculation'!$A$2:$T$999,6,0),"")</f>
        <v/>
      </c>
      <c r="E428" s="91" t="str">
        <f>IFERROR(VLOOKUP(A428,'Salary Calculation'!$A$2:$T$999,8,0),"")</f>
        <v/>
      </c>
      <c r="F428" s="92" t="str">
        <f>IFERROR(VLOOKUP(C428,'Employees List'!$B$2:H999,6,0),"")</f>
        <v/>
      </c>
      <c r="G428" s="93" t="str">
        <f>IFERROR(VLOOKUP(A428,'Salary Calculation'!$A$2:$T$999,7,0),"")</f>
        <v/>
      </c>
      <c r="H428" s="94"/>
      <c r="I428" s="46"/>
      <c r="J428" s="46"/>
      <c r="K428" s="46"/>
      <c r="L428" s="46"/>
      <c r="M428" s="46"/>
      <c r="N428" s="46"/>
      <c r="O428" s="46"/>
      <c r="P428" s="46"/>
      <c r="Q428" s="46"/>
      <c r="R428" s="46"/>
      <c r="S428" s="46"/>
      <c r="T428" s="46"/>
      <c r="U428" s="46"/>
      <c r="V428" s="46"/>
      <c r="W428" s="46"/>
      <c r="X428" s="46"/>
      <c r="Y428" s="46"/>
      <c r="Z428" s="46"/>
      <c r="AA428" s="46"/>
      <c r="AB428" s="46"/>
    </row>
    <row r="429" hidden="1">
      <c r="A429" s="90" t="s">
        <v>646</v>
      </c>
      <c r="B429" s="91" t="str">
        <f>IFERROR(VLOOKUP(A429,'Salary Calculation'!A429:F1426,2,0),"")</f>
        <v/>
      </c>
      <c r="C429" s="91" t="str">
        <f>IFERROR(VLOOKUP(A429,'Salary Calculation'!$A$2:$T$999,3,0),"")</f>
        <v/>
      </c>
      <c r="D429" s="91" t="str">
        <f>IFERROR(VLOOKUP(A429,'Salary Calculation'!$A$2:$T$999,6,0),"")</f>
        <v/>
      </c>
      <c r="E429" s="91" t="str">
        <f>IFERROR(VLOOKUP(A429,'Salary Calculation'!$A$2:$T$999,8,0),"")</f>
        <v/>
      </c>
      <c r="F429" s="92" t="str">
        <f>IFERROR(VLOOKUP(C429,'Employees List'!$B$2:H999,6,0),"")</f>
        <v/>
      </c>
      <c r="G429" s="93" t="str">
        <f>IFERROR(VLOOKUP(A429,'Salary Calculation'!$A$2:$T$999,7,0),"")</f>
        <v/>
      </c>
      <c r="H429" s="94"/>
      <c r="I429" s="46"/>
      <c r="J429" s="46"/>
      <c r="K429" s="46"/>
      <c r="L429" s="46"/>
      <c r="M429" s="46"/>
      <c r="N429" s="46"/>
      <c r="O429" s="46"/>
      <c r="P429" s="46"/>
      <c r="Q429" s="46"/>
      <c r="R429" s="46"/>
      <c r="S429" s="46"/>
      <c r="T429" s="46"/>
      <c r="U429" s="46"/>
      <c r="V429" s="46"/>
      <c r="W429" s="46"/>
      <c r="X429" s="46"/>
      <c r="Y429" s="46"/>
      <c r="Z429" s="46"/>
      <c r="AA429" s="46"/>
      <c r="AB429" s="46"/>
    </row>
    <row r="430" hidden="1">
      <c r="A430" s="90" t="s">
        <v>647</v>
      </c>
      <c r="B430" s="91" t="str">
        <f>IFERROR(VLOOKUP(A430,'Salary Calculation'!A430:F1427,2,0),"")</f>
        <v/>
      </c>
      <c r="C430" s="91" t="str">
        <f>IFERROR(VLOOKUP(A430,'Salary Calculation'!$A$2:$T$999,3,0),"")</f>
        <v/>
      </c>
      <c r="D430" s="91" t="str">
        <f>IFERROR(VLOOKUP(A430,'Salary Calculation'!$A$2:$T$999,6,0),"")</f>
        <v/>
      </c>
      <c r="E430" s="91" t="str">
        <f>IFERROR(VLOOKUP(A430,'Salary Calculation'!$A$2:$T$999,8,0),"")</f>
        <v/>
      </c>
      <c r="F430" s="92" t="str">
        <f>IFERROR(VLOOKUP(C430,'Employees List'!$B$2:H999,6,0),"")</f>
        <v/>
      </c>
      <c r="G430" s="93" t="str">
        <f>IFERROR(VLOOKUP(A430,'Salary Calculation'!$A$2:$T$999,7,0),"")</f>
        <v/>
      </c>
      <c r="H430" s="94"/>
      <c r="I430" s="46"/>
      <c r="J430" s="46"/>
      <c r="K430" s="46"/>
      <c r="L430" s="46"/>
      <c r="M430" s="46"/>
      <c r="N430" s="46"/>
      <c r="O430" s="46"/>
      <c r="P430" s="46"/>
      <c r="Q430" s="46"/>
      <c r="R430" s="46"/>
      <c r="S430" s="46"/>
      <c r="T430" s="46"/>
      <c r="U430" s="46"/>
      <c r="V430" s="46"/>
      <c r="W430" s="46"/>
      <c r="X430" s="46"/>
      <c r="Y430" s="46"/>
      <c r="Z430" s="46"/>
      <c r="AA430" s="46"/>
      <c r="AB430" s="46"/>
    </row>
    <row r="431" hidden="1">
      <c r="A431" s="90" t="s">
        <v>648</v>
      </c>
      <c r="B431" s="91" t="str">
        <f>IFERROR(VLOOKUP(A431,'Salary Calculation'!A431:F1428,2,0),"")</f>
        <v/>
      </c>
      <c r="C431" s="91" t="str">
        <f>IFERROR(VLOOKUP(A431,'Salary Calculation'!$A$2:$T$999,3,0),"")</f>
        <v/>
      </c>
      <c r="D431" s="91" t="str">
        <f>IFERROR(VLOOKUP(A431,'Salary Calculation'!$A$2:$T$999,6,0),"")</f>
        <v/>
      </c>
      <c r="E431" s="91" t="str">
        <f>IFERROR(VLOOKUP(A431,'Salary Calculation'!$A$2:$T$999,8,0),"")</f>
        <v/>
      </c>
      <c r="F431" s="92" t="str">
        <f>IFERROR(VLOOKUP(C431,'Employees List'!$B$2:H999,6,0),"")</f>
        <v/>
      </c>
      <c r="G431" s="93" t="str">
        <f>IFERROR(VLOOKUP(A431,'Salary Calculation'!$A$2:$T$999,7,0),"")</f>
        <v/>
      </c>
      <c r="H431" s="94"/>
      <c r="I431" s="46"/>
      <c r="J431" s="46"/>
      <c r="K431" s="46"/>
      <c r="L431" s="46"/>
      <c r="M431" s="46"/>
      <c r="N431" s="46"/>
      <c r="O431" s="46"/>
      <c r="P431" s="46"/>
      <c r="Q431" s="46"/>
      <c r="R431" s="46"/>
      <c r="S431" s="46"/>
      <c r="T431" s="46"/>
      <c r="U431" s="46"/>
      <c r="V431" s="46"/>
      <c r="W431" s="46"/>
      <c r="X431" s="46"/>
      <c r="Y431" s="46"/>
      <c r="Z431" s="46"/>
      <c r="AA431" s="46"/>
      <c r="AB431" s="46"/>
    </row>
    <row r="432" hidden="1">
      <c r="A432" s="90" t="s">
        <v>649</v>
      </c>
      <c r="B432" s="91" t="str">
        <f>IFERROR(VLOOKUP(A432,'Salary Calculation'!A432:F1429,2,0),"")</f>
        <v/>
      </c>
      <c r="C432" s="91" t="str">
        <f>IFERROR(VLOOKUP(A432,'Salary Calculation'!$A$2:$T$999,3,0),"")</f>
        <v/>
      </c>
      <c r="D432" s="91" t="str">
        <f>IFERROR(VLOOKUP(A432,'Salary Calculation'!$A$2:$T$999,6,0),"")</f>
        <v/>
      </c>
      <c r="E432" s="91" t="str">
        <f>IFERROR(VLOOKUP(A432,'Salary Calculation'!$A$2:$T$999,8,0),"")</f>
        <v/>
      </c>
      <c r="F432" s="92" t="str">
        <f>IFERROR(VLOOKUP(C432,'Employees List'!$B$2:H999,6,0),"")</f>
        <v/>
      </c>
      <c r="G432" s="93" t="str">
        <f>IFERROR(VLOOKUP(A432,'Salary Calculation'!$A$2:$T$999,7,0),"")</f>
        <v/>
      </c>
      <c r="H432" s="94"/>
      <c r="I432" s="46"/>
      <c r="J432" s="46"/>
      <c r="K432" s="46"/>
      <c r="L432" s="46"/>
      <c r="M432" s="46"/>
      <c r="N432" s="46"/>
      <c r="O432" s="46"/>
      <c r="P432" s="46"/>
      <c r="Q432" s="46"/>
      <c r="R432" s="46"/>
      <c r="S432" s="46"/>
      <c r="T432" s="46"/>
      <c r="U432" s="46"/>
      <c r="V432" s="46"/>
      <c r="W432" s="46"/>
      <c r="X432" s="46"/>
      <c r="Y432" s="46"/>
      <c r="Z432" s="46"/>
      <c r="AA432" s="46"/>
      <c r="AB432" s="46"/>
    </row>
    <row r="433" hidden="1">
      <c r="A433" s="90" t="s">
        <v>650</v>
      </c>
      <c r="B433" s="91" t="str">
        <f>IFERROR(VLOOKUP(A433,'Salary Calculation'!A433:F1430,2,0),"")</f>
        <v/>
      </c>
      <c r="C433" s="91" t="str">
        <f>IFERROR(VLOOKUP(A433,'Salary Calculation'!$A$2:$T$999,3,0),"")</f>
        <v/>
      </c>
      <c r="D433" s="91" t="str">
        <f>IFERROR(VLOOKUP(A433,'Salary Calculation'!$A$2:$T$999,6,0),"")</f>
        <v/>
      </c>
      <c r="E433" s="91" t="str">
        <f>IFERROR(VLOOKUP(A433,'Salary Calculation'!$A$2:$T$999,8,0),"")</f>
        <v/>
      </c>
      <c r="F433" s="92" t="str">
        <f>IFERROR(VLOOKUP(C433,'Employees List'!$B$2:H999,6,0),"")</f>
        <v/>
      </c>
      <c r="G433" s="93" t="str">
        <f>IFERROR(VLOOKUP(A433,'Salary Calculation'!$A$2:$T$999,7,0),"")</f>
        <v/>
      </c>
      <c r="H433" s="94"/>
      <c r="I433" s="46"/>
      <c r="J433" s="46"/>
      <c r="K433" s="46"/>
      <c r="L433" s="46"/>
      <c r="M433" s="46"/>
      <c r="N433" s="46"/>
      <c r="O433" s="46"/>
      <c r="P433" s="46"/>
      <c r="Q433" s="46"/>
      <c r="R433" s="46"/>
      <c r="S433" s="46"/>
      <c r="T433" s="46"/>
      <c r="U433" s="46"/>
      <c r="V433" s="46"/>
      <c r="W433" s="46"/>
      <c r="X433" s="46"/>
      <c r="Y433" s="46"/>
      <c r="Z433" s="46"/>
      <c r="AA433" s="46"/>
      <c r="AB433" s="46"/>
    </row>
    <row r="434" hidden="1">
      <c r="A434" s="90" t="s">
        <v>651</v>
      </c>
      <c r="B434" s="91" t="str">
        <f>IFERROR(VLOOKUP(A434,'Salary Calculation'!A434:F1431,2,0),"")</f>
        <v/>
      </c>
      <c r="C434" s="91" t="str">
        <f>IFERROR(VLOOKUP(A434,'Salary Calculation'!$A$2:$T$999,3,0),"")</f>
        <v/>
      </c>
      <c r="D434" s="91" t="str">
        <f>IFERROR(VLOOKUP(A434,'Salary Calculation'!$A$2:$T$999,6,0),"")</f>
        <v/>
      </c>
      <c r="E434" s="91" t="str">
        <f>IFERROR(VLOOKUP(A434,'Salary Calculation'!$A$2:$T$999,8,0),"")</f>
        <v/>
      </c>
      <c r="F434" s="92" t="str">
        <f>IFERROR(VLOOKUP(C434,'Employees List'!$B$2:H999,6,0),"")</f>
        <v/>
      </c>
      <c r="G434" s="93" t="str">
        <f>IFERROR(VLOOKUP(A434,'Salary Calculation'!$A$2:$T$999,7,0),"")</f>
        <v/>
      </c>
      <c r="H434" s="94"/>
      <c r="I434" s="46"/>
      <c r="J434" s="46"/>
      <c r="K434" s="46"/>
      <c r="L434" s="46"/>
      <c r="M434" s="46"/>
      <c r="N434" s="46"/>
      <c r="O434" s="46"/>
      <c r="P434" s="46"/>
      <c r="Q434" s="46"/>
      <c r="R434" s="46"/>
      <c r="S434" s="46"/>
      <c r="T434" s="46"/>
      <c r="U434" s="46"/>
      <c r="V434" s="46"/>
      <c r="W434" s="46"/>
      <c r="X434" s="46"/>
      <c r="Y434" s="46"/>
      <c r="Z434" s="46"/>
      <c r="AA434" s="46"/>
      <c r="AB434" s="46"/>
    </row>
    <row r="435" hidden="1">
      <c r="A435" s="90" t="s">
        <v>652</v>
      </c>
      <c r="B435" s="91" t="str">
        <f>IFERROR(VLOOKUP(A435,'Salary Calculation'!A435:F1432,2,0),"")</f>
        <v/>
      </c>
      <c r="C435" s="91" t="str">
        <f>IFERROR(VLOOKUP(A435,'Salary Calculation'!$A$2:$T$999,3,0),"")</f>
        <v/>
      </c>
      <c r="D435" s="91" t="str">
        <f>IFERROR(VLOOKUP(A435,'Salary Calculation'!$A$2:$T$999,6,0),"")</f>
        <v/>
      </c>
      <c r="E435" s="91" t="str">
        <f>IFERROR(VLOOKUP(A435,'Salary Calculation'!$A$2:$T$999,8,0),"")</f>
        <v/>
      </c>
      <c r="F435" s="92" t="str">
        <f>IFERROR(VLOOKUP(C435,'Employees List'!$B$2:H999,6,0),"")</f>
        <v/>
      </c>
      <c r="G435" s="93" t="str">
        <f>IFERROR(VLOOKUP(A435,'Salary Calculation'!$A$2:$T$999,7,0),"")</f>
        <v/>
      </c>
      <c r="H435" s="94"/>
      <c r="I435" s="46"/>
      <c r="J435" s="46"/>
      <c r="K435" s="46"/>
      <c r="L435" s="46"/>
      <c r="M435" s="46"/>
      <c r="N435" s="46"/>
      <c r="O435" s="46"/>
      <c r="P435" s="46"/>
      <c r="Q435" s="46"/>
      <c r="R435" s="46"/>
      <c r="S435" s="46"/>
      <c r="T435" s="46"/>
      <c r="U435" s="46"/>
      <c r="V435" s="46"/>
      <c r="W435" s="46"/>
      <c r="X435" s="46"/>
      <c r="Y435" s="46"/>
      <c r="Z435" s="46"/>
      <c r="AA435" s="46"/>
      <c r="AB435" s="46"/>
    </row>
    <row r="436" hidden="1">
      <c r="A436" s="90" t="s">
        <v>653</v>
      </c>
      <c r="B436" s="91" t="str">
        <f>IFERROR(VLOOKUP(A436,'Salary Calculation'!A436:F1433,2,0),"")</f>
        <v/>
      </c>
      <c r="C436" s="91" t="str">
        <f>IFERROR(VLOOKUP(A436,'Salary Calculation'!$A$2:$T$999,3,0),"")</f>
        <v/>
      </c>
      <c r="D436" s="91" t="str">
        <f>IFERROR(VLOOKUP(A436,'Salary Calculation'!$A$2:$T$999,6,0),"")</f>
        <v/>
      </c>
      <c r="E436" s="91" t="str">
        <f>IFERROR(VLOOKUP(A436,'Salary Calculation'!$A$2:$T$999,8,0),"")</f>
        <v/>
      </c>
      <c r="F436" s="92" t="str">
        <f>IFERROR(VLOOKUP(C436,'Employees List'!$B$2:H999,6,0),"")</f>
        <v/>
      </c>
      <c r="G436" s="93" t="str">
        <f>IFERROR(VLOOKUP(A436,'Salary Calculation'!$A$2:$T$999,7,0),"")</f>
        <v/>
      </c>
      <c r="H436" s="94"/>
      <c r="I436" s="46"/>
      <c r="J436" s="46"/>
      <c r="K436" s="46"/>
      <c r="L436" s="46"/>
      <c r="M436" s="46"/>
      <c r="N436" s="46"/>
      <c r="O436" s="46"/>
      <c r="P436" s="46"/>
      <c r="Q436" s="46"/>
      <c r="R436" s="46"/>
      <c r="S436" s="46"/>
      <c r="T436" s="46"/>
      <c r="U436" s="46"/>
      <c r="V436" s="46"/>
      <c r="W436" s="46"/>
      <c r="X436" s="46"/>
      <c r="Y436" s="46"/>
      <c r="Z436" s="46"/>
      <c r="AA436" s="46"/>
      <c r="AB436" s="46"/>
    </row>
    <row r="437" hidden="1">
      <c r="A437" s="90" t="s">
        <v>654</v>
      </c>
      <c r="B437" s="91" t="str">
        <f>IFERROR(VLOOKUP(A437,'Salary Calculation'!A437:F1434,2,0),"")</f>
        <v/>
      </c>
      <c r="C437" s="91" t="str">
        <f>IFERROR(VLOOKUP(A437,'Salary Calculation'!$A$2:$T$999,3,0),"")</f>
        <v/>
      </c>
      <c r="D437" s="91" t="str">
        <f>IFERROR(VLOOKUP(A437,'Salary Calculation'!$A$2:$T$999,6,0),"")</f>
        <v/>
      </c>
      <c r="E437" s="91" t="str">
        <f>IFERROR(VLOOKUP(A437,'Salary Calculation'!$A$2:$T$999,8,0),"")</f>
        <v/>
      </c>
      <c r="F437" s="92" t="str">
        <f>IFERROR(VLOOKUP(C437,'Employees List'!$B$2:H999,6,0),"")</f>
        <v/>
      </c>
      <c r="G437" s="93" t="str">
        <f>IFERROR(VLOOKUP(A437,'Salary Calculation'!$A$2:$T$999,7,0),"")</f>
        <v/>
      </c>
      <c r="H437" s="94"/>
      <c r="I437" s="46"/>
      <c r="J437" s="46"/>
      <c r="K437" s="46"/>
      <c r="L437" s="46"/>
      <c r="M437" s="46"/>
      <c r="N437" s="46"/>
      <c r="O437" s="46"/>
      <c r="P437" s="46"/>
      <c r="Q437" s="46"/>
      <c r="R437" s="46"/>
      <c r="S437" s="46"/>
      <c r="T437" s="46"/>
      <c r="U437" s="46"/>
      <c r="V437" s="46"/>
      <c r="W437" s="46"/>
      <c r="X437" s="46"/>
      <c r="Y437" s="46"/>
      <c r="Z437" s="46"/>
      <c r="AA437" s="46"/>
      <c r="AB437" s="46"/>
    </row>
    <row r="438" hidden="1">
      <c r="A438" s="90" t="s">
        <v>655</v>
      </c>
      <c r="B438" s="91" t="str">
        <f>IFERROR(VLOOKUP(A438,'Salary Calculation'!A438:F1435,2,0),"")</f>
        <v/>
      </c>
      <c r="C438" s="91" t="str">
        <f>IFERROR(VLOOKUP(A438,'Salary Calculation'!$A$2:$T$999,3,0),"")</f>
        <v/>
      </c>
      <c r="D438" s="91" t="str">
        <f>IFERROR(VLOOKUP(A438,'Salary Calculation'!$A$2:$T$999,6,0),"")</f>
        <v/>
      </c>
      <c r="E438" s="91" t="str">
        <f>IFERROR(VLOOKUP(A438,'Salary Calculation'!$A$2:$T$999,8,0),"")</f>
        <v/>
      </c>
      <c r="F438" s="92" t="str">
        <f>IFERROR(VLOOKUP(C438,'Employees List'!$B$2:H999,6,0),"")</f>
        <v/>
      </c>
      <c r="G438" s="93" t="str">
        <f>IFERROR(VLOOKUP(A438,'Salary Calculation'!$A$2:$T$999,7,0),"")</f>
        <v/>
      </c>
      <c r="H438" s="94"/>
      <c r="I438" s="46"/>
      <c r="J438" s="46"/>
      <c r="K438" s="46"/>
      <c r="L438" s="46"/>
      <c r="M438" s="46"/>
      <c r="N438" s="46"/>
      <c r="O438" s="46"/>
      <c r="P438" s="46"/>
      <c r="Q438" s="46"/>
      <c r="R438" s="46"/>
      <c r="S438" s="46"/>
      <c r="T438" s="46"/>
      <c r="U438" s="46"/>
      <c r="V438" s="46"/>
      <c r="W438" s="46"/>
      <c r="X438" s="46"/>
      <c r="Y438" s="46"/>
      <c r="Z438" s="46"/>
      <c r="AA438" s="46"/>
      <c r="AB438" s="46"/>
    </row>
    <row r="439" hidden="1">
      <c r="A439" s="90" t="s">
        <v>656</v>
      </c>
      <c r="B439" s="91" t="str">
        <f>IFERROR(VLOOKUP(A439,'Salary Calculation'!A439:F1436,2,0),"")</f>
        <v/>
      </c>
      <c r="C439" s="91" t="str">
        <f>IFERROR(VLOOKUP(A439,'Salary Calculation'!$A$2:$T$999,3,0),"")</f>
        <v/>
      </c>
      <c r="D439" s="91" t="str">
        <f>IFERROR(VLOOKUP(A439,'Salary Calculation'!$A$2:$T$999,6,0),"")</f>
        <v/>
      </c>
      <c r="E439" s="91" t="str">
        <f>IFERROR(VLOOKUP(A439,'Salary Calculation'!$A$2:$T$999,8,0),"")</f>
        <v/>
      </c>
      <c r="F439" s="92" t="str">
        <f>IFERROR(VLOOKUP(C439,'Employees List'!$B$2:H999,6,0),"")</f>
        <v/>
      </c>
      <c r="G439" s="93" t="str">
        <f>IFERROR(VLOOKUP(A439,'Salary Calculation'!$A$2:$T$999,7,0),"")</f>
        <v/>
      </c>
      <c r="H439" s="94"/>
      <c r="I439" s="46"/>
      <c r="J439" s="46"/>
      <c r="K439" s="46"/>
      <c r="L439" s="46"/>
      <c r="M439" s="46"/>
      <c r="N439" s="46"/>
      <c r="O439" s="46"/>
      <c r="P439" s="46"/>
      <c r="Q439" s="46"/>
      <c r="R439" s="46"/>
      <c r="S439" s="46"/>
      <c r="T439" s="46"/>
      <c r="U439" s="46"/>
      <c r="V439" s="46"/>
      <c r="W439" s="46"/>
      <c r="X439" s="46"/>
      <c r="Y439" s="46"/>
      <c r="Z439" s="46"/>
      <c r="AA439" s="46"/>
      <c r="AB439" s="46"/>
    </row>
    <row r="440" hidden="1">
      <c r="A440" s="90" t="s">
        <v>657</v>
      </c>
      <c r="B440" s="91" t="str">
        <f>IFERROR(VLOOKUP(A440,'Salary Calculation'!A440:F1437,2,0),"")</f>
        <v/>
      </c>
      <c r="C440" s="91" t="str">
        <f>IFERROR(VLOOKUP(A440,'Salary Calculation'!$A$2:$T$999,3,0),"")</f>
        <v/>
      </c>
      <c r="D440" s="91" t="str">
        <f>IFERROR(VLOOKUP(A440,'Salary Calculation'!$A$2:$T$999,6,0),"")</f>
        <v/>
      </c>
      <c r="E440" s="91" t="str">
        <f>IFERROR(VLOOKUP(A440,'Salary Calculation'!$A$2:$T$999,8,0),"")</f>
        <v/>
      </c>
      <c r="F440" s="92" t="str">
        <f>IFERROR(VLOOKUP(C440,'Employees List'!$B$2:H999,6,0),"")</f>
        <v/>
      </c>
      <c r="G440" s="93" t="str">
        <f>IFERROR(VLOOKUP(A440,'Salary Calculation'!$A$2:$T$999,7,0),"")</f>
        <v/>
      </c>
      <c r="H440" s="94"/>
      <c r="I440" s="46"/>
      <c r="J440" s="46"/>
      <c r="K440" s="46"/>
      <c r="L440" s="46"/>
      <c r="M440" s="46"/>
      <c r="N440" s="46"/>
      <c r="O440" s="46"/>
      <c r="P440" s="46"/>
      <c r="Q440" s="46"/>
      <c r="R440" s="46"/>
      <c r="S440" s="46"/>
      <c r="T440" s="46"/>
      <c r="U440" s="46"/>
      <c r="V440" s="46"/>
      <c r="W440" s="46"/>
      <c r="X440" s="46"/>
      <c r="Y440" s="46"/>
      <c r="Z440" s="46"/>
      <c r="AA440" s="46"/>
      <c r="AB440" s="46"/>
    </row>
    <row r="441" hidden="1">
      <c r="A441" s="90" t="s">
        <v>658</v>
      </c>
      <c r="B441" s="91" t="str">
        <f>IFERROR(VLOOKUP(A441,'Salary Calculation'!A441:F1438,2,0),"")</f>
        <v/>
      </c>
      <c r="C441" s="91" t="str">
        <f>IFERROR(VLOOKUP(A441,'Salary Calculation'!$A$2:$T$999,3,0),"")</f>
        <v/>
      </c>
      <c r="D441" s="91" t="str">
        <f>IFERROR(VLOOKUP(A441,'Salary Calculation'!$A$2:$T$999,6,0),"")</f>
        <v/>
      </c>
      <c r="E441" s="91" t="str">
        <f>IFERROR(VLOOKUP(A441,'Salary Calculation'!$A$2:$T$999,8,0),"")</f>
        <v/>
      </c>
      <c r="F441" s="92" t="str">
        <f>IFERROR(VLOOKUP(C441,'Employees List'!$B$2:H999,6,0),"")</f>
        <v/>
      </c>
      <c r="G441" s="93" t="str">
        <f>IFERROR(VLOOKUP(A441,'Salary Calculation'!$A$2:$T$999,7,0),"")</f>
        <v/>
      </c>
      <c r="H441" s="94"/>
      <c r="I441" s="46"/>
      <c r="J441" s="46"/>
      <c r="K441" s="46"/>
      <c r="L441" s="46"/>
      <c r="M441" s="46"/>
      <c r="N441" s="46"/>
      <c r="O441" s="46"/>
      <c r="P441" s="46"/>
      <c r="Q441" s="46"/>
      <c r="R441" s="46"/>
      <c r="S441" s="46"/>
      <c r="T441" s="46"/>
      <c r="U441" s="46"/>
      <c r="V441" s="46"/>
      <c r="W441" s="46"/>
      <c r="X441" s="46"/>
      <c r="Y441" s="46"/>
      <c r="Z441" s="46"/>
      <c r="AA441" s="46"/>
      <c r="AB441" s="46"/>
    </row>
    <row r="442" hidden="1">
      <c r="A442" s="90" t="s">
        <v>659</v>
      </c>
      <c r="B442" s="91" t="str">
        <f>IFERROR(VLOOKUP(A442,'Salary Calculation'!A442:F1439,2,0),"")</f>
        <v/>
      </c>
      <c r="C442" s="91" t="str">
        <f>IFERROR(VLOOKUP(A442,'Salary Calculation'!$A$2:$T$999,3,0),"")</f>
        <v/>
      </c>
      <c r="D442" s="91" t="str">
        <f>IFERROR(VLOOKUP(A442,'Salary Calculation'!$A$2:$T$999,6,0),"")</f>
        <v/>
      </c>
      <c r="E442" s="91" t="str">
        <f>IFERROR(VLOOKUP(A442,'Salary Calculation'!$A$2:$T$999,8,0),"")</f>
        <v/>
      </c>
      <c r="F442" s="92" t="str">
        <f>IFERROR(VLOOKUP(C442,'Employees List'!$B$2:H999,6,0),"")</f>
        <v/>
      </c>
      <c r="G442" s="93" t="str">
        <f>IFERROR(VLOOKUP(A442,'Salary Calculation'!$A$2:$T$999,7,0),"")</f>
        <v/>
      </c>
      <c r="H442" s="94"/>
      <c r="I442" s="46"/>
      <c r="J442" s="46"/>
      <c r="K442" s="46"/>
      <c r="L442" s="46"/>
      <c r="M442" s="46"/>
      <c r="N442" s="46"/>
      <c r="O442" s="46"/>
      <c r="P442" s="46"/>
      <c r="Q442" s="46"/>
      <c r="R442" s="46"/>
      <c r="S442" s="46"/>
      <c r="T442" s="46"/>
      <c r="U442" s="46"/>
      <c r="V442" s="46"/>
      <c r="W442" s="46"/>
      <c r="X442" s="46"/>
      <c r="Y442" s="46"/>
      <c r="Z442" s="46"/>
      <c r="AA442" s="46"/>
      <c r="AB442" s="46"/>
    </row>
    <row r="443" hidden="1">
      <c r="A443" s="90" t="s">
        <v>660</v>
      </c>
      <c r="B443" s="91" t="str">
        <f>IFERROR(VLOOKUP(A443,'Salary Calculation'!A443:F1440,2,0),"")</f>
        <v/>
      </c>
      <c r="C443" s="91" t="str">
        <f>IFERROR(VLOOKUP(A443,'Salary Calculation'!$A$2:$T$999,3,0),"")</f>
        <v/>
      </c>
      <c r="D443" s="91" t="str">
        <f>IFERROR(VLOOKUP(A443,'Salary Calculation'!$A$2:$T$999,6,0),"")</f>
        <v/>
      </c>
      <c r="E443" s="91" t="str">
        <f>IFERROR(VLOOKUP(A443,'Salary Calculation'!$A$2:$T$999,8,0),"")</f>
        <v/>
      </c>
      <c r="F443" s="92" t="str">
        <f>IFERROR(VLOOKUP(C443,'Employees List'!$B$2:H999,6,0),"")</f>
        <v/>
      </c>
      <c r="G443" s="93" t="str">
        <f>IFERROR(VLOOKUP(A443,'Salary Calculation'!$A$2:$T$999,7,0),"")</f>
        <v/>
      </c>
      <c r="H443" s="94"/>
      <c r="I443" s="46"/>
      <c r="J443" s="46"/>
      <c r="K443" s="46"/>
      <c r="L443" s="46"/>
      <c r="M443" s="46"/>
      <c r="N443" s="46"/>
      <c r="O443" s="46"/>
      <c r="P443" s="46"/>
      <c r="Q443" s="46"/>
      <c r="R443" s="46"/>
      <c r="S443" s="46"/>
      <c r="T443" s="46"/>
      <c r="U443" s="46"/>
      <c r="V443" s="46"/>
      <c r="W443" s="46"/>
      <c r="X443" s="46"/>
      <c r="Y443" s="46"/>
      <c r="Z443" s="46"/>
      <c r="AA443" s="46"/>
      <c r="AB443" s="46"/>
    </row>
    <row r="444" hidden="1">
      <c r="A444" s="90" t="s">
        <v>661</v>
      </c>
      <c r="B444" s="91" t="str">
        <f>IFERROR(VLOOKUP(A444,'Salary Calculation'!A444:F1441,2,0),"")</f>
        <v/>
      </c>
      <c r="C444" s="91" t="str">
        <f>IFERROR(VLOOKUP(A444,'Salary Calculation'!$A$2:$T$999,3,0),"")</f>
        <v/>
      </c>
      <c r="D444" s="91" t="str">
        <f>IFERROR(VLOOKUP(A444,'Salary Calculation'!$A$2:$T$999,6,0),"")</f>
        <v/>
      </c>
      <c r="E444" s="91" t="str">
        <f>IFERROR(VLOOKUP(A444,'Salary Calculation'!$A$2:$T$999,8,0),"")</f>
        <v/>
      </c>
      <c r="F444" s="92" t="str">
        <f>IFERROR(VLOOKUP(C444,'Employees List'!$B$2:H999,6,0),"")</f>
        <v/>
      </c>
      <c r="G444" s="93" t="str">
        <f>IFERROR(VLOOKUP(A444,'Salary Calculation'!$A$2:$T$999,7,0),"")</f>
        <v/>
      </c>
      <c r="H444" s="94"/>
      <c r="I444" s="46"/>
      <c r="J444" s="46"/>
      <c r="K444" s="46"/>
      <c r="L444" s="46"/>
      <c r="M444" s="46"/>
      <c r="N444" s="46"/>
      <c r="O444" s="46"/>
      <c r="P444" s="46"/>
      <c r="Q444" s="46"/>
      <c r="R444" s="46"/>
      <c r="S444" s="46"/>
      <c r="T444" s="46"/>
      <c r="U444" s="46"/>
      <c r="V444" s="46"/>
      <c r="W444" s="46"/>
      <c r="X444" s="46"/>
      <c r="Y444" s="46"/>
      <c r="Z444" s="46"/>
      <c r="AA444" s="46"/>
      <c r="AB444" s="46"/>
    </row>
    <row r="445" hidden="1">
      <c r="A445" s="90" t="s">
        <v>662</v>
      </c>
      <c r="B445" s="91" t="str">
        <f>IFERROR(VLOOKUP(A445,'Salary Calculation'!A445:F1442,2,0),"")</f>
        <v/>
      </c>
      <c r="C445" s="91" t="str">
        <f>IFERROR(VLOOKUP(A445,'Salary Calculation'!$A$2:$T$999,3,0),"")</f>
        <v/>
      </c>
      <c r="D445" s="91" t="str">
        <f>IFERROR(VLOOKUP(A445,'Salary Calculation'!$A$2:$T$999,6,0),"")</f>
        <v/>
      </c>
      <c r="E445" s="91" t="str">
        <f>IFERROR(VLOOKUP(A445,'Salary Calculation'!$A$2:$T$999,8,0),"")</f>
        <v/>
      </c>
      <c r="F445" s="92" t="str">
        <f>IFERROR(VLOOKUP(C445,'Employees List'!$B$2:H999,6,0),"")</f>
        <v/>
      </c>
      <c r="G445" s="93" t="str">
        <f>IFERROR(VLOOKUP(A445,'Salary Calculation'!$A$2:$T$999,7,0),"")</f>
        <v/>
      </c>
      <c r="H445" s="94"/>
      <c r="I445" s="46"/>
      <c r="J445" s="46"/>
      <c r="K445" s="46"/>
      <c r="L445" s="46"/>
      <c r="M445" s="46"/>
      <c r="N445" s="46"/>
      <c r="O445" s="46"/>
      <c r="P445" s="46"/>
      <c r="Q445" s="46"/>
      <c r="R445" s="46"/>
      <c r="S445" s="46"/>
      <c r="T445" s="46"/>
      <c r="U445" s="46"/>
      <c r="V445" s="46"/>
      <c r="W445" s="46"/>
      <c r="X445" s="46"/>
      <c r="Y445" s="46"/>
      <c r="Z445" s="46"/>
      <c r="AA445" s="46"/>
      <c r="AB445" s="46"/>
    </row>
    <row r="446" hidden="1">
      <c r="A446" s="90" t="s">
        <v>663</v>
      </c>
      <c r="B446" s="91" t="str">
        <f>IFERROR(VLOOKUP(A446,'Salary Calculation'!A446:F1443,2,0),"")</f>
        <v/>
      </c>
      <c r="C446" s="91" t="str">
        <f>IFERROR(VLOOKUP(A446,'Salary Calculation'!$A$2:$T$999,3,0),"")</f>
        <v/>
      </c>
      <c r="D446" s="91" t="str">
        <f>IFERROR(VLOOKUP(A446,'Salary Calculation'!$A$2:$T$999,6,0),"")</f>
        <v/>
      </c>
      <c r="E446" s="91" t="str">
        <f>IFERROR(VLOOKUP(A446,'Salary Calculation'!$A$2:$T$999,8,0),"")</f>
        <v/>
      </c>
      <c r="F446" s="92" t="str">
        <f>IFERROR(VLOOKUP(C446,'Employees List'!$B$2:H999,6,0),"")</f>
        <v/>
      </c>
      <c r="G446" s="93" t="str">
        <f>IFERROR(VLOOKUP(A446,'Salary Calculation'!$A$2:$T$999,7,0),"")</f>
        <v/>
      </c>
      <c r="H446" s="94"/>
      <c r="I446" s="46"/>
      <c r="J446" s="46"/>
      <c r="K446" s="46"/>
      <c r="L446" s="46"/>
      <c r="M446" s="46"/>
      <c r="N446" s="46"/>
      <c r="O446" s="46"/>
      <c r="P446" s="46"/>
      <c r="Q446" s="46"/>
      <c r="R446" s="46"/>
      <c r="S446" s="46"/>
      <c r="T446" s="46"/>
      <c r="U446" s="46"/>
      <c r="V446" s="46"/>
      <c r="W446" s="46"/>
      <c r="X446" s="46"/>
      <c r="Y446" s="46"/>
      <c r="Z446" s="46"/>
      <c r="AA446" s="46"/>
      <c r="AB446" s="46"/>
    </row>
    <row r="447" hidden="1">
      <c r="A447" s="90" t="s">
        <v>664</v>
      </c>
      <c r="B447" s="91" t="str">
        <f>IFERROR(VLOOKUP(A447,'Salary Calculation'!A447:F1444,2,0),"")</f>
        <v/>
      </c>
      <c r="C447" s="91" t="str">
        <f>IFERROR(VLOOKUP(A447,'Salary Calculation'!$A$2:$T$999,3,0),"")</f>
        <v/>
      </c>
      <c r="D447" s="91" t="str">
        <f>IFERROR(VLOOKUP(A447,'Salary Calculation'!$A$2:$T$999,6,0),"")</f>
        <v/>
      </c>
      <c r="E447" s="91" t="str">
        <f>IFERROR(VLOOKUP(A447,'Salary Calculation'!$A$2:$T$999,8,0),"")</f>
        <v/>
      </c>
      <c r="F447" s="92" t="str">
        <f>IFERROR(VLOOKUP(C447,'Employees List'!$B$2:H999,6,0),"")</f>
        <v/>
      </c>
      <c r="G447" s="93" t="str">
        <f>IFERROR(VLOOKUP(A447,'Salary Calculation'!$A$2:$T$999,7,0),"")</f>
        <v/>
      </c>
      <c r="H447" s="94"/>
      <c r="I447" s="46"/>
      <c r="J447" s="46"/>
      <c r="K447" s="46"/>
      <c r="L447" s="46"/>
      <c r="M447" s="46"/>
      <c r="N447" s="46"/>
      <c r="O447" s="46"/>
      <c r="P447" s="46"/>
      <c r="Q447" s="46"/>
      <c r="R447" s="46"/>
      <c r="S447" s="46"/>
      <c r="T447" s="46"/>
      <c r="U447" s="46"/>
      <c r="V447" s="46"/>
      <c r="W447" s="46"/>
      <c r="X447" s="46"/>
      <c r="Y447" s="46"/>
      <c r="Z447" s="46"/>
      <c r="AA447" s="46"/>
      <c r="AB447" s="46"/>
    </row>
    <row r="448" hidden="1">
      <c r="A448" s="90" t="s">
        <v>665</v>
      </c>
      <c r="B448" s="91" t="str">
        <f>IFERROR(VLOOKUP(A448,'Salary Calculation'!A448:F1445,2,0),"")</f>
        <v/>
      </c>
      <c r="C448" s="91" t="str">
        <f>IFERROR(VLOOKUP(A448,'Salary Calculation'!$A$2:$T$999,3,0),"")</f>
        <v/>
      </c>
      <c r="D448" s="91" t="str">
        <f>IFERROR(VLOOKUP(A448,'Salary Calculation'!$A$2:$T$999,6,0),"")</f>
        <v/>
      </c>
      <c r="E448" s="91" t="str">
        <f>IFERROR(VLOOKUP(A448,'Salary Calculation'!$A$2:$T$999,8,0),"")</f>
        <v/>
      </c>
      <c r="F448" s="92" t="str">
        <f>IFERROR(VLOOKUP(C448,'Employees List'!$B$2:H999,6,0),"")</f>
        <v/>
      </c>
      <c r="G448" s="93" t="str">
        <f>IFERROR(VLOOKUP(A448,'Salary Calculation'!$A$2:$T$999,7,0),"")</f>
        <v/>
      </c>
      <c r="H448" s="94"/>
      <c r="I448" s="46"/>
      <c r="J448" s="46"/>
      <c r="K448" s="46"/>
      <c r="L448" s="46"/>
      <c r="M448" s="46"/>
      <c r="N448" s="46"/>
      <c r="O448" s="46"/>
      <c r="P448" s="46"/>
      <c r="Q448" s="46"/>
      <c r="R448" s="46"/>
      <c r="S448" s="46"/>
      <c r="T448" s="46"/>
      <c r="U448" s="46"/>
      <c r="V448" s="46"/>
      <c r="W448" s="46"/>
      <c r="X448" s="46"/>
      <c r="Y448" s="46"/>
      <c r="Z448" s="46"/>
      <c r="AA448" s="46"/>
      <c r="AB448" s="46"/>
    </row>
    <row r="449" hidden="1">
      <c r="A449" s="90" t="s">
        <v>666</v>
      </c>
      <c r="B449" s="91" t="str">
        <f>IFERROR(VLOOKUP(A449,'Salary Calculation'!A449:F1446,2,0),"")</f>
        <v/>
      </c>
      <c r="C449" s="91" t="str">
        <f>IFERROR(VLOOKUP(A449,'Salary Calculation'!$A$2:$T$999,3,0),"")</f>
        <v/>
      </c>
      <c r="D449" s="91" t="str">
        <f>IFERROR(VLOOKUP(A449,'Salary Calculation'!$A$2:$T$999,6,0),"")</f>
        <v/>
      </c>
      <c r="E449" s="91" t="str">
        <f>IFERROR(VLOOKUP(A449,'Salary Calculation'!$A$2:$T$999,8,0),"")</f>
        <v/>
      </c>
      <c r="F449" s="92" t="str">
        <f>IFERROR(VLOOKUP(C449,'Employees List'!$B$2:H999,6,0),"")</f>
        <v/>
      </c>
      <c r="G449" s="93" t="str">
        <f>IFERROR(VLOOKUP(A449,'Salary Calculation'!$A$2:$T$999,7,0),"")</f>
        <v/>
      </c>
      <c r="H449" s="94"/>
      <c r="I449" s="46"/>
      <c r="J449" s="46"/>
      <c r="K449" s="46"/>
      <c r="L449" s="46"/>
      <c r="M449" s="46"/>
      <c r="N449" s="46"/>
      <c r="O449" s="46"/>
      <c r="P449" s="46"/>
      <c r="Q449" s="46"/>
      <c r="R449" s="46"/>
      <c r="S449" s="46"/>
      <c r="T449" s="46"/>
      <c r="U449" s="46"/>
      <c r="V449" s="46"/>
      <c r="W449" s="46"/>
      <c r="X449" s="46"/>
      <c r="Y449" s="46"/>
      <c r="Z449" s="46"/>
      <c r="AA449" s="46"/>
      <c r="AB449" s="46"/>
    </row>
    <row r="450" hidden="1">
      <c r="A450" s="90" t="s">
        <v>667</v>
      </c>
      <c r="B450" s="91" t="str">
        <f>IFERROR(VLOOKUP(A450,'Salary Calculation'!A450:F1447,2,0),"")</f>
        <v/>
      </c>
      <c r="C450" s="91" t="str">
        <f>IFERROR(VLOOKUP(A450,'Salary Calculation'!$A$2:$T$999,3,0),"")</f>
        <v/>
      </c>
      <c r="D450" s="91" t="str">
        <f>IFERROR(VLOOKUP(A450,'Salary Calculation'!$A$2:$T$999,6,0),"")</f>
        <v/>
      </c>
      <c r="E450" s="91" t="str">
        <f>IFERROR(VLOOKUP(A450,'Salary Calculation'!$A$2:$T$999,8,0),"")</f>
        <v/>
      </c>
      <c r="F450" s="92" t="str">
        <f>IFERROR(VLOOKUP(C450,'Employees List'!$B$2:H999,6,0),"")</f>
        <v/>
      </c>
      <c r="G450" s="93" t="str">
        <f>IFERROR(VLOOKUP(A450,'Salary Calculation'!$A$2:$T$999,7,0),"")</f>
        <v/>
      </c>
      <c r="H450" s="94"/>
      <c r="I450" s="46"/>
      <c r="J450" s="46"/>
      <c r="K450" s="46"/>
      <c r="L450" s="46"/>
      <c r="M450" s="46"/>
      <c r="N450" s="46"/>
      <c r="O450" s="46"/>
      <c r="P450" s="46"/>
      <c r="Q450" s="46"/>
      <c r="R450" s="46"/>
      <c r="S450" s="46"/>
      <c r="T450" s="46"/>
      <c r="U450" s="46"/>
      <c r="V450" s="46"/>
      <c r="W450" s="46"/>
      <c r="X450" s="46"/>
      <c r="Y450" s="46"/>
      <c r="Z450" s="46"/>
      <c r="AA450" s="46"/>
      <c r="AB450" s="46"/>
    </row>
    <row r="451" hidden="1">
      <c r="A451" s="90" t="s">
        <v>668</v>
      </c>
      <c r="B451" s="91" t="str">
        <f>IFERROR(VLOOKUP(A451,'Salary Calculation'!A451:F1448,2,0),"")</f>
        <v/>
      </c>
      <c r="C451" s="91" t="str">
        <f>IFERROR(VLOOKUP(A451,'Salary Calculation'!$A$2:$T$999,3,0),"")</f>
        <v/>
      </c>
      <c r="D451" s="91" t="str">
        <f>IFERROR(VLOOKUP(A451,'Salary Calculation'!$A$2:$T$999,6,0),"")</f>
        <v/>
      </c>
      <c r="E451" s="91" t="str">
        <f>IFERROR(VLOOKUP(A451,'Salary Calculation'!$A$2:$T$999,8,0),"")</f>
        <v/>
      </c>
      <c r="F451" s="92" t="str">
        <f>IFERROR(VLOOKUP(C451,'Employees List'!$B$2:H999,6,0),"")</f>
        <v/>
      </c>
      <c r="G451" s="93" t="str">
        <f>IFERROR(VLOOKUP(A451,'Salary Calculation'!$A$2:$T$999,7,0),"")</f>
        <v/>
      </c>
      <c r="H451" s="94"/>
      <c r="I451" s="46"/>
      <c r="J451" s="46"/>
      <c r="K451" s="46"/>
      <c r="L451" s="46"/>
      <c r="M451" s="46"/>
      <c r="N451" s="46"/>
      <c r="O451" s="46"/>
      <c r="P451" s="46"/>
      <c r="Q451" s="46"/>
      <c r="R451" s="46"/>
      <c r="S451" s="46"/>
      <c r="T451" s="46"/>
      <c r="U451" s="46"/>
      <c r="V451" s="46"/>
      <c r="W451" s="46"/>
      <c r="X451" s="46"/>
      <c r="Y451" s="46"/>
      <c r="Z451" s="46"/>
      <c r="AA451" s="46"/>
      <c r="AB451" s="46"/>
    </row>
    <row r="452" hidden="1">
      <c r="A452" s="90" t="s">
        <v>669</v>
      </c>
      <c r="B452" s="91" t="str">
        <f>IFERROR(VLOOKUP(A452,'Salary Calculation'!A452:F1449,2,0),"")</f>
        <v/>
      </c>
      <c r="C452" s="91" t="str">
        <f>IFERROR(VLOOKUP(A452,'Salary Calculation'!$A$2:$T$999,3,0),"")</f>
        <v/>
      </c>
      <c r="D452" s="91" t="str">
        <f>IFERROR(VLOOKUP(A452,'Salary Calculation'!$A$2:$T$999,6,0),"")</f>
        <v/>
      </c>
      <c r="E452" s="91" t="str">
        <f>IFERROR(VLOOKUP(A452,'Salary Calculation'!$A$2:$T$999,8,0),"")</f>
        <v/>
      </c>
      <c r="F452" s="92" t="str">
        <f>IFERROR(VLOOKUP(C452,'Employees List'!$B$2:H999,6,0),"")</f>
        <v/>
      </c>
      <c r="G452" s="93" t="str">
        <f>IFERROR(VLOOKUP(A452,'Salary Calculation'!$A$2:$T$999,7,0),"")</f>
        <v/>
      </c>
      <c r="H452" s="94"/>
      <c r="I452" s="46"/>
      <c r="J452" s="46"/>
      <c r="K452" s="46"/>
      <c r="L452" s="46"/>
      <c r="M452" s="46"/>
      <c r="N452" s="46"/>
      <c r="O452" s="46"/>
      <c r="P452" s="46"/>
      <c r="Q452" s="46"/>
      <c r="R452" s="46"/>
      <c r="S452" s="46"/>
      <c r="T452" s="46"/>
      <c r="U452" s="46"/>
      <c r="V452" s="46"/>
      <c r="W452" s="46"/>
      <c r="X452" s="46"/>
      <c r="Y452" s="46"/>
      <c r="Z452" s="46"/>
      <c r="AA452" s="46"/>
      <c r="AB452" s="46"/>
    </row>
    <row r="453" hidden="1">
      <c r="A453" s="90" t="s">
        <v>670</v>
      </c>
      <c r="B453" s="91" t="str">
        <f>IFERROR(VLOOKUP(A453,'Salary Calculation'!A453:F1450,2,0),"")</f>
        <v/>
      </c>
      <c r="C453" s="91" t="str">
        <f>IFERROR(VLOOKUP(A453,'Salary Calculation'!$A$2:$T$999,3,0),"")</f>
        <v/>
      </c>
      <c r="D453" s="91" t="str">
        <f>IFERROR(VLOOKUP(A453,'Salary Calculation'!$A$2:$T$999,6,0),"")</f>
        <v/>
      </c>
      <c r="E453" s="91" t="str">
        <f>IFERROR(VLOOKUP(A453,'Salary Calculation'!$A$2:$T$999,8,0),"")</f>
        <v/>
      </c>
      <c r="F453" s="92" t="str">
        <f>IFERROR(VLOOKUP(C453,'Employees List'!$B$2:H999,6,0),"")</f>
        <v/>
      </c>
      <c r="G453" s="93" t="str">
        <f>IFERROR(VLOOKUP(A453,'Salary Calculation'!$A$2:$T$999,7,0),"")</f>
        <v/>
      </c>
      <c r="H453" s="94"/>
      <c r="I453" s="46"/>
      <c r="J453" s="46"/>
      <c r="K453" s="46"/>
      <c r="L453" s="46"/>
      <c r="M453" s="46"/>
      <c r="N453" s="46"/>
      <c r="O453" s="46"/>
      <c r="P453" s="46"/>
      <c r="Q453" s="46"/>
      <c r="R453" s="46"/>
      <c r="S453" s="46"/>
      <c r="T453" s="46"/>
      <c r="U453" s="46"/>
      <c r="V453" s="46"/>
      <c r="W453" s="46"/>
      <c r="X453" s="46"/>
      <c r="Y453" s="46"/>
      <c r="Z453" s="46"/>
      <c r="AA453" s="46"/>
      <c r="AB453" s="46"/>
    </row>
    <row r="454" hidden="1">
      <c r="A454" s="90" t="s">
        <v>671</v>
      </c>
      <c r="B454" s="91" t="str">
        <f>IFERROR(VLOOKUP(A454,'Salary Calculation'!A454:F1451,2,0),"")</f>
        <v/>
      </c>
      <c r="C454" s="91" t="str">
        <f>IFERROR(VLOOKUP(A454,'Salary Calculation'!$A$2:$T$999,3,0),"")</f>
        <v/>
      </c>
      <c r="D454" s="91" t="str">
        <f>IFERROR(VLOOKUP(A454,'Salary Calculation'!$A$2:$T$999,6,0),"")</f>
        <v/>
      </c>
      <c r="E454" s="91" t="str">
        <f>IFERROR(VLOOKUP(A454,'Salary Calculation'!$A$2:$T$999,8,0),"")</f>
        <v/>
      </c>
      <c r="F454" s="92" t="str">
        <f>IFERROR(VLOOKUP(C454,'Employees List'!$B$2:H999,6,0),"")</f>
        <v/>
      </c>
      <c r="G454" s="93" t="str">
        <f>IFERROR(VLOOKUP(A454,'Salary Calculation'!$A$2:$T$999,7,0),"")</f>
        <v/>
      </c>
      <c r="H454" s="94"/>
      <c r="I454" s="46"/>
      <c r="J454" s="46"/>
      <c r="K454" s="46"/>
      <c r="L454" s="46"/>
      <c r="M454" s="46"/>
      <c r="N454" s="46"/>
      <c r="O454" s="46"/>
      <c r="P454" s="46"/>
      <c r="Q454" s="46"/>
      <c r="R454" s="46"/>
      <c r="S454" s="46"/>
      <c r="T454" s="46"/>
      <c r="U454" s="46"/>
      <c r="V454" s="46"/>
      <c r="W454" s="46"/>
      <c r="X454" s="46"/>
      <c r="Y454" s="46"/>
      <c r="Z454" s="46"/>
      <c r="AA454" s="46"/>
      <c r="AB454" s="46"/>
    </row>
    <row r="455" hidden="1">
      <c r="A455" s="90" t="s">
        <v>672</v>
      </c>
      <c r="B455" s="91" t="str">
        <f>IFERROR(VLOOKUP(A455,'Salary Calculation'!A455:F1452,2,0),"")</f>
        <v/>
      </c>
      <c r="C455" s="91" t="str">
        <f>IFERROR(VLOOKUP(A455,'Salary Calculation'!$A$2:$T$999,3,0),"")</f>
        <v/>
      </c>
      <c r="D455" s="91" t="str">
        <f>IFERROR(VLOOKUP(A455,'Salary Calculation'!$A$2:$T$999,6,0),"")</f>
        <v/>
      </c>
      <c r="E455" s="91" t="str">
        <f>IFERROR(VLOOKUP(A455,'Salary Calculation'!$A$2:$T$999,8,0),"")</f>
        <v/>
      </c>
      <c r="F455" s="92" t="str">
        <f>IFERROR(VLOOKUP(C455,'Employees List'!$B$2:H999,6,0),"")</f>
        <v/>
      </c>
      <c r="G455" s="93" t="str">
        <f>IFERROR(VLOOKUP(A455,'Salary Calculation'!$A$2:$T$999,7,0),"")</f>
        <v/>
      </c>
      <c r="H455" s="94"/>
      <c r="I455" s="46"/>
      <c r="J455" s="46"/>
      <c r="K455" s="46"/>
      <c r="L455" s="46"/>
      <c r="M455" s="46"/>
      <c r="N455" s="46"/>
      <c r="O455" s="46"/>
      <c r="P455" s="46"/>
      <c r="Q455" s="46"/>
      <c r="R455" s="46"/>
      <c r="S455" s="46"/>
      <c r="T455" s="46"/>
      <c r="U455" s="46"/>
      <c r="V455" s="46"/>
      <c r="W455" s="46"/>
      <c r="X455" s="46"/>
      <c r="Y455" s="46"/>
      <c r="Z455" s="46"/>
      <c r="AA455" s="46"/>
      <c r="AB455" s="46"/>
    </row>
    <row r="456" hidden="1">
      <c r="A456" s="90" t="s">
        <v>673</v>
      </c>
      <c r="B456" s="91" t="str">
        <f>IFERROR(VLOOKUP(A456,'Salary Calculation'!A456:F1453,2,0),"")</f>
        <v/>
      </c>
      <c r="C456" s="91" t="str">
        <f>IFERROR(VLOOKUP(A456,'Salary Calculation'!$A$2:$T$999,3,0),"")</f>
        <v/>
      </c>
      <c r="D456" s="91" t="str">
        <f>IFERROR(VLOOKUP(A456,'Salary Calculation'!$A$2:$T$999,6,0),"")</f>
        <v/>
      </c>
      <c r="E456" s="91" t="str">
        <f>IFERROR(VLOOKUP(A456,'Salary Calculation'!$A$2:$T$999,8,0),"")</f>
        <v/>
      </c>
      <c r="F456" s="92" t="str">
        <f>IFERROR(VLOOKUP(C456,'Employees List'!$B$2:H999,6,0),"")</f>
        <v/>
      </c>
      <c r="G456" s="93" t="str">
        <f>IFERROR(VLOOKUP(A456,'Salary Calculation'!$A$2:$T$999,7,0),"")</f>
        <v/>
      </c>
      <c r="H456" s="94"/>
      <c r="I456" s="46"/>
      <c r="J456" s="46"/>
      <c r="K456" s="46"/>
      <c r="L456" s="46"/>
      <c r="M456" s="46"/>
      <c r="N456" s="46"/>
      <c r="O456" s="46"/>
      <c r="P456" s="46"/>
      <c r="Q456" s="46"/>
      <c r="R456" s="46"/>
      <c r="S456" s="46"/>
      <c r="T456" s="46"/>
      <c r="U456" s="46"/>
      <c r="V456" s="46"/>
      <c r="W456" s="46"/>
      <c r="X456" s="46"/>
      <c r="Y456" s="46"/>
      <c r="Z456" s="46"/>
      <c r="AA456" s="46"/>
      <c r="AB456" s="46"/>
    </row>
    <row r="457" hidden="1">
      <c r="A457" s="90" t="s">
        <v>674</v>
      </c>
      <c r="B457" s="91" t="str">
        <f>IFERROR(VLOOKUP(A457,'Salary Calculation'!A457:F1454,2,0),"")</f>
        <v/>
      </c>
      <c r="C457" s="91" t="str">
        <f>IFERROR(VLOOKUP(A457,'Salary Calculation'!$A$2:$T$999,3,0),"")</f>
        <v/>
      </c>
      <c r="D457" s="91" t="str">
        <f>IFERROR(VLOOKUP(A457,'Salary Calculation'!$A$2:$T$999,6,0),"")</f>
        <v/>
      </c>
      <c r="E457" s="91" t="str">
        <f>IFERROR(VLOOKUP(A457,'Salary Calculation'!$A$2:$T$999,8,0),"")</f>
        <v/>
      </c>
      <c r="F457" s="92" t="str">
        <f>IFERROR(VLOOKUP(C457,'Employees List'!$B$2:H999,6,0),"")</f>
        <v/>
      </c>
      <c r="G457" s="93" t="str">
        <f>IFERROR(VLOOKUP(A457,'Salary Calculation'!$A$2:$T$999,7,0),"")</f>
        <v/>
      </c>
      <c r="H457" s="94"/>
      <c r="I457" s="46"/>
      <c r="J457" s="46"/>
      <c r="K457" s="46"/>
      <c r="L457" s="46"/>
      <c r="M457" s="46"/>
      <c r="N457" s="46"/>
      <c r="O457" s="46"/>
      <c r="P457" s="46"/>
      <c r="Q457" s="46"/>
      <c r="R457" s="46"/>
      <c r="S457" s="46"/>
      <c r="T457" s="46"/>
      <c r="U457" s="46"/>
      <c r="V457" s="46"/>
      <c r="W457" s="46"/>
      <c r="X457" s="46"/>
      <c r="Y457" s="46"/>
      <c r="Z457" s="46"/>
      <c r="AA457" s="46"/>
      <c r="AB457" s="46"/>
    </row>
    <row r="458" hidden="1">
      <c r="A458" s="90" t="s">
        <v>675</v>
      </c>
      <c r="B458" s="91" t="str">
        <f>IFERROR(VLOOKUP(A458,'Salary Calculation'!A458:F1455,2,0),"")</f>
        <v/>
      </c>
      <c r="C458" s="91" t="str">
        <f>IFERROR(VLOOKUP(A458,'Salary Calculation'!$A$2:$T$999,3,0),"")</f>
        <v/>
      </c>
      <c r="D458" s="91" t="str">
        <f>IFERROR(VLOOKUP(A458,'Salary Calculation'!$A$2:$T$999,6,0),"")</f>
        <v/>
      </c>
      <c r="E458" s="91" t="str">
        <f>IFERROR(VLOOKUP(A458,'Salary Calculation'!$A$2:$T$999,8,0),"")</f>
        <v/>
      </c>
      <c r="F458" s="92" t="str">
        <f>IFERROR(VLOOKUP(C458,'Employees List'!$B$2:H999,6,0),"")</f>
        <v/>
      </c>
      <c r="G458" s="93" t="str">
        <f>IFERROR(VLOOKUP(A458,'Salary Calculation'!$A$2:$T$999,7,0),"")</f>
        <v/>
      </c>
      <c r="H458" s="94"/>
      <c r="I458" s="46"/>
      <c r="J458" s="46"/>
      <c r="K458" s="46"/>
      <c r="L458" s="46"/>
      <c r="M458" s="46"/>
      <c r="N458" s="46"/>
      <c r="O458" s="46"/>
      <c r="P458" s="46"/>
      <c r="Q458" s="46"/>
      <c r="R458" s="46"/>
      <c r="S458" s="46"/>
      <c r="T458" s="46"/>
      <c r="U458" s="46"/>
      <c r="V458" s="46"/>
      <c r="W458" s="46"/>
      <c r="X458" s="46"/>
      <c r="Y458" s="46"/>
      <c r="Z458" s="46"/>
      <c r="AA458" s="46"/>
      <c r="AB458" s="46"/>
    </row>
    <row r="459" hidden="1">
      <c r="A459" s="90" t="s">
        <v>676</v>
      </c>
      <c r="B459" s="91" t="str">
        <f>IFERROR(VLOOKUP(A459,'Salary Calculation'!A459:F1456,2,0),"")</f>
        <v/>
      </c>
      <c r="C459" s="91" t="str">
        <f>IFERROR(VLOOKUP(A459,'Salary Calculation'!$A$2:$T$999,3,0),"")</f>
        <v/>
      </c>
      <c r="D459" s="91" t="str">
        <f>IFERROR(VLOOKUP(A459,'Salary Calculation'!$A$2:$T$999,6,0),"")</f>
        <v/>
      </c>
      <c r="E459" s="91" t="str">
        <f>IFERROR(VLOOKUP(A459,'Salary Calculation'!$A$2:$T$999,8,0),"")</f>
        <v/>
      </c>
      <c r="F459" s="92" t="str">
        <f>IFERROR(VLOOKUP(C459,'Employees List'!$B$2:H999,6,0),"")</f>
        <v/>
      </c>
      <c r="G459" s="93" t="str">
        <f>IFERROR(VLOOKUP(A459,'Salary Calculation'!$A$2:$T$999,7,0),"")</f>
        <v/>
      </c>
      <c r="H459" s="94"/>
      <c r="I459" s="46"/>
      <c r="J459" s="46"/>
      <c r="K459" s="46"/>
      <c r="L459" s="46"/>
      <c r="M459" s="46"/>
      <c r="N459" s="46"/>
      <c r="O459" s="46"/>
      <c r="P459" s="46"/>
      <c r="Q459" s="46"/>
      <c r="R459" s="46"/>
      <c r="S459" s="46"/>
      <c r="T459" s="46"/>
      <c r="U459" s="46"/>
      <c r="V459" s="46"/>
      <c r="W459" s="46"/>
      <c r="X459" s="46"/>
      <c r="Y459" s="46"/>
      <c r="Z459" s="46"/>
      <c r="AA459" s="46"/>
      <c r="AB459" s="46"/>
    </row>
    <row r="460" hidden="1">
      <c r="A460" s="90" t="s">
        <v>677</v>
      </c>
      <c r="B460" s="91" t="str">
        <f>IFERROR(VLOOKUP(A460,'Salary Calculation'!A460:F1457,2,0),"")</f>
        <v/>
      </c>
      <c r="C460" s="91" t="str">
        <f>IFERROR(VLOOKUP(A460,'Salary Calculation'!$A$2:$T$999,3,0),"")</f>
        <v/>
      </c>
      <c r="D460" s="91" t="str">
        <f>IFERROR(VLOOKUP(A460,'Salary Calculation'!$A$2:$T$999,6,0),"")</f>
        <v/>
      </c>
      <c r="E460" s="91" t="str">
        <f>IFERROR(VLOOKUP(A460,'Salary Calculation'!$A$2:$T$999,8,0),"")</f>
        <v/>
      </c>
      <c r="F460" s="92" t="str">
        <f>IFERROR(VLOOKUP(C460,'Employees List'!$B$2:H999,6,0),"")</f>
        <v/>
      </c>
      <c r="G460" s="93" t="str">
        <f>IFERROR(VLOOKUP(A460,'Salary Calculation'!$A$2:$T$999,7,0),"")</f>
        <v/>
      </c>
      <c r="H460" s="94"/>
      <c r="I460" s="46"/>
      <c r="J460" s="46"/>
      <c r="K460" s="46"/>
      <c r="L460" s="46"/>
      <c r="M460" s="46"/>
      <c r="N460" s="46"/>
      <c r="O460" s="46"/>
      <c r="P460" s="46"/>
      <c r="Q460" s="46"/>
      <c r="R460" s="46"/>
      <c r="S460" s="46"/>
      <c r="T460" s="46"/>
      <c r="U460" s="46"/>
      <c r="V460" s="46"/>
      <c r="W460" s="46"/>
      <c r="X460" s="46"/>
      <c r="Y460" s="46"/>
      <c r="Z460" s="46"/>
      <c r="AA460" s="46"/>
      <c r="AB460" s="46"/>
    </row>
    <row r="461" hidden="1">
      <c r="A461" s="90" t="s">
        <v>678</v>
      </c>
      <c r="B461" s="91" t="str">
        <f>IFERROR(VLOOKUP(A461,'Salary Calculation'!A461:F1458,2,0),"")</f>
        <v/>
      </c>
      <c r="C461" s="91" t="str">
        <f>IFERROR(VLOOKUP(A461,'Salary Calculation'!$A$2:$T$999,3,0),"")</f>
        <v/>
      </c>
      <c r="D461" s="91" t="str">
        <f>IFERROR(VLOOKUP(A461,'Salary Calculation'!$A$2:$T$999,6,0),"")</f>
        <v/>
      </c>
      <c r="E461" s="91" t="str">
        <f>IFERROR(VLOOKUP(A461,'Salary Calculation'!$A$2:$T$999,8,0),"")</f>
        <v/>
      </c>
      <c r="F461" s="92" t="str">
        <f>IFERROR(VLOOKUP(C461,'Employees List'!$B$2:H999,6,0),"")</f>
        <v/>
      </c>
      <c r="G461" s="93" t="str">
        <f>IFERROR(VLOOKUP(A461,'Salary Calculation'!$A$2:$T$999,7,0),"")</f>
        <v/>
      </c>
      <c r="H461" s="94"/>
      <c r="I461" s="46"/>
      <c r="J461" s="46"/>
      <c r="K461" s="46"/>
      <c r="L461" s="46"/>
      <c r="M461" s="46"/>
      <c r="N461" s="46"/>
      <c r="O461" s="46"/>
      <c r="P461" s="46"/>
      <c r="Q461" s="46"/>
      <c r="R461" s="46"/>
      <c r="S461" s="46"/>
      <c r="T461" s="46"/>
      <c r="U461" s="46"/>
      <c r="V461" s="46"/>
      <c r="W461" s="46"/>
      <c r="X461" s="46"/>
      <c r="Y461" s="46"/>
      <c r="Z461" s="46"/>
      <c r="AA461" s="46"/>
      <c r="AB461" s="46"/>
    </row>
    <row r="462" hidden="1">
      <c r="A462" s="90" t="s">
        <v>679</v>
      </c>
      <c r="B462" s="91" t="str">
        <f>IFERROR(VLOOKUP(A462,'Salary Calculation'!A462:F1459,2,0),"")</f>
        <v/>
      </c>
      <c r="C462" s="91" t="str">
        <f>IFERROR(VLOOKUP(A462,'Salary Calculation'!$A$2:$T$999,3,0),"")</f>
        <v/>
      </c>
      <c r="D462" s="91" t="str">
        <f>IFERROR(VLOOKUP(A462,'Salary Calculation'!$A$2:$T$999,6,0),"")</f>
        <v/>
      </c>
      <c r="E462" s="91" t="str">
        <f>IFERROR(VLOOKUP(A462,'Salary Calculation'!$A$2:$T$999,8,0),"")</f>
        <v/>
      </c>
      <c r="F462" s="92" t="str">
        <f>IFERROR(VLOOKUP(C462,'Employees List'!$B$2:H999,6,0),"")</f>
        <v/>
      </c>
      <c r="G462" s="93" t="str">
        <f>IFERROR(VLOOKUP(A462,'Salary Calculation'!$A$2:$T$999,7,0),"")</f>
        <v/>
      </c>
      <c r="H462" s="94"/>
      <c r="I462" s="46"/>
      <c r="J462" s="46"/>
      <c r="K462" s="46"/>
      <c r="L462" s="46"/>
      <c r="M462" s="46"/>
      <c r="N462" s="46"/>
      <c r="O462" s="46"/>
      <c r="P462" s="46"/>
      <c r="Q462" s="46"/>
      <c r="R462" s="46"/>
      <c r="S462" s="46"/>
      <c r="T462" s="46"/>
      <c r="U462" s="46"/>
      <c r="V462" s="46"/>
      <c r="W462" s="46"/>
      <c r="X462" s="46"/>
      <c r="Y462" s="46"/>
      <c r="Z462" s="46"/>
      <c r="AA462" s="46"/>
      <c r="AB462" s="46"/>
    </row>
    <row r="463" hidden="1">
      <c r="A463" s="90" t="s">
        <v>680</v>
      </c>
      <c r="B463" s="91" t="str">
        <f>IFERROR(VLOOKUP(A463,'Salary Calculation'!A463:F1460,2,0),"")</f>
        <v/>
      </c>
      <c r="C463" s="91" t="str">
        <f>IFERROR(VLOOKUP(A463,'Salary Calculation'!$A$2:$T$999,3,0),"")</f>
        <v/>
      </c>
      <c r="D463" s="91" t="str">
        <f>IFERROR(VLOOKUP(A463,'Salary Calculation'!$A$2:$T$999,6,0),"")</f>
        <v/>
      </c>
      <c r="E463" s="91" t="str">
        <f>IFERROR(VLOOKUP(A463,'Salary Calculation'!$A$2:$T$999,8,0),"")</f>
        <v/>
      </c>
      <c r="F463" s="92" t="str">
        <f>IFERROR(VLOOKUP(C463,'Employees List'!$B$2:H999,6,0),"")</f>
        <v/>
      </c>
      <c r="G463" s="93" t="str">
        <f>IFERROR(VLOOKUP(A463,'Salary Calculation'!$A$2:$T$999,7,0),"")</f>
        <v/>
      </c>
      <c r="H463" s="94"/>
      <c r="I463" s="46"/>
      <c r="J463" s="46"/>
      <c r="K463" s="46"/>
      <c r="L463" s="46"/>
      <c r="M463" s="46"/>
      <c r="N463" s="46"/>
      <c r="O463" s="46"/>
      <c r="P463" s="46"/>
      <c r="Q463" s="46"/>
      <c r="R463" s="46"/>
      <c r="S463" s="46"/>
      <c r="T463" s="46"/>
      <c r="U463" s="46"/>
      <c r="V463" s="46"/>
      <c r="W463" s="46"/>
      <c r="X463" s="46"/>
      <c r="Y463" s="46"/>
      <c r="Z463" s="46"/>
      <c r="AA463" s="46"/>
      <c r="AB463" s="46"/>
    </row>
    <row r="464" hidden="1">
      <c r="A464" s="90" t="s">
        <v>681</v>
      </c>
      <c r="B464" s="91" t="str">
        <f>IFERROR(VLOOKUP(A464,'Salary Calculation'!A464:F1461,2,0),"")</f>
        <v/>
      </c>
      <c r="C464" s="91" t="str">
        <f>IFERROR(VLOOKUP(A464,'Salary Calculation'!$A$2:$T$999,3,0),"")</f>
        <v/>
      </c>
      <c r="D464" s="91" t="str">
        <f>IFERROR(VLOOKUP(A464,'Salary Calculation'!$A$2:$T$999,6,0),"")</f>
        <v/>
      </c>
      <c r="E464" s="91" t="str">
        <f>IFERROR(VLOOKUP(A464,'Salary Calculation'!$A$2:$T$999,8,0),"")</f>
        <v/>
      </c>
      <c r="F464" s="92" t="str">
        <f>IFERROR(VLOOKUP(C464,'Employees List'!$B$2:H999,6,0),"")</f>
        <v/>
      </c>
      <c r="G464" s="93" t="str">
        <f>IFERROR(VLOOKUP(A464,'Salary Calculation'!$A$2:$T$999,7,0),"")</f>
        <v/>
      </c>
      <c r="H464" s="94"/>
      <c r="I464" s="46"/>
      <c r="J464" s="46"/>
      <c r="K464" s="46"/>
      <c r="L464" s="46"/>
      <c r="M464" s="46"/>
      <c r="N464" s="46"/>
      <c r="O464" s="46"/>
      <c r="P464" s="46"/>
      <c r="Q464" s="46"/>
      <c r="R464" s="46"/>
      <c r="S464" s="46"/>
      <c r="T464" s="46"/>
      <c r="U464" s="46"/>
      <c r="V464" s="46"/>
      <c r="W464" s="46"/>
      <c r="X464" s="46"/>
      <c r="Y464" s="46"/>
      <c r="Z464" s="46"/>
      <c r="AA464" s="46"/>
      <c r="AB464" s="46"/>
    </row>
    <row r="465" hidden="1">
      <c r="A465" s="90" t="s">
        <v>682</v>
      </c>
      <c r="B465" s="91" t="str">
        <f>IFERROR(VLOOKUP(A465,'Salary Calculation'!A465:F1462,2,0),"")</f>
        <v/>
      </c>
      <c r="C465" s="91" t="str">
        <f>IFERROR(VLOOKUP(A465,'Salary Calculation'!$A$2:$T$999,3,0),"")</f>
        <v/>
      </c>
      <c r="D465" s="91" t="str">
        <f>IFERROR(VLOOKUP(A465,'Salary Calculation'!$A$2:$T$999,6,0),"")</f>
        <v/>
      </c>
      <c r="E465" s="91" t="str">
        <f>IFERROR(VLOOKUP(A465,'Salary Calculation'!$A$2:$T$999,8,0),"")</f>
        <v/>
      </c>
      <c r="F465" s="92" t="str">
        <f>IFERROR(VLOOKUP(C465,'Employees List'!$B$2:H999,6,0),"")</f>
        <v/>
      </c>
      <c r="G465" s="93" t="str">
        <f>IFERROR(VLOOKUP(A465,'Salary Calculation'!$A$2:$T$999,7,0),"")</f>
        <v/>
      </c>
      <c r="H465" s="94"/>
      <c r="I465" s="46"/>
      <c r="J465" s="46"/>
      <c r="K465" s="46"/>
      <c r="L465" s="46"/>
      <c r="M465" s="46"/>
      <c r="N465" s="46"/>
      <c r="O465" s="46"/>
      <c r="P465" s="46"/>
      <c r="Q465" s="46"/>
      <c r="R465" s="46"/>
      <c r="S465" s="46"/>
      <c r="T465" s="46"/>
      <c r="U465" s="46"/>
      <c r="V465" s="46"/>
      <c r="W465" s="46"/>
      <c r="X465" s="46"/>
      <c r="Y465" s="46"/>
      <c r="Z465" s="46"/>
      <c r="AA465" s="46"/>
      <c r="AB465" s="46"/>
    </row>
    <row r="466" hidden="1">
      <c r="A466" s="90" t="s">
        <v>683</v>
      </c>
      <c r="B466" s="91" t="str">
        <f>IFERROR(VLOOKUP(A466,'Salary Calculation'!A466:F1463,2,0),"")</f>
        <v/>
      </c>
      <c r="C466" s="91" t="str">
        <f>IFERROR(VLOOKUP(A466,'Salary Calculation'!$A$2:$T$999,3,0),"")</f>
        <v/>
      </c>
      <c r="D466" s="91" t="str">
        <f>IFERROR(VLOOKUP(A466,'Salary Calculation'!$A$2:$T$999,6,0),"")</f>
        <v/>
      </c>
      <c r="E466" s="91" t="str">
        <f>IFERROR(VLOOKUP(A466,'Salary Calculation'!$A$2:$T$999,8,0),"")</f>
        <v/>
      </c>
      <c r="F466" s="92" t="str">
        <f>IFERROR(VLOOKUP(C466,'Employees List'!$B$2:H999,6,0),"")</f>
        <v/>
      </c>
      <c r="G466" s="93" t="str">
        <f>IFERROR(VLOOKUP(A466,'Salary Calculation'!$A$2:$T$999,7,0),"")</f>
        <v/>
      </c>
      <c r="H466" s="94"/>
      <c r="I466" s="46"/>
      <c r="J466" s="46"/>
      <c r="K466" s="46"/>
      <c r="L466" s="46"/>
      <c r="M466" s="46"/>
      <c r="N466" s="46"/>
      <c r="O466" s="46"/>
      <c r="P466" s="46"/>
      <c r="Q466" s="46"/>
      <c r="R466" s="46"/>
      <c r="S466" s="46"/>
      <c r="T466" s="46"/>
      <c r="U466" s="46"/>
      <c r="V466" s="46"/>
      <c r="W466" s="46"/>
      <c r="X466" s="46"/>
      <c r="Y466" s="46"/>
      <c r="Z466" s="46"/>
      <c r="AA466" s="46"/>
      <c r="AB466" s="46"/>
    </row>
    <row r="467" hidden="1">
      <c r="A467" s="90" t="s">
        <v>684</v>
      </c>
      <c r="B467" s="91" t="str">
        <f>IFERROR(VLOOKUP(A467,'Salary Calculation'!A467:F1464,2,0),"")</f>
        <v/>
      </c>
      <c r="C467" s="91" t="str">
        <f>IFERROR(VLOOKUP(A467,'Salary Calculation'!$A$2:$T$999,3,0),"")</f>
        <v/>
      </c>
      <c r="D467" s="91" t="str">
        <f>IFERROR(VLOOKUP(A467,'Salary Calculation'!$A$2:$T$999,6,0),"")</f>
        <v/>
      </c>
      <c r="E467" s="91" t="str">
        <f>IFERROR(VLOOKUP(A467,'Salary Calculation'!$A$2:$T$999,8,0),"")</f>
        <v/>
      </c>
      <c r="F467" s="92" t="str">
        <f>IFERROR(VLOOKUP(C467,'Employees List'!$B$2:H999,6,0),"")</f>
        <v/>
      </c>
      <c r="G467" s="93" t="str">
        <f>IFERROR(VLOOKUP(A467,'Salary Calculation'!$A$2:$T$999,7,0),"")</f>
        <v/>
      </c>
      <c r="H467" s="94"/>
      <c r="I467" s="46"/>
      <c r="J467" s="46"/>
      <c r="K467" s="46"/>
      <c r="L467" s="46"/>
      <c r="M467" s="46"/>
      <c r="N467" s="46"/>
      <c r="O467" s="46"/>
      <c r="P467" s="46"/>
      <c r="Q467" s="46"/>
      <c r="R467" s="46"/>
      <c r="S467" s="46"/>
      <c r="T467" s="46"/>
      <c r="U467" s="46"/>
      <c r="V467" s="46"/>
      <c r="W467" s="46"/>
      <c r="X467" s="46"/>
      <c r="Y467" s="46"/>
      <c r="Z467" s="46"/>
      <c r="AA467" s="46"/>
      <c r="AB467" s="46"/>
    </row>
    <row r="468" hidden="1">
      <c r="A468" s="90" t="s">
        <v>685</v>
      </c>
      <c r="B468" s="91" t="str">
        <f>IFERROR(VLOOKUP(A468,'Salary Calculation'!A468:F1465,2,0),"")</f>
        <v/>
      </c>
      <c r="C468" s="91" t="str">
        <f>IFERROR(VLOOKUP(A468,'Salary Calculation'!$A$2:$T$999,3,0),"")</f>
        <v/>
      </c>
      <c r="D468" s="91" t="str">
        <f>IFERROR(VLOOKUP(A468,'Salary Calculation'!$A$2:$T$999,6,0),"")</f>
        <v/>
      </c>
      <c r="E468" s="91" t="str">
        <f>IFERROR(VLOOKUP(A468,'Salary Calculation'!$A$2:$T$999,8,0),"")</f>
        <v/>
      </c>
      <c r="F468" s="92" t="str">
        <f>IFERROR(VLOOKUP(C468,'Employees List'!$B$2:H999,6,0),"")</f>
        <v/>
      </c>
      <c r="G468" s="93" t="str">
        <f>IFERROR(VLOOKUP(A468,'Salary Calculation'!$A$2:$T$999,7,0),"")</f>
        <v/>
      </c>
      <c r="H468" s="94"/>
      <c r="I468" s="46"/>
      <c r="J468" s="46"/>
      <c r="K468" s="46"/>
      <c r="L468" s="46"/>
      <c r="M468" s="46"/>
      <c r="N468" s="46"/>
      <c r="O468" s="46"/>
      <c r="P468" s="46"/>
      <c r="Q468" s="46"/>
      <c r="R468" s="46"/>
      <c r="S468" s="46"/>
      <c r="T468" s="46"/>
      <c r="U468" s="46"/>
      <c r="V468" s="46"/>
      <c r="W468" s="46"/>
      <c r="X468" s="46"/>
      <c r="Y468" s="46"/>
      <c r="Z468" s="46"/>
      <c r="AA468" s="46"/>
      <c r="AB468" s="46"/>
    </row>
    <row r="469" hidden="1">
      <c r="A469" s="90" t="s">
        <v>686</v>
      </c>
      <c r="B469" s="91" t="str">
        <f>IFERROR(VLOOKUP(A469,'Salary Calculation'!A469:F1466,2,0),"")</f>
        <v/>
      </c>
      <c r="C469" s="91" t="str">
        <f>IFERROR(VLOOKUP(A469,'Salary Calculation'!$A$2:$T$999,3,0),"")</f>
        <v/>
      </c>
      <c r="D469" s="91" t="str">
        <f>IFERROR(VLOOKUP(A469,'Salary Calculation'!$A$2:$T$999,6,0),"")</f>
        <v/>
      </c>
      <c r="E469" s="91" t="str">
        <f>IFERROR(VLOOKUP(A469,'Salary Calculation'!$A$2:$T$999,8,0),"")</f>
        <v/>
      </c>
      <c r="F469" s="92" t="str">
        <f>IFERROR(VLOOKUP(C469,'Employees List'!$B$2:H999,6,0),"")</f>
        <v/>
      </c>
      <c r="G469" s="93" t="str">
        <f>IFERROR(VLOOKUP(A469,'Salary Calculation'!$A$2:$T$999,7,0),"")</f>
        <v/>
      </c>
      <c r="H469" s="94"/>
      <c r="I469" s="46"/>
      <c r="J469" s="46"/>
      <c r="K469" s="46"/>
      <c r="L469" s="46"/>
      <c r="M469" s="46"/>
      <c r="N469" s="46"/>
      <c r="O469" s="46"/>
      <c r="P469" s="46"/>
      <c r="Q469" s="46"/>
      <c r="R469" s="46"/>
      <c r="S469" s="46"/>
      <c r="T469" s="46"/>
      <c r="U469" s="46"/>
      <c r="V469" s="46"/>
      <c r="W469" s="46"/>
      <c r="X469" s="46"/>
      <c r="Y469" s="46"/>
      <c r="Z469" s="46"/>
      <c r="AA469" s="46"/>
      <c r="AB469" s="46"/>
    </row>
    <row r="470" hidden="1">
      <c r="A470" s="90" t="s">
        <v>687</v>
      </c>
      <c r="B470" s="91" t="str">
        <f>IFERROR(VLOOKUP(A470,'Salary Calculation'!A470:F1467,2,0),"")</f>
        <v/>
      </c>
      <c r="C470" s="91" t="str">
        <f>IFERROR(VLOOKUP(A470,'Salary Calculation'!$A$2:$T$999,3,0),"")</f>
        <v/>
      </c>
      <c r="D470" s="91" t="str">
        <f>IFERROR(VLOOKUP(A470,'Salary Calculation'!$A$2:$T$999,6,0),"")</f>
        <v/>
      </c>
      <c r="E470" s="91" t="str">
        <f>IFERROR(VLOOKUP(A470,'Salary Calculation'!$A$2:$T$999,8,0),"")</f>
        <v/>
      </c>
      <c r="F470" s="92" t="str">
        <f>IFERROR(VLOOKUP(C470,'Employees List'!$B$2:H999,6,0),"")</f>
        <v/>
      </c>
      <c r="G470" s="93" t="str">
        <f>IFERROR(VLOOKUP(A470,'Salary Calculation'!$A$2:$T$999,7,0),"")</f>
        <v/>
      </c>
      <c r="H470" s="94"/>
      <c r="I470" s="46"/>
      <c r="J470" s="46"/>
      <c r="K470" s="46"/>
      <c r="L470" s="46"/>
      <c r="M470" s="46"/>
      <c r="N470" s="46"/>
      <c r="O470" s="46"/>
      <c r="P470" s="46"/>
      <c r="Q470" s="46"/>
      <c r="R470" s="46"/>
      <c r="S470" s="46"/>
      <c r="T470" s="46"/>
      <c r="U470" s="46"/>
      <c r="V470" s="46"/>
      <c r="W470" s="46"/>
      <c r="X470" s="46"/>
      <c r="Y470" s="46"/>
      <c r="Z470" s="46"/>
      <c r="AA470" s="46"/>
      <c r="AB470" s="46"/>
    </row>
    <row r="471" hidden="1">
      <c r="A471" s="90" t="s">
        <v>688</v>
      </c>
      <c r="B471" s="91" t="str">
        <f>IFERROR(VLOOKUP(A471,'Salary Calculation'!A471:F1468,2,0),"")</f>
        <v/>
      </c>
      <c r="C471" s="91" t="str">
        <f>IFERROR(VLOOKUP(A471,'Salary Calculation'!$A$2:$T$999,3,0),"")</f>
        <v/>
      </c>
      <c r="D471" s="91" t="str">
        <f>IFERROR(VLOOKUP(A471,'Salary Calculation'!$A$2:$T$999,6,0),"")</f>
        <v/>
      </c>
      <c r="E471" s="91" t="str">
        <f>IFERROR(VLOOKUP(A471,'Salary Calculation'!$A$2:$T$999,8,0),"")</f>
        <v/>
      </c>
      <c r="F471" s="92" t="str">
        <f>IFERROR(VLOOKUP(C471,'Employees List'!$B$2:H999,6,0),"")</f>
        <v/>
      </c>
      <c r="G471" s="93" t="str">
        <f>IFERROR(VLOOKUP(A471,'Salary Calculation'!$A$2:$T$999,7,0),"")</f>
        <v/>
      </c>
      <c r="H471" s="94"/>
      <c r="I471" s="46"/>
      <c r="J471" s="46"/>
      <c r="K471" s="46"/>
      <c r="L471" s="46"/>
      <c r="M471" s="46"/>
      <c r="N471" s="46"/>
      <c r="O471" s="46"/>
      <c r="P471" s="46"/>
      <c r="Q471" s="46"/>
      <c r="R471" s="46"/>
      <c r="S471" s="46"/>
      <c r="T471" s="46"/>
      <c r="U471" s="46"/>
      <c r="V471" s="46"/>
      <c r="W471" s="46"/>
      <c r="X471" s="46"/>
      <c r="Y471" s="46"/>
      <c r="Z471" s="46"/>
      <c r="AA471" s="46"/>
      <c r="AB471" s="46"/>
    </row>
    <row r="472" hidden="1">
      <c r="A472" s="90" t="s">
        <v>689</v>
      </c>
      <c r="B472" s="91" t="str">
        <f>IFERROR(VLOOKUP(A472,'Salary Calculation'!A472:F1469,2,0),"")</f>
        <v/>
      </c>
      <c r="C472" s="91" t="str">
        <f>IFERROR(VLOOKUP(A472,'Salary Calculation'!$A$2:$T$999,3,0),"")</f>
        <v/>
      </c>
      <c r="D472" s="91" t="str">
        <f>IFERROR(VLOOKUP(A472,'Salary Calculation'!$A$2:$T$999,6,0),"")</f>
        <v/>
      </c>
      <c r="E472" s="91" t="str">
        <f>IFERROR(VLOOKUP(A472,'Salary Calculation'!$A$2:$T$999,8,0),"")</f>
        <v/>
      </c>
      <c r="F472" s="92" t="str">
        <f>IFERROR(VLOOKUP(C472,'Employees List'!$B$2:H999,6,0),"")</f>
        <v/>
      </c>
      <c r="G472" s="93" t="str">
        <f>IFERROR(VLOOKUP(A472,'Salary Calculation'!$A$2:$T$999,7,0),"")</f>
        <v/>
      </c>
      <c r="H472" s="94"/>
      <c r="I472" s="46"/>
      <c r="J472" s="46"/>
      <c r="K472" s="46"/>
      <c r="L472" s="46"/>
      <c r="M472" s="46"/>
      <c r="N472" s="46"/>
      <c r="O472" s="46"/>
      <c r="P472" s="46"/>
      <c r="Q472" s="46"/>
      <c r="R472" s="46"/>
      <c r="S472" s="46"/>
      <c r="T472" s="46"/>
      <c r="U472" s="46"/>
      <c r="V472" s="46"/>
      <c r="W472" s="46"/>
      <c r="X472" s="46"/>
      <c r="Y472" s="46"/>
      <c r="Z472" s="46"/>
      <c r="AA472" s="46"/>
      <c r="AB472" s="46"/>
    </row>
    <row r="473" hidden="1">
      <c r="A473" s="90" t="s">
        <v>690</v>
      </c>
      <c r="B473" s="91" t="str">
        <f>IFERROR(VLOOKUP(A473,'Salary Calculation'!A473:F1470,2,0),"")</f>
        <v/>
      </c>
      <c r="C473" s="91" t="str">
        <f>IFERROR(VLOOKUP(A473,'Salary Calculation'!$A$2:$T$999,3,0),"")</f>
        <v/>
      </c>
      <c r="D473" s="91" t="str">
        <f>IFERROR(VLOOKUP(A473,'Salary Calculation'!$A$2:$T$999,6,0),"")</f>
        <v/>
      </c>
      <c r="E473" s="91" t="str">
        <f>IFERROR(VLOOKUP(A473,'Salary Calculation'!$A$2:$T$999,8,0),"")</f>
        <v/>
      </c>
      <c r="F473" s="92" t="str">
        <f>IFERROR(VLOOKUP(C473,'Employees List'!$B$2:H999,6,0),"")</f>
        <v/>
      </c>
      <c r="G473" s="93" t="str">
        <f>IFERROR(VLOOKUP(A473,'Salary Calculation'!$A$2:$T$999,7,0),"")</f>
        <v/>
      </c>
      <c r="H473" s="94"/>
      <c r="I473" s="46"/>
      <c r="J473" s="46"/>
      <c r="K473" s="46"/>
      <c r="L473" s="46"/>
      <c r="M473" s="46"/>
      <c r="N473" s="46"/>
      <c r="O473" s="46"/>
      <c r="P473" s="46"/>
      <c r="Q473" s="46"/>
      <c r="R473" s="46"/>
      <c r="S473" s="46"/>
      <c r="T473" s="46"/>
      <c r="U473" s="46"/>
      <c r="V473" s="46"/>
      <c r="W473" s="46"/>
      <c r="X473" s="46"/>
      <c r="Y473" s="46"/>
      <c r="Z473" s="46"/>
      <c r="AA473" s="46"/>
      <c r="AB473" s="46"/>
    </row>
    <row r="474" hidden="1">
      <c r="A474" s="90" t="s">
        <v>691</v>
      </c>
      <c r="B474" s="91" t="str">
        <f>IFERROR(VLOOKUP(A474,'Salary Calculation'!A474:F1471,2,0),"")</f>
        <v/>
      </c>
      <c r="C474" s="91" t="str">
        <f>IFERROR(VLOOKUP(A474,'Salary Calculation'!$A$2:$T$999,3,0),"")</f>
        <v/>
      </c>
      <c r="D474" s="91" t="str">
        <f>IFERROR(VLOOKUP(A474,'Salary Calculation'!$A$2:$T$999,6,0),"")</f>
        <v/>
      </c>
      <c r="E474" s="91" t="str">
        <f>IFERROR(VLOOKUP(A474,'Salary Calculation'!$A$2:$T$999,8,0),"")</f>
        <v/>
      </c>
      <c r="F474" s="92" t="str">
        <f>IFERROR(VLOOKUP(C474,'Employees List'!$B$2:H999,6,0),"")</f>
        <v/>
      </c>
      <c r="G474" s="93" t="str">
        <f>IFERROR(VLOOKUP(A474,'Salary Calculation'!$A$2:$T$999,7,0),"")</f>
        <v/>
      </c>
      <c r="H474" s="94"/>
      <c r="I474" s="46"/>
      <c r="J474" s="46"/>
      <c r="K474" s="46"/>
      <c r="L474" s="46"/>
      <c r="M474" s="46"/>
      <c r="N474" s="46"/>
      <c r="O474" s="46"/>
      <c r="P474" s="46"/>
      <c r="Q474" s="46"/>
      <c r="R474" s="46"/>
      <c r="S474" s="46"/>
      <c r="T474" s="46"/>
      <c r="U474" s="46"/>
      <c r="V474" s="46"/>
      <c r="W474" s="46"/>
      <c r="X474" s="46"/>
      <c r="Y474" s="46"/>
      <c r="Z474" s="46"/>
      <c r="AA474" s="46"/>
      <c r="AB474" s="46"/>
    </row>
    <row r="475" hidden="1">
      <c r="A475" s="90" t="s">
        <v>692</v>
      </c>
      <c r="B475" s="91" t="str">
        <f>IFERROR(VLOOKUP(A475,'Salary Calculation'!A475:F1472,2,0),"")</f>
        <v/>
      </c>
      <c r="C475" s="91" t="str">
        <f>IFERROR(VLOOKUP(A475,'Salary Calculation'!$A$2:$T$999,3,0),"")</f>
        <v/>
      </c>
      <c r="D475" s="91" t="str">
        <f>IFERROR(VLOOKUP(A475,'Salary Calculation'!$A$2:$T$999,6,0),"")</f>
        <v/>
      </c>
      <c r="E475" s="91" t="str">
        <f>IFERROR(VLOOKUP(A475,'Salary Calculation'!$A$2:$T$999,8,0),"")</f>
        <v/>
      </c>
      <c r="F475" s="92" t="str">
        <f>IFERROR(VLOOKUP(C475,'Employees List'!$B$2:H999,6,0),"")</f>
        <v/>
      </c>
      <c r="G475" s="93" t="str">
        <f>IFERROR(VLOOKUP(A475,'Salary Calculation'!$A$2:$T$999,7,0),"")</f>
        <v/>
      </c>
      <c r="H475" s="94"/>
      <c r="I475" s="46"/>
      <c r="J475" s="46"/>
      <c r="K475" s="46"/>
      <c r="L475" s="46"/>
      <c r="M475" s="46"/>
      <c r="N475" s="46"/>
      <c r="O475" s="46"/>
      <c r="P475" s="46"/>
      <c r="Q475" s="46"/>
      <c r="R475" s="46"/>
      <c r="S475" s="46"/>
      <c r="T475" s="46"/>
      <c r="U475" s="46"/>
      <c r="V475" s="46"/>
      <c r="W475" s="46"/>
      <c r="X475" s="46"/>
      <c r="Y475" s="46"/>
      <c r="Z475" s="46"/>
      <c r="AA475" s="46"/>
      <c r="AB475" s="46"/>
    </row>
    <row r="476" hidden="1">
      <c r="A476" s="90" t="s">
        <v>693</v>
      </c>
      <c r="B476" s="91" t="str">
        <f>IFERROR(VLOOKUP(A476,'Salary Calculation'!A476:F1473,2,0),"")</f>
        <v/>
      </c>
      <c r="C476" s="91" t="str">
        <f>IFERROR(VLOOKUP(A476,'Salary Calculation'!$A$2:$T$999,3,0),"")</f>
        <v/>
      </c>
      <c r="D476" s="91" t="str">
        <f>IFERROR(VLOOKUP(A476,'Salary Calculation'!$A$2:$T$999,6,0),"")</f>
        <v/>
      </c>
      <c r="E476" s="91" t="str">
        <f>IFERROR(VLOOKUP(A476,'Salary Calculation'!$A$2:$T$999,8,0),"")</f>
        <v/>
      </c>
      <c r="F476" s="92" t="str">
        <f>IFERROR(VLOOKUP(C476,'Employees List'!$B$2:H999,6,0),"")</f>
        <v/>
      </c>
      <c r="G476" s="93" t="str">
        <f>IFERROR(VLOOKUP(A476,'Salary Calculation'!$A$2:$T$999,7,0),"")</f>
        <v/>
      </c>
      <c r="H476" s="94"/>
      <c r="I476" s="46"/>
      <c r="J476" s="46"/>
      <c r="K476" s="46"/>
      <c r="L476" s="46"/>
      <c r="M476" s="46"/>
      <c r="N476" s="46"/>
      <c r="O476" s="46"/>
      <c r="P476" s="46"/>
      <c r="Q476" s="46"/>
      <c r="R476" s="46"/>
      <c r="S476" s="46"/>
      <c r="T476" s="46"/>
      <c r="U476" s="46"/>
      <c r="V476" s="46"/>
      <c r="W476" s="46"/>
      <c r="X476" s="46"/>
      <c r="Y476" s="46"/>
      <c r="Z476" s="46"/>
      <c r="AA476" s="46"/>
      <c r="AB476" s="46"/>
    </row>
    <row r="477" hidden="1">
      <c r="A477" s="90" t="s">
        <v>694</v>
      </c>
      <c r="B477" s="91" t="str">
        <f>IFERROR(VLOOKUP(A477,'Salary Calculation'!A477:F1474,2,0),"")</f>
        <v/>
      </c>
      <c r="C477" s="91" t="str">
        <f>IFERROR(VLOOKUP(A477,'Salary Calculation'!$A$2:$T$999,3,0),"")</f>
        <v/>
      </c>
      <c r="D477" s="91" t="str">
        <f>IFERROR(VLOOKUP(A477,'Salary Calculation'!$A$2:$T$999,6,0),"")</f>
        <v/>
      </c>
      <c r="E477" s="91" t="str">
        <f>IFERROR(VLOOKUP(A477,'Salary Calculation'!$A$2:$T$999,8,0),"")</f>
        <v/>
      </c>
      <c r="F477" s="92" t="str">
        <f>IFERROR(VLOOKUP(C477,'Employees List'!$B$2:H999,6,0),"")</f>
        <v/>
      </c>
      <c r="G477" s="93" t="str">
        <f>IFERROR(VLOOKUP(A477,'Salary Calculation'!$A$2:$T$999,7,0),"")</f>
        <v/>
      </c>
      <c r="H477" s="94"/>
      <c r="I477" s="46"/>
      <c r="J477" s="46"/>
      <c r="K477" s="46"/>
      <c r="L477" s="46"/>
      <c r="M477" s="46"/>
      <c r="N477" s="46"/>
      <c r="O477" s="46"/>
      <c r="P477" s="46"/>
      <c r="Q477" s="46"/>
      <c r="R477" s="46"/>
      <c r="S477" s="46"/>
      <c r="T477" s="46"/>
      <c r="U477" s="46"/>
      <c r="V477" s="46"/>
      <c r="W477" s="46"/>
      <c r="X477" s="46"/>
      <c r="Y477" s="46"/>
      <c r="Z477" s="46"/>
      <c r="AA477" s="46"/>
      <c r="AB477" s="46"/>
    </row>
    <row r="478" hidden="1">
      <c r="A478" s="90" t="s">
        <v>695</v>
      </c>
      <c r="B478" s="91" t="str">
        <f>IFERROR(VLOOKUP(A478,'Salary Calculation'!A478:F1475,2,0),"")</f>
        <v/>
      </c>
      <c r="C478" s="91" t="str">
        <f>IFERROR(VLOOKUP(A478,'Salary Calculation'!$A$2:$T$999,3,0),"")</f>
        <v/>
      </c>
      <c r="D478" s="91" t="str">
        <f>IFERROR(VLOOKUP(A478,'Salary Calculation'!$A$2:$T$999,6,0),"")</f>
        <v/>
      </c>
      <c r="E478" s="91" t="str">
        <f>IFERROR(VLOOKUP(A478,'Salary Calculation'!$A$2:$T$999,8,0),"")</f>
        <v/>
      </c>
      <c r="F478" s="92" t="str">
        <f>IFERROR(VLOOKUP(C478,'Employees List'!$B$2:H999,6,0),"")</f>
        <v/>
      </c>
      <c r="G478" s="93" t="str">
        <f>IFERROR(VLOOKUP(A478,'Salary Calculation'!$A$2:$T$999,7,0),"")</f>
        <v/>
      </c>
      <c r="H478" s="94"/>
      <c r="I478" s="46"/>
      <c r="J478" s="46"/>
      <c r="K478" s="46"/>
      <c r="L478" s="46"/>
      <c r="M478" s="46"/>
      <c r="N478" s="46"/>
      <c r="O478" s="46"/>
      <c r="P478" s="46"/>
      <c r="Q478" s="46"/>
      <c r="R478" s="46"/>
      <c r="S478" s="46"/>
      <c r="T478" s="46"/>
      <c r="U478" s="46"/>
      <c r="V478" s="46"/>
      <c r="W478" s="46"/>
      <c r="X478" s="46"/>
      <c r="Y478" s="46"/>
      <c r="Z478" s="46"/>
      <c r="AA478" s="46"/>
      <c r="AB478" s="46"/>
    </row>
    <row r="479" hidden="1">
      <c r="A479" s="90" t="s">
        <v>696</v>
      </c>
      <c r="B479" s="91" t="str">
        <f>IFERROR(VLOOKUP(A479,'Salary Calculation'!A479:F1476,2,0),"")</f>
        <v/>
      </c>
      <c r="C479" s="91" t="str">
        <f>IFERROR(VLOOKUP(A479,'Salary Calculation'!$A$2:$T$999,3,0),"")</f>
        <v/>
      </c>
      <c r="D479" s="91" t="str">
        <f>IFERROR(VLOOKUP(A479,'Salary Calculation'!$A$2:$T$999,6,0),"")</f>
        <v/>
      </c>
      <c r="E479" s="91" t="str">
        <f>IFERROR(VLOOKUP(A479,'Salary Calculation'!$A$2:$T$999,8,0),"")</f>
        <v/>
      </c>
      <c r="F479" s="92" t="str">
        <f>IFERROR(VLOOKUP(C479,'Employees List'!$B$2:H999,6,0),"")</f>
        <v/>
      </c>
      <c r="G479" s="93" t="str">
        <f>IFERROR(VLOOKUP(A479,'Salary Calculation'!$A$2:$T$999,7,0),"")</f>
        <v/>
      </c>
      <c r="H479" s="94"/>
      <c r="I479" s="46"/>
      <c r="J479" s="46"/>
      <c r="K479" s="46"/>
      <c r="L479" s="46"/>
      <c r="M479" s="46"/>
      <c r="N479" s="46"/>
      <c r="O479" s="46"/>
      <c r="P479" s="46"/>
      <c r="Q479" s="46"/>
      <c r="R479" s="46"/>
      <c r="S479" s="46"/>
      <c r="T479" s="46"/>
      <c r="U479" s="46"/>
      <c r="V479" s="46"/>
      <c r="W479" s="46"/>
      <c r="X479" s="46"/>
      <c r="Y479" s="46"/>
      <c r="Z479" s="46"/>
      <c r="AA479" s="46"/>
      <c r="AB479" s="46"/>
    </row>
    <row r="480" hidden="1">
      <c r="A480" s="90" t="s">
        <v>697</v>
      </c>
      <c r="B480" s="91" t="str">
        <f>IFERROR(VLOOKUP(A480,'Salary Calculation'!A480:F1477,2,0),"")</f>
        <v/>
      </c>
      <c r="C480" s="91" t="str">
        <f>IFERROR(VLOOKUP(A480,'Salary Calculation'!$A$2:$T$999,3,0),"")</f>
        <v/>
      </c>
      <c r="D480" s="91" t="str">
        <f>IFERROR(VLOOKUP(A480,'Salary Calculation'!$A$2:$T$999,6,0),"")</f>
        <v/>
      </c>
      <c r="E480" s="91" t="str">
        <f>IFERROR(VLOOKUP(A480,'Salary Calculation'!$A$2:$T$999,8,0),"")</f>
        <v/>
      </c>
      <c r="F480" s="92" t="str">
        <f>IFERROR(VLOOKUP(C480,'Employees List'!$B$2:H999,6,0),"")</f>
        <v/>
      </c>
      <c r="G480" s="93" t="str">
        <f>IFERROR(VLOOKUP(A480,'Salary Calculation'!$A$2:$T$999,7,0),"")</f>
        <v/>
      </c>
      <c r="H480" s="94"/>
      <c r="I480" s="46"/>
      <c r="J480" s="46"/>
      <c r="K480" s="46"/>
      <c r="L480" s="46"/>
      <c r="M480" s="46"/>
      <c r="N480" s="46"/>
      <c r="O480" s="46"/>
      <c r="P480" s="46"/>
      <c r="Q480" s="46"/>
      <c r="R480" s="46"/>
      <c r="S480" s="46"/>
      <c r="T480" s="46"/>
      <c r="U480" s="46"/>
      <c r="V480" s="46"/>
      <c r="W480" s="46"/>
      <c r="X480" s="46"/>
      <c r="Y480" s="46"/>
      <c r="Z480" s="46"/>
      <c r="AA480" s="46"/>
      <c r="AB480" s="46"/>
    </row>
    <row r="481" hidden="1">
      <c r="A481" s="90" t="s">
        <v>698</v>
      </c>
      <c r="B481" s="91" t="str">
        <f>IFERROR(VLOOKUP(A481,'Salary Calculation'!A481:F1478,2,0),"")</f>
        <v/>
      </c>
      <c r="C481" s="91" t="str">
        <f>IFERROR(VLOOKUP(A481,'Salary Calculation'!$A$2:$T$999,3,0),"")</f>
        <v/>
      </c>
      <c r="D481" s="91" t="str">
        <f>IFERROR(VLOOKUP(A481,'Salary Calculation'!$A$2:$T$999,6,0),"")</f>
        <v/>
      </c>
      <c r="E481" s="91" t="str">
        <f>IFERROR(VLOOKUP(A481,'Salary Calculation'!$A$2:$T$999,8,0),"")</f>
        <v/>
      </c>
      <c r="F481" s="92" t="str">
        <f>IFERROR(VLOOKUP(C481,'Employees List'!$B$2:H999,6,0),"")</f>
        <v/>
      </c>
      <c r="G481" s="93" t="str">
        <f>IFERROR(VLOOKUP(A481,'Salary Calculation'!$A$2:$T$999,7,0),"")</f>
        <v/>
      </c>
      <c r="H481" s="94"/>
      <c r="I481" s="46"/>
      <c r="J481" s="46"/>
      <c r="K481" s="46"/>
      <c r="L481" s="46"/>
      <c r="M481" s="46"/>
      <c r="N481" s="46"/>
      <c r="O481" s="46"/>
      <c r="P481" s="46"/>
      <c r="Q481" s="46"/>
      <c r="R481" s="46"/>
      <c r="S481" s="46"/>
      <c r="T481" s="46"/>
      <c r="U481" s="46"/>
      <c r="V481" s="46"/>
      <c r="W481" s="46"/>
      <c r="X481" s="46"/>
      <c r="Y481" s="46"/>
      <c r="Z481" s="46"/>
      <c r="AA481" s="46"/>
      <c r="AB481" s="46"/>
    </row>
    <row r="482" hidden="1">
      <c r="A482" s="90" t="s">
        <v>699</v>
      </c>
      <c r="B482" s="91" t="str">
        <f>IFERROR(VLOOKUP(A482,'Salary Calculation'!A482:F1479,2,0),"")</f>
        <v/>
      </c>
      <c r="C482" s="91" t="str">
        <f>IFERROR(VLOOKUP(A482,'Salary Calculation'!$A$2:$T$999,3,0),"")</f>
        <v/>
      </c>
      <c r="D482" s="91" t="str">
        <f>IFERROR(VLOOKUP(A482,'Salary Calculation'!$A$2:$T$999,6,0),"")</f>
        <v/>
      </c>
      <c r="E482" s="91" t="str">
        <f>IFERROR(VLOOKUP(A482,'Salary Calculation'!$A$2:$T$999,8,0),"")</f>
        <v/>
      </c>
      <c r="F482" s="92" t="str">
        <f>IFERROR(VLOOKUP(C482,'Employees List'!$B$2:H999,6,0),"")</f>
        <v/>
      </c>
      <c r="G482" s="93" t="str">
        <f>IFERROR(VLOOKUP(A482,'Salary Calculation'!$A$2:$T$999,7,0),"")</f>
        <v/>
      </c>
      <c r="H482" s="94"/>
      <c r="I482" s="46"/>
      <c r="J482" s="46"/>
      <c r="K482" s="46"/>
      <c r="L482" s="46"/>
      <c r="M482" s="46"/>
      <c r="N482" s="46"/>
      <c r="O482" s="46"/>
      <c r="P482" s="46"/>
      <c r="Q482" s="46"/>
      <c r="R482" s="46"/>
      <c r="S482" s="46"/>
      <c r="T482" s="46"/>
      <c r="U482" s="46"/>
      <c r="V482" s="46"/>
      <c r="W482" s="46"/>
      <c r="X482" s="46"/>
      <c r="Y482" s="46"/>
      <c r="Z482" s="46"/>
      <c r="AA482" s="46"/>
      <c r="AB482" s="46"/>
    </row>
    <row r="483" hidden="1">
      <c r="A483" s="90" t="s">
        <v>700</v>
      </c>
      <c r="B483" s="91" t="str">
        <f>IFERROR(VLOOKUP(A483,'Salary Calculation'!A483:F1480,2,0),"")</f>
        <v/>
      </c>
      <c r="C483" s="91" t="str">
        <f>IFERROR(VLOOKUP(A483,'Salary Calculation'!$A$2:$T$999,3,0),"")</f>
        <v/>
      </c>
      <c r="D483" s="91" t="str">
        <f>IFERROR(VLOOKUP(A483,'Salary Calculation'!$A$2:$T$999,6,0),"")</f>
        <v/>
      </c>
      <c r="E483" s="91" t="str">
        <f>IFERROR(VLOOKUP(A483,'Salary Calculation'!$A$2:$T$999,8,0),"")</f>
        <v/>
      </c>
      <c r="F483" s="92" t="str">
        <f>IFERROR(VLOOKUP(C483,'Employees List'!$B$2:H999,6,0),"")</f>
        <v/>
      </c>
      <c r="G483" s="93" t="str">
        <f>IFERROR(VLOOKUP(A483,'Salary Calculation'!$A$2:$T$999,7,0),"")</f>
        <v/>
      </c>
      <c r="H483" s="94"/>
      <c r="I483" s="46"/>
      <c r="J483" s="46"/>
      <c r="K483" s="46"/>
      <c r="L483" s="46"/>
      <c r="M483" s="46"/>
      <c r="N483" s="46"/>
      <c r="O483" s="46"/>
      <c r="P483" s="46"/>
      <c r="Q483" s="46"/>
      <c r="R483" s="46"/>
      <c r="S483" s="46"/>
      <c r="T483" s="46"/>
      <c r="U483" s="46"/>
      <c r="V483" s="46"/>
      <c r="W483" s="46"/>
      <c r="X483" s="46"/>
      <c r="Y483" s="46"/>
      <c r="Z483" s="46"/>
      <c r="AA483" s="46"/>
      <c r="AB483" s="46"/>
    </row>
    <row r="484" hidden="1">
      <c r="A484" s="90" t="s">
        <v>701</v>
      </c>
      <c r="B484" s="91" t="str">
        <f>IFERROR(VLOOKUP(A484,'Salary Calculation'!A484:F1481,2,0),"")</f>
        <v/>
      </c>
      <c r="C484" s="91" t="str">
        <f>IFERROR(VLOOKUP(A484,'Salary Calculation'!$A$2:$T$999,3,0),"")</f>
        <v/>
      </c>
      <c r="D484" s="91" t="str">
        <f>IFERROR(VLOOKUP(A484,'Salary Calculation'!$A$2:$T$999,6,0),"")</f>
        <v/>
      </c>
      <c r="E484" s="91" t="str">
        <f>IFERROR(VLOOKUP(A484,'Salary Calculation'!$A$2:$T$999,8,0),"")</f>
        <v/>
      </c>
      <c r="F484" s="92" t="str">
        <f>IFERROR(VLOOKUP(C484,'Employees List'!$B$2:H999,6,0),"")</f>
        <v/>
      </c>
      <c r="G484" s="93" t="str">
        <f>IFERROR(VLOOKUP(A484,'Salary Calculation'!$A$2:$T$999,7,0),"")</f>
        <v/>
      </c>
      <c r="H484" s="94"/>
      <c r="I484" s="46"/>
      <c r="J484" s="46"/>
      <c r="K484" s="46"/>
      <c r="L484" s="46"/>
      <c r="M484" s="46"/>
      <c r="N484" s="46"/>
      <c r="O484" s="46"/>
      <c r="P484" s="46"/>
      <c r="Q484" s="46"/>
      <c r="R484" s="46"/>
      <c r="S484" s="46"/>
      <c r="T484" s="46"/>
      <c r="U484" s="46"/>
      <c r="V484" s="46"/>
      <c r="W484" s="46"/>
      <c r="X484" s="46"/>
      <c r="Y484" s="46"/>
      <c r="Z484" s="46"/>
      <c r="AA484" s="46"/>
      <c r="AB484" s="46"/>
    </row>
    <row r="485" hidden="1">
      <c r="A485" s="90" t="s">
        <v>702</v>
      </c>
      <c r="B485" s="91" t="str">
        <f>IFERROR(VLOOKUP(A485,'Salary Calculation'!A485:F1482,2,0),"")</f>
        <v/>
      </c>
      <c r="C485" s="91" t="str">
        <f>IFERROR(VLOOKUP(A485,'Salary Calculation'!$A$2:$T$999,3,0),"")</f>
        <v/>
      </c>
      <c r="D485" s="91" t="str">
        <f>IFERROR(VLOOKUP(A485,'Salary Calculation'!$A$2:$T$999,6,0),"")</f>
        <v/>
      </c>
      <c r="E485" s="91" t="str">
        <f>IFERROR(VLOOKUP(A485,'Salary Calculation'!$A$2:$T$999,8,0),"")</f>
        <v/>
      </c>
      <c r="F485" s="92" t="str">
        <f>IFERROR(VLOOKUP(C485,'Employees List'!$B$2:H999,6,0),"")</f>
        <v/>
      </c>
      <c r="G485" s="93" t="str">
        <f>IFERROR(VLOOKUP(A485,'Salary Calculation'!$A$2:$T$999,7,0),"")</f>
        <v/>
      </c>
      <c r="H485" s="94"/>
      <c r="I485" s="46"/>
      <c r="J485" s="46"/>
      <c r="K485" s="46"/>
      <c r="L485" s="46"/>
      <c r="M485" s="46"/>
      <c r="N485" s="46"/>
      <c r="O485" s="46"/>
      <c r="P485" s="46"/>
      <c r="Q485" s="46"/>
      <c r="R485" s="46"/>
      <c r="S485" s="46"/>
      <c r="T485" s="46"/>
      <c r="U485" s="46"/>
      <c r="V485" s="46"/>
      <c r="W485" s="46"/>
      <c r="X485" s="46"/>
      <c r="Y485" s="46"/>
      <c r="Z485" s="46"/>
      <c r="AA485" s="46"/>
      <c r="AB485" s="46"/>
    </row>
    <row r="486" hidden="1">
      <c r="A486" s="90" t="s">
        <v>703</v>
      </c>
      <c r="B486" s="91" t="str">
        <f>IFERROR(VLOOKUP(A486,'Salary Calculation'!A486:F1483,2,0),"")</f>
        <v/>
      </c>
      <c r="C486" s="91" t="str">
        <f>IFERROR(VLOOKUP(A486,'Salary Calculation'!$A$2:$T$999,3,0),"")</f>
        <v/>
      </c>
      <c r="D486" s="91" t="str">
        <f>IFERROR(VLOOKUP(A486,'Salary Calculation'!$A$2:$T$999,6,0),"")</f>
        <v/>
      </c>
      <c r="E486" s="91" t="str">
        <f>IFERROR(VLOOKUP(A486,'Salary Calculation'!$A$2:$T$999,8,0),"")</f>
        <v/>
      </c>
      <c r="F486" s="92" t="str">
        <f>IFERROR(VLOOKUP(C486,'Employees List'!$B$2:H999,6,0),"")</f>
        <v/>
      </c>
      <c r="G486" s="93" t="str">
        <f>IFERROR(VLOOKUP(A486,'Salary Calculation'!$A$2:$T$999,7,0),"")</f>
        <v/>
      </c>
      <c r="H486" s="94"/>
      <c r="I486" s="46"/>
      <c r="J486" s="46"/>
      <c r="K486" s="46"/>
      <c r="L486" s="46"/>
      <c r="M486" s="46"/>
      <c r="N486" s="46"/>
      <c r="O486" s="46"/>
      <c r="P486" s="46"/>
      <c r="Q486" s="46"/>
      <c r="R486" s="46"/>
      <c r="S486" s="46"/>
      <c r="T486" s="46"/>
      <c r="U486" s="46"/>
      <c r="V486" s="46"/>
      <c r="W486" s="46"/>
      <c r="X486" s="46"/>
      <c r="Y486" s="46"/>
      <c r="Z486" s="46"/>
      <c r="AA486" s="46"/>
      <c r="AB486" s="46"/>
    </row>
    <row r="487" hidden="1">
      <c r="A487" s="90" t="s">
        <v>704</v>
      </c>
      <c r="B487" s="91" t="str">
        <f>IFERROR(VLOOKUP(A487,'Salary Calculation'!A487:F1484,2,0),"")</f>
        <v/>
      </c>
      <c r="C487" s="91" t="str">
        <f>IFERROR(VLOOKUP(A487,'Salary Calculation'!$A$2:$T$999,3,0),"")</f>
        <v/>
      </c>
      <c r="D487" s="91" t="str">
        <f>IFERROR(VLOOKUP(A487,'Salary Calculation'!$A$2:$T$999,6,0),"")</f>
        <v/>
      </c>
      <c r="E487" s="91" t="str">
        <f>IFERROR(VLOOKUP(A487,'Salary Calculation'!$A$2:$T$999,8,0),"")</f>
        <v/>
      </c>
      <c r="F487" s="92" t="str">
        <f>IFERROR(VLOOKUP(C487,'Employees List'!$B$2:H999,6,0),"")</f>
        <v/>
      </c>
      <c r="G487" s="93" t="str">
        <f>IFERROR(VLOOKUP(A487,'Salary Calculation'!$A$2:$T$999,7,0),"")</f>
        <v/>
      </c>
      <c r="H487" s="94"/>
      <c r="I487" s="46"/>
      <c r="J487" s="46"/>
      <c r="K487" s="46"/>
      <c r="L487" s="46"/>
      <c r="M487" s="46"/>
      <c r="N487" s="46"/>
      <c r="O487" s="46"/>
      <c r="P487" s="46"/>
      <c r="Q487" s="46"/>
      <c r="R487" s="46"/>
      <c r="S487" s="46"/>
      <c r="T487" s="46"/>
      <c r="U487" s="46"/>
      <c r="V487" s="46"/>
      <c r="W487" s="46"/>
      <c r="X487" s="46"/>
      <c r="Y487" s="46"/>
      <c r="Z487" s="46"/>
      <c r="AA487" s="46"/>
      <c r="AB487" s="46"/>
    </row>
    <row r="488" hidden="1">
      <c r="A488" s="90" t="s">
        <v>705</v>
      </c>
      <c r="B488" s="91" t="str">
        <f>IFERROR(VLOOKUP(A488,'Salary Calculation'!A488:F1485,2,0),"")</f>
        <v/>
      </c>
      <c r="C488" s="91" t="str">
        <f>IFERROR(VLOOKUP(A488,'Salary Calculation'!$A$2:$T$999,3,0),"")</f>
        <v/>
      </c>
      <c r="D488" s="91" t="str">
        <f>IFERROR(VLOOKUP(A488,'Salary Calculation'!$A$2:$T$999,6,0),"")</f>
        <v/>
      </c>
      <c r="E488" s="91" t="str">
        <f>IFERROR(VLOOKUP(A488,'Salary Calculation'!$A$2:$T$999,8,0),"")</f>
        <v/>
      </c>
      <c r="F488" s="92" t="str">
        <f>IFERROR(VLOOKUP(C488,'Employees List'!$B$2:H999,6,0),"")</f>
        <v/>
      </c>
      <c r="G488" s="93" t="str">
        <f>IFERROR(VLOOKUP(A488,'Salary Calculation'!$A$2:$T$999,7,0),"")</f>
        <v/>
      </c>
      <c r="H488" s="94"/>
      <c r="I488" s="46"/>
      <c r="J488" s="46"/>
      <c r="K488" s="46"/>
      <c r="L488" s="46"/>
      <c r="M488" s="46"/>
      <c r="N488" s="46"/>
      <c r="O488" s="46"/>
      <c r="P488" s="46"/>
      <c r="Q488" s="46"/>
      <c r="R488" s="46"/>
      <c r="S488" s="46"/>
      <c r="T488" s="46"/>
      <c r="U488" s="46"/>
      <c r="V488" s="46"/>
      <c r="W488" s="46"/>
      <c r="X488" s="46"/>
      <c r="Y488" s="46"/>
      <c r="Z488" s="46"/>
      <c r="AA488" s="46"/>
      <c r="AB488" s="46"/>
    </row>
    <row r="489" hidden="1">
      <c r="A489" s="90" t="s">
        <v>706</v>
      </c>
      <c r="B489" s="91" t="str">
        <f>IFERROR(VLOOKUP(A489,'Salary Calculation'!A489:F1486,2,0),"")</f>
        <v/>
      </c>
      <c r="C489" s="91" t="str">
        <f>IFERROR(VLOOKUP(A489,'Salary Calculation'!$A$2:$T$999,3,0),"")</f>
        <v/>
      </c>
      <c r="D489" s="91" t="str">
        <f>IFERROR(VLOOKUP(A489,'Salary Calculation'!$A$2:$T$999,6,0),"")</f>
        <v/>
      </c>
      <c r="E489" s="91" t="str">
        <f>IFERROR(VLOOKUP(A489,'Salary Calculation'!$A$2:$T$999,8,0),"")</f>
        <v/>
      </c>
      <c r="F489" s="92" t="str">
        <f>IFERROR(VLOOKUP(C489,'Employees List'!$B$2:H999,6,0),"")</f>
        <v/>
      </c>
      <c r="G489" s="93" t="str">
        <f>IFERROR(VLOOKUP(A489,'Salary Calculation'!$A$2:$T$999,7,0),"")</f>
        <v/>
      </c>
      <c r="H489" s="94"/>
      <c r="I489" s="46"/>
      <c r="J489" s="46"/>
      <c r="K489" s="46"/>
      <c r="L489" s="46"/>
      <c r="M489" s="46"/>
      <c r="N489" s="46"/>
      <c r="O489" s="46"/>
      <c r="P489" s="46"/>
      <c r="Q489" s="46"/>
      <c r="R489" s="46"/>
      <c r="S489" s="46"/>
      <c r="T489" s="46"/>
      <c r="U489" s="46"/>
      <c r="V489" s="46"/>
      <c r="W489" s="46"/>
      <c r="X489" s="46"/>
      <c r="Y489" s="46"/>
      <c r="Z489" s="46"/>
      <c r="AA489" s="46"/>
      <c r="AB489" s="46"/>
    </row>
    <row r="490" hidden="1">
      <c r="A490" s="90" t="s">
        <v>707</v>
      </c>
      <c r="B490" s="91" t="str">
        <f>IFERROR(VLOOKUP(A490,'Salary Calculation'!A490:F1487,2,0),"")</f>
        <v/>
      </c>
      <c r="C490" s="91" t="str">
        <f>IFERROR(VLOOKUP(A490,'Salary Calculation'!$A$2:$T$999,3,0),"")</f>
        <v/>
      </c>
      <c r="D490" s="91" t="str">
        <f>IFERROR(VLOOKUP(A490,'Salary Calculation'!$A$2:$T$999,6,0),"")</f>
        <v/>
      </c>
      <c r="E490" s="91" t="str">
        <f>IFERROR(VLOOKUP(A490,'Salary Calculation'!$A$2:$T$999,8,0),"")</f>
        <v/>
      </c>
      <c r="F490" s="92" t="str">
        <f>IFERROR(VLOOKUP(C490,'Employees List'!$B$2:H999,6,0),"")</f>
        <v/>
      </c>
      <c r="G490" s="93" t="str">
        <f>IFERROR(VLOOKUP(A490,'Salary Calculation'!$A$2:$T$999,7,0),"")</f>
        <v/>
      </c>
      <c r="H490" s="94"/>
      <c r="I490" s="46"/>
      <c r="J490" s="46"/>
      <c r="K490" s="46"/>
      <c r="L490" s="46"/>
      <c r="M490" s="46"/>
      <c r="N490" s="46"/>
      <c r="O490" s="46"/>
      <c r="P490" s="46"/>
      <c r="Q490" s="46"/>
      <c r="R490" s="46"/>
      <c r="S490" s="46"/>
      <c r="T490" s="46"/>
      <c r="U490" s="46"/>
      <c r="V490" s="46"/>
      <c r="W490" s="46"/>
      <c r="X490" s="46"/>
      <c r="Y490" s="46"/>
      <c r="Z490" s="46"/>
      <c r="AA490" s="46"/>
      <c r="AB490" s="46"/>
    </row>
    <row r="491" hidden="1">
      <c r="A491" s="90" t="s">
        <v>708</v>
      </c>
      <c r="B491" s="91" t="str">
        <f>IFERROR(VLOOKUP(A491,'Salary Calculation'!A491:F1488,2,0),"")</f>
        <v/>
      </c>
      <c r="C491" s="91" t="str">
        <f>IFERROR(VLOOKUP(A491,'Salary Calculation'!$A$2:$T$999,3,0),"")</f>
        <v/>
      </c>
      <c r="D491" s="91" t="str">
        <f>IFERROR(VLOOKUP(A491,'Salary Calculation'!$A$2:$T$999,6,0),"")</f>
        <v/>
      </c>
      <c r="E491" s="91" t="str">
        <f>IFERROR(VLOOKUP(A491,'Salary Calculation'!$A$2:$T$999,8,0),"")</f>
        <v/>
      </c>
      <c r="F491" s="92" t="str">
        <f>IFERROR(VLOOKUP(C491,'Employees List'!$B$2:H999,6,0),"")</f>
        <v/>
      </c>
      <c r="G491" s="93" t="str">
        <f>IFERROR(VLOOKUP(A491,'Salary Calculation'!$A$2:$T$999,7,0),"")</f>
        <v/>
      </c>
      <c r="H491" s="94"/>
      <c r="I491" s="46"/>
      <c r="J491" s="46"/>
      <c r="K491" s="46"/>
      <c r="L491" s="46"/>
      <c r="M491" s="46"/>
      <c r="N491" s="46"/>
      <c r="O491" s="46"/>
      <c r="P491" s="46"/>
      <c r="Q491" s="46"/>
      <c r="R491" s="46"/>
      <c r="S491" s="46"/>
      <c r="T491" s="46"/>
      <c r="U491" s="46"/>
      <c r="V491" s="46"/>
      <c r="W491" s="46"/>
      <c r="X491" s="46"/>
      <c r="Y491" s="46"/>
      <c r="Z491" s="46"/>
      <c r="AA491" s="46"/>
      <c r="AB491" s="46"/>
    </row>
    <row r="492" hidden="1">
      <c r="A492" s="90" t="s">
        <v>709</v>
      </c>
      <c r="B492" s="91" t="str">
        <f>IFERROR(VLOOKUP(A492,'Salary Calculation'!A492:F1489,2,0),"")</f>
        <v/>
      </c>
      <c r="C492" s="91" t="str">
        <f>IFERROR(VLOOKUP(A492,'Salary Calculation'!$A$2:$T$999,3,0),"")</f>
        <v/>
      </c>
      <c r="D492" s="91" t="str">
        <f>IFERROR(VLOOKUP(A492,'Salary Calculation'!$A$2:$T$999,6,0),"")</f>
        <v/>
      </c>
      <c r="E492" s="91" t="str">
        <f>IFERROR(VLOOKUP(A492,'Salary Calculation'!$A$2:$T$999,8,0),"")</f>
        <v/>
      </c>
      <c r="F492" s="92" t="str">
        <f>IFERROR(VLOOKUP(C492,'Employees List'!$B$2:H999,6,0),"")</f>
        <v/>
      </c>
      <c r="G492" s="93" t="str">
        <f>IFERROR(VLOOKUP(A492,'Salary Calculation'!$A$2:$T$999,7,0),"")</f>
        <v/>
      </c>
      <c r="H492" s="94"/>
      <c r="I492" s="46"/>
      <c r="J492" s="46"/>
      <c r="K492" s="46"/>
      <c r="L492" s="46"/>
      <c r="M492" s="46"/>
      <c r="N492" s="46"/>
      <c r="O492" s="46"/>
      <c r="P492" s="46"/>
      <c r="Q492" s="46"/>
      <c r="R492" s="46"/>
      <c r="S492" s="46"/>
      <c r="T492" s="46"/>
      <c r="U492" s="46"/>
      <c r="V492" s="46"/>
      <c r="W492" s="46"/>
      <c r="X492" s="46"/>
      <c r="Y492" s="46"/>
      <c r="Z492" s="46"/>
      <c r="AA492" s="46"/>
      <c r="AB492" s="46"/>
    </row>
    <row r="493" hidden="1">
      <c r="A493" s="90" t="s">
        <v>710</v>
      </c>
      <c r="B493" s="91" t="str">
        <f>IFERROR(VLOOKUP(A493,'Salary Calculation'!A493:F1490,2,0),"")</f>
        <v/>
      </c>
      <c r="C493" s="91" t="str">
        <f>IFERROR(VLOOKUP(A493,'Salary Calculation'!$A$2:$T$999,3,0),"")</f>
        <v/>
      </c>
      <c r="D493" s="91" t="str">
        <f>IFERROR(VLOOKUP(A493,'Salary Calculation'!$A$2:$T$999,6,0),"")</f>
        <v/>
      </c>
      <c r="E493" s="91" t="str">
        <f>IFERROR(VLOOKUP(A493,'Salary Calculation'!$A$2:$T$999,8,0),"")</f>
        <v/>
      </c>
      <c r="F493" s="92" t="str">
        <f>IFERROR(VLOOKUP(C493,'Employees List'!$B$2:H999,6,0),"")</f>
        <v/>
      </c>
      <c r="G493" s="93" t="str">
        <f>IFERROR(VLOOKUP(A493,'Salary Calculation'!$A$2:$T$999,7,0),"")</f>
        <v/>
      </c>
      <c r="H493" s="94"/>
      <c r="I493" s="46"/>
      <c r="J493" s="46"/>
      <c r="K493" s="46"/>
      <c r="L493" s="46"/>
      <c r="M493" s="46"/>
      <c r="N493" s="46"/>
      <c r="O493" s="46"/>
      <c r="P493" s="46"/>
      <c r="Q493" s="46"/>
      <c r="R493" s="46"/>
      <c r="S493" s="46"/>
      <c r="T493" s="46"/>
      <c r="U493" s="46"/>
      <c r="V493" s="46"/>
      <c r="W493" s="46"/>
      <c r="X493" s="46"/>
      <c r="Y493" s="46"/>
      <c r="Z493" s="46"/>
      <c r="AA493" s="46"/>
      <c r="AB493" s="46"/>
    </row>
    <row r="494" hidden="1">
      <c r="A494" s="90" t="s">
        <v>711</v>
      </c>
      <c r="B494" s="91" t="str">
        <f>IFERROR(VLOOKUP(A494,'Salary Calculation'!A494:F1491,2,0),"")</f>
        <v/>
      </c>
      <c r="C494" s="91" t="str">
        <f>IFERROR(VLOOKUP(A494,'Salary Calculation'!$A$2:$T$999,3,0),"")</f>
        <v/>
      </c>
      <c r="D494" s="91" t="str">
        <f>IFERROR(VLOOKUP(A494,'Salary Calculation'!$A$2:$T$999,6,0),"")</f>
        <v/>
      </c>
      <c r="E494" s="91" t="str">
        <f>IFERROR(VLOOKUP(A494,'Salary Calculation'!$A$2:$T$999,8,0),"")</f>
        <v/>
      </c>
      <c r="F494" s="92" t="str">
        <f>IFERROR(VLOOKUP(C494,'Employees List'!$B$2:H999,6,0),"")</f>
        <v/>
      </c>
      <c r="G494" s="93" t="str">
        <f>IFERROR(VLOOKUP(A494,'Salary Calculation'!$A$2:$T$999,7,0),"")</f>
        <v/>
      </c>
      <c r="H494" s="94"/>
      <c r="I494" s="46"/>
      <c r="J494" s="46"/>
      <c r="K494" s="46"/>
      <c r="L494" s="46"/>
      <c r="M494" s="46"/>
      <c r="N494" s="46"/>
      <c r="O494" s="46"/>
      <c r="P494" s="46"/>
      <c r="Q494" s="46"/>
      <c r="R494" s="46"/>
      <c r="S494" s="46"/>
      <c r="T494" s="46"/>
      <c r="U494" s="46"/>
      <c r="V494" s="46"/>
      <c r="W494" s="46"/>
      <c r="X494" s="46"/>
      <c r="Y494" s="46"/>
      <c r="Z494" s="46"/>
      <c r="AA494" s="46"/>
      <c r="AB494" s="46"/>
    </row>
    <row r="495" hidden="1">
      <c r="A495" s="90" t="s">
        <v>712</v>
      </c>
      <c r="B495" s="91" t="str">
        <f>IFERROR(VLOOKUP(A495,'Salary Calculation'!A495:F1492,2,0),"")</f>
        <v/>
      </c>
      <c r="C495" s="91" t="str">
        <f>IFERROR(VLOOKUP(A495,'Salary Calculation'!$A$2:$T$999,3,0),"")</f>
        <v/>
      </c>
      <c r="D495" s="91" t="str">
        <f>IFERROR(VLOOKUP(A495,'Salary Calculation'!$A$2:$T$999,6,0),"")</f>
        <v/>
      </c>
      <c r="E495" s="91" t="str">
        <f>IFERROR(VLOOKUP(A495,'Salary Calculation'!$A$2:$T$999,8,0),"")</f>
        <v/>
      </c>
      <c r="F495" s="92" t="str">
        <f>IFERROR(VLOOKUP(C495,'Employees List'!$B$2:H999,6,0),"")</f>
        <v/>
      </c>
      <c r="G495" s="93" t="str">
        <f>IFERROR(VLOOKUP(A495,'Salary Calculation'!$A$2:$T$999,7,0),"")</f>
        <v/>
      </c>
      <c r="H495" s="94"/>
      <c r="I495" s="46"/>
      <c r="J495" s="46"/>
      <c r="K495" s="46"/>
      <c r="L495" s="46"/>
      <c r="M495" s="46"/>
      <c r="N495" s="46"/>
      <c r="O495" s="46"/>
      <c r="P495" s="46"/>
      <c r="Q495" s="46"/>
      <c r="R495" s="46"/>
      <c r="S495" s="46"/>
      <c r="T495" s="46"/>
      <c r="U495" s="46"/>
      <c r="V495" s="46"/>
      <c r="W495" s="46"/>
      <c r="X495" s="46"/>
      <c r="Y495" s="46"/>
      <c r="Z495" s="46"/>
      <c r="AA495" s="46"/>
      <c r="AB495" s="46"/>
    </row>
    <row r="496" hidden="1">
      <c r="A496" s="90" t="s">
        <v>713</v>
      </c>
      <c r="B496" s="91" t="str">
        <f>IFERROR(VLOOKUP(A496,'Salary Calculation'!A496:F1493,2,0),"")</f>
        <v/>
      </c>
      <c r="C496" s="91" t="str">
        <f>IFERROR(VLOOKUP(A496,'Salary Calculation'!$A$2:$T$999,3,0),"")</f>
        <v/>
      </c>
      <c r="D496" s="91" t="str">
        <f>IFERROR(VLOOKUP(A496,'Salary Calculation'!$A$2:$T$999,6,0),"")</f>
        <v/>
      </c>
      <c r="E496" s="91" t="str">
        <f>IFERROR(VLOOKUP(A496,'Salary Calculation'!$A$2:$T$999,8,0),"")</f>
        <v/>
      </c>
      <c r="F496" s="92" t="str">
        <f>IFERROR(VLOOKUP(C496,'Employees List'!$B$2:H999,6,0),"")</f>
        <v/>
      </c>
      <c r="G496" s="93" t="str">
        <f>IFERROR(VLOOKUP(A496,'Salary Calculation'!$A$2:$T$999,7,0),"")</f>
        <v/>
      </c>
      <c r="H496" s="94"/>
      <c r="I496" s="46"/>
      <c r="J496" s="46"/>
      <c r="K496" s="46"/>
      <c r="L496" s="46"/>
      <c r="M496" s="46"/>
      <c r="N496" s="46"/>
      <c r="O496" s="46"/>
      <c r="P496" s="46"/>
      <c r="Q496" s="46"/>
      <c r="R496" s="46"/>
      <c r="S496" s="46"/>
      <c r="T496" s="46"/>
      <c r="U496" s="46"/>
      <c r="V496" s="46"/>
      <c r="W496" s="46"/>
      <c r="X496" s="46"/>
      <c r="Y496" s="46"/>
      <c r="Z496" s="46"/>
      <c r="AA496" s="46"/>
      <c r="AB496" s="46"/>
    </row>
    <row r="497" hidden="1">
      <c r="A497" s="90" t="s">
        <v>714</v>
      </c>
      <c r="B497" s="91" t="str">
        <f>IFERROR(VLOOKUP(A497,'Salary Calculation'!A497:F1494,2,0),"")</f>
        <v/>
      </c>
      <c r="C497" s="91" t="str">
        <f>IFERROR(VLOOKUP(A497,'Salary Calculation'!$A$2:$T$999,3,0),"")</f>
        <v/>
      </c>
      <c r="D497" s="91" t="str">
        <f>IFERROR(VLOOKUP(A497,'Salary Calculation'!$A$2:$T$999,6,0),"")</f>
        <v/>
      </c>
      <c r="E497" s="91" t="str">
        <f>IFERROR(VLOOKUP(A497,'Salary Calculation'!$A$2:$T$999,8,0),"")</f>
        <v/>
      </c>
      <c r="F497" s="92" t="str">
        <f>IFERROR(VLOOKUP(C497,'Employees List'!$B$2:H999,6,0),"")</f>
        <v/>
      </c>
      <c r="G497" s="93" t="str">
        <f>IFERROR(VLOOKUP(A497,'Salary Calculation'!$A$2:$T$999,7,0),"")</f>
        <v/>
      </c>
      <c r="H497" s="94"/>
      <c r="I497" s="46"/>
      <c r="J497" s="46"/>
      <c r="K497" s="46"/>
      <c r="L497" s="46"/>
      <c r="M497" s="46"/>
      <c r="N497" s="46"/>
      <c r="O497" s="46"/>
      <c r="P497" s="46"/>
      <c r="Q497" s="46"/>
      <c r="R497" s="46"/>
      <c r="S497" s="46"/>
      <c r="T497" s="46"/>
      <c r="U497" s="46"/>
      <c r="V497" s="46"/>
      <c r="W497" s="46"/>
      <c r="X497" s="46"/>
      <c r="Y497" s="46"/>
      <c r="Z497" s="46"/>
      <c r="AA497" s="46"/>
      <c r="AB497" s="46"/>
    </row>
    <row r="498" hidden="1">
      <c r="A498" s="90" t="s">
        <v>715</v>
      </c>
      <c r="B498" s="91" t="str">
        <f>IFERROR(VLOOKUP(A498,'Salary Calculation'!A498:F1495,2,0),"")</f>
        <v/>
      </c>
      <c r="C498" s="91" t="str">
        <f>IFERROR(VLOOKUP(A498,'Salary Calculation'!$A$2:$T$999,3,0),"")</f>
        <v/>
      </c>
      <c r="D498" s="91" t="str">
        <f>IFERROR(VLOOKUP(A498,'Salary Calculation'!$A$2:$T$999,6,0),"")</f>
        <v/>
      </c>
      <c r="E498" s="91" t="str">
        <f>IFERROR(VLOOKUP(A498,'Salary Calculation'!$A$2:$T$999,8,0),"")</f>
        <v/>
      </c>
      <c r="F498" s="92" t="str">
        <f>IFERROR(VLOOKUP(C498,'Employees List'!$B$2:H999,6,0),"")</f>
        <v/>
      </c>
      <c r="G498" s="93" t="str">
        <f>IFERROR(VLOOKUP(A498,'Salary Calculation'!$A$2:$T$999,7,0),"")</f>
        <v/>
      </c>
      <c r="H498" s="94"/>
      <c r="I498" s="46"/>
      <c r="J498" s="46"/>
      <c r="K498" s="46"/>
      <c r="L498" s="46"/>
      <c r="M498" s="46"/>
      <c r="N498" s="46"/>
      <c r="O498" s="46"/>
      <c r="P498" s="46"/>
      <c r="Q498" s="46"/>
      <c r="R498" s="46"/>
      <c r="S498" s="46"/>
      <c r="T498" s="46"/>
      <c r="U498" s="46"/>
      <c r="V498" s="46"/>
      <c r="W498" s="46"/>
      <c r="X498" s="46"/>
      <c r="Y498" s="46"/>
      <c r="Z498" s="46"/>
      <c r="AA498" s="46"/>
      <c r="AB498" s="46"/>
    </row>
    <row r="499" hidden="1">
      <c r="A499" s="90" t="s">
        <v>716</v>
      </c>
      <c r="B499" s="91" t="str">
        <f>IFERROR(VLOOKUP(A499,'Salary Calculation'!A499:F1496,2,0),"")</f>
        <v/>
      </c>
      <c r="C499" s="91" t="str">
        <f>IFERROR(VLOOKUP(A499,'Salary Calculation'!$A$2:$T$999,3,0),"")</f>
        <v/>
      </c>
      <c r="D499" s="91" t="str">
        <f>IFERROR(VLOOKUP(A499,'Salary Calculation'!$A$2:$T$999,6,0),"")</f>
        <v/>
      </c>
      <c r="E499" s="91" t="str">
        <f>IFERROR(VLOOKUP(A499,'Salary Calculation'!$A$2:$T$999,8,0),"")</f>
        <v/>
      </c>
      <c r="F499" s="92" t="str">
        <f>IFERROR(VLOOKUP(C499,'Employees List'!$B$2:H999,6,0),"")</f>
        <v/>
      </c>
      <c r="G499" s="93" t="str">
        <f>IFERROR(VLOOKUP(A499,'Salary Calculation'!$A$2:$T$999,7,0),"")</f>
        <v/>
      </c>
      <c r="H499" s="94"/>
      <c r="I499" s="46"/>
      <c r="J499" s="46"/>
      <c r="K499" s="46"/>
      <c r="L499" s="46"/>
      <c r="M499" s="46"/>
      <c r="N499" s="46"/>
      <c r="O499" s="46"/>
      <c r="P499" s="46"/>
      <c r="Q499" s="46"/>
      <c r="R499" s="46"/>
      <c r="S499" s="46"/>
      <c r="T499" s="46"/>
      <c r="U499" s="46"/>
      <c r="V499" s="46"/>
      <c r="W499" s="46"/>
      <c r="X499" s="46"/>
      <c r="Y499" s="46"/>
      <c r="Z499" s="46"/>
      <c r="AA499" s="46"/>
      <c r="AB499" s="46"/>
    </row>
    <row r="500" hidden="1">
      <c r="A500" s="90" t="s">
        <v>717</v>
      </c>
      <c r="B500" s="91" t="str">
        <f>IFERROR(VLOOKUP(A500,'Salary Calculation'!A500:F1497,2,0),"")</f>
        <v/>
      </c>
      <c r="C500" s="91" t="str">
        <f>IFERROR(VLOOKUP(A500,'Salary Calculation'!$A$2:$T$999,3,0),"")</f>
        <v/>
      </c>
      <c r="D500" s="91" t="str">
        <f>IFERROR(VLOOKUP(A500,'Salary Calculation'!$A$2:$T$999,6,0),"")</f>
        <v/>
      </c>
      <c r="E500" s="91" t="str">
        <f>IFERROR(VLOOKUP(A500,'Salary Calculation'!$A$2:$T$999,8,0),"")</f>
        <v/>
      </c>
      <c r="F500" s="92" t="str">
        <f>IFERROR(VLOOKUP(C500,'Employees List'!$B$2:H999,6,0),"")</f>
        <v/>
      </c>
      <c r="G500" s="93" t="str">
        <f>IFERROR(VLOOKUP(A500,'Salary Calculation'!$A$2:$T$999,7,0),"")</f>
        <v/>
      </c>
      <c r="H500" s="94"/>
      <c r="I500" s="46"/>
      <c r="J500" s="46"/>
      <c r="K500" s="46"/>
      <c r="L500" s="46"/>
      <c r="M500" s="46"/>
      <c r="N500" s="46"/>
      <c r="O500" s="46"/>
      <c r="P500" s="46"/>
      <c r="Q500" s="46"/>
      <c r="R500" s="46"/>
      <c r="S500" s="46"/>
      <c r="T500" s="46"/>
      <c r="U500" s="46"/>
      <c r="V500" s="46"/>
      <c r="W500" s="46"/>
      <c r="X500" s="46"/>
      <c r="Y500" s="46"/>
      <c r="Z500" s="46"/>
      <c r="AA500" s="46"/>
      <c r="AB500" s="46"/>
    </row>
    <row r="501" hidden="1">
      <c r="A501" s="90" t="s">
        <v>718</v>
      </c>
      <c r="B501" s="91" t="str">
        <f>IFERROR(VLOOKUP(A501,'Salary Calculation'!A501:F1498,2,0),"")</f>
        <v/>
      </c>
      <c r="C501" s="91" t="str">
        <f>IFERROR(VLOOKUP(A501,'Salary Calculation'!$A$2:$T$999,3,0),"")</f>
        <v/>
      </c>
      <c r="D501" s="91" t="str">
        <f>IFERROR(VLOOKUP(A501,'Salary Calculation'!$A$2:$T$999,6,0),"")</f>
        <v/>
      </c>
      <c r="E501" s="91" t="str">
        <f>IFERROR(VLOOKUP(A501,'Salary Calculation'!$A$2:$T$999,8,0),"")</f>
        <v/>
      </c>
      <c r="F501" s="92" t="str">
        <f>IFERROR(VLOOKUP(C501,'Employees List'!$B$2:H999,6,0),"")</f>
        <v/>
      </c>
      <c r="G501" s="93" t="str">
        <f>IFERROR(VLOOKUP(A501,'Salary Calculation'!$A$2:$T$999,7,0),"")</f>
        <v/>
      </c>
      <c r="H501" s="94"/>
      <c r="I501" s="46"/>
      <c r="J501" s="46"/>
      <c r="K501" s="46"/>
      <c r="L501" s="46"/>
      <c r="M501" s="46"/>
      <c r="N501" s="46"/>
      <c r="O501" s="46"/>
      <c r="P501" s="46"/>
      <c r="Q501" s="46"/>
      <c r="R501" s="46"/>
      <c r="S501" s="46"/>
      <c r="T501" s="46"/>
      <c r="U501" s="46"/>
      <c r="V501" s="46"/>
      <c r="W501" s="46"/>
      <c r="X501" s="46"/>
      <c r="Y501" s="46"/>
      <c r="Z501" s="46"/>
      <c r="AA501" s="46"/>
      <c r="AB501" s="46"/>
    </row>
    <row r="502" hidden="1">
      <c r="A502" s="90" t="s">
        <v>719</v>
      </c>
      <c r="B502" s="91" t="str">
        <f>IFERROR(VLOOKUP(A502,'Salary Calculation'!A502:F1499,2,0),"")</f>
        <v/>
      </c>
      <c r="C502" s="91" t="str">
        <f>IFERROR(VLOOKUP(A502,'Salary Calculation'!$A$2:$T$999,3,0),"")</f>
        <v/>
      </c>
      <c r="D502" s="91" t="str">
        <f>IFERROR(VLOOKUP(A502,'Salary Calculation'!$A$2:$T$999,6,0),"")</f>
        <v/>
      </c>
      <c r="E502" s="91" t="str">
        <f>IFERROR(VLOOKUP(A502,'Salary Calculation'!$A$2:$T$999,8,0),"")</f>
        <v/>
      </c>
      <c r="F502" s="92" t="str">
        <f>IFERROR(VLOOKUP(C502,'Employees List'!$B$2:H999,6,0),"")</f>
        <v/>
      </c>
      <c r="G502" s="93" t="str">
        <f>IFERROR(VLOOKUP(A502,'Salary Calculation'!$A$2:$T$999,7,0),"")</f>
        <v/>
      </c>
      <c r="H502" s="94"/>
      <c r="I502" s="46"/>
      <c r="J502" s="46"/>
      <c r="K502" s="46"/>
      <c r="L502" s="46"/>
      <c r="M502" s="46"/>
      <c r="N502" s="46"/>
      <c r="O502" s="46"/>
      <c r="P502" s="46"/>
      <c r="Q502" s="46"/>
      <c r="R502" s="46"/>
      <c r="S502" s="46"/>
      <c r="T502" s="46"/>
      <c r="U502" s="46"/>
      <c r="V502" s="46"/>
      <c r="W502" s="46"/>
      <c r="X502" s="46"/>
      <c r="Y502" s="46"/>
      <c r="Z502" s="46"/>
      <c r="AA502" s="46"/>
      <c r="AB502" s="46"/>
    </row>
    <row r="503" hidden="1">
      <c r="A503" s="90" t="s">
        <v>720</v>
      </c>
      <c r="B503" s="91" t="str">
        <f>IFERROR(VLOOKUP(A503,'Salary Calculation'!A503:F1500,2,0),"")</f>
        <v/>
      </c>
      <c r="C503" s="91" t="str">
        <f>IFERROR(VLOOKUP(A503,'Salary Calculation'!$A$2:$T$999,3,0),"")</f>
        <v/>
      </c>
      <c r="D503" s="91" t="str">
        <f>IFERROR(VLOOKUP(A503,'Salary Calculation'!$A$2:$T$999,6,0),"")</f>
        <v/>
      </c>
      <c r="E503" s="91" t="str">
        <f>IFERROR(VLOOKUP(A503,'Salary Calculation'!$A$2:$T$999,8,0),"")</f>
        <v/>
      </c>
      <c r="F503" s="92" t="str">
        <f>IFERROR(VLOOKUP(C503,'Employees List'!$B$2:H999,6,0),"")</f>
        <v/>
      </c>
      <c r="G503" s="93" t="str">
        <f>IFERROR(VLOOKUP(A503,'Salary Calculation'!$A$2:$T$999,7,0),"")</f>
        <v/>
      </c>
      <c r="H503" s="94"/>
      <c r="I503" s="46"/>
      <c r="J503" s="46"/>
      <c r="K503" s="46"/>
      <c r="L503" s="46"/>
      <c r="M503" s="46"/>
      <c r="N503" s="46"/>
      <c r="O503" s="46"/>
      <c r="P503" s="46"/>
      <c r="Q503" s="46"/>
      <c r="R503" s="46"/>
      <c r="S503" s="46"/>
      <c r="T503" s="46"/>
      <c r="U503" s="46"/>
      <c r="V503" s="46"/>
      <c r="W503" s="46"/>
      <c r="X503" s="46"/>
      <c r="Y503" s="46"/>
      <c r="Z503" s="46"/>
      <c r="AA503" s="46"/>
      <c r="AB503" s="46"/>
    </row>
    <row r="504" hidden="1">
      <c r="A504" s="90" t="s">
        <v>721</v>
      </c>
      <c r="B504" s="91" t="str">
        <f>IFERROR(VLOOKUP(A504,'Salary Calculation'!A504:F1501,2,0),"")</f>
        <v/>
      </c>
      <c r="C504" s="91" t="str">
        <f>IFERROR(VLOOKUP(A504,'Salary Calculation'!$A$2:$T$999,3,0),"")</f>
        <v/>
      </c>
      <c r="D504" s="91" t="str">
        <f>IFERROR(VLOOKUP(A504,'Salary Calculation'!$A$2:$T$999,6,0),"")</f>
        <v/>
      </c>
      <c r="E504" s="91" t="str">
        <f>IFERROR(VLOOKUP(A504,'Salary Calculation'!$A$2:$T$999,8,0),"")</f>
        <v/>
      </c>
      <c r="F504" s="92" t="str">
        <f>IFERROR(VLOOKUP(C504,'Employees List'!$B$2:H999,6,0),"")</f>
        <v/>
      </c>
      <c r="G504" s="93" t="str">
        <f>IFERROR(VLOOKUP(A504,'Salary Calculation'!$A$2:$T$999,7,0),"")</f>
        <v/>
      </c>
      <c r="H504" s="94"/>
      <c r="I504" s="46"/>
      <c r="J504" s="46"/>
      <c r="K504" s="46"/>
      <c r="L504" s="46"/>
      <c r="M504" s="46"/>
      <c r="N504" s="46"/>
      <c r="O504" s="46"/>
      <c r="P504" s="46"/>
      <c r="Q504" s="46"/>
      <c r="R504" s="46"/>
      <c r="S504" s="46"/>
      <c r="T504" s="46"/>
      <c r="U504" s="46"/>
      <c r="V504" s="46"/>
      <c r="W504" s="46"/>
      <c r="X504" s="46"/>
      <c r="Y504" s="46"/>
      <c r="Z504" s="46"/>
      <c r="AA504" s="46"/>
      <c r="AB504" s="46"/>
    </row>
    <row r="505" hidden="1">
      <c r="A505" s="90" t="s">
        <v>722</v>
      </c>
      <c r="B505" s="91" t="str">
        <f>IFERROR(VLOOKUP(A505,'Salary Calculation'!A505:F1502,2,0),"")</f>
        <v/>
      </c>
      <c r="C505" s="91" t="str">
        <f>IFERROR(VLOOKUP(A505,'Salary Calculation'!$A$2:$T$999,3,0),"")</f>
        <v/>
      </c>
      <c r="D505" s="91" t="str">
        <f>IFERROR(VLOOKUP(A505,'Salary Calculation'!$A$2:$T$999,6,0),"")</f>
        <v/>
      </c>
      <c r="E505" s="91" t="str">
        <f>IFERROR(VLOOKUP(A505,'Salary Calculation'!$A$2:$T$999,8,0),"")</f>
        <v/>
      </c>
      <c r="F505" s="92" t="str">
        <f>IFERROR(VLOOKUP(C505,'Employees List'!$B$2:H999,6,0),"")</f>
        <v/>
      </c>
      <c r="G505" s="93" t="str">
        <f>IFERROR(VLOOKUP(A505,'Salary Calculation'!$A$2:$T$999,7,0),"")</f>
        <v/>
      </c>
      <c r="H505" s="94"/>
      <c r="I505" s="46"/>
      <c r="J505" s="46"/>
      <c r="K505" s="46"/>
      <c r="L505" s="46"/>
      <c r="M505" s="46"/>
      <c r="N505" s="46"/>
      <c r="O505" s="46"/>
      <c r="P505" s="46"/>
      <c r="Q505" s="46"/>
      <c r="R505" s="46"/>
      <c r="S505" s="46"/>
      <c r="T505" s="46"/>
      <c r="U505" s="46"/>
      <c r="V505" s="46"/>
      <c r="W505" s="46"/>
      <c r="X505" s="46"/>
      <c r="Y505" s="46"/>
      <c r="Z505" s="46"/>
      <c r="AA505" s="46"/>
      <c r="AB505" s="46"/>
    </row>
    <row r="506" hidden="1">
      <c r="A506" s="90" t="s">
        <v>723</v>
      </c>
      <c r="B506" s="91" t="str">
        <f>IFERROR(VLOOKUP(A506,'Salary Calculation'!A506:F1503,2,0),"")</f>
        <v/>
      </c>
      <c r="C506" s="91" t="str">
        <f>IFERROR(VLOOKUP(A506,'Salary Calculation'!$A$2:$T$999,3,0),"")</f>
        <v/>
      </c>
      <c r="D506" s="91" t="str">
        <f>IFERROR(VLOOKUP(A506,'Salary Calculation'!$A$2:$T$999,6,0),"")</f>
        <v/>
      </c>
      <c r="E506" s="91" t="str">
        <f>IFERROR(VLOOKUP(A506,'Salary Calculation'!$A$2:$T$999,8,0),"")</f>
        <v/>
      </c>
      <c r="F506" s="92" t="str">
        <f>IFERROR(VLOOKUP(C506,'Employees List'!$B$2:H999,6,0),"")</f>
        <v/>
      </c>
      <c r="G506" s="93" t="str">
        <f>IFERROR(VLOOKUP(A506,'Salary Calculation'!$A$2:$T$999,7,0),"")</f>
        <v/>
      </c>
      <c r="H506" s="94"/>
      <c r="I506" s="46"/>
      <c r="J506" s="46"/>
      <c r="K506" s="46"/>
      <c r="L506" s="46"/>
      <c r="M506" s="46"/>
      <c r="N506" s="46"/>
      <c r="O506" s="46"/>
      <c r="P506" s="46"/>
      <c r="Q506" s="46"/>
      <c r="R506" s="46"/>
      <c r="S506" s="46"/>
      <c r="T506" s="46"/>
      <c r="U506" s="46"/>
      <c r="V506" s="46"/>
      <c r="W506" s="46"/>
      <c r="X506" s="46"/>
      <c r="Y506" s="46"/>
      <c r="Z506" s="46"/>
      <c r="AA506" s="46"/>
      <c r="AB506" s="46"/>
    </row>
    <row r="507" hidden="1">
      <c r="A507" s="90" t="s">
        <v>724</v>
      </c>
      <c r="B507" s="91" t="str">
        <f>IFERROR(VLOOKUP(A507,'Salary Calculation'!A507:F1504,2,0),"")</f>
        <v/>
      </c>
      <c r="C507" s="91" t="str">
        <f>IFERROR(VLOOKUP(A507,'Salary Calculation'!$A$2:$T$999,3,0),"")</f>
        <v/>
      </c>
      <c r="D507" s="91" t="str">
        <f>IFERROR(VLOOKUP(A507,'Salary Calculation'!$A$2:$T$999,6,0),"")</f>
        <v/>
      </c>
      <c r="E507" s="91" t="str">
        <f>IFERROR(VLOOKUP(A507,'Salary Calculation'!$A$2:$T$999,8,0),"")</f>
        <v/>
      </c>
      <c r="F507" s="92" t="str">
        <f>IFERROR(VLOOKUP(C507,'Employees List'!$B$2:H999,6,0),"")</f>
        <v/>
      </c>
      <c r="G507" s="93" t="str">
        <f>IFERROR(VLOOKUP(A507,'Salary Calculation'!$A$2:$T$999,7,0),"")</f>
        <v/>
      </c>
      <c r="H507" s="94"/>
      <c r="I507" s="46"/>
      <c r="J507" s="46"/>
      <c r="K507" s="46"/>
      <c r="L507" s="46"/>
      <c r="M507" s="46"/>
      <c r="N507" s="46"/>
      <c r="O507" s="46"/>
      <c r="P507" s="46"/>
      <c r="Q507" s="46"/>
      <c r="R507" s="46"/>
      <c r="S507" s="46"/>
      <c r="T507" s="46"/>
      <c r="U507" s="46"/>
      <c r="V507" s="46"/>
      <c r="W507" s="46"/>
      <c r="X507" s="46"/>
      <c r="Y507" s="46"/>
      <c r="Z507" s="46"/>
      <c r="AA507" s="46"/>
      <c r="AB507" s="46"/>
    </row>
    <row r="508" hidden="1">
      <c r="A508" s="90" t="s">
        <v>725</v>
      </c>
      <c r="B508" s="91" t="str">
        <f>IFERROR(VLOOKUP(A508,'Salary Calculation'!A508:F1505,2,0),"")</f>
        <v/>
      </c>
      <c r="C508" s="91" t="str">
        <f>IFERROR(VLOOKUP(A508,'Salary Calculation'!$A$2:$T$999,3,0),"")</f>
        <v/>
      </c>
      <c r="D508" s="91" t="str">
        <f>IFERROR(VLOOKUP(A508,'Salary Calculation'!$A$2:$T$999,6,0),"")</f>
        <v/>
      </c>
      <c r="E508" s="91" t="str">
        <f>IFERROR(VLOOKUP(A508,'Salary Calculation'!$A$2:$T$999,8,0),"")</f>
        <v/>
      </c>
      <c r="F508" s="92" t="str">
        <f>IFERROR(VLOOKUP(C508,'Employees List'!$B$2:H999,6,0),"")</f>
        <v/>
      </c>
      <c r="G508" s="93" t="str">
        <f>IFERROR(VLOOKUP(A508,'Salary Calculation'!$A$2:$T$999,7,0),"")</f>
        <v/>
      </c>
      <c r="H508" s="94"/>
      <c r="I508" s="46"/>
      <c r="J508" s="46"/>
      <c r="K508" s="46"/>
      <c r="L508" s="46"/>
      <c r="M508" s="46"/>
      <c r="N508" s="46"/>
      <c r="O508" s="46"/>
      <c r="P508" s="46"/>
      <c r="Q508" s="46"/>
      <c r="R508" s="46"/>
      <c r="S508" s="46"/>
      <c r="T508" s="46"/>
      <c r="U508" s="46"/>
      <c r="V508" s="46"/>
      <c r="W508" s="46"/>
      <c r="X508" s="46"/>
      <c r="Y508" s="46"/>
      <c r="Z508" s="46"/>
      <c r="AA508" s="46"/>
      <c r="AB508" s="46"/>
    </row>
    <row r="509" hidden="1">
      <c r="A509" s="90" t="s">
        <v>726</v>
      </c>
      <c r="B509" s="91" t="str">
        <f>IFERROR(VLOOKUP(A509,'Salary Calculation'!A509:F1506,2,0),"")</f>
        <v/>
      </c>
      <c r="C509" s="91" t="str">
        <f>IFERROR(VLOOKUP(A509,'Salary Calculation'!$A$2:$T$999,3,0),"")</f>
        <v/>
      </c>
      <c r="D509" s="91" t="str">
        <f>IFERROR(VLOOKUP(A509,'Salary Calculation'!$A$2:$T$999,6,0),"")</f>
        <v/>
      </c>
      <c r="E509" s="91" t="str">
        <f>IFERROR(VLOOKUP(A509,'Salary Calculation'!$A$2:$T$999,8,0),"")</f>
        <v/>
      </c>
      <c r="F509" s="92" t="str">
        <f>IFERROR(VLOOKUP(C509,'Employees List'!$B$2:H999,6,0),"")</f>
        <v/>
      </c>
      <c r="G509" s="93" t="str">
        <f>IFERROR(VLOOKUP(A509,'Salary Calculation'!$A$2:$T$999,7,0),"")</f>
        <v/>
      </c>
      <c r="H509" s="94"/>
      <c r="I509" s="46"/>
      <c r="J509" s="46"/>
      <c r="K509" s="46"/>
      <c r="L509" s="46"/>
      <c r="M509" s="46"/>
      <c r="N509" s="46"/>
      <c r="O509" s="46"/>
      <c r="P509" s="46"/>
      <c r="Q509" s="46"/>
      <c r="R509" s="46"/>
      <c r="S509" s="46"/>
      <c r="T509" s="46"/>
      <c r="U509" s="46"/>
      <c r="V509" s="46"/>
      <c r="W509" s="46"/>
      <c r="X509" s="46"/>
      <c r="Y509" s="46"/>
      <c r="Z509" s="46"/>
      <c r="AA509" s="46"/>
      <c r="AB509" s="46"/>
    </row>
    <row r="510" hidden="1">
      <c r="A510" s="90" t="s">
        <v>727</v>
      </c>
      <c r="B510" s="91" t="str">
        <f>IFERROR(VLOOKUP(A510,'Salary Calculation'!A510:F1507,2,0),"")</f>
        <v/>
      </c>
      <c r="C510" s="91" t="str">
        <f>IFERROR(VLOOKUP(A510,'Salary Calculation'!$A$2:$T$999,3,0),"")</f>
        <v/>
      </c>
      <c r="D510" s="91" t="str">
        <f>IFERROR(VLOOKUP(A510,'Salary Calculation'!$A$2:$T$999,6,0),"")</f>
        <v/>
      </c>
      <c r="E510" s="91" t="str">
        <f>IFERROR(VLOOKUP(A510,'Salary Calculation'!$A$2:$T$999,8,0),"")</f>
        <v/>
      </c>
      <c r="F510" s="92" t="str">
        <f>IFERROR(VLOOKUP(C510,'Employees List'!$B$2:H999,6,0),"")</f>
        <v/>
      </c>
      <c r="G510" s="93" t="str">
        <f>IFERROR(VLOOKUP(A510,'Salary Calculation'!$A$2:$T$999,7,0),"")</f>
        <v/>
      </c>
      <c r="H510" s="94"/>
      <c r="I510" s="46"/>
      <c r="J510" s="46"/>
      <c r="K510" s="46"/>
      <c r="L510" s="46"/>
      <c r="M510" s="46"/>
      <c r="N510" s="46"/>
      <c r="O510" s="46"/>
      <c r="P510" s="46"/>
      <c r="Q510" s="46"/>
      <c r="R510" s="46"/>
      <c r="S510" s="46"/>
      <c r="T510" s="46"/>
      <c r="U510" s="46"/>
      <c r="V510" s="46"/>
      <c r="W510" s="46"/>
      <c r="X510" s="46"/>
      <c r="Y510" s="46"/>
      <c r="Z510" s="46"/>
      <c r="AA510" s="46"/>
      <c r="AB510" s="46"/>
    </row>
    <row r="511" hidden="1">
      <c r="A511" s="90" t="s">
        <v>728</v>
      </c>
      <c r="B511" s="91" t="str">
        <f>IFERROR(VLOOKUP(A511,'Salary Calculation'!A511:F1508,2,0),"")</f>
        <v/>
      </c>
      <c r="C511" s="91" t="str">
        <f>IFERROR(VLOOKUP(A511,'Salary Calculation'!$A$2:$T$999,3,0),"")</f>
        <v/>
      </c>
      <c r="D511" s="91" t="str">
        <f>IFERROR(VLOOKUP(A511,'Salary Calculation'!$A$2:$T$999,6,0),"")</f>
        <v/>
      </c>
      <c r="E511" s="91" t="str">
        <f>IFERROR(VLOOKUP(A511,'Salary Calculation'!$A$2:$T$999,8,0),"")</f>
        <v/>
      </c>
      <c r="F511" s="92" t="str">
        <f>IFERROR(VLOOKUP(C511,'Employees List'!$B$2:H999,6,0),"")</f>
        <v/>
      </c>
      <c r="G511" s="93" t="str">
        <f>IFERROR(VLOOKUP(A511,'Salary Calculation'!$A$2:$T$999,7,0),"")</f>
        <v/>
      </c>
      <c r="H511" s="94"/>
      <c r="I511" s="46"/>
      <c r="J511" s="46"/>
      <c r="K511" s="46"/>
      <c r="L511" s="46"/>
      <c r="M511" s="46"/>
      <c r="N511" s="46"/>
      <c r="O511" s="46"/>
      <c r="P511" s="46"/>
      <c r="Q511" s="46"/>
      <c r="R511" s="46"/>
      <c r="S511" s="46"/>
      <c r="T511" s="46"/>
      <c r="U511" s="46"/>
      <c r="V511" s="46"/>
      <c r="W511" s="46"/>
      <c r="X511" s="46"/>
      <c r="Y511" s="46"/>
      <c r="Z511" s="46"/>
      <c r="AA511" s="46"/>
      <c r="AB511" s="46"/>
    </row>
    <row r="512" hidden="1">
      <c r="A512" s="90" t="s">
        <v>729</v>
      </c>
      <c r="B512" s="91" t="str">
        <f>IFERROR(VLOOKUP(A512,'Salary Calculation'!A512:F1509,2,0),"")</f>
        <v/>
      </c>
      <c r="C512" s="91" t="str">
        <f>IFERROR(VLOOKUP(A512,'Salary Calculation'!$A$2:$T$999,3,0),"")</f>
        <v/>
      </c>
      <c r="D512" s="91" t="str">
        <f>IFERROR(VLOOKUP(A512,'Salary Calculation'!$A$2:$T$999,6,0),"")</f>
        <v/>
      </c>
      <c r="E512" s="91" t="str">
        <f>IFERROR(VLOOKUP(A512,'Salary Calculation'!$A$2:$T$999,8,0),"")</f>
        <v/>
      </c>
      <c r="F512" s="92" t="str">
        <f>IFERROR(VLOOKUP(C512,'Employees List'!$B$2:H999,6,0),"")</f>
        <v/>
      </c>
      <c r="G512" s="93" t="str">
        <f>IFERROR(VLOOKUP(A512,'Salary Calculation'!$A$2:$T$999,7,0),"")</f>
        <v/>
      </c>
      <c r="H512" s="94"/>
      <c r="I512" s="46"/>
      <c r="J512" s="46"/>
      <c r="K512" s="46"/>
      <c r="L512" s="46"/>
      <c r="M512" s="46"/>
      <c r="N512" s="46"/>
      <c r="O512" s="46"/>
      <c r="P512" s="46"/>
      <c r="Q512" s="46"/>
      <c r="R512" s="46"/>
      <c r="S512" s="46"/>
      <c r="T512" s="46"/>
      <c r="U512" s="46"/>
      <c r="V512" s="46"/>
      <c r="W512" s="46"/>
      <c r="X512" s="46"/>
      <c r="Y512" s="46"/>
      <c r="Z512" s="46"/>
      <c r="AA512" s="46"/>
      <c r="AB512" s="46"/>
    </row>
    <row r="513" hidden="1">
      <c r="A513" s="90" t="s">
        <v>730</v>
      </c>
      <c r="B513" s="91" t="str">
        <f>IFERROR(VLOOKUP(A513,'Salary Calculation'!A513:F1510,2,0),"")</f>
        <v/>
      </c>
      <c r="C513" s="91" t="str">
        <f>IFERROR(VLOOKUP(A513,'Salary Calculation'!$A$2:$T$999,3,0),"")</f>
        <v/>
      </c>
      <c r="D513" s="91" t="str">
        <f>IFERROR(VLOOKUP(A513,'Salary Calculation'!$A$2:$T$999,6,0),"")</f>
        <v/>
      </c>
      <c r="E513" s="91" t="str">
        <f>IFERROR(VLOOKUP(A513,'Salary Calculation'!$A$2:$T$999,8,0),"")</f>
        <v/>
      </c>
      <c r="F513" s="92" t="str">
        <f>IFERROR(VLOOKUP(C513,'Employees List'!$B$2:H999,6,0),"")</f>
        <v/>
      </c>
      <c r="G513" s="93" t="str">
        <f>IFERROR(VLOOKUP(A513,'Salary Calculation'!$A$2:$T$999,7,0),"")</f>
        <v/>
      </c>
      <c r="H513" s="94"/>
      <c r="I513" s="46"/>
      <c r="J513" s="46"/>
      <c r="K513" s="46"/>
      <c r="L513" s="46"/>
      <c r="M513" s="46"/>
      <c r="N513" s="46"/>
      <c r="O513" s="46"/>
      <c r="P513" s="46"/>
      <c r="Q513" s="46"/>
      <c r="R513" s="46"/>
      <c r="S513" s="46"/>
      <c r="T513" s="46"/>
      <c r="U513" s="46"/>
      <c r="V513" s="46"/>
      <c r="W513" s="46"/>
      <c r="X513" s="46"/>
      <c r="Y513" s="46"/>
      <c r="Z513" s="46"/>
      <c r="AA513" s="46"/>
      <c r="AB513" s="46"/>
    </row>
    <row r="514" hidden="1">
      <c r="A514" s="90" t="s">
        <v>731</v>
      </c>
      <c r="B514" s="91" t="str">
        <f>IFERROR(VLOOKUP(A514,'Salary Calculation'!A514:F1511,2,0),"")</f>
        <v/>
      </c>
      <c r="C514" s="91" t="str">
        <f>IFERROR(VLOOKUP(A514,'Salary Calculation'!$A$2:$T$999,3,0),"")</f>
        <v/>
      </c>
      <c r="D514" s="91" t="str">
        <f>IFERROR(VLOOKUP(A514,'Salary Calculation'!$A$2:$T$999,6,0),"")</f>
        <v/>
      </c>
      <c r="E514" s="91" t="str">
        <f>IFERROR(VLOOKUP(A514,'Salary Calculation'!$A$2:$T$999,8,0),"")</f>
        <v/>
      </c>
      <c r="F514" s="92" t="str">
        <f>IFERROR(VLOOKUP(C514,'Employees List'!$B$2:H999,6,0),"")</f>
        <v/>
      </c>
      <c r="G514" s="93" t="str">
        <f>IFERROR(VLOOKUP(A514,'Salary Calculation'!$A$2:$T$999,7,0),"")</f>
        <v/>
      </c>
      <c r="H514" s="94"/>
      <c r="I514" s="46"/>
      <c r="J514" s="46"/>
      <c r="K514" s="46"/>
      <c r="L514" s="46"/>
      <c r="M514" s="46"/>
      <c r="N514" s="46"/>
      <c r="O514" s="46"/>
      <c r="P514" s="46"/>
      <c r="Q514" s="46"/>
      <c r="R514" s="46"/>
      <c r="S514" s="46"/>
      <c r="T514" s="46"/>
      <c r="U514" s="46"/>
      <c r="V514" s="46"/>
      <c r="W514" s="46"/>
      <c r="X514" s="46"/>
      <c r="Y514" s="46"/>
      <c r="Z514" s="46"/>
      <c r="AA514" s="46"/>
      <c r="AB514" s="46"/>
    </row>
    <row r="515" hidden="1">
      <c r="A515" s="90" t="s">
        <v>732</v>
      </c>
      <c r="B515" s="91" t="str">
        <f>IFERROR(VLOOKUP(A515,'Salary Calculation'!A515:F1512,2,0),"")</f>
        <v/>
      </c>
      <c r="C515" s="91" t="str">
        <f>IFERROR(VLOOKUP(A515,'Salary Calculation'!$A$2:$T$999,3,0),"")</f>
        <v/>
      </c>
      <c r="D515" s="91" t="str">
        <f>IFERROR(VLOOKUP(A515,'Salary Calculation'!$A$2:$T$999,6,0),"")</f>
        <v/>
      </c>
      <c r="E515" s="91" t="str">
        <f>IFERROR(VLOOKUP(A515,'Salary Calculation'!$A$2:$T$999,8,0),"")</f>
        <v/>
      </c>
      <c r="F515" s="92" t="str">
        <f>IFERROR(VLOOKUP(C515,'Employees List'!$B$2:H999,6,0),"")</f>
        <v/>
      </c>
      <c r="G515" s="93" t="str">
        <f>IFERROR(VLOOKUP(A515,'Salary Calculation'!$A$2:$T$999,7,0),"")</f>
        <v/>
      </c>
      <c r="H515" s="94"/>
      <c r="I515" s="46"/>
      <c r="J515" s="46"/>
      <c r="K515" s="46"/>
      <c r="L515" s="46"/>
      <c r="M515" s="46"/>
      <c r="N515" s="46"/>
      <c r="O515" s="46"/>
      <c r="P515" s="46"/>
      <c r="Q515" s="46"/>
      <c r="R515" s="46"/>
      <c r="S515" s="46"/>
      <c r="T515" s="46"/>
      <c r="U515" s="46"/>
      <c r="V515" s="46"/>
      <c r="W515" s="46"/>
      <c r="X515" s="46"/>
      <c r="Y515" s="46"/>
      <c r="Z515" s="46"/>
      <c r="AA515" s="46"/>
      <c r="AB515" s="46"/>
    </row>
    <row r="516" hidden="1">
      <c r="A516" s="90" t="s">
        <v>733</v>
      </c>
      <c r="B516" s="91" t="str">
        <f>IFERROR(VLOOKUP(A516,'Salary Calculation'!A516:F1513,2,0),"")</f>
        <v/>
      </c>
      <c r="C516" s="91" t="str">
        <f>IFERROR(VLOOKUP(A516,'Salary Calculation'!$A$2:$T$999,3,0),"")</f>
        <v/>
      </c>
      <c r="D516" s="91" t="str">
        <f>IFERROR(VLOOKUP(A516,'Salary Calculation'!$A$2:$T$999,6,0),"")</f>
        <v/>
      </c>
      <c r="E516" s="91" t="str">
        <f>IFERROR(VLOOKUP(A516,'Salary Calculation'!$A$2:$T$999,8,0),"")</f>
        <v/>
      </c>
      <c r="F516" s="92" t="str">
        <f>IFERROR(VLOOKUP(C516,'Employees List'!$B$2:H999,6,0),"")</f>
        <v/>
      </c>
      <c r="G516" s="93" t="str">
        <f>IFERROR(VLOOKUP(A516,'Salary Calculation'!$A$2:$T$999,7,0),"")</f>
        <v/>
      </c>
      <c r="H516" s="94"/>
      <c r="I516" s="46"/>
      <c r="J516" s="46"/>
      <c r="K516" s="46"/>
      <c r="L516" s="46"/>
      <c r="M516" s="46"/>
      <c r="N516" s="46"/>
      <c r="O516" s="46"/>
      <c r="P516" s="46"/>
      <c r="Q516" s="46"/>
      <c r="R516" s="46"/>
      <c r="S516" s="46"/>
      <c r="T516" s="46"/>
      <c r="U516" s="46"/>
      <c r="V516" s="46"/>
      <c r="W516" s="46"/>
      <c r="X516" s="46"/>
      <c r="Y516" s="46"/>
      <c r="Z516" s="46"/>
      <c r="AA516" s="46"/>
      <c r="AB516" s="46"/>
    </row>
    <row r="517" hidden="1">
      <c r="A517" s="90" t="s">
        <v>734</v>
      </c>
      <c r="B517" s="91" t="str">
        <f>IFERROR(VLOOKUP(A517,'Salary Calculation'!A517:F1514,2,0),"")</f>
        <v/>
      </c>
      <c r="C517" s="91" t="str">
        <f>IFERROR(VLOOKUP(A517,'Salary Calculation'!$A$2:$T$999,3,0),"")</f>
        <v/>
      </c>
      <c r="D517" s="91" t="str">
        <f>IFERROR(VLOOKUP(A517,'Salary Calculation'!$A$2:$T$999,6,0),"")</f>
        <v/>
      </c>
      <c r="E517" s="91" t="str">
        <f>IFERROR(VLOOKUP(A517,'Salary Calculation'!$A$2:$T$999,8,0),"")</f>
        <v/>
      </c>
      <c r="F517" s="92" t="str">
        <f>IFERROR(VLOOKUP(C517,'Employees List'!$B$2:H999,6,0),"")</f>
        <v/>
      </c>
      <c r="G517" s="93" t="str">
        <f>IFERROR(VLOOKUP(A517,'Salary Calculation'!$A$2:$T$999,7,0),"")</f>
        <v/>
      </c>
      <c r="H517" s="94"/>
      <c r="I517" s="46"/>
      <c r="J517" s="46"/>
      <c r="K517" s="46"/>
      <c r="L517" s="46"/>
      <c r="M517" s="46"/>
      <c r="N517" s="46"/>
      <c r="O517" s="46"/>
      <c r="P517" s="46"/>
      <c r="Q517" s="46"/>
      <c r="R517" s="46"/>
      <c r="S517" s="46"/>
      <c r="T517" s="46"/>
      <c r="U517" s="46"/>
      <c r="V517" s="46"/>
      <c r="W517" s="46"/>
      <c r="X517" s="46"/>
      <c r="Y517" s="46"/>
      <c r="Z517" s="46"/>
      <c r="AA517" s="46"/>
      <c r="AB517" s="46"/>
    </row>
    <row r="518" hidden="1">
      <c r="A518" s="90" t="s">
        <v>735</v>
      </c>
      <c r="B518" s="91" t="str">
        <f>IFERROR(VLOOKUP(A518,'Salary Calculation'!A518:F1515,2,0),"")</f>
        <v/>
      </c>
      <c r="C518" s="91" t="str">
        <f>IFERROR(VLOOKUP(A518,'Salary Calculation'!$A$2:$T$999,3,0),"")</f>
        <v/>
      </c>
      <c r="D518" s="91" t="str">
        <f>IFERROR(VLOOKUP(A518,'Salary Calculation'!$A$2:$T$999,6,0),"")</f>
        <v/>
      </c>
      <c r="E518" s="91" t="str">
        <f>IFERROR(VLOOKUP(A518,'Salary Calculation'!$A$2:$T$999,8,0),"")</f>
        <v/>
      </c>
      <c r="F518" s="92" t="str">
        <f>IFERROR(VLOOKUP(C518,'Employees List'!$B$2:H999,6,0),"")</f>
        <v/>
      </c>
      <c r="G518" s="93" t="str">
        <f>IFERROR(VLOOKUP(A518,'Salary Calculation'!$A$2:$T$999,7,0),"")</f>
        <v/>
      </c>
      <c r="H518" s="94"/>
      <c r="I518" s="46"/>
      <c r="J518" s="46"/>
      <c r="K518" s="46"/>
      <c r="L518" s="46"/>
      <c r="M518" s="46"/>
      <c r="N518" s="46"/>
      <c r="O518" s="46"/>
      <c r="P518" s="46"/>
      <c r="Q518" s="46"/>
      <c r="R518" s="46"/>
      <c r="S518" s="46"/>
      <c r="T518" s="46"/>
      <c r="U518" s="46"/>
      <c r="V518" s="46"/>
      <c r="W518" s="46"/>
      <c r="X518" s="46"/>
      <c r="Y518" s="46"/>
      <c r="Z518" s="46"/>
      <c r="AA518" s="46"/>
      <c r="AB518" s="46"/>
    </row>
    <row r="519" hidden="1">
      <c r="A519" s="90" t="s">
        <v>736</v>
      </c>
      <c r="B519" s="91" t="str">
        <f>IFERROR(VLOOKUP(A519,'Salary Calculation'!A519:F1516,2,0),"")</f>
        <v/>
      </c>
      <c r="C519" s="91" t="str">
        <f>IFERROR(VLOOKUP(A519,'Salary Calculation'!$A$2:$T$999,3,0),"")</f>
        <v/>
      </c>
      <c r="D519" s="91" t="str">
        <f>IFERROR(VLOOKUP(A519,'Salary Calculation'!$A$2:$T$999,6,0),"")</f>
        <v/>
      </c>
      <c r="E519" s="91" t="str">
        <f>IFERROR(VLOOKUP(A519,'Salary Calculation'!$A$2:$T$999,8,0),"")</f>
        <v/>
      </c>
      <c r="F519" s="92" t="str">
        <f>IFERROR(VLOOKUP(C519,'Employees List'!$B$2:H999,6,0),"")</f>
        <v/>
      </c>
      <c r="G519" s="93" t="str">
        <f>IFERROR(VLOOKUP(A519,'Salary Calculation'!$A$2:$T$999,7,0),"")</f>
        <v/>
      </c>
      <c r="H519" s="94"/>
      <c r="I519" s="46"/>
      <c r="J519" s="46"/>
      <c r="K519" s="46"/>
      <c r="L519" s="46"/>
      <c r="M519" s="46"/>
      <c r="N519" s="46"/>
      <c r="O519" s="46"/>
      <c r="P519" s="46"/>
      <c r="Q519" s="46"/>
      <c r="R519" s="46"/>
      <c r="S519" s="46"/>
      <c r="T519" s="46"/>
      <c r="U519" s="46"/>
      <c r="V519" s="46"/>
      <c r="W519" s="46"/>
      <c r="X519" s="46"/>
      <c r="Y519" s="46"/>
      <c r="Z519" s="46"/>
      <c r="AA519" s="46"/>
      <c r="AB519" s="46"/>
    </row>
    <row r="520" hidden="1">
      <c r="A520" s="90" t="s">
        <v>737</v>
      </c>
      <c r="B520" s="91" t="str">
        <f>IFERROR(VLOOKUP(A520,'Salary Calculation'!A520:F1517,2,0),"")</f>
        <v/>
      </c>
      <c r="C520" s="91" t="str">
        <f>IFERROR(VLOOKUP(A520,'Salary Calculation'!$A$2:$T$999,3,0),"")</f>
        <v/>
      </c>
      <c r="D520" s="91" t="str">
        <f>IFERROR(VLOOKUP(A520,'Salary Calculation'!$A$2:$T$999,6,0),"")</f>
        <v/>
      </c>
      <c r="E520" s="91" t="str">
        <f>IFERROR(VLOOKUP(A520,'Salary Calculation'!$A$2:$T$999,8,0),"")</f>
        <v/>
      </c>
      <c r="F520" s="92" t="str">
        <f>IFERROR(VLOOKUP(C520,'Employees List'!$B$2:H999,6,0),"")</f>
        <v/>
      </c>
      <c r="G520" s="93" t="str">
        <f>IFERROR(VLOOKUP(A520,'Salary Calculation'!$A$2:$T$999,7,0),"")</f>
        <v/>
      </c>
      <c r="H520" s="94"/>
      <c r="I520" s="46"/>
      <c r="J520" s="46"/>
      <c r="K520" s="46"/>
      <c r="L520" s="46"/>
      <c r="M520" s="46"/>
      <c r="N520" s="46"/>
      <c r="O520" s="46"/>
      <c r="P520" s="46"/>
      <c r="Q520" s="46"/>
      <c r="R520" s="46"/>
      <c r="S520" s="46"/>
      <c r="T520" s="46"/>
      <c r="U520" s="46"/>
      <c r="V520" s="46"/>
      <c r="W520" s="46"/>
      <c r="X520" s="46"/>
      <c r="Y520" s="46"/>
      <c r="Z520" s="46"/>
      <c r="AA520" s="46"/>
      <c r="AB520" s="46"/>
    </row>
    <row r="521" hidden="1">
      <c r="A521" s="90" t="s">
        <v>738</v>
      </c>
      <c r="B521" s="91" t="str">
        <f>IFERROR(VLOOKUP(A521,'Salary Calculation'!A521:F1518,2,0),"")</f>
        <v/>
      </c>
      <c r="C521" s="91" t="str">
        <f>IFERROR(VLOOKUP(A521,'Salary Calculation'!$A$2:$T$999,3,0),"")</f>
        <v/>
      </c>
      <c r="D521" s="91" t="str">
        <f>IFERROR(VLOOKUP(A521,'Salary Calculation'!$A$2:$T$999,6,0),"")</f>
        <v/>
      </c>
      <c r="E521" s="91" t="str">
        <f>IFERROR(VLOOKUP(A521,'Salary Calculation'!$A$2:$T$999,8,0),"")</f>
        <v/>
      </c>
      <c r="F521" s="92" t="str">
        <f>IFERROR(VLOOKUP(C521,'Employees List'!$B$2:H999,6,0),"")</f>
        <v/>
      </c>
      <c r="G521" s="93" t="str">
        <f>IFERROR(VLOOKUP(A521,'Salary Calculation'!$A$2:$T$999,7,0),"")</f>
        <v/>
      </c>
      <c r="H521" s="94"/>
      <c r="I521" s="46"/>
      <c r="J521" s="46"/>
      <c r="K521" s="46"/>
      <c r="L521" s="46"/>
      <c r="M521" s="46"/>
      <c r="N521" s="46"/>
      <c r="O521" s="46"/>
      <c r="P521" s="46"/>
      <c r="Q521" s="46"/>
      <c r="R521" s="46"/>
      <c r="S521" s="46"/>
      <c r="T521" s="46"/>
      <c r="U521" s="46"/>
      <c r="V521" s="46"/>
      <c r="W521" s="46"/>
      <c r="X521" s="46"/>
      <c r="Y521" s="46"/>
      <c r="Z521" s="46"/>
      <c r="AA521" s="46"/>
      <c r="AB521" s="46"/>
    </row>
    <row r="522" hidden="1">
      <c r="A522" s="90" t="s">
        <v>739</v>
      </c>
      <c r="B522" s="91" t="str">
        <f>IFERROR(VLOOKUP(A522,'Salary Calculation'!A522:F1519,2,0),"")</f>
        <v/>
      </c>
      <c r="C522" s="91" t="str">
        <f>IFERROR(VLOOKUP(A522,'Salary Calculation'!$A$2:$T$999,3,0),"")</f>
        <v/>
      </c>
      <c r="D522" s="91" t="str">
        <f>IFERROR(VLOOKUP(A522,'Salary Calculation'!$A$2:$T$999,6,0),"")</f>
        <v/>
      </c>
      <c r="E522" s="91" t="str">
        <f>IFERROR(VLOOKUP(A522,'Salary Calculation'!$A$2:$T$999,8,0),"")</f>
        <v/>
      </c>
      <c r="F522" s="92" t="str">
        <f>IFERROR(VLOOKUP(C522,'Employees List'!$B$2:H999,6,0),"")</f>
        <v/>
      </c>
      <c r="G522" s="93" t="str">
        <f>IFERROR(VLOOKUP(A522,'Salary Calculation'!$A$2:$T$999,7,0),"")</f>
        <v/>
      </c>
      <c r="H522" s="94"/>
      <c r="I522" s="46"/>
      <c r="J522" s="46"/>
      <c r="K522" s="46"/>
      <c r="L522" s="46"/>
      <c r="M522" s="46"/>
      <c r="N522" s="46"/>
      <c r="O522" s="46"/>
      <c r="P522" s="46"/>
      <c r="Q522" s="46"/>
      <c r="R522" s="46"/>
      <c r="S522" s="46"/>
      <c r="T522" s="46"/>
      <c r="U522" s="46"/>
      <c r="V522" s="46"/>
      <c r="W522" s="46"/>
      <c r="X522" s="46"/>
      <c r="Y522" s="46"/>
      <c r="Z522" s="46"/>
      <c r="AA522" s="46"/>
      <c r="AB522" s="46"/>
    </row>
    <row r="523" hidden="1">
      <c r="A523" s="90" t="s">
        <v>740</v>
      </c>
      <c r="B523" s="91" t="str">
        <f>IFERROR(VLOOKUP(A523,'Salary Calculation'!A523:F1520,2,0),"")</f>
        <v/>
      </c>
      <c r="C523" s="91" t="str">
        <f>IFERROR(VLOOKUP(A523,'Salary Calculation'!$A$2:$T$999,3,0),"")</f>
        <v/>
      </c>
      <c r="D523" s="91" t="str">
        <f>IFERROR(VLOOKUP(A523,'Salary Calculation'!$A$2:$T$999,6,0),"")</f>
        <v/>
      </c>
      <c r="E523" s="91" t="str">
        <f>IFERROR(VLOOKUP(A523,'Salary Calculation'!$A$2:$T$999,8,0),"")</f>
        <v/>
      </c>
      <c r="F523" s="92" t="str">
        <f>IFERROR(VLOOKUP(C523,'Employees List'!$B$2:H999,6,0),"")</f>
        <v/>
      </c>
      <c r="G523" s="93" t="str">
        <f>IFERROR(VLOOKUP(A523,'Salary Calculation'!$A$2:$T$999,7,0),"")</f>
        <v/>
      </c>
      <c r="H523" s="94"/>
      <c r="I523" s="46"/>
      <c r="J523" s="46"/>
      <c r="K523" s="46"/>
      <c r="L523" s="46"/>
      <c r="M523" s="46"/>
      <c r="N523" s="46"/>
      <c r="O523" s="46"/>
      <c r="P523" s="46"/>
      <c r="Q523" s="46"/>
      <c r="R523" s="46"/>
      <c r="S523" s="46"/>
      <c r="T523" s="46"/>
      <c r="U523" s="46"/>
      <c r="V523" s="46"/>
      <c r="W523" s="46"/>
      <c r="X523" s="46"/>
      <c r="Y523" s="46"/>
      <c r="Z523" s="46"/>
      <c r="AA523" s="46"/>
      <c r="AB523" s="46"/>
    </row>
    <row r="524" hidden="1">
      <c r="A524" s="90" t="s">
        <v>741</v>
      </c>
      <c r="B524" s="91" t="str">
        <f>IFERROR(VLOOKUP(A524,'Salary Calculation'!A524:F1521,2,0),"")</f>
        <v/>
      </c>
      <c r="C524" s="91" t="str">
        <f>IFERROR(VLOOKUP(A524,'Salary Calculation'!$A$2:$T$999,3,0),"")</f>
        <v/>
      </c>
      <c r="D524" s="91" t="str">
        <f>IFERROR(VLOOKUP(A524,'Salary Calculation'!$A$2:$T$999,6,0),"")</f>
        <v/>
      </c>
      <c r="E524" s="91" t="str">
        <f>IFERROR(VLOOKUP(A524,'Salary Calculation'!$A$2:$T$999,8,0),"")</f>
        <v/>
      </c>
      <c r="F524" s="92" t="str">
        <f>IFERROR(VLOOKUP(C524,'Employees List'!$B$2:H999,6,0),"")</f>
        <v/>
      </c>
      <c r="G524" s="93" t="str">
        <f>IFERROR(VLOOKUP(A524,'Salary Calculation'!$A$2:$T$999,7,0),"")</f>
        <v/>
      </c>
      <c r="H524" s="94"/>
      <c r="I524" s="46"/>
      <c r="J524" s="46"/>
      <c r="K524" s="46"/>
      <c r="L524" s="46"/>
      <c r="M524" s="46"/>
      <c r="N524" s="46"/>
      <c r="O524" s="46"/>
      <c r="P524" s="46"/>
      <c r="Q524" s="46"/>
      <c r="R524" s="46"/>
      <c r="S524" s="46"/>
      <c r="T524" s="46"/>
      <c r="U524" s="46"/>
      <c r="V524" s="46"/>
      <c r="W524" s="46"/>
      <c r="X524" s="46"/>
      <c r="Y524" s="46"/>
      <c r="Z524" s="46"/>
      <c r="AA524" s="46"/>
      <c r="AB524" s="46"/>
    </row>
    <row r="525" hidden="1">
      <c r="A525" s="90" t="s">
        <v>742</v>
      </c>
      <c r="B525" s="91" t="str">
        <f>IFERROR(VLOOKUP(A525,'Salary Calculation'!A525:F1522,2,0),"")</f>
        <v/>
      </c>
      <c r="C525" s="91" t="str">
        <f>IFERROR(VLOOKUP(A525,'Salary Calculation'!$A$2:$T$999,3,0),"")</f>
        <v/>
      </c>
      <c r="D525" s="91" t="str">
        <f>IFERROR(VLOOKUP(A525,'Salary Calculation'!$A$2:$T$999,6,0),"")</f>
        <v/>
      </c>
      <c r="E525" s="91" t="str">
        <f>IFERROR(VLOOKUP(A525,'Salary Calculation'!$A$2:$T$999,8,0),"")</f>
        <v/>
      </c>
      <c r="F525" s="92" t="str">
        <f>IFERROR(VLOOKUP(C525,'Employees List'!$B$2:H999,6,0),"")</f>
        <v/>
      </c>
      <c r="G525" s="93" t="str">
        <f>IFERROR(VLOOKUP(A525,'Salary Calculation'!$A$2:$T$999,7,0),"")</f>
        <v/>
      </c>
      <c r="H525" s="94"/>
      <c r="I525" s="46"/>
      <c r="J525" s="46"/>
      <c r="K525" s="46"/>
      <c r="L525" s="46"/>
      <c r="M525" s="46"/>
      <c r="N525" s="46"/>
      <c r="O525" s="46"/>
      <c r="P525" s="46"/>
      <c r="Q525" s="46"/>
      <c r="R525" s="46"/>
      <c r="S525" s="46"/>
      <c r="T525" s="46"/>
      <c r="U525" s="46"/>
      <c r="V525" s="46"/>
      <c r="W525" s="46"/>
      <c r="X525" s="46"/>
      <c r="Y525" s="46"/>
      <c r="Z525" s="46"/>
      <c r="AA525" s="46"/>
      <c r="AB525" s="46"/>
    </row>
    <row r="526" hidden="1">
      <c r="A526" s="90" t="s">
        <v>743</v>
      </c>
      <c r="B526" s="91" t="str">
        <f>IFERROR(VLOOKUP(A526,'Salary Calculation'!A526:F1523,2,0),"")</f>
        <v/>
      </c>
      <c r="C526" s="91" t="str">
        <f>IFERROR(VLOOKUP(A526,'Salary Calculation'!$A$2:$T$999,3,0),"")</f>
        <v/>
      </c>
      <c r="D526" s="91" t="str">
        <f>IFERROR(VLOOKUP(A526,'Salary Calculation'!$A$2:$T$999,6,0),"")</f>
        <v/>
      </c>
      <c r="E526" s="91" t="str">
        <f>IFERROR(VLOOKUP(A526,'Salary Calculation'!$A$2:$T$999,8,0),"")</f>
        <v/>
      </c>
      <c r="F526" s="92" t="str">
        <f>IFERROR(VLOOKUP(C526,'Employees List'!$B$2:H999,6,0),"")</f>
        <v/>
      </c>
      <c r="G526" s="93" t="str">
        <f>IFERROR(VLOOKUP(A526,'Salary Calculation'!$A$2:$T$999,7,0),"")</f>
        <v/>
      </c>
      <c r="H526" s="94"/>
      <c r="I526" s="46"/>
      <c r="J526" s="46"/>
      <c r="K526" s="46"/>
      <c r="L526" s="46"/>
      <c r="M526" s="46"/>
      <c r="N526" s="46"/>
      <c r="O526" s="46"/>
      <c r="P526" s="46"/>
      <c r="Q526" s="46"/>
      <c r="R526" s="46"/>
      <c r="S526" s="46"/>
      <c r="T526" s="46"/>
      <c r="U526" s="46"/>
      <c r="V526" s="46"/>
      <c r="W526" s="46"/>
      <c r="X526" s="46"/>
      <c r="Y526" s="46"/>
      <c r="Z526" s="46"/>
      <c r="AA526" s="46"/>
      <c r="AB526" s="46"/>
    </row>
    <row r="527" hidden="1">
      <c r="A527" s="90" t="s">
        <v>744</v>
      </c>
      <c r="B527" s="91" t="str">
        <f>IFERROR(VLOOKUP(A527,'Salary Calculation'!A527:F1524,2,0),"")</f>
        <v/>
      </c>
      <c r="C527" s="91" t="str">
        <f>IFERROR(VLOOKUP(A527,'Salary Calculation'!$A$2:$T$999,3,0),"")</f>
        <v/>
      </c>
      <c r="D527" s="91" t="str">
        <f>IFERROR(VLOOKUP(A527,'Salary Calculation'!$A$2:$T$999,6,0),"")</f>
        <v/>
      </c>
      <c r="E527" s="91" t="str">
        <f>IFERROR(VLOOKUP(A527,'Salary Calculation'!$A$2:$T$999,8,0),"")</f>
        <v/>
      </c>
      <c r="F527" s="92" t="str">
        <f>IFERROR(VLOOKUP(C527,'Employees List'!$B$2:H999,6,0),"")</f>
        <v/>
      </c>
      <c r="G527" s="93" t="str">
        <f>IFERROR(VLOOKUP(A527,'Salary Calculation'!$A$2:$T$999,7,0),"")</f>
        <v/>
      </c>
      <c r="H527" s="94"/>
      <c r="I527" s="46"/>
      <c r="J527" s="46"/>
      <c r="K527" s="46"/>
      <c r="L527" s="46"/>
      <c r="M527" s="46"/>
      <c r="N527" s="46"/>
      <c r="O527" s="46"/>
      <c r="P527" s="46"/>
      <c r="Q527" s="46"/>
      <c r="R527" s="46"/>
      <c r="S527" s="46"/>
      <c r="T527" s="46"/>
      <c r="U527" s="46"/>
      <c r="V527" s="46"/>
      <c r="W527" s="46"/>
      <c r="X527" s="46"/>
      <c r="Y527" s="46"/>
      <c r="Z527" s="46"/>
      <c r="AA527" s="46"/>
      <c r="AB527" s="46"/>
    </row>
    <row r="528" hidden="1">
      <c r="A528" s="90" t="s">
        <v>745</v>
      </c>
      <c r="B528" s="91" t="str">
        <f>IFERROR(VLOOKUP(A528,'Salary Calculation'!A528:F1525,2,0),"")</f>
        <v/>
      </c>
      <c r="C528" s="91" t="str">
        <f>IFERROR(VLOOKUP(A528,'Salary Calculation'!$A$2:$T$999,3,0),"")</f>
        <v/>
      </c>
      <c r="D528" s="91" t="str">
        <f>IFERROR(VLOOKUP(A528,'Salary Calculation'!$A$2:$T$999,6,0),"")</f>
        <v/>
      </c>
      <c r="E528" s="91" t="str">
        <f>IFERROR(VLOOKUP(A528,'Salary Calculation'!$A$2:$T$999,8,0),"")</f>
        <v/>
      </c>
      <c r="F528" s="92" t="str">
        <f>IFERROR(VLOOKUP(C528,'Employees List'!$B$2:H999,6,0),"")</f>
        <v/>
      </c>
      <c r="G528" s="93" t="str">
        <f>IFERROR(VLOOKUP(A528,'Salary Calculation'!$A$2:$T$999,7,0),"")</f>
        <v/>
      </c>
      <c r="H528" s="94"/>
      <c r="I528" s="46"/>
      <c r="J528" s="46"/>
      <c r="K528" s="46"/>
      <c r="L528" s="46"/>
      <c r="M528" s="46"/>
      <c r="N528" s="46"/>
      <c r="O528" s="46"/>
      <c r="P528" s="46"/>
      <c r="Q528" s="46"/>
      <c r="R528" s="46"/>
      <c r="S528" s="46"/>
      <c r="T528" s="46"/>
      <c r="U528" s="46"/>
      <c r="V528" s="46"/>
      <c r="W528" s="46"/>
      <c r="X528" s="46"/>
      <c r="Y528" s="46"/>
      <c r="Z528" s="46"/>
      <c r="AA528" s="46"/>
      <c r="AB528" s="46"/>
    </row>
    <row r="529" hidden="1">
      <c r="A529" s="90" t="s">
        <v>746</v>
      </c>
      <c r="B529" s="91" t="str">
        <f>IFERROR(VLOOKUP(A529,'Salary Calculation'!A529:F1526,2,0),"")</f>
        <v/>
      </c>
      <c r="C529" s="91" t="str">
        <f>IFERROR(VLOOKUP(A529,'Salary Calculation'!$A$2:$T$999,3,0),"")</f>
        <v/>
      </c>
      <c r="D529" s="91" t="str">
        <f>IFERROR(VLOOKUP(A529,'Salary Calculation'!$A$2:$T$999,6,0),"")</f>
        <v/>
      </c>
      <c r="E529" s="91" t="str">
        <f>IFERROR(VLOOKUP(A529,'Salary Calculation'!$A$2:$T$999,8,0),"")</f>
        <v/>
      </c>
      <c r="F529" s="92" t="str">
        <f>IFERROR(VLOOKUP(C529,'Employees List'!$B$2:H999,6,0),"")</f>
        <v/>
      </c>
      <c r="G529" s="93" t="str">
        <f>IFERROR(VLOOKUP(A529,'Salary Calculation'!$A$2:$T$999,7,0),"")</f>
        <v/>
      </c>
      <c r="H529" s="94"/>
      <c r="I529" s="46"/>
      <c r="J529" s="46"/>
      <c r="K529" s="46"/>
      <c r="L529" s="46"/>
      <c r="M529" s="46"/>
      <c r="N529" s="46"/>
      <c r="O529" s="46"/>
      <c r="P529" s="46"/>
      <c r="Q529" s="46"/>
      <c r="R529" s="46"/>
      <c r="S529" s="46"/>
      <c r="T529" s="46"/>
      <c r="U529" s="46"/>
      <c r="V529" s="46"/>
      <c r="W529" s="46"/>
      <c r="X529" s="46"/>
      <c r="Y529" s="46"/>
      <c r="Z529" s="46"/>
      <c r="AA529" s="46"/>
      <c r="AB529" s="46"/>
    </row>
    <row r="530" hidden="1">
      <c r="A530" s="90" t="s">
        <v>747</v>
      </c>
      <c r="B530" s="91" t="str">
        <f>IFERROR(VLOOKUP(A530,'Salary Calculation'!A530:F1527,2,0),"")</f>
        <v/>
      </c>
      <c r="C530" s="91" t="str">
        <f>IFERROR(VLOOKUP(A530,'Salary Calculation'!$A$2:$T$999,3,0),"")</f>
        <v/>
      </c>
      <c r="D530" s="91" t="str">
        <f>IFERROR(VLOOKUP(A530,'Salary Calculation'!$A$2:$T$999,6,0),"")</f>
        <v/>
      </c>
      <c r="E530" s="91" t="str">
        <f>IFERROR(VLOOKUP(A530,'Salary Calculation'!$A$2:$T$999,8,0),"")</f>
        <v/>
      </c>
      <c r="F530" s="92" t="str">
        <f>IFERROR(VLOOKUP(C530,'Employees List'!$B$2:H999,6,0),"")</f>
        <v/>
      </c>
      <c r="G530" s="93" t="str">
        <f>IFERROR(VLOOKUP(A530,'Salary Calculation'!$A$2:$T$999,7,0),"")</f>
        <v/>
      </c>
      <c r="H530" s="94"/>
      <c r="I530" s="46"/>
      <c r="J530" s="46"/>
      <c r="K530" s="46"/>
      <c r="L530" s="46"/>
      <c r="M530" s="46"/>
      <c r="N530" s="46"/>
      <c r="O530" s="46"/>
      <c r="P530" s="46"/>
      <c r="Q530" s="46"/>
      <c r="R530" s="46"/>
      <c r="S530" s="46"/>
      <c r="T530" s="46"/>
      <c r="U530" s="46"/>
      <c r="V530" s="46"/>
      <c r="W530" s="46"/>
      <c r="X530" s="46"/>
      <c r="Y530" s="46"/>
      <c r="Z530" s="46"/>
      <c r="AA530" s="46"/>
      <c r="AB530" s="46"/>
    </row>
    <row r="531" hidden="1">
      <c r="A531" s="90" t="s">
        <v>748</v>
      </c>
      <c r="B531" s="91" t="str">
        <f>IFERROR(VLOOKUP(A531,'Salary Calculation'!A531:F1528,2,0),"")</f>
        <v/>
      </c>
      <c r="C531" s="91" t="str">
        <f>IFERROR(VLOOKUP(A531,'Salary Calculation'!$A$2:$T$999,3,0),"")</f>
        <v/>
      </c>
      <c r="D531" s="91" t="str">
        <f>IFERROR(VLOOKUP(A531,'Salary Calculation'!$A$2:$T$999,6,0),"")</f>
        <v/>
      </c>
      <c r="E531" s="91" t="str">
        <f>IFERROR(VLOOKUP(A531,'Salary Calculation'!$A$2:$T$999,8,0),"")</f>
        <v/>
      </c>
      <c r="F531" s="92" t="str">
        <f>IFERROR(VLOOKUP(C531,'Employees List'!$B$2:H999,6,0),"")</f>
        <v/>
      </c>
      <c r="G531" s="93" t="str">
        <f>IFERROR(VLOOKUP(A531,'Salary Calculation'!$A$2:$T$999,7,0),"")</f>
        <v/>
      </c>
      <c r="H531" s="94"/>
      <c r="I531" s="46"/>
      <c r="J531" s="46"/>
      <c r="K531" s="46"/>
      <c r="L531" s="46"/>
      <c r="M531" s="46"/>
      <c r="N531" s="46"/>
      <c r="O531" s="46"/>
      <c r="P531" s="46"/>
      <c r="Q531" s="46"/>
      <c r="R531" s="46"/>
      <c r="S531" s="46"/>
      <c r="T531" s="46"/>
      <c r="U531" s="46"/>
      <c r="V531" s="46"/>
      <c r="W531" s="46"/>
      <c r="X531" s="46"/>
      <c r="Y531" s="46"/>
      <c r="Z531" s="46"/>
      <c r="AA531" s="46"/>
      <c r="AB531" s="46"/>
    </row>
    <row r="532" hidden="1">
      <c r="A532" s="90" t="s">
        <v>749</v>
      </c>
      <c r="B532" s="91" t="str">
        <f>IFERROR(VLOOKUP(A532,'Salary Calculation'!A532:F1529,2,0),"")</f>
        <v/>
      </c>
      <c r="C532" s="91" t="str">
        <f>IFERROR(VLOOKUP(A532,'Salary Calculation'!$A$2:$T$999,3,0),"")</f>
        <v/>
      </c>
      <c r="D532" s="91" t="str">
        <f>IFERROR(VLOOKUP(A532,'Salary Calculation'!$A$2:$T$999,6,0),"")</f>
        <v/>
      </c>
      <c r="E532" s="91" t="str">
        <f>IFERROR(VLOOKUP(A532,'Salary Calculation'!$A$2:$T$999,8,0),"")</f>
        <v/>
      </c>
      <c r="F532" s="92" t="str">
        <f>IFERROR(VLOOKUP(C532,'Employees List'!$B$2:H999,6,0),"")</f>
        <v/>
      </c>
      <c r="G532" s="93" t="str">
        <f>IFERROR(VLOOKUP(A532,'Salary Calculation'!$A$2:$T$999,7,0),"")</f>
        <v/>
      </c>
      <c r="H532" s="94"/>
      <c r="I532" s="46"/>
      <c r="J532" s="46"/>
      <c r="K532" s="46"/>
      <c r="L532" s="46"/>
      <c r="M532" s="46"/>
      <c r="N532" s="46"/>
      <c r="O532" s="46"/>
      <c r="P532" s="46"/>
      <c r="Q532" s="46"/>
      <c r="R532" s="46"/>
      <c r="S532" s="46"/>
      <c r="T532" s="46"/>
      <c r="U532" s="46"/>
      <c r="V532" s="46"/>
      <c r="W532" s="46"/>
      <c r="X532" s="46"/>
      <c r="Y532" s="46"/>
      <c r="Z532" s="46"/>
      <c r="AA532" s="46"/>
      <c r="AB532" s="46"/>
    </row>
    <row r="533" hidden="1">
      <c r="A533" s="90" t="s">
        <v>750</v>
      </c>
      <c r="B533" s="91" t="str">
        <f>IFERROR(VLOOKUP(A533,'Salary Calculation'!A533:F1530,2,0),"")</f>
        <v/>
      </c>
      <c r="C533" s="91" t="str">
        <f>IFERROR(VLOOKUP(A533,'Salary Calculation'!$A$2:$T$999,3,0),"")</f>
        <v/>
      </c>
      <c r="D533" s="91" t="str">
        <f>IFERROR(VLOOKUP(A533,'Salary Calculation'!$A$2:$T$999,6,0),"")</f>
        <v/>
      </c>
      <c r="E533" s="91" t="str">
        <f>IFERROR(VLOOKUP(A533,'Salary Calculation'!$A$2:$T$999,8,0),"")</f>
        <v/>
      </c>
      <c r="F533" s="92" t="str">
        <f>IFERROR(VLOOKUP(C533,'Employees List'!$B$2:H999,6,0),"")</f>
        <v/>
      </c>
      <c r="G533" s="93" t="str">
        <f>IFERROR(VLOOKUP(A533,'Salary Calculation'!$A$2:$T$999,7,0),"")</f>
        <v/>
      </c>
      <c r="H533" s="94"/>
      <c r="I533" s="46"/>
      <c r="J533" s="46"/>
      <c r="K533" s="46"/>
      <c r="L533" s="46"/>
      <c r="M533" s="46"/>
      <c r="N533" s="46"/>
      <c r="O533" s="46"/>
      <c r="P533" s="46"/>
      <c r="Q533" s="46"/>
      <c r="R533" s="46"/>
      <c r="S533" s="46"/>
      <c r="T533" s="46"/>
      <c r="U533" s="46"/>
      <c r="V533" s="46"/>
      <c r="W533" s="46"/>
      <c r="X533" s="46"/>
      <c r="Y533" s="46"/>
      <c r="Z533" s="46"/>
      <c r="AA533" s="46"/>
      <c r="AB533" s="46"/>
    </row>
    <row r="534" hidden="1">
      <c r="A534" s="90" t="s">
        <v>751</v>
      </c>
      <c r="B534" s="91" t="str">
        <f>IFERROR(VLOOKUP(A534,'Salary Calculation'!A534:F1531,2,0),"")</f>
        <v/>
      </c>
      <c r="C534" s="91" t="str">
        <f>IFERROR(VLOOKUP(A534,'Salary Calculation'!$A$2:$T$999,3,0),"")</f>
        <v/>
      </c>
      <c r="D534" s="91" t="str">
        <f>IFERROR(VLOOKUP(A534,'Salary Calculation'!$A$2:$T$999,6,0),"")</f>
        <v/>
      </c>
      <c r="E534" s="91" t="str">
        <f>IFERROR(VLOOKUP(A534,'Salary Calculation'!$A$2:$T$999,8,0),"")</f>
        <v/>
      </c>
      <c r="F534" s="92" t="str">
        <f>IFERROR(VLOOKUP(C534,'Employees List'!$B$2:H999,6,0),"")</f>
        <v/>
      </c>
      <c r="G534" s="93" t="str">
        <f>IFERROR(VLOOKUP(A534,'Salary Calculation'!$A$2:$T$999,7,0),"")</f>
        <v/>
      </c>
      <c r="H534" s="94"/>
      <c r="I534" s="46"/>
      <c r="J534" s="46"/>
      <c r="K534" s="46"/>
      <c r="L534" s="46"/>
      <c r="M534" s="46"/>
      <c r="N534" s="46"/>
      <c r="O534" s="46"/>
      <c r="P534" s="46"/>
      <c r="Q534" s="46"/>
      <c r="R534" s="46"/>
      <c r="S534" s="46"/>
      <c r="T534" s="46"/>
      <c r="U534" s="46"/>
      <c r="V534" s="46"/>
      <c r="W534" s="46"/>
      <c r="X534" s="46"/>
      <c r="Y534" s="46"/>
      <c r="Z534" s="46"/>
      <c r="AA534" s="46"/>
      <c r="AB534" s="46"/>
    </row>
    <row r="535" hidden="1">
      <c r="A535" s="90" t="s">
        <v>752</v>
      </c>
      <c r="B535" s="91" t="str">
        <f>IFERROR(VLOOKUP(A535,'Salary Calculation'!A535:F1532,2,0),"")</f>
        <v/>
      </c>
      <c r="C535" s="91" t="str">
        <f>IFERROR(VLOOKUP(A535,'Salary Calculation'!$A$2:$T$999,3,0),"")</f>
        <v/>
      </c>
      <c r="D535" s="91" t="str">
        <f>IFERROR(VLOOKUP(A535,'Salary Calculation'!$A$2:$T$999,6,0),"")</f>
        <v/>
      </c>
      <c r="E535" s="91" t="str">
        <f>IFERROR(VLOOKUP(A535,'Salary Calculation'!$A$2:$T$999,8,0),"")</f>
        <v/>
      </c>
      <c r="F535" s="92" t="str">
        <f>IFERROR(VLOOKUP(C535,'Employees List'!$B$2:H999,6,0),"")</f>
        <v/>
      </c>
      <c r="G535" s="93" t="str">
        <f>IFERROR(VLOOKUP(A535,'Salary Calculation'!$A$2:$T$999,7,0),"")</f>
        <v/>
      </c>
      <c r="H535" s="94"/>
      <c r="I535" s="46"/>
      <c r="J535" s="46"/>
      <c r="K535" s="46"/>
      <c r="L535" s="46"/>
      <c r="M535" s="46"/>
      <c r="N535" s="46"/>
      <c r="O535" s="46"/>
      <c r="P535" s="46"/>
      <c r="Q535" s="46"/>
      <c r="R535" s="46"/>
      <c r="S535" s="46"/>
      <c r="T535" s="46"/>
      <c r="U535" s="46"/>
      <c r="V535" s="46"/>
      <c r="W535" s="46"/>
      <c r="X535" s="46"/>
      <c r="Y535" s="46"/>
      <c r="Z535" s="46"/>
      <c r="AA535" s="46"/>
      <c r="AB535" s="46"/>
    </row>
    <row r="536" hidden="1">
      <c r="A536" s="90" t="s">
        <v>753</v>
      </c>
      <c r="B536" s="91" t="str">
        <f>IFERROR(VLOOKUP(A536,'Salary Calculation'!A536:F1533,2,0),"")</f>
        <v/>
      </c>
      <c r="C536" s="91" t="str">
        <f>IFERROR(VLOOKUP(A536,'Salary Calculation'!$A$2:$T$999,3,0),"")</f>
        <v/>
      </c>
      <c r="D536" s="91" t="str">
        <f>IFERROR(VLOOKUP(A536,'Salary Calculation'!$A$2:$T$999,6,0),"")</f>
        <v/>
      </c>
      <c r="E536" s="91" t="str">
        <f>IFERROR(VLOOKUP(A536,'Salary Calculation'!$A$2:$T$999,8,0),"")</f>
        <v/>
      </c>
      <c r="F536" s="92" t="str">
        <f>IFERROR(VLOOKUP(C536,'Employees List'!$B$2:H999,6,0),"")</f>
        <v/>
      </c>
      <c r="G536" s="93" t="str">
        <f>IFERROR(VLOOKUP(A536,'Salary Calculation'!$A$2:$T$999,7,0),"")</f>
        <v/>
      </c>
      <c r="H536" s="94"/>
      <c r="I536" s="46"/>
      <c r="J536" s="46"/>
      <c r="K536" s="46"/>
      <c r="L536" s="46"/>
      <c r="M536" s="46"/>
      <c r="N536" s="46"/>
      <c r="O536" s="46"/>
      <c r="P536" s="46"/>
      <c r="Q536" s="46"/>
      <c r="R536" s="46"/>
      <c r="S536" s="46"/>
      <c r="T536" s="46"/>
      <c r="U536" s="46"/>
      <c r="V536" s="46"/>
      <c r="W536" s="46"/>
      <c r="X536" s="46"/>
      <c r="Y536" s="46"/>
      <c r="Z536" s="46"/>
      <c r="AA536" s="46"/>
      <c r="AB536" s="46"/>
    </row>
    <row r="537" hidden="1">
      <c r="A537" s="90" t="s">
        <v>754</v>
      </c>
      <c r="B537" s="91" t="str">
        <f>IFERROR(VLOOKUP(A537,'Salary Calculation'!A537:F1534,2,0),"")</f>
        <v/>
      </c>
      <c r="C537" s="91" t="str">
        <f>IFERROR(VLOOKUP(A537,'Salary Calculation'!$A$2:$T$999,3,0),"")</f>
        <v/>
      </c>
      <c r="D537" s="91" t="str">
        <f>IFERROR(VLOOKUP(A537,'Salary Calculation'!$A$2:$T$999,6,0),"")</f>
        <v/>
      </c>
      <c r="E537" s="91" t="str">
        <f>IFERROR(VLOOKUP(A537,'Salary Calculation'!$A$2:$T$999,8,0),"")</f>
        <v/>
      </c>
      <c r="F537" s="92" t="str">
        <f>IFERROR(VLOOKUP(C537,'Employees List'!$B$2:H999,6,0),"")</f>
        <v/>
      </c>
      <c r="G537" s="93" t="str">
        <f>IFERROR(VLOOKUP(A537,'Salary Calculation'!$A$2:$T$999,7,0),"")</f>
        <v/>
      </c>
      <c r="H537" s="94"/>
      <c r="I537" s="46"/>
      <c r="J537" s="46"/>
      <c r="K537" s="46"/>
      <c r="L537" s="46"/>
      <c r="M537" s="46"/>
      <c r="N537" s="46"/>
      <c r="O537" s="46"/>
      <c r="P537" s="46"/>
      <c r="Q537" s="46"/>
      <c r="R537" s="46"/>
      <c r="S537" s="46"/>
      <c r="T537" s="46"/>
      <c r="U537" s="46"/>
      <c r="V537" s="46"/>
      <c r="W537" s="46"/>
      <c r="X537" s="46"/>
      <c r="Y537" s="46"/>
      <c r="Z537" s="46"/>
      <c r="AA537" s="46"/>
      <c r="AB537" s="46"/>
    </row>
    <row r="538" hidden="1">
      <c r="A538" s="90" t="s">
        <v>755</v>
      </c>
      <c r="B538" s="91" t="str">
        <f>IFERROR(VLOOKUP(A538,'Salary Calculation'!A538:F1535,2,0),"")</f>
        <v/>
      </c>
      <c r="C538" s="91" t="str">
        <f>IFERROR(VLOOKUP(A538,'Salary Calculation'!$A$2:$T$999,3,0),"")</f>
        <v/>
      </c>
      <c r="D538" s="91" t="str">
        <f>IFERROR(VLOOKUP(A538,'Salary Calculation'!$A$2:$T$999,6,0),"")</f>
        <v/>
      </c>
      <c r="E538" s="91" t="str">
        <f>IFERROR(VLOOKUP(A538,'Salary Calculation'!$A$2:$T$999,8,0),"")</f>
        <v/>
      </c>
      <c r="F538" s="92" t="str">
        <f>IFERROR(VLOOKUP(C538,'Employees List'!$B$2:H999,6,0),"")</f>
        <v/>
      </c>
      <c r="G538" s="93" t="str">
        <f>IFERROR(VLOOKUP(A538,'Salary Calculation'!$A$2:$T$999,7,0),"")</f>
        <v/>
      </c>
      <c r="H538" s="94"/>
      <c r="I538" s="46"/>
      <c r="J538" s="46"/>
      <c r="K538" s="46"/>
      <c r="L538" s="46"/>
      <c r="M538" s="46"/>
      <c r="N538" s="46"/>
      <c r="O538" s="46"/>
      <c r="P538" s="46"/>
      <c r="Q538" s="46"/>
      <c r="R538" s="46"/>
      <c r="S538" s="46"/>
      <c r="T538" s="46"/>
      <c r="U538" s="46"/>
      <c r="V538" s="46"/>
      <c r="W538" s="46"/>
      <c r="X538" s="46"/>
      <c r="Y538" s="46"/>
      <c r="Z538" s="46"/>
      <c r="AA538" s="46"/>
      <c r="AB538" s="46"/>
    </row>
    <row r="539" hidden="1">
      <c r="A539" s="90" t="s">
        <v>756</v>
      </c>
      <c r="B539" s="91" t="str">
        <f>IFERROR(VLOOKUP(A539,'Salary Calculation'!A539:F1536,2,0),"")</f>
        <v/>
      </c>
      <c r="C539" s="91" t="str">
        <f>IFERROR(VLOOKUP(A539,'Salary Calculation'!$A$2:$T$999,3,0),"")</f>
        <v/>
      </c>
      <c r="D539" s="91" t="str">
        <f>IFERROR(VLOOKUP(A539,'Salary Calculation'!$A$2:$T$999,6,0),"")</f>
        <v/>
      </c>
      <c r="E539" s="91" t="str">
        <f>IFERROR(VLOOKUP(A539,'Salary Calculation'!$A$2:$T$999,8,0),"")</f>
        <v/>
      </c>
      <c r="F539" s="92" t="str">
        <f>IFERROR(VLOOKUP(C539,'Employees List'!$B$2:H999,6,0),"")</f>
        <v/>
      </c>
      <c r="G539" s="93" t="str">
        <f>IFERROR(VLOOKUP(A539,'Salary Calculation'!$A$2:$T$999,7,0),"")</f>
        <v/>
      </c>
      <c r="H539" s="94"/>
      <c r="I539" s="46"/>
      <c r="J539" s="46"/>
      <c r="K539" s="46"/>
      <c r="L539" s="46"/>
      <c r="M539" s="46"/>
      <c r="N539" s="46"/>
      <c r="O539" s="46"/>
      <c r="P539" s="46"/>
      <c r="Q539" s="46"/>
      <c r="R539" s="46"/>
      <c r="S539" s="46"/>
      <c r="T539" s="46"/>
      <c r="U539" s="46"/>
      <c r="V539" s="46"/>
      <c r="W539" s="46"/>
      <c r="X539" s="46"/>
      <c r="Y539" s="46"/>
      <c r="Z539" s="46"/>
      <c r="AA539" s="46"/>
      <c r="AB539" s="46"/>
    </row>
    <row r="540" hidden="1">
      <c r="A540" s="90" t="s">
        <v>757</v>
      </c>
      <c r="B540" s="91" t="str">
        <f>IFERROR(VLOOKUP(A540,'Salary Calculation'!A540:F1537,2,0),"")</f>
        <v/>
      </c>
      <c r="C540" s="91" t="str">
        <f>IFERROR(VLOOKUP(A540,'Salary Calculation'!$A$2:$T$999,3,0),"")</f>
        <v/>
      </c>
      <c r="D540" s="91" t="str">
        <f>IFERROR(VLOOKUP(A540,'Salary Calculation'!$A$2:$T$999,6,0),"")</f>
        <v/>
      </c>
      <c r="E540" s="91" t="str">
        <f>IFERROR(VLOOKUP(A540,'Salary Calculation'!$A$2:$T$999,8,0),"")</f>
        <v/>
      </c>
      <c r="F540" s="92" t="str">
        <f>IFERROR(VLOOKUP(C540,'Employees List'!$B$2:H999,6,0),"")</f>
        <v/>
      </c>
      <c r="G540" s="93" t="str">
        <f>IFERROR(VLOOKUP(A540,'Salary Calculation'!$A$2:$T$999,7,0),"")</f>
        <v/>
      </c>
      <c r="H540" s="94"/>
      <c r="I540" s="46"/>
      <c r="J540" s="46"/>
      <c r="K540" s="46"/>
      <c r="L540" s="46"/>
      <c r="M540" s="46"/>
      <c r="N540" s="46"/>
      <c r="O540" s="46"/>
      <c r="P540" s="46"/>
      <c r="Q540" s="46"/>
      <c r="R540" s="46"/>
      <c r="S540" s="46"/>
      <c r="T540" s="46"/>
      <c r="U540" s="46"/>
      <c r="V540" s="46"/>
      <c r="W540" s="46"/>
      <c r="X540" s="46"/>
      <c r="Y540" s="46"/>
      <c r="Z540" s="46"/>
      <c r="AA540" s="46"/>
      <c r="AB540" s="46"/>
    </row>
    <row r="541" hidden="1">
      <c r="A541" s="90" t="s">
        <v>758</v>
      </c>
      <c r="B541" s="91" t="str">
        <f>IFERROR(VLOOKUP(A541,'Salary Calculation'!A541:F1538,2,0),"")</f>
        <v/>
      </c>
      <c r="C541" s="91" t="str">
        <f>IFERROR(VLOOKUP(A541,'Salary Calculation'!$A$2:$T$999,3,0),"")</f>
        <v/>
      </c>
      <c r="D541" s="91" t="str">
        <f>IFERROR(VLOOKUP(A541,'Salary Calculation'!$A$2:$T$999,6,0),"")</f>
        <v/>
      </c>
      <c r="E541" s="91" t="str">
        <f>IFERROR(VLOOKUP(A541,'Salary Calculation'!$A$2:$T$999,8,0),"")</f>
        <v/>
      </c>
      <c r="F541" s="92" t="str">
        <f>IFERROR(VLOOKUP(C541,'Employees List'!$B$2:H999,6,0),"")</f>
        <v/>
      </c>
      <c r="G541" s="93" t="str">
        <f>IFERROR(VLOOKUP(A541,'Salary Calculation'!$A$2:$T$999,7,0),"")</f>
        <v/>
      </c>
      <c r="H541" s="94"/>
      <c r="I541" s="46"/>
      <c r="J541" s="46"/>
      <c r="K541" s="46"/>
      <c r="L541" s="46"/>
      <c r="M541" s="46"/>
      <c r="N541" s="46"/>
      <c r="O541" s="46"/>
      <c r="P541" s="46"/>
      <c r="Q541" s="46"/>
      <c r="R541" s="46"/>
      <c r="S541" s="46"/>
      <c r="T541" s="46"/>
      <c r="U541" s="46"/>
      <c r="V541" s="46"/>
      <c r="W541" s="46"/>
      <c r="X541" s="46"/>
      <c r="Y541" s="46"/>
      <c r="Z541" s="46"/>
      <c r="AA541" s="46"/>
      <c r="AB541" s="46"/>
    </row>
    <row r="542" hidden="1">
      <c r="A542" s="90" t="s">
        <v>759</v>
      </c>
      <c r="B542" s="91" t="str">
        <f>IFERROR(VLOOKUP(A542,'Salary Calculation'!A542:F1539,2,0),"")</f>
        <v/>
      </c>
      <c r="C542" s="91" t="str">
        <f>IFERROR(VLOOKUP(A542,'Salary Calculation'!$A$2:$T$999,3,0),"")</f>
        <v/>
      </c>
      <c r="D542" s="91" t="str">
        <f>IFERROR(VLOOKUP(A542,'Salary Calculation'!$A$2:$T$999,6,0),"")</f>
        <v/>
      </c>
      <c r="E542" s="91" t="str">
        <f>IFERROR(VLOOKUP(A542,'Salary Calculation'!$A$2:$T$999,8,0),"")</f>
        <v/>
      </c>
      <c r="F542" s="92" t="str">
        <f>IFERROR(VLOOKUP(C542,'Employees List'!$B$2:H999,6,0),"")</f>
        <v/>
      </c>
      <c r="G542" s="93" t="str">
        <f>IFERROR(VLOOKUP(A542,'Salary Calculation'!$A$2:$T$999,7,0),"")</f>
        <v/>
      </c>
      <c r="H542" s="94"/>
      <c r="I542" s="46"/>
      <c r="J542" s="46"/>
      <c r="K542" s="46"/>
      <c r="L542" s="46"/>
      <c r="M542" s="46"/>
      <c r="N542" s="46"/>
      <c r="O542" s="46"/>
      <c r="P542" s="46"/>
      <c r="Q542" s="46"/>
      <c r="R542" s="46"/>
      <c r="S542" s="46"/>
      <c r="T542" s="46"/>
      <c r="U542" s="46"/>
      <c r="V542" s="46"/>
      <c r="W542" s="46"/>
      <c r="X542" s="46"/>
      <c r="Y542" s="46"/>
      <c r="Z542" s="46"/>
      <c r="AA542" s="46"/>
      <c r="AB542" s="46"/>
    </row>
    <row r="543" hidden="1">
      <c r="A543" s="90" t="s">
        <v>760</v>
      </c>
      <c r="B543" s="91" t="str">
        <f>IFERROR(VLOOKUP(A543,'Salary Calculation'!A543:F1540,2,0),"")</f>
        <v/>
      </c>
      <c r="C543" s="91" t="str">
        <f>IFERROR(VLOOKUP(A543,'Salary Calculation'!$A$2:$T$999,3,0),"")</f>
        <v/>
      </c>
      <c r="D543" s="91" t="str">
        <f>IFERROR(VLOOKUP(A543,'Salary Calculation'!$A$2:$T$999,6,0),"")</f>
        <v/>
      </c>
      <c r="E543" s="91" t="str">
        <f>IFERROR(VLOOKUP(A543,'Salary Calculation'!$A$2:$T$999,8,0),"")</f>
        <v/>
      </c>
      <c r="F543" s="92" t="str">
        <f>IFERROR(VLOOKUP(C543,'Employees List'!$B$2:H999,6,0),"")</f>
        <v/>
      </c>
      <c r="G543" s="93" t="str">
        <f>IFERROR(VLOOKUP(A543,'Salary Calculation'!$A$2:$T$999,7,0),"")</f>
        <v/>
      </c>
      <c r="H543" s="94"/>
      <c r="I543" s="46"/>
      <c r="J543" s="46"/>
      <c r="K543" s="46"/>
      <c r="L543" s="46"/>
      <c r="M543" s="46"/>
      <c r="N543" s="46"/>
      <c r="O543" s="46"/>
      <c r="P543" s="46"/>
      <c r="Q543" s="46"/>
      <c r="R543" s="46"/>
      <c r="S543" s="46"/>
      <c r="T543" s="46"/>
      <c r="U543" s="46"/>
      <c r="V543" s="46"/>
      <c r="W543" s="46"/>
      <c r="X543" s="46"/>
      <c r="Y543" s="46"/>
      <c r="Z543" s="46"/>
      <c r="AA543" s="46"/>
      <c r="AB543" s="46"/>
    </row>
    <row r="544" hidden="1">
      <c r="A544" s="90" t="s">
        <v>761</v>
      </c>
      <c r="B544" s="91" t="str">
        <f>IFERROR(VLOOKUP(A544,'Salary Calculation'!A544:F1541,2,0),"")</f>
        <v/>
      </c>
      <c r="C544" s="91" t="str">
        <f>IFERROR(VLOOKUP(A544,'Salary Calculation'!$A$2:$T$999,3,0),"")</f>
        <v/>
      </c>
      <c r="D544" s="91" t="str">
        <f>IFERROR(VLOOKUP(A544,'Salary Calculation'!$A$2:$T$999,6,0),"")</f>
        <v/>
      </c>
      <c r="E544" s="91" t="str">
        <f>IFERROR(VLOOKUP(A544,'Salary Calculation'!$A$2:$T$999,8,0),"")</f>
        <v/>
      </c>
      <c r="F544" s="92" t="str">
        <f>IFERROR(VLOOKUP(C544,'Employees List'!$B$2:H999,6,0),"")</f>
        <v/>
      </c>
      <c r="G544" s="93" t="str">
        <f>IFERROR(VLOOKUP(A544,'Salary Calculation'!$A$2:$T$999,7,0),"")</f>
        <v/>
      </c>
      <c r="H544" s="94"/>
      <c r="I544" s="46"/>
      <c r="J544" s="46"/>
      <c r="K544" s="46"/>
      <c r="L544" s="46"/>
      <c r="M544" s="46"/>
      <c r="N544" s="46"/>
      <c r="O544" s="46"/>
      <c r="P544" s="46"/>
      <c r="Q544" s="46"/>
      <c r="R544" s="46"/>
      <c r="S544" s="46"/>
      <c r="T544" s="46"/>
      <c r="U544" s="46"/>
      <c r="V544" s="46"/>
      <c r="W544" s="46"/>
      <c r="X544" s="46"/>
      <c r="Y544" s="46"/>
      <c r="Z544" s="46"/>
      <c r="AA544" s="46"/>
      <c r="AB544" s="46"/>
    </row>
    <row r="545" hidden="1">
      <c r="A545" s="90" t="s">
        <v>762</v>
      </c>
      <c r="B545" s="91" t="str">
        <f>IFERROR(VLOOKUP(A545,'Salary Calculation'!A545:F1542,2,0),"")</f>
        <v/>
      </c>
      <c r="C545" s="91" t="str">
        <f>IFERROR(VLOOKUP(A545,'Salary Calculation'!$A$2:$T$999,3,0),"")</f>
        <v/>
      </c>
      <c r="D545" s="91" t="str">
        <f>IFERROR(VLOOKUP(A545,'Salary Calculation'!$A$2:$T$999,6,0),"")</f>
        <v/>
      </c>
      <c r="E545" s="91" t="str">
        <f>IFERROR(VLOOKUP(A545,'Salary Calculation'!$A$2:$T$999,8,0),"")</f>
        <v/>
      </c>
      <c r="F545" s="92" t="str">
        <f>IFERROR(VLOOKUP(C545,'Employees List'!$B$2:H999,6,0),"")</f>
        <v/>
      </c>
      <c r="G545" s="93" t="str">
        <f>IFERROR(VLOOKUP(A545,'Salary Calculation'!$A$2:$T$999,7,0),"")</f>
        <v/>
      </c>
      <c r="H545" s="94"/>
      <c r="I545" s="46"/>
      <c r="J545" s="46"/>
      <c r="K545" s="46"/>
      <c r="L545" s="46"/>
      <c r="M545" s="46"/>
      <c r="N545" s="46"/>
      <c r="O545" s="46"/>
      <c r="P545" s="46"/>
      <c r="Q545" s="46"/>
      <c r="R545" s="46"/>
      <c r="S545" s="46"/>
      <c r="T545" s="46"/>
      <c r="U545" s="46"/>
      <c r="V545" s="46"/>
      <c r="W545" s="46"/>
      <c r="X545" s="46"/>
      <c r="Y545" s="46"/>
      <c r="Z545" s="46"/>
      <c r="AA545" s="46"/>
      <c r="AB545" s="46"/>
    </row>
    <row r="546" hidden="1">
      <c r="A546" s="90" t="s">
        <v>763</v>
      </c>
      <c r="B546" s="91" t="str">
        <f>IFERROR(VLOOKUP(A546,'Salary Calculation'!A546:F1543,2,0),"")</f>
        <v/>
      </c>
      <c r="C546" s="91" t="str">
        <f>IFERROR(VLOOKUP(A546,'Salary Calculation'!$A$2:$T$999,3,0),"")</f>
        <v/>
      </c>
      <c r="D546" s="91" t="str">
        <f>IFERROR(VLOOKUP(A546,'Salary Calculation'!$A$2:$T$999,6,0),"")</f>
        <v/>
      </c>
      <c r="E546" s="91" t="str">
        <f>IFERROR(VLOOKUP(A546,'Salary Calculation'!$A$2:$T$999,8,0),"")</f>
        <v/>
      </c>
      <c r="F546" s="92" t="str">
        <f>IFERROR(VLOOKUP(C546,'Employees List'!$B$2:H999,6,0),"")</f>
        <v/>
      </c>
      <c r="G546" s="93" t="str">
        <f>IFERROR(VLOOKUP(A546,'Salary Calculation'!$A$2:$T$999,7,0),"")</f>
        <v/>
      </c>
      <c r="H546" s="94"/>
      <c r="I546" s="46"/>
      <c r="J546" s="46"/>
      <c r="K546" s="46"/>
      <c r="L546" s="46"/>
      <c r="M546" s="46"/>
      <c r="N546" s="46"/>
      <c r="O546" s="46"/>
      <c r="P546" s="46"/>
      <c r="Q546" s="46"/>
      <c r="R546" s="46"/>
      <c r="S546" s="46"/>
      <c r="T546" s="46"/>
      <c r="U546" s="46"/>
      <c r="V546" s="46"/>
      <c r="W546" s="46"/>
      <c r="X546" s="46"/>
      <c r="Y546" s="46"/>
      <c r="Z546" s="46"/>
      <c r="AA546" s="46"/>
      <c r="AB546" s="46"/>
    </row>
    <row r="547" hidden="1">
      <c r="A547" s="90" t="s">
        <v>764</v>
      </c>
      <c r="B547" s="91" t="str">
        <f>IFERROR(VLOOKUP(A547,'Salary Calculation'!A547:F1544,2,0),"")</f>
        <v/>
      </c>
      <c r="C547" s="91" t="str">
        <f>IFERROR(VLOOKUP(A547,'Salary Calculation'!$A$2:$T$999,3,0),"")</f>
        <v/>
      </c>
      <c r="D547" s="91" t="str">
        <f>IFERROR(VLOOKUP(A547,'Salary Calculation'!$A$2:$T$999,6,0),"")</f>
        <v/>
      </c>
      <c r="E547" s="91" t="str">
        <f>IFERROR(VLOOKUP(A547,'Salary Calculation'!$A$2:$T$999,8,0),"")</f>
        <v/>
      </c>
      <c r="F547" s="92" t="str">
        <f>IFERROR(VLOOKUP(C547,'Employees List'!$B$2:H999,6,0),"")</f>
        <v/>
      </c>
      <c r="G547" s="93" t="str">
        <f>IFERROR(VLOOKUP(A547,'Salary Calculation'!$A$2:$T$999,7,0),"")</f>
        <v/>
      </c>
      <c r="H547" s="94"/>
      <c r="I547" s="46"/>
      <c r="J547" s="46"/>
      <c r="K547" s="46"/>
      <c r="L547" s="46"/>
      <c r="M547" s="46"/>
      <c r="N547" s="46"/>
      <c r="O547" s="46"/>
      <c r="P547" s="46"/>
      <c r="Q547" s="46"/>
      <c r="R547" s="46"/>
      <c r="S547" s="46"/>
      <c r="T547" s="46"/>
      <c r="U547" s="46"/>
      <c r="V547" s="46"/>
      <c r="W547" s="46"/>
      <c r="X547" s="46"/>
      <c r="Y547" s="46"/>
      <c r="Z547" s="46"/>
      <c r="AA547" s="46"/>
      <c r="AB547" s="46"/>
    </row>
    <row r="548" hidden="1">
      <c r="A548" s="90" t="s">
        <v>765</v>
      </c>
      <c r="B548" s="91" t="str">
        <f>IFERROR(VLOOKUP(A548,'Salary Calculation'!A548:F1545,2,0),"")</f>
        <v/>
      </c>
      <c r="C548" s="91" t="str">
        <f>IFERROR(VLOOKUP(A548,'Salary Calculation'!$A$2:$T$999,3,0),"")</f>
        <v/>
      </c>
      <c r="D548" s="91" t="str">
        <f>IFERROR(VLOOKUP(A548,'Salary Calculation'!$A$2:$T$999,6,0),"")</f>
        <v/>
      </c>
      <c r="E548" s="91" t="str">
        <f>IFERROR(VLOOKUP(A548,'Salary Calculation'!$A$2:$T$999,8,0),"")</f>
        <v/>
      </c>
      <c r="F548" s="92" t="str">
        <f>IFERROR(VLOOKUP(C548,'Employees List'!$B$2:H999,6,0),"")</f>
        <v/>
      </c>
      <c r="G548" s="93" t="str">
        <f>IFERROR(VLOOKUP(A548,'Salary Calculation'!$A$2:$T$999,7,0),"")</f>
        <v/>
      </c>
      <c r="H548" s="94"/>
      <c r="I548" s="46"/>
      <c r="J548" s="46"/>
      <c r="K548" s="46"/>
      <c r="L548" s="46"/>
      <c r="M548" s="46"/>
      <c r="N548" s="46"/>
      <c r="O548" s="46"/>
      <c r="P548" s="46"/>
      <c r="Q548" s="46"/>
      <c r="R548" s="46"/>
      <c r="S548" s="46"/>
      <c r="T548" s="46"/>
      <c r="U548" s="46"/>
      <c r="V548" s="46"/>
      <c r="W548" s="46"/>
      <c r="X548" s="46"/>
      <c r="Y548" s="46"/>
      <c r="Z548" s="46"/>
      <c r="AA548" s="46"/>
      <c r="AB548" s="46"/>
    </row>
    <row r="549" hidden="1">
      <c r="A549" s="90" t="s">
        <v>766</v>
      </c>
      <c r="B549" s="91" t="str">
        <f>IFERROR(VLOOKUP(A549,'Salary Calculation'!A549:F1546,2,0),"")</f>
        <v/>
      </c>
      <c r="C549" s="91" t="str">
        <f>IFERROR(VLOOKUP(A549,'Salary Calculation'!$A$2:$T$999,3,0),"")</f>
        <v/>
      </c>
      <c r="D549" s="91" t="str">
        <f>IFERROR(VLOOKUP(A549,'Salary Calculation'!$A$2:$T$999,6,0),"")</f>
        <v/>
      </c>
      <c r="E549" s="91" t="str">
        <f>IFERROR(VLOOKUP(A549,'Salary Calculation'!$A$2:$T$999,8,0),"")</f>
        <v/>
      </c>
      <c r="F549" s="92" t="str">
        <f>IFERROR(VLOOKUP(C549,'Employees List'!$B$2:H999,6,0),"")</f>
        <v/>
      </c>
      <c r="G549" s="93" t="str">
        <f>IFERROR(VLOOKUP(A549,'Salary Calculation'!$A$2:$T$999,7,0),"")</f>
        <v/>
      </c>
      <c r="H549" s="94"/>
      <c r="I549" s="46"/>
      <c r="J549" s="46"/>
      <c r="K549" s="46"/>
      <c r="L549" s="46"/>
      <c r="M549" s="46"/>
      <c r="N549" s="46"/>
      <c r="O549" s="46"/>
      <c r="P549" s="46"/>
      <c r="Q549" s="46"/>
      <c r="R549" s="46"/>
      <c r="S549" s="46"/>
      <c r="T549" s="46"/>
      <c r="U549" s="46"/>
      <c r="V549" s="46"/>
      <c r="W549" s="46"/>
      <c r="X549" s="46"/>
      <c r="Y549" s="46"/>
      <c r="Z549" s="46"/>
      <c r="AA549" s="46"/>
      <c r="AB549" s="46"/>
    </row>
    <row r="550" hidden="1">
      <c r="A550" s="90" t="s">
        <v>767</v>
      </c>
      <c r="B550" s="91" t="str">
        <f>IFERROR(VLOOKUP(A550,'Salary Calculation'!A550:F1547,2,0),"")</f>
        <v/>
      </c>
      <c r="C550" s="91" t="str">
        <f>IFERROR(VLOOKUP(A550,'Salary Calculation'!$A$2:$T$999,3,0),"")</f>
        <v/>
      </c>
      <c r="D550" s="91" t="str">
        <f>IFERROR(VLOOKUP(A550,'Salary Calculation'!$A$2:$T$999,6,0),"")</f>
        <v/>
      </c>
      <c r="E550" s="91" t="str">
        <f>IFERROR(VLOOKUP(A550,'Salary Calculation'!$A$2:$T$999,8,0),"")</f>
        <v/>
      </c>
      <c r="F550" s="92" t="str">
        <f>IFERROR(VLOOKUP(C550,'Employees List'!$B$2:H999,6,0),"")</f>
        <v/>
      </c>
      <c r="G550" s="93" t="str">
        <f>IFERROR(VLOOKUP(A550,'Salary Calculation'!$A$2:$T$999,7,0),"")</f>
        <v/>
      </c>
      <c r="H550" s="94"/>
      <c r="I550" s="46"/>
      <c r="J550" s="46"/>
      <c r="K550" s="46"/>
      <c r="L550" s="46"/>
      <c r="M550" s="46"/>
      <c r="N550" s="46"/>
      <c r="O550" s="46"/>
      <c r="P550" s="46"/>
      <c r="Q550" s="46"/>
      <c r="R550" s="46"/>
      <c r="S550" s="46"/>
      <c r="T550" s="46"/>
      <c r="U550" s="46"/>
      <c r="V550" s="46"/>
      <c r="W550" s="46"/>
      <c r="X550" s="46"/>
      <c r="Y550" s="46"/>
      <c r="Z550" s="46"/>
      <c r="AA550" s="46"/>
      <c r="AB550" s="46"/>
    </row>
    <row r="551" hidden="1">
      <c r="A551" s="90" t="s">
        <v>768</v>
      </c>
      <c r="B551" s="91" t="str">
        <f>IFERROR(VLOOKUP(A551,'Salary Calculation'!A551:F1548,2,0),"")</f>
        <v/>
      </c>
      <c r="C551" s="91" t="str">
        <f>IFERROR(VLOOKUP(A551,'Salary Calculation'!$A$2:$T$999,3,0),"")</f>
        <v/>
      </c>
      <c r="D551" s="91" t="str">
        <f>IFERROR(VLOOKUP(A551,'Salary Calculation'!$A$2:$T$999,6,0),"")</f>
        <v/>
      </c>
      <c r="E551" s="91" t="str">
        <f>IFERROR(VLOOKUP(A551,'Salary Calculation'!$A$2:$T$999,8,0),"")</f>
        <v/>
      </c>
      <c r="F551" s="92" t="str">
        <f>IFERROR(VLOOKUP(C551,'Employees List'!$B$2:H999,6,0),"")</f>
        <v/>
      </c>
      <c r="G551" s="93" t="str">
        <f>IFERROR(VLOOKUP(A551,'Salary Calculation'!$A$2:$T$999,7,0),"")</f>
        <v/>
      </c>
      <c r="H551" s="94"/>
      <c r="I551" s="46"/>
      <c r="J551" s="46"/>
      <c r="K551" s="46"/>
      <c r="L551" s="46"/>
      <c r="M551" s="46"/>
      <c r="N551" s="46"/>
      <c r="O551" s="46"/>
      <c r="P551" s="46"/>
      <c r="Q551" s="46"/>
      <c r="R551" s="46"/>
      <c r="S551" s="46"/>
      <c r="T551" s="46"/>
      <c r="U551" s="46"/>
      <c r="V551" s="46"/>
      <c r="W551" s="46"/>
      <c r="X551" s="46"/>
      <c r="Y551" s="46"/>
      <c r="Z551" s="46"/>
      <c r="AA551" s="46"/>
      <c r="AB551" s="46"/>
    </row>
    <row r="552" hidden="1">
      <c r="A552" s="90" t="s">
        <v>769</v>
      </c>
      <c r="B552" s="91" t="str">
        <f>IFERROR(VLOOKUP(A552,'Salary Calculation'!A552:F1549,2,0),"")</f>
        <v/>
      </c>
      <c r="C552" s="91" t="str">
        <f>IFERROR(VLOOKUP(A552,'Salary Calculation'!$A$2:$T$999,3,0),"")</f>
        <v/>
      </c>
      <c r="D552" s="91" t="str">
        <f>IFERROR(VLOOKUP(A552,'Salary Calculation'!$A$2:$T$999,6,0),"")</f>
        <v/>
      </c>
      <c r="E552" s="91" t="str">
        <f>IFERROR(VLOOKUP(A552,'Salary Calculation'!$A$2:$T$999,8,0),"")</f>
        <v/>
      </c>
      <c r="F552" s="92" t="str">
        <f>IFERROR(VLOOKUP(C552,'Employees List'!$B$2:H999,6,0),"")</f>
        <v/>
      </c>
      <c r="G552" s="93" t="str">
        <f>IFERROR(VLOOKUP(A552,'Salary Calculation'!$A$2:$T$999,7,0),"")</f>
        <v/>
      </c>
      <c r="H552" s="94"/>
      <c r="I552" s="46"/>
      <c r="J552" s="46"/>
      <c r="K552" s="46"/>
      <c r="L552" s="46"/>
      <c r="M552" s="46"/>
      <c r="N552" s="46"/>
      <c r="O552" s="46"/>
      <c r="P552" s="46"/>
      <c r="Q552" s="46"/>
      <c r="R552" s="46"/>
      <c r="S552" s="46"/>
      <c r="T552" s="46"/>
      <c r="U552" s="46"/>
      <c r="V552" s="46"/>
      <c r="W552" s="46"/>
      <c r="X552" s="46"/>
      <c r="Y552" s="46"/>
      <c r="Z552" s="46"/>
      <c r="AA552" s="46"/>
      <c r="AB552" s="46"/>
    </row>
    <row r="553" hidden="1">
      <c r="A553" s="90" t="s">
        <v>770</v>
      </c>
      <c r="B553" s="91" t="str">
        <f>IFERROR(VLOOKUP(A553,'Salary Calculation'!A553:F1550,2,0),"")</f>
        <v/>
      </c>
      <c r="C553" s="91" t="str">
        <f>IFERROR(VLOOKUP(A553,'Salary Calculation'!$A$2:$T$999,3,0),"")</f>
        <v/>
      </c>
      <c r="D553" s="91" t="str">
        <f>IFERROR(VLOOKUP(A553,'Salary Calculation'!$A$2:$T$999,6,0),"")</f>
        <v/>
      </c>
      <c r="E553" s="91" t="str">
        <f>IFERROR(VLOOKUP(A553,'Salary Calculation'!$A$2:$T$999,8,0),"")</f>
        <v/>
      </c>
      <c r="F553" s="92" t="str">
        <f>IFERROR(VLOOKUP(C553,'Employees List'!$B$2:H999,6,0),"")</f>
        <v/>
      </c>
      <c r="G553" s="93" t="str">
        <f>IFERROR(VLOOKUP(A553,'Salary Calculation'!$A$2:$T$999,7,0),"")</f>
        <v/>
      </c>
      <c r="H553" s="94"/>
      <c r="I553" s="46"/>
      <c r="J553" s="46"/>
      <c r="K553" s="46"/>
      <c r="L553" s="46"/>
      <c r="M553" s="46"/>
      <c r="N553" s="46"/>
      <c r="O553" s="46"/>
      <c r="P553" s="46"/>
      <c r="Q553" s="46"/>
      <c r="R553" s="46"/>
      <c r="S553" s="46"/>
      <c r="T553" s="46"/>
      <c r="U553" s="46"/>
      <c r="V553" s="46"/>
      <c r="W553" s="46"/>
      <c r="X553" s="46"/>
      <c r="Y553" s="46"/>
      <c r="Z553" s="46"/>
      <c r="AA553" s="46"/>
      <c r="AB553" s="46"/>
    </row>
    <row r="554" hidden="1">
      <c r="A554" s="90" t="s">
        <v>771</v>
      </c>
      <c r="B554" s="91" t="str">
        <f>IFERROR(VLOOKUP(A554,'Salary Calculation'!A554:F1551,2,0),"")</f>
        <v/>
      </c>
      <c r="C554" s="91" t="str">
        <f>IFERROR(VLOOKUP(A554,'Salary Calculation'!$A$2:$T$999,3,0),"")</f>
        <v/>
      </c>
      <c r="D554" s="91" t="str">
        <f>IFERROR(VLOOKUP(A554,'Salary Calculation'!$A$2:$T$999,6,0),"")</f>
        <v/>
      </c>
      <c r="E554" s="91" t="str">
        <f>IFERROR(VLOOKUP(A554,'Salary Calculation'!$A$2:$T$999,8,0),"")</f>
        <v/>
      </c>
      <c r="F554" s="92" t="str">
        <f>IFERROR(VLOOKUP(C554,'Employees List'!$B$2:H999,6,0),"")</f>
        <v/>
      </c>
      <c r="G554" s="93" t="str">
        <f>IFERROR(VLOOKUP(A554,'Salary Calculation'!$A$2:$T$999,7,0),"")</f>
        <v/>
      </c>
      <c r="H554" s="94"/>
      <c r="I554" s="46"/>
      <c r="J554" s="46"/>
      <c r="K554" s="46"/>
      <c r="L554" s="46"/>
      <c r="M554" s="46"/>
      <c r="N554" s="46"/>
      <c r="O554" s="46"/>
      <c r="P554" s="46"/>
      <c r="Q554" s="46"/>
      <c r="R554" s="46"/>
      <c r="S554" s="46"/>
      <c r="T554" s="46"/>
      <c r="U554" s="46"/>
      <c r="V554" s="46"/>
      <c r="W554" s="46"/>
      <c r="X554" s="46"/>
      <c r="Y554" s="46"/>
      <c r="Z554" s="46"/>
      <c r="AA554" s="46"/>
      <c r="AB554" s="46"/>
    </row>
    <row r="555" hidden="1">
      <c r="A555" s="90" t="s">
        <v>772</v>
      </c>
      <c r="B555" s="91" t="str">
        <f>IFERROR(VLOOKUP(A555,'Salary Calculation'!A555:F1552,2,0),"")</f>
        <v/>
      </c>
      <c r="C555" s="91" t="str">
        <f>IFERROR(VLOOKUP(A555,'Salary Calculation'!$A$2:$T$999,3,0),"")</f>
        <v/>
      </c>
      <c r="D555" s="91" t="str">
        <f>IFERROR(VLOOKUP(A555,'Salary Calculation'!$A$2:$T$999,6,0),"")</f>
        <v/>
      </c>
      <c r="E555" s="91" t="str">
        <f>IFERROR(VLOOKUP(A555,'Salary Calculation'!$A$2:$T$999,8,0),"")</f>
        <v/>
      </c>
      <c r="F555" s="92" t="str">
        <f>IFERROR(VLOOKUP(C555,'Employees List'!$B$2:H999,6,0),"")</f>
        <v/>
      </c>
      <c r="G555" s="93" t="str">
        <f>IFERROR(VLOOKUP(A555,'Salary Calculation'!$A$2:$T$999,7,0),"")</f>
        <v/>
      </c>
      <c r="H555" s="94"/>
      <c r="I555" s="46"/>
      <c r="J555" s="46"/>
      <c r="K555" s="46"/>
      <c r="L555" s="46"/>
      <c r="M555" s="46"/>
      <c r="N555" s="46"/>
      <c r="O555" s="46"/>
      <c r="P555" s="46"/>
      <c r="Q555" s="46"/>
      <c r="R555" s="46"/>
      <c r="S555" s="46"/>
      <c r="T555" s="46"/>
      <c r="U555" s="46"/>
      <c r="V555" s="46"/>
      <c r="W555" s="46"/>
      <c r="X555" s="46"/>
      <c r="Y555" s="46"/>
      <c r="Z555" s="46"/>
      <c r="AA555" s="46"/>
      <c r="AB555" s="46"/>
    </row>
    <row r="556" hidden="1">
      <c r="A556" s="90" t="s">
        <v>773</v>
      </c>
      <c r="B556" s="91" t="str">
        <f>IFERROR(VLOOKUP(A556,'Salary Calculation'!A556:F1553,2,0),"")</f>
        <v/>
      </c>
      <c r="C556" s="91" t="str">
        <f>IFERROR(VLOOKUP(A556,'Salary Calculation'!$A$2:$T$999,3,0),"")</f>
        <v/>
      </c>
      <c r="D556" s="91" t="str">
        <f>IFERROR(VLOOKUP(A556,'Salary Calculation'!$A$2:$T$999,6,0),"")</f>
        <v/>
      </c>
      <c r="E556" s="91" t="str">
        <f>IFERROR(VLOOKUP(A556,'Salary Calculation'!$A$2:$T$999,8,0),"")</f>
        <v/>
      </c>
      <c r="F556" s="92" t="str">
        <f>IFERROR(VLOOKUP(C556,'Employees List'!$B$2:H999,6,0),"")</f>
        <v/>
      </c>
      <c r="G556" s="93" t="str">
        <f>IFERROR(VLOOKUP(A556,'Salary Calculation'!$A$2:$T$999,7,0),"")</f>
        <v/>
      </c>
      <c r="H556" s="94"/>
      <c r="I556" s="46"/>
      <c r="J556" s="46"/>
      <c r="K556" s="46"/>
      <c r="L556" s="46"/>
      <c r="M556" s="46"/>
      <c r="N556" s="46"/>
      <c r="O556" s="46"/>
      <c r="P556" s="46"/>
      <c r="Q556" s="46"/>
      <c r="R556" s="46"/>
      <c r="S556" s="46"/>
      <c r="T556" s="46"/>
      <c r="U556" s="46"/>
      <c r="V556" s="46"/>
      <c r="W556" s="46"/>
      <c r="X556" s="46"/>
      <c r="Y556" s="46"/>
      <c r="Z556" s="46"/>
      <c r="AA556" s="46"/>
      <c r="AB556" s="46"/>
    </row>
    <row r="557" hidden="1">
      <c r="A557" s="90" t="s">
        <v>774</v>
      </c>
      <c r="B557" s="91" t="str">
        <f>IFERROR(VLOOKUP(A557,'Salary Calculation'!A557:F1554,2,0),"")</f>
        <v/>
      </c>
      <c r="C557" s="91" t="str">
        <f>IFERROR(VLOOKUP(A557,'Salary Calculation'!$A$2:$T$999,3,0),"")</f>
        <v/>
      </c>
      <c r="D557" s="91" t="str">
        <f>IFERROR(VLOOKUP(A557,'Salary Calculation'!$A$2:$T$999,6,0),"")</f>
        <v/>
      </c>
      <c r="E557" s="91" t="str">
        <f>IFERROR(VLOOKUP(A557,'Salary Calculation'!$A$2:$T$999,8,0),"")</f>
        <v/>
      </c>
      <c r="F557" s="92" t="str">
        <f>IFERROR(VLOOKUP(C557,'Employees List'!$B$2:H999,6,0),"")</f>
        <v/>
      </c>
      <c r="G557" s="93" t="str">
        <f>IFERROR(VLOOKUP(A557,'Salary Calculation'!$A$2:$T$999,7,0),"")</f>
        <v/>
      </c>
      <c r="H557" s="94"/>
      <c r="I557" s="46"/>
      <c r="J557" s="46"/>
      <c r="K557" s="46"/>
      <c r="L557" s="46"/>
      <c r="M557" s="46"/>
      <c r="N557" s="46"/>
      <c r="O557" s="46"/>
      <c r="P557" s="46"/>
      <c r="Q557" s="46"/>
      <c r="R557" s="46"/>
      <c r="S557" s="46"/>
      <c r="T557" s="46"/>
      <c r="U557" s="46"/>
      <c r="V557" s="46"/>
      <c r="W557" s="46"/>
      <c r="X557" s="46"/>
      <c r="Y557" s="46"/>
      <c r="Z557" s="46"/>
      <c r="AA557" s="46"/>
      <c r="AB557" s="46"/>
    </row>
    <row r="558" hidden="1">
      <c r="A558" s="90" t="s">
        <v>775</v>
      </c>
      <c r="B558" s="91" t="str">
        <f>IFERROR(VLOOKUP(A558,'Salary Calculation'!A558:F1555,2,0),"")</f>
        <v/>
      </c>
      <c r="C558" s="91" t="str">
        <f>IFERROR(VLOOKUP(A558,'Salary Calculation'!$A$2:$T$999,3,0),"")</f>
        <v/>
      </c>
      <c r="D558" s="91" t="str">
        <f>IFERROR(VLOOKUP(A558,'Salary Calculation'!$A$2:$T$999,6,0),"")</f>
        <v/>
      </c>
      <c r="E558" s="91" t="str">
        <f>IFERROR(VLOOKUP(A558,'Salary Calculation'!$A$2:$T$999,8,0),"")</f>
        <v/>
      </c>
      <c r="F558" s="92" t="str">
        <f>IFERROR(VLOOKUP(C558,'Employees List'!$B$2:H999,6,0),"")</f>
        <v/>
      </c>
      <c r="G558" s="93" t="str">
        <f>IFERROR(VLOOKUP(A558,'Salary Calculation'!$A$2:$T$999,7,0),"")</f>
        <v/>
      </c>
      <c r="H558" s="94"/>
      <c r="I558" s="46"/>
      <c r="J558" s="46"/>
      <c r="K558" s="46"/>
      <c r="L558" s="46"/>
      <c r="M558" s="46"/>
      <c r="N558" s="46"/>
      <c r="O558" s="46"/>
      <c r="P558" s="46"/>
      <c r="Q558" s="46"/>
      <c r="R558" s="46"/>
      <c r="S558" s="46"/>
      <c r="T558" s="46"/>
      <c r="U558" s="46"/>
      <c r="V558" s="46"/>
      <c r="W558" s="46"/>
      <c r="X558" s="46"/>
      <c r="Y558" s="46"/>
      <c r="Z558" s="46"/>
      <c r="AA558" s="46"/>
      <c r="AB558" s="46"/>
    </row>
    <row r="559" hidden="1">
      <c r="A559" s="90" t="s">
        <v>776</v>
      </c>
      <c r="B559" s="91" t="str">
        <f>IFERROR(VLOOKUP(A559,'Salary Calculation'!A559:F1556,2,0),"")</f>
        <v/>
      </c>
      <c r="C559" s="91" t="str">
        <f>IFERROR(VLOOKUP(A559,'Salary Calculation'!$A$2:$T$999,3,0),"")</f>
        <v/>
      </c>
      <c r="D559" s="91" t="str">
        <f>IFERROR(VLOOKUP(A559,'Salary Calculation'!$A$2:$T$999,6,0),"")</f>
        <v/>
      </c>
      <c r="E559" s="91" t="str">
        <f>IFERROR(VLOOKUP(A559,'Salary Calculation'!$A$2:$T$999,8,0),"")</f>
        <v/>
      </c>
      <c r="F559" s="92" t="str">
        <f>IFERROR(VLOOKUP(C559,'Employees List'!$B$2:H999,6,0),"")</f>
        <v/>
      </c>
      <c r="G559" s="93" t="str">
        <f>IFERROR(VLOOKUP(A559,'Salary Calculation'!$A$2:$T$999,7,0),"")</f>
        <v/>
      </c>
      <c r="H559" s="94"/>
      <c r="I559" s="46"/>
      <c r="J559" s="46"/>
      <c r="K559" s="46"/>
      <c r="L559" s="46"/>
      <c r="M559" s="46"/>
      <c r="N559" s="46"/>
      <c r="O559" s="46"/>
      <c r="P559" s="46"/>
      <c r="Q559" s="46"/>
      <c r="R559" s="46"/>
      <c r="S559" s="46"/>
      <c r="T559" s="46"/>
      <c r="U559" s="46"/>
      <c r="V559" s="46"/>
      <c r="W559" s="46"/>
      <c r="X559" s="46"/>
      <c r="Y559" s="46"/>
      <c r="Z559" s="46"/>
      <c r="AA559" s="46"/>
      <c r="AB559" s="46"/>
    </row>
    <row r="560" hidden="1">
      <c r="A560" s="90" t="s">
        <v>777</v>
      </c>
      <c r="B560" s="91" t="str">
        <f>IFERROR(VLOOKUP(A560,'Salary Calculation'!A560:F1557,2,0),"")</f>
        <v/>
      </c>
      <c r="C560" s="91" t="str">
        <f>IFERROR(VLOOKUP(A560,'Salary Calculation'!$A$2:$T$999,3,0),"")</f>
        <v/>
      </c>
      <c r="D560" s="91" t="str">
        <f>IFERROR(VLOOKUP(A560,'Salary Calculation'!$A$2:$T$999,6,0),"")</f>
        <v/>
      </c>
      <c r="E560" s="91" t="str">
        <f>IFERROR(VLOOKUP(A560,'Salary Calculation'!$A$2:$T$999,8,0),"")</f>
        <v/>
      </c>
      <c r="F560" s="92" t="str">
        <f>IFERROR(VLOOKUP(C560,'Employees List'!$B$2:H999,6,0),"")</f>
        <v/>
      </c>
      <c r="G560" s="93" t="str">
        <f>IFERROR(VLOOKUP(A560,'Salary Calculation'!$A$2:$T$999,7,0),"")</f>
        <v/>
      </c>
      <c r="H560" s="94"/>
      <c r="I560" s="46"/>
      <c r="J560" s="46"/>
      <c r="K560" s="46"/>
      <c r="L560" s="46"/>
      <c r="M560" s="46"/>
      <c r="N560" s="46"/>
      <c r="O560" s="46"/>
      <c r="P560" s="46"/>
      <c r="Q560" s="46"/>
      <c r="R560" s="46"/>
      <c r="S560" s="46"/>
      <c r="T560" s="46"/>
      <c r="U560" s="46"/>
      <c r="V560" s="46"/>
      <c r="W560" s="46"/>
      <c r="X560" s="46"/>
      <c r="Y560" s="46"/>
      <c r="Z560" s="46"/>
      <c r="AA560" s="46"/>
      <c r="AB560" s="46"/>
    </row>
    <row r="561" hidden="1">
      <c r="A561" s="90" t="s">
        <v>778</v>
      </c>
      <c r="B561" s="91" t="str">
        <f>IFERROR(VLOOKUP(A561,'Salary Calculation'!A561:F1558,2,0),"")</f>
        <v/>
      </c>
      <c r="C561" s="91" t="str">
        <f>IFERROR(VLOOKUP(A561,'Salary Calculation'!$A$2:$T$999,3,0),"")</f>
        <v/>
      </c>
      <c r="D561" s="91" t="str">
        <f>IFERROR(VLOOKUP(A561,'Salary Calculation'!$A$2:$T$999,6,0),"")</f>
        <v/>
      </c>
      <c r="E561" s="91" t="str">
        <f>IFERROR(VLOOKUP(A561,'Salary Calculation'!$A$2:$T$999,8,0),"")</f>
        <v/>
      </c>
      <c r="F561" s="92" t="str">
        <f>IFERROR(VLOOKUP(C561,'Employees List'!$B$2:H999,6,0),"")</f>
        <v/>
      </c>
      <c r="G561" s="93" t="str">
        <f>IFERROR(VLOOKUP(A561,'Salary Calculation'!$A$2:$T$999,7,0),"")</f>
        <v/>
      </c>
      <c r="H561" s="94"/>
      <c r="I561" s="46"/>
      <c r="J561" s="46"/>
      <c r="K561" s="46"/>
      <c r="L561" s="46"/>
      <c r="M561" s="46"/>
      <c r="N561" s="46"/>
      <c r="O561" s="46"/>
      <c r="P561" s="46"/>
      <c r="Q561" s="46"/>
      <c r="R561" s="46"/>
      <c r="S561" s="46"/>
      <c r="T561" s="46"/>
      <c r="U561" s="46"/>
      <c r="V561" s="46"/>
      <c r="W561" s="46"/>
      <c r="X561" s="46"/>
      <c r="Y561" s="46"/>
      <c r="Z561" s="46"/>
      <c r="AA561" s="46"/>
      <c r="AB561" s="46"/>
    </row>
    <row r="562" hidden="1">
      <c r="A562" s="90" t="s">
        <v>779</v>
      </c>
      <c r="B562" s="91" t="str">
        <f>IFERROR(VLOOKUP(A562,'Salary Calculation'!A562:F1559,2,0),"")</f>
        <v/>
      </c>
      <c r="C562" s="91" t="str">
        <f>IFERROR(VLOOKUP(A562,'Salary Calculation'!$A$2:$T$999,3,0),"")</f>
        <v/>
      </c>
      <c r="D562" s="91" t="str">
        <f>IFERROR(VLOOKUP(A562,'Salary Calculation'!$A$2:$T$999,6,0),"")</f>
        <v/>
      </c>
      <c r="E562" s="91" t="str">
        <f>IFERROR(VLOOKUP(A562,'Salary Calculation'!$A$2:$T$999,8,0),"")</f>
        <v/>
      </c>
      <c r="F562" s="92" t="str">
        <f>IFERROR(VLOOKUP(C562,'Employees List'!$B$2:H999,6,0),"")</f>
        <v/>
      </c>
      <c r="G562" s="93" t="str">
        <f>IFERROR(VLOOKUP(A562,'Salary Calculation'!$A$2:$T$999,7,0),"")</f>
        <v/>
      </c>
      <c r="H562" s="94"/>
      <c r="I562" s="46"/>
      <c r="J562" s="46"/>
      <c r="K562" s="46"/>
      <c r="L562" s="46"/>
      <c r="M562" s="46"/>
      <c r="N562" s="46"/>
      <c r="O562" s="46"/>
      <c r="P562" s="46"/>
      <c r="Q562" s="46"/>
      <c r="R562" s="46"/>
      <c r="S562" s="46"/>
      <c r="T562" s="46"/>
      <c r="U562" s="46"/>
      <c r="V562" s="46"/>
      <c r="W562" s="46"/>
      <c r="X562" s="46"/>
      <c r="Y562" s="46"/>
      <c r="Z562" s="46"/>
      <c r="AA562" s="46"/>
      <c r="AB562" s="46"/>
    </row>
    <row r="563" hidden="1">
      <c r="A563" s="90" t="s">
        <v>780</v>
      </c>
      <c r="B563" s="91" t="str">
        <f>IFERROR(VLOOKUP(A563,'Salary Calculation'!A563:F1560,2,0),"")</f>
        <v/>
      </c>
      <c r="C563" s="91" t="str">
        <f>IFERROR(VLOOKUP(A563,'Salary Calculation'!$A$2:$T$999,3,0),"")</f>
        <v/>
      </c>
      <c r="D563" s="91" t="str">
        <f>IFERROR(VLOOKUP(A563,'Salary Calculation'!$A$2:$T$999,6,0),"")</f>
        <v/>
      </c>
      <c r="E563" s="91" t="str">
        <f>IFERROR(VLOOKUP(A563,'Salary Calculation'!$A$2:$T$999,8,0),"")</f>
        <v/>
      </c>
      <c r="F563" s="92" t="str">
        <f>IFERROR(VLOOKUP(C563,'Employees List'!$B$2:H999,6,0),"")</f>
        <v/>
      </c>
      <c r="G563" s="93" t="str">
        <f>IFERROR(VLOOKUP(A563,'Salary Calculation'!$A$2:$T$999,7,0),"")</f>
        <v/>
      </c>
      <c r="H563" s="94"/>
      <c r="I563" s="46"/>
      <c r="J563" s="46"/>
      <c r="K563" s="46"/>
      <c r="L563" s="46"/>
      <c r="M563" s="46"/>
      <c r="N563" s="46"/>
      <c r="O563" s="46"/>
      <c r="P563" s="46"/>
      <c r="Q563" s="46"/>
      <c r="R563" s="46"/>
      <c r="S563" s="46"/>
      <c r="T563" s="46"/>
      <c r="U563" s="46"/>
      <c r="V563" s="46"/>
      <c r="W563" s="46"/>
      <c r="X563" s="46"/>
      <c r="Y563" s="46"/>
      <c r="Z563" s="46"/>
      <c r="AA563" s="46"/>
      <c r="AB563" s="46"/>
    </row>
    <row r="564" hidden="1">
      <c r="A564" s="90" t="s">
        <v>781</v>
      </c>
      <c r="B564" s="91" t="str">
        <f>IFERROR(VLOOKUP(A564,'Salary Calculation'!A564:F1561,2,0),"")</f>
        <v/>
      </c>
      <c r="C564" s="91" t="str">
        <f>IFERROR(VLOOKUP(A564,'Salary Calculation'!$A$2:$T$999,3,0),"")</f>
        <v/>
      </c>
      <c r="D564" s="91" t="str">
        <f>IFERROR(VLOOKUP(A564,'Salary Calculation'!$A$2:$T$999,6,0),"")</f>
        <v/>
      </c>
      <c r="E564" s="91" t="str">
        <f>IFERROR(VLOOKUP(A564,'Salary Calculation'!$A$2:$T$999,8,0),"")</f>
        <v/>
      </c>
      <c r="F564" s="92" t="str">
        <f>IFERROR(VLOOKUP(C564,'Employees List'!$B$2:H999,6,0),"")</f>
        <v/>
      </c>
      <c r="G564" s="93" t="str">
        <f>IFERROR(VLOOKUP(A564,'Salary Calculation'!$A$2:$T$999,7,0),"")</f>
        <v/>
      </c>
      <c r="H564" s="94"/>
      <c r="I564" s="46"/>
      <c r="J564" s="46"/>
      <c r="K564" s="46"/>
      <c r="L564" s="46"/>
      <c r="M564" s="46"/>
      <c r="N564" s="46"/>
      <c r="O564" s="46"/>
      <c r="P564" s="46"/>
      <c r="Q564" s="46"/>
      <c r="R564" s="46"/>
      <c r="S564" s="46"/>
      <c r="T564" s="46"/>
      <c r="U564" s="46"/>
      <c r="V564" s="46"/>
      <c r="W564" s="46"/>
      <c r="X564" s="46"/>
      <c r="Y564" s="46"/>
      <c r="Z564" s="46"/>
      <c r="AA564" s="46"/>
      <c r="AB564" s="46"/>
    </row>
    <row r="565" hidden="1">
      <c r="A565" s="90" t="s">
        <v>782</v>
      </c>
      <c r="B565" s="91" t="str">
        <f>IFERROR(VLOOKUP(A565,'Salary Calculation'!A565:F1562,2,0),"")</f>
        <v/>
      </c>
      <c r="C565" s="91" t="str">
        <f>IFERROR(VLOOKUP(A565,'Salary Calculation'!$A$2:$T$999,3,0),"")</f>
        <v/>
      </c>
      <c r="D565" s="91" t="str">
        <f>IFERROR(VLOOKUP(A565,'Salary Calculation'!$A$2:$T$999,6,0),"")</f>
        <v/>
      </c>
      <c r="E565" s="91" t="str">
        <f>IFERROR(VLOOKUP(A565,'Salary Calculation'!$A$2:$T$999,8,0),"")</f>
        <v/>
      </c>
      <c r="F565" s="92" t="str">
        <f>IFERROR(VLOOKUP(C565,'Employees List'!$B$2:H999,6,0),"")</f>
        <v/>
      </c>
      <c r="G565" s="93" t="str">
        <f>IFERROR(VLOOKUP(A565,'Salary Calculation'!$A$2:$T$999,7,0),"")</f>
        <v/>
      </c>
      <c r="H565" s="94"/>
      <c r="I565" s="46"/>
      <c r="J565" s="46"/>
      <c r="K565" s="46"/>
      <c r="L565" s="46"/>
      <c r="M565" s="46"/>
      <c r="N565" s="46"/>
      <c r="O565" s="46"/>
      <c r="P565" s="46"/>
      <c r="Q565" s="46"/>
      <c r="R565" s="46"/>
      <c r="S565" s="46"/>
      <c r="T565" s="46"/>
      <c r="U565" s="46"/>
      <c r="V565" s="46"/>
      <c r="W565" s="46"/>
      <c r="X565" s="46"/>
      <c r="Y565" s="46"/>
      <c r="Z565" s="46"/>
      <c r="AA565" s="46"/>
      <c r="AB565" s="46"/>
    </row>
    <row r="566" hidden="1">
      <c r="A566" s="90" t="s">
        <v>783</v>
      </c>
      <c r="B566" s="91" t="str">
        <f>IFERROR(VLOOKUP(A566,'Salary Calculation'!A566:F1563,2,0),"")</f>
        <v/>
      </c>
      <c r="C566" s="91" t="str">
        <f>IFERROR(VLOOKUP(A566,'Salary Calculation'!$A$2:$T$999,3,0),"")</f>
        <v/>
      </c>
      <c r="D566" s="91" t="str">
        <f>IFERROR(VLOOKUP(A566,'Salary Calculation'!$A$2:$T$999,6,0),"")</f>
        <v/>
      </c>
      <c r="E566" s="91" t="str">
        <f>IFERROR(VLOOKUP(A566,'Salary Calculation'!$A$2:$T$999,8,0),"")</f>
        <v/>
      </c>
      <c r="F566" s="92" t="str">
        <f>IFERROR(VLOOKUP(C566,'Employees List'!$B$2:H999,6,0),"")</f>
        <v/>
      </c>
      <c r="G566" s="93" t="str">
        <f>IFERROR(VLOOKUP(A566,'Salary Calculation'!$A$2:$T$999,7,0),"")</f>
        <v/>
      </c>
      <c r="H566" s="94"/>
      <c r="I566" s="46"/>
      <c r="J566" s="46"/>
      <c r="K566" s="46"/>
      <c r="L566" s="46"/>
      <c r="M566" s="46"/>
      <c r="N566" s="46"/>
      <c r="O566" s="46"/>
      <c r="P566" s="46"/>
      <c r="Q566" s="46"/>
      <c r="R566" s="46"/>
      <c r="S566" s="46"/>
      <c r="T566" s="46"/>
      <c r="U566" s="46"/>
      <c r="V566" s="46"/>
      <c r="W566" s="46"/>
      <c r="X566" s="46"/>
      <c r="Y566" s="46"/>
      <c r="Z566" s="46"/>
      <c r="AA566" s="46"/>
      <c r="AB566" s="46"/>
    </row>
    <row r="567" hidden="1">
      <c r="A567" s="90" t="s">
        <v>784</v>
      </c>
      <c r="B567" s="91" t="str">
        <f>IFERROR(VLOOKUP(A567,'Salary Calculation'!A567:F1564,2,0),"")</f>
        <v/>
      </c>
      <c r="C567" s="91" t="str">
        <f>IFERROR(VLOOKUP(A567,'Salary Calculation'!$A$2:$T$999,3,0),"")</f>
        <v/>
      </c>
      <c r="D567" s="91" t="str">
        <f>IFERROR(VLOOKUP(A567,'Salary Calculation'!$A$2:$T$999,6,0),"")</f>
        <v/>
      </c>
      <c r="E567" s="91" t="str">
        <f>IFERROR(VLOOKUP(A567,'Salary Calculation'!$A$2:$T$999,8,0),"")</f>
        <v/>
      </c>
      <c r="F567" s="92" t="str">
        <f>IFERROR(VLOOKUP(C567,'Employees List'!$B$2:H999,6,0),"")</f>
        <v/>
      </c>
      <c r="G567" s="93" t="str">
        <f>IFERROR(VLOOKUP(A567,'Salary Calculation'!$A$2:$T$999,7,0),"")</f>
        <v/>
      </c>
      <c r="H567" s="94"/>
      <c r="I567" s="46"/>
      <c r="J567" s="46"/>
      <c r="K567" s="46"/>
      <c r="L567" s="46"/>
      <c r="M567" s="46"/>
      <c r="N567" s="46"/>
      <c r="O567" s="46"/>
      <c r="P567" s="46"/>
      <c r="Q567" s="46"/>
      <c r="R567" s="46"/>
      <c r="S567" s="46"/>
      <c r="T567" s="46"/>
      <c r="U567" s="46"/>
      <c r="V567" s="46"/>
      <c r="W567" s="46"/>
      <c r="X567" s="46"/>
      <c r="Y567" s="46"/>
      <c r="Z567" s="46"/>
      <c r="AA567" s="46"/>
      <c r="AB567" s="46"/>
    </row>
    <row r="568" hidden="1">
      <c r="A568" s="90" t="s">
        <v>785</v>
      </c>
      <c r="B568" s="91" t="str">
        <f>IFERROR(VLOOKUP(A568,'Salary Calculation'!A568:F1565,2,0),"")</f>
        <v/>
      </c>
      <c r="C568" s="91" t="str">
        <f>IFERROR(VLOOKUP(A568,'Salary Calculation'!$A$2:$T$999,3,0),"")</f>
        <v/>
      </c>
      <c r="D568" s="91" t="str">
        <f>IFERROR(VLOOKUP(A568,'Salary Calculation'!$A$2:$T$999,6,0),"")</f>
        <v/>
      </c>
      <c r="E568" s="91" t="str">
        <f>IFERROR(VLOOKUP(A568,'Salary Calculation'!$A$2:$T$999,8,0),"")</f>
        <v/>
      </c>
      <c r="F568" s="92" t="str">
        <f>IFERROR(VLOOKUP(C568,'Employees List'!$B$2:H999,6,0),"")</f>
        <v/>
      </c>
      <c r="G568" s="93" t="str">
        <f>IFERROR(VLOOKUP(A568,'Salary Calculation'!$A$2:$T$999,7,0),"")</f>
        <v/>
      </c>
      <c r="H568" s="94"/>
      <c r="I568" s="46"/>
      <c r="J568" s="46"/>
      <c r="K568" s="46"/>
      <c r="L568" s="46"/>
      <c r="M568" s="46"/>
      <c r="N568" s="46"/>
      <c r="O568" s="46"/>
      <c r="P568" s="46"/>
      <c r="Q568" s="46"/>
      <c r="R568" s="46"/>
      <c r="S568" s="46"/>
      <c r="T568" s="46"/>
      <c r="U568" s="46"/>
      <c r="V568" s="46"/>
      <c r="W568" s="46"/>
      <c r="X568" s="46"/>
      <c r="Y568" s="46"/>
      <c r="Z568" s="46"/>
      <c r="AA568" s="46"/>
      <c r="AB568" s="46"/>
    </row>
    <row r="569" hidden="1">
      <c r="A569" s="90" t="s">
        <v>786</v>
      </c>
      <c r="B569" s="91" t="str">
        <f>IFERROR(VLOOKUP(A569,'Salary Calculation'!A569:F1566,2,0),"")</f>
        <v/>
      </c>
      <c r="C569" s="91" t="str">
        <f>IFERROR(VLOOKUP(A569,'Salary Calculation'!$A$2:$T$999,3,0),"")</f>
        <v/>
      </c>
      <c r="D569" s="91" t="str">
        <f>IFERROR(VLOOKUP(A569,'Salary Calculation'!$A$2:$T$999,6,0),"")</f>
        <v/>
      </c>
      <c r="E569" s="91" t="str">
        <f>IFERROR(VLOOKUP(A569,'Salary Calculation'!$A$2:$T$999,8,0),"")</f>
        <v/>
      </c>
      <c r="F569" s="92" t="str">
        <f>IFERROR(VLOOKUP(C569,'Employees List'!$B$2:H999,6,0),"")</f>
        <v/>
      </c>
      <c r="G569" s="93" t="str">
        <f>IFERROR(VLOOKUP(A569,'Salary Calculation'!$A$2:$T$999,7,0),"")</f>
        <v/>
      </c>
      <c r="H569" s="94"/>
      <c r="I569" s="46"/>
      <c r="J569" s="46"/>
      <c r="K569" s="46"/>
      <c r="L569" s="46"/>
      <c r="M569" s="46"/>
      <c r="N569" s="46"/>
      <c r="O569" s="46"/>
      <c r="P569" s="46"/>
      <c r="Q569" s="46"/>
      <c r="R569" s="46"/>
      <c r="S569" s="46"/>
      <c r="T569" s="46"/>
      <c r="U569" s="46"/>
      <c r="V569" s="46"/>
      <c r="W569" s="46"/>
      <c r="X569" s="46"/>
      <c r="Y569" s="46"/>
      <c r="Z569" s="46"/>
      <c r="AA569" s="46"/>
      <c r="AB569" s="46"/>
    </row>
    <row r="570" hidden="1">
      <c r="A570" s="90" t="s">
        <v>787</v>
      </c>
      <c r="B570" s="91" t="str">
        <f>IFERROR(VLOOKUP(A570,'Salary Calculation'!A570:F1567,2,0),"")</f>
        <v/>
      </c>
      <c r="C570" s="91" t="str">
        <f>IFERROR(VLOOKUP(A570,'Salary Calculation'!$A$2:$T$999,3,0),"")</f>
        <v/>
      </c>
      <c r="D570" s="91" t="str">
        <f>IFERROR(VLOOKUP(A570,'Salary Calculation'!$A$2:$T$999,6,0),"")</f>
        <v/>
      </c>
      <c r="E570" s="91" t="str">
        <f>IFERROR(VLOOKUP(A570,'Salary Calculation'!$A$2:$T$999,8,0),"")</f>
        <v/>
      </c>
      <c r="F570" s="92" t="str">
        <f>IFERROR(VLOOKUP(C570,'Employees List'!$B$2:H999,6,0),"")</f>
        <v/>
      </c>
      <c r="G570" s="93" t="str">
        <f>IFERROR(VLOOKUP(A570,'Salary Calculation'!$A$2:$T$999,7,0),"")</f>
        <v/>
      </c>
      <c r="H570" s="94"/>
      <c r="I570" s="46"/>
      <c r="J570" s="46"/>
      <c r="K570" s="46"/>
      <c r="L570" s="46"/>
      <c r="M570" s="46"/>
      <c r="N570" s="46"/>
      <c r="O570" s="46"/>
      <c r="P570" s="46"/>
      <c r="Q570" s="46"/>
      <c r="R570" s="46"/>
      <c r="S570" s="46"/>
      <c r="T570" s="46"/>
      <c r="U570" s="46"/>
      <c r="V570" s="46"/>
      <c r="W570" s="46"/>
      <c r="X570" s="46"/>
      <c r="Y570" s="46"/>
      <c r="Z570" s="46"/>
      <c r="AA570" s="46"/>
      <c r="AB570" s="46"/>
    </row>
    <row r="571" hidden="1">
      <c r="A571" s="90" t="s">
        <v>788</v>
      </c>
      <c r="B571" s="91" t="str">
        <f>IFERROR(VLOOKUP(A571,'Salary Calculation'!A571:F1568,2,0),"")</f>
        <v/>
      </c>
      <c r="C571" s="91" t="str">
        <f>IFERROR(VLOOKUP(A571,'Salary Calculation'!$A$2:$T$999,3,0),"")</f>
        <v/>
      </c>
      <c r="D571" s="91" t="str">
        <f>IFERROR(VLOOKUP(A571,'Salary Calculation'!$A$2:$T$999,6,0),"")</f>
        <v/>
      </c>
      <c r="E571" s="91" t="str">
        <f>IFERROR(VLOOKUP(A571,'Salary Calculation'!$A$2:$T$999,8,0),"")</f>
        <v/>
      </c>
      <c r="F571" s="92" t="str">
        <f>IFERROR(VLOOKUP(C571,'Employees List'!$B$2:H999,6,0),"")</f>
        <v/>
      </c>
      <c r="G571" s="93" t="str">
        <f>IFERROR(VLOOKUP(A571,'Salary Calculation'!$A$2:$T$999,7,0),"")</f>
        <v/>
      </c>
      <c r="H571" s="94"/>
      <c r="I571" s="46"/>
      <c r="J571" s="46"/>
      <c r="K571" s="46"/>
      <c r="L571" s="46"/>
      <c r="M571" s="46"/>
      <c r="N571" s="46"/>
      <c r="O571" s="46"/>
      <c r="P571" s="46"/>
      <c r="Q571" s="46"/>
      <c r="R571" s="46"/>
      <c r="S571" s="46"/>
      <c r="T571" s="46"/>
      <c r="U571" s="46"/>
      <c r="V571" s="46"/>
      <c r="W571" s="46"/>
      <c r="X571" s="46"/>
      <c r="Y571" s="46"/>
      <c r="Z571" s="46"/>
      <c r="AA571" s="46"/>
      <c r="AB571" s="46"/>
    </row>
    <row r="572" hidden="1">
      <c r="A572" s="90" t="s">
        <v>789</v>
      </c>
      <c r="B572" s="91" t="str">
        <f>IFERROR(VLOOKUP(A572,'Salary Calculation'!A572:F1569,2,0),"")</f>
        <v/>
      </c>
      <c r="C572" s="91" t="str">
        <f>IFERROR(VLOOKUP(A572,'Salary Calculation'!$A$2:$T$999,3,0),"")</f>
        <v/>
      </c>
      <c r="D572" s="91" t="str">
        <f>IFERROR(VLOOKUP(A572,'Salary Calculation'!$A$2:$T$999,6,0),"")</f>
        <v/>
      </c>
      <c r="E572" s="91" t="str">
        <f>IFERROR(VLOOKUP(A572,'Salary Calculation'!$A$2:$T$999,8,0),"")</f>
        <v/>
      </c>
      <c r="F572" s="92" t="str">
        <f>IFERROR(VLOOKUP(C572,'Employees List'!$B$2:H999,6,0),"")</f>
        <v/>
      </c>
      <c r="G572" s="93" t="str">
        <f>IFERROR(VLOOKUP(A572,'Salary Calculation'!$A$2:$T$999,7,0),"")</f>
        <v/>
      </c>
      <c r="H572" s="94"/>
      <c r="I572" s="46"/>
      <c r="J572" s="46"/>
      <c r="K572" s="46"/>
      <c r="L572" s="46"/>
      <c r="M572" s="46"/>
      <c r="N572" s="46"/>
      <c r="O572" s="46"/>
      <c r="P572" s="46"/>
      <c r="Q572" s="46"/>
      <c r="R572" s="46"/>
      <c r="S572" s="46"/>
      <c r="T572" s="46"/>
      <c r="U572" s="46"/>
      <c r="V572" s="46"/>
      <c r="W572" s="46"/>
      <c r="X572" s="46"/>
      <c r="Y572" s="46"/>
      <c r="Z572" s="46"/>
      <c r="AA572" s="46"/>
      <c r="AB572" s="46"/>
    </row>
    <row r="573" hidden="1">
      <c r="A573" s="90" t="s">
        <v>790</v>
      </c>
      <c r="B573" s="91" t="str">
        <f>IFERROR(VLOOKUP(A573,'Salary Calculation'!A573:F1570,2,0),"")</f>
        <v/>
      </c>
      <c r="C573" s="91" t="str">
        <f>IFERROR(VLOOKUP(A573,'Salary Calculation'!$A$2:$T$999,3,0),"")</f>
        <v/>
      </c>
      <c r="D573" s="91" t="str">
        <f>IFERROR(VLOOKUP(A573,'Salary Calculation'!$A$2:$T$999,6,0),"")</f>
        <v/>
      </c>
      <c r="E573" s="91" t="str">
        <f>IFERROR(VLOOKUP(A573,'Salary Calculation'!$A$2:$T$999,8,0),"")</f>
        <v/>
      </c>
      <c r="F573" s="92" t="str">
        <f>IFERROR(VLOOKUP(C573,'Employees List'!$B$2:H999,6,0),"")</f>
        <v/>
      </c>
      <c r="G573" s="93" t="str">
        <f>IFERROR(VLOOKUP(A573,'Salary Calculation'!$A$2:$T$999,7,0),"")</f>
        <v/>
      </c>
      <c r="H573" s="94"/>
      <c r="I573" s="46"/>
      <c r="J573" s="46"/>
      <c r="K573" s="46"/>
      <c r="L573" s="46"/>
      <c r="M573" s="46"/>
      <c r="N573" s="46"/>
      <c r="O573" s="46"/>
      <c r="P573" s="46"/>
      <c r="Q573" s="46"/>
      <c r="R573" s="46"/>
      <c r="S573" s="46"/>
      <c r="T573" s="46"/>
      <c r="U573" s="46"/>
      <c r="V573" s="46"/>
      <c r="W573" s="46"/>
      <c r="X573" s="46"/>
      <c r="Y573" s="46"/>
      <c r="Z573" s="46"/>
      <c r="AA573" s="46"/>
      <c r="AB573" s="46"/>
    </row>
    <row r="574" hidden="1">
      <c r="A574" s="90" t="s">
        <v>791</v>
      </c>
      <c r="B574" s="91" t="str">
        <f>IFERROR(VLOOKUP(A574,'Salary Calculation'!A574:F1571,2,0),"")</f>
        <v/>
      </c>
      <c r="C574" s="91" t="str">
        <f>IFERROR(VLOOKUP(A574,'Salary Calculation'!$A$2:$T$999,3,0),"")</f>
        <v/>
      </c>
      <c r="D574" s="91" t="str">
        <f>IFERROR(VLOOKUP(A574,'Salary Calculation'!$A$2:$T$999,6,0),"")</f>
        <v/>
      </c>
      <c r="E574" s="91" t="str">
        <f>IFERROR(VLOOKUP(A574,'Salary Calculation'!$A$2:$T$999,8,0),"")</f>
        <v/>
      </c>
      <c r="F574" s="92" t="str">
        <f>IFERROR(VLOOKUP(C574,'Employees List'!$B$2:H999,6,0),"")</f>
        <v/>
      </c>
      <c r="G574" s="93" t="str">
        <f>IFERROR(VLOOKUP(A574,'Salary Calculation'!$A$2:$T$999,7,0),"")</f>
        <v/>
      </c>
      <c r="H574" s="94"/>
      <c r="I574" s="46"/>
      <c r="J574" s="46"/>
      <c r="K574" s="46"/>
      <c r="L574" s="46"/>
      <c r="M574" s="46"/>
      <c r="N574" s="46"/>
      <c r="O574" s="46"/>
      <c r="P574" s="46"/>
      <c r="Q574" s="46"/>
      <c r="R574" s="46"/>
      <c r="S574" s="46"/>
      <c r="T574" s="46"/>
      <c r="U574" s="46"/>
      <c r="V574" s="46"/>
      <c r="W574" s="46"/>
      <c r="X574" s="46"/>
      <c r="Y574" s="46"/>
      <c r="Z574" s="46"/>
      <c r="AA574" s="46"/>
      <c r="AB574" s="46"/>
    </row>
    <row r="575" hidden="1">
      <c r="A575" s="90" t="s">
        <v>792</v>
      </c>
      <c r="B575" s="91" t="str">
        <f>IFERROR(VLOOKUP(A575,'Salary Calculation'!A575:F1572,2,0),"")</f>
        <v/>
      </c>
      <c r="C575" s="91" t="str">
        <f>IFERROR(VLOOKUP(A575,'Salary Calculation'!$A$2:$T$999,3,0),"")</f>
        <v/>
      </c>
      <c r="D575" s="91" t="str">
        <f>IFERROR(VLOOKUP(A575,'Salary Calculation'!$A$2:$T$999,6,0),"")</f>
        <v/>
      </c>
      <c r="E575" s="91" t="str">
        <f>IFERROR(VLOOKUP(A575,'Salary Calculation'!$A$2:$T$999,8,0),"")</f>
        <v/>
      </c>
      <c r="F575" s="92" t="str">
        <f>IFERROR(VLOOKUP(C575,'Employees List'!$B$2:H999,6,0),"")</f>
        <v/>
      </c>
      <c r="G575" s="93" t="str">
        <f>IFERROR(VLOOKUP(A575,'Salary Calculation'!$A$2:$T$999,7,0),"")</f>
        <v/>
      </c>
      <c r="H575" s="94"/>
      <c r="I575" s="46"/>
      <c r="J575" s="46"/>
      <c r="K575" s="46"/>
      <c r="L575" s="46"/>
      <c r="M575" s="46"/>
      <c r="N575" s="46"/>
      <c r="O575" s="46"/>
      <c r="P575" s="46"/>
      <c r="Q575" s="46"/>
      <c r="R575" s="46"/>
      <c r="S575" s="46"/>
      <c r="T575" s="46"/>
      <c r="U575" s="46"/>
      <c r="V575" s="46"/>
      <c r="W575" s="46"/>
      <c r="X575" s="46"/>
      <c r="Y575" s="46"/>
      <c r="Z575" s="46"/>
      <c r="AA575" s="46"/>
      <c r="AB575" s="46"/>
    </row>
    <row r="576" hidden="1">
      <c r="A576" s="90" t="s">
        <v>793</v>
      </c>
      <c r="B576" s="91" t="str">
        <f>IFERROR(VLOOKUP(A576,'Salary Calculation'!A576:F1573,2,0),"")</f>
        <v/>
      </c>
      <c r="C576" s="91" t="str">
        <f>IFERROR(VLOOKUP(A576,'Salary Calculation'!$A$2:$T$999,3,0),"")</f>
        <v/>
      </c>
      <c r="D576" s="91" t="str">
        <f>IFERROR(VLOOKUP(A576,'Salary Calculation'!$A$2:$T$999,6,0),"")</f>
        <v/>
      </c>
      <c r="E576" s="91" t="str">
        <f>IFERROR(VLOOKUP(A576,'Salary Calculation'!$A$2:$T$999,8,0),"")</f>
        <v/>
      </c>
      <c r="F576" s="92" t="str">
        <f>IFERROR(VLOOKUP(C576,'Employees List'!$B$2:H999,6,0),"")</f>
        <v/>
      </c>
      <c r="G576" s="93" t="str">
        <f>IFERROR(VLOOKUP(A576,'Salary Calculation'!$A$2:$T$999,7,0),"")</f>
        <v/>
      </c>
      <c r="H576" s="94"/>
      <c r="I576" s="46"/>
      <c r="J576" s="46"/>
      <c r="K576" s="46"/>
      <c r="L576" s="46"/>
      <c r="M576" s="46"/>
      <c r="N576" s="46"/>
      <c r="O576" s="46"/>
      <c r="P576" s="46"/>
      <c r="Q576" s="46"/>
      <c r="R576" s="46"/>
      <c r="S576" s="46"/>
      <c r="T576" s="46"/>
      <c r="U576" s="46"/>
      <c r="V576" s="46"/>
      <c r="W576" s="46"/>
      <c r="X576" s="46"/>
      <c r="Y576" s="46"/>
      <c r="Z576" s="46"/>
      <c r="AA576" s="46"/>
      <c r="AB576" s="46"/>
    </row>
    <row r="577" hidden="1">
      <c r="A577" s="90" t="s">
        <v>794</v>
      </c>
      <c r="B577" s="91" t="str">
        <f>IFERROR(VLOOKUP(A577,'Salary Calculation'!A577:F1574,2,0),"")</f>
        <v/>
      </c>
      <c r="C577" s="91" t="str">
        <f>IFERROR(VLOOKUP(A577,'Salary Calculation'!$A$2:$T$999,3,0),"")</f>
        <v/>
      </c>
      <c r="D577" s="91" t="str">
        <f>IFERROR(VLOOKUP(A577,'Salary Calculation'!$A$2:$T$999,6,0),"")</f>
        <v/>
      </c>
      <c r="E577" s="91" t="str">
        <f>IFERROR(VLOOKUP(A577,'Salary Calculation'!$A$2:$T$999,8,0),"")</f>
        <v/>
      </c>
      <c r="F577" s="92" t="str">
        <f>IFERROR(VLOOKUP(C577,'Employees List'!$B$2:H999,6,0),"")</f>
        <v/>
      </c>
      <c r="G577" s="93" t="str">
        <f>IFERROR(VLOOKUP(A577,'Salary Calculation'!$A$2:$T$999,7,0),"")</f>
        <v/>
      </c>
      <c r="H577" s="94"/>
      <c r="I577" s="46"/>
      <c r="J577" s="46"/>
      <c r="K577" s="46"/>
      <c r="L577" s="46"/>
      <c r="M577" s="46"/>
      <c r="N577" s="46"/>
      <c r="O577" s="46"/>
      <c r="P577" s="46"/>
      <c r="Q577" s="46"/>
      <c r="R577" s="46"/>
      <c r="S577" s="46"/>
      <c r="T577" s="46"/>
      <c r="U577" s="46"/>
      <c r="V577" s="46"/>
      <c r="W577" s="46"/>
      <c r="X577" s="46"/>
      <c r="Y577" s="46"/>
      <c r="Z577" s="46"/>
      <c r="AA577" s="46"/>
      <c r="AB577" s="46"/>
    </row>
    <row r="578" hidden="1">
      <c r="A578" s="90" t="s">
        <v>795</v>
      </c>
      <c r="B578" s="91" t="str">
        <f>IFERROR(VLOOKUP(A578,'Salary Calculation'!A578:F1575,2,0),"")</f>
        <v/>
      </c>
      <c r="C578" s="91" t="str">
        <f>IFERROR(VLOOKUP(A578,'Salary Calculation'!$A$2:$T$999,3,0),"")</f>
        <v/>
      </c>
      <c r="D578" s="91" t="str">
        <f>IFERROR(VLOOKUP(A578,'Salary Calculation'!$A$2:$T$999,6,0),"")</f>
        <v/>
      </c>
      <c r="E578" s="91" t="str">
        <f>IFERROR(VLOOKUP(A578,'Salary Calculation'!$A$2:$T$999,8,0),"")</f>
        <v/>
      </c>
      <c r="F578" s="92" t="str">
        <f>IFERROR(VLOOKUP(C578,'Employees List'!$B$2:H999,6,0),"")</f>
        <v/>
      </c>
      <c r="G578" s="93" t="str">
        <f>IFERROR(VLOOKUP(A578,'Salary Calculation'!$A$2:$T$999,7,0),"")</f>
        <v/>
      </c>
      <c r="H578" s="94"/>
      <c r="I578" s="46"/>
      <c r="J578" s="46"/>
      <c r="K578" s="46"/>
      <c r="L578" s="46"/>
      <c r="M578" s="46"/>
      <c r="N578" s="46"/>
      <c r="O578" s="46"/>
      <c r="P578" s="46"/>
      <c r="Q578" s="46"/>
      <c r="R578" s="46"/>
      <c r="S578" s="46"/>
      <c r="T578" s="46"/>
      <c r="U578" s="46"/>
      <c r="V578" s="46"/>
      <c r="W578" s="46"/>
      <c r="X578" s="46"/>
      <c r="Y578" s="46"/>
      <c r="Z578" s="46"/>
      <c r="AA578" s="46"/>
      <c r="AB578" s="46"/>
    </row>
    <row r="579" hidden="1">
      <c r="A579" s="90" t="s">
        <v>796</v>
      </c>
      <c r="B579" s="91" t="str">
        <f>IFERROR(VLOOKUP(A579,'Salary Calculation'!A579:F1576,2,0),"")</f>
        <v/>
      </c>
      <c r="C579" s="91" t="str">
        <f>IFERROR(VLOOKUP(A579,'Salary Calculation'!$A$2:$T$999,3,0),"")</f>
        <v/>
      </c>
      <c r="D579" s="91" t="str">
        <f>IFERROR(VLOOKUP(A579,'Salary Calculation'!$A$2:$T$999,6,0),"")</f>
        <v/>
      </c>
      <c r="E579" s="91" t="str">
        <f>IFERROR(VLOOKUP(A579,'Salary Calculation'!$A$2:$T$999,8,0),"")</f>
        <v/>
      </c>
      <c r="F579" s="92" t="str">
        <f>IFERROR(VLOOKUP(C579,'Employees List'!$B$2:H999,6,0),"")</f>
        <v/>
      </c>
      <c r="G579" s="93" t="str">
        <f>IFERROR(VLOOKUP(A579,'Salary Calculation'!$A$2:$T$999,7,0),"")</f>
        <v/>
      </c>
      <c r="H579" s="94"/>
      <c r="I579" s="46"/>
      <c r="J579" s="46"/>
      <c r="K579" s="46"/>
      <c r="L579" s="46"/>
      <c r="M579" s="46"/>
      <c r="N579" s="46"/>
      <c r="O579" s="46"/>
      <c r="P579" s="46"/>
      <c r="Q579" s="46"/>
      <c r="R579" s="46"/>
      <c r="S579" s="46"/>
      <c r="T579" s="46"/>
      <c r="U579" s="46"/>
      <c r="V579" s="46"/>
      <c r="W579" s="46"/>
      <c r="X579" s="46"/>
      <c r="Y579" s="46"/>
      <c r="Z579" s="46"/>
      <c r="AA579" s="46"/>
      <c r="AB579" s="46"/>
    </row>
    <row r="580" hidden="1">
      <c r="A580" s="90" t="s">
        <v>797</v>
      </c>
      <c r="B580" s="91" t="str">
        <f>IFERROR(VLOOKUP(A580,'Salary Calculation'!A580:F1577,2,0),"")</f>
        <v/>
      </c>
      <c r="C580" s="91" t="str">
        <f>IFERROR(VLOOKUP(A580,'Salary Calculation'!$A$2:$T$999,3,0),"")</f>
        <v/>
      </c>
      <c r="D580" s="91" t="str">
        <f>IFERROR(VLOOKUP(A580,'Salary Calculation'!$A$2:$T$999,6,0),"")</f>
        <v/>
      </c>
      <c r="E580" s="91" t="str">
        <f>IFERROR(VLOOKUP(A580,'Salary Calculation'!$A$2:$T$999,8,0),"")</f>
        <v/>
      </c>
      <c r="F580" s="92" t="str">
        <f>IFERROR(VLOOKUP(C580,'Employees List'!$B$2:H999,6,0),"")</f>
        <v/>
      </c>
      <c r="G580" s="93" t="str">
        <f>IFERROR(VLOOKUP(A580,'Salary Calculation'!$A$2:$T$999,7,0),"")</f>
        <v/>
      </c>
      <c r="H580" s="94"/>
      <c r="I580" s="46"/>
      <c r="J580" s="46"/>
      <c r="K580" s="46"/>
      <c r="L580" s="46"/>
      <c r="M580" s="46"/>
      <c r="N580" s="46"/>
      <c r="O580" s="46"/>
      <c r="P580" s="46"/>
      <c r="Q580" s="46"/>
      <c r="R580" s="46"/>
      <c r="S580" s="46"/>
      <c r="T580" s="46"/>
      <c r="U580" s="46"/>
      <c r="V580" s="46"/>
      <c r="W580" s="46"/>
      <c r="X580" s="46"/>
      <c r="Y580" s="46"/>
      <c r="Z580" s="46"/>
      <c r="AA580" s="46"/>
      <c r="AB580" s="46"/>
    </row>
    <row r="581" hidden="1">
      <c r="A581" s="90" t="s">
        <v>798</v>
      </c>
      <c r="B581" s="91" t="str">
        <f>IFERROR(VLOOKUP(A581,'Salary Calculation'!A581:F1578,2,0),"")</f>
        <v/>
      </c>
      <c r="C581" s="91" t="str">
        <f>IFERROR(VLOOKUP(A581,'Salary Calculation'!$A$2:$T$999,3,0),"")</f>
        <v/>
      </c>
      <c r="D581" s="91" t="str">
        <f>IFERROR(VLOOKUP(A581,'Salary Calculation'!$A$2:$T$999,6,0),"")</f>
        <v/>
      </c>
      <c r="E581" s="91" t="str">
        <f>IFERROR(VLOOKUP(A581,'Salary Calculation'!$A$2:$T$999,8,0),"")</f>
        <v/>
      </c>
      <c r="F581" s="92" t="str">
        <f>IFERROR(VLOOKUP(C581,'Employees List'!$B$2:H999,6,0),"")</f>
        <v/>
      </c>
      <c r="G581" s="93" t="str">
        <f>IFERROR(VLOOKUP(A581,'Salary Calculation'!$A$2:$T$999,7,0),"")</f>
        <v/>
      </c>
      <c r="H581" s="94"/>
      <c r="I581" s="46"/>
      <c r="J581" s="46"/>
      <c r="K581" s="46"/>
      <c r="L581" s="46"/>
      <c r="M581" s="46"/>
      <c r="N581" s="46"/>
      <c r="O581" s="46"/>
      <c r="P581" s="46"/>
      <c r="Q581" s="46"/>
      <c r="R581" s="46"/>
      <c r="S581" s="46"/>
      <c r="T581" s="46"/>
      <c r="U581" s="46"/>
      <c r="V581" s="46"/>
      <c r="W581" s="46"/>
      <c r="X581" s="46"/>
      <c r="Y581" s="46"/>
      <c r="Z581" s="46"/>
      <c r="AA581" s="46"/>
      <c r="AB581" s="46"/>
    </row>
    <row r="582" hidden="1">
      <c r="A582" s="90" t="s">
        <v>799</v>
      </c>
      <c r="B582" s="91" t="str">
        <f>IFERROR(VLOOKUP(A582,'Salary Calculation'!A582:F1579,2,0),"")</f>
        <v/>
      </c>
      <c r="C582" s="91" t="str">
        <f>IFERROR(VLOOKUP(A582,'Salary Calculation'!$A$2:$T$999,3,0),"")</f>
        <v/>
      </c>
      <c r="D582" s="91" t="str">
        <f>IFERROR(VLOOKUP(A582,'Salary Calculation'!$A$2:$T$999,6,0),"")</f>
        <v/>
      </c>
      <c r="E582" s="91" t="str">
        <f>IFERROR(VLOOKUP(A582,'Salary Calculation'!$A$2:$T$999,8,0),"")</f>
        <v/>
      </c>
      <c r="F582" s="92" t="str">
        <f>IFERROR(VLOOKUP(C582,'Employees List'!$B$2:H999,6,0),"")</f>
        <v/>
      </c>
      <c r="G582" s="93" t="str">
        <f>IFERROR(VLOOKUP(A582,'Salary Calculation'!$A$2:$T$999,7,0),"")</f>
        <v/>
      </c>
      <c r="H582" s="94"/>
      <c r="I582" s="46"/>
      <c r="J582" s="46"/>
      <c r="K582" s="46"/>
      <c r="L582" s="46"/>
      <c r="M582" s="46"/>
      <c r="N582" s="46"/>
      <c r="O582" s="46"/>
      <c r="P582" s="46"/>
      <c r="Q582" s="46"/>
      <c r="R582" s="46"/>
      <c r="S582" s="46"/>
      <c r="T582" s="46"/>
      <c r="U582" s="46"/>
      <c r="V582" s="46"/>
      <c r="W582" s="46"/>
      <c r="X582" s="46"/>
      <c r="Y582" s="46"/>
      <c r="Z582" s="46"/>
      <c r="AA582" s="46"/>
      <c r="AB582" s="46"/>
    </row>
    <row r="583" hidden="1">
      <c r="A583" s="90" t="s">
        <v>800</v>
      </c>
      <c r="B583" s="91" t="str">
        <f>IFERROR(VLOOKUP(A583,'Salary Calculation'!A583:F1580,2,0),"")</f>
        <v/>
      </c>
      <c r="C583" s="91" t="str">
        <f>IFERROR(VLOOKUP(A583,'Salary Calculation'!$A$2:$T$999,3,0),"")</f>
        <v/>
      </c>
      <c r="D583" s="91" t="str">
        <f>IFERROR(VLOOKUP(A583,'Salary Calculation'!$A$2:$T$999,6,0),"")</f>
        <v/>
      </c>
      <c r="E583" s="91" t="str">
        <f>IFERROR(VLOOKUP(A583,'Salary Calculation'!$A$2:$T$999,8,0),"")</f>
        <v/>
      </c>
      <c r="F583" s="92" t="str">
        <f>IFERROR(VLOOKUP(C583,'Employees List'!$B$2:H999,6,0),"")</f>
        <v/>
      </c>
      <c r="G583" s="93" t="str">
        <f>IFERROR(VLOOKUP(A583,'Salary Calculation'!$A$2:$T$999,7,0),"")</f>
        <v/>
      </c>
      <c r="H583" s="94"/>
      <c r="I583" s="46"/>
      <c r="J583" s="46"/>
      <c r="K583" s="46"/>
      <c r="L583" s="46"/>
      <c r="M583" s="46"/>
      <c r="N583" s="46"/>
      <c r="O583" s="46"/>
      <c r="P583" s="46"/>
      <c r="Q583" s="46"/>
      <c r="R583" s="46"/>
      <c r="S583" s="46"/>
      <c r="T583" s="46"/>
      <c r="U583" s="46"/>
      <c r="V583" s="46"/>
      <c r="W583" s="46"/>
      <c r="X583" s="46"/>
      <c r="Y583" s="46"/>
      <c r="Z583" s="46"/>
      <c r="AA583" s="46"/>
      <c r="AB583" s="46"/>
    </row>
    <row r="584" hidden="1">
      <c r="A584" s="90" t="s">
        <v>801</v>
      </c>
      <c r="B584" s="91" t="str">
        <f>IFERROR(VLOOKUP(A584,'Salary Calculation'!A584:F1581,2,0),"")</f>
        <v/>
      </c>
      <c r="C584" s="91" t="str">
        <f>IFERROR(VLOOKUP(A584,'Salary Calculation'!$A$2:$T$999,3,0),"")</f>
        <v/>
      </c>
      <c r="D584" s="91" t="str">
        <f>IFERROR(VLOOKUP(A584,'Salary Calculation'!$A$2:$T$999,6,0),"")</f>
        <v/>
      </c>
      <c r="E584" s="91" t="str">
        <f>IFERROR(VLOOKUP(A584,'Salary Calculation'!$A$2:$T$999,8,0),"")</f>
        <v/>
      </c>
      <c r="F584" s="92" t="str">
        <f>IFERROR(VLOOKUP(C584,'Employees List'!$B$2:H999,6,0),"")</f>
        <v/>
      </c>
      <c r="G584" s="93" t="str">
        <f>IFERROR(VLOOKUP(A584,'Salary Calculation'!$A$2:$T$999,7,0),"")</f>
        <v/>
      </c>
      <c r="H584" s="94"/>
      <c r="I584" s="46"/>
      <c r="J584" s="46"/>
      <c r="K584" s="46"/>
      <c r="L584" s="46"/>
      <c r="M584" s="46"/>
      <c r="N584" s="46"/>
      <c r="O584" s="46"/>
      <c r="P584" s="46"/>
      <c r="Q584" s="46"/>
      <c r="R584" s="46"/>
      <c r="S584" s="46"/>
      <c r="T584" s="46"/>
      <c r="U584" s="46"/>
      <c r="V584" s="46"/>
      <c r="W584" s="46"/>
      <c r="X584" s="46"/>
      <c r="Y584" s="46"/>
      <c r="Z584" s="46"/>
      <c r="AA584" s="46"/>
      <c r="AB584" s="46"/>
    </row>
    <row r="585" hidden="1">
      <c r="A585" s="90" t="s">
        <v>802</v>
      </c>
      <c r="B585" s="91" t="str">
        <f>IFERROR(VLOOKUP(A585,'Salary Calculation'!A585:F1582,2,0),"")</f>
        <v/>
      </c>
      <c r="C585" s="91" t="str">
        <f>IFERROR(VLOOKUP(A585,'Salary Calculation'!$A$2:$T$999,3,0),"")</f>
        <v/>
      </c>
      <c r="D585" s="91" t="str">
        <f>IFERROR(VLOOKUP(A585,'Salary Calculation'!$A$2:$T$999,6,0),"")</f>
        <v/>
      </c>
      <c r="E585" s="91" t="str">
        <f>IFERROR(VLOOKUP(A585,'Salary Calculation'!$A$2:$T$999,8,0),"")</f>
        <v/>
      </c>
      <c r="F585" s="92" t="str">
        <f>IFERROR(VLOOKUP(C585,'Employees List'!$B$2:H999,6,0),"")</f>
        <v/>
      </c>
      <c r="G585" s="93" t="str">
        <f>IFERROR(VLOOKUP(A585,'Salary Calculation'!$A$2:$T$999,7,0),"")</f>
        <v/>
      </c>
      <c r="H585" s="94"/>
      <c r="I585" s="46"/>
      <c r="J585" s="46"/>
      <c r="K585" s="46"/>
      <c r="L585" s="46"/>
      <c r="M585" s="46"/>
      <c r="N585" s="46"/>
      <c r="O585" s="46"/>
      <c r="P585" s="46"/>
      <c r="Q585" s="46"/>
      <c r="R585" s="46"/>
      <c r="S585" s="46"/>
      <c r="T585" s="46"/>
      <c r="U585" s="46"/>
      <c r="V585" s="46"/>
      <c r="W585" s="46"/>
      <c r="X585" s="46"/>
      <c r="Y585" s="46"/>
      <c r="Z585" s="46"/>
      <c r="AA585" s="46"/>
      <c r="AB585" s="46"/>
    </row>
    <row r="586" hidden="1">
      <c r="A586" s="90" t="s">
        <v>803</v>
      </c>
      <c r="B586" s="91" t="str">
        <f>IFERROR(VLOOKUP(A586,'Salary Calculation'!A586:F1583,2,0),"")</f>
        <v/>
      </c>
      <c r="C586" s="91" t="str">
        <f>IFERROR(VLOOKUP(A586,'Salary Calculation'!$A$2:$T$999,3,0),"")</f>
        <v/>
      </c>
      <c r="D586" s="91" t="str">
        <f>IFERROR(VLOOKUP(A586,'Salary Calculation'!$A$2:$T$999,6,0),"")</f>
        <v/>
      </c>
      <c r="E586" s="91" t="str">
        <f>IFERROR(VLOOKUP(A586,'Salary Calculation'!$A$2:$T$999,8,0),"")</f>
        <v/>
      </c>
      <c r="F586" s="92" t="str">
        <f>IFERROR(VLOOKUP(C586,'Employees List'!$B$2:H999,6,0),"")</f>
        <v/>
      </c>
      <c r="G586" s="93" t="str">
        <f>IFERROR(VLOOKUP(A586,'Salary Calculation'!$A$2:$T$999,7,0),"")</f>
        <v/>
      </c>
      <c r="H586" s="94"/>
      <c r="I586" s="46"/>
      <c r="J586" s="46"/>
      <c r="K586" s="46"/>
      <c r="L586" s="46"/>
      <c r="M586" s="46"/>
      <c r="N586" s="46"/>
      <c r="O586" s="46"/>
      <c r="P586" s="46"/>
      <c r="Q586" s="46"/>
      <c r="R586" s="46"/>
      <c r="S586" s="46"/>
      <c r="T586" s="46"/>
      <c r="U586" s="46"/>
      <c r="V586" s="46"/>
      <c r="W586" s="46"/>
      <c r="X586" s="46"/>
      <c r="Y586" s="46"/>
      <c r="Z586" s="46"/>
      <c r="AA586" s="46"/>
      <c r="AB586" s="46"/>
    </row>
    <row r="587" hidden="1">
      <c r="A587" s="90" t="s">
        <v>804</v>
      </c>
      <c r="B587" s="91" t="str">
        <f>IFERROR(VLOOKUP(A587,'Salary Calculation'!A587:F1584,2,0),"")</f>
        <v/>
      </c>
      <c r="C587" s="91" t="str">
        <f>IFERROR(VLOOKUP(A587,'Salary Calculation'!$A$2:$T$999,3,0),"")</f>
        <v/>
      </c>
      <c r="D587" s="91" t="str">
        <f>IFERROR(VLOOKUP(A587,'Salary Calculation'!$A$2:$T$999,6,0),"")</f>
        <v/>
      </c>
      <c r="E587" s="91" t="str">
        <f>IFERROR(VLOOKUP(A587,'Salary Calculation'!$A$2:$T$999,8,0),"")</f>
        <v/>
      </c>
      <c r="F587" s="92" t="str">
        <f>IFERROR(VLOOKUP(C587,'Employees List'!$B$2:H999,6,0),"")</f>
        <v/>
      </c>
      <c r="G587" s="93" t="str">
        <f>IFERROR(VLOOKUP(A587,'Salary Calculation'!$A$2:$T$999,7,0),"")</f>
        <v/>
      </c>
      <c r="H587" s="94"/>
      <c r="I587" s="46"/>
      <c r="J587" s="46"/>
      <c r="K587" s="46"/>
      <c r="L587" s="46"/>
      <c r="M587" s="46"/>
      <c r="N587" s="46"/>
      <c r="O587" s="46"/>
      <c r="P587" s="46"/>
      <c r="Q587" s="46"/>
      <c r="R587" s="46"/>
      <c r="S587" s="46"/>
      <c r="T587" s="46"/>
      <c r="U587" s="46"/>
      <c r="V587" s="46"/>
      <c r="W587" s="46"/>
      <c r="X587" s="46"/>
      <c r="Y587" s="46"/>
      <c r="Z587" s="46"/>
      <c r="AA587" s="46"/>
      <c r="AB587" s="46"/>
    </row>
    <row r="588" hidden="1">
      <c r="A588" s="90" t="s">
        <v>805</v>
      </c>
      <c r="B588" s="91" t="str">
        <f>IFERROR(VLOOKUP(A588,'Salary Calculation'!A588:F1585,2,0),"")</f>
        <v/>
      </c>
      <c r="C588" s="91" t="str">
        <f>IFERROR(VLOOKUP(A588,'Salary Calculation'!$A$2:$T$999,3,0),"")</f>
        <v/>
      </c>
      <c r="D588" s="91" t="str">
        <f>IFERROR(VLOOKUP(A588,'Salary Calculation'!$A$2:$T$999,6,0),"")</f>
        <v/>
      </c>
      <c r="E588" s="91" t="str">
        <f>IFERROR(VLOOKUP(A588,'Salary Calculation'!$A$2:$T$999,8,0),"")</f>
        <v/>
      </c>
      <c r="F588" s="92" t="str">
        <f>IFERROR(VLOOKUP(C588,'Employees List'!$B$2:H999,6,0),"")</f>
        <v/>
      </c>
      <c r="G588" s="93" t="str">
        <f>IFERROR(VLOOKUP(A588,'Salary Calculation'!$A$2:$T$999,7,0),"")</f>
        <v/>
      </c>
      <c r="H588" s="94"/>
      <c r="I588" s="46"/>
      <c r="J588" s="46"/>
      <c r="K588" s="46"/>
      <c r="L588" s="46"/>
      <c r="M588" s="46"/>
      <c r="N588" s="46"/>
      <c r="O588" s="46"/>
      <c r="P588" s="46"/>
      <c r="Q588" s="46"/>
      <c r="R588" s="46"/>
      <c r="S588" s="46"/>
      <c r="T588" s="46"/>
      <c r="U588" s="46"/>
      <c r="V588" s="46"/>
      <c r="W588" s="46"/>
      <c r="X588" s="46"/>
      <c r="Y588" s="46"/>
      <c r="Z588" s="46"/>
      <c r="AA588" s="46"/>
      <c r="AB588" s="46"/>
    </row>
    <row r="589" hidden="1">
      <c r="A589" s="90" t="s">
        <v>806</v>
      </c>
      <c r="B589" s="91" t="str">
        <f>IFERROR(VLOOKUP(A589,'Salary Calculation'!A589:F1586,2,0),"")</f>
        <v/>
      </c>
      <c r="C589" s="91" t="str">
        <f>IFERROR(VLOOKUP(A589,'Salary Calculation'!$A$2:$T$999,3,0),"")</f>
        <v/>
      </c>
      <c r="D589" s="91" t="str">
        <f>IFERROR(VLOOKUP(A589,'Salary Calculation'!$A$2:$T$999,6,0),"")</f>
        <v/>
      </c>
      <c r="E589" s="91" t="str">
        <f>IFERROR(VLOOKUP(A589,'Salary Calculation'!$A$2:$T$999,8,0),"")</f>
        <v/>
      </c>
      <c r="F589" s="92" t="str">
        <f>IFERROR(VLOOKUP(C589,'Employees List'!$B$2:H999,6,0),"")</f>
        <v/>
      </c>
      <c r="G589" s="93" t="str">
        <f>IFERROR(VLOOKUP(A589,'Salary Calculation'!$A$2:$T$999,7,0),"")</f>
        <v/>
      </c>
      <c r="H589" s="94"/>
      <c r="I589" s="46"/>
      <c r="J589" s="46"/>
      <c r="K589" s="46"/>
      <c r="L589" s="46"/>
      <c r="M589" s="46"/>
      <c r="N589" s="46"/>
      <c r="O589" s="46"/>
      <c r="P589" s="46"/>
      <c r="Q589" s="46"/>
      <c r="R589" s="46"/>
      <c r="S589" s="46"/>
      <c r="T589" s="46"/>
      <c r="U589" s="46"/>
      <c r="V589" s="46"/>
      <c r="W589" s="46"/>
      <c r="X589" s="46"/>
      <c r="Y589" s="46"/>
      <c r="Z589" s="46"/>
      <c r="AA589" s="46"/>
      <c r="AB589" s="46"/>
    </row>
    <row r="590" hidden="1">
      <c r="A590" s="90" t="s">
        <v>807</v>
      </c>
      <c r="B590" s="91" t="str">
        <f>IFERROR(VLOOKUP(A590,'Salary Calculation'!A590:F1587,2,0),"")</f>
        <v/>
      </c>
      <c r="C590" s="91" t="str">
        <f>IFERROR(VLOOKUP(A590,'Salary Calculation'!$A$2:$T$999,3,0),"")</f>
        <v/>
      </c>
      <c r="D590" s="91" t="str">
        <f>IFERROR(VLOOKUP(A590,'Salary Calculation'!$A$2:$T$999,6,0),"")</f>
        <v/>
      </c>
      <c r="E590" s="91" t="str">
        <f>IFERROR(VLOOKUP(A590,'Salary Calculation'!$A$2:$T$999,8,0),"")</f>
        <v/>
      </c>
      <c r="F590" s="92" t="str">
        <f>IFERROR(VLOOKUP(C590,'Employees List'!$B$2:H999,6,0),"")</f>
        <v/>
      </c>
      <c r="G590" s="93" t="str">
        <f>IFERROR(VLOOKUP(A590,'Salary Calculation'!$A$2:$T$999,7,0),"")</f>
        <v/>
      </c>
      <c r="H590" s="94"/>
      <c r="I590" s="46"/>
      <c r="J590" s="46"/>
      <c r="K590" s="46"/>
      <c r="L590" s="46"/>
      <c r="M590" s="46"/>
      <c r="N590" s="46"/>
      <c r="O590" s="46"/>
      <c r="P590" s="46"/>
      <c r="Q590" s="46"/>
      <c r="R590" s="46"/>
      <c r="S590" s="46"/>
      <c r="T590" s="46"/>
      <c r="U590" s="46"/>
      <c r="V590" s="46"/>
      <c r="W590" s="46"/>
      <c r="X590" s="46"/>
      <c r="Y590" s="46"/>
      <c r="Z590" s="46"/>
      <c r="AA590" s="46"/>
      <c r="AB590" s="46"/>
    </row>
    <row r="591" hidden="1">
      <c r="A591" s="90" t="s">
        <v>808</v>
      </c>
      <c r="B591" s="91" t="str">
        <f>IFERROR(VLOOKUP(A591,'Salary Calculation'!A591:F1588,2,0),"")</f>
        <v/>
      </c>
      <c r="C591" s="91" t="str">
        <f>IFERROR(VLOOKUP(A591,'Salary Calculation'!$A$2:$T$999,3,0),"")</f>
        <v/>
      </c>
      <c r="D591" s="91" t="str">
        <f>IFERROR(VLOOKUP(A591,'Salary Calculation'!$A$2:$T$999,6,0),"")</f>
        <v/>
      </c>
      <c r="E591" s="91" t="str">
        <f>IFERROR(VLOOKUP(A591,'Salary Calculation'!$A$2:$T$999,8,0),"")</f>
        <v/>
      </c>
      <c r="F591" s="92" t="str">
        <f>IFERROR(VLOOKUP(C591,'Employees List'!$B$2:H999,6,0),"")</f>
        <v/>
      </c>
      <c r="G591" s="93" t="str">
        <f>IFERROR(VLOOKUP(A591,'Salary Calculation'!$A$2:$T$999,7,0),"")</f>
        <v/>
      </c>
      <c r="H591" s="94"/>
      <c r="I591" s="46"/>
      <c r="J591" s="46"/>
      <c r="K591" s="46"/>
      <c r="L591" s="46"/>
      <c r="M591" s="46"/>
      <c r="N591" s="46"/>
      <c r="O591" s="46"/>
      <c r="P591" s="46"/>
      <c r="Q591" s="46"/>
      <c r="R591" s="46"/>
      <c r="S591" s="46"/>
      <c r="T591" s="46"/>
      <c r="U591" s="46"/>
      <c r="V591" s="46"/>
      <c r="W591" s="46"/>
      <c r="X591" s="46"/>
      <c r="Y591" s="46"/>
      <c r="Z591" s="46"/>
      <c r="AA591" s="46"/>
      <c r="AB591" s="46"/>
    </row>
    <row r="592" hidden="1">
      <c r="A592" s="90" t="s">
        <v>809</v>
      </c>
      <c r="B592" s="91" t="str">
        <f>IFERROR(VLOOKUP(A592,'Salary Calculation'!A592:F1589,2,0),"")</f>
        <v/>
      </c>
      <c r="C592" s="91" t="str">
        <f>IFERROR(VLOOKUP(A592,'Salary Calculation'!$A$2:$T$999,3,0),"")</f>
        <v/>
      </c>
      <c r="D592" s="91" t="str">
        <f>IFERROR(VLOOKUP(A592,'Salary Calculation'!$A$2:$T$999,6,0),"")</f>
        <v/>
      </c>
      <c r="E592" s="91" t="str">
        <f>IFERROR(VLOOKUP(A592,'Salary Calculation'!$A$2:$T$999,8,0),"")</f>
        <v/>
      </c>
      <c r="F592" s="92" t="str">
        <f>IFERROR(VLOOKUP(C592,'Employees List'!$B$2:H999,6,0),"")</f>
        <v/>
      </c>
      <c r="G592" s="93" t="str">
        <f>IFERROR(VLOOKUP(A592,'Salary Calculation'!$A$2:$T$999,7,0),"")</f>
        <v/>
      </c>
      <c r="H592" s="94"/>
      <c r="I592" s="46"/>
      <c r="J592" s="46"/>
      <c r="K592" s="46"/>
      <c r="L592" s="46"/>
      <c r="M592" s="46"/>
      <c r="N592" s="46"/>
      <c r="O592" s="46"/>
      <c r="P592" s="46"/>
      <c r="Q592" s="46"/>
      <c r="R592" s="46"/>
      <c r="S592" s="46"/>
      <c r="T592" s="46"/>
      <c r="U592" s="46"/>
      <c r="V592" s="46"/>
      <c r="W592" s="46"/>
      <c r="X592" s="46"/>
      <c r="Y592" s="46"/>
      <c r="Z592" s="46"/>
      <c r="AA592" s="46"/>
      <c r="AB592" s="46"/>
    </row>
    <row r="593" hidden="1">
      <c r="A593" s="90" t="s">
        <v>810</v>
      </c>
      <c r="B593" s="91" t="str">
        <f>IFERROR(VLOOKUP(A593,'Salary Calculation'!A593:F1590,2,0),"")</f>
        <v/>
      </c>
      <c r="C593" s="91" t="str">
        <f>IFERROR(VLOOKUP(A593,'Salary Calculation'!$A$2:$T$999,3,0),"")</f>
        <v/>
      </c>
      <c r="D593" s="91" t="str">
        <f>IFERROR(VLOOKUP(A593,'Salary Calculation'!$A$2:$T$999,6,0),"")</f>
        <v/>
      </c>
      <c r="E593" s="91" t="str">
        <f>IFERROR(VLOOKUP(A593,'Salary Calculation'!$A$2:$T$999,8,0),"")</f>
        <v/>
      </c>
      <c r="F593" s="92" t="str">
        <f>IFERROR(VLOOKUP(C593,'Employees List'!$B$2:H999,6,0),"")</f>
        <v/>
      </c>
      <c r="G593" s="93" t="str">
        <f>IFERROR(VLOOKUP(A593,'Salary Calculation'!$A$2:$T$999,7,0),"")</f>
        <v/>
      </c>
      <c r="H593" s="94"/>
      <c r="I593" s="46"/>
      <c r="J593" s="46"/>
      <c r="K593" s="46"/>
      <c r="L593" s="46"/>
      <c r="M593" s="46"/>
      <c r="N593" s="46"/>
      <c r="O593" s="46"/>
      <c r="P593" s="46"/>
      <c r="Q593" s="46"/>
      <c r="R593" s="46"/>
      <c r="S593" s="46"/>
      <c r="T593" s="46"/>
      <c r="U593" s="46"/>
      <c r="V593" s="46"/>
      <c r="W593" s="46"/>
      <c r="X593" s="46"/>
      <c r="Y593" s="46"/>
      <c r="Z593" s="46"/>
      <c r="AA593" s="46"/>
      <c r="AB593" s="46"/>
    </row>
    <row r="594" hidden="1">
      <c r="A594" s="90" t="s">
        <v>811</v>
      </c>
      <c r="B594" s="91" t="str">
        <f>IFERROR(VLOOKUP(A594,'Salary Calculation'!A594:F1591,2,0),"")</f>
        <v/>
      </c>
      <c r="C594" s="91" t="str">
        <f>IFERROR(VLOOKUP(A594,'Salary Calculation'!$A$2:$T$999,3,0),"")</f>
        <v/>
      </c>
      <c r="D594" s="91" t="str">
        <f>IFERROR(VLOOKUP(A594,'Salary Calculation'!$A$2:$T$999,6,0),"")</f>
        <v/>
      </c>
      <c r="E594" s="91" t="str">
        <f>IFERROR(VLOOKUP(A594,'Salary Calculation'!$A$2:$T$999,8,0),"")</f>
        <v/>
      </c>
      <c r="F594" s="92" t="str">
        <f>IFERROR(VLOOKUP(C594,'Employees List'!$B$2:H999,6,0),"")</f>
        <v/>
      </c>
      <c r="G594" s="93" t="str">
        <f>IFERROR(VLOOKUP(A594,'Salary Calculation'!$A$2:$T$999,7,0),"")</f>
        <v/>
      </c>
      <c r="H594" s="94"/>
      <c r="I594" s="46"/>
      <c r="J594" s="46"/>
      <c r="K594" s="46"/>
      <c r="L594" s="46"/>
      <c r="M594" s="46"/>
      <c r="N594" s="46"/>
      <c r="O594" s="46"/>
      <c r="P594" s="46"/>
      <c r="Q594" s="46"/>
      <c r="R594" s="46"/>
      <c r="S594" s="46"/>
      <c r="T594" s="46"/>
      <c r="U594" s="46"/>
      <c r="V594" s="46"/>
      <c r="W594" s="46"/>
      <c r="X594" s="46"/>
      <c r="Y594" s="46"/>
      <c r="Z594" s="46"/>
      <c r="AA594" s="46"/>
      <c r="AB594" s="46"/>
    </row>
    <row r="595" hidden="1">
      <c r="A595" s="90" t="s">
        <v>812</v>
      </c>
      <c r="B595" s="91" t="str">
        <f>IFERROR(VLOOKUP(A595,'Salary Calculation'!A595:F1592,2,0),"")</f>
        <v/>
      </c>
      <c r="C595" s="91" t="str">
        <f>IFERROR(VLOOKUP(A595,'Salary Calculation'!$A$2:$T$999,3,0),"")</f>
        <v/>
      </c>
      <c r="D595" s="91" t="str">
        <f>IFERROR(VLOOKUP(A595,'Salary Calculation'!$A$2:$T$999,6,0),"")</f>
        <v/>
      </c>
      <c r="E595" s="91" t="str">
        <f>IFERROR(VLOOKUP(A595,'Salary Calculation'!$A$2:$T$999,8,0),"")</f>
        <v/>
      </c>
      <c r="F595" s="92" t="str">
        <f>IFERROR(VLOOKUP(C595,'Employees List'!$B$2:H999,6,0),"")</f>
        <v/>
      </c>
      <c r="G595" s="93" t="str">
        <f>IFERROR(VLOOKUP(A595,'Salary Calculation'!$A$2:$T$999,7,0),"")</f>
        <v/>
      </c>
      <c r="H595" s="94"/>
      <c r="I595" s="46"/>
      <c r="J595" s="46"/>
      <c r="K595" s="46"/>
      <c r="L595" s="46"/>
      <c r="M595" s="46"/>
      <c r="N595" s="46"/>
      <c r="O595" s="46"/>
      <c r="P595" s="46"/>
      <c r="Q595" s="46"/>
      <c r="R595" s="46"/>
      <c r="S595" s="46"/>
      <c r="T595" s="46"/>
      <c r="U595" s="46"/>
      <c r="V595" s="46"/>
      <c r="W595" s="46"/>
      <c r="X595" s="46"/>
      <c r="Y595" s="46"/>
      <c r="Z595" s="46"/>
      <c r="AA595" s="46"/>
      <c r="AB595" s="46"/>
    </row>
    <row r="596" hidden="1">
      <c r="A596" s="90" t="s">
        <v>813</v>
      </c>
      <c r="B596" s="91" t="str">
        <f>IFERROR(VLOOKUP(A596,'Salary Calculation'!A596:F1593,2,0),"")</f>
        <v/>
      </c>
      <c r="C596" s="91" t="str">
        <f>IFERROR(VLOOKUP(A596,'Salary Calculation'!$A$2:$T$999,3,0),"")</f>
        <v/>
      </c>
      <c r="D596" s="91" t="str">
        <f>IFERROR(VLOOKUP(A596,'Salary Calculation'!$A$2:$T$999,6,0),"")</f>
        <v/>
      </c>
      <c r="E596" s="91" t="str">
        <f>IFERROR(VLOOKUP(A596,'Salary Calculation'!$A$2:$T$999,8,0),"")</f>
        <v/>
      </c>
      <c r="F596" s="92" t="str">
        <f>IFERROR(VLOOKUP(C596,'Employees List'!$B$2:H999,6,0),"")</f>
        <v/>
      </c>
      <c r="G596" s="93" t="str">
        <f>IFERROR(VLOOKUP(A596,'Salary Calculation'!$A$2:$T$999,7,0),"")</f>
        <v/>
      </c>
      <c r="H596" s="94"/>
      <c r="I596" s="46"/>
      <c r="J596" s="46"/>
      <c r="K596" s="46"/>
      <c r="L596" s="46"/>
      <c r="M596" s="46"/>
      <c r="N596" s="46"/>
      <c r="O596" s="46"/>
      <c r="P596" s="46"/>
      <c r="Q596" s="46"/>
      <c r="R596" s="46"/>
      <c r="S596" s="46"/>
      <c r="T596" s="46"/>
      <c r="U596" s="46"/>
      <c r="V596" s="46"/>
      <c r="W596" s="46"/>
      <c r="X596" s="46"/>
      <c r="Y596" s="46"/>
      <c r="Z596" s="46"/>
      <c r="AA596" s="46"/>
      <c r="AB596" s="46"/>
    </row>
    <row r="597" hidden="1">
      <c r="A597" s="90" t="s">
        <v>814</v>
      </c>
      <c r="B597" s="91" t="str">
        <f>IFERROR(VLOOKUP(A597,'Salary Calculation'!A597:F1594,2,0),"")</f>
        <v/>
      </c>
      <c r="C597" s="91" t="str">
        <f>IFERROR(VLOOKUP(A597,'Salary Calculation'!$A$2:$T$999,3,0),"")</f>
        <v/>
      </c>
      <c r="D597" s="91" t="str">
        <f>IFERROR(VLOOKUP(A597,'Salary Calculation'!$A$2:$T$999,6,0),"")</f>
        <v/>
      </c>
      <c r="E597" s="91" t="str">
        <f>IFERROR(VLOOKUP(A597,'Salary Calculation'!$A$2:$T$999,8,0),"")</f>
        <v/>
      </c>
      <c r="F597" s="92" t="str">
        <f>IFERROR(VLOOKUP(C597,'Employees List'!$B$2:H999,6,0),"")</f>
        <v/>
      </c>
      <c r="G597" s="93" t="str">
        <f>IFERROR(VLOOKUP(A597,'Salary Calculation'!$A$2:$T$999,7,0),"")</f>
        <v/>
      </c>
      <c r="H597" s="94"/>
      <c r="I597" s="46"/>
      <c r="J597" s="46"/>
      <c r="K597" s="46"/>
      <c r="L597" s="46"/>
      <c r="M597" s="46"/>
      <c r="N597" s="46"/>
      <c r="O597" s="46"/>
      <c r="P597" s="46"/>
      <c r="Q597" s="46"/>
      <c r="R597" s="46"/>
      <c r="S597" s="46"/>
      <c r="T597" s="46"/>
      <c r="U597" s="46"/>
      <c r="V597" s="46"/>
      <c r="W597" s="46"/>
      <c r="X597" s="46"/>
      <c r="Y597" s="46"/>
      <c r="Z597" s="46"/>
      <c r="AA597" s="46"/>
      <c r="AB597" s="46"/>
    </row>
    <row r="598" hidden="1">
      <c r="A598" s="90" t="s">
        <v>815</v>
      </c>
      <c r="B598" s="91" t="str">
        <f>IFERROR(VLOOKUP(A598,'Salary Calculation'!A598:F1595,2,0),"")</f>
        <v/>
      </c>
      <c r="C598" s="91" t="str">
        <f>IFERROR(VLOOKUP(A598,'Salary Calculation'!$A$2:$T$999,3,0),"")</f>
        <v/>
      </c>
      <c r="D598" s="91" t="str">
        <f>IFERROR(VLOOKUP(A598,'Salary Calculation'!$A$2:$T$999,6,0),"")</f>
        <v/>
      </c>
      <c r="E598" s="91" t="str">
        <f>IFERROR(VLOOKUP(A598,'Salary Calculation'!$A$2:$T$999,8,0),"")</f>
        <v/>
      </c>
      <c r="F598" s="92" t="str">
        <f>IFERROR(VLOOKUP(C598,'Employees List'!$B$2:H999,6,0),"")</f>
        <v/>
      </c>
      <c r="G598" s="93" t="str">
        <f>IFERROR(VLOOKUP(A598,'Salary Calculation'!$A$2:$T$999,7,0),"")</f>
        <v/>
      </c>
      <c r="H598" s="94"/>
      <c r="I598" s="46"/>
      <c r="J598" s="46"/>
      <c r="K598" s="46"/>
      <c r="L598" s="46"/>
      <c r="M598" s="46"/>
      <c r="N598" s="46"/>
      <c r="O598" s="46"/>
      <c r="P598" s="46"/>
      <c r="Q598" s="46"/>
      <c r="R598" s="46"/>
      <c r="S598" s="46"/>
      <c r="T598" s="46"/>
      <c r="U598" s="46"/>
      <c r="V598" s="46"/>
      <c r="W598" s="46"/>
      <c r="X598" s="46"/>
      <c r="Y598" s="46"/>
      <c r="Z598" s="46"/>
      <c r="AA598" s="46"/>
      <c r="AB598" s="46"/>
    </row>
    <row r="599" hidden="1">
      <c r="A599" s="90" t="s">
        <v>816</v>
      </c>
      <c r="B599" s="91" t="str">
        <f>IFERROR(VLOOKUP(A599,'Salary Calculation'!A599:F1596,2,0),"")</f>
        <v/>
      </c>
      <c r="C599" s="91" t="str">
        <f>IFERROR(VLOOKUP(A599,'Salary Calculation'!$A$2:$T$999,3,0),"")</f>
        <v/>
      </c>
      <c r="D599" s="91" t="str">
        <f>IFERROR(VLOOKUP(A599,'Salary Calculation'!$A$2:$T$999,6,0),"")</f>
        <v/>
      </c>
      <c r="E599" s="91" t="str">
        <f>IFERROR(VLOOKUP(A599,'Salary Calculation'!$A$2:$T$999,8,0),"")</f>
        <v/>
      </c>
      <c r="F599" s="92" t="str">
        <f>IFERROR(VLOOKUP(C599,'Employees List'!$B$2:H999,6,0),"")</f>
        <v/>
      </c>
      <c r="G599" s="93" t="str">
        <f>IFERROR(VLOOKUP(A599,'Salary Calculation'!$A$2:$T$999,7,0),"")</f>
        <v/>
      </c>
      <c r="H599" s="94"/>
      <c r="I599" s="46"/>
      <c r="J599" s="46"/>
      <c r="K599" s="46"/>
      <c r="L599" s="46"/>
      <c r="M599" s="46"/>
      <c r="N599" s="46"/>
      <c r="O599" s="46"/>
      <c r="P599" s="46"/>
      <c r="Q599" s="46"/>
      <c r="R599" s="46"/>
      <c r="S599" s="46"/>
      <c r="T599" s="46"/>
      <c r="U599" s="46"/>
      <c r="V599" s="46"/>
      <c r="W599" s="46"/>
      <c r="X599" s="46"/>
      <c r="Y599" s="46"/>
      <c r="Z599" s="46"/>
      <c r="AA599" s="46"/>
      <c r="AB599" s="46"/>
    </row>
    <row r="600" hidden="1">
      <c r="A600" s="90" t="s">
        <v>817</v>
      </c>
      <c r="B600" s="91" t="str">
        <f>IFERROR(VLOOKUP(A600,'Salary Calculation'!A600:F1597,2,0),"")</f>
        <v/>
      </c>
      <c r="C600" s="91" t="str">
        <f>IFERROR(VLOOKUP(A600,'Salary Calculation'!$A$2:$T$999,3,0),"")</f>
        <v/>
      </c>
      <c r="D600" s="91" t="str">
        <f>IFERROR(VLOOKUP(A600,'Salary Calculation'!$A$2:$T$999,6,0),"")</f>
        <v/>
      </c>
      <c r="E600" s="91" t="str">
        <f>IFERROR(VLOOKUP(A600,'Salary Calculation'!$A$2:$T$999,8,0),"")</f>
        <v/>
      </c>
      <c r="F600" s="92" t="str">
        <f>IFERROR(VLOOKUP(C600,'Employees List'!$B$2:H999,6,0),"")</f>
        <v/>
      </c>
      <c r="G600" s="93" t="str">
        <f>IFERROR(VLOOKUP(A600,'Salary Calculation'!$A$2:$T$999,7,0),"")</f>
        <v/>
      </c>
      <c r="H600" s="94"/>
      <c r="I600" s="46"/>
      <c r="J600" s="46"/>
      <c r="K600" s="46"/>
      <c r="L600" s="46"/>
      <c r="M600" s="46"/>
      <c r="N600" s="46"/>
      <c r="O600" s="46"/>
      <c r="P600" s="46"/>
      <c r="Q600" s="46"/>
      <c r="R600" s="46"/>
      <c r="S600" s="46"/>
      <c r="T600" s="46"/>
      <c r="U600" s="46"/>
      <c r="V600" s="46"/>
      <c r="W600" s="46"/>
      <c r="X600" s="46"/>
      <c r="Y600" s="46"/>
      <c r="Z600" s="46"/>
      <c r="AA600" s="46"/>
      <c r="AB600" s="46"/>
    </row>
    <row r="601" hidden="1">
      <c r="A601" s="90" t="s">
        <v>818</v>
      </c>
      <c r="B601" s="91" t="str">
        <f>IFERROR(VLOOKUP(A601,'Salary Calculation'!A601:F1598,2,0),"")</f>
        <v/>
      </c>
      <c r="C601" s="91" t="str">
        <f>IFERROR(VLOOKUP(A601,'Salary Calculation'!$A$2:$T$999,3,0),"")</f>
        <v/>
      </c>
      <c r="D601" s="91" t="str">
        <f>IFERROR(VLOOKUP(A601,'Salary Calculation'!$A$2:$T$999,6,0),"")</f>
        <v/>
      </c>
      <c r="E601" s="91" t="str">
        <f>IFERROR(VLOOKUP(A601,'Salary Calculation'!$A$2:$T$999,8,0),"")</f>
        <v/>
      </c>
      <c r="F601" s="92" t="str">
        <f>IFERROR(VLOOKUP(C601,'Employees List'!$B$2:H999,6,0),"")</f>
        <v/>
      </c>
      <c r="G601" s="93" t="str">
        <f>IFERROR(VLOOKUP(A601,'Salary Calculation'!$A$2:$T$999,7,0),"")</f>
        <v/>
      </c>
      <c r="H601" s="94"/>
      <c r="I601" s="46"/>
      <c r="J601" s="46"/>
      <c r="K601" s="46"/>
      <c r="L601" s="46"/>
      <c r="M601" s="46"/>
      <c r="N601" s="46"/>
      <c r="O601" s="46"/>
      <c r="P601" s="46"/>
      <c r="Q601" s="46"/>
      <c r="R601" s="46"/>
      <c r="S601" s="46"/>
      <c r="T601" s="46"/>
      <c r="U601" s="46"/>
      <c r="V601" s="46"/>
      <c r="W601" s="46"/>
      <c r="X601" s="46"/>
      <c r="Y601" s="46"/>
      <c r="Z601" s="46"/>
      <c r="AA601" s="46"/>
      <c r="AB601" s="46"/>
    </row>
    <row r="602" hidden="1">
      <c r="A602" s="90" t="s">
        <v>819</v>
      </c>
      <c r="B602" s="91" t="str">
        <f>IFERROR(VLOOKUP(A602,'Salary Calculation'!A602:F1599,2,0),"")</f>
        <v/>
      </c>
      <c r="C602" s="91" t="str">
        <f>IFERROR(VLOOKUP(A602,'Salary Calculation'!$A$2:$T$999,3,0),"")</f>
        <v/>
      </c>
      <c r="D602" s="91" t="str">
        <f>IFERROR(VLOOKUP(A602,'Salary Calculation'!$A$2:$T$999,6,0),"")</f>
        <v/>
      </c>
      <c r="E602" s="91" t="str">
        <f>IFERROR(VLOOKUP(A602,'Salary Calculation'!$A$2:$T$999,8,0),"")</f>
        <v/>
      </c>
      <c r="F602" s="92" t="str">
        <f>IFERROR(VLOOKUP(C602,'Employees List'!$B$2:H999,6,0),"")</f>
        <v/>
      </c>
      <c r="G602" s="93" t="str">
        <f>IFERROR(VLOOKUP(A602,'Salary Calculation'!$A$2:$T$999,7,0),"")</f>
        <v/>
      </c>
      <c r="H602" s="94"/>
      <c r="I602" s="46"/>
      <c r="J602" s="46"/>
      <c r="K602" s="46"/>
      <c r="L602" s="46"/>
      <c r="M602" s="46"/>
      <c r="N602" s="46"/>
      <c r="O602" s="46"/>
      <c r="P602" s="46"/>
      <c r="Q602" s="46"/>
      <c r="R602" s="46"/>
      <c r="S602" s="46"/>
      <c r="T602" s="46"/>
      <c r="U602" s="46"/>
      <c r="V602" s="46"/>
      <c r="W602" s="46"/>
      <c r="X602" s="46"/>
      <c r="Y602" s="46"/>
      <c r="Z602" s="46"/>
      <c r="AA602" s="46"/>
      <c r="AB602" s="46"/>
    </row>
    <row r="603" hidden="1">
      <c r="A603" s="90" t="s">
        <v>820</v>
      </c>
      <c r="B603" s="91" t="str">
        <f>IFERROR(VLOOKUP(A603,'Salary Calculation'!A603:F1600,2,0),"")</f>
        <v/>
      </c>
      <c r="C603" s="91" t="str">
        <f>IFERROR(VLOOKUP(A603,'Salary Calculation'!$A$2:$T$999,3,0),"")</f>
        <v/>
      </c>
      <c r="D603" s="91" t="str">
        <f>IFERROR(VLOOKUP(A603,'Salary Calculation'!$A$2:$T$999,6,0),"")</f>
        <v/>
      </c>
      <c r="E603" s="91" t="str">
        <f>IFERROR(VLOOKUP(A603,'Salary Calculation'!$A$2:$T$999,8,0),"")</f>
        <v/>
      </c>
      <c r="F603" s="92" t="str">
        <f>IFERROR(VLOOKUP(C603,'Employees List'!$B$2:H999,6,0),"")</f>
        <v/>
      </c>
      <c r="G603" s="93" t="str">
        <f>IFERROR(VLOOKUP(A603,'Salary Calculation'!$A$2:$T$999,7,0),"")</f>
        <v/>
      </c>
      <c r="H603" s="94"/>
      <c r="I603" s="46"/>
      <c r="J603" s="46"/>
      <c r="K603" s="46"/>
      <c r="L603" s="46"/>
      <c r="M603" s="46"/>
      <c r="N603" s="46"/>
      <c r="O603" s="46"/>
      <c r="P603" s="46"/>
      <c r="Q603" s="46"/>
      <c r="R603" s="46"/>
      <c r="S603" s="46"/>
      <c r="T603" s="46"/>
      <c r="U603" s="46"/>
      <c r="V603" s="46"/>
      <c r="W603" s="46"/>
      <c r="X603" s="46"/>
      <c r="Y603" s="46"/>
      <c r="Z603" s="46"/>
      <c r="AA603" s="46"/>
      <c r="AB603" s="46"/>
    </row>
    <row r="604" hidden="1">
      <c r="A604" s="90" t="s">
        <v>821</v>
      </c>
      <c r="B604" s="91" t="str">
        <f>IFERROR(VLOOKUP(A604,'Salary Calculation'!A604:F1601,2,0),"")</f>
        <v/>
      </c>
      <c r="C604" s="91" t="str">
        <f>IFERROR(VLOOKUP(A604,'Salary Calculation'!$A$2:$T$999,3,0),"")</f>
        <v/>
      </c>
      <c r="D604" s="91" t="str">
        <f>IFERROR(VLOOKUP(A604,'Salary Calculation'!$A$2:$T$999,6,0),"")</f>
        <v/>
      </c>
      <c r="E604" s="91" t="str">
        <f>IFERROR(VLOOKUP(A604,'Salary Calculation'!$A$2:$T$999,8,0),"")</f>
        <v/>
      </c>
      <c r="F604" s="92" t="str">
        <f>IFERROR(VLOOKUP(C604,'Employees List'!$B$2:H999,6,0),"")</f>
        <v/>
      </c>
      <c r="G604" s="93" t="str">
        <f>IFERROR(VLOOKUP(A604,'Salary Calculation'!$A$2:$T$999,7,0),"")</f>
        <v/>
      </c>
      <c r="H604" s="94"/>
      <c r="I604" s="46"/>
      <c r="J604" s="46"/>
      <c r="K604" s="46"/>
      <c r="L604" s="46"/>
      <c r="M604" s="46"/>
      <c r="N604" s="46"/>
      <c r="O604" s="46"/>
      <c r="P604" s="46"/>
      <c r="Q604" s="46"/>
      <c r="R604" s="46"/>
      <c r="S604" s="46"/>
      <c r="T604" s="46"/>
      <c r="U604" s="46"/>
      <c r="V604" s="46"/>
      <c r="W604" s="46"/>
      <c r="X604" s="46"/>
      <c r="Y604" s="46"/>
      <c r="Z604" s="46"/>
      <c r="AA604" s="46"/>
      <c r="AB604" s="46"/>
    </row>
    <row r="605" hidden="1">
      <c r="A605" s="90" t="s">
        <v>822</v>
      </c>
      <c r="B605" s="91" t="str">
        <f>IFERROR(VLOOKUP(A605,'Salary Calculation'!A605:F1602,2,0),"")</f>
        <v/>
      </c>
      <c r="C605" s="91" t="str">
        <f>IFERROR(VLOOKUP(A605,'Salary Calculation'!$A$2:$T$999,3,0),"")</f>
        <v/>
      </c>
      <c r="D605" s="91" t="str">
        <f>IFERROR(VLOOKUP(A605,'Salary Calculation'!$A$2:$T$999,6,0),"")</f>
        <v/>
      </c>
      <c r="E605" s="91" t="str">
        <f>IFERROR(VLOOKUP(A605,'Salary Calculation'!$A$2:$T$999,8,0),"")</f>
        <v/>
      </c>
      <c r="F605" s="92" t="str">
        <f>IFERROR(VLOOKUP(C605,'Employees List'!$B$2:H999,6,0),"")</f>
        <v/>
      </c>
      <c r="G605" s="93" t="str">
        <f>IFERROR(VLOOKUP(A605,'Salary Calculation'!$A$2:$T$999,7,0),"")</f>
        <v/>
      </c>
      <c r="H605" s="94"/>
      <c r="I605" s="46"/>
      <c r="J605" s="46"/>
      <c r="K605" s="46"/>
      <c r="L605" s="46"/>
      <c r="M605" s="46"/>
      <c r="N605" s="46"/>
      <c r="O605" s="46"/>
      <c r="P605" s="46"/>
      <c r="Q605" s="46"/>
      <c r="R605" s="46"/>
      <c r="S605" s="46"/>
      <c r="T605" s="46"/>
      <c r="U605" s="46"/>
      <c r="V605" s="46"/>
      <c r="W605" s="46"/>
      <c r="X605" s="46"/>
      <c r="Y605" s="46"/>
      <c r="Z605" s="46"/>
      <c r="AA605" s="46"/>
      <c r="AB605" s="46"/>
    </row>
    <row r="606" hidden="1">
      <c r="A606" s="90" t="s">
        <v>823</v>
      </c>
      <c r="B606" s="91" t="str">
        <f>IFERROR(VLOOKUP(A606,'Salary Calculation'!A606:F1603,2,0),"")</f>
        <v/>
      </c>
      <c r="C606" s="91" t="str">
        <f>IFERROR(VLOOKUP(A606,'Salary Calculation'!$A$2:$T$999,3,0),"")</f>
        <v/>
      </c>
      <c r="D606" s="91" t="str">
        <f>IFERROR(VLOOKUP(A606,'Salary Calculation'!$A$2:$T$999,6,0),"")</f>
        <v/>
      </c>
      <c r="E606" s="91" t="str">
        <f>IFERROR(VLOOKUP(A606,'Salary Calculation'!$A$2:$T$999,8,0),"")</f>
        <v/>
      </c>
      <c r="F606" s="92" t="str">
        <f>IFERROR(VLOOKUP(C606,'Employees List'!$B$2:H999,6,0),"")</f>
        <v/>
      </c>
      <c r="G606" s="93" t="str">
        <f>IFERROR(VLOOKUP(A606,'Salary Calculation'!$A$2:$T$999,7,0),"")</f>
        <v/>
      </c>
      <c r="H606" s="94"/>
      <c r="I606" s="46"/>
      <c r="J606" s="46"/>
      <c r="K606" s="46"/>
      <c r="L606" s="46"/>
      <c r="M606" s="46"/>
      <c r="N606" s="46"/>
      <c r="O606" s="46"/>
      <c r="P606" s="46"/>
      <c r="Q606" s="46"/>
      <c r="R606" s="46"/>
      <c r="S606" s="46"/>
      <c r="T606" s="46"/>
      <c r="U606" s="46"/>
      <c r="V606" s="46"/>
      <c r="W606" s="46"/>
      <c r="X606" s="46"/>
      <c r="Y606" s="46"/>
      <c r="Z606" s="46"/>
      <c r="AA606" s="46"/>
      <c r="AB606" s="46"/>
    </row>
    <row r="607" hidden="1">
      <c r="A607" s="90" t="s">
        <v>824</v>
      </c>
      <c r="B607" s="91" t="str">
        <f>IFERROR(VLOOKUP(A607,'Salary Calculation'!A607:F1604,2,0),"")</f>
        <v/>
      </c>
      <c r="C607" s="91" t="str">
        <f>IFERROR(VLOOKUP(A607,'Salary Calculation'!$A$2:$T$999,3,0),"")</f>
        <v/>
      </c>
      <c r="D607" s="91" t="str">
        <f>IFERROR(VLOOKUP(A607,'Salary Calculation'!$A$2:$T$999,6,0),"")</f>
        <v/>
      </c>
      <c r="E607" s="91" t="str">
        <f>IFERROR(VLOOKUP(A607,'Salary Calculation'!$A$2:$T$999,8,0),"")</f>
        <v/>
      </c>
      <c r="F607" s="92" t="str">
        <f>IFERROR(VLOOKUP(C607,'Employees List'!$B$2:H999,6,0),"")</f>
        <v/>
      </c>
      <c r="G607" s="93" t="str">
        <f>IFERROR(VLOOKUP(A607,'Salary Calculation'!$A$2:$T$999,7,0),"")</f>
        <v/>
      </c>
      <c r="H607" s="94"/>
      <c r="I607" s="46"/>
      <c r="J607" s="46"/>
      <c r="K607" s="46"/>
      <c r="L607" s="46"/>
      <c r="M607" s="46"/>
      <c r="N607" s="46"/>
      <c r="O607" s="46"/>
      <c r="P607" s="46"/>
      <c r="Q607" s="46"/>
      <c r="R607" s="46"/>
      <c r="S607" s="46"/>
      <c r="T607" s="46"/>
      <c r="U607" s="46"/>
      <c r="V607" s="46"/>
      <c r="W607" s="46"/>
      <c r="X607" s="46"/>
      <c r="Y607" s="46"/>
      <c r="Z607" s="46"/>
      <c r="AA607" s="46"/>
      <c r="AB607" s="46"/>
    </row>
    <row r="608" hidden="1">
      <c r="A608" s="90" t="s">
        <v>825</v>
      </c>
      <c r="B608" s="91" t="str">
        <f>IFERROR(VLOOKUP(A608,'Salary Calculation'!A608:F1605,2,0),"")</f>
        <v/>
      </c>
      <c r="C608" s="91" t="str">
        <f>IFERROR(VLOOKUP(A608,'Salary Calculation'!$A$2:$T$999,3,0),"")</f>
        <v/>
      </c>
      <c r="D608" s="91" t="str">
        <f>IFERROR(VLOOKUP(A608,'Salary Calculation'!$A$2:$T$999,6,0),"")</f>
        <v/>
      </c>
      <c r="E608" s="91" t="str">
        <f>IFERROR(VLOOKUP(A608,'Salary Calculation'!$A$2:$T$999,8,0),"")</f>
        <v/>
      </c>
      <c r="F608" s="92" t="str">
        <f>IFERROR(VLOOKUP(C608,'Employees List'!$B$2:H999,6,0),"")</f>
        <v/>
      </c>
      <c r="G608" s="93" t="str">
        <f>IFERROR(VLOOKUP(A608,'Salary Calculation'!$A$2:$T$999,7,0),"")</f>
        <v/>
      </c>
      <c r="H608" s="94"/>
      <c r="I608" s="46"/>
      <c r="J608" s="46"/>
      <c r="K608" s="46"/>
      <c r="L608" s="46"/>
      <c r="M608" s="46"/>
      <c r="N608" s="46"/>
      <c r="O608" s="46"/>
      <c r="P608" s="46"/>
      <c r="Q608" s="46"/>
      <c r="R608" s="46"/>
      <c r="S608" s="46"/>
      <c r="T608" s="46"/>
      <c r="U608" s="46"/>
      <c r="V608" s="46"/>
      <c r="W608" s="46"/>
      <c r="X608" s="46"/>
      <c r="Y608" s="46"/>
      <c r="Z608" s="46"/>
      <c r="AA608" s="46"/>
      <c r="AB608" s="46"/>
    </row>
    <row r="609" hidden="1">
      <c r="A609" s="90" t="s">
        <v>826</v>
      </c>
      <c r="B609" s="91" t="str">
        <f>IFERROR(VLOOKUP(A609,'Salary Calculation'!A609:F1606,2,0),"")</f>
        <v/>
      </c>
      <c r="C609" s="91" t="str">
        <f>IFERROR(VLOOKUP(A609,'Salary Calculation'!$A$2:$T$999,3,0),"")</f>
        <v/>
      </c>
      <c r="D609" s="91" t="str">
        <f>IFERROR(VLOOKUP(A609,'Salary Calculation'!$A$2:$T$999,6,0),"")</f>
        <v/>
      </c>
      <c r="E609" s="91" t="str">
        <f>IFERROR(VLOOKUP(A609,'Salary Calculation'!$A$2:$T$999,8,0),"")</f>
        <v/>
      </c>
      <c r="F609" s="92" t="str">
        <f>IFERROR(VLOOKUP(C609,'Employees List'!$B$2:H999,6,0),"")</f>
        <v/>
      </c>
      <c r="G609" s="93" t="str">
        <f>IFERROR(VLOOKUP(A609,'Salary Calculation'!$A$2:$T$999,7,0),"")</f>
        <v/>
      </c>
      <c r="H609" s="94"/>
      <c r="I609" s="46"/>
      <c r="J609" s="46"/>
      <c r="K609" s="46"/>
      <c r="L609" s="46"/>
      <c r="M609" s="46"/>
      <c r="N609" s="46"/>
      <c r="O609" s="46"/>
      <c r="P609" s="46"/>
      <c r="Q609" s="46"/>
      <c r="R609" s="46"/>
      <c r="S609" s="46"/>
      <c r="T609" s="46"/>
      <c r="U609" s="46"/>
      <c r="V609" s="46"/>
      <c r="W609" s="46"/>
      <c r="X609" s="46"/>
      <c r="Y609" s="46"/>
      <c r="Z609" s="46"/>
      <c r="AA609" s="46"/>
      <c r="AB609" s="46"/>
    </row>
    <row r="610" hidden="1">
      <c r="A610" s="90" t="s">
        <v>827</v>
      </c>
      <c r="B610" s="91" t="str">
        <f>IFERROR(VLOOKUP(A610,'Salary Calculation'!A610:F1607,2,0),"")</f>
        <v/>
      </c>
      <c r="C610" s="91" t="str">
        <f>IFERROR(VLOOKUP(A610,'Salary Calculation'!$A$2:$T$999,3,0),"")</f>
        <v/>
      </c>
      <c r="D610" s="91" t="str">
        <f>IFERROR(VLOOKUP(A610,'Salary Calculation'!$A$2:$T$999,6,0),"")</f>
        <v/>
      </c>
      <c r="E610" s="91" t="str">
        <f>IFERROR(VLOOKUP(A610,'Salary Calculation'!$A$2:$T$999,8,0),"")</f>
        <v/>
      </c>
      <c r="F610" s="92" t="str">
        <f>IFERROR(VLOOKUP(C610,'Employees List'!$B$2:H999,6,0),"")</f>
        <v/>
      </c>
      <c r="G610" s="93" t="str">
        <f>IFERROR(VLOOKUP(A610,'Salary Calculation'!$A$2:$T$999,7,0),"")</f>
        <v/>
      </c>
      <c r="H610" s="94"/>
      <c r="I610" s="46"/>
      <c r="J610" s="46"/>
      <c r="K610" s="46"/>
      <c r="L610" s="46"/>
      <c r="M610" s="46"/>
      <c r="N610" s="46"/>
      <c r="O610" s="46"/>
      <c r="P610" s="46"/>
      <c r="Q610" s="46"/>
      <c r="R610" s="46"/>
      <c r="S610" s="46"/>
      <c r="T610" s="46"/>
      <c r="U610" s="46"/>
      <c r="V610" s="46"/>
      <c r="W610" s="46"/>
      <c r="X610" s="46"/>
      <c r="Y610" s="46"/>
      <c r="Z610" s="46"/>
      <c r="AA610" s="46"/>
      <c r="AB610" s="46"/>
    </row>
    <row r="611" hidden="1">
      <c r="A611" s="90" t="s">
        <v>828</v>
      </c>
      <c r="B611" s="91" t="str">
        <f>IFERROR(VLOOKUP(A611,'Salary Calculation'!A611:F1608,2,0),"")</f>
        <v/>
      </c>
      <c r="C611" s="91" t="str">
        <f>IFERROR(VLOOKUP(A611,'Salary Calculation'!$A$2:$T$999,3,0),"")</f>
        <v/>
      </c>
      <c r="D611" s="91" t="str">
        <f>IFERROR(VLOOKUP(A611,'Salary Calculation'!$A$2:$T$999,6,0),"")</f>
        <v/>
      </c>
      <c r="E611" s="91" t="str">
        <f>IFERROR(VLOOKUP(A611,'Salary Calculation'!$A$2:$T$999,8,0),"")</f>
        <v/>
      </c>
      <c r="F611" s="92" t="str">
        <f>IFERROR(VLOOKUP(C611,'Employees List'!$B$2:H999,6,0),"")</f>
        <v/>
      </c>
      <c r="G611" s="93" t="str">
        <f>IFERROR(VLOOKUP(A611,'Salary Calculation'!$A$2:$T$999,7,0),"")</f>
        <v/>
      </c>
      <c r="H611" s="94"/>
      <c r="I611" s="46"/>
      <c r="J611" s="46"/>
      <c r="K611" s="46"/>
      <c r="L611" s="46"/>
      <c r="M611" s="46"/>
      <c r="N611" s="46"/>
      <c r="O611" s="46"/>
      <c r="P611" s="46"/>
      <c r="Q611" s="46"/>
      <c r="R611" s="46"/>
      <c r="S611" s="46"/>
      <c r="T611" s="46"/>
      <c r="U611" s="46"/>
      <c r="V611" s="46"/>
      <c r="W611" s="46"/>
      <c r="X611" s="46"/>
      <c r="Y611" s="46"/>
      <c r="Z611" s="46"/>
      <c r="AA611" s="46"/>
      <c r="AB611" s="46"/>
    </row>
    <row r="612" hidden="1">
      <c r="A612" s="90" t="s">
        <v>829</v>
      </c>
      <c r="B612" s="91" t="str">
        <f>IFERROR(VLOOKUP(A612,'Salary Calculation'!A612:F1609,2,0),"")</f>
        <v/>
      </c>
      <c r="C612" s="91" t="str">
        <f>IFERROR(VLOOKUP(A612,'Salary Calculation'!$A$2:$T$999,3,0),"")</f>
        <v/>
      </c>
      <c r="D612" s="91" t="str">
        <f>IFERROR(VLOOKUP(A612,'Salary Calculation'!$A$2:$T$999,6,0),"")</f>
        <v/>
      </c>
      <c r="E612" s="91" t="str">
        <f>IFERROR(VLOOKUP(A612,'Salary Calculation'!$A$2:$T$999,8,0),"")</f>
        <v/>
      </c>
      <c r="F612" s="92" t="str">
        <f>IFERROR(VLOOKUP(C612,'Employees List'!$B$2:H999,6,0),"")</f>
        <v/>
      </c>
      <c r="G612" s="93" t="str">
        <f>IFERROR(VLOOKUP(A612,'Salary Calculation'!$A$2:$T$999,7,0),"")</f>
        <v/>
      </c>
      <c r="H612" s="94"/>
      <c r="I612" s="46"/>
      <c r="J612" s="46"/>
      <c r="K612" s="46"/>
      <c r="L612" s="46"/>
      <c r="M612" s="46"/>
      <c r="N612" s="46"/>
      <c r="O612" s="46"/>
      <c r="P612" s="46"/>
      <c r="Q612" s="46"/>
      <c r="R612" s="46"/>
      <c r="S612" s="46"/>
      <c r="T612" s="46"/>
      <c r="U612" s="46"/>
      <c r="V612" s="46"/>
      <c r="W612" s="46"/>
      <c r="X612" s="46"/>
      <c r="Y612" s="46"/>
      <c r="Z612" s="46"/>
      <c r="AA612" s="46"/>
      <c r="AB612" s="46"/>
    </row>
    <row r="613" hidden="1">
      <c r="A613" s="90" t="s">
        <v>830</v>
      </c>
      <c r="B613" s="91" t="str">
        <f>IFERROR(VLOOKUP(A613,'Salary Calculation'!A613:F1610,2,0),"")</f>
        <v/>
      </c>
      <c r="C613" s="91" t="str">
        <f>IFERROR(VLOOKUP(A613,'Salary Calculation'!$A$2:$T$999,3,0),"")</f>
        <v/>
      </c>
      <c r="D613" s="91" t="str">
        <f>IFERROR(VLOOKUP(A613,'Salary Calculation'!$A$2:$T$999,6,0),"")</f>
        <v/>
      </c>
      <c r="E613" s="91" t="str">
        <f>IFERROR(VLOOKUP(A613,'Salary Calculation'!$A$2:$T$999,8,0),"")</f>
        <v/>
      </c>
      <c r="F613" s="92" t="str">
        <f>IFERROR(VLOOKUP(C613,'Employees List'!$B$2:H999,6,0),"")</f>
        <v/>
      </c>
      <c r="G613" s="93" t="str">
        <f>IFERROR(VLOOKUP(A613,'Salary Calculation'!$A$2:$T$999,7,0),"")</f>
        <v/>
      </c>
      <c r="H613" s="94"/>
      <c r="I613" s="46"/>
      <c r="J613" s="46"/>
      <c r="K613" s="46"/>
      <c r="L613" s="46"/>
      <c r="M613" s="46"/>
      <c r="N613" s="46"/>
      <c r="O613" s="46"/>
      <c r="P613" s="46"/>
      <c r="Q613" s="46"/>
      <c r="R613" s="46"/>
      <c r="S613" s="46"/>
      <c r="T613" s="46"/>
      <c r="U613" s="46"/>
      <c r="V613" s="46"/>
      <c r="W613" s="46"/>
      <c r="X613" s="46"/>
      <c r="Y613" s="46"/>
      <c r="Z613" s="46"/>
      <c r="AA613" s="46"/>
      <c r="AB613" s="46"/>
    </row>
    <row r="614" hidden="1">
      <c r="A614" s="90" t="s">
        <v>831</v>
      </c>
      <c r="B614" s="91" t="str">
        <f>IFERROR(VLOOKUP(A614,'Salary Calculation'!A614:F1611,2,0),"")</f>
        <v/>
      </c>
      <c r="C614" s="91" t="str">
        <f>IFERROR(VLOOKUP(A614,'Salary Calculation'!$A$2:$T$999,3,0),"")</f>
        <v/>
      </c>
      <c r="D614" s="91" t="str">
        <f>IFERROR(VLOOKUP(A614,'Salary Calculation'!$A$2:$T$999,6,0),"")</f>
        <v/>
      </c>
      <c r="E614" s="91" t="str">
        <f>IFERROR(VLOOKUP(A614,'Salary Calculation'!$A$2:$T$999,8,0),"")</f>
        <v/>
      </c>
      <c r="F614" s="92" t="str">
        <f>IFERROR(VLOOKUP(C614,'Employees List'!$B$2:H999,6,0),"")</f>
        <v/>
      </c>
      <c r="G614" s="93" t="str">
        <f>IFERROR(VLOOKUP(A614,'Salary Calculation'!$A$2:$T$999,7,0),"")</f>
        <v/>
      </c>
      <c r="H614" s="94"/>
      <c r="I614" s="46"/>
      <c r="J614" s="46"/>
      <c r="K614" s="46"/>
      <c r="L614" s="46"/>
      <c r="M614" s="46"/>
      <c r="N614" s="46"/>
      <c r="O614" s="46"/>
      <c r="P614" s="46"/>
      <c r="Q614" s="46"/>
      <c r="R614" s="46"/>
      <c r="S614" s="46"/>
      <c r="T614" s="46"/>
      <c r="U614" s="46"/>
      <c r="V614" s="46"/>
      <c r="W614" s="46"/>
      <c r="X614" s="46"/>
      <c r="Y614" s="46"/>
      <c r="Z614" s="46"/>
      <c r="AA614" s="46"/>
      <c r="AB614" s="46"/>
    </row>
    <row r="615" hidden="1">
      <c r="A615" s="90" t="s">
        <v>832</v>
      </c>
      <c r="B615" s="91" t="str">
        <f>IFERROR(VLOOKUP(A615,'Salary Calculation'!A615:F1612,2,0),"")</f>
        <v/>
      </c>
      <c r="C615" s="91" t="str">
        <f>IFERROR(VLOOKUP(A615,'Salary Calculation'!$A$2:$T$999,3,0),"")</f>
        <v/>
      </c>
      <c r="D615" s="91" t="str">
        <f>IFERROR(VLOOKUP(A615,'Salary Calculation'!$A$2:$T$999,6,0),"")</f>
        <v/>
      </c>
      <c r="E615" s="91" t="str">
        <f>IFERROR(VLOOKUP(A615,'Salary Calculation'!$A$2:$T$999,8,0),"")</f>
        <v/>
      </c>
      <c r="F615" s="92" t="str">
        <f>IFERROR(VLOOKUP(C615,'Employees List'!$B$2:H999,6,0),"")</f>
        <v/>
      </c>
      <c r="G615" s="93" t="str">
        <f>IFERROR(VLOOKUP(A615,'Salary Calculation'!$A$2:$T$999,7,0),"")</f>
        <v/>
      </c>
      <c r="H615" s="94"/>
      <c r="I615" s="46"/>
      <c r="J615" s="46"/>
      <c r="K615" s="46"/>
      <c r="L615" s="46"/>
      <c r="M615" s="46"/>
      <c r="N615" s="46"/>
      <c r="O615" s="46"/>
      <c r="P615" s="46"/>
      <c r="Q615" s="46"/>
      <c r="R615" s="46"/>
      <c r="S615" s="46"/>
      <c r="T615" s="46"/>
      <c r="U615" s="46"/>
      <c r="V615" s="46"/>
      <c r="W615" s="46"/>
      <c r="X615" s="46"/>
      <c r="Y615" s="46"/>
      <c r="Z615" s="46"/>
      <c r="AA615" s="46"/>
      <c r="AB615" s="46"/>
    </row>
    <row r="616" hidden="1">
      <c r="A616" s="90" t="s">
        <v>833</v>
      </c>
      <c r="B616" s="91" t="str">
        <f>IFERROR(VLOOKUP(A616,'Salary Calculation'!A616:F1613,2,0),"")</f>
        <v/>
      </c>
      <c r="C616" s="91" t="str">
        <f>IFERROR(VLOOKUP(A616,'Salary Calculation'!$A$2:$T$999,3,0),"")</f>
        <v/>
      </c>
      <c r="D616" s="91" t="str">
        <f>IFERROR(VLOOKUP(A616,'Salary Calculation'!$A$2:$T$999,6,0),"")</f>
        <v/>
      </c>
      <c r="E616" s="91" t="str">
        <f>IFERROR(VLOOKUP(A616,'Salary Calculation'!$A$2:$T$999,8,0),"")</f>
        <v/>
      </c>
      <c r="F616" s="92" t="str">
        <f>IFERROR(VLOOKUP(C616,'Employees List'!$B$2:H999,6,0),"")</f>
        <v/>
      </c>
      <c r="G616" s="93" t="str">
        <f>IFERROR(VLOOKUP(A616,'Salary Calculation'!$A$2:$T$999,7,0),"")</f>
        <v/>
      </c>
      <c r="H616" s="94"/>
      <c r="I616" s="46"/>
      <c r="J616" s="46"/>
      <c r="K616" s="46"/>
      <c r="L616" s="46"/>
      <c r="M616" s="46"/>
      <c r="N616" s="46"/>
      <c r="O616" s="46"/>
      <c r="P616" s="46"/>
      <c r="Q616" s="46"/>
      <c r="R616" s="46"/>
      <c r="S616" s="46"/>
      <c r="T616" s="46"/>
      <c r="U616" s="46"/>
      <c r="V616" s="46"/>
      <c r="W616" s="46"/>
      <c r="X616" s="46"/>
      <c r="Y616" s="46"/>
      <c r="Z616" s="46"/>
      <c r="AA616" s="46"/>
      <c r="AB616" s="46"/>
    </row>
    <row r="617" hidden="1">
      <c r="A617" s="90" t="s">
        <v>834</v>
      </c>
      <c r="B617" s="91" t="str">
        <f>IFERROR(VLOOKUP(A617,'Salary Calculation'!A617:F1614,2,0),"")</f>
        <v/>
      </c>
      <c r="C617" s="91" t="str">
        <f>IFERROR(VLOOKUP(A617,'Salary Calculation'!$A$2:$T$999,3,0),"")</f>
        <v/>
      </c>
      <c r="D617" s="91" t="str">
        <f>IFERROR(VLOOKUP(A617,'Salary Calculation'!$A$2:$T$999,6,0),"")</f>
        <v/>
      </c>
      <c r="E617" s="91" t="str">
        <f>IFERROR(VLOOKUP(A617,'Salary Calculation'!$A$2:$T$999,8,0),"")</f>
        <v/>
      </c>
      <c r="F617" s="92" t="str">
        <f>IFERROR(VLOOKUP(C617,'Employees List'!$B$2:H999,6,0),"")</f>
        <v/>
      </c>
      <c r="G617" s="93" t="str">
        <f>IFERROR(VLOOKUP(A617,'Salary Calculation'!$A$2:$T$999,7,0),"")</f>
        <v/>
      </c>
      <c r="H617" s="94"/>
      <c r="I617" s="46"/>
      <c r="J617" s="46"/>
      <c r="K617" s="46"/>
      <c r="L617" s="46"/>
      <c r="M617" s="46"/>
      <c r="N617" s="46"/>
      <c r="O617" s="46"/>
      <c r="P617" s="46"/>
      <c r="Q617" s="46"/>
      <c r="R617" s="46"/>
      <c r="S617" s="46"/>
      <c r="T617" s="46"/>
      <c r="U617" s="46"/>
      <c r="V617" s="46"/>
      <c r="W617" s="46"/>
      <c r="X617" s="46"/>
      <c r="Y617" s="46"/>
      <c r="Z617" s="46"/>
      <c r="AA617" s="46"/>
      <c r="AB617" s="46"/>
    </row>
    <row r="618" hidden="1">
      <c r="A618" s="90" t="s">
        <v>835</v>
      </c>
      <c r="B618" s="91" t="str">
        <f>IFERROR(VLOOKUP(A618,'Salary Calculation'!A618:F1615,2,0),"")</f>
        <v/>
      </c>
      <c r="C618" s="91" t="str">
        <f>IFERROR(VLOOKUP(A618,'Salary Calculation'!$A$2:$T$999,3,0),"")</f>
        <v/>
      </c>
      <c r="D618" s="91" t="str">
        <f>IFERROR(VLOOKUP(A618,'Salary Calculation'!$A$2:$T$999,6,0),"")</f>
        <v/>
      </c>
      <c r="E618" s="91" t="str">
        <f>IFERROR(VLOOKUP(A618,'Salary Calculation'!$A$2:$T$999,8,0),"")</f>
        <v/>
      </c>
      <c r="F618" s="92" t="str">
        <f>IFERROR(VLOOKUP(C618,'Employees List'!$B$2:H999,6,0),"")</f>
        <v/>
      </c>
      <c r="G618" s="93" t="str">
        <f>IFERROR(VLOOKUP(A618,'Salary Calculation'!$A$2:$T$999,7,0),"")</f>
        <v/>
      </c>
      <c r="H618" s="94"/>
      <c r="I618" s="46"/>
      <c r="J618" s="46"/>
      <c r="K618" s="46"/>
      <c r="L618" s="46"/>
      <c r="M618" s="46"/>
      <c r="N618" s="46"/>
      <c r="O618" s="46"/>
      <c r="P618" s="46"/>
      <c r="Q618" s="46"/>
      <c r="R618" s="46"/>
      <c r="S618" s="46"/>
      <c r="T618" s="46"/>
      <c r="U618" s="46"/>
      <c r="V618" s="46"/>
      <c r="W618" s="46"/>
      <c r="X618" s="46"/>
      <c r="Y618" s="46"/>
      <c r="Z618" s="46"/>
      <c r="AA618" s="46"/>
      <c r="AB618" s="46"/>
    </row>
    <row r="619" hidden="1">
      <c r="A619" s="90" t="s">
        <v>836</v>
      </c>
      <c r="B619" s="91" t="str">
        <f>IFERROR(VLOOKUP(A619,'Salary Calculation'!A619:F1616,2,0),"")</f>
        <v/>
      </c>
      <c r="C619" s="91" t="str">
        <f>IFERROR(VLOOKUP(A619,'Salary Calculation'!$A$2:$T$999,3,0),"")</f>
        <v/>
      </c>
      <c r="D619" s="91" t="str">
        <f>IFERROR(VLOOKUP(A619,'Salary Calculation'!$A$2:$T$999,6,0),"")</f>
        <v/>
      </c>
      <c r="E619" s="91" t="str">
        <f>IFERROR(VLOOKUP(A619,'Salary Calculation'!$A$2:$T$999,8,0),"")</f>
        <v/>
      </c>
      <c r="F619" s="92" t="str">
        <f>IFERROR(VLOOKUP(C619,'Employees List'!$B$2:H999,6,0),"")</f>
        <v/>
      </c>
      <c r="G619" s="93" t="str">
        <f>IFERROR(VLOOKUP(A619,'Salary Calculation'!$A$2:$T$999,7,0),"")</f>
        <v/>
      </c>
      <c r="H619" s="94"/>
      <c r="I619" s="46"/>
      <c r="J619" s="46"/>
      <c r="K619" s="46"/>
      <c r="L619" s="46"/>
      <c r="M619" s="46"/>
      <c r="N619" s="46"/>
      <c r="O619" s="46"/>
      <c r="P619" s="46"/>
      <c r="Q619" s="46"/>
      <c r="R619" s="46"/>
      <c r="S619" s="46"/>
      <c r="T619" s="46"/>
      <c r="U619" s="46"/>
      <c r="V619" s="46"/>
      <c r="W619" s="46"/>
      <c r="X619" s="46"/>
      <c r="Y619" s="46"/>
      <c r="Z619" s="46"/>
      <c r="AA619" s="46"/>
      <c r="AB619" s="46"/>
    </row>
    <row r="620" hidden="1">
      <c r="A620" s="90" t="s">
        <v>837</v>
      </c>
      <c r="B620" s="91" t="str">
        <f>IFERROR(VLOOKUP(A620,'Salary Calculation'!A620:F1617,2,0),"")</f>
        <v/>
      </c>
      <c r="C620" s="91" t="str">
        <f>IFERROR(VLOOKUP(A620,'Salary Calculation'!$A$2:$T$999,3,0),"")</f>
        <v/>
      </c>
      <c r="D620" s="91" t="str">
        <f>IFERROR(VLOOKUP(A620,'Salary Calculation'!$A$2:$T$999,6,0),"")</f>
        <v/>
      </c>
      <c r="E620" s="91" t="str">
        <f>IFERROR(VLOOKUP(A620,'Salary Calculation'!$A$2:$T$999,8,0),"")</f>
        <v/>
      </c>
      <c r="F620" s="92" t="str">
        <f>IFERROR(VLOOKUP(C620,'Employees List'!$B$2:H999,6,0),"")</f>
        <v/>
      </c>
      <c r="G620" s="93" t="str">
        <f>IFERROR(VLOOKUP(A620,'Salary Calculation'!$A$2:$T$999,7,0),"")</f>
        <v/>
      </c>
      <c r="H620" s="94"/>
      <c r="I620" s="46"/>
      <c r="J620" s="46"/>
      <c r="K620" s="46"/>
      <c r="L620" s="46"/>
      <c r="M620" s="46"/>
      <c r="N620" s="46"/>
      <c r="O620" s="46"/>
      <c r="P620" s="46"/>
      <c r="Q620" s="46"/>
      <c r="R620" s="46"/>
      <c r="S620" s="46"/>
      <c r="T620" s="46"/>
      <c r="U620" s="46"/>
      <c r="V620" s="46"/>
      <c r="W620" s="46"/>
      <c r="X620" s="46"/>
      <c r="Y620" s="46"/>
      <c r="Z620" s="46"/>
      <c r="AA620" s="46"/>
      <c r="AB620" s="46"/>
    </row>
    <row r="621" hidden="1">
      <c r="A621" s="90" t="s">
        <v>838</v>
      </c>
      <c r="B621" s="91" t="str">
        <f>IFERROR(VLOOKUP(A621,'Salary Calculation'!A621:F1618,2,0),"")</f>
        <v/>
      </c>
      <c r="C621" s="91" t="str">
        <f>IFERROR(VLOOKUP(A621,'Salary Calculation'!$A$2:$T$999,3,0),"")</f>
        <v/>
      </c>
      <c r="D621" s="91" t="str">
        <f>IFERROR(VLOOKUP(A621,'Salary Calculation'!$A$2:$T$999,6,0),"")</f>
        <v/>
      </c>
      <c r="E621" s="91" t="str">
        <f>IFERROR(VLOOKUP(A621,'Salary Calculation'!$A$2:$T$999,8,0),"")</f>
        <v/>
      </c>
      <c r="F621" s="92" t="str">
        <f>IFERROR(VLOOKUP(C621,'Employees List'!$B$2:H999,6,0),"")</f>
        <v/>
      </c>
      <c r="G621" s="93" t="str">
        <f>IFERROR(VLOOKUP(A621,'Salary Calculation'!$A$2:$T$999,7,0),"")</f>
        <v/>
      </c>
      <c r="H621" s="94"/>
      <c r="I621" s="46"/>
      <c r="J621" s="46"/>
      <c r="K621" s="46"/>
      <c r="L621" s="46"/>
      <c r="M621" s="46"/>
      <c r="N621" s="46"/>
      <c r="O621" s="46"/>
      <c r="P621" s="46"/>
      <c r="Q621" s="46"/>
      <c r="R621" s="46"/>
      <c r="S621" s="46"/>
      <c r="T621" s="46"/>
      <c r="U621" s="46"/>
      <c r="V621" s="46"/>
      <c r="W621" s="46"/>
      <c r="X621" s="46"/>
      <c r="Y621" s="46"/>
      <c r="Z621" s="46"/>
      <c r="AA621" s="46"/>
      <c r="AB621" s="46"/>
    </row>
    <row r="622" hidden="1">
      <c r="A622" s="90" t="s">
        <v>839</v>
      </c>
      <c r="B622" s="91" t="str">
        <f>IFERROR(VLOOKUP(A622,'Salary Calculation'!A622:F1619,2,0),"")</f>
        <v/>
      </c>
      <c r="C622" s="91" t="str">
        <f>IFERROR(VLOOKUP(A622,'Salary Calculation'!$A$2:$T$999,3,0),"")</f>
        <v/>
      </c>
      <c r="D622" s="91" t="str">
        <f>IFERROR(VLOOKUP(A622,'Salary Calculation'!$A$2:$T$999,6,0),"")</f>
        <v/>
      </c>
      <c r="E622" s="91" t="str">
        <f>IFERROR(VLOOKUP(A622,'Salary Calculation'!$A$2:$T$999,8,0),"")</f>
        <v/>
      </c>
      <c r="F622" s="92" t="str">
        <f>IFERROR(VLOOKUP(C622,'Employees List'!$B$2:H999,6,0),"")</f>
        <v/>
      </c>
      <c r="G622" s="93" t="str">
        <f>IFERROR(VLOOKUP(A622,'Salary Calculation'!$A$2:$T$999,7,0),"")</f>
        <v/>
      </c>
      <c r="H622" s="94"/>
      <c r="I622" s="46"/>
      <c r="J622" s="46"/>
      <c r="K622" s="46"/>
      <c r="L622" s="46"/>
      <c r="M622" s="46"/>
      <c r="N622" s="46"/>
      <c r="O622" s="46"/>
      <c r="P622" s="46"/>
      <c r="Q622" s="46"/>
      <c r="R622" s="46"/>
      <c r="S622" s="46"/>
      <c r="T622" s="46"/>
      <c r="U622" s="46"/>
      <c r="V622" s="46"/>
      <c r="W622" s="46"/>
      <c r="X622" s="46"/>
      <c r="Y622" s="46"/>
      <c r="Z622" s="46"/>
      <c r="AA622" s="46"/>
      <c r="AB622" s="46"/>
    </row>
    <row r="623" hidden="1">
      <c r="A623" s="90" t="s">
        <v>840</v>
      </c>
      <c r="B623" s="91" t="str">
        <f>IFERROR(VLOOKUP(A623,'Salary Calculation'!A623:F1620,2,0),"")</f>
        <v/>
      </c>
      <c r="C623" s="91" t="str">
        <f>IFERROR(VLOOKUP(A623,'Salary Calculation'!$A$2:$T$999,3,0),"")</f>
        <v/>
      </c>
      <c r="D623" s="91" t="str">
        <f>IFERROR(VLOOKUP(A623,'Salary Calculation'!$A$2:$T$999,6,0),"")</f>
        <v/>
      </c>
      <c r="E623" s="91" t="str">
        <f>IFERROR(VLOOKUP(A623,'Salary Calculation'!$A$2:$T$999,8,0),"")</f>
        <v/>
      </c>
      <c r="F623" s="92" t="str">
        <f>IFERROR(VLOOKUP(C623,'Employees List'!$B$2:H999,6,0),"")</f>
        <v/>
      </c>
      <c r="G623" s="93" t="str">
        <f>IFERROR(VLOOKUP(A623,'Salary Calculation'!$A$2:$T$999,7,0),"")</f>
        <v/>
      </c>
      <c r="H623" s="94"/>
      <c r="I623" s="46"/>
      <c r="J623" s="46"/>
      <c r="K623" s="46"/>
      <c r="L623" s="46"/>
      <c r="M623" s="46"/>
      <c r="N623" s="46"/>
      <c r="O623" s="46"/>
      <c r="P623" s="46"/>
      <c r="Q623" s="46"/>
      <c r="R623" s="46"/>
      <c r="S623" s="46"/>
      <c r="T623" s="46"/>
      <c r="U623" s="46"/>
      <c r="V623" s="46"/>
      <c r="W623" s="46"/>
      <c r="X623" s="46"/>
      <c r="Y623" s="46"/>
      <c r="Z623" s="46"/>
      <c r="AA623" s="46"/>
      <c r="AB623" s="46"/>
    </row>
    <row r="624" hidden="1">
      <c r="A624" s="90" t="s">
        <v>841</v>
      </c>
      <c r="B624" s="91" t="str">
        <f>IFERROR(VLOOKUP(A624,'Salary Calculation'!A624:F1621,2,0),"")</f>
        <v/>
      </c>
      <c r="C624" s="91" t="str">
        <f>IFERROR(VLOOKUP(A624,'Salary Calculation'!$A$2:$T$999,3,0),"")</f>
        <v/>
      </c>
      <c r="D624" s="91" t="str">
        <f>IFERROR(VLOOKUP(A624,'Salary Calculation'!$A$2:$T$999,6,0),"")</f>
        <v/>
      </c>
      <c r="E624" s="91" t="str">
        <f>IFERROR(VLOOKUP(A624,'Salary Calculation'!$A$2:$T$999,8,0),"")</f>
        <v/>
      </c>
      <c r="F624" s="92" t="str">
        <f>IFERROR(VLOOKUP(C624,'Employees List'!$B$2:H999,6,0),"")</f>
        <v/>
      </c>
      <c r="G624" s="93" t="str">
        <f>IFERROR(VLOOKUP(A624,'Salary Calculation'!$A$2:$T$999,7,0),"")</f>
        <v/>
      </c>
      <c r="H624" s="94"/>
      <c r="I624" s="46"/>
      <c r="J624" s="46"/>
      <c r="K624" s="46"/>
      <c r="L624" s="46"/>
      <c r="M624" s="46"/>
      <c r="N624" s="46"/>
      <c r="O624" s="46"/>
      <c r="P624" s="46"/>
      <c r="Q624" s="46"/>
      <c r="R624" s="46"/>
      <c r="S624" s="46"/>
      <c r="T624" s="46"/>
      <c r="U624" s="46"/>
      <c r="V624" s="46"/>
      <c r="W624" s="46"/>
      <c r="X624" s="46"/>
      <c r="Y624" s="46"/>
      <c r="Z624" s="46"/>
      <c r="AA624" s="46"/>
      <c r="AB624" s="46"/>
    </row>
    <row r="625" hidden="1">
      <c r="A625" s="90" t="s">
        <v>842</v>
      </c>
      <c r="B625" s="91" t="str">
        <f>IFERROR(VLOOKUP(A625,'Salary Calculation'!A625:F1622,2,0),"")</f>
        <v/>
      </c>
      <c r="C625" s="91" t="str">
        <f>IFERROR(VLOOKUP(A625,'Salary Calculation'!$A$2:$T$999,3,0),"")</f>
        <v/>
      </c>
      <c r="D625" s="91" t="str">
        <f>IFERROR(VLOOKUP(A625,'Salary Calculation'!$A$2:$T$999,6,0),"")</f>
        <v/>
      </c>
      <c r="E625" s="91" t="str">
        <f>IFERROR(VLOOKUP(A625,'Salary Calculation'!$A$2:$T$999,8,0),"")</f>
        <v/>
      </c>
      <c r="F625" s="92" t="str">
        <f>IFERROR(VLOOKUP(C625,'Employees List'!$B$2:H999,6,0),"")</f>
        <v/>
      </c>
      <c r="G625" s="93" t="str">
        <f>IFERROR(VLOOKUP(A625,'Salary Calculation'!$A$2:$T$999,7,0),"")</f>
        <v/>
      </c>
      <c r="H625" s="94"/>
      <c r="I625" s="46"/>
      <c r="J625" s="46"/>
      <c r="K625" s="46"/>
      <c r="L625" s="46"/>
      <c r="M625" s="46"/>
      <c r="N625" s="46"/>
      <c r="O625" s="46"/>
      <c r="P625" s="46"/>
      <c r="Q625" s="46"/>
      <c r="R625" s="46"/>
      <c r="S625" s="46"/>
      <c r="T625" s="46"/>
      <c r="U625" s="46"/>
      <c r="V625" s="46"/>
      <c r="W625" s="46"/>
      <c r="X625" s="46"/>
      <c r="Y625" s="46"/>
      <c r="Z625" s="46"/>
      <c r="AA625" s="46"/>
      <c r="AB625" s="46"/>
    </row>
    <row r="626" hidden="1">
      <c r="A626" s="90" t="s">
        <v>843</v>
      </c>
      <c r="B626" s="91" t="str">
        <f>IFERROR(VLOOKUP(A626,'Salary Calculation'!A626:F1623,2,0),"")</f>
        <v/>
      </c>
      <c r="C626" s="91" t="str">
        <f>IFERROR(VLOOKUP(A626,'Salary Calculation'!$A$2:$T$999,3,0),"")</f>
        <v/>
      </c>
      <c r="D626" s="91" t="str">
        <f>IFERROR(VLOOKUP(A626,'Salary Calculation'!$A$2:$T$999,6,0),"")</f>
        <v/>
      </c>
      <c r="E626" s="91" t="str">
        <f>IFERROR(VLOOKUP(A626,'Salary Calculation'!$A$2:$T$999,8,0),"")</f>
        <v/>
      </c>
      <c r="F626" s="92" t="str">
        <f>IFERROR(VLOOKUP(C626,'Employees List'!$B$2:H999,6,0),"")</f>
        <v/>
      </c>
      <c r="G626" s="93" t="str">
        <f>IFERROR(VLOOKUP(A626,'Salary Calculation'!$A$2:$T$999,7,0),"")</f>
        <v/>
      </c>
      <c r="H626" s="94"/>
      <c r="I626" s="46"/>
      <c r="J626" s="46"/>
      <c r="K626" s="46"/>
      <c r="L626" s="46"/>
      <c r="M626" s="46"/>
      <c r="N626" s="46"/>
      <c r="O626" s="46"/>
      <c r="P626" s="46"/>
      <c r="Q626" s="46"/>
      <c r="R626" s="46"/>
      <c r="S626" s="46"/>
      <c r="T626" s="46"/>
      <c r="U626" s="46"/>
      <c r="V626" s="46"/>
      <c r="W626" s="46"/>
      <c r="X626" s="46"/>
      <c r="Y626" s="46"/>
      <c r="Z626" s="46"/>
      <c r="AA626" s="46"/>
      <c r="AB626" s="46"/>
    </row>
    <row r="627" hidden="1">
      <c r="A627" s="90" t="s">
        <v>844</v>
      </c>
      <c r="B627" s="91" t="str">
        <f>IFERROR(VLOOKUP(A627,'Salary Calculation'!A627:F1624,2,0),"")</f>
        <v/>
      </c>
      <c r="C627" s="91" t="str">
        <f>IFERROR(VLOOKUP(A627,'Salary Calculation'!$A$2:$T$999,3,0),"")</f>
        <v/>
      </c>
      <c r="D627" s="91" t="str">
        <f>IFERROR(VLOOKUP(A627,'Salary Calculation'!$A$2:$T$999,6,0),"")</f>
        <v/>
      </c>
      <c r="E627" s="91" t="str">
        <f>IFERROR(VLOOKUP(A627,'Salary Calculation'!$A$2:$T$999,8,0),"")</f>
        <v/>
      </c>
      <c r="F627" s="92" t="str">
        <f>IFERROR(VLOOKUP(C627,'Employees List'!$B$2:H999,6,0),"")</f>
        <v/>
      </c>
      <c r="G627" s="93" t="str">
        <f>IFERROR(VLOOKUP(A627,'Salary Calculation'!$A$2:$T$999,7,0),"")</f>
        <v/>
      </c>
      <c r="H627" s="94"/>
      <c r="I627" s="46"/>
      <c r="J627" s="46"/>
      <c r="K627" s="46"/>
      <c r="L627" s="46"/>
      <c r="M627" s="46"/>
      <c r="N627" s="46"/>
      <c r="O627" s="46"/>
      <c r="P627" s="46"/>
      <c r="Q627" s="46"/>
      <c r="R627" s="46"/>
      <c r="S627" s="46"/>
      <c r="T627" s="46"/>
      <c r="U627" s="46"/>
      <c r="V627" s="46"/>
      <c r="W627" s="46"/>
      <c r="X627" s="46"/>
      <c r="Y627" s="46"/>
      <c r="Z627" s="46"/>
      <c r="AA627" s="46"/>
      <c r="AB627" s="46"/>
    </row>
    <row r="628" hidden="1">
      <c r="A628" s="90" t="s">
        <v>845</v>
      </c>
      <c r="B628" s="91" t="str">
        <f>IFERROR(VLOOKUP(A628,'Salary Calculation'!A628:F1625,2,0),"")</f>
        <v/>
      </c>
      <c r="C628" s="91" t="str">
        <f>IFERROR(VLOOKUP(A628,'Salary Calculation'!$A$2:$T$999,3,0),"")</f>
        <v/>
      </c>
      <c r="D628" s="91" t="str">
        <f>IFERROR(VLOOKUP(A628,'Salary Calculation'!$A$2:$T$999,6,0),"")</f>
        <v/>
      </c>
      <c r="E628" s="91" t="str">
        <f>IFERROR(VLOOKUP(A628,'Salary Calculation'!$A$2:$T$999,8,0),"")</f>
        <v/>
      </c>
      <c r="F628" s="92" t="str">
        <f>IFERROR(VLOOKUP(C628,'Employees List'!$B$2:H999,6,0),"")</f>
        <v/>
      </c>
      <c r="G628" s="93" t="str">
        <f>IFERROR(VLOOKUP(A628,'Salary Calculation'!$A$2:$T$999,7,0),"")</f>
        <v/>
      </c>
      <c r="H628" s="94"/>
      <c r="I628" s="46"/>
      <c r="J628" s="46"/>
      <c r="K628" s="46"/>
      <c r="L628" s="46"/>
      <c r="M628" s="46"/>
      <c r="N628" s="46"/>
      <c r="O628" s="46"/>
      <c r="P628" s="46"/>
      <c r="Q628" s="46"/>
      <c r="R628" s="46"/>
      <c r="S628" s="46"/>
      <c r="T628" s="46"/>
      <c r="U628" s="46"/>
      <c r="V628" s="46"/>
      <c r="W628" s="46"/>
      <c r="X628" s="46"/>
      <c r="Y628" s="46"/>
      <c r="Z628" s="46"/>
      <c r="AA628" s="46"/>
      <c r="AB628" s="46"/>
    </row>
    <row r="629" hidden="1">
      <c r="A629" s="90" t="s">
        <v>846</v>
      </c>
      <c r="B629" s="91" t="str">
        <f>IFERROR(VLOOKUP(A629,'Salary Calculation'!A629:F1626,2,0),"")</f>
        <v/>
      </c>
      <c r="C629" s="91" t="str">
        <f>IFERROR(VLOOKUP(A629,'Salary Calculation'!$A$2:$T$999,3,0),"")</f>
        <v/>
      </c>
      <c r="D629" s="91" t="str">
        <f>IFERROR(VLOOKUP(A629,'Salary Calculation'!$A$2:$T$999,6,0),"")</f>
        <v/>
      </c>
      <c r="E629" s="91" t="str">
        <f>IFERROR(VLOOKUP(A629,'Salary Calculation'!$A$2:$T$999,8,0),"")</f>
        <v/>
      </c>
      <c r="F629" s="92" t="str">
        <f>IFERROR(VLOOKUP(C629,'Employees List'!$B$2:H999,6,0),"")</f>
        <v/>
      </c>
      <c r="G629" s="93" t="str">
        <f>IFERROR(VLOOKUP(A629,'Salary Calculation'!$A$2:$T$999,7,0),"")</f>
        <v/>
      </c>
      <c r="H629" s="94"/>
      <c r="I629" s="46"/>
      <c r="J629" s="46"/>
      <c r="K629" s="46"/>
      <c r="L629" s="46"/>
      <c r="M629" s="46"/>
      <c r="N629" s="46"/>
      <c r="O629" s="46"/>
      <c r="P629" s="46"/>
      <c r="Q629" s="46"/>
      <c r="R629" s="46"/>
      <c r="S629" s="46"/>
      <c r="T629" s="46"/>
      <c r="U629" s="46"/>
      <c r="V629" s="46"/>
      <c r="W629" s="46"/>
      <c r="X629" s="46"/>
      <c r="Y629" s="46"/>
      <c r="Z629" s="46"/>
      <c r="AA629" s="46"/>
      <c r="AB629" s="46"/>
    </row>
    <row r="630" hidden="1">
      <c r="A630" s="90" t="s">
        <v>847</v>
      </c>
      <c r="B630" s="91" t="str">
        <f>IFERROR(VLOOKUP(A630,'Salary Calculation'!A630:F1627,2,0),"")</f>
        <v/>
      </c>
      <c r="C630" s="91" t="str">
        <f>IFERROR(VLOOKUP(A630,'Salary Calculation'!$A$2:$T$999,3,0),"")</f>
        <v/>
      </c>
      <c r="D630" s="91" t="str">
        <f>IFERROR(VLOOKUP(A630,'Salary Calculation'!$A$2:$T$999,6,0),"")</f>
        <v/>
      </c>
      <c r="E630" s="91" t="str">
        <f>IFERROR(VLOOKUP(A630,'Salary Calculation'!$A$2:$T$999,8,0),"")</f>
        <v/>
      </c>
      <c r="F630" s="92" t="str">
        <f>IFERROR(VLOOKUP(C630,'Employees List'!$B$2:H999,6,0),"")</f>
        <v/>
      </c>
      <c r="G630" s="93" t="str">
        <f>IFERROR(VLOOKUP(A630,'Salary Calculation'!$A$2:$T$999,7,0),"")</f>
        <v/>
      </c>
      <c r="H630" s="94"/>
      <c r="I630" s="46"/>
      <c r="J630" s="46"/>
      <c r="K630" s="46"/>
      <c r="L630" s="46"/>
      <c r="M630" s="46"/>
      <c r="N630" s="46"/>
      <c r="O630" s="46"/>
      <c r="P630" s="46"/>
      <c r="Q630" s="46"/>
      <c r="R630" s="46"/>
      <c r="S630" s="46"/>
      <c r="T630" s="46"/>
      <c r="U630" s="46"/>
      <c r="V630" s="46"/>
      <c r="W630" s="46"/>
      <c r="X630" s="46"/>
      <c r="Y630" s="46"/>
      <c r="Z630" s="46"/>
      <c r="AA630" s="46"/>
      <c r="AB630" s="46"/>
    </row>
    <row r="631" hidden="1">
      <c r="A631" s="90" t="s">
        <v>848</v>
      </c>
      <c r="B631" s="91" t="str">
        <f>IFERROR(VLOOKUP(A631,'Salary Calculation'!A631:F1628,2,0),"")</f>
        <v/>
      </c>
      <c r="C631" s="91" t="str">
        <f>IFERROR(VLOOKUP(A631,'Salary Calculation'!$A$2:$T$999,3,0),"")</f>
        <v/>
      </c>
      <c r="D631" s="91" t="str">
        <f>IFERROR(VLOOKUP(A631,'Salary Calculation'!$A$2:$T$999,6,0),"")</f>
        <v/>
      </c>
      <c r="E631" s="91" t="str">
        <f>IFERROR(VLOOKUP(A631,'Salary Calculation'!$A$2:$T$999,8,0),"")</f>
        <v/>
      </c>
      <c r="F631" s="92" t="str">
        <f>IFERROR(VLOOKUP(C631,'Employees List'!$B$2:H999,6,0),"")</f>
        <v/>
      </c>
      <c r="G631" s="93" t="str">
        <f>IFERROR(VLOOKUP(A631,'Salary Calculation'!$A$2:$T$999,7,0),"")</f>
        <v/>
      </c>
      <c r="H631" s="94"/>
      <c r="I631" s="46"/>
      <c r="J631" s="46"/>
      <c r="K631" s="46"/>
      <c r="L631" s="46"/>
      <c r="M631" s="46"/>
      <c r="N631" s="46"/>
      <c r="O631" s="46"/>
      <c r="P631" s="46"/>
      <c r="Q631" s="46"/>
      <c r="R631" s="46"/>
      <c r="S631" s="46"/>
      <c r="T631" s="46"/>
      <c r="U631" s="46"/>
      <c r="V631" s="46"/>
      <c r="W631" s="46"/>
      <c r="X631" s="46"/>
      <c r="Y631" s="46"/>
      <c r="Z631" s="46"/>
      <c r="AA631" s="46"/>
      <c r="AB631" s="46"/>
    </row>
    <row r="632" hidden="1">
      <c r="A632" s="90" t="s">
        <v>849</v>
      </c>
      <c r="B632" s="91" t="str">
        <f>IFERROR(VLOOKUP(A632,'Salary Calculation'!A632:F1629,2,0),"")</f>
        <v/>
      </c>
      <c r="C632" s="91" t="str">
        <f>IFERROR(VLOOKUP(A632,'Salary Calculation'!$A$2:$T$999,3,0),"")</f>
        <v/>
      </c>
      <c r="D632" s="91" t="str">
        <f>IFERROR(VLOOKUP(A632,'Salary Calculation'!$A$2:$T$999,6,0),"")</f>
        <v/>
      </c>
      <c r="E632" s="91" t="str">
        <f>IFERROR(VLOOKUP(A632,'Salary Calculation'!$A$2:$T$999,8,0),"")</f>
        <v/>
      </c>
      <c r="F632" s="92" t="str">
        <f>IFERROR(VLOOKUP(C632,'Employees List'!$B$2:H999,6,0),"")</f>
        <v/>
      </c>
      <c r="G632" s="93" t="str">
        <f>IFERROR(VLOOKUP(A632,'Salary Calculation'!$A$2:$T$999,7,0),"")</f>
        <v/>
      </c>
      <c r="H632" s="94"/>
      <c r="I632" s="46"/>
      <c r="J632" s="46"/>
      <c r="K632" s="46"/>
      <c r="L632" s="46"/>
      <c r="M632" s="46"/>
      <c r="N632" s="46"/>
      <c r="O632" s="46"/>
      <c r="P632" s="46"/>
      <c r="Q632" s="46"/>
      <c r="R632" s="46"/>
      <c r="S632" s="46"/>
      <c r="T632" s="46"/>
      <c r="U632" s="46"/>
      <c r="V632" s="46"/>
      <c r="W632" s="46"/>
      <c r="X632" s="46"/>
      <c r="Y632" s="46"/>
      <c r="Z632" s="46"/>
      <c r="AA632" s="46"/>
      <c r="AB632" s="46"/>
    </row>
    <row r="633" hidden="1">
      <c r="A633" s="90" t="s">
        <v>850</v>
      </c>
      <c r="B633" s="91" t="str">
        <f>IFERROR(VLOOKUP(A633,'Salary Calculation'!A633:F1630,2,0),"")</f>
        <v/>
      </c>
      <c r="C633" s="91" t="str">
        <f>IFERROR(VLOOKUP(A633,'Salary Calculation'!$A$2:$T$999,3,0),"")</f>
        <v/>
      </c>
      <c r="D633" s="91" t="str">
        <f>IFERROR(VLOOKUP(A633,'Salary Calculation'!$A$2:$T$999,6,0),"")</f>
        <v/>
      </c>
      <c r="E633" s="91" t="str">
        <f>IFERROR(VLOOKUP(A633,'Salary Calculation'!$A$2:$T$999,8,0),"")</f>
        <v/>
      </c>
      <c r="F633" s="92" t="str">
        <f>IFERROR(VLOOKUP(C633,'Employees List'!$B$2:H999,6,0),"")</f>
        <v/>
      </c>
      <c r="G633" s="93" t="str">
        <f>IFERROR(VLOOKUP(A633,'Salary Calculation'!$A$2:$T$999,7,0),"")</f>
        <v/>
      </c>
      <c r="H633" s="94"/>
      <c r="I633" s="46"/>
      <c r="J633" s="46"/>
      <c r="K633" s="46"/>
      <c r="L633" s="46"/>
      <c r="M633" s="46"/>
      <c r="N633" s="46"/>
      <c r="O633" s="46"/>
      <c r="P633" s="46"/>
      <c r="Q633" s="46"/>
      <c r="R633" s="46"/>
      <c r="S633" s="46"/>
      <c r="T633" s="46"/>
      <c r="U633" s="46"/>
      <c r="V633" s="46"/>
      <c r="W633" s="46"/>
      <c r="X633" s="46"/>
      <c r="Y633" s="46"/>
      <c r="Z633" s="46"/>
      <c r="AA633" s="46"/>
      <c r="AB633" s="46"/>
    </row>
    <row r="634" hidden="1">
      <c r="A634" s="90" t="s">
        <v>851</v>
      </c>
      <c r="B634" s="91" t="str">
        <f>IFERROR(VLOOKUP(A634,'Salary Calculation'!A634:F1631,2,0),"")</f>
        <v/>
      </c>
      <c r="C634" s="91" t="str">
        <f>IFERROR(VLOOKUP(A634,'Salary Calculation'!$A$2:$T$999,3,0),"")</f>
        <v/>
      </c>
      <c r="D634" s="91" t="str">
        <f>IFERROR(VLOOKUP(A634,'Salary Calculation'!$A$2:$T$999,6,0),"")</f>
        <v/>
      </c>
      <c r="E634" s="91" t="str">
        <f>IFERROR(VLOOKUP(A634,'Salary Calculation'!$A$2:$T$999,8,0),"")</f>
        <v/>
      </c>
      <c r="F634" s="92" t="str">
        <f>IFERROR(VLOOKUP(C634,'Employees List'!$B$2:H999,6,0),"")</f>
        <v/>
      </c>
      <c r="G634" s="93" t="str">
        <f>IFERROR(VLOOKUP(A634,'Salary Calculation'!$A$2:$T$999,7,0),"")</f>
        <v/>
      </c>
      <c r="H634" s="94"/>
      <c r="I634" s="46"/>
      <c r="J634" s="46"/>
      <c r="K634" s="46"/>
      <c r="L634" s="46"/>
      <c r="M634" s="46"/>
      <c r="N634" s="46"/>
      <c r="O634" s="46"/>
      <c r="P634" s="46"/>
      <c r="Q634" s="46"/>
      <c r="R634" s="46"/>
      <c r="S634" s="46"/>
      <c r="T634" s="46"/>
      <c r="U634" s="46"/>
      <c r="V634" s="46"/>
      <c r="W634" s="46"/>
      <c r="X634" s="46"/>
      <c r="Y634" s="46"/>
      <c r="Z634" s="46"/>
      <c r="AA634" s="46"/>
      <c r="AB634" s="46"/>
    </row>
    <row r="635" hidden="1">
      <c r="A635" s="90" t="s">
        <v>852</v>
      </c>
      <c r="B635" s="91" t="str">
        <f>IFERROR(VLOOKUP(A635,'Salary Calculation'!A635:F1632,2,0),"")</f>
        <v/>
      </c>
      <c r="C635" s="91" t="str">
        <f>IFERROR(VLOOKUP(A635,'Salary Calculation'!$A$2:$T$999,3,0),"")</f>
        <v/>
      </c>
      <c r="D635" s="91" t="str">
        <f>IFERROR(VLOOKUP(A635,'Salary Calculation'!$A$2:$T$999,6,0),"")</f>
        <v/>
      </c>
      <c r="E635" s="91" t="str">
        <f>IFERROR(VLOOKUP(A635,'Salary Calculation'!$A$2:$T$999,8,0),"")</f>
        <v/>
      </c>
      <c r="F635" s="92" t="str">
        <f>IFERROR(VLOOKUP(C635,'Employees List'!$B$2:H999,6,0),"")</f>
        <v/>
      </c>
      <c r="G635" s="93" t="str">
        <f>IFERROR(VLOOKUP(A635,'Salary Calculation'!$A$2:$T$999,7,0),"")</f>
        <v/>
      </c>
      <c r="H635" s="94"/>
      <c r="I635" s="46"/>
      <c r="J635" s="46"/>
      <c r="K635" s="46"/>
      <c r="L635" s="46"/>
      <c r="M635" s="46"/>
      <c r="N635" s="46"/>
      <c r="O635" s="46"/>
      <c r="P635" s="46"/>
      <c r="Q635" s="46"/>
      <c r="R635" s="46"/>
      <c r="S635" s="46"/>
      <c r="T635" s="46"/>
      <c r="U635" s="46"/>
      <c r="V635" s="46"/>
      <c r="W635" s="46"/>
      <c r="X635" s="46"/>
      <c r="Y635" s="46"/>
      <c r="Z635" s="46"/>
      <c r="AA635" s="46"/>
      <c r="AB635" s="46"/>
    </row>
    <row r="636" hidden="1">
      <c r="A636" s="90" t="s">
        <v>853</v>
      </c>
      <c r="B636" s="91" t="str">
        <f>IFERROR(VLOOKUP(A636,'Salary Calculation'!A636:F1633,2,0),"")</f>
        <v/>
      </c>
      <c r="C636" s="91" t="str">
        <f>IFERROR(VLOOKUP(A636,'Salary Calculation'!$A$2:$T$999,3,0),"")</f>
        <v/>
      </c>
      <c r="D636" s="91" t="str">
        <f>IFERROR(VLOOKUP(A636,'Salary Calculation'!$A$2:$T$999,6,0),"")</f>
        <v/>
      </c>
      <c r="E636" s="91" t="str">
        <f>IFERROR(VLOOKUP(A636,'Salary Calculation'!$A$2:$T$999,8,0),"")</f>
        <v/>
      </c>
      <c r="F636" s="92" t="str">
        <f>IFERROR(VLOOKUP(C636,'Employees List'!$B$2:H999,6,0),"")</f>
        <v/>
      </c>
      <c r="G636" s="93" t="str">
        <f>IFERROR(VLOOKUP(A636,'Salary Calculation'!$A$2:$T$999,7,0),"")</f>
        <v/>
      </c>
      <c r="H636" s="94"/>
      <c r="I636" s="46"/>
      <c r="J636" s="46"/>
      <c r="K636" s="46"/>
      <c r="L636" s="46"/>
      <c r="M636" s="46"/>
      <c r="N636" s="46"/>
      <c r="O636" s="46"/>
      <c r="P636" s="46"/>
      <c r="Q636" s="46"/>
      <c r="R636" s="46"/>
      <c r="S636" s="46"/>
      <c r="T636" s="46"/>
      <c r="U636" s="46"/>
      <c r="V636" s="46"/>
      <c r="W636" s="46"/>
      <c r="X636" s="46"/>
      <c r="Y636" s="46"/>
      <c r="Z636" s="46"/>
      <c r="AA636" s="46"/>
      <c r="AB636" s="46"/>
    </row>
    <row r="637" hidden="1">
      <c r="A637" s="90" t="s">
        <v>854</v>
      </c>
      <c r="B637" s="91" t="str">
        <f>IFERROR(VLOOKUP(A637,'Salary Calculation'!A637:F1634,2,0),"")</f>
        <v/>
      </c>
      <c r="C637" s="91" t="str">
        <f>IFERROR(VLOOKUP(A637,'Salary Calculation'!$A$2:$T$999,3,0),"")</f>
        <v/>
      </c>
      <c r="D637" s="91" t="str">
        <f>IFERROR(VLOOKUP(A637,'Salary Calculation'!$A$2:$T$999,6,0),"")</f>
        <v/>
      </c>
      <c r="E637" s="91" t="str">
        <f>IFERROR(VLOOKUP(A637,'Salary Calculation'!$A$2:$T$999,8,0),"")</f>
        <v/>
      </c>
      <c r="F637" s="92" t="str">
        <f>IFERROR(VLOOKUP(C637,'Employees List'!$B$2:H999,6,0),"")</f>
        <v/>
      </c>
      <c r="G637" s="93" t="str">
        <f>IFERROR(VLOOKUP(A637,'Salary Calculation'!$A$2:$T$999,7,0),"")</f>
        <v/>
      </c>
      <c r="H637" s="94"/>
      <c r="I637" s="46"/>
      <c r="J637" s="46"/>
      <c r="K637" s="46"/>
      <c r="L637" s="46"/>
      <c r="M637" s="46"/>
      <c r="N637" s="46"/>
      <c r="O637" s="46"/>
      <c r="P637" s="46"/>
      <c r="Q637" s="46"/>
      <c r="R637" s="46"/>
      <c r="S637" s="46"/>
      <c r="T637" s="46"/>
      <c r="U637" s="46"/>
      <c r="V637" s="46"/>
      <c r="W637" s="46"/>
      <c r="X637" s="46"/>
      <c r="Y637" s="46"/>
      <c r="Z637" s="46"/>
      <c r="AA637" s="46"/>
      <c r="AB637" s="46"/>
    </row>
    <row r="638" hidden="1">
      <c r="A638" s="90" t="s">
        <v>855</v>
      </c>
      <c r="B638" s="91" t="str">
        <f>IFERROR(VLOOKUP(A638,'Salary Calculation'!A638:F1635,2,0),"")</f>
        <v/>
      </c>
      <c r="C638" s="91" t="str">
        <f>IFERROR(VLOOKUP(A638,'Salary Calculation'!$A$2:$T$999,3,0),"")</f>
        <v/>
      </c>
      <c r="D638" s="91" t="str">
        <f>IFERROR(VLOOKUP(A638,'Salary Calculation'!$A$2:$T$999,6,0),"")</f>
        <v/>
      </c>
      <c r="E638" s="91" t="str">
        <f>IFERROR(VLOOKUP(A638,'Salary Calculation'!$A$2:$T$999,8,0),"")</f>
        <v/>
      </c>
      <c r="F638" s="92" t="str">
        <f>IFERROR(VLOOKUP(C638,'Employees List'!$B$2:H999,6,0),"")</f>
        <v/>
      </c>
      <c r="G638" s="93" t="str">
        <f>IFERROR(VLOOKUP(A638,'Salary Calculation'!$A$2:$T$999,7,0),"")</f>
        <v/>
      </c>
      <c r="H638" s="94"/>
      <c r="I638" s="46"/>
      <c r="J638" s="46"/>
      <c r="K638" s="46"/>
      <c r="L638" s="46"/>
      <c r="M638" s="46"/>
      <c r="N638" s="46"/>
      <c r="O638" s="46"/>
      <c r="P638" s="46"/>
      <c r="Q638" s="46"/>
      <c r="R638" s="46"/>
      <c r="S638" s="46"/>
      <c r="T638" s="46"/>
      <c r="U638" s="46"/>
      <c r="V638" s="46"/>
      <c r="W638" s="46"/>
      <c r="X638" s="46"/>
      <c r="Y638" s="46"/>
      <c r="Z638" s="46"/>
      <c r="AA638" s="46"/>
      <c r="AB638" s="46"/>
    </row>
    <row r="639" hidden="1">
      <c r="A639" s="90" t="s">
        <v>856</v>
      </c>
      <c r="B639" s="91" t="str">
        <f>IFERROR(VLOOKUP(A639,'Salary Calculation'!A639:F1636,2,0),"")</f>
        <v/>
      </c>
      <c r="C639" s="91" t="str">
        <f>IFERROR(VLOOKUP(A639,'Salary Calculation'!$A$2:$T$999,3,0),"")</f>
        <v/>
      </c>
      <c r="D639" s="91" t="str">
        <f>IFERROR(VLOOKUP(A639,'Salary Calculation'!$A$2:$T$999,6,0),"")</f>
        <v/>
      </c>
      <c r="E639" s="91" t="str">
        <f>IFERROR(VLOOKUP(A639,'Salary Calculation'!$A$2:$T$999,8,0),"")</f>
        <v/>
      </c>
      <c r="F639" s="92" t="str">
        <f>IFERROR(VLOOKUP(C639,'Employees List'!$B$2:H999,6,0),"")</f>
        <v/>
      </c>
      <c r="G639" s="93" t="str">
        <f>IFERROR(VLOOKUP(A639,'Salary Calculation'!$A$2:$T$999,7,0),"")</f>
        <v/>
      </c>
      <c r="H639" s="94"/>
      <c r="I639" s="46"/>
      <c r="J639" s="46"/>
      <c r="K639" s="46"/>
      <c r="L639" s="46"/>
      <c r="M639" s="46"/>
      <c r="N639" s="46"/>
      <c r="O639" s="46"/>
      <c r="P639" s="46"/>
      <c r="Q639" s="46"/>
      <c r="R639" s="46"/>
      <c r="S639" s="46"/>
      <c r="T639" s="46"/>
      <c r="U639" s="46"/>
      <c r="V639" s="46"/>
      <c r="W639" s="46"/>
      <c r="X639" s="46"/>
      <c r="Y639" s="46"/>
      <c r="Z639" s="46"/>
      <c r="AA639" s="46"/>
      <c r="AB639" s="46"/>
    </row>
    <row r="640" hidden="1">
      <c r="A640" s="90" t="s">
        <v>857</v>
      </c>
      <c r="B640" s="91" t="str">
        <f>IFERROR(VLOOKUP(A640,'Salary Calculation'!A640:F1637,2,0),"")</f>
        <v/>
      </c>
      <c r="C640" s="91" t="str">
        <f>IFERROR(VLOOKUP(A640,'Salary Calculation'!$A$2:$T$999,3,0),"")</f>
        <v/>
      </c>
      <c r="D640" s="91" t="str">
        <f>IFERROR(VLOOKUP(A640,'Salary Calculation'!$A$2:$T$999,6,0),"")</f>
        <v/>
      </c>
      <c r="E640" s="91" t="str">
        <f>IFERROR(VLOOKUP(A640,'Salary Calculation'!$A$2:$T$999,8,0),"")</f>
        <v/>
      </c>
      <c r="F640" s="92" t="str">
        <f>IFERROR(VLOOKUP(C640,'Employees List'!$B$2:H999,6,0),"")</f>
        <v/>
      </c>
      <c r="G640" s="93" t="str">
        <f>IFERROR(VLOOKUP(A640,'Salary Calculation'!$A$2:$T$999,7,0),"")</f>
        <v/>
      </c>
      <c r="H640" s="94"/>
      <c r="I640" s="46"/>
      <c r="J640" s="46"/>
      <c r="K640" s="46"/>
      <c r="L640" s="46"/>
      <c r="M640" s="46"/>
      <c r="N640" s="46"/>
      <c r="O640" s="46"/>
      <c r="P640" s="46"/>
      <c r="Q640" s="46"/>
      <c r="R640" s="46"/>
      <c r="S640" s="46"/>
      <c r="T640" s="46"/>
      <c r="U640" s="46"/>
      <c r="V640" s="46"/>
      <c r="W640" s="46"/>
      <c r="X640" s="46"/>
      <c r="Y640" s="46"/>
      <c r="Z640" s="46"/>
      <c r="AA640" s="46"/>
      <c r="AB640" s="46"/>
    </row>
    <row r="641" hidden="1">
      <c r="A641" s="90" t="s">
        <v>858</v>
      </c>
      <c r="B641" s="91" t="str">
        <f>IFERROR(VLOOKUP(A641,'Salary Calculation'!A641:F1638,2,0),"")</f>
        <v/>
      </c>
      <c r="C641" s="91" t="str">
        <f>IFERROR(VLOOKUP(A641,'Salary Calculation'!$A$2:$T$999,3,0),"")</f>
        <v/>
      </c>
      <c r="D641" s="91" t="str">
        <f>IFERROR(VLOOKUP(A641,'Salary Calculation'!$A$2:$T$999,6,0),"")</f>
        <v/>
      </c>
      <c r="E641" s="91" t="str">
        <f>IFERROR(VLOOKUP(A641,'Salary Calculation'!$A$2:$T$999,8,0),"")</f>
        <v/>
      </c>
      <c r="F641" s="92" t="str">
        <f>IFERROR(VLOOKUP(C641,'Employees List'!$B$2:H999,6,0),"")</f>
        <v/>
      </c>
      <c r="G641" s="93" t="str">
        <f>IFERROR(VLOOKUP(A641,'Salary Calculation'!$A$2:$T$999,7,0),"")</f>
        <v/>
      </c>
      <c r="H641" s="94"/>
      <c r="I641" s="46"/>
      <c r="J641" s="46"/>
      <c r="K641" s="46"/>
      <c r="L641" s="46"/>
      <c r="M641" s="46"/>
      <c r="N641" s="46"/>
      <c r="O641" s="46"/>
      <c r="P641" s="46"/>
      <c r="Q641" s="46"/>
      <c r="R641" s="46"/>
      <c r="S641" s="46"/>
      <c r="T641" s="46"/>
      <c r="U641" s="46"/>
      <c r="V641" s="46"/>
      <c r="W641" s="46"/>
      <c r="X641" s="46"/>
      <c r="Y641" s="46"/>
      <c r="Z641" s="46"/>
      <c r="AA641" s="46"/>
      <c r="AB641" s="46"/>
    </row>
    <row r="642" hidden="1">
      <c r="A642" s="90" t="s">
        <v>859</v>
      </c>
      <c r="B642" s="91" t="str">
        <f>IFERROR(VLOOKUP(A642,'Salary Calculation'!A642:F1639,2,0),"")</f>
        <v/>
      </c>
      <c r="C642" s="91" t="str">
        <f>IFERROR(VLOOKUP(A642,'Salary Calculation'!$A$2:$T$999,3,0),"")</f>
        <v/>
      </c>
      <c r="D642" s="91" t="str">
        <f>IFERROR(VLOOKUP(A642,'Salary Calculation'!$A$2:$T$999,6,0),"")</f>
        <v/>
      </c>
      <c r="E642" s="91" t="str">
        <f>IFERROR(VLOOKUP(A642,'Salary Calculation'!$A$2:$T$999,8,0),"")</f>
        <v/>
      </c>
      <c r="F642" s="92" t="str">
        <f>IFERROR(VLOOKUP(C642,'Employees List'!$B$2:H999,6,0),"")</f>
        <v/>
      </c>
      <c r="G642" s="93" t="str">
        <f>IFERROR(VLOOKUP(A642,'Salary Calculation'!$A$2:$T$999,7,0),"")</f>
        <v/>
      </c>
      <c r="H642" s="94"/>
      <c r="I642" s="46"/>
      <c r="J642" s="46"/>
      <c r="K642" s="46"/>
      <c r="L642" s="46"/>
      <c r="M642" s="46"/>
      <c r="N642" s="46"/>
      <c r="O642" s="46"/>
      <c r="P642" s="46"/>
      <c r="Q642" s="46"/>
      <c r="R642" s="46"/>
      <c r="S642" s="46"/>
      <c r="T642" s="46"/>
      <c r="U642" s="46"/>
      <c r="V642" s="46"/>
      <c r="W642" s="46"/>
      <c r="X642" s="46"/>
      <c r="Y642" s="46"/>
      <c r="Z642" s="46"/>
      <c r="AA642" s="46"/>
      <c r="AB642" s="46"/>
    </row>
    <row r="643" hidden="1">
      <c r="A643" s="90" t="s">
        <v>860</v>
      </c>
      <c r="B643" s="91" t="str">
        <f>IFERROR(VLOOKUP(A643,'Salary Calculation'!A643:F1640,2,0),"")</f>
        <v/>
      </c>
      <c r="C643" s="91" t="str">
        <f>IFERROR(VLOOKUP(A643,'Salary Calculation'!$A$2:$T$999,3,0),"")</f>
        <v/>
      </c>
      <c r="D643" s="91" t="str">
        <f>IFERROR(VLOOKUP(A643,'Salary Calculation'!$A$2:$T$999,6,0),"")</f>
        <v/>
      </c>
      <c r="E643" s="91" t="str">
        <f>IFERROR(VLOOKUP(A643,'Salary Calculation'!$A$2:$T$999,8,0),"")</f>
        <v/>
      </c>
      <c r="F643" s="92" t="str">
        <f>IFERROR(VLOOKUP(C643,'Employees List'!$B$2:H999,6,0),"")</f>
        <v/>
      </c>
      <c r="G643" s="93" t="str">
        <f>IFERROR(VLOOKUP(A643,'Salary Calculation'!$A$2:$T$999,7,0),"")</f>
        <v/>
      </c>
      <c r="H643" s="94"/>
      <c r="I643" s="46"/>
      <c r="J643" s="46"/>
      <c r="K643" s="46"/>
      <c r="L643" s="46"/>
      <c r="M643" s="46"/>
      <c r="N643" s="46"/>
      <c r="O643" s="46"/>
      <c r="P643" s="46"/>
      <c r="Q643" s="46"/>
      <c r="R643" s="46"/>
      <c r="S643" s="46"/>
      <c r="T643" s="46"/>
      <c r="U643" s="46"/>
      <c r="V643" s="46"/>
      <c r="W643" s="46"/>
      <c r="X643" s="46"/>
      <c r="Y643" s="46"/>
      <c r="Z643" s="46"/>
      <c r="AA643" s="46"/>
      <c r="AB643" s="46"/>
    </row>
    <row r="644" hidden="1">
      <c r="A644" s="90" t="s">
        <v>861</v>
      </c>
      <c r="B644" s="91" t="str">
        <f>IFERROR(VLOOKUP(A644,'Salary Calculation'!A644:F1641,2,0),"")</f>
        <v/>
      </c>
      <c r="C644" s="91" t="str">
        <f>IFERROR(VLOOKUP(A644,'Salary Calculation'!$A$2:$T$999,3,0),"")</f>
        <v/>
      </c>
      <c r="D644" s="91" t="str">
        <f>IFERROR(VLOOKUP(A644,'Salary Calculation'!$A$2:$T$999,6,0),"")</f>
        <v/>
      </c>
      <c r="E644" s="91" t="str">
        <f>IFERROR(VLOOKUP(A644,'Salary Calculation'!$A$2:$T$999,8,0),"")</f>
        <v/>
      </c>
      <c r="F644" s="92" t="str">
        <f>IFERROR(VLOOKUP(C644,'Employees List'!$B$2:H999,6,0),"")</f>
        <v/>
      </c>
      <c r="G644" s="93" t="str">
        <f>IFERROR(VLOOKUP(A644,'Salary Calculation'!$A$2:$T$999,7,0),"")</f>
        <v/>
      </c>
      <c r="H644" s="94"/>
      <c r="I644" s="46"/>
      <c r="J644" s="46"/>
      <c r="K644" s="46"/>
      <c r="L644" s="46"/>
      <c r="M644" s="46"/>
      <c r="N644" s="46"/>
      <c r="O644" s="46"/>
      <c r="P644" s="46"/>
      <c r="Q644" s="46"/>
      <c r="R644" s="46"/>
      <c r="S644" s="46"/>
      <c r="T644" s="46"/>
      <c r="U644" s="46"/>
      <c r="V644" s="46"/>
      <c r="W644" s="46"/>
      <c r="X644" s="46"/>
      <c r="Y644" s="46"/>
      <c r="Z644" s="46"/>
      <c r="AA644" s="46"/>
      <c r="AB644" s="46"/>
    </row>
    <row r="645" hidden="1">
      <c r="A645" s="90" t="s">
        <v>862</v>
      </c>
      <c r="B645" s="91" t="str">
        <f>IFERROR(VLOOKUP(A645,'Salary Calculation'!A645:F1642,2,0),"")</f>
        <v/>
      </c>
      <c r="C645" s="91" t="str">
        <f>IFERROR(VLOOKUP(A645,'Salary Calculation'!$A$2:$T$999,3,0),"")</f>
        <v/>
      </c>
      <c r="D645" s="91" t="str">
        <f>IFERROR(VLOOKUP(A645,'Salary Calculation'!$A$2:$T$999,6,0),"")</f>
        <v/>
      </c>
      <c r="E645" s="91" t="str">
        <f>IFERROR(VLOOKUP(A645,'Salary Calculation'!$A$2:$T$999,8,0),"")</f>
        <v/>
      </c>
      <c r="F645" s="92" t="str">
        <f>IFERROR(VLOOKUP(C645,'Employees List'!$B$2:H999,6,0),"")</f>
        <v/>
      </c>
      <c r="G645" s="93" t="str">
        <f>IFERROR(VLOOKUP(A645,'Salary Calculation'!$A$2:$T$999,7,0),"")</f>
        <v/>
      </c>
      <c r="H645" s="94"/>
      <c r="I645" s="46"/>
      <c r="J645" s="46"/>
      <c r="K645" s="46"/>
      <c r="L645" s="46"/>
      <c r="M645" s="46"/>
      <c r="N645" s="46"/>
      <c r="O645" s="46"/>
      <c r="P645" s="46"/>
      <c r="Q645" s="46"/>
      <c r="R645" s="46"/>
      <c r="S645" s="46"/>
      <c r="T645" s="46"/>
      <c r="U645" s="46"/>
      <c r="V645" s="46"/>
      <c r="W645" s="46"/>
      <c r="X645" s="46"/>
      <c r="Y645" s="46"/>
      <c r="Z645" s="46"/>
      <c r="AA645" s="46"/>
      <c r="AB645" s="46"/>
    </row>
    <row r="646" hidden="1">
      <c r="A646" s="90" t="s">
        <v>863</v>
      </c>
      <c r="B646" s="91" t="str">
        <f>IFERROR(VLOOKUP(A646,'Salary Calculation'!A646:F1643,2,0),"")</f>
        <v/>
      </c>
      <c r="C646" s="91" t="str">
        <f>IFERROR(VLOOKUP(A646,'Salary Calculation'!$A$2:$T$999,3,0),"")</f>
        <v/>
      </c>
      <c r="D646" s="91" t="str">
        <f>IFERROR(VLOOKUP(A646,'Salary Calculation'!$A$2:$T$999,6,0),"")</f>
        <v/>
      </c>
      <c r="E646" s="91" t="str">
        <f>IFERROR(VLOOKUP(A646,'Salary Calculation'!$A$2:$T$999,8,0),"")</f>
        <v/>
      </c>
      <c r="F646" s="92" t="str">
        <f>IFERROR(VLOOKUP(C646,'Employees List'!$B$2:H999,6,0),"")</f>
        <v/>
      </c>
      <c r="G646" s="93" t="str">
        <f>IFERROR(VLOOKUP(A646,'Salary Calculation'!$A$2:$T$999,7,0),"")</f>
        <v/>
      </c>
      <c r="H646" s="94"/>
      <c r="I646" s="46"/>
      <c r="J646" s="46"/>
      <c r="K646" s="46"/>
      <c r="L646" s="46"/>
      <c r="M646" s="46"/>
      <c r="N646" s="46"/>
      <c r="O646" s="46"/>
      <c r="P646" s="46"/>
      <c r="Q646" s="46"/>
      <c r="R646" s="46"/>
      <c r="S646" s="46"/>
      <c r="T646" s="46"/>
      <c r="U646" s="46"/>
      <c r="V646" s="46"/>
      <c r="W646" s="46"/>
      <c r="X646" s="46"/>
      <c r="Y646" s="46"/>
      <c r="Z646" s="46"/>
      <c r="AA646" s="46"/>
      <c r="AB646" s="46"/>
    </row>
    <row r="647" hidden="1">
      <c r="A647" s="90" t="s">
        <v>864</v>
      </c>
      <c r="B647" s="91" t="str">
        <f>IFERROR(VLOOKUP(A647,'Salary Calculation'!A647:F1644,2,0),"")</f>
        <v/>
      </c>
      <c r="C647" s="91" t="str">
        <f>IFERROR(VLOOKUP(A647,'Salary Calculation'!$A$2:$T$999,3,0),"")</f>
        <v/>
      </c>
      <c r="D647" s="91" t="str">
        <f>IFERROR(VLOOKUP(A647,'Salary Calculation'!$A$2:$T$999,6,0),"")</f>
        <v/>
      </c>
      <c r="E647" s="91" t="str">
        <f>IFERROR(VLOOKUP(A647,'Salary Calculation'!$A$2:$T$999,8,0),"")</f>
        <v/>
      </c>
      <c r="F647" s="92" t="str">
        <f>IFERROR(VLOOKUP(C647,'Employees List'!$B$2:H999,6,0),"")</f>
        <v/>
      </c>
      <c r="G647" s="93" t="str">
        <f>IFERROR(VLOOKUP(A647,'Salary Calculation'!$A$2:$T$999,7,0),"")</f>
        <v/>
      </c>
      <c r="H647" s="94"/>
      <c r="I647" s="46"/>
      <c r="J647" s="46"/>
      <c r="K647" s="46"/>
      <c r="L647" s="46"/>
      <c r="M647" s="46"/>
      <c r="N647" s="46"/>
      <c r="O647" s="46"/>
      <c r="P647" s="46"/>
      <c r="Q647" s="46"/>
      <c r="R647" s="46"/>
      <c r="S647" s="46"/>
      <c r="T647" s="46"/>
      <c r="U647" s="46"/>
      <c r="V647" s="46"/>
      <c r="W647" s="46"/>
      <c r="X647" s="46"/>
      <c r="Y647" s="46"/>
      <c r="Z647" s="46"/>
      <c r="AA647" s="46"/>
      <c r="AB647" s="46"/>
    </row>
    <row r="648" hidden="1">
      <c r="A648" s="90" t="s">
        <v>865</v>
      </c>
      <c r="B648" s="91" t="str">
        <f>IFERROR(VLOOKUP(A648,'Salary Calculation'!A648:F1645,2,0),"")</f>
        <v/>
      </c>
      <c r="C648" s="91" t="str">
        <f>IFERROR(VLOOKUP(A648,'Salary Calculation'!$A$2:$T$999,3,0),"")</f>
        <v/>
      </c>
      <c r="D648" s="91" t="str">
        <f>IFERROR(VLOOKUP(A648,'Salary Calculation'!$A$2:$T$999,6,0),"")</f>
        <v/>
      </c>
      <c r="E648" s="91" t="str">
        <f>IFERROR(VLOOKUP(A648,'Salary Calculation'!$A$2:$T$999,8,0),"")</f>
        <v/>
      </c>
      <c r="F648" s="92" t="str">
        <f>IFERROR(VLOOKUP(C648,'Employees List'!$B$2:H999,6,0),"")</f>
        <v/>
      </c>
      <c r="G648" s="93" t="str">
        <f>IFERROR(VLOOKUP(A648,'Salary Calculation'!$A$2:$T$999,7,0),"")</f>
        <v/>
      </c>
      <c r="H648" s="94"/>
      <c r="I648" s="46"/>
      <c r="J648" s="46"/>
      <c r="K648" s="46"/>
      <c r="L648" s="46"/>
      <c r="M648" s="46"/>
      <c r="N648" s="46"/>
      <c r="O648" s="46"/>
      <c r="P648" s="46"/>
      <c r="Q648" s="46"/>
      <c r="R648" s="46"/>
      <c r="S648" s="46"/>
      <c r="T648" s="46"/>
      <c r="U648" s="46"/>
      <c r="V648" s="46"/>
      <c r="W648" s="46"/>
      <c r="X648" s="46"/>
      <c r="Y648" s="46"/>
      <c r="Z648" s="46"/>
      <c r="AA648" s="46"/>
      <c r="AB648" s="46"/>
    </row>
    <row r="649" hidden="1">
      <c r="A649" s="90" t="s">
        <v>866</v>
      </c>
      <c r="B649" s="91" t="str">
        <f>IFERROR(VLOOKUP(A649,'Salary Calculation'!A649:F1646,2,0),"")</f>
        <v/>
      </c>
      <c r="C649" s="91" t="str">
        <f>IFERROR(VLOOKUP(A649,'Salary Calculation'!$A$2:$T$999,3,0),"")</f>
        <v/>
      </c>
      <c r="D649" s="91" t="str">
        <f>IFERROR(VLOOKUP(A649,'Salary Calculation'!$A$2:$T$999,6,0),"")</f>
        <v/>
      </c>
      <c r="E649" s="91" t="str">
        <f>IFERROR(VLOOKUP(A649,'Salary Calculation'!$A$2:$T$999,8,0),"")</f>
        <v/>
      </c>
      <c r="F649" s="92" t="str">
        <f>IFERROR(VLOOKUP(C649,'Employees List'!$B$2:H999,6,0),"")</f>
        <v/>
      </c>
      <c r="G649" s="93" t="str">
        <f>IFERROR(VLOOKUP(A649,'Salary Calculation'!$A$2:$T$999,7,0),"")</f>
        <v/>
      </c>
      <c r="H649" s="94"/>
      <c r="I649" s="46"/>
      <c r="J649" s="46"/>
      <c r="K649" s="46"/>
      <c r="L649" s="46"/>
      <c r="M649" s="46"/>
      <c r="N649" s="46"/>
      <c r="O649" s="46"/>
      <c r="P649" s="46"/>
      <c r="Q649" s="46"/>
      <c r="R649" s="46"/>
      <c r="S649" s="46"/>
      <c r="T649" s="46"/>
      <c r="U649" s="46"/>
      <c r="V649" s="46"/>
      <c r="W649" s="46"/>
      <c r="X649" s="46"/>
      <c r="Y649" s="46"/>
      <c r="Z649" s="46"/>
      <c r="AA649" s="46"/>
      <c r="AB649" s="46"/>
    </row>
    <row r="650" hidden="1">
      <c r="A650" s="90" t="s">
        <v>867</v>
      </c>
      <c r="B650" s="91" t="str">
        <f>IFERROR(VLOOKUP(A650,'Salary Calculation'!A650:F1647,2,0),"")</f>
        <v/>
      </c>
      <c r="C650" s="91" t="str">
        <f>IFERROR(VLOOKUP(A650,'Salary Calculation'!$A$2:$T$999,3,0),"")</f>
        <v/>
      </c>
      <c r="D650" s="91" t="str">
        <f>IFERROR(VLOOKUP(A650,'Salary Calculation'!$A$2:$T$999,6,0),"")</f>
        <v/>
      </c>
      <c r="E650" s="91" t="str">
        <f>IFERROR(VLOOKUP(A650,'Salary Calculation'!$A$2:$T$999,8,0),"")</f>
        <v/>
      </c>
      <c r="F650" s="92" t="str">
        <f>IFERROR(VLOOKUP(C650,'Employees List'!$B$2:H999,6,0),"")</f>
        <v/>
      </c>
      <c r="G650" s="93" t="str">
        <f>IFERROR(VLOOKUP(A650,'Salary Calculation'!$A$2:$T$999,7,0),"")</f>
        <v/>
      </c>
      <c r="H650" s="94"/>
      <c r="I650" s="46"/>
      <c r="J650" s="46"/>
      <c r="K650" s="46"/>
      <c r="L650" s="46"/>
      <c r="M650" s="46"/>
      <c r="N650" s="46"/>
      <c r="O650" s="46"/>
      <c r="P650" s="46"/>
      <c r="Q650" s="46"/>
      <c r="R650" s="46"/>
      <c r="S650" s="46"/>
      <c r="T650" s="46"/>
      <c r="U650" s="46"/>
      <c r="V650" s="46"/>
      <c r="W650" s="46"/>
      <c r="X650" s="46"/>
      <c r="Y650" s="46"/>
      <c r="Z650" s="46"/>
      <c r="AA650" s="46"/>
      <c r="AB650" s="46"/>
    </row>
    <row r="651" hidden="1">
      <c r="A651" s="90" t="s">
        <v>868</v>
      </c>
      <c r="B651" s="91" t="str">
        <f>IFERROR(VLOOKUP(A651,'Salary Calculation'!A651:F1648,2,0),"")</f>
        <v/>
      </c>
      <c r="C651" s="91" t="str">
        <f>IFERROR(VLOOKUP(A651,'Salary Calculation'!$A$2:$T$999,3,0),"")</f>
        <v/>
      </c>
      <c r="D651" s="91" t="str">
        <f>IFERROR(VLOOKUP(A651,'Salary Calculation'!$A$2:$T$999,6,0),"")</f>
        <v/>
      </c>
      <c r="E651" s="91" t="str">
        <f>IFERROR(VLOOKUP(A651,'Salary Calculation'!$A$2:$T$999,8,0),"")</f>
        <v/>
      </c>
      <c r="F651" s="92" t="str">
        <f>IFERROR(VLOOKUP(C651,'Employees List'!$B$2:H999,6,0),"")</f>
        <v/>
      </c>
      <c r="G651" s="93" t="str">
        <f>IFERROR(VLOOKUP(A651,'Salary Calculation'!$A$2:$T$999,7,0),"")</f>
        <v/>
      </c>
      <c r="H651" s="94"/>
      <c r="I651" s="46"/>
      <c r="J651" s="46"/>
      <c r="K651" s="46"/>
      <c r="L651" s="46"/>
      <c r="M651" s="46"/>
      <c r="N651" s="46"/>
      <c r="O651" s="46"/>
      <c r="P651" s="46"/>
      <c r="Q651" s="46"/>
      <c r="R651" s="46"/>
      <c r="S651" s="46"/>
      <c r="T651" s="46"/>
      <c r="U651" s="46"/>
      <c r="V651" s="46"/>
      <c r="W651" s="46"/>
      <c r="X651" s="46"/>
      <c r="Y651" s="46"/>
      <c r="Z651" s="46"/>
      <c r="AA651" s="46"/>
      <c r="AB651" s="46"/>
    </row>
    <row r="652" hidden="1">
      <c r="A652" s="90" t="s">
        <v>869</v>
      </c>
      <c r="B652" s="91" t="str">
        <f>IFERROR(VLOOKUP(A652,'Salary Calculation'!A652:F1649,2,0),"")</f>
        <v/>
      </c>
      <c r="C652" s="91" t="str">
        <f>IFERROR(VLOOKUP(A652,'Salary Calculation'!$A$2:$T$999,3,0),"")</f>
        <v/>
      </c>
      <c r="D652" s="91" t="str">
        <f>IFERROR(VLOOKUP(A652,'Salary Calculation'!$A$2:$T$999,6,0),"")</f>
        <v/>
      </c>
      <c r="E652" s="91" t="str">
        <f>IFERROR(VLOOKUP(A652,'Salary Calculation'!$A$2:$T$999,8,0),"")</f>
        <v/>
      </c>
      <c r="F652" s="92" t="str">
        <f>IFERROR(VLOOKUP(C652,'Employees List'!$B$2:H999,6,0),"")</f>
        <v/>
      </c>
      <c r="G652" s="93" t="str">
        <f>IFERROR(VLOOKUP(A652,'Salary Calculation'!$A$2:$T$999,7,0),"")</f>
        <v/>
      </c>
      <c r="H652" s="94"/>
      <c r="I652" s="46"/>
      <c r="J652" s="46"/>
      <c r="K652" s="46"/>
      <c r="L652" s="46"/>
      <c r="M652" s="46"/>
      <c r="N652" s="46"/>
      <c r="O652" s="46"/>
      <c r="P652" s="46"/>
      <c r="Q652" s="46"/>
      <c r="R652" s="46"/>
      <c r="S652" s="46"/>
      <c r="T652" s="46"/>
      <c r="U652" s="46"/>
      <c r="V652" s="46"/>
      <c r="W652" s="46"/>
      <c r="X652" s="46"/>
      <c r="Y652" s="46"/>
      <c r="Z652" s="46"/>
      <c r="AA652" s="46"/>
      <c r="AB652" s="46"/>
    </row>
    <row r="653" hidden="1">
      <c r="A653" s="90" t="s">
        <v>870</v>
      </c>
      <c r="B653" s="91" t="str">
        <f>IFERROR(VLOOKUP(A653,'Salary Calculation'!A653:F1650,2,0),"")</f>
        <v/>
      </c>
      <c r="C653" s="91" t="str">
        <f>IFERROR(VLOOKUP(A653,'Salary Calculation'!$A$2:$T$999,3,0),"")</f>
        <v/>
      </c>
      <c r="D653" s="91" t="str">
        <f>IFERROR(VLOOKUP(A653,'Salary Calculation'!$A$2:$T$999,6,0),"")</f>
        <v/>
      </c>
      <c r="E653" s="91" t="str">
        <f>IFERROR(VLOOKUP(A653,'Salary Calculation'!$A$2:$T$999,8,0),"")</f>
        <v/>
      </c>
      <c r="F653" s="92" t="str">
        <f>IFERROR(VLOOKUP(C653,'Employees List'!$B$2:H999,6,0),"")</f>
        <v/>
      </c>
      <c r="G653" s="93" t="str">
        <f>IFERROR(VLOOKUP(A653,'Salary Calculation'!$A$2:$T$999,7,0),"")</f>
        <v/>
      </c>
      <c r="H653" s="94"/>
      <c r="I653" s="46"/>
      <c r="J653" s="46"/>
      <c r="K653" s="46"/>
      <c r="L653" s="46"/>
      <c r="M653" s="46"/>
      <c r="N653" s="46"/>
      <c r="O653" s="46"/>
      <c r="P653" s="46"/>
      <c r="Q653" s="46"/>
      <c r="R653" s="46"/>
      <c r="S653" s="46"/>
      <c r="T653" s="46"/>
      <c r="U653" s="46"/>
      <c r="V653" s="46"/>
      <c r="W653" s="46"/>
      <c r="X653" s="46"/>
      <c r="Y653" s="46"/>
      <c r="Z653" s="46"/>
      <c r="AA653" s="46"/>
      <c r="AB653" s="46"/>
    </row>
    <row r="654" hidden="1">
      <c r="A654" s="90" t="s">
        <v>871</v>
      </c>
      <c r="B654" s="91" t="str">
        <f>IFERROR(VLOOKUP(A654,'Salary Calculation'!A654:F1651,2,0),"")</f>
        <v/>
      </c>
      <c r="C654" s="91" t="str">
        <f>IFERROR(VLOOKUP(A654,'Salary Calculation'!$A$2:$T$999,3,0),"")</f>
        <v/>
      </c>
      <c r="D654" s="91" t="str">
        <f>IFERROR(VLOOKUP(A654,'Salary Calculation'!$A$2:$T$999,6,0),"")</f>
        <v/>
      </c>
      <c r="E654" s="91" t="str">
        <f>IFERROR(VLOOKUP(A654,'Salary Calculation'!$A$2:$T$999,8,0),"")</f>
        <v/>
      </c>
      <c r="F654" s="92" t="str">
        <f>IFERROR(VLOOKUP(C654,'Employees List'!$B$2:H999,6,0),"")</f>
        <v/>
      </c>
      <c r="G654" s="93" t="str">
        <f>IFERROR(VLOOKUP(A654,'Salary Calculation'!$A$2:$T$999,7,0),"")</f>
        <v/>
      </c>
      <c r="H654" s="94"/>
      <c r="I654" s="46"/>
      <c r="J654" s="46"/>
      <c r="K654" s="46"/>
      <c r="L654" s="46"/>
      <c r="M654" s="46"/>
      <c r="N654" s="46"/>
      <c r="O654" s="46"/>
      <c r="P654" s="46"/>
      <c r="Q654" s="46"/>
      <c r="R654" s="46"/>
      <c r="S654" s="46"/>
      <c r="T654" s="46"/>
      <c r="U654" s="46"/>
      <c r="V654" s="46"/>
      <c r="W654" s="46"/>
      <c r="X654" s="46"/>
      <c r="Y654" s="46"/>
      <c r="Z654" s="46"/>
      <c r="AA654" s="46"/>
      <c r="AB654" s="46"/>
    </row>
    <row r="655" hidden="1">
      <c r="A655" s="90" t="s">
        <v>872</v>
      </c>
      <c r="B655" s="91" t="str">
        <f>IFERROR(VLOOKUP(A655,'Salary Calculation'!A655:F1652,2,0),"")</f>
        <v/>
      </c>
      <c r="C655" s="91" t="str">
        <f>IFERROR(VLOOKUP(A655,'Salary Calculation'!$A$2:$T$999,3,0),"")</f>
        <v/>
      </c>
      <c r="D655" s="91" t="str">
        <f>IFERROR(VLOOKUP(A655,'Salary Calculation'!$A$2:$T$999,6,0),"")</f>
        <v/>
      </c>
      <c r="E655" s="91" t="str">
        <f>IFERROR(VLOOKUP(A655,'Salary Calculation'!$A$2:$T$999,8,0),"")</f>
        <v/>
      </c>
      <c r="F655" s="92" t="str">
        <f>IFERROR(VLOOKUP(C655,'Employees List'!$B$2:H999,6,0),"")</f>
        <v/>
      </c>
      <c r="G655" s="93" t="str">
        <f>IFERROR(VLOOKUP(A655,'Salary Calculation'!$A$2:$T$999,7,0),"")</f>
        <v/>
      </c>
      <c r="H655" s="94"/>
      <c r="I655" s="46"/>
      <c r="J655" s="46"/>
      <c r="K655" s="46"/>
      <c r="L655" s="46"/>
      <c r="M655" s="46"/>
      <c r="N655" s="46"/>
      <c r="O655" s="46"/>
      <c r="P655" s="46"/>
      <c r="Q655" s="46"/>
      <c r="R655" s="46"/>
      <c r="S655" s="46"/>
      <c r="T655" s="46"/>
      <c r="U655" s="46"/>
      <c r="V655" s="46"/>
      <c r="W655" s="46"/>
      <c r="X655" s="46"/>
      <c r="Y655" s="46"/>
      <c r="Z655" s="46"/>
      <c r="AA655" s="46"/>
      <c r="AB655" s="46"/>
    </row>
    <row r="656" hidden="1">
      <c r="A656" s="90" t="s">
        <v>873</v>
      </c>
      <c r="B656" s="91" t="str">
        <f>IFERROR(VLOOKUP(A656,'Salary Calculation'!A656:F1653,2,0),"")</f>
        <v/>
      </c>
      <c r="C656" s="91" t="str">
        <f>IFERROR(VLOOKUP(A656,'Salary Calculation'!$A$2:$T$999,3,0),"")</f>
        <v/>
      </c>
      <c r="D656" s="91" t="str">
        <f>IFERROR(VLOOKUP(A656,'Salary Calculation'!$A$2:$T$999,6,0),"")</f>
        <v/>
      </c>
      <c r="E656" s="91" t="str">
        <f>IFERROR(VLOOKUP(A656,'Salary Calculation'!$A$2:$T$999,8,0),"")</f>
        <v/>
      </c>
      <c r="F656" s="92" t="str">
        <f>IFERROR(VLOOKUP(C656,'Employees List'!$B$2:H999,6,0),"")</f>
        <v/>
      </c>
      <c r="G656" s="93" t="str">
        <f>IFERROR(VLOOKUP(A656,'Salary Calculation'!$A$2:$T$999,7,0),"")</f>
        <v/>
      </c>
      <c r="H656" s="94"/>
      <c r="I656" s="46"/>
      <c r="J656" s="46"/>
      <c r="K656" s="46"/>
      <c r="L656" s="46"/>
      <c r="M656" s="46"/>
      <c r="N656" s="46"/>
      <c r="O656" s="46"/>
      <c r="P656" s="46"/>
      <c r="Q656" s="46"/>
      <c r="R656" s="46"/>
      <c r="S656" s="46"/>
      <c r="T656" s="46"/>
      <c r="U656" s="46"/>
      <c r="V656" s="46"/>
      <c r="W656" s="46"/>
      <c r="X656" s="46"/>
      <c r="Y656" s="46"/>
      <c r="Z656" s="46"/>
      <c r="AA656" s="46"/>
      <c r="AB656" s="46"/>
    </row>
    <row r="657" hidden="1">
      <c r="A657" s="90" t="s">
        <v>874</v>
      </c>
      <c r="B657" s="91" t="str">
        <f>IFERROR(VLOOKUP(A657,'Salary Calculation'!A657:F1654,2,0),"")</f>
        <v/>
      </c>
      <c r="C657" s="91" t="str">
        <f>IFERROR(VLOOKUP(A657,'Salary Calculation'!$A$2:$T$999,3,0),"")</f>
        <v/>
      </c>
      <c r="D657" s="91" t="str">
        <f>IFERROR(VLOOKUP(A657,'Salary Calculation'!$A$2:$T$999,6,0),"")</f>
        <v/>
      </c>
      <c r="E657" s="91" t="str">
        <f>IFERROR(VLOOKUP(A657,'Salary Calculation'!$A$2:$T$999,8,0),"")</f>
        <v/>
      </c>
      <c r="F657" s="92" t="str">
        <f>IFERROR(VLOOKUP(C657,'Employees List'!$B$2:H999,6,0),"")</f>
        <v/>
      </c>
      <c r="G657" s="93" t="str">
        <f>IFERROR(VLOOKUP(A657,'Salary Calculation'!$A$2:$T$999,7,0),"")</f>
        <v/>
      </c>
      <c r="H657" s="94"/>
      <c r="I657" s="46"/>
      <c r="J657" s="46"/>
      <c r="K657" s="46"/>
      <c r="L657" s="46"/>
      <c r="M657" s="46"/>
      <c r="N657" s="46"/>
      <c r="O657" s="46"/>
      <c r="P657" s="46"/>
      <c r="Q657" s="46"/>
      <c r="R657" s="46"/>
      <c r="S657" s="46"/>
      <c r="T657" s="46"/>
      <c r="U657" s="46"/>
      <c r="V657" s="46"/>
      <c r="W657" s="46"/>
      <c r="X657" s="46"/>
      <c r="Y657" s="46"/>
      <c r="Z657" s="46"/>
      <c r="AA657" s="46"/>
      <c r="AB657" s="46"/>
    </row>
    <row r="658" hidden="1">
      <c r="A658" s="90" t="s">
        <v>875</v>
      </c>
      <c r="B658" s="91" t="str">
        <f>IFERROR(VLOOKUP(A658,'Salary Calculation'!A658:F1655,2,0),"")</f>
        <v/>
      </c>
      <c r="C658" s="91" t="str">
        <f>IFERROR(VLOOKUP(A658,'Salary Calculation'!$A$2:$T$999,3,0),"")</f>
        <v/>
      </c>
      <c r="D658" s="91" t="str">
        <f>IFERROR(VLOOKUP(A658,'Salary Calculation'!$A$2:$T$999,6,0),"")</f>
        <v/>
      </c>
      <c r="E658" s="91" t="str">
        <f>IFERROR(VLOOKUP(A658,'Salary Calculation'!$A$2:$T$999,8,0),"")</f>
        <v/>
      </c>
      <c r="F658" s="92" t="str">
        <f>IFERROR(VLOOKUP(C658,'Employees List'!$B$2:H999,6,0),"")</f>
        <v/>
      </c>
      <c r="G658" s="93" t="str">
        <f>IFERROR(VLOOKUP(A658,'Salary Calculation'!$A$2:$T$999,7,0),"")</f>
        <v/>
      </c>
      <c r="H658" s="94"/>
      <c r="I658" s="46"/>
      <c r="J658" s="46"/>
      <c r="K658" s="46"/>
      <c r="L658" s="46"/>
      <c r="M658" s="46"/>
      <c r="N658" s="46"/>
      <c r="O658" s="46"/>
      <c r="P658" s="46"/>
      <c r="Q658" s="46"/>
      <c r="R658" s="46"/>
      <c r="S658" s="46"/>
      <c r="T658" s="46"/>
      <c r="U658" s="46"/>
      <c r="V658" s="46"/>
      <c r="W658" s="46"/>
      <c r="X658" s="46"/>
      <c r="Y658" s="46"/>
      <c r="Z658" s="46"/>
      <c r="AA658" s="46"/>
      <c r="AB658" s="46"/>
    </row>
    <row r="659" hidden="1">
      <c r="A659" s="90" t="s">
        <v>876</v>
      </c>
      <c r="B659" s="91" t="str">
        <f>IFERROR(VLOOKUP(A659,'Salary Calculation'!A659:F1656,2,0),"")</f>
        <v/>
      </c>
      <c r="C659" s="91" t="str">
        <f>IFERROR(VLOOKUP(A659,'Salary Calculation'!$A$2:$T$999,3,0),"")</f>
        <v/>
      </c>
      <c r="D659" s="91" t="str">
        <f>IFERROR(VLOOKUP(A659,'Salary Calculation'!$A$2:$T$999,6,0),"")</f>
        <v/>
      </c>
      <c r="E659" s="91" t="str">
        <f>IFERROR(VLOOKUP(A659,'Salary Calculation'!$A$2:$T$999,8,0),"")</f>
        <v/>
      </c>
      <c r="F659" s="92" t="str">
        <f>IFERROR(VLOOKUP(C659,'Employees List'!$B$2:H999,6,0),"")</f>
        <v/>
      </c>
      <c r="G659" s="93" t="str">
        <f>IFERROR(VLOOKUP(A659,'Salary Calculation'!$A$2:$T$999,7,0),"")</f>
        <v/>
      </c>
      <c r="H659" s="94"/>
      <c r="I659" s="46"/>
      <c r="J659" s="46"/>
      <c r="K659" s="46"/>
      <c r="L659" s="46"/>
      <c r="M659" s="46"/>
      <c r="N659" s="46"/>
      <c r="O659" s="46"/>
      <c r="P659" s="46"/>
      <c r="Q659" s="46"/>
      <c r="R659" s="46"/>
      <c r="S659" s="46"/>
      <c r="T659" s="46"/>
      <c r="U659" s="46"/>
      <c r="V659" s="46"/>
      <c r="W659" s="46"/>
      <c r="X659" s="46"/>
      <c r="Y659" s="46"/>
      <c r="Z659" s="46"/>
      <c r="AA659" s="46"/>
      <c r="AB659" s="46"/>
    </row>
    <row r="660" hidden="1">
      <c r="A660" s="90" t="s">
        <v>877</v>
      </c>
      <c r="B660" s="91" t="str">
        <f>IFERROR(VLOOKUP(A660,'Salary Calculation'!A660:F1657,2,0),"")</f>
        <v/>
      </c>
      <c r="C660" s="91" t="str">
        <f>IFERROR(VLOOKUP(A660,'Salary Calculation'!$A$2:$T$999,3,0),"")</f>
        <v/>
      </c>
      <c r="D660" s="91" t="str">
        <f>IFERROR(VLOOKUP(A660,'Salary Calculation'!$A$2:$T$999,6,0),"")</f>
        <v/>
      </c>
      <c r="E660" s="91" t="str">
        <f>IFERROR(VLOOKUP(A660,'Salary Calculation'!$A$2:$T$999,8,0),"")</f>
        <v/>
      </c>
      <c r="F660" s="92" t="str">
        <f>IFERROR(VLOOKUP(C660,'Employees List'!$B$2:H999,6,0),"")</f>
        <v/>
      </c>
      <c r="G660" s="93" t="str">
        <f>IFERROR(VLOOKUP(A660,'Salary Calculation'!$A$2:$T$999,7,0),"")</f>
        <v/>
      </c>
      <c r="H660" s="94"/>
      <c r="I660" s="46"/>
      <c r="J660" s="46"/>
      <c r="K660" s="46"/>
      <c r="L660" s="46"/>
      <c r="M660" s="46"/>
      <c r="N660" s="46"/>
      <c r="O660" s="46"/>
      <c r="P660" s="46"/>
      <c r="Q660" s="46"/>
      <c r="R660" s="46"/>
      <c r="S660" s="46"/>
      <c r="T660" s="46"/>
      <c r="U660" s="46"/>
      <c r="V660" s="46"/>
      <c r="W660" s="46"/>
      <c r="X660" s="46"/>
      <c r="Y660" s="46"/>
      <c r="Z660" s="46"/>
      <c r="AA660" s="46"/>
      <c r="AB660" s="46"/>
    </row>
    <row r="661" hidden="1">
      <c r="A661" s="90" t="s">
        <v>878</v>
      </c>
      <c r="B661" s="91" t="str">
        <f>IFERROR(VLOOKUP(A661,'Salary Calculation'!A661:F1658,2,0),"")</f>
        <v/>
      </c>
      <c r="C661" s="91" t="str">
        <f>IFERROR(VLOOKUP(A661,'Salary Calculation'!$A$2:$T$999,3,0),"")</f>
        <v/>
      </c>
      <c r="D661" s="91" t="str">
        <f>IFERROR(VLOOKUP(A661,'Salary Calculation'!$A$2:$T$999,6,0),"")</f>
        <v/>
      </c>
      <c r="E661" s="91" t="str">
        <f>IFERROR(VLOOKUP(A661,'Salary Calculation'!$A$2:$T$999,8,0),"")</f>
        <v/>
      </c>
      <c r="F661" s="92" t="str">
        <f>IFERROR(VLOOKUP(C661,'Employees List'!$B$2:H999,6,0),"")</f>
        <v/>
      </c>
      <c r="G661" s="93" t="str">
        <f>IFERROR(VLOOKUP(A661,'Salary Calculation'!$A$2:$T$999,7,0),"")</f>
        <v/>
      </c>
      <c r="H661" s="94"/>
      <c r="I661" s="46"/>
      <c r="J661" s="46"/>
      <c r="K661" s="46"/>
      <c r="L661" s="46"/>
      <c r="M661" s="46"/>
      <c r="N661" s="46"/>
      <c r="O661" s="46"/>
      <c r="P661" s="46"/>
      <c r="Q661" s="46"/>
      <c r="R661" s="46"/>
      <c r="S661" s="46"/>
      <c r="T661" s="46"/>
      <c r="U661" s="46"/>
      <c r="V661" s="46"/>
      <c r="W661" s="46"/>
      <c r="X661" s="46"/>
      <c r="Y661" s="46"/>
      <c r="Z661" s="46"/>
      <c r="AA661" s="46"/>
      <c r="AB661" s="46"/>
    </row>
    <row r="662" hidden="1">
      <c r="A662" s="90" t="s">
        <v>879</v>
      </c>
      <c r="B662" s="91" t="str">
        <f>IFERROR(VLOOKUP(A662,'Salary Calculation'!A662:F1659,2,0),"")</f>
        <v/>
      </c>
      <c r="C662" s="91" t="str">
        <f>IFERROR(VLOOKUP(A662,'Salary Calculation'!$A$2:$T$999,3,0),"")</f>
        <v/>
      </c>
      <c r="D662" s="91" t="str">
        <f>IFERROR(VLOOKUP(A662,'Salary Calculation'!$A$2:$T$999,6,0),"")</f>
        <v/>
      </c>
      <c r="E662" s="91" t="str">
        <f>IFERROR(VLOOKUP(A662,'Salary Calculation'!$A$2:$T$999,8,0),"")</f>
        <v/>
      </c>
      <c r="F662" s="92" t="str">
        <f>IFERROR(VLOOKUP(C662,'Employees List'!$B$2:H999,6,0),"")</f>
        <v/>
      </c>
      <c r="G662" s="93" t="str">
        <f>IFERROR(VLOOKUP(A662,'Salary Calculation'!$A$2:$T$999,7,0),"")</f>
        <v/>
      </c>
      <c r="H662" s="94"/>
      <c r="I662" s="46"/>
      <c r="J662" s="46"/>
      <c r="K662" s="46"/>
      <c r="L662" s="46"/>
      <c r="M662" s="46"/>
      <c r="N662" s="46"/>
      <c r="O662" s="46"/>
      <c r="P662" s="46"/>
      <c r="Q662" s="46"/>
      <c r="R662" s="46"/>
      <c r="S662" s="46"/>
      <c r="T662" s="46"/>
      <c r="U662" s="46"/>
      <c r="V662" s="46"/>
      <c r="W662" s="46"/>
      <c r="X662" s="46"/>
      <c r="Y662" s="46"/>
      <c r="Z662" s="46"/>
      <c r="AA662" s="46"/>
      <c r="AB662" s="46"/>
    </row>
    <row r="663" hidden="1">
      <c r="A663" s="90" t="s">
        <v>880</v>
      </c>
      <c r="B663" s="91" t="str">
        <f>IFERROR(VLOOKUP(A663,'Salary Calculation'!A663:F1660,2,0),"")</f>
        <v/>
      </c>
      <c r="C663" s="91" t="str">
        <f>IFERROR(VLOOKUP(A663,'Salary Calculation'!$A$2:$T$999,3,0),"")</f>
        <v/>
      </c>
      <c r="D663" s="91" t="str">
        <f>IFERROR(VLOOKUP(A663,'Salary Calculation'!$A$2:$T$999,6,0),"")</f>
        <v/>
      </c>
      <c r="E663" s="91" t="str">
        <f>IFERROR(VLOOKUP(A663,'Salary Calculation'!$A$2:$T$999,8,0),"")</f>
        <v/>
      </c>
      <c r="F663" s="92" t="str">
        <f>IFERROR(VLOOKUP(C663,'Employees List'!$B$2:H999,6,0),"")</f>
        <v/>
      </c>
      <c r="G663" s="93" t="str">
        <f>IFERROR(VLOOKUP(A663,'Salary Calculation'!$A$2:$T$999,7,0),"")</f>
        <v/>
      </c>
      <c r="H663" s="94"/>
      <c r="I663" s="46"/>
      <c r="J663" s="46"/>
      <c r="K663" s="46"/>
      <c r="L663" s="46"/>
      <c r="M663" s="46"/>
      <c r="N663" s="46"/>
      <c r="O663" s="46"/>
      <c r="P663" s="46"/>
      <c r="Q663" s="46"/>
      <c r="R663" s="46"/>
      <c r="S663" s="46"/>
      <c r="T663" s="46"/>
      <c r="U663" s="46"/>
      <c r="V663" s="46"/>
      <c r="W663" s="46"/>
      <c r="X663" s="46"/>
      <c r="Y663" s="46"/>
      <c r="Z663" s="46"/>
      <c r="AA663" s="46"/>
      <c r="AB663" s="46"/>
    </row>
    <row r="664" hidden="1">
      <c r="A664" s="90" t="s">
        <v>881</v>
      </c>
      <c r="B664" s="91" t="str">
        <f>IFERROR(VLOOKUP(A664,'Salary Calculation'!A664:F1661,2,0),"")</f>
        <v/>
      </c>
      <c r="C664" s="91" t="str">
        <f>IFERROR(VLOOKUP(A664,'Salary Calculation'!$A$2:$T$999,3,0),"")</f>
        <v/>
      </c>
      <c r="D664" s="91" t="str">
        <f>IFERROR(VLOOKUP(A664,'Salary Calculation'!$A$2:$T$999,6,0),"")</f>
        <v/>
      </c>
      <c r="E664" s="91" t="str">
        <f>IFERROR(VLOOKUP(A664,'Salary Calculation'!$A$2:$T$999,8,0),"")</f>
        <v/>
      </c>
      <c r="F664" s="92" t="str">
        <f>IFERROR(VLOOKUP(C664,'Employees List'!$B$2:H999,6,0),"")</f>
        <v/>
      </c>
      <c r="G664" s="93" t="str">
        <f>IFERROR(VLOOKUP(A664,'Salary Calculation'!$A$2:$T$999,7,0),"")</f>
        <v/>
      </c>
      <c r="H664" s="94"/>
      <c r="I664" s="46"/>
      <c r="J664" s="46"/>
      <c r="K664" s="46"/>
      <c r="L664" s="46"/>
      <c r="M664" s="46"/>
      <c r="N664" s="46"/>
      <c r="O664" s="46"/>
      <c r="P664" s="46"/>
      <c r="Q664" s="46"/>
      <c r="R664" s="46"/>
      <c r="S664" s="46"/>
      <c r="T664" s="46"/>
      <c r="U664" s="46"/>
      <c r="V664" s="46"/>
      <c r="W664" s="46"/>
      <c r="X664" s="46"/>
      <c r="Y664" s="46"/>
      <c r="Z664" s="46"/>
      <c r="AA664" s="46"/>
      <c r="AB664" s="46"/>
    </row>
    <row r="665" hidden="1">
      <c r="A665" s="90" t="s">
        <v>882</v>
      </c>
      <c r="B665" s="91" t="str">
        <f>IFERROR(VLOOKUP(A665,'Salary Calculation'!A665:F1662,2,0),"")</f>
        <v/>
      </c>
      <c r="C665" s="91" t="str">
        <f>IFERROR(VLOOKUP(A665,'Salary Calculation'!$A$2:$T$999,3,0),"")</f>
        <v/>
      </c>
      <c r="D665" s="91" t="str">
        <f>IFERROR(VLOOKUP(A665,'Salary Calculation'!$A$2:$T$999,6,0),"")</f>
        <v/>
      </c>
      <c r="E665" s="91" t="str">
        <f>IFERROR(VLOOKUP(A665,'Salary Calculation'!$A$2:$T$999,8,0),"")</f>
        <v/>
      </c>
      <c r="F665" s="92" t="str">
        <f>IFERROR(VLOOKUP(C665,'Employees List'!$B$2:H999,6,0),"")</f>
        <v/>
      </c>
      <c r="G665" s="93" t="str">
        <f>IFERROR(VLOOKUP(A665,'Salary Calculation'!$A$2:$T$999,7,0),"")</f>
        <v/>
      </c>
      <c r="H665" s="94"/>
      <c r="I665" s="46"/>
      <c r="J665" s="46"/>
      <c r="K665" s="46"/>
      <c r="L665" s="46"/>
      <c r="M665" s="46"/>
      <c r="N665" s="46"/>
      <c r="O665" s="46"/>
      <c r="P665" s="46"/>
      <c r="Q665" s="46"/>
      <c r="R665" s="46"/>
      <c r="S665" s="46"/>
      <c r="T665" s="46"/>
      <c r="U665" s="46"/>
      <c r="V665" s="46"/>
      <c r="W665" s="46"/>
      <c r="X665" s="46"/>
      <c r="Y665" s="46"/>
      <c r="Z665" s="46"/>
      <c r="AA665" s="46"/>
      <c r="AB665" s="46"/>
    </row>
    <row r="666" hidden="1">
      <c r="A666" s="90" t="s">
        <v>883</v>
      </c>
      <c r="B666" s="91" t="str">
        <f>IFERROR(VLOOKUP(A666,'Salary Calculation'!A666:F1663,2,0),"")</f>
        <v/>
      </c>
      <c r="C666" s="91" t="str">
        <f>IFERROR(VLOOKUP(A666,'Salary Calculation'!$A$2:$T$999,3,0),"")</f>
        <v/>
      </c>
      <c r="D666" s="91" t="str">
        <f>IFERROR(VLOOKUP(A666,'Salary Calculation'!$A$2:$T$999,6,0),"")</f>
        <v/>
      </c>
      <c r="E666" s="91" t="str">
        <f>IFERROR(VLOOKUP(A666,'Salary Calculation'!$A$2:$T$999,8,0),"")</f>
        <v/>
      </c>
      <c r="F666" s="92" t="str">
        <f>IFERROR(VLOOKUP(C666,'Employees List'!$B$2:H999,6,0),"")</f>
        <v/>
      </c>
      <c r="G666" s="93" t="str">
        <f>IFERROR(VLOOKUP(A666,'Salary Calculation'!$A$2:$T$999,7,0),"")</f>
        <v/>
      </c>
      <c r="H666" s="94"/>
      <c r="I666" s="46"/>
      <c r="J666" s="46"/>
      <c r="K666" s="46"/>
      <c r="L666" s="46"/>
      <c r="M666" s="46"/>
      <c r="N666" s="46"/>
      <c r="O666" s="46"/>
      <c r="P666" s="46"/>
      <c r="Q666" s="46"/>
      <c r="R666" s="46"/>
      <c r="S666" s="46"/>
      <c r="T666" s="46"/>
      <c r="U666" s="46"/>
      <c r="V666" s="46"/>
      <c r="W666" s="46"/>
      <c r="X666" s="46"/>
      <c r="Y666" s="46"/>
      <c r="Z666" s="46"/>
      <c r="AA666" s="46"/>
      <c r="AB666" s="46"/>
    </row>
    <row r="667" hidden="1">
      <c r="A667" s="90" t="s">
        <v>884</v>
      </c>
      <c r="B667" s="91" t="str">
        <f>IFERROR(VLOOKUP(A667,'Salary Calculation'!A667:F1664,2,0),"")</f>
        <v/>
      </c>
      <c r="C667" s="91" t="str">
        <f>IFERROR(VLOOKUP(A667,'Salary Calculation'!$A$2:$T$999,3,0),"")</f>
        <v/>
      </c>
      <c r="D667" s="91" t="str">
        <f>IFERROR(VLOOKUP(A667,'Salary Calculation'!$A$2:$T$999,6,0),"")</f>
        <v/>
      </c>
      <c r="E667" s="91" t="str">
        <f>IFERROR(VLOOKUP(A667,'Salary Calculation'!$A$2:$T$999,8,0),"")</f>
        <v/>
      </c>
      <c r="F667" s="92" t="str">
        <f>IFERROR(VLOOKUP(C667,'Employees List'!$B$2:H999,6,0),"")</f>
        <v/>
      </c>
      <c r="G667" s="93" t="str">
        <f>IFERROR(VLOOKUP(A667,'Salary Calculation'!$A$2:$T$999,7,0),"")</f>
        <v/>
      </c>
      <c r="H667" s="94"/>
      <c r="I667" s="46"/>
      <c r="J667" s="46"/>
      <c r="K667" s="46"/>
      <c r="L667" s="46"/>
      <c r="M667" s="46"/>
      <c r="N667" s="46"/>
      <c r="O667" s="46"/>
      <c r="P667" s="46"/>
      <c r="Q667" s="46"/>
      <c r="R667" s="46"/>
      <c r="S667" s="46"/>
      <c r="T667" s="46"/>
      <c r="U667" s="46"/>
      <c r="V667" s="46"/>
      <c r="W667" s="46"/>
      <c r="X667" s="46"/>
      <c r="Y667" s="46"/>
      <c r="Z667" s="46"/>
      <c r="AA667" s="46"/>
      <c r="AB667" s="46"/>
    </row>
    <row r="668" hidden="1">
      <c r="A668" s="90" t="s">
        <v>885</v>
      </c>
      <c r="B668" s="91" t="str">
        <f>IFERROR(VLOOKUP(A668,'Salary Calculation'!A668:F1665,2,0),"")</f>
        <v/>
      </c>
      <c r="C668" s="91" t="str">
        <f>IFERROR(VLOOKUP(A668,'Salary Calculation'!$A$2:$T$999,3,0),"")</f>
        <v/>
      </c>
      <c r="D668" s="91" t="str">
        <f>IFERROR(VLOOKUP(A668,'Salary Calculation'!$A$2:$T$999,6,0),"")</f>
        <v/>
      </c>
      <c r="E668" s="91" t="str">
        <f>IFERROR(VLOOKUP(A668,'Salary Calculation'!$A$2:$T$999,8,0),"")</f>
        <v/>
      </c>
      <c r="F668" s="92" t="str">
        <f>IFERROR(VLOOKUP(C668,'Employees List'!$B$2:H999,6,0),"")</f>
        <v/>
      </c>
      <c r="G668" s="93" t="str">
        <f>IFERROR(VLOOKUP(A668,'Salary Calculation'!$A$2:$T$999,7,0),"")</f>
        <v/>
      </c>
      <c r="H668" s="94"/>
      <c r="I668" s="46"/>
      <c r="J668" s="46"/>
      <c r="K668" s="46"/>
      <c r="L668" s="46"/>
      <c r="M668" s="46"/>
      <c r="N668" s="46"/>
      <c r="O668" s="46"/>
      <c r="P668" s="46"/>
      <c r="Q668" s="46"/>
      <c r="R668" s="46"/>
      <c r="S668" s="46"/>
      <c r="T668" s="46"/>
      <c r="U668" s="46"/>
      <c r="V668" s="46"/>
      <c r="W668" s="46"/>
      <c r="X668" s="46"/>
      <c r="Y668" s="46"/>
      <c r="Z668" s="46"/>
      <c r="AA668" s="46"/>
      <c r="AB668" s="46"/>
    </row>
    <row r="669" hidden="1">
      <c r="A669" s="90" t="s">
        <v>886</v>
      </c>
      <c r="B669" s="91" t="str">
        <f>IFERROR(VLOOKUP(A669,'Salary Calculation'!A669:F1666,2,0),"")</f>
        <v/>
      </c>
      <c r="C669" s="91" t="str">
        <f>IFERROR(VLOOKUP(A669,'Salary Calculation'!$A$2:$T$999,3,0),"")</f>
        <v/>
      </c>
      <c r="D669" s="91" t="str">
        <f>IFERROR(VLOOKUP(A669,'Salary Calculation'!$A$2:$T$999,6,0),"")</f>
        <v/>
      </c>
      <c r="E669" s="91" t="str">
        <f>IFERROR(VLOOKUP(A669,'Salary Calculation'!$A$2:$T$999,8,0),"")</f>
        <v/>
      </c>
      <c r="F669" s="92" t="str">
        <f>IFERROR(VLOOKUP(C669,'Employees List'!$B$2:H999,6,0),"")</f>
        <v/>
      </c>
      <c r="G669" s="93" t="str">
        <f>IFERROR(VLOOKUP(A669,'Salary Calculation'!$A$2:$T$999,7,0),"")</f>
        <v/>
      </c>
      <c r="H669" s="94"/>
      <c r="I669" s="46"/>
      <c r="J669" s="46"/>
      <c r="K669" s="46"/>
      <c r="L669" s="46"/>
      <c r="M669" s="46"/>
      <c r="N669" s="46"/>
      <c r="O669" s="46"/>
      <c r="P669" s="46"/>
      <c r="Q669" s="46"/>
      <c r="R669" s="46"/>
      <c r="S669" s="46"/>
      <c r="T669" s="46"/>
      <c r="U669" s="46"/>
      <c r="V669" s="46"/>
      <c r="W669" s="46"/>
      <c r="X669" s="46"/>
      <c r="Y669" s="46"/>
      <c r="Z669" s="46"/>
      <c r="AA669" s="46"/>
      <c r="AB669" s="46"/>
    </row>
    <row r="670" hidden="1">
      <c r="A670" s="90" t="s">
        <v>887</v>
      </c>
      <c r="B670" s="91" t="str">
        <f>IFERROR(VLOOKUP(A670,'Salary Calculation'!A670:F1667,2,0),"")</f>
        <v/>
      </c>
      <c r="C670" s="91" t="str">
        <f>IFERROR(VLOOKUP(A670,'Salary Calculation'!$A$2:$T$999,3,0),"")</f>
        <v/>
      </c>
      <c r="D670" s="91" t="str">
        <f>IFERROR(VLOOKUP(A670,'Salary Calculation'!$A$2:$T$999,6,0),"")</f>
        <v/>
      </c>
      <c r="E670" s="91" t="str">
        <f>IFERROR(VLOOKUP(A670,'Salary Calculation'!$A$2:$T$999,8,0),"")</f>
        <v/>
      </c>
      <c r="F670" s="92" t="str">
        <f>IFERROR(VLOOKUP(C670,'Employees List'!$B$2:H999,6,0),"")</f>
        <v/>
      </c>
      <c r="G670" s="93" t="str">
        <f>IFERROR(VLOOKUP(A670,'Salary Calculation'!$A$2:$T$999,7,0),"")</f>
        <v/>
      </c>
      <c r="H670" s="94"/>
      <c r="I670" s="46"/>
      <c r="J670" s="46"/>
      <c r="K670" s="46"/>
      <c r="L670" s="46"/>
      <c r="M670" s="46"/>
      <c r="N670" s="46"/>
      <c r="O670" s="46"/>
      <c r="P670" s="46"/>
      <c r="Q670" s="46"/>
      <c r="R670" s="46"/>
      <c r="S670" s="46"/>
      <c r="T670" s="46"/>
      <c r="U670" s="46"/>
      <c r="V670" s="46"/>
      <c r="W670" s="46"/>
      <c r="X670" s="46"/>
      <c r="Y670" s="46"/>
      <c r="Z670" s="46"/>
      <c r="AA670" s="46"/>
      <c r="AB670" s="46"/>
    </row>
    <row r="671" hidden="1">
      <c r="A671" s="90" t="s">
        <v>888</v>
      </c>
      <c r="B671" s="91" t="str">
        <f>IFERROR(VLOOKUP(A671,'Salary Calculation'!A671:F1668,2,0),"")</f>
        <v/>
      </c>
      <c r="C671" s="91" t="str">
        <f>IFERROR(VLOOKUP(A671,'Salary Calculation'!$A$2:$T$999,3,0),"")</f>
        <v/>
      </c>
      <c r="D671" s="91" t="str">
        <f>IFERROR(VLOOKUP(A671,'Salary Calculation'!$A$2:$T$999,6,0),"")</f>
        <v/>
      </c>
      <c r="E671" s="91" t="str">
        <f>IFERROR(VLOOKUP(A671,'Salary Calculation'!$A$2:$T$999,8,0),"")</f>
        <v/>
      </c>
      <c r="F671" s="92" t="str">
        <f>IFERROR(VLOOKUP(C671,'Employees List'!$B$2:H999,6,0),"")</f>
        <v/>
      </c>
      <c r="G671" s="93" t="str">
        <f>IFERROR(VLOOKUP(A671,'Salary Calculation'!$A$2:$T$999,7,0),"")</f>
        <v/>
      </c>
      <c r="H671" s="94"/>
      <c r="I671" s="46"/>
      <c r="J671" s="46"/>
      <c r="K671" s="46"/>
      <c r="L671" s="46"/>
      <c r="M671" s="46"/>
      <c r="N671" s="46"/>
      <c r="O671" s="46"/>
      <c r="P671" s="46"/>
      <c r="Q671" s="46"/>
      <c r="R671" s="46"/>
      <c r="S671" s="46"/>
      <c r="T671" s="46"/>
      <c r="U671" s="46"/>
      <c r="V671" s="46"/>
      <c r="W671" s="46"/>
      <c r="X671" s="46"/>
      <c r="Y671" s="46"/>
      <c r="Z671" s="46"/>
      <c r="AA671" s="46"/>
      <c r="AB671" s="46"/>
    </row>
    <row r="672" hidden="1">
      <c r="A672" s="90" t="s">
        <v>889</v>
      </c>
      <c r="B672" s="91" t="str">
        <f>IFERROR(VLOOKUP(A672,'Salary Calculation'!A672:F1669,2,0),"")</f>
        <v/>
      </c>
      <c r="C672" s="91" t="str">
        <f>IFERROR(VLOOKUP(A672,'Salary Calculation'!$A$2:$T$999,3,0),"")</f>
        <v/>
      </c>
      <c r="D672" s="91" t="str">
        <f>IFERROR(VLOOKUP(A672,'Salary Calculation'!$A$2:$T$999,6,0),"")</f>
        <v/>
      </c>
      <c r="E672" s="91" t="str">
        <f>IFERROR(VLOOKUP(A672,'Salary Calculation'!$A$2:$T$999,8,0),"")</f>
        <v/>
      </c>
      <c r="F672" s="92" t="str">
        <f>IFERROR(VLOOKUP(C672,'Employees List'!$B$2:H999,6,0),"")</f>
        <v/>
      </c>
      <c r="G672" s="93" t="str">
        <f>IFERROR(VLOOKUP(A672,'Salary Calculation'!$A$2:$T$999,7,0),"")</f>
        <v/>
      </c>
      <c r="H672" s="94"/>
      <c r="I672" s="46"/>
      <c r="J672" s="46"/>
      <c r="K672" s="46"/>
      <c r="L672" s="46"/>
      <c r="M672" s="46"/>
      <c r="N672" s="46"/>
      <c r="O672" s="46"/>
      <c r="P672" s="46"/>
      <c r="Q672" s="46"/>
      <c r="R672" s="46"/>
      <c r="S672" s="46"/>
      <c r="T672" s="46"/>
      <c r="U672" s="46"/>
      <c r="V672" s="46"/>
      <c r="W672" s="46"/>
      <c r="X672" s="46"/>
      <c r="Y672" s="46"/>
      <c r="Z672" s="46"/>
      <c r="AA672" s="46"/>
      <c r="AB672" s="46"/>
    </row>
    <row r="673" hidden="1">
      <c r="A673" s="90" t="s">
        <v>890</v>
      </c>
      <c r="B673" s="91" t="str">
        <f>IFERROR(VLOOKUP(A673,'Salary Calculation'!A673:F1670,2,0),"")</f>
        <v/>
      </c>
      <c r="C673" s="91" t="str">
        <f>IFERROR(VLOOKUP(A673,'Salary Calculation'!$A$2:$T$999,3,0),"")</f>
        <v/>
      </c>
      <c r="D673" s="91" t="str">
        <f>IFERROR(VLOOKUP(A673,'Salary Calculation'!$A$2:$T$999,6,0),"")</f>
        <v/>
      </c>
      <c r="E673" s="91" t="str">
        <f>IFERROR(VLOOKUP(A673,'Salary Calculation'!$A$2:$T$999,8,0),"")</f>
        <v/>
      </c>
      <c r="F673" s="92" t="str">
        <f>IFERROR(VLOOKUP(C673,'Employees List'!$B$2:H999,6,0),"")</f>
        <v/>
      </c>
      <c r="G673" s="93" t="str">
        <f>IFERROR(VLOOKUP(A673,'Salary Calculation'!$A$2:$T$999,7,0),"")</f>
        <v/>
      </c>
      <c r="H673" s="94"/>
      <c r="I673" s="46"/>
      <c r="J673" s="46"/>
      <c r="K673" s="46"/>
      <c r="L673" s="46"/>
      <c r="M673" s="46"/>
      <c r="N673" s="46"/>
      <c r="O673" s="46"/>
      <c r="P673" s="46"/>
      <c r="Q673" s="46"/>
      <c r="R673" s="46"/>
      <c r="S673" s="46"/>
      <c r="T673" s="46"/>
      <c r="U673" s="46"/>
      <c r="V673" s="46"/>
      <c r="W673" s="46"/>
      <c r="X673" s="46"/>
      <c r="Y673" s="46"/>
      <c r="Z673" s="46"/>
      <c r="AA673" s="46"/>
      <c r="AB673" s="46"/>
    </row>
    <row r="674" hidden="1">
      <c r="A674" s="90" t="s">
        <v>891</v>
      </c>
      <c r="B674" s="91" t="str">
        <f>IFERROR(VLOOKUP(A674,'Salary Calculation'!A674:F1671,2,0),"")</f>
        <v/>
      </c>
      <c r="C674" s="91" t="str">
        <f>IFERROR(VLOOKUP(A674,'Salary Calculation'!$A$2:$T$999,3,0),"")</f>
        <v/>
      </c>
      <c r="D674" s="91" t="str">
        <f>IFERROR(VLOOKUP(A674,'Salary Calculation'!$A$2:$T$999,6,0),"")</f>
        <v/>
      </c>
      <c r="E674" s="91" t="str">
        <f>IFERROR(VLOOKUP(A674,'Salary Calculation'!$A$2:$T$999,8,0),"")</f>
        <v/>
      </c>
      <c r="F674" s="92" t="str">
        <f>IFERROR(VLOOKUP(C674,'Employees List'!$B$2:H999,6,0),"")</f>
        <v/>
      </c>
      <c r="G674" s="93" t="str">
        <f>IFERROR(VLOOKUP(A674,'Salary Calculation'!$A$2:$T$999,7,0),"")</f>
        <v/>
      </c>
      <c r="H674" s="94"/>
      <c r="I674" s="46"/>
      <c r="J674" s="46"/>
      <c r="K674" s="46"/>
      <c r="L674" s="46"/>
      <c r="M674" s="46"/>
      <c r="N674" s="46"/>
      <c r="O674" s="46"/>
      <c r="P674" s="46"/>
      <c r="Q674" s="46"/>
      <c r="R674" s="46"/>
      <c r="S674" s="46"/>
      <c r="T674" s="46"/>
      <c r="U674" s="46"/>
      <c r="V674" s="46"/>
      <c r="W674" s="46"/>
      <c r="X674" s="46"/>
      <c r="Y674" s="46"/>
      <c r="Z674" s="46"/>
      <c r="AA674" s="46"/>
      <c r="AB674" s="46"/>
    </row>
    <row r="675" hidden="1">
      <c r="A675" s="90" t="s">
        <v>892</v>
      </c>
      <c r="B675" s="91" t="str">
        <f>IFERROR(VLOOKUP(A675,'Salary Calculation'!A675:F1672,2,0),"")</f>
        <v/>
      </c>
      <c r="C675" s="91" t="str">
        <f>IFERROR(VLOOKUP(A675,'Salary Calculation'!$A$2:$T$999,3,0),"")</f>
        <v/>
      </c>
      <c r="D675" s="91" t="str">
        <f>IFERROR(VLOOKUP(A675,'Salary Calculation'!$A$2:$T$999,6,0),"")</f>
        <v/>
      </c>
      <c r="E675" s="91" t="str">
        <f>IFERROR(VLOOKUP(A675,'Salary Calculation'!$A$2:$T$999,8,0),"")</f>
        <v/>
      </c>
      <c r="F675" s="92" t="str">
        <f>IFERROR(VLOOKUP(C675,'Employees List'!$B$2:H999,6,0),"")</f>
        <v/>
      </c>
      <c r="G675" s="93" t="str">
        <f>IFERROR(VLOOKUP(A675,'Salary Calculation'!$A$2:$T$999,7,0),"")</f>
        <v/>
      </c>
      <c r="H675" s="94"/>
      <c r="I675" s="46"/>
      <c r="J675" s="46"/>
      <c r="K675" s="46"/>
      <c r="L675" s="46"/>
      <c r="M675" s="46"/>
      <c r="N675" s="46"/>
      <c r="O675" s="46"/>
      <c r="P675" s="46"/>
      <c r="Q675" s="46"/>
      <c r="R675" s="46"/>
      <c r="S675" s="46"/>
      <c r="T675" s="46"/>
      <c r="U675" s="46"/>
      <c r="V675" s="46"/>
      <c r="W675" s="46"/>
      <c r="X675" s="46"/>
      <c r="Y675" s="46"/>
      <c r="Z675" s="46"/>
      <c r="AA675" s="46"/>
      <c r="AB675" s="46"/>
    </row>
    <row r="676" hidden="1">
      <c r="A676" s="90" t="s">
        <v>893</v>
      </c>
      <c r="B676" s="91" t="str">
        <f>IFERROR(VLOOKUP(A676,'Salary Calculation'!A676:F1673,2,0),"")</f>
        <v/>
      </c>
      <c r="C676" s="91" t="str">
        <f>IFERROR(VLOOKUP(A676,'Salary Calculation'!$A$2:$T$999,3,0),"")</f>
        <v/>
      </c>
      <c r="D676" s="91" t="str">
        <f>IFERROR(VLOOKUP(A676,'Salary Calculation'!$A$2:$T$999,6,0),"")</f>
        <v/>
      </c>
      <c r="E676" s="91" t="str">
        <f>IFERROR(VLOOKUP(A676,'Salary Calculation'!$A$2:$T$999,8,0),"")</f>
        <v/>
      </c>
      <c r="F676" s="92" t="str">
        <f>IFERROR(VLOOKUP(C676,'Employees List'!$B$2:H999,6,0),"")</f>
        <v/>
      </c>
      <c r="G676" s="93" t="str">
        <f>IFERROR(VLOOKUP(A676,'Salary Calculation'!$A$2:$T$999,7,0),"")</f>
        <v/>
      </c>
      <c r="H676" s="94"/>
      <c r="I676" s="46"/>
      <c r="J676" s="46"/>
      <c r="K676" s="46"/>
      <c r="L676" s="46"/>
      <c r="M676" s="46"/>
      <c r="N676" s="46"/>
      <c r="O676" s="46"/>
      <c r="P676" s="46"/>
      <c r="Q676" s="46"/>
      <c r="R676" s="46"/>
      <c r="S676" s="46"/>
      <c r="T676" s="46"/>
      <c r="U676" s="46"/>
      <c r="V676" s="46"/>
      <c r="W676" s="46"/>
      <c r="X676" s="46"/>
      <c r="Y676" s="46"/>
      <c r="Z676" s="46"/>
      <c r="AA676" s="46"/>
      <c r="AB676" s="46"/>
    </row>
    <row r="677" hidden="1">
      <c r="A677" s="90" t="s">
        <v>894</v>
      </c>
      <c r="B677" s="91" t="str">
        <f>IFERROR(VLOOKUP(A677,'Salary Calculation'!A677:F1674,2,0),"")</f>
        <v/>
      </c>
      <c r="C677" s="91" t="str">
        <f>IFERROR(VLOOKUP(A677,'Salary Calculation'!$A$2:$T$999,3,0),"")</f>
        <v/>
      </c>
      <c r="D677" s="91" t="str">
        <f>IFERROR(VLOOKUP(A677,'Salary Calculation'!$A$2:$T$999,6,0),"")</f>
        <v/>
      </c>
      <c r="E677" s="91" t="str">
        <f>IFERROR(VLOOKUP(A677,'Salary Calculation'!$A$2:$T$999,8,0),"")</f>
        <v/>
      </c>
      <c r="F677" s="92" t="str">
        <f>IFERROR(VLOOKUP(C677,'Employees List'!$B$2:H999,6,0),"")</f>
        <v/>
      </c>
      <c r="G677" s="93" t="str">
        <f>IFERROR(VLOOKUP(A677,'Salary Calculation'!$A$2:$T$999,7,0),"")</f>
        <v/>
      </c>
      <c r="H677" s="94"/>
      <c r="I677" s="46"/>
      <c r="J677" s="46"/>
      <c r="K677" s="46"/>
      <c r="L677" s="46"/>
      <c r="M677" s="46"/>
      <c r="N677" s="46"/>
      <c r="O677" s="46"/>
      <c r="P677" s="46"/>
      <c r="Q677" s="46"/>
      <c r="R677" s="46"/>
      <c r="S677" s="46"/>
      <c r="T677" s="46"/>
      <c r="U677" s="46"/>
      <c r="V677" s="46"/>
      <c r="W677" s="46"/>
      <c r="X677" s="46"/>
      <c r="Y677" s="46"/>
      <c r="Z677" s="46"/>
      <c r="AA677" s="46"/>
      <c r="AB677" s="46"/>
    </row>
    <row r="678" hidden="1">
      <c r="A678" s="90" t="s">
        <v>895</v>
      </c>
      <c r="B678" s="91" t="str">
        <f>IFERROR(VLOOKUP(A678,'Salary Calculation'!A678:F1675,2,0),"")</f>
        <v/>
      </c>
      <c r="C678" s="91" t="str">
        <f>IFERROR(VLOOKUP(A678,'Salary Calculation'!$A$2:$T$999,3,0),"")</f>
        <v/>
      </c>
      <c r="D678" s="91" t="str">
        <f>IFERROR(VLOOKUP(A678,'Salary Calculation'!$A$2:$T$999,6,0),"")</f>
        <v/>
      </c>
      <c r="E678" s="91" t="str">
        <f>IFERROR(VLOOKUP(A678,'Salary Calculation'!$A$2:$T$999,8,0),"")</f>
        <v/>
      </c>
      <c r="F678" s="92" t="str">
        <f>IFERROR(VLOOKUP(C678,'Employees List'!$B$2:H999,6,0),"")</f>
        <v/>
      </c>
      <c r="G678" s="93" t="str">
        <f>IFERROR(VLOOKUP(A678,'Salary Calculation'!$A$2:$T$999,7,0),"")</f>
        <v/>
      </c>
      <c r="H678" s="94"/>
      <c r="I678" s="46"/>
      <c r="J678" s="46"/>
      <c r="K678" s="46"/>
      <c r="L678" s="46"/>
      <c r="M678" s="46"/>
      <c r="N678" s="46"/>
      <c r="O678" s="46"/>
      <c r="P678" s="46"/>
      <c r="Q678" s="46"/>
      <c r="R678" s="46"/>
      <c r="S678" s="46"/>
      <c r="T678" s="46"/>
      <c r="U678" s="46"/>
      <c r="V678" s="46"/>
      <c r="W678" s="46"/>
      <c r="X678" s="46"/>
      <c r="Y678" s="46"/>
      <c r="Z678" s="46"/>
      <c r="AA678" s="46"/>
      <c r="AB678" s="46"/>
    </row>
    <row r="679" hidden="1">
      <c r="A679" s="90" t="s">
        <v>896</v>
      </c>
      <c r="B679" s="91" t="str">
        <f>IFERROR(VLOOKUP(A679,'Salary Calculation'!A679:F1676,2,0),"")</f>
        <v/>
      </c>
      <c r="C679" s="91" t="str">
        <f>IFERROR(VLOOKUP(A679,'Salary Calculation'!$A$2:$T$999,3,0),"")</f>
        <v/>
      </c>
      <c r="D679" s="91" t="str">
        <f>IFERROR(VLOOKUP(A679,'Salary Calculation'!$A$2:$T$999,6,0),"")</f>
        <v/>
      </c>
      <c r="E679" s="91" t="str">
        <f>IFERROR(VLOOKUP(A679,'Salary Calculation'!$A$2:$T$999,8,0),"")</f>
        <v/>
      </c>
      <c r="F679" s="92" t="str">
        <f>IFERROR(VLOOKUP(C679,'Employees List'!$B$2:H999,6,0),"")</f>
        <v/>
      </c>
      <c r="G679" s="93" t="str">
        <f>IFERROR(VLOOKUP(A679,'Salary Calculation'!$A$2:$T$999,7,0),"")</f>
        <v/>
      </c>
      <c r="H679" s="94"/>
      <c r="I679" s="46"/>
      <c r="J679" s="46"/>
      <c r="K679" s="46"/>
      <c r="L679" s="46"/>
      <c r="M679" s="46"/>
      <c r="N679" s="46"/>
      <c r="O679" s="46"/>
      <c r="P679" s="46"/>
      <c r="Q679" s="46"/>
      <c r="R679" s="46"/>
      <c r="S679" s="46"/>
      <c r="T679" s="46"/>
      <c r="U679" s="46"/>
      <c r="V679" s="46"/>
      <c r="W679" s="46"/>
      <c r="X679" s="46"/>
      <c r="Y679" s="46"/>
      <c r="Z679" s="46"/>
      <c r="AA679" s="46"/>
      <c r="AB679" s="46"/>
    </row>
    <row r="680" hidden="1">
      <c r="A680" s="90" t="s">
        <v>897</v>
      </c>
      <c r="B680" s="91" t="str">
        <f>IFERROR(VLOOKUP(A680,'Salary Calculation'!A680:F1677,2,0),"")</f>
        <v/>
      </c>
      <c r="C680" s="91" t="str">
        <f>IFERROR(VLOOKUP(A680,'Salary Calculation'!$A$2:$T$999,3,0),"")</f>
        <v/>
      </c>
      <c r="D680" s="91" t="str">
        <f>IFERROR(VLOOKUP(A680,'Salary Calculation'!$A$2:$T$999,6,0),"")</f>
        <v/>
      </c>
      <c r="E680" s="91" t="str">
        <f>IFERROR(VLOOKUP(A680,'Salary Calculation'!$A$2:$T$999,8,0),"")</f>
        <v/>
      </c>
      <c r="F680" s="92" t="str">
        <f>IFERROR(VLOOKUP(C680,'Employees List'!$B$2:H999,6,0),"")</f>
        <v/>
      </c>
      <c r="G680" s="93" t="str">
        <f>IFERROR(VLOOKUP(A680,'Salary Calculation'!$A$2:$T$999,7,0),"")</f>
        <v/>
      </c>
      <c r="H680" s="94"/>
      <c r="I680" s="46"/>
      <c r="J680" s="46"/>
      <c r="K680" s="46"/>
      <c r="L680" s="46"/>
      <c r="M680" s="46"/>
      <c r="N680" s="46"/>
      <c r="O680" s="46"/>
      <c r="P680" s="46"/>
      <c r="Q680" s="46"/>
      <c r="R680" s="46"/>
      <c r="S680" s="46"/>
      <c r="T680" s="46"/>
      <c r="U680" s="46"/>
      <c r="V680" s="46"/>
      <c r="W680" s="46"/>
      <c r="X680" s="46"/>
      <c r="Y680" s="46"/>
      <c r="Z680" s="46"/>
      <c r="AA680" s="46"/>
      <c r="AB680" s="46"/>
    </row>
    <row r="681" hidden="1">
      <c r="A681" s="90" t="s">
        <v>898</v>
      </c>
      <c r="B681" s="91" t="str">
        <f>IFERROR(VLOOKUP(A681,'Salary Calculation'!A681:F1678,2,0),"")</f>
        <v/>
      </c>
      <c r="C681" s="91" t="str">
        <f>IFERROR(VLOOKUP(A681,'Salary Calculation'!$A$2:$T$999,3,0),"")</f>
        <v/>
      </c>
      <c r="D681" s="91" t="str">
        <f>IFERROR(VLOOKUP(A681,'Salary Calculation'!$A$2:$T$999,6,0),"")</f>
        <v/>
      </c>
      <c r="E681" s="91" t="str">
        <f>IFERROR(VLOOKUP(A681,'Salary Calculation'!$A$2:$T$999,8,0),"")</f>
        <v/>
      </c>
      <c r="F681" s="92" t="str">
        <f>IFERROR(VLOOKUP(C681,'Employees List'!$B$2:H999,6,0),"")</f>
        <v/>
      </c>
      <c r="G681" s="93" t="str">
        <f>IFERROR(VLOOKUP(A681,'Salary Calculation'!$A$2:$T$999,7,0),"")</f>
        <v/>
      </c>
      <c r="H681" s="94"/>
      <c r="I681" s="46"/>
      <c r="J681" s="46"/>
      <c r="K681" s="46"/>
      <c r="L681" s="46"/>
      <c r="M681" s="46"/>
      <c r="N681" s="46"/>
      <c r="O681" s="46"/>
      <c r="P681" s="46"/>
      <c r="Q681" s="46"/>
      <c r="R681" s="46"/>
      <c r="S681" s="46"/>
      <c r="T681" s="46"/>
      <c r="U681" s="46"/>
      <c r="V681" s="46"/>
      <c r="W681" s="46"/>
      <c r="X681" s="46"/>
      <c r="Y681" s="46"/>
      <c r="Z681" s="46"/>
      <c r="AA681" s="46"/>
      <c r="AB681" s="46"/>
    </row>
    <row r="682" hidden="1">
      <c r="A682" s="90" t="s">
        <v>899</v>
      </c>
      <c r="B682" s="91" t="str">
        <f>IFERROR(VLOOKUP(A682,'Salary Calculation'!A682:F1679,2,0),"")</f>
        <v/>
      </c>
      <c r="C682" s="91" t="str">
        <f>IFERROR(VLOOKUP(A682,'Salary Calculation'!$A$2:$T$999,3,0),"")</f>
        <v/>
      </c>
      <c r="D682" s="91" t="str">
        <f>IFERROR(VLOOKUP(A682,'Salary Calculation'!$A$2:$T$999,6,0),"")</f>
        <v/>
      </c>
      <c r="E682" s="91" t="str">
        <f>IFERROR(VLOOKUP(A682,'Salary Calculation'!$A$2:$T$999,8,0),"")</f>
        <v/>
      </c>
      <c r="F682" s="92" t="str">
        <f>IFERROR(VLOOKUP(C682,'Employees List'!$B$2:H999,6,0),"")</f>
        <v/>
      </c>
      <c r="G682" s="93" t="str">
        <f>IFERROR(VLOOKUP(A682,'Salary Calculation'!$A$2:$T$999,7,0),"")</f>
        <v/>
      </c>
      <c r="H682" s="94"/>
      <c r="I682" s="46"/>
      <c r="J682" s="46"/>
      <c r="K682" s="46"/>
      <c r="L682" s="46"/>
      <c r="M682" s="46"/>
      <c r="N682" s="46"/>
      <c r="O682" s="46"/>
      <c r="P682" s="46"/>
      <c r="Q682" s="46"/>
      <c r="R682" s="46"/>
      <c r="S682" s="46"/>
      <c r="T682" s="46"/>
      <c r="U682" s="46"/>
      <c r="V682" s="46"/>
      <c r="W682" s="46"/>
      <c r="X682" s="46"/>
      <c r="Y682" s="46"/>
      <c r="Z682" s="46"/>
      <c r="AA682" s="46"/>
      <c r="AB682" s="46"/>
    </row>
    <row r="683" hidden="1">
      <c r="A683" s="90" t="s">
        <v>900</v>
      </c>
      <c r="B683" s="91" t="str">
        <f>IFERROR(VLOOKUP(A683,'Salary Calculation'!A683:F1680,2,0),"")</f>
        <v/>
      </c>
      <c r="C683" s="91" t="str">
        <f>IFERROR(VLOOKUP(A683,'Salary Calculation'!$A$2:$T$999,3,0),"")</f>
        <v/>
      </c>
      <c r="D683" s="91" t="str">
        <f>IFERROR(VLOOKUP(A683,'Salary Calculation'!$A$2:$T$999,6,0),"")</f>
        <v/>
      </c>
      <c r="E683" s="91" t="str">
        <f>IFERROR(VLOOKUP(A683,'Salary Calculation'!$A$2:$T$999,8,0),"")</f>
        <v/>
      </c>
      <c r="F683" s="92" t="str">
        <f>IFERROR(VLOOKUP(C683,'Employees List'!$B$2:H999,6,0),"")</f>
        <v/>
      </c>
      <c r="G683" s="93" t="str">
        <f>IFERROR(VLOOKUP(A683,'Salary Calculation'!$A$2:$T$999,7,0),"")</f>
        <v/>
      </c>
      <c r="H683" s="94"/>
      <c r="I683" s="46"/>
      <c r="J683" s="46"/>
      <c r="K683" s="46"/>
      <c r="L683" s="46"/>
      <c r="M683" s="46"/>
      <c r="N683" s="46"/>
      <c r="O683" s="46"/>
      <c r="P683" s="46"/>
      <c r="Q683" s="46"/>
      <c r="R683" s="46"/>
      <c r="S683" s="46"/>
      <c r="T683" s="46"/>
      <c r="U683" s="46"/>
      <c r="V683" s="46"/>
      <c r="W683" s="46"/>
      <c r="X683" s="46"/>
      <c r="Y683" s="46"/>
      <c r="Z683" s="46"/>
      <c r="AA683" s="46"/>
      <c r="AB683" s="46"/>
    </row>
    <row r="684" hidden="1">
      <c r="A684" s="90" t="s">
        <v>901</v>
      </c>
      <c r="B684" s="91" t="str">
        <f>IFERROR(VLOOKUP(A684,'Salary Calculation'!A684:F1681,2,0),"")</f>
        <v/>
      </c>
      <c r="C684" s="91" t="str">
        <f>IFERROR(VLOOKUP(A684,'Salary Calculation'!$A$2:$T$999,3,0),"")</f>
        <v/>
      </c>
      <c r="D684" s="91" t="str">
        <f>IFERROR(VLOOKUP(A684,'Salary Calculation'!$A$2:$T$999,6,0),"")</f>
        <v/>
      </c>
      <c r="E684" s="91" t="str">
        <f>IFERROR(VLOOKUP(A684,'Salary Calculation'!$A$2:$T$999,8,0),"")</f>
        <v/>
      </c>
      <c r="F684" s="92" t="str">
        <f>IFERROR(VLOOKUP(C684,'Employees List'!$B$2:H999,6,0),"")</f>
        <v/>
      </c>
      <c r="G684" s="93" t="str">
        <f>IFERROR(VLOOKUP(A684,'Salary Calculation'!$A$2:$T$999,7,0),"")</f>
        <v/>
      </c>
      <c r="H684" s="94"/>
      <c r="I684" s="46"/>
      <c r="J684" s="46"/>
      <c r="K684" s="46"/>
      <c r="L684" s="46"/>
      <c r="M684" s="46"/>
      <c r="N684" s="46"/>
      <c r="O684" s="46"/>
      <c r="P684" s="46"/>
      <c r="Q684" s="46"/>
      <c r="R684" s="46"/>
      <c r="S684" s="46"/>
      <c r="T684" s="46"/>
      <c r="U684" s="46"/>
      <c r="V684" s="46"/>
      <c r="W684" s="46"/>
      <c r="X684" s="46"/>
      <c r="Y684" s="46"/>
      <c r="Z684" s="46"/>
      <c r="AA684" s="46"/>
      <c r="AB684" s="46"/>
    </row>
    <row r="685" hidden="1">
      <c r="A685" s="90" t="s">
        <v>902</v>
      </c>
      <c r="B685" s="91" t="str">
        <f>IFERROR(VLOOKUP(A685,'Salary Calculation'!A685:F1682,2,0),"")</f>
        <v/>
      </c>
      <c r="C685" s="91" t="str">
        <f>IFERROR(VLOOKUP(A685,'Salary Calculation'!$A$2:$T$999,3,0),"")</f>
        <v/>
      </c>
      <c r="D685" s="91" t="str">
        <f>IFERROR(VLOOKUP(A685,'Salary Calculation'!$A$2:$T$999,6,0),"")</f>
        <v/>
      </c>
      <c r="E685" s="91" t="str">
        <f>IFERROR(VLOOKUP(A685,'Salary Calculation'!$A$2:$T$999,8,0),"")</f>
        <v/>
      </c>
      <c r="F685" s="92" t="str">
        <f>IFERROR(VLOOKUP(C685,'Employees List'!$B$2:H999,6,0),"")</f>
        <v/>
      </c>
      <c r="G685" s="93" t="str">
        <f>IFERROR(VLOOKUP(A685,'Salary Calculation'!$A$2:$T$999,7,0),"")</f>
        <v/>
      </c>
      <c r="H685" s="94"/>
      <c r="I685" s="46"/>
      <c r="J685" s="46"/>
      <c r="K685" s="46"/>
      <c r="L685" s="46"/>
      <c r="M685" s="46"/>
      <c r="N685" s="46"/>
      <c r="O685" s="46"/>
      <c r="P685" s="46"/>
      <c r="Q685" s="46"/>
      <c r="R685" s="46"/>
      <c r="S685" s="46"/>
      <c r="T685" s="46"/>
      <c r="U685" s="46"/>
      <c r="V685" s="46"/>
      <c r="W685" s="46"/>
      <c r="X685" s="46"/>
      <c r="Y685" s="46"/>
      <c r="Z685" s="46"/>
      <c r="AA685" s="46"/>
      <c r="AB685" s="46"/>
    </row>
    <row r="686" hidden="1">
      <c r="A686" s="90" t="s">
        <v>903</v>
      </c>
      <c r="B686" s="91" t="str">
        <f>IFERROR(VLOOKUP(A686,'Salary Calculation'!A686:F1683,2,0),"")</f>
        <v/>
      </c>
      <c r="C686" s="91" t="str">
        <f>IFERROR(VLOOKUP(A686,'Salary Calculation'!$A$2:$T$999,3,0),"")</f>
        <v/>
      </c>
      <c r="D686" s="91" t="str">
        <f>IFERROR(VLOOKUP(A686,'Salary Calculation'!$A$2:$T$999,6,0),"")</f>
        <v/>
      </c>
      <c r="E686" s="91" t="str">
        <f>IFERROR(VLOOKUP(A686,'Salary Calculation'!$A$2:$T$999,8,0),"")</f>
        <v/>
      </c>
      <c r="F686" s="92" t="str">
        <f>IFERROR(VLOOKUP(C686,'Employees List'!$B$2:H999,6,0),"")</f>
        <v/>
      </c>
      <c r="G686" s="93" t="str">
        <f>IFERROR(VLOOKUP(A686,'Salary Calculation'!$A$2:$T$999,7,0),"")</f>
        <v/>
      </c>
      <c r="H686" s="94"/>
      <c r="I686" s="46"/>
      <c r="J686" s="46"/>
      <c r="K686" s="46"/>
      <c r="L686" s="46"/>
      <c r="M686" s="46"/>
      <c r="N686" s="46"/>
      <c r="O686" s="46"/>
      <c r="P686" s="46"/>
      <c r="Q686" s="46"/>
      <c r="R686" s="46"/>
      <c r="S686" s="46"/>
      <c r="T686" s="46"/>
      <c r="U686" s="46"/>
      <c r="V686" s="46"/>
      <c r="W686" s="46"/>
      <c r="X686" s="46"/>
      <c r="Y686" s="46"/>
      <c r="Z686" s="46"/>
      <c r="AA686" s="46"/>
      <c r="AB686" s="46"/>
    </row>
    <row r="687" hidden="1">
      <c r="A687" s="90" t="s">
        <v>904</v>
      </c>
      <c r="B687" s="91" t="str">
        <f>IFERROR(VLOOKUP(A687,'Salary Calculation'!A687:F1684,2,0),"")</f>
        <v/>
      </c>
      <c r="C687" s="91" t="str">
        <f>IFERROR(VLOOKUP(A687,'Salary Calculation'!$A$2:$T$999,3,0),"")</f>
        <v/>
      </c>
      <c r="D687" s="91" t="str">
        <f>IFERROR(VLOOKUP(A687,'Salary Calculation'!$A$2:$T$999,6,0),"")</f>
        <v/>
      </c>
      <c r="E687" s="91" t="str">
        <f>IFERROR(VLOOKUP(A687,'Salary Calculation'!$A$2:$T$999,8,0),"")</f>
        <v/>
      </c>
      <c r="F687" s="92" t="str">
        <f>IFERROR(VLOOKUP(C687,'Employees List'!$B$2:H999,6,0),"")</f>
        <v/>
      </c>
      <c r="G687" s="93" t="str">
        <f>IFERROR(VLOOKUP(A687,'Salary Calculation'!$A$2:$T$999,7,0),"")</f>
        <v/>
      </c>
      <c r="H687" s="94"/>
      <c r="I687" s="46"/>
      <c r="J687" s="46"/>
      <c r="K687" s="46"/>
      <c r="L687" s="46"/>
      <c r="M687" s="46"/>
      <c r="N687" s="46"/>
      <c r="O687" s="46"/>
      <c r="P687" s="46"/>
      <c r="Q687" s="46"/>
      <c r="R687" s="46"/>
      <c r="S687" s="46"/>
      <c r="T687" s="46"/>
      <c r="U687" s="46"/>
      <c r="V687" s="46"/>
      <c r="W687" s="46"/>
      <c r="X687" s="46"/>
      <c r="Y687" s="46"/>
      <c r="Z687" s="46"/>
      <c r="AA687" s="46"/>
      <c r="AB687" s="46"/>
    </row>
    <row r="688" hidden="1">
      <c r="A688" s="90" t="s">
        <v>905</v>
      </c>
      <c r="B688" s="91" t="str">
        <f>IFERROR(VLOOKUP(A688,'Salary Calculation'!A688:F1685,2,0),"")</f>
        <v/>
      </c>
      <c r="C688" s="91" t="str">
        <f>IFERROR(VLOOKUP(A688,'Salary Calculation'!$A$2:$T$999,3,0),"")</f>
        <v/>
      </c>
      <c r="D688" s="91" t="str">
        <f>IFERROR(VLOOKUP(A688,'Salary Calculation'!$A$2:$T$999,6,0),"")</f>
        <v/>
      </c>
      <c r="E688" s="91" t="str">
        <f>IFERROR(VLOOKUP(A688,'Salary Calculation'!$A$2:$T$999,8,0),"")</f>
        <v/>
      </c>
      <c r="F688" s="92" t="str">
        <f>IFERROR(VLOOKUP(C688,'Employees List'!$B$2:H999,6,0),"")</f>
        <v/>
      </c>
      <c r="G688" s="93" t="str">
        <f>IFERROR(VLOOKUP(A688,'Salary Calculation'!$A$2:$T$999,7,0),"")</f>
        <v/>
      </c>
      <c r="H688" s="94"/>
      <c r="I688" s="46"/>
      <c r="J688" s="46"/>
      <c r="K688" s="46"/>
      <c r="L688" s="46"/>
      <c r="M688" s="46"/>
      <c r="N688" s="46"/>
      <c r="O688" s="46"/>
      <c r="P688" s="46"/>
      <c r="Q688" s="46"/>
      <c r="R688" s="46"/>
      <c r="S688" s="46"/>
      <c r="T688" s="46"/>
      <c r="U688" s="46"/>
      <c r="V688" s="46"/>
      <c r="W688" s="46"/>
      <c r="X688" s="46"/>
      <c r="Y688" s="46"/>
      <c r="Z688" s="46"/>
      <c r="AA688" s="46"/>
      <c r="AB688" s="46"/>
    </row>
    <row r="689" hidden="1">
      <c r="A689" s="90" t="s">
        <v>906</v>
      </c>
      <c r="B689" s="91" t="str">
        <f>IFERROR(VLOOKUP(A689,'Salary Calculation'!A689:F1686,2,0),"")</f>
        <v/>
      </c>
      <c r="C689" s="91" t="str">
        <f>IFERROR(VLOOKUP(A689,'Salary Calculation'!$A$2:$T$999,3,0),"")</f>
        <v/>
      </c>
      <c r="D689" s="91" t="str">
        <f>IFERROR(VLOOKUP(A689,'Salary Calculation'!$A$2:$T$999,6,0),"")</f>
        <v/>
      </c>
      <c r="E689" s="91" t="str">
        <f>IFERROR(VLOOKUP(A689,'Salary Calculation'!$A$2:$T$999,8,0),"")</f>
        <v/>
      </c>
      <c r="F689" s="92" t="str">
        <f>IFERROR(VLOOKUP(C689,'Employees List'!$B$2:H999,6,0),"")</f>
        <v/>
      </c>
      <c r="G689" s="93" t="str">
        <f>IFERROR(VLOOKUP(A689,'Salary Calculation'!$A$2:$T$999,7,0),"")</f>
        <v/>
      </c>
      <c r="H689" s="94"/>
      <c r="I689" s="46"/>
      <c r="J689" s="46"/>
      <c r="K689" s="46"/>
      <c r="L689" s="46"/>
      <c r="M689" s="46"/>
      <c r="N689" s="46"/>
      <c r="O689" s="46"/>
      <c r="P689" s="46"/>
      <c r="Q689" s="46"/>
      <c r="R689" s="46"/>
      <c r="S689" s="46"/>
      <c r="T689" s="46"/>
      <c r="U689" s="46"/>
      <c r="V689" s="46"/>
      <c r="W689" s="46"/>
      <c r="X689" s="46"/>
      <c r="Y689" s="46"/>
      <c r="Z689" s="46"/>
      <c r="AA689" s="46"/>
      <c r="AB689" s="46"/>
    </row>
    <row r="690" hidden="1">
      <c r="A690" s="90" t="s">
        <v>907</v>
      </c>
      <c r="B690" s="91" t="str">
        <f>IFERROR(VLOOKUP(A690,'Salary Calculation'!A690:F1687,2,0),"")</f>
        <v/>
      </c>
      <c r="C690" s="91" t="str">
        <f>IFERROR(VLOOKUP(A690,'Salary Calculation'!$A$2:$T$999,3,0),"")</f>
        <v/>
      </c>
      <c r="D690" s="91" t="str">
        <f>IFERROR(VLOOKUP(A690,'Salary Calculation'!$A$2:$T$999,6,0),"")</f>
        <v/>
      </c>
      <c r="E690" s="91" t="str">
        <f>IFERROR(VLOOKUP(A690,'Salary Calculation'!$A$2:$T$999,8,0),"")</f>
        <v/>
      </c>
      <c r="F690" s="92" t="str">
        <f>IFERROR(VLOOKUP(C690,'Employees List'!$B$2:H999,6,0),"")</f>
        <v/>
      </c>
      <c r="G690" s="93" t="str">
        <f>IFERROR(VLOOKUP(A690,'Salary Calculation'!$A$2:$T$999,7,0),"")</f>
        <v/>
      </c>
      <c r="H690" s="94"/>
      <c r="I690" s="46"/>
      <c r="J690" s="46"/>
      <c r="K690" s="46"/>
      <c r="L690" s="46"/>
      <c r="M690" s="46"/>
      <c r="N690" s="46"/>
      <c r="O690" s="46"/>
      <c r="P690" s="46"/>
      <c r="Q690" s="46"/>
      <c r="R690" s="46"/>
      <c r="S690" s="46"/>
      <c r="T690" s="46"/>
      <c r="U690" s="46"/>
      <c r="V690" s="46"/>
      <c r="W690" s="46"/>
      <c r="X690" s="46"/>
      <c r="Y690" s="46"/>
      <c r="Z690" s="46"/>
      <c r="AA690" s="46"/>
      <c r="AB690" s="46"/>
    </row>
    <row r="691" hidden="1">
      <c r="A691" s="90" t="s">
        <v>908</v>
      </c>
      <c r="B691" s="91" t="str">
        <f>IFERROR(VLOOKUP(A691,'Salary Calculation'!A691:F1688,2,0),"")</f>
        <v/>
      </c>
      <c r="C691" s="91" t="str">
        <f>IFERROR(VLOOKUP(A691,'Salary Calculation'!$A$2:$T$999,3,0),"")</f>
        <v/>
      </c>
      <c r="D691" s="91" t="str">
        <f>IFERROR(VLOOKUP(A691,'Salary Calculation'!$A$2:$T$999,6,0),"")</f>
        <v/>
      </c>
      <c r="E691" s="91" t="str">
        <f>IFERROR(VLOOKUP(A691,'Salary Calculation'!$A$2:$T$999,8,0),"")</f>
        <v/>
      </c>
      <c r="F691" s="92" t="str">
        <f>IFERROR(VLOOKUP(C691,'Employees List'!$B$2:H999,6,0),"")</f>
        <v/>
      </c>
      <c r="G691" s="93" t="str">
        <f>IFERROR(VLOOKUP(A691,'Salary Calculation'!$A$2:$T$999,7,0),"")</f>
        <v/>
      </c>
      <c r="H691" s="94"/>
      <c r="I691" s="46"/>
      <c r="J691" s="46"/>
      <c r="K691" s="46"/>
      <c r="L691" s="46"/>
      <c r="M691" s="46"/>
      <c r="N691" s="46"/>
      <c r="O691" s="46"/>
      <c r="P691" s="46"/>
      <c r="Q691" s="46"/>
      <c r="R691" s="46"/>
      <c r="S691" s="46"/>
      <c r="T691" s="46"/>
      <c r="U691" s="46"/>
      <c r="V691" s="46"/>
      <c r="W691" s="46"/>
      <c r="X691" s="46"/>
      <c r="Y691" s="46"/>
      <c r="Z691" s="46"/>
      <c r="AA691" s="46"/>
      <c r="AB691" s="46"/>
    </row>
    <row r="692" hidden="1">
      <c r="A692" s="90" t="s">
        <v>909</v>
      </c>
      <c r="B692" s="91" t="str">
        <f>IFERROR(VLOOKUP(A692,'Salary Calculation'!A692:F1689,2,0),"")</f>
        <v/>
      </c>
      <c r="C692" s="91" t="str">
        <f>IFERROR(VLOOKUP(A692,'Salary Calculation'!$A$2:$T$999,3,0),"")</f>
        <v/>
      </c>
      <c r="D692" s="91" t="str">
        <f>IFERROR(VLOOKUP(A692,'Salary Calculation'!$A$2:$T$999,6,0),"")</f>
        <v/>
      </c>
      <c r="E692" s="91" t="str">
        <f>IFERROR(VLOOKUP(A692,'Salary Calculation'!$A$2:$T$999,8,0),"")</f>
        <v/>
      </c>
      <c r="F692" s="92" t="str">
        <f>IFERROR(VLOOKUP(C692,'Employees List'!$B$2:H999,6,0),"")</f>
        <v/>
      </c>
      <c r="G692" s="93" t="str">
        <f>IFERROR(VLOOKUP(A692,'Salary Calculation'!$A$2:$T$999,7,0),"")</f>
        <v/>
      </c>
      <c r="H692" s="94"/>
      <c r="I692" s="46"/>
      <c r="J692" s="46"/>
      <c r="K692" s="46"/>
      <c r="L692" s="46"/>
      <c r="M692" s="46"/>
      <c r="N692" s="46"/>
      <c r="O692" s="46"/>
      <c r="P692" s="46"/>
      <c r="Q692" s="46"/>
      <c r="R692" s="46"/>
      <c r="S692" s="46"/>
      <c r="T692" s="46"/>
      <c r="U692" s="46"/>
      <c r="V692" s="46"/>
      <c r="W692" s="46"/>
      <c r="X692" s="46"/>
      <c r="Y692" s="46"/>
      <c r="Z692" s="46"/>
      <c r="AA692" s="46"/>
      <c r="AB692" s="46"/>
    </row>
    <row r="693" hidden="1">
      <c r="A693" s="90" t="s">
        <v>910</v>
      </c>
      <c r="B693" s="91" t="str">
        <f>IFERROR(VLOOKUP(A693,'Salary Calculation'!A693:F1690,2,0),"")</f>
        <v/>
      </c>
      <c r="C693" s="91" t="str">
        <f>IFERROR(VLOOKUP(A693,'Salary Calculation'!$A$2:$T$999,3,0),"")</f>
        <v/>
      </c>
      <c r="D693" s="91" t="str">
        <f>IFERROR(VLOOKUP(A693,'Salary Calculation'!$A$2:$T$999,6,0),"")</f>
        <v/>
      </c>
      <c r="E693" s="91" t="str">
        <f>IFERROR(VLOOKUP(A693,'Salary Calculation'!$A$2:$T$999,8,0),"")</f>
        <v/>
      </c>
      <c r="F693" s="92" t="str">
        <f>IFERROR(VLOOKUP(C693,'Employees List'!$B$2:H999,6,0),"")</f>
        <v/>
      </c>
      <c r="G693" s="93" t="str">
        <f>IFERROR(VLOOKUP(A693,'Salary Calculation'!$A$2:$T$999,7,0),"")</f>
        <v/>
      </c>
      <c r="H693" s="94"/>
      <c r="I693" s="46"/>
      <c r="J693" s="46"/>
      <c r="K693" s="46"/>
      <c r="L693" s="46"/>
      <c r="M693" s="46"/>
      <c r="N693" s="46"/>
      <c r="O693" s="46"/>
      <c r="P693" s="46"/>
      <c r="Q693" s="46"/>
      <c r="R693" s="46"/>
      <c r="S693" s="46"/>
      <c r="T693" s="46"/>
      <c r="U693" s="46"/>
      <c r="V693" s="46"/>
      <c r="W693" s="46"/>
      <c r="X693" s="46"/>
      <c r="Y693" s="46"/>
      <c r="Z693" s="46"/>
      <c r="AA693" s="46"/>
      <c r="AB693" s="46"/>
    </row>
    <row r="694" hidden="1">
      <c r="A694" s="90" t="s">
        <v>911</v>
      </c>
      <c r="B694" s="91" t="str">
        <f>IFERROR(VLOOKUP(A694,'Salary Calculation'!A694:F1691,2,0),"")</f>
        <v/>
      </c>
      <c r="C694" s="91" t="str">
        <f>IFERROR(VLOOKUP(A694,'Salary Calculation'!$A$2:$T$999,3,0),"")</f>
        <v/>
      </c>
      <c r="D694" s="91" t="str">
        <f>IFERROR(VLOOKUP(A694,'Salary Calculation'!$A$2:$T$999,6,0),"")</f>
        <v/>
      </c>
      <c r="E694" s="91" t="str">
        <f>IFERROR(VLOOKUP(A694,'Salary Calculation'!$A$2:$T$999,8,0),"")</f>
        <v/>
      </c>
      <c r="F694" s="92" t="str">
        <f>IFERROR(VLOOKUP(C694,'Employees List'!$B$2:H999,6,0),"")</f>
        <v/>
      </c>
      <c r="G694" s="93" t="str">
        <f>IFERROR(VLOOKUP(A694,'Salary Calculation'!$A$2:$T$999,7,0),"")</f>
        <v/>
      </c>
      <c r="H694" s="94"/>
      <c r="I694" s="46"/>
      <c r="J694" s="46"/>
      <c r="K694" s="46"/>
      <c r="L694" s="46"/>
      <c r="M694" s="46"/>
      <c r="N694" s="46"/>
      <c r="O694" s="46"/>
      <c r="P694" s="46"/>
      <c r="Q694" s="46"/>
      <c r="R694" s="46"/>
      <c r="S694" s="46"/>
      <c r="T694" s="46"/>
      <c r="U694" s="46"/>
      <c r="V694" s="46"/>
      <c r="W694" s="46"/>
      <c r="X694" s="46"/>
      <c r="Y694" s="46"/>
      <c r="Z694" s="46"/>
      <c r="AA694" s="46"/>
      <c r="AB694" s="46"/>
    </row>
    <row r="695" hidden="1">
      <c r="A695" s="90" t="s">
        <v>912</v>
      </c>
      <c r="B695" s="91" t="str">
        <f>IFERROR(VLOOKUP(A695,'Salary Calculation'!A695:F1692,2,0),"")</f>
        <v/>
      </c>
      <c r="C695" s="91" t="str">
        <f>IFERROR(VLOOKUP(A695,'Salary Calculation'!$A$2:$T$999,3,0),"")</f>
        <v/>
      </c>
      <c r="D695" s="91" t="str">
        <f>IFERROR(VLOOKUP(A695,'Salary Calculation'!$A$2:$T$999,6,0),"")</f>
        <v/>
      </c>
      <c r="E695" s="91" t="str">
        <f>IFERROR(VLOOKUP(A695,'Salary Calculation'!$A$2:$T$999,8,0),"")</f>
        <v/>
      </c>
      <c r="F695" s="92" t="str">
        <f>IFERROR(VLOOKUP(C695,'Employees List'!$B$2:H999,6,0),"")</f>
        <v/>
      </c>
      <c r="G695" s="93" t="str">
        <f>IFERROR(VLOOKUP(A695,'Salary Calculation'!$A$2:$T$999,7,0),"")</f>
        <v/>
      </c>
      <c r="H695" s="94"/>
      <c r="I695" s="46"/>
      <c r="J695" s="46"/>
      <c r="K695" s="46"/>
      <c r="L695" s="46"/>
      <c r="M695" s="46"/>
      <c r="N695" s="46"/>
      <c r="O695" s="46"/>
      <c r="P695" s="46"/>
      <c r="Q695" s="46"/>
      <c r="R695" s="46"/>
      <c r="S695" s="46"/>
      <c r="T695" s="46"/>
      <c r="U695" s="46"/>
      <c r="V695" s="46"/>
      <c r="W695" s="46"/>
      <c r="X695" s="46"/>
      <c r="Y695" s="46"/>
      <c r="Z695" s="46"/>
      <c r="AA695" s="46"/>
      <c r="AB695" s="46"/>
    </row>
    <row r="696" hidden="1">
      <c r="A696" s="90" t="s">
        <v>913</v>
      </c>
      <c r="B696" s="91" t="str">
        <f>IFERROR(VLOOKUP(A696,'Salary Calculation'!A696:F1693,2,0),"")</f>
        <v/>
      </c>
      <c r="C696" s="91" t="str">
        <f>IFERROR(VLOOKUP(A696,'Salary Calculation'!$A$2:$T$999,3,0),"")</f>
        <v/>
      </c>
      <c r="D696" s="91" t="str">
        <f>IFERROR(VLOOKUP(A696,'Salary Calculation'!$A$2:$T$999,6,0),"")</f>
        <v/>
      </c>
      <c r="E696" s="91" t="str">
        <f>IFERROR(VLOOKUP(A696,'Salary Calculation'!$A$2:$T$999,8,0),"")</f>
        <v/>
      </c>
      <c r="F696" s="92" t="str">
        <f>IFERROR(VLOOKUP(C696,'Employees List'!$B$2:H999,6,0),"")</f>
        <v/>
      </c>
      <c r="G696" s="93" t="str">
        <f>IFERROR(VLOOKUP(A696,'Salary Calculation'!$A$2:$T$999,7,0),"")</f>
        <v/>
      </c>
      <c r="H696" s="94"/>
      <c r="I696" s="46"/>
      <c r="J696" s="46"/>
      <c r="K696" s="46"/>
      <c r="L696" s="46"/>
      <c r="M696" s="46"/>
      <c r="N696" s="46"/>
      <c r="O696" s="46"/>
      <c r="P696" s="46"/>
      <c r="Q696" s="46"/>
      <c r="R696" s="46"/>
      <c r="S696" s="46"/>
      <c r="T696" s="46"/>
      <c r="U696" s="46"/>
      <c r="V696" s="46"/>
      <c r="W696" s="46"/>
      <c r="X696" s="46"/>
      <c r="Y696" s="46"/>
      <c r="Z696" s="46"/>
      <c r="AA696" s="46"/>
      <c r="AB696" s="46"/>
    </row>
    <row r="697" hidden="1">
      <c r="A697" s="90" t="s">
        <v>914</v>
      </c>
      <c r="B697" s="91" t="str">
        <f>IFERROR(VLOOKUP(A697,'Salary Calculation'!A697:F1694,2,0),"")</f>
        <v/>
      </c>
      <c r="C697" s="91" t="str">
        <f>IFERROR(VLOOKUP(A697,'Salary Calculation'!$A$2:$T$999,3,0),"")</f>
        <v/>
      </c>
      <c r="D697" s="91" t="str">
        <f>IFERROR(VLOOKUP(A697,'Salary Calculation'!$A$2:$T$999,6,0),"")</f>
        <v/>
      </c>
      <c r="E697" s="91" t="str">
        <f>IFERROR(VLOOKUP(A697,'Salary Calculation'!$A$2:$T$999,8,0),"")</f>
        <v/>
      </c>
      <c r="F697" s="92" t="str">
        <f>IFERROR(VLOOKUP(C697,'Employees List'!$B$2:H999,6,0),"")</f>
        <v/>
      </c>
      <c r="G697" s="93" t="str">
        <f>IFERROR(VLOOKUP(A697,'Salary Calculation'!$A$2:$T$999,7,0),"")</f>
        <v/>
      </c>
      <c r="H697" s="94"/>
      <c r="I697" s="46"/>
      <c r="J697" s="46"/>
      <c r="K697" s="46"/>
      <c r="L697" s="46"/>
      <c r="M697" s="46"/>
      <c r="N697" s="46"/>
      <c r="O697" s="46"/>
      <c r="P697" s="46"/>
      <c r="Q697" s="46"/>
      <c r="R697" s="46"/>
      <c r="S697" s="46"/>
      <c r="T697" s="46"/>
      <c r="U697" s="46"/>
      <c r="V697" s="46"/>
      <c r="W697" s="46"/>
      <c r="X697" s="46"/>
      <c r="Y697" s="46"/>
      <c r="Z697" s="46"/>
      <c r="AA697" s="46"/>
      <c r="AB697" s="46"/>
    </row>
    <row r="698" hidden="1">
      <c r="A698" s="90" t="s">
        <v>915</v>
      </c>
      <c r="B698" s="91" t="str">
        <f>IFERROR(VLOOKUP(A698,'Salary Calculation'!A698:F1695,2,0),"")</f>
        <v/>
      </c>
      <c r="C698" s="91" t="str">
        <f>IFERROR(VLOOKUP(A698,'Salary Calculation'!$A$2:$T$999,3,0),"")</f>
        <v/>
      </c>
      <c r="D698" s="91" t="str">
        <f>IFERROR(VLOOKUP(A698,'Salary Calculation'!$A$2:$T$999,6,0),"")</f>
        <v/>
      </c>
      <c r="E698" s="91" t="str">
        <f>IFERROR(VLOOKUP(A698,'Salary Calculation'!$A$2:$T$999,8,0),"")</f>
        <v/>
      </c>
      <c r="F698" s="92" t="str">
        <f>IFERROR(VLOOKUP(C698,'Employees List'!$B$2:H999,6,0),"")</f>
        <v/>
      </c>
      <c r="G698" s="93" t="str">
        <f>IFERROR(VLOOKUP(A698,'Salary Calculation'!$A$2:$T$999,7,0),"")</f>
        <v/>
      </c>
      <c r="H698" s="94"/>
      <c r="I698" s="46"/>
      <c r="J698" s="46"/>
      <c r="K698" s="46"/>
      <c r="L698" s="46"/>
      <c r="M698" s="46"/>
      <c r="N698" s="46"/>
      <c r="O698" s="46"/>
      <c r="P698" s="46"/>
      <c r="Q698" s="46"/>
      <c r="R698" s="46"/>
      <c r="S698" s="46"/>
      <c r="T698" s="46"/>
      <c r="U698" s="46"/>
      <c r="V698" s="46"/>
      <c r="W698" s="46"/>
      <c r="X698" s="46"/>
      <c r="Y698" s="46"/>
      <c r="Z698" s="46"/>
      <c r="AA698" s="46"/>
      <c r="AB698" s="46"/>
    </row>
    <row r="699" hidden="1">
      <c r="A699" s="90" t="s">
        <v>916</v>
      </c>
      <c r="B699" s="91" t="str">
        <f>IFERROR(VLOOKUP(A699,'Salary Calculation'!A699:F1696,2,0),"")</f>
        <v/>
      </c>
      <c r="C699" s="91" t="str">
        <f>IFERROR(VLOOKUP(A699,'Salary Calculation'!$A$2:$T$999,3,0),"")</f>
        <v/>
      </c>
      <c r="D699" s="91" t="str">
        <f>IFERROR(VLOOKUP(A699,'Salary Calculation'!$A$2:$T$999,6,0),"")</f>
        <v/>
      </c>
      <c r="E699" s="91" t="str">
        <f>IFERROR(VLOOKUP(A699,'Salary Calculation'!$A$2:$T$999,8,0),"")</f>
        <v/>
      </c>
      <c r="F699" s="92" t="str">
        <f>IFERROR(VLOOKUP(C699,'Employees List'!$B$2:H999,6,0),"")</f>
        <v/>
      </c>
      <c r="G699" s="93" t="str">
        <f>IFERROR(VLOOKUP(A699,'Salary Calculation'!$A$2:$T$999,7,0),"")</f>
        <v/>
      </c>
      <c r="H699" s="94"/>
      <c r="I699" s="46"/>
      <c r="J699" s="46"/>
      <c r="K699" s="46"/>
      <c r="L699" s="46"/>
      <c r="M699" s="46"/>
      <c r="N699" s="46"/>
      <c r="O699" s="46"/>
      <c r="P699" s="46"/>
      <c r="Q699" s="46"/>
      <c r="R699" s="46"/>
      <c r="S699" s="46"/>
      <c r="T699" s="46"/>
      <c r="U699" s="46"/>
      <c r="V699" s="46"/>
      <c r="W699" s="46"/>
      <c r="X699" s="46"/>
      <c r="Y699" s="46"/>
      <c r="Z699" s="46"/>
      <c r="AA699" s="46"/>
      <c r="AB699" s="46"/>
    </row>
    <row r="700" hidden="1">
      <c r="A700" s="90" t="s">
        <v>917</v>
      </c>
      <c r="B700" s="91" t="str">
        <f>IFERROR(VLOOKUP(A700,'Salary Calculation'!A700:F1697,2,0),"")</f>
        <v/>
      </c>
      <c r="C700" s="91" t="str">
        <f>IFERROR(VLOOKUP(A700,'Salary Calculation'!$A$2:$T$999,3,0),"")</f>
        <v/>
      </c>
      <c r="D700" s="91" t="str">
        <f>IFERROR(VLOOKUP(A700,'Salary Calculation'!$A$2:$T$999,6,0),"")</f>
        <v/>
      </c>
      <c r="E700" s="91" t="str">
        <f>IFERROR(VLOOKUP(A700,'Salary Calculation'!$A$2:$T$999,8,0),"")</f>
        <v/>
      </c>
      <c r="F700" s="92" t="str">
        <f>IFERROR(VLOOKUP(C700,'Employees List'!$B$2:H999,6,0),"")</f>
        <v/>
      </c>
      <c r="G700" s="93" t="str">
        <f>IFERROR(VLOOKUP(A700,'Salary Calculation'!$A$2:$T$999,7,0),"")</f>
        <v/>
      </c>
      <c r="H700" s="94"/>
      <c r="I700" s="46"/>
      <c r="J700" s="46"/>
      <c r="K700" s="46"/>
      <c r="L700" s="46"/>
      <c r="M700" s="46"/>
      <c r="N700" s="46"/>
      <c r="O700" s="46"/>
      <c r="P700" s="46"/>
      <c r="Q700" s="46"/>
      <c r="R700" s="46"/>
      <c r="S700" s="46"/>
      <c r="T700" s="46"/>
      <c r="U700" s="46"/>
      <c r="V700" s="46"/>
      <c r="W700" s="46"/>
      <c r="X700" s="46"/>
      <c r="Y700" s="46"/>
      <c r="Z700" s="46"/>
      <c r="AA700" s="46"/>
      <c r="AB700" s="46"/>
    </row>
    <row r="701" hidden="1">
      <c r="A701" s="90" t="s">
        <v>918</v>
      </c>
      <c r="B701" s="91" t="str">
        <f>IFERROR(VLOOKUP(A701,'Salary Calculation'!A701:F1698,2,0),"")</f>
        <v/>
      </c>
      <c r="C701" s="91" t="str">
        <f>IFERROR(VLOOKUP(A701,'Salary Calculation'!$A$2:$T$999,3,0),"")</f>
        <v/>
      </c>
      <c r="D701" s="91" t="str">
        <f>IFERROR(VLOOKUP(A701,'Salary Calculation'!$A$2:$T$999,6,0),"")</f>
        <v/>
      </c>
      <c r="E701" s="91" t="str">
        <f>IFERROR(VLOOKUP(A701,'Salary Calculation'!$A$2:$T$999,8,0),"")</f>
        <v/>
      </c>
      <c r="F701" s="92" t="str">
        <f>IFERROR(VLOOKUP(C701,'Employees List'!$B$2:H999,6,0),"")</f>
        <v/>
      </c>
      <c r="G701" s="93" t="str">
        <f>IFERROR(VLOOKUP(A701,'Salary Calculation'!$A$2:$T$999,7,0),"")</f>
        <v/>
      </c>
      <c r="H701" s="94"/>
      <c r="I701" s="46"/>
      <c r="J701" s="46"/>
      <c r="K701" s="46"/>
      <c r="L701" s="46"/>
      <c r="M701" s="46"/>
      <c r="N701" s="46"/>
      <c r="O701" s="46"/>
      <c r="P701" s="46"/>
      <c r="Q701" s="46"/>
      <c r="R701" s="46"/>
      <c r="S701" s="46"/>
      <c r="T701" s="46"/>
      <c r="U701" s="46"/>
      <c r="V701" s="46"/>
      <c r="W701" s="46"/>
      <c r="X701" s="46"/>
      <c r="Y701" s="46"/>
      <c r="Z701" s="46"/>
      <c r="AA701" s="46"/>
      <c r="AB701" s="46"/>
    </row>
    <row r="702" hidden="1">
      <c r="A702" s="90" t="s">
        <v>919</v>
      </c>
      <c r="B702" s="91" t="str">
        <f>IFERROR(VLOOKUP(A702,'Salary Calculation'!A702:F1699,2,0),"")</f>
        <v/>
      </c>
      <c r="C702" s="91" t="str">
        <f>IFERROR(VLOOKUP(A702,'Salary Calculation'!$A$2:$T$999,3,0),"")</f>
        <v/>
      </c>
      <c r="D702" s="91" t="str">
        <f>IFERROR(VLOOKUP(A702,'Salary Calculation'!$A$2:$T$999,6,0),"")</f>
        <v/>
      </c>
      <c r="E702" s="91" t="str">
        <f>IFERROR(VLOOKUP(A702,'Salary Calculation'!$A$2:$T$999,8,0),"")</f>
        <v/>
      </c>
      <c r="F702" s="92" t="str">
        <f>IFERROR(VLOOKUP(C702,'Employees List'!$B$2:H999,6,0),"")</f>
        <v/>
      </c>
      <c r="G702" s="93" t="str">
        <f>IFERROR(VLOOKUP(A702,'Salary Calculation'!$A$2:$T$999,7,0),"")</f>
        <v/>
      </c>
      <c r="H702" s="94"/>
      <c r="I702" s="46"/>
      <c r="J702" s="46"/>
      <c r="K702" s="46"/>
      <c r="L702" s="46"/>
      <c r="M702" s="46"/>
      <c r="N702" s="46"/>
      <c r="O702" s="46"/>
      <c r="P702" s="46"/>
      <c r="Q702" s="46"/>
      <c r="R702" s="46"/>
      <c r="S702" s="46"/>
      <c r="T702" s="46"/>
      <c r="U702" s="46"/>
      <c r="V702" s="46"/>
      <c r="W702" s="46"/>
      <c r="X702" s="46"/>
      <c r="Y702" s="46"/>
      <c r="Z702" s="46"/>
      <c r="AA702" s="46"/>
      <c r="AB702" s="46"/>
    </row>
    <row r="703" hidden="1">
      <c r="A703" s="90" t="s">
        <v>920</v>
      </c>
      <c r="B703" s="91" t="str">
        <f>IFERROR(VLOOKUP(A703,'Salary Calculation'!A703:F1700,2,0),"")</f>
        <v/>
      </c>
      <c r="C703" s="91" t="str">
        <f>IFERROR(VLOOKUP(A703,'Salary Calculation'!$A$2:$T$999,3,0),"")</f>
        <v/>
      </c>
      <c r="D703" s="91" t="str">
        <f>IFERROR(VLOOKUP(A703,'Salary Calculation'!$A$2:$T$999,6,0),"")</f>
        <v/>
      </c>
      <c r="E703" s="91" t="str">
        <f>IFERROR(VLOOKUP(A703,'Salary Calculation'!$A$2:$T$999,8,0),"")</f>
        <v/>
      </c>
      <c r="F703" s="92" t="str">
        <f>IFERROR(VLOOKUP(C703,'Employees List'!$B$2:H999,6,0),"")</f>
        <v/>
      </c>
      <c r="G703" s="93" t="str">
        <f>IFERROR(VLOOKUP(A703,'Salary Calculation'!$A$2:$T$999,7,0),"")</f>
        <v/>
      </c>
      <c r="H703" s="94"/>
      <c r="I703" s="46"/>
      <c r="J703" s="46"/>
      <c r="K703" s="46"/>
      <c r="L703" s="46"/>
      <c r="M703" s="46"/>
      <c r="N703" s="46"/>
      <c r="O703" s="46"/>
      <c r="P703" s="46"/>
      <c r="Q703" s="46"/>
      <c r="R703" s="46"/>
      <c r="S703" s="46"/>
      <c r="T703" s="46"/>
      <c r="U703" s="46"/>
      <c r="V703" s="46"/>
      <c r="W703" s="46"/>
      <c r="X703" s="46"/>
      <c r="Y703" s="46"/>
      <c r="Z703" s="46"/>
      <c r="AA703" s="46"/>
      <c r="AB703" s="46"/>
    </row>
    <row r="704" hidden="1">
      <c r="A704" s="90" t="s">
        <v>921</v>
      </c>
      <c r="B704" s="91" t="str">
        <f>IFERROR(VLOOKUP(A704,'Salary Calculation'!A704:F1701,2,0),"")</f>
        <v/>
      </c>
      <c r="C704" s="91" t="str">
        <f>IFERROR(VLOOKUP(A704,'Salary Calculation'!$A$2:$T$999,3,0),"")</f>
        <v/>
      </c>
      <c r="D704" s="91" t="str">
        <f>IFERROR(VLOOKUP(A704,'Salary Calculation'!$A$2:$T$999,6,0),"")</f>
        <v/>
      </c>
      <c r="E704" s="91" t="str">
        <f>IFERROR(VLOOKUP(A704,'Salary Calculation'!$A$2:$T$999,8,0),"")</f>
        <v/>
      </c>
      <c r="F704" s="92" t="str">
        <f>IFERROR(VLOOKUP(C704,'Employees List'!$B$2:H999,6,0),"")</f>
        <v/>
      </c>
      <c r="G704" s="93" t="str">
        <f>IFERROR(VLOOKUP(A704,'Salary Calculation'!$A$2:$T$999,7,0),"")</f>
        <v/>
      </c>
      <c r="H704" s="94"/>
      <c r="I704" s="46"/>
      <c r="J704" s="46"/>
      <c r="K704" s="46"/>
      <c r="L704" s="46"/>
      <c r="M704" s="46"/>
      <c r="N704" s="46"/>
      <c r="O704" s="46"/>
      <c r="P704" s="46"/>
      <c r="Q704" s="46"/>
      <c r="R704" s="46"/>
      <c r="S704" s="46"/>
      <c r="T704" s="46"/>
      <c r="U704" s="46"/>
      <c r="V704" s="46"/>
      <c r="W704" s="46"/>
      <c r="X704" s="46"/>
      <c r="Y704" s="46"/>
      <c r="Z704" s="46"/>
      <c r="AA704" s="46"/>
      <c r="AB704" s="46"/>
    </row>
    <row r="705" hidden="1">
      <c r="A705" s="90" t="s">
        <v>922</v>
      </c>
      <c r="B705" s="91" t="str">
        <f>IFERROR(VLOOKUP(A705,'Salary Calculation'!A705:F1702,2,0),"")</f>
        <v/>
      </c>
      <c r="C705" s="91" t="str">
        <f>IFERROR(VLOOKUP(A705,'Salary Calculation'!$A$2:$T$999,3,0),"")</f>
        <v/>
      </c>
      <c r="D705" s="91" t="str">
        <f>IFERROR(VLOOKUP(A705,'Salary Calculation'!$A$2:$T$999,6,0),"")</f>
        <v/>
      </c>
      <c r="E705" s="91" t="str">
        <f>IFERROR(VLOOKUP(A705,'Salary Calculation'!$A$2:$T$999,8,0),"")</f>
        <v/>
      </c>
      <c r="F705" s="92" t="str">
        <f>IFERROR(VLOOKUP(C705,'Employees List'!$B$2:H999,6,0),"")</f>
        <v/>
      </c>
      <c r="G705" s="93" t="str">
        <f>IFERROR(VLOOKUP(A705,'Salary Calculation'!$A$2:$T$999,7,0),"")</f>
        <v/>
      </c>
      <c r="H705" s="94"/>
      <c r="I705" s="46"/>
      <c r="J705" s="46"/>
      <c r="K705" s="46"/>
      <c r="L705" s="46"/>
      <c r="M705" s="46"/>
      <c r="N705" s="46"/>
      <c r="O705" s="46"/>
      <c r="P705" s="46"/>
      <c r="Q705" s="46"/>
      <c r="R705" s="46"/>
      <c r="S705" s="46"/>
      <c r="T705" s="46"/>
      <c r="U705" s="46"/>
      <c r="V705" s="46"/>
      <c r="W705" s="46"/>
      <c r="X705" s="46"/>
      <c r="Y705" s="46"/>
      <c r="Z705" s="46"/>
      <c r="AA705" s="46"/>
      <c r="AB705" s="46"/>
    </row>
    <row r="706" hidden="1">
      <c r="A706" s="90" t="s">
        <v>923</v>
      </c>
      <c r="B706" s="91" t="str">
        <f>IFERROR(VLOOKUP(A706,'Salary Calculation'!A706:F1703,2,0),"")</f>
        <v/>
      </c>
      <c r="C706" s="91" t="str">
        <f>IFERROR(VLOOKUP(A706,'Salary Calculation'!$A$2:$T$999,3,0),"")</f>
        <v/>
      </c>
      <c r="D706" s="91" t="str">
        <f>IFERROR(VLOOKUP(A706,'Salary Calculation'!$A$2:$T$999,6,0),"")</f>
        <v/>
      </c>
      <c r="E706" s="91" t="str">
        <f>IFERROR(VLOOKUP(A706,'Salary Calculation'!$A$2:$T$999,8,0),"")</f>
        <v/>
      </c>
      <c r="F706" s="92" t="str">
        <f>IFERROR(VLOOKUP(C706,'Employees List'!$B$2:H999,6,0),"")</f>
        <v/>
      </c>
      <c r="G706" s="93" t="str">
        <f>IFERROR(VLOOKUP(A706,'Salary Calculation'!$A$2:$T$999,7,0),"")</f>
        <v/>
      </c>
      <c r="H706" s="94"/>
      <c r="I706" s="46"/>
      <c r="J706" s="46"/>
      <c r="K706" s="46"/>
      <c r="L706" s="46"/>
      <c r="M706" s="46"/>
      <c r="N706" s="46"/>
      <c r="O706" s="46"/>
      <c r="P706" s="46"/>
      <c r="Q706" s="46"/>
      <c r="R706" s="46"/>
      <c r="S706" s="46"/>
      <c r="T706" s="46"/>
      <c r="U706" s="46"/>
      <c r="V706" s="46"/>
      <c r="W706" s="46"/>
      <c r="X706" s="46"/>
      <c r="Y706" s="46"/>
      <c r="Z706" s="46"/>
      <c r="AA706" s="46"/>
      <c r="AB706" s="46"/>
    </row>
    <row r="707" hidden="1">
      <c r="A707" s="90" t="s">
        <v>924</v>
      </c>
      <c r="B707" s="91" t="str">
        <f>IFERROR(VLOOKUP(A707,'Salary Calculation'!A707:F1704,2,0),"")</f>
        <v/>
      </c>
      <c r="C707" s="91" t="str">
        <f>IFERROR(VLOOKUP(A707,'Salary Calculation'!$A$2:$T$999,3,0),"")</f>
        <v/>
      </c>
      <c r="D707" s="91" t="str">
        <f>IFERROR(VLOOKUP(A707,'Salary Calculation'!$A$2:$T$999,6,0),"")</f>
        <v/>
      </c>
      <c r="E707" s="91" t="str">
        <f>IFERROR(VLOOKUP(A707,'Salary Calculation'!$A$2:$T$999,8,0),"")</f>
        <v/>
      </c>
      <c r="F707" s="92" t="str">
        <f>IFERROR(VLOOKUP(C707,'Employees List'!$B$2:H999,6,0),"")</f>
        <v/>
      </c>
      <c r="G707" s="93" t="str">
        <f>IFERROR(VLOOKUP(A707,'Salary Calculation'!$A$2:$T$999,7,0),"")</f>
        <v/>
      </c>
      <c r="H707" s="94"/>
      <c r="I707" s="46"/>
      <c r="J707" s="46"/>
      <c r="K707" s="46"/>
      <c r="L707" s="46"/>
      <c r="M707" s="46"/>
      <c r="N707" s="46"/>
      <c r="O707" s="46"/>
      <c r="P707" s="46"/>
      <c r="Q707" s="46"/>
      <c r="R707" s="46"/>
      <c r="S707" s="46"/>
      <c r="T707" s="46"/>
      <c r="U707" s="46"/>
      <c r="V707" s="46"/>
      <c r="W707" s="46"/>
      <c r="X707" s="46"/>
      <c r="Y707" s="46"/>
      <c r="Z707" s="46"/>
      <c r="AA707" s="46"/>
      <c r="AB707" s="46"/>
    </row>
    <row r="708" hidden="1">
      <c r="A708" s="90" t="s">
        <v>925</v>
      </c>
      <c r="B708" s="91" t="str">
        <f>IFERROR(VLOOKUP(A708,'Salary Calculation'!A708:F1705,2,0),"")</f>
        <v/>
      </c>
      <c r="C708" s="91" t="str">
        <f>IFERROR(VLOOKUP(A708,'Salary Calculation'!$A$2:$T$999,3,0),"")</f>
        <v/>
      </c>
      <c r="D708" s="91" t="str">
        <f>IFERROR(VLOOKUP(A708,'Salary Calculation'!$A$2:$T$999,6,0),"")</f>
        <v/>
      </c>
      <c r="E708" s="91" t="str">
        <f>IFERROR(VLOOKUP(A708,'Salary Calculation'!$A$2:$T$999,8,0),"")</f>
        <v/>
      </c>
      <c r="F708" s="92" t="str">
        <f>IFERROR(VLOOKUP(C708,'Employees List'!$B$2:H999,6,0),"")</f>
        <v/>
      </c>
      <c r="G708" s="93" t="str">
        <f>IFERROR(VLOOKUP(A708,'Salary Calculation'!$A$2:$T$999,7,0),"")</f>
        <v/>
      </c>
      <c r="H708" s="94"/>
      <c r="I708" s="46"/>
      <c r="J708" s="46"/>
      <c r="K708" s="46"/>
      <c r="L708" s="46"/>
      <c r="M708" s="46"/>
      <c r="N708" s="46"/>
      <c r="O708" s="46"/>
      <c r="P708" s="46"/>
      <c r="Q708" s="46"/>
      <c r="R708" s="46"/>
      <c r="S708" s="46"/>
      <c r="T708" s="46"/>
      <c r="U708" s="46"/>
      <c r="V708" s="46"/>
      <c r="W708" s="46"/>
      <c r="X708" s="46"/>
      <c r="Y708" s="46"/>
      <c r="Z708" s="46"/>
      <c r="AA708" s="46"/>
      <c r="AB708" s="46"/>
    </row>
    <row r="709" hidden="1">
      <c r="A709" s="90" t="s">
        <v>926</v>
      </c>
      <c r="B709" s="91" t="str">
        <f>IFERROR(VLOOKUP(A709,'Salary Calculation'!A709:F1706,2,0),"")</f>
        <v/>
      </c>
      <c r="C709" s="91" t="str">
        <f>IFERROR(VLOOKUP(A709,'Salary Calculation'!$A$2:$T$999,3,0),"")</f>
        <v/>
      </c>
      <c r="D709" s="91" t="str">
        <f>IFERROR(VLOOKUP(A709,'Salary Calculation'!$A$2:$T$999,6,0),"")</f>
        <v/>
      </c>
      <c r="E709" s="91" t="str">
        <f>IFERROR(VLOOKUP(A709,'Salary Calculation'!$A$2:$T$999,8,0),"")</f>
        <v/>
      </c>
      <c r="F709" s="92" t="str">
        <f>IFERROR(VLOOKUP(C709,'Employees List'!$B$2:H999,6,0),"")</f>
        <v/>
      </c>
      <c r="G709" s="93" t="str">
        <f>IFERROR(VLOOKUP(A709,'Salary Calculation'!$A$2:$T$999,7,0),"")</f>
        <v/>
      </c>
      <c r="H709" s="94"/>
      <c r="I709" s="46"/>
      <c r="J709" s="46"/>
      <c r="K709" s="46"/>
      <c r="L709" s="46"/>
      <c r="M709" s="46"/>
      <c r="N709" s="46"/>
      <c r="O709" s="46"/>
      <c r="P709" s="46"/>
      <c r="Q709" s="46"/>
      <c r="R709" s="46"/>
      <c r="S709" s="46"/>
      <c r="T709" s="46"/>
      <c r="U709" s="46"/>
      <c r="V709" s="46"/>
      <c r="W709" s="46"/>
      <c r="X709" s="46"/>
      <c r="Y709" s="46"/>
      <c r="Z709" s="46"/>
      <c r="AA709" s="46"/>
      <c r="AB709" s="46"/>
    </row>
    <row r="710" hidden="1">
      <c r="A710" s="90" t="s">
        <v>927</v>
      </c>
      <c r="B710" s="91" t="str">
        <f>IFERROR(VLOOKUP(A710,'Salary Calculation'!A710:F1707,2,0),"")</f>
        <v/>
      </c>
      <c r="C710" s="91" t="str">
        <f>IFERROR(VLOOKUP(A710,'Salary Calculation'!$A$2:$T$999,3,0),"")</f>
        <v/>
      </c>
      <c r="D710" s="91" t="str">
        <f>IFERROR(VLOOKUP(A710,'Salary Calculation'!$A$2:$T$999,6,0),"")</f>
        <v/>
      </c>
      <c r="E710" s="91" t="str">
        <f>IFERROR(VLOOKUP(A710,'Salary Calculation'!$A$2:$T$999,8,0),"")</f>
        <v/>
      </c>
      <c r="F710" s="92" t="str">
        <f>IFERROR(VLOOKUP(C710,'Employees List'!$B$2:H999,6,0),"")</f>
        <v/>
      </c>
      <c r="G710" s="93" t="str">
        <f>IFERROR(VLOOKUP(A710,'Salary Calculation'!$A$2:$T$999,7,0),"")</f>
        <v/>
      </c>
      <c r="H710" s="94"/>
      <c r="I710" s="46"/>
      <c r="J710" s="46"/>
      <c r="K710" s="46"/>
      <c r="L710" s="46"/>
      <c r="M710" s="46"/>
      <c r="N710" s="46"/>
      <c r="O710" s="46"/>
      <c r="P710" s="46"/>
      <c r="Q710" s="46"/>
      <c r="R710" s="46"/>
      <c r="S710" s="46"/>
      <c r="T710" s="46"/>
      <c r="U710" s="46"/>
      <c r="V710" s="46"/>
      <c r="W710" s="46"/>
      <c r="X710" s="46"/>
      <c r="Y710" s="46"/>
      <c r="Z710" s="46"/>
      <c r="AA710" s="46"/>
      <c r="AB710" s="46"/>
    </row>
    <row r="711" hidden="1">
      <c r="A711" s="90" t="s">
        <v>928</v>
      </c>
      <c r="B711" s="91" t="str">
        <f>IFERROR(VLOOKUP(A711,'Salary Calculation'!A711:F1708,2,0),"")</f>
        <v/>
      </c>
      <c r="C711" s="91" t="str">
        <f>IFERROR(VLOOKUP(A711,'Salary Calculation'!$A$2:$T$999,3,0),"")</f>
        <v/>
      </c>
      <c r="D711" s="91" t="str">
        <f>IFERROR(VLOOKUP(A711,'Salary Calculation'!$A$2:$T$999,6,0),"")</f>
        <v/>
      </c>
      <c r="E711" s="91" t="str">
        <f>IFERROR(VLOOKUP(A711,'Salary Calculation'!$A$2:$T$999,8,0),"")</f>
        <v/>
      </c>
      <c r="F711" s="92" t="str">
        <f>IFERROR(VLOOKUP(C711,'Employees List'!$B$2:H999,6,0),"")</f>
        <v/>
      </c>
      <c r="G711" s="93" t="str">
        <f>IFERROR(VLOOKUP(A711,'Salary Calculation'!$A$2:$T$999,7,0),"")</f>
        <v/>
      </c>
      <c r="H711" s="94"/>
      <c r="I711" s="46"/>
      <c r="J711" s="46"/>
      <c r="K711" s="46"/>
      <c r="L711" s="46"/>
      <c r="M711" s="46"/>
      <c r="N711" s="46"/>
      <c r="O711" s="46"/>
      <c r="P711" s="46"/>
      <c r="Q711" s="46"/>
      <c r="R711" s="46"/>
      <c r="S711" s="46"/>
      <c r="T711" s="46"/>
      <c r="U711" s="46"/>
      <c r="V711" s="46"/>
      <c r="W711" s="46"/>
      <c r="X711" s="46"/>
      <c r="Y711" s="46"/>
      <c r="Z711" s="46"/>
      <c r="AA711" s="46"/>
      <c r="AB711" s="46"/>
    </row>
    <row r="712" hidden="1">
      <c r="A712" s="90" t="s">
        <v>929</v>
      </c>
      <c r="B712" s="91" t="str">
        <f>IFERROR(VLOOKUP(A712,'Salary Calculation'!A712:F1709,2,0),"")</f>
        <v/>
      </c>
      <c r="C712" s="91" t="str">
        <f>IFERROR(VLOOKUP(A712,'Salary Calculation'!$A$2:$T$999,3,0),"")</f>
        <v/>
      </c>
      <c r="D712" s="91" t="str">
        <f>IFERROR(VLOOKUP(A712,'Salary Calculation'!$A$2:$T$999,6,0),"")</f>
        <v/>
      </c>
      <c r="E712" s="91" t="str">
        <f>IFERROR(VLOOKUP(A712,'Salary Calculation'!$A$2:$T$999,8,0),"")</f>
        <v/>
      </c>
      <c r="F712" s="92" t="str">
        <f>IFERROR(VLOOKUP(C712,'Employees List'!$B$2:H999,6,0),"")</f>
        <v/>
      </c>
      <c r="G712" s="93" t="str">
        <f>IFERROR(VLOOKUP(A712,'Salary Calculation'!$A$2:$T$999,7,0),"")</f>
        <v/>
      </c>
      <c r="H712" s="94"/>
      <c r="I712" s="46"/>
      <c r="J712" s="46"/>
      <c r="K712" s="46"/>
      <c r="L712" s="46"/>
      <c r="M712" s="46"/>
      <c r="N712" s="46"/>
      <c r="O712" s="46"/>
      <c r="P712" s="46"/>
      <c r="Q712" s="46"/>
      <c r="R712" s="46"/>
      <c r="S712" s="46"/>
      <c r="T712" s="46"/>
      <c r="U712" s="46"/>
      <c r="V712" s="46"/>
      <c r="W712" s="46"/>
      <c r="X712" s="46"/>
      <c r="Y712" s="46"/>
      <c r="Z712" s="46"/>
      <c r="AA712" s="46"/>
      <c r="AB712" s="46"/>
    </row>
    <row r="713" hidden="1">
      <c r="A713" s="90" t="s">
        <v>930</v>
      </c>
      <c r="B713" s="91" t="str">
        <f>IFERROR(VLOOKUP(A713,'Salary Calculation'!A713:F1710,2,0),"")</f>
        <v/>
      </c>
      <c r="C713" s="91" t="str">
        <f>IFERROR(VLOOKUP(A713,'Salary Calculation'!$A$2:$T$999,3,0),"")</f>
        <v/>
      </c>
      <c r="D713" s="91" t="str">
        <f>IFERROR(VLOOKUP(A713,'Salary Calculation'!$A$2:$T$999,6,0),"")</f>
        <v/>
      </c>
      <c r="E713" s="91" t="str">
        <f>IFERROR(VLOOKUP(A713,'Salary Calculation'!$A$2:$T$999,8,0),"")</f>
        <v/>
      </c>
      <c r="F713" s="92" t="str">
        <f>IFERROR(VLOOKUP(C713,'Employees List'!$B$2:H999,6,0),"")</f>
        <v/>
      </c>
      <c r="G713" s="93" t="str">
        <f>IFERROR(VLOOKUP(A713,'Salary Calculation'!$A$2:$T$999,7,0),"")</f>
        <v/>
      </c>
      <c r="H713" s="94"/>
      <c r="I713" s="46"/>
      <c r="J713" s="46"/>
      <c r="K713" s="46"/>
      <c r="L713" s="46"/>
      <c r="M713" s="46"/>
      <c r="N713" s="46"/>
      <c r="O713" s="46"/>
      <c r="P713" s="46"/>
      <c r="Q713" s="46"/>
      <c r="R713" s="46"/>
      <c r="S713" s="46"/>
      <c r="T713" s="46"/>
      <c r="U713" s="46"/>
      <c r="V713" s="46"/>
      <c r="W713" s="46"/>
      <c r="X713" s="46"/>
      <c r="Y713" s="46"/>
      <c r="Z713" s="46"/>
      <c r="AA713" s="46"/>
      <c r="AB713" s="46"/>
    </row>
    <row r="714" hidden="1">
      <c r="A714" s="90" t="s">
        <v>931</v>
      </c>
      <c r="B714" s="91" t="str">
        <f>IFERROR(VLOOKUP(A714,'Salary Calculation'!A714:F1711,2,0),"")</f>
        <v/>
      </c>
      <c r="C714" s="91" t="str">
        <f>IFERROR(VLOOKUP(A714,'Salary Calculation'!$A$2:$T$999,3,0),"")</f>
        <v/>
      </c>
      <c r="D714" s="91" t="str">
        <f>IFERROR(VLOOKUP(A714,'Salary Calculation'!$A$2:$T$999,6,0),"")</f>
        <v/>
      </c>
      <c r="E714" s="91" t="str">
        <f>IFERROR(VLOOKUP(A714,'Salary Calculation'!$A$2:$T$999,8,0),"")</f>
        <v/>
      </c>
      <c r="F714" s="92" t="str">
        <f>IFERROR(VLOOKUP(C714,'Employees List'!$B$2:H999,6,0),"")</f>
        <v/>
      </c>
      <c r="G714" s="93" t="str">
        <f>IFERROR(VLOOKUP(A714,'Salary Calculation'!$A$2:$T$999,7,0),"")</f>
        <v/>
      </c>
      <c r="H714" s="94"/>
      <c r="I714" s="46"/>
      <c r="J714" s="46"/>
      <c r="K714" s="46"/>
      <c r="L714" s="46"/>
      <c r="M714" s="46"/>
      <c r="N714" s="46"/>
      <c r="O714" s="46"/>
      <c r="P714" s="46"/>
      <c r="Q714" s="46"/>
      <c r="R714" s="46"/>
      <c r="S714" s="46"/>
      <c r="T714" s="46"/>
      <c r="U714" s="46"/>
      <c r="V714" s="46"/>
      <c r="W714" s="46"/>
      <c r="X714" s="46"/>
      <c r="Y714" s="46"/>
      <c r="Z714" s="46"/>
      <c r="AA714" s="46"/>
      <c r="AB714" s="46"/>
    </row>
    <row r="715" hidden="1">
      <c r="A715" s="90" t="s">
        <v>932</v>
      </c>
      <c r="B715" s="91" t="str">
        <f>IFERROR(VLOOKUP(A715,'Salary Calculation'!A715:F1712,2,0),"")</f>
        <v/>
      </c>
      <c r="C715" s="91" t="str">
        <f>IFERROR(VLOOKUP(A715,'Salary Calculation'!$A$2:$T$999,3,0),"")</f>
        <v/>
      </c>
      <c r="D715" s="91" t="str">
        <f>IFERROR(VLOOKUP(A715,'Salary Calculation'!$A$2:$T$999,6,0),"")</f>
        <v/>
      </c>
      <c r="E715" s="91" t="str">
        <f>IFERROR(VLOOKUP(A715,'Salary Calculation'!$A$2:$T$999,8,0),"")</f>
        <v/>
      </c>
      <c r="F715" s="92" t="str">
        <f>IFERROR(VLOOKUP(C715,'Employees List'!$B$2:H999,6,0),"")</f>
        <v/>
      </c>
      <c r="G715" s="93" t="str">
        <f>IFERROR(VLOOKUP(A715,'Salary Calculation'!$A$2:$T$999,7,0),"")</f>
        <v/>
      </c>
      <c r="H715" s="94"/>
      <c r="I715" s="46"/>
      <c r="J715" s="46"/>
      <c r="K715" s="46"/>
      <c r="L715" s="46"/>
      <c r="M715" s="46"/>
      <c r="N715" s="46"/>
      <c r="O715" s="46"/>
      <c r="P715" s="46"/>
      <c r="Q715" s="46"/>
      <c r="R715" s="46"/>
      <c r="S715" s="46"/>
      <c r="T715" s="46"/>
      <c r="U715" s="46"/>
      <c r="V715" s="46"/>
      <c r="W715" s="46"/>
      <c r="X715" s="46"/>
      <c r="Y715" s="46"/>
      <c r="Z715" s="46"/>
      <c r="AA715" s="46"/>
      <c r="AB715" s="46"/>
    </row>
    <row r="716" hidden="1">
      <c r="A716" s="90" t="s">
        <v>933</v>
      </c>
      <c r="B716" s="91" t="str">
        <f>IFERROR(VLOOKUP(A716,'Salary Calculation'!A716:F1713,2,0),"")</f>
        <v/>
      </c>
      <c r="C716" s="91" t="str">
        <f>IFERROR(VLOOKUP(A716,'Salary Calculation'!$A$2:$T$999,3,0),"")</f>
        <v/>
      </c>
      <c r="D716" s="91" t="str">
        <f>IFERROR(VLOOKUP(A716,'Salary Calculation'!$A$2:$T$999,6,0),"")</f>
        <v/>
      </c>
      <c r="E716" s="91" t="str">
        <f>IFERROR(VLOOKUP(A716,'Salary Calculation'!$A$2:$T$999,8,0),"")</f>
        <v/>
      </c>
      <c r="F716" s="92" t="str">
        <f>IFERROR(VLOOKUP(C716,'Employees List'!$B$2:H999,6,0),"")</f>
        <v/>
      </c>
      <c r="G716" s="93" t="str">
        <f>IFERROR(VLOOKUP(A716,'Salary Calculation'!$A$2:$T$999,7,0),"")</f>
        <v/>
      </c>
      <c r="H716" s="94"/>
      <c r="I716" s="46"/>
      <c r="J716" s="46"/>
      <c r="K716" s="46"/>
      <c r="L716" s="46"/>
      <c r="M716" s="46"/>
      <c r="N716" s="46"/>
      <c r="O716" s="46"/>
      <c r="P716" s="46"/>
      <c r="Q716" s="46"/>
      <c r="R716" s="46"/>
      <c r="S716" s="46"/>
      <c r="T716" s="46"/>
      <c r="U716" s="46"/>
      <c r="V716" s="46"/>
      <c r="W716" s="46"/>
      <c r="X716" s="46"/>
      <c r="Y716" s="46"/>
      <c r="Z716" s="46"/>
      <c r="AA716" s="46"/>
      <c r="AB716" s="46"/>
    </row>
    <row r="717" hidden="1">
      <c r="A717" s="90" t="s">
        <v>934</v>
      </c>
      <c r="B717" s="91" t="str">
        <f>IFERROR(VLOOKUP(A717,'Salary Calculation'!A717:F1714,2,0),"")</f>
        <v/>
      </c>
      <c r="C717" s="91" t="str">
        <f>IFERROR(VLOOKUP(A717,'Salary Calculation'!$A$2:$T$999,3,0),"")</f>
        <v/>
      </c>
      <c r="D717" s="91" t="str">
        <f>IFERROR(VLOOKUP(A717,'Salary Calculation'!$A$2:$T$999,6,0),"")</f>
        <v/>
      </c>
      <c r="E717" s="91" t="str">
        <f>IFERROR(VLOOKUP(A717,'Salary Calculation'!$A$2:$T$999,8,0),"")</f>
        <v/>
      </c>
      <c r="F717" s="92" t="str">
        <f>IFERROR(VLOOKUP(C717,'Employees List'!$B$2:H999,6,0),"")</f>
        <v/>
      </c>
      <c r="G717" s="93" t="str">
        <f>IFERROR(VLOOKUP(A717,'Salary Calculation'!$A$2:$T$999,7,0),"")</f>
        <v/>
      </c>
      <c r="H717" s="94"/>
      <c r="I717" s="46"/>
      <c r="J717" s="46"/>
      <c r="K717" s="46"/>
      <c r="L717" s="46"/>
      <c r="M717" s="46"/>
      <c r="N717" s="46"/>
      <c r="O717" s="46"/>
      <c r="P717" s="46"/>
      <c r="Q717" s="46"/>
      <c r="R717" s="46"/>
      <c r="S717" s="46"/>
      <c r="T717" s="46"/>
      <c r="U717" s="46"/>
      <c r="V717" s="46"/>
      <c r="W717" s="46"/>
      <c r="X717" s="46"/>
      <c r="Y717" s="46"/>
      <c r="Z717" s="46"/>
      <c r="AA717" s="46"/>
      <c r="AB717" s="46"/>
    </row>
    <row r="718" hidden="1">
      <c r="A718" s="90" t="s">
        <v>935</v>
      </c>
      <c r="B718" s="91" t="str">
        <f>IFERROR(VLOOKUP(A718,'Salary Calculation'!A718:F1715,2,0),"")</f>
        <v/>
      </c>
      <c r="C718" s="91" t="str">
        <f>IFERROR(VLOOKUP(A718,'Salary Calculation'!$A$2:$T$999,3,0),"")</f>
        <v/>
      </c>
      <c r="D718" s="91" t="str">
        <f>IFERROR(VLOOKUP(A718,'Salary Calculation'!$A$2:$T$999,6,0),"")</f>
        <v/>
      </c>
      <c r="E718" s="91" t="str">
        <f>IFERROR(VLOOKUP(A718,'Salary Calculation'!$A$2:$T$999,8,0),"")</f>
        <v/>
      </c>
      <c r="F718" s="92" t="str">
        <f>IFERROR(VLOOKUP(C718,'Employees List'!$B$2:H999,6,0),"")</f>
        <v/>
      </c>
      <c r="G718" s="93" t="str">
        <f>IFERROR(VLOOKUP(A718,'Salary Calculation'!$A$2:$T$999,7,0),"")</f>
        <v/>
      </c>
      <c r="H718" s="94"/>
      <c r="I718" s="46"/>
      <c r="J718" s="46"/>
      <c r="K718" s="46"/>
      <c r="L718" s="46"/>
      <c r="M718" s="46"/>
      <c r="N718" s="46"/>
      <c r="O718" s="46"/>
      <c r="P718" s="46"/>
      <c r="Q718" s="46"/>
      <c r="R718" s="46"/>
      <c r="S718" s="46"/>
      <c r="T718" s="46"/>
      <c r="U718" s="46"/>
      <c r="V718" s="46"/>
      <c r="W718" s="46"/>
      <c r="X718" s="46"/>
      <c r="Y718" s="46"/>
      <c r="Z718" s="46"/>
      <c r="AA718" s="46"/>
      <c r="AB718" s="46"/>
    </row>
    <row r="719" hidden="1">
      <c r="A719" s="90" t="s">
        <v>936</v>
      </c>
      <c r="B719" s="91" t="str">
        <f>IFERROR(VLOOKUP(A719,'Salary Calculation'!A719:F1716,2,0),"")</f>
        <v/>
      </c>
      <c r="C719" s="91" t="str">
        <f>IFERROR(VLOOKUP(A719,'Salary Calculation'!$A$2:$T$999,3,0),"")</f>
        <v/>
      </c>
      <c r="D719" s="91" t="str">
        <f>IFERROR(VLOOKUP(A719,'Salary Calculation'!$A$2:$T$999,6,0),"")</f>
        <v/>
      </c>
      <c r="E719" s="91" t="str">
        <f>IFERROR(VLOOKUP(A719,'Salary Calculation'!$A$2:$T$999,8,0),"")</f>
        <v/>
      </c>
      <c r="F719" s="92" t="str">
        <f>IFERROR(VLOOKUP(C719,'Employees List'!$B$2:H999,6,0),"")</f>
        <v/>
      </c>
      <c r="G719" s="93" t="str">
        <f>IFERROR(VLOOKUP(A719,'Salary Calculation'!$A$2:$T$999,7,0),"")</f>
        <v/>
      </c>
      <c r="H719" s="94"/>
      <c r="I719" s="46"/>
      <c r="J719" s="46"/>
      <c r="K719" s="46"/>
      <c r="L719" s="46"/>
      <c r="M719" s="46"/>
      <c r="N719" s="46"/>
      <c r="O719" s="46"/>
      <c r="P719" s="46"/>
      <c r="Q719" s="46"/>
      <c r="R719" s="46"/>
      <c r="S719" s="46"/>
      <c r="T719" s="46"/>
      <c r="U719" s="46"/>
      <c r="V719" s="46"/>
      <c r="W719" s="46"/>
      <c r="X719" s="46"/>
      <c r="Y719" s="46"/>
      <c r="Z719" s="46"/>
      <c r="AA719" s="46"/>
      <c r="AB719" s="46"/>
    </row>
    <row r="720" hidden="1">
      <c r="A720" s="90" t="s">
        <v>937</v>
      </c>
      <c r="B720" s="91" t="str">
        <f>IFERROR(VLOOKUP(A720,'Salary Calculation'!A720:F1717,2,0),"")</f>
        <v/>
      </c>
      <c r="C720" s="91" t="str">
        <f>IFERROR(VLOOKUP(A720,'Salary Calculation'!$A$2:$T$999,3,0),"")</f>
        <v/>
      </c>
      <c r="D720" s="91" t="str">
        <f>IFERROR(VLOOKUP(A720,'Salary Calculation'!$A$2:$T$999,6,0),"")</f>
        <v/>
      </c>
      <c r="E720" s="91" t="str">
        <f>IFERROR(VLOOKUP(A720,'Salary Calculation'!$A$2:$T$999,8,0),"")</f>
        <v/>
      </c>
      <c r="F720" s="92" t="str">
        <f>IFERROR(VLOOKUP(C720,'Employees List'!$B$2:H999,6,0),"")</f>
        <v/>
      </c>
      <c r="G720" s="93" t="str">
        <f>IFERROR(VLOOKUP(A720,'Salary Calculation'!$A$2:$T$999,7,0),"")</f>
        <v/>
      </c>
      <c r="H720" s="94"/>
      <c r="I720" s="46"/>
      <c r="J720" s="46"/>
      <c r="K720" s="46"/>
      <c r="L720" s="46"/>
      <c r="M720" s="46"/>
      <c r="N720" s="46"/>
      <c r="O720" s="46"/>
      <c r="P720" s="46"/>
      <c r="Q720" s="46"/>
      <c r="R720" s="46"/>
      <c r="S720" s="46"/>
      <c r="T720" s="46"/>
      <c r="U720" s="46"/>
      <c r="V720" s="46"/>
      <c r="W720" s="46"/>
      <c r="X720" s="46"/>
      <c r="Y720" s="46"/>
      <c r="Z720" s="46"/>
      <c r="AA720" s="46"/>
      <c r="AB720" s="46"/>
    </row>
    <row r="721" hidden="1">
      <c r="A721" s="90" t="s">
        <v>938</v>
      </c>
      <c r="B721" s="91" t="str">
        <f>IFERROR(VLOOKUP(A721,'Salary Calculation'!A721:F1718,2,0),"")</f>
        <v/>
      </c>
      <c r="C721" s="91" t="str">
        <f>IFERROR(VLOOKUP(A721,'Salary Calculation'!$A$2:$T$999,3,0),"")</f>
        <v/>
      </c>
      <c r="D721" s="91" t="str">
        <f>IFERROR(VLOOKUP(A721,'Salary Calculation'!$A$2:$T$999,6,0),"")</f>
        <v/>
      </c>
      <c r="E721" s="91" t="str">
        <f>IFERROR(VLOOKUP(A721,'Salary Calculation'!$A$2:$T$999,8,0),"")</f>
        <v/>
      </c>
      <c r="F721" s="92" t="str">
        <f>IFERROR(VLOOKUP(C721,'Employees List'!$B$2:H999,6,0),"")</f>
        <v/>
      </c>
      <c r="G721" s="93" t="str">
        <f>IFERROR(VLOOKUP(A721,'Salary Calculation'!$A$2:$T$999,7,0),"")</f>
        <v/>
      </c>
      <c r="H721" s="94"/>
      <c r="I721" s="46"/>
      <c r="J721" s="46"/>
      <c r="K721" s="46"/>
      <c r="L721" s="46"/>
      <c r="M721" s="46"/>
      <c r="N721" s="46"/>
      <c r="O721" s="46"/>
      <c r="P721" s="46"/>
      <c r="Q721" s="46"/>
      <c r="R721" s="46"/>
      <c r="S721" s="46"/>
      <c r="T721" s="46"/>
      <c r="U721" s="46"/>
      <c r="V721" s="46"/>
      <c r="W721" s="46"/>
      <c r="X721" s="46"/>
      <c r="Y721" s="46"/>
      <c r="Z721" s="46"/>
      <c r="AA721" s="46"/>
      <c r="AB721" s="46"/>
    </row>
    <row r="722" hidden="1">
      <c r="A722" s="90" t="s">
        <v>939</v>
      </c>
      <c r="B722" s="91" t="str">
        <f>IFERROR(VLOOKUP(A722,'Salary Calculation'!A722:F1719,2,0),"")</f>
        <v/>
      </c>
      <c r="C722" s="91" t="str">
        <f>IFERROR(VLOOKUP(A722,'Salary Calculation'!$A$2:$T$999,3,0),"")</f>
        <v/>
      </c>
      <c r="D722" s="91" t="str">
        <f>IFERROR(VLOOKUP(A722,'Salary Calculation'!$A$2:$T$999,6,0),"")</f>
        <v/>
      </c>
      <c r="E722" s="91" t="str">
        <f>IFERROR(VLOOKUP(A722,'Salary Calculation'!$A$2:$T$999,8,0),"")</f>
        <v/>
      </c>
      <c r="F722" s="92" t="str">
        <f>IFERROR(VLOOKUP(C722,'Employees List'!$B$2:H999,6,0),"")</f>
        <v/>
      </c>
      <c r="G722" s="93" t="str">
        <f>IFERROR(VLOOKUP(A722,'Salary Calculation'!$A$2:$T$999,7,0),"")</f>
        <v/>
      </c>
      <c r="H722" s="94"/>
      <c r="I722" s="46"/>
      <c r="J722" s="46"/>
      <c r="K722" s="46"/>
      <c r="L722" s="46"/>
      <c r="M722" s="46"/>
      <c r="N722" s="46"/>
      <c r="O722" s="46"/>
      <c r="P722" s="46"/>
      <c r="Q722" s="46"/>
      <c r="R722" s="46"/>
      <c r="S722" s="46"/>
      <c r="T722" s="46"/>
      <c r="U722" s="46"/>
      <c r="V722" s="46"/>
      <c r="W722" s="46"/>
      <c r="X722" s="46"/>
      <c r="Y722" s="46"/>
      <c r="Z722" s="46"/>
      <c r="AA722" s="46"/>
      <c r="AB722" s="46"/>
    </row>
    <row r="723" hidden="1">
      <c r="A723" s="90" t="s">
        <v>940</v>
      </c>
      <c r="B723" s="91" t="str">
        <f>IFERROR(VLOOKUP(A723,'Salary Calculation'!A723:F1720,2,0),"")</f>
        <v/>
      </c>
      <c r="C723" s="91" t="str">
        <f>IFERROR(VLOOKUP(A723,'Salary Calculation'!$A$2:$T$999,3,0),"")</f>
        <v/>
      </c>
      <c r="D723" s="91" t="str">
        <f>IFERROR(VLOOKUP(A723,'Salary Calculation'!$A$2:$T$999,6,0),"")</f>
        <v/>
      </c>
      <c r="E723" s="91" t="str">
        <f>IFERROR(VLOOKUP(A723,'Salary Calculation'!$A$2:$T$999,8,0),"")</f>
        <v/>
      </c>
      <c r="F723" s="92" t="str">
        <f>IFERROR(VLOOKUP(C723,'Employees List'!$B$2:H999,6,0),"")</f>
        <v/>
      </c>
      <c r="G723" s="93" t="str">
        <f>IFERROR(VLOOKUP(A723,'Salary Calculation'!$A$2:$T$999,7,0),"")</f>
        <v/>
      </c>
      <c r="H723" s="94"/>
      <c r="I723" s="46"/>
      <c r="J723" s="46"/>
      <c r="K723" s="46"/>
      <c r="L723" s="46"/>
      <c r="M723" s="46"/>
      <c r="N723" s="46"/>
      <c r="O723" s="46"/>
      <c r="P723" s="46"/>
      <c r="Q723" s="46"/>
      <c r="R723" s="46"/>
      <c r="S723" s="46"/>
      <c r="T723" s="46"/>
      <c r="U723" s="46"/>
      <c r="V723" s="46"/>
      <c r="W723" s="46"/>
      <c r="X723" s="46"/>
      <c r="Y723" s="46"/>
      <c r="Z723" s="46"/>
      <c r="AA723" s="46"/>
      <c r="AB723" s="46"/>
    </row>
    <row r="724" hidden="1">
      <c r="A724" s="90" t="s">
        <v>941</v>
      </c>
      <c r="B724" s="91" t="str">
        <f>IFERROR(VLOOKUP(A724,'Salary Calculation'!A724:F1721,2,0),"")</f>
        <v/>
      </c>
      <c r="C724" s="91" t="str">
        <f>IFERROR(VLOOKUP(A724,'Salary Calculation'!$A$2:$T$999,3,0),"")</f>
        <v/>
      </c>
      <c r="D724" s="91" t="str">
        <f>IFERROR(VLOOKUP(A724,'Salary Calculation'!$A$2:$T$999,6,0),"")</f>
        <v/>
      </c>
      <c r="E724" s="91" t="str">
        <f>IFERROR(VLOOKUP(A724,'Salary Calculation'!$A$2:$T$999,8,0),"")</f>
        <v/>
      </c>
      <c r="F724" s="92" t="str">
        <f>IFERROR(VLOOKUP(C724,'Employees List'!$B$2:H999,6,0),"")</f>
        <v/>
      </c>
      <c r="G724" s="93" t="str">
        <f>IFERROR(VLOOKUP(A724,'Salary Calculation'!$A$2:$T$999,7,0),"")</f>
        <v/>
      </c>
      <c r="H724" s="94"/>
      <c r="I724" s="46"/>
      <c r="J724" s="46"/>
      <c r="K724" s="46"/>
      <c r="L724" s="46"/>
      <c r="M724" s="46"/>
      <c r="N724" s="46"/>
      <c r="O724" s="46"/>
      <c r="P724" s="46"/>
      <c r="Q724" s="46"/>
      <c r="R724" s="46"/>
      <c r="S724" s="46"/>
      <c r="T724" s="46"/>
      <c r="U724" s="46"/>
      <c r="V724" s="46"/>
      <c r="W724" s="46"/>
      <c r="X724" s="46"/>
      <c r="Y724" s="46"/>
      <c r="Z724" s="46"/>
      <c r="AA724" s="46"/>
      <c r="AB724" s="46"/>
    </row>
    <row r="725" hidden="1">
      <c r="A725" s="90" t="s">
        <v>942</v>
      </c>
      <c r="B725" s="91" t="str">
        <f>IFERROR(VLOOKUP(A725,'Salary Calculation'!A725:F1722,2,0),"")</f>
        <v/>
      </c>
      <c r="C725" s="91" t="str">
        <f>IFERROR(VLOOKUP(A725,'Salary Calculation'!$A$2:$T$999,3,0),"")</f>
        <v/>
      </c>
      <c r="D725" s="91" t="str">
        <f>IFERROR(VLOOKUP(A725,'Salary Calculation'!$A$2:$T$999,6,0),"")</f>
        <v/>
      </c>
      <c r="E725" s="91" t="str">
        <f>IFERROR(VLOOKUP(A725,'Salary Calculation'!$A$2:$T$999,8,0),"")</f>
        <v/>
      </c>
      <c r="F725" s="92" t="str">
        <f>IFERROR(VLOOKUP(C725,'Employees List'!$B$2:H999,6,0),"")</f>
        <v/>
      </c>
      <c r="G725" s="93" t="str">
        <f>IFERROR(VLOOKUP(A725,'Salary Calculation'!$A$2:$T$999,7,0),"")</f>
        <v/>
      </c>
      <c r="H725" s="94"/>
      <c r="I725" s="46"/>
      <c r="J725" s="46"/>
      <c r="K725" s="46"/>
      <c r="L725" s="46"/>
      <c r="M725" s="46"/>
      <c r="N725" s="46"/>
      <c r="O725" s="46"/>
      <c r="P725" s="46"/>
      <c r="Q725" s="46"/>
      <c r="R725" s="46"/>
      <c r="S725" s="46"/>
      <c r="T725" s="46"/>
      <c r="U725" s="46"/>
      <c r="V725" s="46"/>
      <c r="W725" s="46"/>
      <c r="X725" s="46"/>
      <c r="Y725" s="46"/>
      <c r="Z725" s="46"/>
      <c r="AA725" s="46"/>
      <c r="AB725" s="46"/>
    </row>
    <row r="726" hidden="1">
      <c r="A726" s="90" t="s">
        <v>943</v>
      </c>
      <c r="B726" s="91" t="str">
        <f>IFERROR(VLOOKUP(A726,'Salary Calculation'!A726:F1723,2,0),"")</f>
        <v/>
      </c>
      <c r="C726" s="91" t="str">
        <f>IFERROR(VLOOKUP(A726,'Salary Calculation'!$A$2:$T$999,3,0),"")</f>
        <v/>
      </c>
      <c r="D726" s="91" t="str">
        <f>IFERROR(VLOOKUP(A726,'Salary Calculation'!$A$2:$T$999,6,0),"")</f>
        <v/>
      </c>
      <c r="E726" s="91" t="str">
        <f>IFERROR(VLOOKUP(A726,'Salary Calculation'!$A$2:$T$999,8,0),"")</f>
        <v/>
      </c>
      <c r="F726" s="92" t="str">
        <f>IFERROR(VLOOKUP(C726,'Employees List'!$B$2:H999,6,0),"")</f>
        <v/>
      </c>
      <c r="G726" s="93" t="str">
        <f>IFERROR(VLOOKUP(A726,'Salary Calculation'!$A$2:$T$999,7,0),"")</f>
        <v/>
      </c>
      <c r="H726" s="94"/>
      <c r="I726" s="46"/>
      <c r="J726" s="46"/>
      <c r="K726" s="46"/>
      <c r="L726" s="46"/>
      <c r="M726" s="46"/>
      <c r="N726" s="46"/>
      <c r="O726" s="46"/>
      <c r="P726" s="46"/>
      <c r="Q726" s="46"/>
      <c r="R726" s="46"/>
      <c r="S726" s="46"/>
      <c r="T726" s="46"/>
      <c r="U726" s="46"/>
      <c r="V726" s="46"/>
      <c r="W726" s="46"/>
      <c r="X726" s="46"/>
      <c r="Y726" s="46"/>
      <c r="Z726" s="46"/>
      <c r="AA726" s="46"/>
      <c r="AB726" s="46"/>
    </row>
    <row r="727" hidden="1">
      <c r="A727" s="90" t="s">
        <v>944</v>
      </c>
      <c r="B727" s="91" t="str">
        <f>IFERROR(VLOOKUP(A727,'Salary Calculation'!A727:F1724,2,0),"")</f>
        <v/>
      </c>
      <c r="C727" s="91" t="str">
        <f>IFERROR(VLOOKUP(A727,'Salary Calculation'!$A$2:$T$999,3,0),"")</f>
        <v/>
      </c>
      <c r="D727" s="91" t="str">
        <f>IFERROR(VLOOKUP(A727,'Salary Calculation'!$A$2:$T$999,6,0),"")</f>
        <v/>
      </c>
      <c r="E727" s="91" t="str">
        <f>IFERROR(VLOOKUP(A727,'Salary Calculation'!$A$2:$T$999,8,0),"")</f>
        <v/>
      </c>
      <c r="F727" s="92" t="str">
        <f>IFERROR(VLOOKUP(C727,'Employees List'!$B$2:H999,6,0),"")</f>
        <v/>
      </c>
      <c r="G727" s="93" t="str">
        <f>IFERROR(VLOOKUP(A727,'Salary Calculation'!$A$2:$T$999,7,0),"")</f>
        <v/>
      </c>
      <c r="H727" s="94"/>
      <c r="I727" s="46"/>
      <c r="J727" s="46"/>
      <c r="K727" s="46"/>
      <c r="L727" s="46"/>
      <c r="M727" s="46"/>
      <c r="N727" s="46"/>
      <c r="O727" s="46"/>
      <c r="P727" s="46"/>
      <c r="Q727" s="46"/>
      <c r="R727" s="46"/>
      <c r="S727" s="46"/>
      <c r="T727" s="46"/>
      <c r="U727" s="46"/>
      <c r="V727" s="46"/>
      <c r="W727" s="46"/>
      <c r="X727" s="46"/>
      <c r="Y727" s="46"/>
      <c r="Z727" s="46"/>
      <c r="AA727" s="46"/>
      <c r="AB727" s="46"/>
    </row>
    <row r="728" hidden="1">
      <c r="A728" s="90" t="s">
        <v>945</v>
      </c>
      <c r="B728" s="91" t="str">
        <f>IFERROR(VLOOKUP(A728,'Salary Calculation'!A728:F1725,2,0),"")</f>
        <v/>
      </c>
      <c r="C728" s="91" t="str">
        <f>IFERROR(VLOOKUP(A728,'Salary Calculation'!$A$2:$T$999,3,0),"")</f>
        <v/>
      </c>
      <c r="D728" s="91" t="str">
        <f>IFERROR(VLOOKUP(A728,'Salary Calculation'!$A$2:$T$999,6,0),"")</f>
        <v/>
      </c>
      <c r="E728" s="91" t="str">
        <f>IFERROR(VLOOKUP(A728,'Salary Calculation'!$A$2:$T$999,8,0),"")</f>
        <v/>
      </c>
      <c r="F728" s="92" t="str">
        <f>IFERROR(VLOOKUP(C728,'Employees List'!$B$2:H999,6,0),"")</f>
        <v/>
      </c>
      <c r="G728" s="93" t="str">
        <f>IFERROR(VLOOKUP(A728,'Salary Calculation'!$A$2:$T$999,7,0),"")</f>
        <v/>
      </c>
      <c r="H728" s="94"/>
      <c r="I728" s="46"/>
      <c r="J728" s="46"/>
      <c r="K728" s="46"/>
      <c r="L728" s="46"/>
      <c r="M728" s="46"/>
      <c r="N728" s="46"/>
      <c r="O728" s="46"/>
      <c r="P728" s="46"/>
      <c r="Q728" s="46"/>
      <c r="R728" s="46"/>
      <c r="S728" s="46"/>
      <c r="T728" s="46"/>
      <c r="U728" s="46"/>
      <c r="V728" s="46"/>
      <c r="W728" s="46"/>
      <c r="X728" s="46"/>
      <c r="Y728" s="46"/>
      <c r="Z728" s="46"/>
      <c r="AA728" s="46"/>
      <c r="AB728" s="46"/>
    </row>
    <row r="729" hidden="1">
      <c r="A729" s="90" t="s">
        <v>946</v>
      </c>
      <c r="B729" s="91" t="str">
        <f>IFERROR(VLOOKUP(A729,'Salary Calculation'!A729:F1726,2,0),"")</f>
        <v/>
      </c>
      <c r="C729" s="91" t="str">
        <f>IFERROR(VLOOKUP(A729,'Salary Calculation'!$A$2:$T$999,3,0),"")</f>
        <v/>
      </c>
      <c r="D729" s="91" t="str">
        <f>IFERROR(VLOOKUP(A729,'Salary Calculation'!$A$2:$T$999,6,0),"")</f>
        <v/>
      </c>
      <c r="E729" s="91" t="str">
        <f>IFERROR(VLOOKUP(A729,'Salary Calculation'!$A$2:$T$999,8,0),"")</f>
        <v/>
      </c>
      <c r="F729" s="92" t="str">
        <f>IFERROR(VLOOKUP(C729,'Employees List'!$B$2:H999,6,0),"")</f>
        <v/>
      </c>
      <c r="G729" s="93" t="str">
        <f>IFERROR(VLOOKUP(A729,'Salary Calculation'!$A$2:$T$999,7,0),"")</f>
        <v/>
      </c>
      <c r="H729" s="94"/>
      <c r="I729" s="46"/>
      <c r="J729" s="46"/>
      <c r="K729" s="46"/>
      <c r="L729" s="46"/>
      <c r="M729" s="46"/>
      <c r="N729" s="46"/>
      <c r="O729" s="46"/>
      <c r="P729" s="46"/>
      <c r="Q729" s="46"/>
      <c r="R729" s="46"/>
      <c r="S729" s="46"/>
      <c r="T729" s="46"/>
      <c r="U729" s="46"/>
      <c r="V729" s="46"/>
      <c r="W729" s="46"/>
      <c r="X729" s="46"/>
      <c r="Y729" s="46"/>
      <c r="Z729" s="46"/>
      <c r="AA729" s="46"/>
      <c r="AB729" s="46"/>
    </row>
    <row r="730" hidden="1">
      <c r="A730" s="90" t="s">
        <v>947</v>
      </c>
      <c r="B730" s="91" t="str">
        <f>IFERROR(VLOOKUP(A730,'Salary Calculation'!A730:F1727,2,0),"")</f>
        <v/>
      </c>
      <c r="C730" s="91" t="str">
        <f>IFERROR(VLOOKUP(A730,'Salary Calculation'!$A$2:$T$999,3,0),"")</f>
        <v/>
      </c>
      <c r="D730" s="91" t="str">
        <f>IFERROR(VLOOKUP(A730,'Salary Calculation'!$A$2:$T$999,6,0),"")</f>
        <v/>
      </c>
      <c r="E730" s="91" t="str">
        <f>IFERROR(VLOOKUP(A730,'Salary Calculation'!$A$2:$T$999,8,0),"")</f>
        <v/>
      </c>
      <c r="F730" s="92" t="str">
        <f>IFERROR(VLOOKUP(C730,'Employees List'!$B$2:H999,6,0),"")</f>
        <v/>
      </c>
      <c r="G730" s="93" t="str">
        <f>IFERROR(VLOOKUP(A730,'Salary Calculation'!$A$2:$T$999,7,0),"")</f>
        <v/>
      </c>
      <c r="H730" s="94"/>
      <c r="I730" s="46"/>
      <c r="J730" s="46"/>
      <c r="K730" s="46"/>
      <c r="L730" s="46"/>
      <c r="M730" s="46"/>
      <c r="N730" s="46"/>
      <c r="O730" s="46"/>
      <c r="P730" s="46"/>
      <c r="Q730" s="46"/>
      <c r="R730" s="46"/>
      <c r="S730" s="46"/>
      <c r="T730" s="46"/>
      <c r="U730" s="46"/>
      <c r="V730" s="46"/>
      <c r="W730" s="46"/>
      <c r="X730" s="46"/>
      <c r="Y730" s="46"/>
      <c r="Z730" s="46"/>
      <c r="AA730" s="46"/>
      <c r="AB730" s="46"/>
    </row>
    <row r="731" hidden="1">
      <c r="A731" s="90" t="s">
        <v>948</v>
      </c>
      <c r="B731" s="91" t="str">
        <f>IFERROR(VLOOKUP(A731,'Salary Calculation'!A731:F1728,2,0),"")</f>
        <v/>
      </c>
      <c r="C731" s="91" t="str">
        <f>IFERROR(VLOOKUP(A731,'Salary Calculation'!$A$2:$T$999,3,0),"")</f>
        <v/>
      </c>
      <c r="D731" s="91" t="str">
        <f>IFERROR(VLOOKUP(A731,'Salary Calculation'!$A$2:$T$999,6,0),"")</f>
        <v/>
      </c>
      <c r="E731" s="91" t="str">
        <f>IFERROR(VLOOKUP(A731,'Salary Calculation'!$A$2:$T$999,8,0),"")</f>
        <v/>
      </c>
      <c r="F731" s="92" t="str">
        <f>IFERROR(VLOOKUP(C731,'Employees List'!$B$2:H999,6,0),"")</f>
        <v/>
      </c>
      <c r="G731" s="93" t="str">
        <f>IFERROR(VLOOKUP(A731,'Salary Calculation'!$A$2:$T$999,7,0),"")</f>
        <v/>
      </c>
      <c r="H731" s="94"/>
      <c r="I731" s="46"/>
      <c r="J731" s="46"/>
      <c r="K731" s="46"/>
      <c r="L731" s="46"/>
      <c r="M731" s="46"/>
      <c r="N731" s="46"/>
      <c r="O731" s="46"/>
      <c r="P731" s="46"/>
      <c r="Q731" s="46"/>
      <c r="R731" s="46"/>
      <c r="S731" s="46"/>
      <c r="T731" s="46"/>
      <c r="U731" s="46"/>
      <c r="V731" s="46"/>
      <c r="W731" s="46"/>
      <c r="X731" s="46"/>
      <c r="Y731" s="46"/>
      <c r="Z731" s="46"/>
      <c r="AA731" s="46"/>
      <c r="AB731" s="46"/>
    </row>
    <row r="732" hidden="1">
      <c r="A732" s="90" t="s">
        <v>949</v>
      </c>
      <c r="B732" s="91" t="str">
        <f>IFERROR(VLOOKUP(A732,'Salary Calculation'!A732:F1729,2,0),"")</f>
        <v/>
      </c>
      <c r="C732" s="91" t="str">
        <f>IFERROR(VLOOKUP(A732,'Salary Calculation'!$A$2:$T$999,3,0),"")</f>
        <v/>
      </c>
      <c r="D732" s="91" t="str">
        <f>IFERROR(VLOOKUP(A732,'Salary Calculation'!$A$2:$T$999,6,0),"")</f>
        <v/>
      </c>
      <c r="E732" s="91" t="str">
        <f>IFERROR(VLOOKUP(A732,'Salary Calculation'!$A$2:$T$999,8,0),"")</f>
        <v/>
      </c>
      <c r="F732" s="92" t="str">
        <f>IFERROR(VLOOKUP(C732,'Employees List'!$B$2:H999,6,0),"")</f>
        <v/>
      </c>
      <c r="G732" s="93" t="str">
        <f>IFERROR(VLOOKUP(A732,'Salary Calculation'!$A$2:$T$999,7,0),"")</f>
        <v/>
      </c>
      <c r="H732" s="94"/>
      <c r="I732" s="46"/>
      <c r="J732" s="46"/>
      <c r="K732" s="46"/>
      <c r="L732" s="46"/>
      <c r="M732" s="46"/>
      <c r="N732" s="46"/>
      <c r="O732" s="46"/>
      <c r="P732" s="46"/>
      <c r="Q732" s="46"/>
      <c r="R732" s="46"/>
      <c r="S732" s="46"/>
      <c r="T732" s="46"/>
      <c r="U732" s="46"/>
      <c r="V732" s="46"/>
      <c r="W732" s="46"/>
      <c r="X732" s="46"/>
      <c r="Y732" s="46"/>
      <c r="Z732" s="46"/>
      <c r="AA732" s="46"/>
      <c r="AB732" s="46"/>
    </row>
    <row r="733" hidden="1">
      <c r="A733" s="90" t="s">
        <v>950</v>
      </c>
      <c r="B733" s="91" t="str">
        <f>IFERROR(VLOOKUP(A733,'Salary Calculation'!A733:F1730,2,0),"")</f>
        <v/>
      </c>
      <c r="C733" s="91" t="str">
        <f>IFERROR(VLOOKUP(A733,'Salary Calculation'!$A$2:$T$999,3,0),"")</f>
        <v/>
      </c>
      <c r="D733" s="91" t="str">
        <f>IFERROR(VLOOKUP(A733,'Salary Calculation'!$A$2:$T$999,6,0),"")</f>
        <v/>
      </c>
      <c r="E733" s="91" t="str">
        <f>IFERROR(VLOOKUP(A733,'Salary Calculation'!$A$2:$T$999,8,0),"")</f>
        <v/>
      </c>
      <c r="F733" s="92" t="str">
        <f>IFERROR(VLOOKUP(C733,'Employees List'!$B$2:H999,6,0),"")</f>
        <v/>
      </c>
      <c r="G733" s="93" t="str">
        <f>IFERROR(VLOOKUP(A733,'Salary Calculation'!$A$2:$T$999,7,0),"")</f>
        <v/>
      </c>
      <c r="H733" s="94"/>
      <c r="I733" s="46"/>
      <c r="J733" s="46"/>
      <c r="K733" s="46"/>
      <c r="L733" s="46"/>
      <c r="M733" s="46"/>
      <c r="N733" s="46"/>
      <c r="O733" s="46"/>
      <c r="P733" s="46"/>
      <c r="Q733" s="46"/>
      <c r="R733" s="46"/>
      <c r="S733" s="46"/>
      <c r="T733" s="46"/>
      <c r="U733" s="46"/>
      <c r="V733" s="46"/>
      <c r="W733" s="46"/>
      <c r="X733" s="46"/>
      <c r="Y733" s="46"/>
      <c r="Z733" s="46"/>
      <c r="AA733" s="46"/>
      <c r="AB733" s="46"/>
    </row>
    <row r="734" hidden="1">
      <c r="A734" s="90" t="s">
        <v>951</v>
      </c>
      <c r="B734" s="91" t="str">
        <f>IFERROR(VLOOKUP(A734,'Salary Calculation'!A734:F1731,2,0),"")</f>
        <v/>
      </c>
      <c r="C734" s="91" t="str">
        <f>IFERROR(VLOOKUP(A734,'Salary Calculation'!$A$2:$T$999,3,0),"")</f>
        <v/>
      </c>
      <c r="D734" s="91" t="str">
        <f>IFERROR(VLOOKUP(A734,'Salary Calculation'!$A$2:$T$999,6,0),"")</f>
        <v/>
      </c>
      <c r="E734" s="91" t="str">
        <f>IFERROR(VLOOKUP(A734,'Salary Calculation'!$A$2:$T$999,8,0),"")</f>
        <v/>
      </c>
      <c r="F734" s="92" t="str">
        <f>IFERROR(VLOOKUP(C734,'Employees List'!$B$2:H999,6,0),"")</f>
        <v/>
      </c>
      <c r="G734" s="93" t="str">
        <f>IFERROR(VLOOKUP(A734,'Salary Calculation'!$A$2:$T$999,7,0),"")</f>
        <v/>
      </c>
      <c r="H734" s="94"/>
      <c r="I734" s="46"/>
      <c r="J734" s="46"/>
      <c r="K734" s="46"/>
      <c r="L734" s="46"/>
      <c r="M734" s="46"/>
      <c r="N734" s="46"/>
      <c r="O734" s="46"/>
      <c r="P734" s="46"/>
      <c r="Q734" s="46"/>
      <c r="R734" s="46"/>
      <c r="S734" s="46"/>
      <c r="T734" s="46"/>
      <c r="U734" s="46"/>
      <c r="V734" s="46"/>
      <c r="W734" s="46"/>
      <c r="X734" s="46"/>
      <c r="Y734" s="46"/>
      <c r="Z734" s="46"/>
      <c r="AA734" s="46"/>
      <c r="AB734" s="46"/>
    </row>
    <row r="735" hidden="1">
      <c r="A735" s="90" t="s">
        <v>952</v>
      </c>
      <c r="B735" s="91" t="str">
        <f>IFERROR(VLOOKUP(A735,'Salary Calculation'!A735:F1732,2,0),"")</f>
        <v/>
      </c>
      <c r="C735" s="91" t="str">
        <f>IFERROR(VLOOKUP(A735,'Salary Calculation'!$A$2:$T$999,3,0),"")</f>
        <v/>
      </c>
      <c r="D735" s="91" t="str">
        <f>IFERROR(VLOOKUP(A735,'Salary Calculation'!$A$2:$T$999,6,0),"")</f>
        <v/>
      </c>
      <c r="E735" s="91" t="str">
        <f>IFERROR(VLOOKUP(A735,'Salary Calculation'!$A$2:$T$999,8,0),"")</f>
        <v/>
      </c>
      <c r="F735" s="92" t="str">
        <f>IFERROR(VLOOKUP(C735,'Employees List'!$B$2:H999,6,0),"")</f>
        <v/>
      </c>
      <c r="G735" s="93" t="str">
        <f>IFERROR(VLOOKUP(A735,'Salary Calculation'!$A$2:$T$999,7,0),"")</f>
        <v/>
      </c>
      <c r="H735" s="94"/>
      <c r="I735" s="46"/>
      <c r="J735" s="46"/>
      <c r="K735" s="46"/>
      <c r="L735" s="46"/>
      <c r="M735" s="46"/>
      <c r="N735" s="46"/>
      <c r="O735" s="46"/>
      <c r="P735" s="46"/>
      <c r="Q735" s="46"/>
      <c r="R735" s="46"/>
      <c r="S735" s="46"/>
      <c r="T735" s="46"/>
      <c r="U735" s="46"/>
      <c r="V735" s="46"/>
      <c r="W735" s="46"/>
      <c r="X735" s="46"/>
      <c r="Y735" s="46"/>
      <c r="Z735" s="46"/>
      <c r="AA735" s="46"/>
      <c r="AB735" s="46"/>
    </row>
    <row r="736" hidden="1">
      <c r="A736" s="90" t="s">
        <v>953</v>
      </c>
      <c r="B736" s="91" t="str">
        <f>IFERROR(VLOOKUP(A736,'Salary Calculation'!A736:F1733,2,0),"")</f>
        <v/>
      </c>
      <c r="C736" s="91" t="str">
        <f>IFERROR(VLOOKUP(A736,'Salary Calculation'!$A$2:$T$999,3,0),"")</f>
        <v/>
      </c>
      <c r="D736" s="91" t="str">
        <f>IFERROR(VLOOKUP(A736,'Salary Calculation'!$A$2:$T$999,6,0),"")</f>
        <v/>
      </c>
      <c r="E736" s="91" t="str">
        <f>IFERROR(VLOOKUP(A736,'Salary Calculation'!$A$2:$T$999,8,0),"")</f>
        <v/>
      </c>
      <c r="F736" s="92" t="str">
        <f>IFERROR(VLOOKUP(C736,'Employees List'!$B$2:H999,6,0),"")</f>
        <v/>
      </c>
      <c r="G736" s="93" t="str">
        <f>IFERROR(VLOOKUP(A736,'Salary Calculation'!$A$2:$T$999,7,0),"")</f>
        <v/>
      </c>
      <c r="H736" s="94"/>
      <c r="I736" s="46"/>
      <c r="J736" s="46"/>
      <c r="K736" s="46"/>
      <c r="L736" s="46"/>
      <c r="M736" s="46"/>
      <c r="N736" s="46"/>
      <c r="O736" s="46"/>
      <c r="P736" s="46"/>
      <c r="Q736" s="46"/>
      <c r="R736" s="46"/>
      <c r="S736" s="46"/>
      <c r="T736" s="46"/>
      <c r="U736" s="46"/>
      <c r="V736" s="46"/>
      <c r="W736" s="46"/>
      <c r="X736" s="46"/>
      <c r="Y736" s="46"/>
      <c r="Z736" s="46"/>
      <c r="AA736" s="46"/>
      <c r="AB736" s="46"/>
    </row>
    <row r="737" hidden="1">
      <c r="A737" s="90" t="s">
        <v>954</v>
      </c>
      <c r="B737" s="91" t="str">
        <f>IFERROR(VLOOKUP(A737,'Salary Calculation'!A737:F1734,2,0),"")</f>
        <v/>
      </c>
      <c r="C737" s="91" t="str">
        <f>IFERROR(VLOOKUP(A737,'Salary Calculation'!$A$2:$T$999,3,0),"")</f>
        <v/>
      </c>
      <c r="D737" s="91" t="str">
        <f>IFERROR(VLOOKUP(A737,'Salary Calculation'!$A$2:$T$999,6,0),"")</f>
        <v/>
      </c>
      <c r="E737" s="91" t="str">
        <f>IFERROR(VLOOKUP(A737,'Salary Calculation'!$A$2:$T$999,8,0),"")</f>
        <v/>
      </c>
      <c r="F737" s="92" t="str">
        <f>IFERROR(VLOOKUP(C737,'Employees List'!$B$2:H999,6,0),"")</f>
        <v/>
      </c>
      <c r="G737" s="93" t="str">
        <f>IFERROR(VLOOKUP(A737,'Salary Calculation'!$A$2:$T$999,7,0),"")</f>
        <v/>
      </c>
      <c r="H737" s="94"/>
      <c r="I737" s="46"/>
      <c r="J737" s="46"/>
      <c r="K737" s="46"/>
      <c r="L737" s="46"/>
      <c r="M737" s="46"/>
      <c r="N737" s="46"/>
      <c r="O737" s="46"/>
      <c r="P737" s="46"/>
      <c r="Q737" s="46"/>
      <c r="R737" s="46"/>
      <c r="S737" s="46"/>
      <c r="T737" s="46"/>
      <c r="U737" s="46"/>
      <c r="V737" s="46"/>
      <c r="W737" s="46"/>
      <c r="X737" s="46"/>
      <c r="Y737" s="46"/>
      <c r="Z737" s="46"/>
      <c r="AA737" s="46"/>
      <c r="AB737" s="46"/>
    </row>
    <row r="738" hidden="1">
      <c r="A738" s="90" t="s">
        <v>955</v>
      </c>
      <c r="B738" s="91" t="str">
        <f>IFERROR(VLOOKUP(A738,'Salary Calculation'!A738:F1735,2,0),"")</f>
        <v/>
      </c>
      <c r="C738" s="91" t="str">
        <f>IFERROR(VLOOKUP(A738,'Salary Calculation'!$A$2:$T$999,3,0),"")</f>
        <v/>
      </c>
      <c r="D738" s="91" t="str">
        <f>IFERROR(VLOOKUP(A738,'Salary Calculation'!$A$2:$T$999,6,0),"")</f>
        <v/>
      </c>
      <c r="E738" s="91" t="str">
        <f>IFERROR(VLOOKUP(A738,'Salary Calculation'!$A$2:$T$999,8,0),"")</f>
        <v/>
      </c>
      <c r="F738" s="92" t="str">
        <f>IFERROR(VLOOKUP(C738,'Employees List'!$B$2:H999,6,0),"")</f>
        <v/>
      </c>
      <c r="G738" s="93" t="str">
        <f>IFERROR(VLOOKUP(A738,'Salary Calculation'!$A$2:$T$999,7,0),"")</f>
        <v/>
      </c>
      <c r="H738" s="94"/>
      <c r="I738" s="46"/>
      <c r="J738" s="46"/>
      <c r="K738" s="46"/>
      <c r="L738" s="46"/>
      <c r="M738" s="46"/>
      <c r="N738" s="46"/>
      <c r="O738" s="46"/>
      <c r="P738" s="46"/>
      <c r="Q738" s="46"/>
      <c r="R738" s="46"/>
      <c r="S738" s="46"/>
      <c r="T738" s="46"/>
      <c r="U738" s="46"/>
      <c r="V738" s="46"/>
      <c r="W738" s="46"/>
      <c r="X738" s="46"/>
      <c r="Y738" s="46"/>
      <c r="Z738" s="46"/>
      <c r="AA738" s="46"/>
      <c r="AB738" s="46"/>
    </row>
    <row r="739" hidden="1">
      <c r="A739" s="90" t="s">
        <v>956</v>
      </c>
      <c r="B739" s="91" t="str">
        <f>IFERROR(VLOOKUP(A739,'Salary Calculation'!A739:F1736,2,0),"")</f>
        <v/>
      </c>
      <c r="C739" s="91" t="str">
        <f>IFERROR(VLOOKUP(A739,'Salary Calculation'!$A$2:$T$999,3,0),"")</f>
        <v/>
      </c>
      <c r="D739" s="91" t="str">
        <f>IFERROR(VLOOKUP(A739,'Salary Calculation'!$A$2:$T$999,6,0),"")</f>
        <v/>
      </c>
      <c r="E739" s="91" t="str">
        <f>IFERROR(VLOOKUP(A739,'Salary Calculation'!$A$2:$T$999,8,0),"")</f>
        <v/>
      </c>
      <c r="F739" s="92" t="str">
        <f>IFERROR(VLOOKUP(C739,'Employees List'!$B$2:H999,6,0),"")</f>
        <v/>
      </c>
      <c r="G739" s="93" t="str">
        <f>IFERROR(VLOOKUP(A739,'Salary Calculation'!$A$2:$T$999,7,0),"")</f>
        <v/>
      </c>
      <c r="H739" s="94"/>
      <c r="I739" s="46"/>
      <c r="J739" s="46"/>
      <c r="K739" s="46"/>
      <c r="L739" s="46"/>
      <c r="M739" s="46"/>
      <c r="N739" s="46"/>
      <c r="O739" s="46"/>
      <c r="P739" s="46"/>
      <c r="Q739" s="46"/>
      <c r="R739" s="46"/>
      <c r="S739" s="46"/>
      <c r="T739" s="46"/>
      <c r="U739" s="46"/>
      <c r="V739" s="46"/>
      <c r="W739" s="46"/>
      <c r="X739" s="46"/>
      <c r="Y739" s="46"/>
      <c r="Z739" s="46"/>
      <c r="AA739" s="46"/>
      <c r="AB739" s="46"/>
    </row>
    <row r="740" hidden="1">
      <c r="A740" s="90" t="s">
        <v>957</v>
      </c>
      <c r="B740" s="91" t="str">
        <f>IFERROR(VLOOKUP(A740,'Salary Calculation'!A740:F1737,2,0),"")</f>
        <v/>
      </c>
      <c r="C740" s="91" t="str">
        <f>IFERROR(VLOOKUP(A740,'Salary Calculation'!$A$2:$T$999,3,0),"")</f>
        <v/>
      </c>
      <c r="D740" s="91" t="str">
        <f>IFERROR(VLOOKUP(A740,'Salary Calculation'!$A$2:$T$999,6,0),"")</f>
        <v/>
      </c>
      <c r="E740" s="91" t="str">
        <f>IFERROR(VLOOKUP(A740,'Salary Calculation'!$A$2:$T$999,8,0),"")</f>
        <v/>
      </c>
      <c r="F740" s="92" t="str">
        <f>IFERROR(VLOOKUP(C740,'Employees List'!$B$2:H999,6,0),"")</f>
        <v/>
      </c>
      <c r="G740" s="93" t="str">
        <f>IFERROR(VLOOKUP(A740,'Salary Calculation'!$A$2:$T$999,7,0),"")</f>
        <v/>
      </c>
      <c r="H740" s="94"/>
      <c r="I740" s="46"/>
      <c r="J740" s="46"/>
      <c r="K740" s="46"/>
      <c r="L740" s="46"/>
      <c r="M740" s="46"/>
      <c r="N740" s="46"/>
      <c r="O740" s="46"/>
      <c r="P740" s="46"/>
      <c r="Q740" s="46"/>
      <c r="R740" s="46"/>
      <c r="S740" s="46"/>
      <c r="T740" s="46"/>
      <c r="U740" s="46"/>
      <c r="V740" s="46"/>
      <c r="W740" s="46"/>
      <c r="X740" s="46"/>
      <c r="Y740" s="46"/>
      <c r="Z740" s="46"/>
      <c r="AA740" s="46"/>
      <c r="AB740" s="46"/>
    </row>
    <row r="741" hidden="1">
      <c r="A741" s="90" t="s">
        <v>958</v>
      </c>
      <c r="B741" s="91" t="str">
        <f>IFERROR(VLOOKUP(A741,'Salary Calculation'!A741:F1738,2,0),"")</f>
        <v/>
      </c>
      <c r="C741" s="91" t="str">
        <f>IFERROR(VLOOKUP(A741,'Salary Calculation'!$A$2:$T$999,3,0),"")</f>
        <v/>
      </c>
      <c r="D741" s="91" t="str">
        <f>IFERROR(VLOOKUP(A741,'Salary Calculation'!$A$2:$T$999,6,0),"")</f>
        <v/>
      </c>
      <c r="E741" s="91" t="str">
        <f>IFERROR(VLOOKUP(A741,'Salary Calculation'!$A$2:$T$999,8,0),"")</f>
        <v/>
      </c>
      <c r="F741" s="92" t="str">
        <f>IFERROR(VLOOKUP(C741,'Employees List'!$B$2:H999,6,0),"")</f>
        <v/>
      </c>
      <c r="G741" s="93" t="str">
        <f>IFERROR(VLOOKUP(A741,'Salary Calculation'!$A$2:$T$999,7,0),"")</f>
        <v/>
      </c>
      <c r="H741" s="94"/>
      <c r="I741" s="46"/>
      <c r="J741" s="46"/>
      <c r="K741" s="46"/>
      <c r="L741" s="46"/>
      <c r="M741" s="46"/>
      <c r="N741" s="46"/>
      <c r="O741" s="46"/>
      <c r="P741" s="46"/>
      <c r="Q741" s="46"/>
      <c r="R741" s="46"/>
      <c r="S741" s="46"/>
      <c r="T741" s="46"/>
      <c r="U741" s="46"/>
      <c r="V741" s="46"/>
      <c r="W741" s="46"/>
      <c r="X741" s="46"/>
      <c r="Y741" s="46"/>
      <c r="Z741" s="46"/>
      <c r="AA741" s="46"/>
      <c r="AB741" s="46"/>
    </row>
    <row r="742" hidden="1">
      <c r="A742" s="90" t="s">
        <v>959</v>
      </c>
      <c r="B742" s="91" t="str">
        <f>IFERROR(VLOOKUP(A742,'Salary Calculation'!A742:F1739,2,0),"")</f>
        <v/>
      </c>
      <c r="C742" s="91" t="str">
        <f>IFERROR(VLOOKUP(A742,'Salary Calculation'!$A$2:$T$999,3,0),"")</f>
        <v/>
      </c>
      <c r="D742" s="91" t="str">
        <f>IFERROR(VLOOKUP(A742,'Salary Calculation'!$A$2:$T$999,6,0),"")</f>
        <v/>
      </c>
      <c r="E742" s="91" t="str">
        <f>IFERROR(VLOOKUP(A742,'Salary Calculation'!$A$2:$T$999,8,0),"")</f>
        <v/>
      </c>
      <c r="F742" s="92" t="str">
        <f>IFERROR(VLOOKUP(C742,'Employees List'!$B$2:H999,6,0),"")</f>
        <v/>
      </c>
      <c r="G742" s="93" t="str">
        <f>IFERROR(VLOOKUP(A742,'Salary Calculation'!$A$2:$T$999,7,0),"")</f>
        <v/>
      </c>
      <c r="H742" s="94"/>
      <c r="I742" s="46"/>
      <c r="J742" s="46"/>
      <c r="K742" s="46"/>
      <c r="L742" s="46"/>
      <c r="M742" s="46"/>
      <c r="N742" s="46"/>
      <c r="O742" s="46"/>
      <c r="P742" s="46"/>
      <c r="Q742" s="46"/>
      <c r="R742" s="46"/>
      <c r="S742" s="46"/>
      <c r="T742" s="46"/>
      <c r="U742" s="46"/>
      <c r="V742" s="46"/>
      <c r="W742" s="46"/>
      <c r="X742" s="46"/>
      <c r="Y742" s="46"/>
      <c r="Z742" s="46"/>
      <c r="AA742" s="46"/>
      <c r="AB742" s="46"/>
    </row>
    <row r="743" hidden="1">
      <c r="A743" s="90" t="s">
        <v>960</v>
      </c>
      <c r="B743" s="91" t="str">
        <f>IFERROR(VLOOKUP(A743,'Salary Calculation'!A743:F1740,2,0),"")</f>
        <v/>
      </c>
      <c r="C743" s="91" t="str">
        <f>IFERROR(VLOOKUP(A743,'Salary Calculation'!$A$2:$T$999,3,0),"")</f>
        <v/>
      </c>
      <c r="D743" s="91" t="str">
        <f>IFERROR(VLOOKUP(A743,'Salary Calculation'!$A$2:$T$999,6,0),"")</f>
        <v/>
      </c>
      <c r="E743" s="91" t="str">
        <f>IFERROR(VLOOKUP(A743,'Salary Calculation'!$A$2:$T$999,8,0),"")</f>
        <v/>
      </c>
      <c r="F743" s="92" t="str">
        <f>IFERROR(VLOOKUP(C743,'Employees List'!$B$2:H999,6,0),"")</f>
        <v/>
      </c>
      <c r="G743" s="93" t="str">
        <f>IFERROR(VLOOKUP(A743,'Salary Calculation'!$A$2:$T$999,7,0),"")</f>
        <v/>
      </c>
      <c r="H743" s="94"/>
      <c r="I743" s="46"/>
      <c r="J743" s="46"/>
      <c r="K743" s="46"/>
      <c r="L743" s="46"/>
      <c r="M743" s="46"/>
      <c r="N743" s="46"/>
      <c r="O743" s="46"/>
      <c r="P743" s="46"/>
      <c r="Q743" s="46"/>
      <c r="R743" s="46"/>
      <c r="S743" s="46"/>
      <c r="T743" s="46"/>
      <c r="U743" s="46"/>
      <c r="V743" s="46"/>
      <c r="W743" s="46"/>
      <c r="X743" s="46"/>
      <c r="Y743" s="46"/>
      <c r="Z743" s="46"/>
      <c r="AA743" s="46"/>
      <c r="AB743" s="46"/>
    </row>
    <row r="744" hidden="1">
      <c r="A744" s="90" t="s">
        <v>961</v>
      </c>
      <c r="B744" s="91" t="str">
        <f>IFERROR(VLOOKUP(A744,'Salary Calculation'!A744:F1741,2,0),"")</f>
        <v/>
      </c>
      <c r="C744" s="91" t="str">
        <f>IFERROR(VLOOKUP(A744,'Salary Calculation'!$A$2:$T$999,3,0),"")</f>
        <v/>
      </c>
      <c r="D744" s="91" t="str">
        <f>IFERROR(VLOOKUP(A744,'Salary Calculation'!$A$2:$T$999,6,0),"")</f>
        <v/>
      </c>
      <c r="E744" s="91" t="str">
        <f>IFERROR(VLOOKUP(A744,'Salary Calculation'!$A$2:$T$999,8,0),"")</f>
        <v/>
      </c>
      <c r="F744" s="92" t="str">
        <f>IFERROR(VLOOKUP(C744,'Employees List'!$B$2:H999,6,0),"")</f>
        <v/>
      </c>
      <c r="G744" s="93" t="str">
        <f>IFERROR(VLOOKUP(A744,'Salary Calculation'!$A$2:$T$999,7,0),"")</f>
        <v/>
      </c>
      <c r="H744" s="94"/>
      <c r="I744" s="46"/>
      <c r="J744" s="46"/>
      <c r="K744" s="46"/>
      <c r="L744" s="46"/>
      <c r="M744" s="46"/>
      <c r="N744" s="46"/>
      <c r="O744" s="46"/>
      <c r="P744" s="46"/>
      <c r="Q744" s="46"/>
      <c r="R744" s="46"/>
      <c r="S744" s="46"/>
      <c r="T744" s="46"/>
      <c r="U744" s="46"/>
      <c r="V744" s="46"/>
      <c r="W744" s="46"/>
      <c r="X744" s="46"/>
      <c r="Y744" s="46"/>
      <c r="Z744" s="46"/>
      <c r="AA744" s="46"/>
      <c r="AB744" s="46"/>
    </row>
    <row r="745" hidden="1">
      <c r="A745" s="90" t="s">
        <v>962</v>
      </c>
      <c r="B745" s="91" t="str">
        <f>IFERROR(VLOOKUP(A745,'Salary Calculation'!A745:F1742,2,0),"")</f>
        <v/>
      </c>
      <c r="C745" s="91" t="str">
        <f>IFERROR(VLOOKUP(A745,'Salary Calculation'!$A$2:$T$999,3,0),"")</f>
        <v/>
      </c>
      <c r="D745" s="91" t="str">
        <f>IFERROR(VLOOKUP(A745,'Salary Calculation'!$A$2:$T$999,6,0),"")</f>
        <v/>
      </c>
      <c r="E745" s="91" t="str">
        <f>IFERROR(VLOOKUP(A745,'Salary Calculation'!$A$2:$T$999,8,0),"")</f>
        <v/>
      </c>
      <c r="F745" s="92" t="str">
        <f>IFERROR(VLOOKUP(C745,'Employees List'!$B$2:H999,6,0),"")</f>
        <v/>
      </c>
      <c r="G745" s="93" t="str">
        <f>IFERROR(VLOOKUP(A745,'Salary Calculation'!$A$2:$T$999,7,0),"")</f>
        <v/>
      </c>
      <c r="H745" s="94"/>
      <c r="I745" s="46"/>
      <c r="J745" s="46"/>
      <c r="K745" s="46"/>
      <c r="L745" s="46"/>
      <c r="M745" s="46"/>
      <c r="N745" s="46"/>
      <c r="O745" s="46"/>
      <c r="P745" s="46"/>
      <c r="Q745" s="46"/>
      <c r="R745" s="46"/>
      <c r="S745" s="46"/>
      <c r="T745" s="46"/>
      <c r="U745" s="46"/>
      <c r="V745" s="46"/>
      <c r="W745" s="46"/>
      <c r="X745" s="46"/>
      <c r="Y745" s="46"/>
      <c r="Z745" s="46"/>
      <c r="AA745" s="46"/>
      <c r="AB745" s="46"/>
    </row>
    <row r="746" hidden="1">
      <c r="A746" s="90" t="s">
        <v>963</v>
      </c>
      <c r="B746" s="91" t="str">
        <f>IFERROR(VLOOKUP(A746,'Salary Calculation'!A746:F1743,2,0),"")</f>
        <v/>
      </c>
      <c r="C746" s="91" t="str">
        <f>IFERROR(VLOOKUP(A746,'Salary Calculation'!$A$2:$T$999,3,0),"")</f>
        <v/>
      </c>
      <c r="D746" s="91" t="str">
        <f>IFERROR(VLOOKUP(A746,'Salary Calculation'!$A$2:$T$999,6,0),"")</f>
        <v/>
      </c>
      <c r="E746" s="91" t="str">
        <f>IFERROR(VLOOKUP(A746,'Salary Calculation'!$A$2:$T$999,8,0),"")</f>
        <v/>
      </c>
      <c r="F746" s="92" t="str">
        <f>IFERROR(VLOOKUP(C746,'Employees List'!$B$2:H999,6,0),"")</f>
        <v/>
      </c>
      <c r="G746" s="93" t="str">
        <f>IFERROR(VLOOKUP(A746,'Salary Calculation'!$A$2:$T$999,7,0),"")</f>
        <v/>
      </c>
      <c r="H746" s="94"/>
      <c r="I746" s="46"/>
      <c r="J746" s="46"/>
      <c r="K746" s="46"/>
      <c r="L746" s="46"/>
      <c r="M746" s="46"/>
      <c r="N746" s="46"/>
      <c r="O746" s="46"/>
      <c r="P746" s="46"/>
      <c r="Q746" s="46"/>
      <c r="R746" s="46"/>
      <c r="S746" s="46"/>
      <c r="T746" s="46"/>
      <c r="U746" s="46"/>
      <c r="V746" s="46"/>
      <c r="W746" s="46"/>
      <c r="X746" s="46"/>
      <c r="Y746" s="46"/>
      <c r="Z746" s="46"/>
      <c r="AA746" s="46"/>
      <c r="AB746" s="46"/>
    </row>
    <row r="747" hidden="1">
      <c r="A747" s="90" t="s">
        <v>964</v>
      </c>
      <c r="B747" s="91" t="str">
        <f>IFERROR(VLOOKUP(A747,'Salary Calculation'!A747:F1744,2,0),"")</f>
        <v/>
      </c>
      <c r="C747" s="91" t="str">
        <f>IFERROR(VLOOKUP(A747,'Salary Calculation'!$A$2:$T$999,3,0),"")</f>
        <v/>
      </c>
      <c r="D747" s="91" t="str">
        <f>IFERROR(VLOOKUP(A747,'Salary Calculation'!$A$2:$T$999,6,0),"")</f>
        <v/>
      </c>
      <c r="E747" s="91" t="str">
        <f>IFERROR(VLOOKUP(A747,'Salary Calculation'!$A$2:$T$999,8,0),"")</f>
        <v/>
      </c>
      <c r="F747" s="92" t="str">
        <f>IFERROR(VLOOKUP(C747,'Employees List'!$B$2:H999,6,0),"")</f>
        <v/>
      </c>
      <c r="G747" s="93" t="str">
        <f>IFERROR(VLOOKUP(A747,'Salary Calculation'!$A$2:$T$999,7,0),"")</f>
        <v/>
      </c>
      <c r="H747" s="94"/>
      <c r="I747" s="46"/>
      <c r="J747" s="46"/>
      <c r="K747" s="46"/>
      <c r="L747" s="46"/>
      <c r="M747" s="46"/>
      <c r="N747" s="46"/>
      <c r="O747" s="46"/>
      <c r="P747" s="46"/>
      <c r="Q747" s="46"/>
      <c r="R747" s="46"/>
      <c r="S747" s="46"/>
      <c r="T747" s="46"/>
      <c r="U747" s="46"/>
      <c r="V747" s="46"/>
      <c r="W747" s="46"/>
      <c r="X747" s="46"/>
      <c r="Y747" s="46"/>
      <c r="Z747" s="46"/>
      <c r="AA747" s="46"/>
      <c r="AB747" s="46"/>
    </row>
    <row r="748" hidden="1">
      <c r="A748" s="90" t="s">
        <v>965</v>
      </c>
      <c r="B748" s="91" t="str">
        <f>IFERROR(VLOOKUP(A748,'Salary Calculation'!A748:F1745,2,0),"")</f>
        <v/>
      </c>
      <c r="C748" s="91" t="str">
        <f>IFERROR(VLOOKUP(A748,'Salary Calculation'!$A$2:$T$999,3,0),"")</f>
        <v/>
      </c>
      <c r="D748" s="91" t="str">
        <f>IFERROR(VLOOKUP(A748,'Salary Calculation'!$A$2:$T$999,6,0),"")</f>
        <v/>
      </c>
      <c r="E748" s="91" t="str">
        <f>IFERROR(VLOOKUP(A748,'Salary Calculation'!$A$2:$T$999,8,0),"")</f>
        <v/>
      </c>
      <c r="F748" s="92" t="str">
        <f>IFERROR(VLOOKUP(C748,'Employees List'!$B$2:H999,6,0),"")</f>
        <v/>
      </c>
      <c r="G748" s="93" t="str">
        <f>IFERROR(VLOOKUP(A748,'Salary Calculation'!$A$2:$T$999,7,0),"")</f>
        <v/>
      </c>
      <c r="H748" s="94"/>
      <c r="I748" s="46"/>
      <c r="J748" s="46"/>
      <c r="K748" s="46"/>
      <c r="L748" s="46"/>
      <c r="M748" s="46"/>
      <c r="N748" s="46"/>
      <c r="O748" s="46"/>
      <c r="P748" s="46"/>
      <c r="Q748" s="46"/>
      <c r="R748" s="46"/>
      <c r="S748" s="46"/>
      <c r="T748" s="46"/>
      <c r="U748" s="46"/>
      <c r="V748" s="46"/>
      <c r="W748" s="46"/>
      <c r="X748" s="46"/>
      <c r="Y748" s="46"/>
      <c r="Z748" s="46"/>
      <c r="AA748" s="46"/>
      <c r="AB748" s="46"/>
    </row>
    <row r="749" hidden="1">
      <c r="A749" s="90" t="s">
        <v>966</v>
      </c>
      <c r="B749" s="91" t="str">
        <f>IFERROR(VLOOKUP(A749,'Salary Calculation'!A749:F1746,2,0),"")</f>
        <v/>
      </c>
      <c r="C749" s="91" t="str">
        <f>IFERROR(VLOOKUP(A749,'Salary Calculation'!$A$2:$T$999,3,0),"")</f>
        <v/>
      </c>
      <c r="D749" s="91" t="str">
        <f>IFERROR(VLOOKUP(A749,'Salary Calculation'!$A$2:$T$999,6,0),"")</f>
        <v/>
      </c>
      <c r="E749" s="91" t="str">
        <f>IFERROR(VLOOKUP(A749,'Salary Calculation'!$A$2:$T$999,8,0),"")</f>
        <v/>
      </c>
      <c r="F749" s="92" t="str">
        <f>IFERROR(VLOOKUP(C749,'Employees List'!$B$2:H999,6,0),"")</f>
        <v/>
      </c>
      <c r="G749" s="93" t="str">
        <f>IFERROR(VLOOKUP(A749,'Salary Calculation'!$A$2:$T$999,7,0),"")</f>
        <v/>
      </c>
      <c r="H749" s="94"/>
      <c r="I749" s="46"/>
      <c r="J749" s="46"/>
      <c r="K749" s="46"/>
      <c r="L749" s="46"/>
      <c r="M749" s="46"/>
      <c r="N749" s="46"/>
      <c r="O749" s="46"/>
      <c r="P749" s="46"/>
      <c r="Q749" s="46"/>
      <c r="R749" s="46"/>
      <c r="S749" s="46"/>
      <c r="T749" s="46"/>
      <c r="U749" s="46"/>
      <c r="V749" s="46"/>
      <c r="W749" s="46"/>
      <c r="X749" s="46"/>
      <c r="Y749" s="46"/>
      <c r="Z749" s="46"/>
      <c r="AA749" s="46"/>
      <c r="AB749" s="46"/>
    </row>
    <row r="750" hidden="1">
      <c r="A750" s="90" t="s">
        <v>967</v>
      </c>
      <c r="B750" s="91" t="str">
        <f>IFERROR(VLOOKUP(A750,'Salary Calculation'!A750:F1747,2,0),"")</f>
        <v/>
      </c>
      <c r="C750" s="91" t="str">
        <f>IFERROR(VLOOKUP(A750,'Salary Calculation'!$A$2:$T$999,3,0),"")</f>
        <v/>
      </c>
      <c r="D750" s="91" t="str">
        <f>IFERROR(VLOOKUP(A750,'Salary Calculation'!$A$2:$T$999,6,0),"")</f>
        <v/>
      </c>
      <c r="E750" s="91" t="str">
        <f>IFERROR(VLOOKUP(A750,'Salary Calculation'!$A$2:$T$999,8,0),"")</f>
        <v/>
      </c>
      <c r="F750" s="92" t="str">
        <f>IFERROR(VLOOKUP(C750,'Employees List'!$B$2:H999,6,0),"")</f>
        <v/>
      </c>
      <c r="G750" s="93" t="str">
        <f>IFERROR(VLOOKUP(A750,'Salary Calculation'!$A$2:$T$999,7,0),"")</f>
        <v/>
      </c>
      <c r="H750" s="94"/>
      <c r="I750" s="46"/>
      <c r="J750" s="46"/>
      <c r="K750" s="46"/>
      <c r="L750" s="46"/>
      <c r="M750" s="46"/>
      <c r="N750" s="46"/>
      <c r="O750" s="46"/>
      <c r="P750" s="46"/>
      <c r="Q750" s="46"/>
      <c r="R750" s="46"/>
      <c r="S750" s="46"/>
      <c r="T750" s="46"/>
      <c r="U750" s="46"/>
      <c r="V750" s="46"/>
      <c r="W750" s="46"/>
      <c r="X750" s="46"/>
      <c r="Y750" s="46"/>
      <c r="Z750" s="46"/>
      <c r="AA750" s="46"/>
      <c r="AB750" s="46"/>
    </row>
    <row r="751" hidden="1">
      <c r="A751" s="90" t="s">
        <v>968</v>
      </c>
      <c r="B751" s="91" t="str">
        <f>IFERROR(VLOOKUP(A751,'Salary Calculation'!A751:F1748,2,0),"")</f>
        <v/>
      </c>
      <c r="C751" s="91" t="str">
        <f>IFERROR(VLOOKUP(A751,'Salary Calculation'!$A$2:$T$999,3,0),"")</f>
        <v/>
      </c>
      <c r="D751" s="91" t="str">
        <f>IFERROR(VLOOKUP(A751,'Salary Calculation'!$A$2:$T$999,6,0),"")</f>
        <v/>
      </c>
      <c r="E751" s="91" t="str">
        <f>IFERROR(VLOOKUP(A751,'Salary Calculation'!$A$2:$T$999,8,0),"")</f>
        <v/>
      </c>
      <c r="F751" s="92" t="str">
        <f>IFERROR(VLOOKUP(C751,'Employees List'!$B$2:H999,6,0),"")</f>
        <v/>
      </c>
      <c r="G751" s="93" t="str">
        <f>IFERROR(VLOOKUP(A751,'Salary Calculation'!$A$2:$T$999,7,0),"")</f>
        <v/>
      </c>
      <c r="H751" s="94"/>
      <c r="I751" s="46"/>
      <c r="J751" s="46"/>
      <c r="K751" s="46"/>
      <c r="L751" s="46"/>
      <c r="M751" s="46"/>
      <c r="N751" s="46"/>
      <c r="O751" s="46"/>
      <c r="P751" s="46"/>
      <c r="Q751" s="46"/>
      <c r="R751" s="46"/>
      <c r="S751" s="46"/>
      <c r="T751" s="46"/>
      <c r="U751" s="46"/>
      <c r="V751" s="46"/>
      <c r="W751" s="46"/>
      <c r="X751" s="46"/>
      <c r="Y751" s="46"/>
      <c r="Z751" s="46"/>
      <c r="AA751" s="46"/>
      <c r="AB751" s="46"/>
    </row>
    <row r="752" hidden="1">
      <c r="A752" s="90" t="s">
        <v>969</v>
      </c>
      <c r="B752" s="91" t="str">
        <f>IFERROR(VLOOKUP(A752,'Salary Calculation'!A752:F1749,2,0),"")</f>
        <v/>
      </c>
      <c r="C752" s="91" t="str">
        <f>IFERROR(VLOOKUP(A752,'Salary Calculation'!$A$2:$T$999,3,0),"")</f>
        <v/>
      </c>
      <c r="D752" s="91" t="str">
        <f>IFERROR(VLOOKUP(A752,'Salary Calculation'!$A$2:$T$999,6,0),"")</f>
        <v/>
      </c>
      <c r="E752" s="91" t="str">
        <f>IFERROR(VLOOKUP(A752,'Salary Calculation'!$A$2:$T$999,8,0),"")</f>
        <v/>
      </c>
      <c r="F752" s="92" t="str">
        <f>IFERROR(VLOOKUP(C752,'Employees List'!$B$2:H999,6,0),"")</f>
        <v/>
      </c>
      <c r="G752" s="93" t="str">
        <f>IFERROR(VLOOKUP(A752,'Salary Calculation'!$A$2:$T$999,7,0),"")</f>
        <v/>
      </c>
      <c r="H752" s="94"/>
      <c r="I752" s="46"/>
      <c r="J752" s="46"/>
      <c r="K752" s="46"/>
      <c r="L752" s="46"/>
      <c r="M752" s="46"/>
      <c r="N752" s="46"/>
      <c r="O752" s="46"/>
      <c r="P752" s="46"/>
      <c r="Q752" s="46"/>
      <c r="R752" s="46"/>
      <c r="S752" s="46"/>
      <c r="T752" s="46"/>
      <c r="U752" s="46"/>
      <c r="V752" s="46"/>
      <c r="W752" s="46"/>
      <c r="X752" s="46"/>
      <c r="Y752" s="46"/>
      <c r="Z752" s="46"/>
      <c r="AA752" s="46"/>
      <c r="AB752" s="46"/>
    </row>
    <row r="753" hidden="1">
      <c r="A753" s="90" t="s">
        <v>970</v>
      </c>
      <c r="B753" s="91" t="str">
        <f>IFERROR(VLOOKUP(A753,'Salary Calculation'!A753:F1750,2,0),"")</f>
        <v/>
      </c>
      <c r="C753" s="91" t="str">
        <f>IFERROR(VLOOKUP(A753,'Salary Calculation'!$A$2:$T$999,3,0),"")</f>
        <v/>
      </c>
      <c r="D753" s="91" t="str">
        <f>IFERROR(VLOOKUP(A753,'Salary Calculation'!$A$2:$T$999,6,0),"")</f>
        <v/>
      </c>
      <c r="E753" s="91" t="str">
        <f>IFERROR(VLOOKUP(A753,'Salary Calculation'!$A$2:$T$999,8,0),"")</f>
        <v/>
      </c>
      <c r="F753" s="92" t="str">
        <f>IFERROR(VLOOKUP(C753,'Employees List'!$B$2:H999,6,0),"")</f>
        <v/>
      </c>
      <c r="G753" s="93" t="str">
        <f>IFERROR(VLOOKUP(A753,'Salary Calculation'!$A$2:$T$999,7,0),"")</f>
        <v/>
      </c>
      <c r="H753" s="94"/>
      <c r="I753" s="46"/>
      <c r="J753" s="46"/>
      <c r="K753" s="46"/>
      <c r="L753" s="46"/>
      <c r="M753" s="46"/>
      <c r="N753" s="46"/>
      <c r="O753" s="46"/>
      <c r="P753" s="46"/>
      <c r="Q753" s="46"/>
      <c r="R753" s="46"/>
      <c r="S753" s="46"/>
      <c r="T753" s="46"/>
      <c r="U753" s="46"/>
      <c r="V753" s="46"/>
      <c r="W753" s="46"/>
      <c r="X753" s="46"/>
      <c r="Y753" s="46"/>
      <c r="Z753" s="46"/>
      <c r="AA753" s="46"/>
      <c r="AB753" s="46"/>
    </row>
    <row r="754" hidden="1">
      <c r="A754" s="90" t="s">
        <v>971</v>
      </c>
      <c r="B754" s="91" t="str">
        <f>IFERROR(VLOOKUP(A754,'Salary Calculation'!A754:F1751,2,0),"")</f>
        <v/>
      </c>
      <c r="C754" s="91" t="str">
        <f>IFERROR(VLOOKUP(A754,'Salary Calculation'!$A$2:$T$999,3,0),"")</f>
        <v/>
      </c>
      <c r="D754" s="91" t="str">
        <f>IFERROR(VLOOKUP(A754,'Salary Calculation'!$A$2:$T$999,6,0),"")</f>
        <v/>
      </c>
      <c r="E754" s="91" t="str">
        <f>IFERROR(VLOOKUP(A754,'Salary Calculation'!$A$2:$T$999,8,0),"")</f>
        <v/>
      </c>
      <c r="F754" s="92" t="str">
        <f>IFERROR(VLOOKUP(C754,'Employees List'!$B$2:H999,6,0),"")</f>
        <v/>
      </c>
      <c r="G754" s="93" t="str">
        <f>IFERROR(VLOOKUP(A754,'Salary Calculation'!$A$2:$T$999,7,0),"")</f>
        <v/>
      </c>
      <c r="H754" s="94"/>
      <c r="I754" s="46"/>
      <c r="J754" s="46"/>
      <c r="K754" s="46"/>
      <c r="L754" s="46"/>
      <c r="M754" s="46"/>
      <c r="N754" s="46"/>
      <c r="O754" s="46"/>
      <c r="P754" s="46"/>
      <c r="Q754" s="46"/>
      <c r="R754" s="46"/>
      <c r="S754" s="46"/>
      <c r="T754" s="46"/>
      <c r="U754" s="46"/>
      <c r="V754" s="46"/>
      <c r="W754" s="46"/>
      <c r="X754" s="46"/>
      <c r="Y754" s="46"/>
      <c r="Z754" s="46"/>
      <c r="AA754" s="46"/>
      <c r="AB754" s="46"/>
    </row>
    <row r="755" hidden="1">
      <c r="A755" s="90" t="s">
        <v>972</v>
      </c>
      <c r="B755" s="91" t="str">
        <f>IFERROR(VLOOKUP(A755,'Salary Calculation'!A755:F1752,2,0),"")</f>
        <v/>
      </c>
      <c r="C755" s="91" t="str">
        <f>IFERROR(VLOOKUP(A755,'Salary Calculation'!$A$2:$T$999,3,0),"")</f>
        <v/>
      </c>
      <c r="D755" s="91" t="str">
        <f>IFERROR(VLOOKUP(A755,'Salary Calculation'!$A$2:$T$999,6,0),"")</f>
        <v/>
      </c>
      <c r="E755" s="91" t="str">
        <f>IFERROR(VLOOKUP(A755,'Salary Calculation'!$A$2:$T$999,8,0),"")</f>
        <v/>
      </c>
      <c r="F755" s="92" t="str">
        <f>IFERROR(VLOOKUP(C755,'Employees List'!$B$2:H999,6,0),"")</f>
        <v/>
      </c>
      <c r="G755" s="93" t="str">
        <f>IFERROR(VLOOKUP(A755,'Salary Calculation'!$A$2:$T$999,7,0),"")</f>
        <v/>
      </c>
      <c r="H755" s="94"/>
      <c r="I755" s="46"/>
      <c r="J755" s="46"/>
      <c r="K755" s="46"/>
      <c r="L755" s="46"/>
      <c r="M755" s="46"/>
      <c r="N755" s="46"/>
      <c r="O755" s="46"/>
      <c r="P755" s="46"/>
      <c r="Q755" s="46"/>
      <c r="R755" s="46"/>
      <c r="S755" s="46"/>
      <c r="T755" s="46"/>
      <c r="U755" s="46"/>
      <c r="V755" s="46"/>
      <c r="W755" s="46"/>
      <c r="X755" s="46"/>
      <c r="Y755" s="46"/>
      <c r="Z755" s="46"/>
      <c r="AA755" s="46"/>
      <c r="AB755" s="46"/>
    </row>
    <row r="756" hidden="1">
      <c r="A756" s="90" t="s">
        <v>973</v>
      </c>
      <c r="B756" s="91" t="str">
        <f>IFERROR(VLOOKUP(A756,'Salary Calculation'!A756:F1753,2,0),"")</f>
        <v/>
      </c>
      <c r="C756" s="91" t="str">
        <f>IFERROR(VLOOKUP(A756,'Salary Calculation'!$A$2:$T$999,3,0),"")</f>
        <v/>
      </c>
      <c r="D756" s="91" t="str">
        <f>IFERROR(VLOOKUP(A756,'Salary Calculation'!$A$2:$T$999,6,0),"")</f>
        <v/>
      </c>
      <c r="E756" s="91" t="str">
        <f>IFERROR(VLOOKUP(A756,'Salary Calculation'!$A$2:$T$999,8,0),"")</f>
        <v/>
      </c>
      <c r="F756" s="92" t="str">
        <f>IFERROR(VLOOKUP(C756,'Employees List'!$B$2:H999,6,0),"")</f>
        <v/>
      </c>
      <c r="G756" s="93" t="str">
        <f>IFERROR(VLOOKUP(A756,'Salary Calculation'!$A$2:$T$999,7,0),"")</f>
        <v/>
      </c>
      <c r="H756" s="94"/>
      <c r="I756" s="46"/>
      <c r="J756" s="46"/>
      <c r="K756" s="46"/>
      <c r="L756" s="46"/>
      <c r="M756" s="46"/>
      <c r="N756" s="46"/>
      <c r="O756" s="46"/>
      <c r="P756" s="46"/>
      <c r="Q756" s="46"/>
      <c r="R756" s="46"/>
      <c r="S756" s="46"/>
      <c r="T756" s="46"/>
      <c r="U756" s="46"/>
      <c r="V756" s="46"/>
      <c r="W756" s="46"/>
      <c r="X756" s="46"/>
      <c r="Y756" s="46"/>
      <c r="Z756" s="46"/>
      <c r="AA756" s="46"/>
      <c r="AB756" s="46"/>
    </row>
    <row r="757" hidden="1">
      <c r="A757" s="90" t="s">
        <v>974</v>
      </c>
      <c r="B757" s="91" t="str">
        <f>IFERROR(VLOOKUP(A757,'Salary Calculation'!A757:F1754,2,0),"")</f>
        <v/>
      </c>
      <c r="C757" s="91" t="str">
        <f>IFERROR(VLOOKUP(A757,'Salary Calculation'!$A$2:$T$999,3,0),"")</f>
        <v/>
      </c>
      <c r="D757" s="91" t="str">
        <f>IFERROR(VLOOKUP(A757,'Salary Calculation'!$A$2:$T$999,6,0),"")</f>
        <v/>
      </c>
      <c r="E757" s="91" t="str">
        <f>IFERROR(VLOOKUP(A757,'Salary Calculation'!$A$2:$T$999,8,0),"")</f>
        <v/>
      </c>
      <c r="F757" s="92" t="str">
        <f>IFERROR(VLOOKUP(C757,'Employees List'!$B$2:H999,6,0),"")</f>
        <v/>
      </c>
      <c r="G757" s="93" t="str">
        <f>IFERROR(VLOOKUP(A757,'Salary Calculation'!$A$2:$T$999,7,0),"")</f>
        <v/>
      </c>
      <c r="H757" s="94"/>
      <c r="I757" s="46"/>
      <c r="J757" s="46"/>
      <c r="K757" s="46"/>
      <c r="L757" s="46"/>
      <c r="M757" s="46"/>
      <c r="N757" s="46"/>
      <c r="O757" s="46"/>
      <c r="P757" s="46"/>
      <c r="Q757" s="46"/>
      <c r="R757" s="46"/>
      <c r="S757" s="46"/>
      <c r="T757" s="46"/>
      <c r="U757" s="46"/>
      <c r="V757" s="46"/>
      <c r="W757" s="46"/>
      <c r="X757" s="46"/>
      <c r="Y757" s="46"/>
      <c r="Z757" s="46"/>
      <c r="AA757" s="46"/>
      <c r="AB757" s="46"/>
    </row>
    <row r="758" hidden="1">
      <c r="A758" s="90" t="s">
        <v>975</v>
      </c>
      <c r="B758" s="91" t="str">
        <f>IFERROR(VLOOKUP(A758,'Salary Calculation'!A758:F1755,2,0),"")</f>
        <v/>
      </c>
      <c r="C758" s="91" t="str">
        <f>IFERROR(VLOOKUP(A758,'Salary Calculation'!$A$2:$T$999,3,0),"")</f>
        <v/>
      </c>
      <c r="D758" s="91" t="str">
        <f>IFERROR(VLOOKUP(A758,'Salary Calculation'!$A$2:$T$999,6,0),"")</f>
        <v/>
      </c>
      <c r="E758" s="91" t="str">
        <f>IFERROR(VLOOKUP(A758,'Salary Calculation'!$A$2:$T$999,8,0),"")</f>
        <v/>
      </c>
      <c r="F758" s="92" t="str">
        <f>IFERROR(VLOOKUP(C758,'Employees List'!$B$2:H999,6,0),"")</f>
        <v/>
      </c>
      <c r="G758" s="93" t="str">
        <f>IFERROR(VLOOKUP(A758,'Salary Calculation'!$A$2:$T$999,7,0),"")</f>
        <v/>
      </c>
      <c r="H758" s="94"/>
      <c r="I758" s="46"/>
      <c r="J758" s="46"/>
      <c r="K758" s="46"/>
      <c r="L758" s="46"/>
      <c r="M758" s="46"/>
      <c r="N758" s="46"/>
      <c r="O758" s="46"/>
      <c r="P758" s="46"/>
      <c r="Q758" s="46"/>
      <c r="R758" s="46"/>
      <c r="S758" s="46"/>
      <c r="T758" s="46"/>
      <c r="U758" s="46"/>
      <c r="V758" s="46"/>
      <c r="W758" s="46"/>
      <c r="X758" s="46"/>
      <c r="Y758" s="46"/>
      <c r="Z758" s="46"/>
      <c r="AA758" s="46"/>
      <c r="AB758" s="46"/>
    </row>
    <row r="759" hidden="1">
      <c r="A759" s="90" t="s">
        <v>976</v>
      </c>
      <c r="B759" s="91" t="str">
        <f>IFERROR(VLOOKUP(A759,'Salary Calculation'!A759:F1756,2,0),"")</f>
        <v/>
      </c>
      <c r="C759" s="91" t="str">
        <f>IFERROR(VLOOKUP(A759,'Salary Calculation'!$A$2:$T$999,3,0),"")</f>
        <v/>
      </c>
      <c r="D759" s="91" t="str">
        <f>IFERROR(VLOOKUP(A759,'Salary Calculation'!$A$2:$T$999,6,0),"")</f>
        <v/>
      </c>
      <c r="E759" s="91" t="str">
        <f>IFERROR(VLOOKUP(A759,'Salary Calculation'!$A$2:$T$999,8,0),"")</f>
        <v/>
      </c>
      <c r="F759" s="92" t="str">
        <f>IFERROR(VLOOKUP(C759,'Employees List'!$B$2:H999,6,0),"")</f>
        <v/>
      </c>
      <c r="G759" s="93" t="str">
        <f>IFERROR(VLOOKUP(A759,'Salary Calculation'!$A$2:$T$999,7,0),"")</f>
        <v/>
      </c>
      <c r="H759" s="94"/>
      <c r="I759" s="46"/>
      <c r="J759" s="46"/>
      <c r="K759" s="46"/>
      <c r="L759" s="46"/>
      <c r="M759" s="46"/>
      <c r="N759" s="46"/>
      <c r="O759" s="46"/>
      <c r="P759" s="46"/>
      <c r="Q759" s="46"/>
      <c r="R759" s="46"/>
      <c r="S759" s="46"/>
      <c r="T759" s="46"/>
      <c r="U759" s="46"/>
      <c r="V759" s="46"/>
      <c r="W759" s="46"/>
      <c r="X759" s="46"/>
      <c r="Y759" s="46"/>
      <c r="Z759" s="46"/>
      <c r="AA759" s="46"/>
      <c r="AB759" s="46"/>
    </row>
    <row r="760" hidden="1">
      <c r="A760" s="90" t="s">
        <v>977</v>
      </c>
      <c r="B760" s="91" t="str">
        <f>IFERROR(VLOOKUP(A760,'Salary Calculation'!A760:F1757,2,0),"")</f>
        <v/>
      </c>
      <c r="C760" s="91" t="str">
        <f>IFERROR(VLOOKUP(A760,'Salary Calculation'!$A$2:$T$999,3,0),"")</f>
        <v/>
      </c>
      <c r="D760" s="91" t="str">
        <f>IFERROR(VLOOKUP(A760,'Salary Calculation'!$A$2:$T$999,6,0),"")</f>
        <v/>
      </c>
      <c r="E760" s="91" t="str">
        <f>IFERROR(VLOOKUP(A760,'Salary Calculation'!$A$2:$T$999,8,0),"")</f>
        <v/>
      </c>
      <c r="F760" s="92" t="str">
        <f>IFERROR(VLOOKUP(C760,'Employees List'!$B$2:H999,6,0),"")</f>
        <v/>
      </c>
      <c r="G760" s="93" t="str">
        <f>IFERROR(VLOOKUP(A760,'Salary Calculation'!$A$2:$T$999,7,0),"")</f>
        <v/>
      </c>
      <c r="H760" s="94"/>
      <c r="I760" s="46"/>
      <c r="J760" s="46"/>
      <c r="K760" s="46"/>
      <c r="L760" s="46"/>
      <c r="M760" s="46"/>
      <c r="N760" s="46"/>
      <c r="O760" s="46"/>
      <c r="P760" s="46"/>
      <c r="Q760" s="46"/>
      <c r="R760" s="46"/>
      <c r="S760" s="46"/>
      <c r="T760" s="46"/>
      <c r="U760" s="46"/>
      <c r="V760" s="46"/>
      <c r="W760" s="46"/>
      <c r="X760" s="46"/>
      <c r="Y760" s="46"/>
      <c r="Z760" s="46"/>
      <c r="AA760" s="46"/>
      <c r="AB760" s="46"/>
    </row>
    <row r="761" hidden="1">
      <c r="A761" s="90" t="s">
        <v>978</v>
      </c>
      <c r="B761" s="91" t="str">
        <f>IFERROR(VLOOKUP(A761,'Salary Calculation'!A761:F1758,2,0),"")</f>
        <v/>
      </c>
      <c r="C761" s="91" t="str">
        <f>IFERROR(VLOOKUP(A761,'Salary Calculation'!$A$2:$T$999,3,0),"")</f>
        <v/>
      </c>
      <c r="D761" s="91" t="str">
        <f>IFERROR(VLOOKUP(A761,'Salary Calculation'!$A$2:$T$999,6,0),"")</f>
        <v/>
      </c>
      <c r="E761" s="91" t="str">
        <f>IFERROR(VLOOKUP(A761,'Salary Calculation'!$A$2:$T$999,8,0),"")</f>
        <v/>
      </c>
      <c r="F761" s="92" t="str">
        <f>IFERROR(VLOOKUP(C761,'Employees List'!$B$2:H999,6,0),"")</f>
        <v/>
      </c>
      <c r="G761" s="93" t="str">
        <f>IFERROR(VLOOKUP(A761,'Salary Calculation'!$A$2:$T$999,7,0),"")</f>
        <v/>
      </c>
      <c r="H761" s="94"/>
      <c r="I761" s="46"/>
      <c r="J761" s="46"/>
      <c r="K761" s="46"/>
      <c r="L761" s="46"/>
      <c r="M761" s="46"/>
      <c r="N761" s="46"/>
      <c r="O761" s="46"/>
      <c r="P761" s="46"/>
      <c r="Q761" s="46"/>
      <c r="R761" s="46"/>
      <c r="S761" s="46"/>
      <c r="T761" s="46"/>
      <c r="U761" s="46"/>
      <c r="V761" s="46"/>
      <c r="W761" s="46"/>
      <c r="X761" s="46"/>
      <c r="Y761" s="46"/>
      <c r="Z761" s="46"/>
      <c r="AA761" s="46"/>
      <c r="AB761" s="46"/>
    </row>
    <row r="762" hidden="1">
      <c r="A762" s="90" t="s">
        <v>979</v>
      </c>
      <c r="B762" s="91" t="str">
        <f>IFERROR(VLOOKUP(A762,'Salary Calculation'!A762:F1759,2,0),"")</f>
        <v/>
      </c>
      <c r="C762" s="91" t="str">
        <f>IFERROR(VLOOKUP(A762,'Salary Calculation'!$A$2:$T$999,3,0),"")</f>
        <v/>
      </c>
      <c r="D762" s="91" t="str">
        <f>IFERROR(VLOOKUP(A762,'Salary Calculation'!$A$2:$T$999,6,0),"")</f>
        <v/>
      </c>
      <c r="E762" s="91" t="str">
        <f>IFERROR(VLOOKUP(A762,'Salary Calculation'!$A$2:$T$999,8,0),"")</f>
        <v/>
      </c>
      <c r="F762" s="92" t="str">
        <f>IFERROR(VLOOKUP(C762,'Employees List'!$B$2:H999,6,0),"")</f>
        <v/>
      </c>
      <c r="G762" s="93" t="str">
        <f>IFERROR(VLOOKUP(A762,'Salary Calculation'!$A$2:$T$999,7,0),"")</f>
        <v/>
      </c>
      <c r="H762" s="94"/>
      <c r="I762" s="46"/>
      <c r="J762" s="46"/>
      <c r="K762" s="46"/>
      <c r="L762" s="46"/>
      <c r="M762" s="46"/>
      <c r="N762" s="46"/>
      <c r="O762" s="46"/>
      <c r="P762" s="46"/>
      <c r="Q762" s="46"/>
      <c r="R762" s="46"/>
      <c r="S762" s="46"/>
      <c r="T762" s="46"/>
      <c r="U762" s="46"/>
      <c r="V762" s="46"/>
      <c r="W762" s="46"/>
      <c r="X762" s="46"/>
      <c r="Y762" s="46"/>
      <c r="Z762" s="46"/>
      <c r="AA762" s="46"/>
      <c r="AB762" s="46"/>
    </row>
    <row r="763" hidden="1">
      <c r="A763" s="90" t="s">
        <v>980</v>
      </c>
      <c r="B763" s="91" t="str">
        <f>IFERROR(VLOOKUP(A763,'Salary Calculation'!A763:F1760,2,0),"")</f>
        <v/>
      </c>
      <c r="C763" s="91" t="str">
        <f>IFERROR(VLOOKUP(A763,'Salary Calculation'!$A$2:$T$999,3,0),"")</f>
        <v/>
      </c>
      <c r="D763" s="91" t="str">
        <f>IFERROR(VLOOKUP(A763,'Salary Calculation'!$A$2:$T$999,6,0),"")</f>
        <v/>
      </c>
      <c r="E763" s="91" t="str">
        <f>IFERROR(VLOOKUP(A763,'Salary Calculation'!$A$2:$T$999,8,0),"")</f>
        <v/>
      </c>
      <c r="F763" s="92" t="str">
        <f>IFERROR(VLOOKUP(C763,'Employees List'!$B$2:H999,6,0),"")</f>
        <v/>
      </c>
      <c r="G763" s="93" t="str">
        <f>IFERROR(VLOOKUP(A763,'Salary Calculation'!$A$2:$T$999,7,0),"")</f>
        <v/>
      </c>
      <c r="H763" s="94"/>
      <c r="I763" s="46"/>
      <c r="J763" s="46"/>
      <c r="K763" s="46"/>
      <c r="L763" s="46"/>
      <c r="M763" s="46"/>
      <c r="N763" s="46"/>
      <c r="O763" s="46"/>
      <c r="P763" s="46"/>
      <c r="Q763" s="46"/>
      <c r="R763" s="46"/>
      <c r="S763" s="46"/>
      <c r="T763" s="46"/>
      <c r="U763" s="46"/>
      <c r="V763" s="46"/>
      <c r="W763" s="46"/>
      <c r="X763" s="46"/>
      <c r="Y763" s="46"/>
      <c r="Z763" s="46"/>
      <c r="AA763" s="46"/>
      <c r="AB763" s="46"/>
    </row>
    <row r="764" hidden="1">
      <c r="A764" s="90" t="s">
        <v>981</v>
      </c>
      <c r="B764" s="91" t="str">
        <f>IFERROR(VLOOKUP(A764,'Salary Calculation'!A764:F1761,2,0),"")</f>
        <v/>
      </c>
      <c r="C764" s="91" t="str">
        <f>IFERROR(VLOOKUP(A764,'Salary Calculation'!$A$2:$T$999,3,0),"")</f>
        <v/>
      </c>
      <c r="D764" s="91" t="str">
        <f>IFERROR(VLOOKUP(A764,'Salary Calculation'!$A$2:$T$999,6,0),"")</f>
        <v/>
      </c>
      <c r="E764" s="91" t="str">
        <f>IFERROR(VLOOKUP(A764,'Salary Calculation'!$A$2:$T$999,8,0),"")</f>
        <v/>
      </c>
      <c r="F764" s="92" t="str">
        <f>IFERROR(VLOOKUP(C764,'Employees List'!$B$2:H999,6,0),"")</f>
        <v/>
      </c>
      <c r="G764" s="93" t="str">
        <f>IFERROR(VLOOKUP(A764,'Salary Calculation'!$A$2:$T$999,7,0),"")</f>
        <v/>
      </c>
      <c r="H764" s="94"/>
      <c r="I764" s="46"/>
      <c r="J764" s="46"/>
      <c r="K764" s="46"/>
      <c r="L764" s="46"/>
      <c r="M764" s="46"/>
      <c r="N764" s="46"/>
      <c r="O764" s="46"/>
      <c r="P764" s="46"/>
      <c r="Q764" s="46"/>
      <c r="R764" s="46"/>
      <c r="S764" s="46"/>
      <c r="T764" s="46"/>
      <c r="U764" s="46"/>
      <c r="V764" s="46"/>
      <c r="W764" s="46"/>
      <c r="X764" s="46"/>
      <c r="Y764" s="46"/>
      <c r="Z764" s="46"/>
      <c r="AA764" s="46"/>
      <c r="AB764" s="46"/>
    </row>
    <row r="765" hidden="1">
      <c r="A765" s="90" t="s">
        <v>982</v>
      </c>
      <c r="B765" s="91" t="str">
        <f>IFERROR(VLOOKUP(A765,'Salary Calculation'!A765:F1762,2,0),"")</f>
        <v/>
      </c>
      <c r="C765" s="91" t="str">
        <f>IFERROR(VLOOKUP(A765,'Salary Calculation'!$A$2:$T$999,3,0),"")</f>
        <v/>
      </c>
      <c r="D765" s="91" t="str">
        <f>IFERROR(VLOOKUP(A765,'Salary Calculation'!$A$2:$T$999,6,0),"")</f>
        <v/>
      </c>
      <c r="E765" s="91" t="str">
        <f>IFERROR(VLOOKUP(A765,'Salary Calculation'!$A$2:$T$999,8,0),"")</f>
        <v/>
      </c>
      <c r="F765" s="92" t="str">
        <f>IFERROR(VLOOKUP(C765,'Employees List'!$B$2:H999,6,0),"")</f>
        <v/>
      </c>
      <c r="G765" s="93" t="str">
        <f>IFERROR(VLOOKUP(A765,'Salary Calculation'!$A$2:$T$999,7,0),"")</f>
        <v/>
      </c>
      <c r="H765" s="94"/>
      <c r="I765" s="46"/>
      <c r="J765" s="46"/>
      <c r="K765" s="46"/>
      <c r="L765" s="46"/>
      <c r="M765" s="46"/>
      <c r="N765" s="46"/>
      <c r="O765" s="46"/>
      <c r="P765" s="46"/>
      <c r="Q765" s="46"/>
      <c r="R765" s="46"/>
      <c r="S765" s="46"/>
      <c r="T765" s="46"/>
      <c r="U765" s="46"/>
      <c r="V765" s="46"/>
      <c r="W765" s="46"/>
      <c r="X765" s="46"/>
      <c r="Y765" s="46"/>
      <c r="Z765" s="46"/>
      <c r="AA765" s="46"/>
      <c r="AB765" s="46"/>
    </row>
    <row r="766" hidden="1">
      <c r="A766" s="90" t="s">
        <v>983</v>
      </c>
      <c r="B766" s="91" t="str">
        <f>IFERROR(VLOOKUP(A766,'Salary Calculation'!A766:F1763,2,0),"")</f>
        <v/>
      </c>
      <c r="C766" s="91" t="str">
        <f>IFERROR(VLOOKUP(A766,'Salary Calculation'!$A$2:$T$999,3,0),"")</f>
        <v/>
      </c>
      <c r="D766" s="91" t="str">
        <f>IFERROR(VLOOKUP(A766,'Salary Calculation'!$A$2:$T$999,6,0),"")</f>
        <v/>
      </c>
      <c r="E766" s="91" t="str">
        <f>IFERROR(VLOOKUP(A766,'Salary Calculation'!$A$2:$T$999,8,0),"")</f>
        <v/>
      </c>
      <c r="F766" s="92" t="str">
        <f>IFERROR(VLOOKUP(C766,'Employees List'!$B$2:H999,6,0),"")</f>
        <v/>
      </c>
      <c r="G766" s="93" t="str">
        <f>IFERROR(VLOOKUP(A766,'Salary Calculation'!$A$2:$T$999,7,0),"")</f>
        <v/>
      </c>
      <c r="H766" s="94"/>
      <c r="I766" s="46"/>
      <c r="J766" s="46"/>
      <c r="K766" s="46"/>
      <c r="L766" s="46"/>
      <c r="M766" s="46"/>
      <c r="N766" s="46"/>
      <c r="O766" s="46"/>
      <c r="P766" s="46"/>
      <c r="Q766" s="46"/>
      <c r="R766" s="46"/>
      <c r="S766" s="46"/>
      <c r="T766" s="46"/>
      <c r="U766" s="46"/>
      <c r="V766" s="46"/>
      <c r="W766" s="46"/>
      <c r="X766" s="46"/>
      <c r="Y766" s="46"/>
      <c r="Z766" s="46"/>
      <c r="AA766" s="46"/>
      <c r="AB766" s="46"/>
    </row>
    <row r="767" hidden="1">
      <c r="A767" s="90" t="s">
        <v>984</v>
      </c>
      <c r="B767" s="91" t="str">
        <f>IFERROR(VLOOKUP(A767,'Salary Calculation'!A767:F1764,2,0),"")</f>
        <v/>
      </c>
      <c r="C767" s="91" t="str">
        <f>IFERROR(VLOOKUP(A767,'Salary Calculation'!$A$2:$T$999,3,0),"")</f>
        <v/>
      </c>
      <c r="D767" s="91" t="str">
        <f>IFERROR(VLOOKUP(A767,'Salary Calculation'!$A$2:$T$999,6,0),"")</f>
        <v/>
      </c>
      <c r="E767" s="91" t="str">
        <f>IFERROR(VLOOKUP(A767,'Salary Calculation'!$A$2:$T$999,8,0),"")</f>
        <v/>
      </c>
      <c r="F767" s="92" t="str">
        <f>IFERROR(VLOOKUP(C767,'Employees List'!$B$2:H999,6,0),"")</f>
        <v/>
      </c>
      <c r="G767" s="93" t="str">
        <f>IFERROR(VLOOKUP(A767,'Salary Calculation'!$A$2:$T$999,7,0),"")</f>
        <v/>
      </c>
      <c r="H767" s="94"/>
      <c r="I767" s="46"/>
      <c r="J767" s="46"/>
      <c r="K767" s="46"/>
      <c r="L767" s="46"/>
      <c r="M767" s="46"/>
      <c r="N767" s="46"/>
      <c r="O767" s="46"/>
      <c r="P767" s="46"/>
      <c r="Q767" s="46"/>
      <c r="R767" s="46"/>
      <c r="S767" s="46"/>
      <c r="T767" s="46"/>
      <c r="U767" s="46"/>
      <c r="V767" s="46"/>
      <c r="W767" s="46"/>
      <c r="X767" s="46"/>
      <c r="Y767" s="46"/>
      <c r="Z767" s="46"/>
      <c r="AA767" s="46"/>
      <c r="AB767" s="46"/>
    </row>
    <row r="768" hidden="1">
      <c r="A768" s="90" t="s">
        <v>985</v>
      </c>
      <c r="B768" s="91" t="str">
        <f>IFERROR(VLOOKUP(A768,'Salary Calculation'!A768:F1765,2,0),"")</f>
        <v/>
      </c>
      <c r="C768" s="91" t="str">
        <f>IFERROR(VLOOKUP(A768,'Salary Calculation'!$A$2:$T$999,3,0),"")</f>
        <v/>
      </c>
      <c r="D768" s="91" t="str">
        <f>IFERROR(VLOOKUP(A768,'Salary Calculation'!$A$2:$T$999,6,0),"")</f>
        <v/>
      </c>
      <c r="E768" s="91" t="str">
        <f>IFERROR(VLOOKUP(A768,'Salary Calculation'!$A$2:$T$999,8,0),"")</f>
        <v/>
      </c>
      <c r="F768" s="92" t="str">
        <f>IFERROR(VLOOKUP(C768,'Employees List'!$B$2:H999,6,0),"")</f>
        <v/>
      </c>
      <c r="G768" s="93" t="str">
        <f>IFERROR(VLOOKUP(A768,'Salary Calculation'!$A$2:$T$999,7,0),"")</f>
        <v/>
      </c>
      <c r="H768" s="94"/>
      <c r="I768" s="46"/>
      <c r="J768" s="46"/>
      <c r="K768" s="46"/>
      <c r="L768" s="46"/>
      <c r="M768" s="46"/>
      <c r="N768" s="46"/>
      <c r="O768" s="46"/>
      <c r="P768" s="46"/>
      <c r="Q768" s="46"/>
      <c r="R768" s="46"/>
      <c r="S768" s="46"/>
      <c r="T768" s="46"/>
      <c r="U768" s="46"/>
      <c r="V768" s="46"/>
      <c r="W768" s="46"/>
      <c r="X768" s="46"/>
      <c r="Y768" s="46"/>
      <c r="Z768" s="46"/>
      <c r="AA768" s="46"/>
      <c r="AB768" s="46"/>
    </row>
    <row r="769" hidden="1">
      <c r="A769" s="90" t="s">
        <v>986</v>
      </c>
      <c r="B769" s="91" t="str">
        <f>IFERROR(VLOOKUP(A769,'Salary Calculation'!A769:F1766,2,0),"")</f>
        <v/>
      </c>
      <c r="C769" s="91" t="str">
        <f>IFERROR(VLOOKUP(A769,'Salary Calculation'!$A$2:$T$999,3,0),"")</f>
        <v/>
      </c>
      <c r="D769" s="91" t="str">
        <f>IFERROR(VLOOKUP(A769,'Salary Calculation'!$A$2:$T$999,6,0),"")</f>
        <v/>
      </c>
      <c r="E769" s="91" t="str">
        <f>IFERROR(VLOOKUP(A769,'Salary Calculation'!$A$2:$T$999,8,0),"")</f>
        <v/>
      </c>
      <c r="F769" s="92" t="str">
        <f>IFERROR(VLOOKUP(C769,'Employees List'!$B$2:H999,6,0),"")</f>
        <v/>
      </c>
      <c r="G769" s="93" t="str">
        <f>IFERROR(VLOOKUP(A769,'Salary Calculation'!$A$2:$T$999,7,0),"")</f>
        <v/>
      </c>
      <c r="H769" s="94"/>
      <c r="I769" s="46"/>
      <c r="J769" s="46"/>
      <c r="K769" s="46"/>
      <c r="L769" s="46"/>
      <c r="M769" s="46"/>
      <c r="N769" s="46"/>
      <c r="O769" s="46"/>
      <c r="P769" s="46"/>
      <c r="Q769" s="46"/>
      <c r="R769" s="46"/>
      <c r="S769" s="46"/>
      <c r="T769" s="46"/>
      <c r="U769" s="46"/>
      <c r="V769" s="46"/>
      <c r="W769" s="46"/>
      <c r="X769" s="46"/>
      <c r="Y769" s="46"/>
      <c r="Z769" s="46"/>
      <c r="AA769" s="46"/>
      <c r="AB769" s="46"/>
    </row>
    <row r="770" hidden="1">
      <c r="A770" s="90" t="s">
        <v>987</v>
      </c>
      <c r="B770" s="91" t="str">
        <f>IFERROR(VLOOKUP(A770,'Salary Calculation'!A770:F1767,2,0),"")</f>
        <v/>
      </c>
      <c r="C770" s="91" t="str">
        <f>IFERROR(VLOOKUP(A770,'Salary Calculation'!$A$2:$T$999,3,0),"")</f>
        <v/>
      </c>
      <c r="D770" s="91" t="str">
        <f>IFERROR(VLOOKUP(A770,'Salary Calculation'!$A$2:$T$999,6,0),"")</f>
        <v/>
      </c>
      <c r="E770" s="91" t="str">
        <f>IFERROR(VLOOKUP(A770,'Salary Calculation'!$A$2:$T$999,8,0),"")</f>
        <v/>
      </c>
      <c r="F770" s="92" t="str">
        <f>IFERROR(VLOOKUP(C770,'Employees List'!$B$2:H999,6,0),"")</f>
        <v/>
      </c>
      <c r="G770" s="93" t="str">
        <f>IFERROR(VLOOKUP(A770,'Salary Calculation'!$A$2:$T$999,7,0),"")</f>
        <v/>
      </c>
      <c r="H770" s="94"/>
      <c r="I770" s="46"/>
      <c r="J770" s="46"/>
      <c r="K770" s="46"/>
      <c r="L770" s="46"/>
      <c r="M770" s="46"/>
      <c r="N770" s="46"/>
      <c r="O770" s="46"/>
      <c r="P770" s="46"/>
      <c r="Q770" s="46"/>
      <c r="R770" s="46"/>
      <c r="S770" s="46"/>
      <c r="T770" s="46"/>
      <c r="U770" s="46"/>
      <c r="V770" s="46"/>
      <c r="W770" s="46"/>
      <c r="X770" s="46"/>
      <c r="Y770" s="46"/>
      <c r="Z770" s="46"/>
      <c r="AA770" s="46"/>
      <c r="AB770" s="46"/>
    </row>
    <row r="771" hidden="1">
      <c r="A771" s="90" t="s">
        <v>988</v>
      </c>
      <c r="B771" s="91" t="str">
        <f>IFERROR(VLOOKUP(A771,'Salary Calculation'!A771:F1768,2,0),"")</f>
        <v/>
      </c>
      <c r="C771" s="91" t="str">
        <f>IFERROR(VLOOKUP(A771,'Salary Calculation'!$A$2:$T$999,3,0),"")</f>
        <v/>
      </c>
      <c r="D771" s="91" t="str">
        <f>IFERROR(VLOOKUP(A771,'Salary Calculation'!$A$2:$T$999,6,0),"")</f>
        <v/>
      </c>
      <c r="E771" s="91" t="str">
        <f>IFERROR(VLOOKUP(A771,'Salary Calculation'!$A$2:$T$999,8,0),"")</f>
        <v/>
      </c>
      <c r="F771" s="92" t="str">
        <f>IFERROR(VLOOKUP(C771,'Employees List'!$B$2:H999,6,0),"")</f>
        <v/>
      </c>
      <c r="G771" s="93" t="str">
        <f>IFERROR(VLOOKUP(A771,'Salary Calculation'!$A$2:$T$999,7,0),"")</f>
        <v/>
      </c>
      <c r="H771" s="94"/>
      <c r="I771" s="46"/>
      <c r="J771" s="46"/>
      <c r="K771" s="46"/>
      <c r="L771" s="46"/>
      <c r="M771" s="46"/>
      <c r="N771" s="46"/>
      <c r="O771" s="46"/>
      <c r="P771" s="46"/>
      <c r="Q771" s="46"/>
      <c r="R771" s="46"/>
      <c r="S771" s="46"/>
      <c r="T771" s="46"/>
      <c r="U771" s="46"/>
      <c r="V771" s="46"/>
      <c r="W771" s="46"/>
      <c r="X771" s="46"/>
      <c r="Y771" s="46"/>
      <c r="Z771" s="46"/>
      <c r="AA771" s="46"/>
      <c r="AB771" s="46"/>
    </row>
    <row r="772" hidden="1">
      <c r="A772" s="90" t="s">
        <v>989</v>
      </c>
      <c r="B772" s="91" t="str">
        <f>IFERROR(VLOOKUP(A772,'Salary Calculation'!A772:F1769,2,0),"")</f>
        <v/>
      </c>
      <c r="C772" s="91" t="str">
        <f>IFERROR(VLOOKUP(A772,'Salary Calculation'!$A$2:$T$999,3,0),"")</f>
        <v/>
      </c>
      <c r="D772" s="91" t="str">
        <f>IFERROR(VLOOKUP(A772,'Salary Calculation'!$A$2:$T$999,6,0),"")</f>
        <v/>
      </c>
      <c r="E772" s="91" t="str">
        <f>IFERROR(VLOOKUP(A772,'Salary Calculation'!$A$2:$T$999,8,0),"")</f>
        <v/>
      </c>
      <c r="F772" s="92" t="str">
        <f>IFERROR(VLOOKUP(C772,'Employees List'!$B$2:H999,6,0),"")</f>
        <v/>
      </c>
      <c r="G772" s="93" t="str">
        <f>IFERROR(VLOOKUP(A772,'Salary Calculation'!$A$2:$T$999,7,0),"")</f>
        <v/>
      </c>
      <c r="H772" s="94"/>
      <c r="I772" s="46"/>
      <c r="J772" s="46"/>
      <c r="K772" s="46"/>
      <c r="L772" s="46"/>
      <c r="M772" s="46"/>
      <c r="N772" s="46"/>
      <c r="O772" s="46"/>
      <c r="P772" s="46"/>
      <c r="Q772" s="46"/>
      <c r="R772" s="46"/>
      <c r="S772" s="46"/>
      <c r="T772" s="46"/>
      <c r="U772" s="46"/>
      <c r="V772" s="46"/>
      <c r="W772" s="46"/>
      <c r="X772" s="46"/>
      <c r="Y772" s="46"/>
      <c r="Z772" s="46"/>
      <c r="AA772" s="46"/>
      <c r="AB772" s="46"/>
    </row>
    <row r="773" hidden="1">
      <c r="A773" s="90" t="s">
        <v>990</v>
      </c>
      <c r="B773" s="91" t="str">
        <f>IFERROR(VLOOKUP(A773,'Salary Calculation'!A773:F1770,2,0),"")</f>
        <v/>
      </c>
      <c r="C773" s="91" t="str">
        <f>IFERROR(VLOOKUP(A773,'Salary Calculation'!$A$2:$T$999,3,0),"")</f>
        <v/>
      </c>
      <c r="D773" s="91" t="str">
        <f>IFERROR(VLOOKUP(A773,'Salary Calculation'!$A$2:$T$999,6,0),"")</f>
        <v/>
      </c>
      <c r="E773" s="91" t="str">
        <f>IFERROR(VLOOKUP(A773,'Salary Calculation'!$A$2:$T$999,8,0),"")</f>
        <v/>
      </c>
      <c r="F773" s="92" t="str">
        <f>IFERROR(VLOOKUP(C773,'Employees List'!$B$2:H999,6,0),"")</f>
        <v/>
      </c>
      <c r="G773" s="93" t="str">
        <f>IFERROR(VLOOKUP(A773,'Salary Calculation'!$A$2:$T$999,7,0),"")</f>
        <v/>
      </c>
      <c r="H773" s="94"/>
      <c r="I773" s="46"/>
      <c r="J773" s="46"/>
      <c r="K773" s="46"/>
      <c r="L773" s="46"/>
      <c r="M773" s="46"/>
      <c r="N773" s="46"/>
      <c r="O773" s="46"/>
      <c r="P773" s="46"/>
      <c r="Q773" s="46"/>
      <c r="R773" s="46"/>
      <c r="S773" s="46"/>
      <c r="T773" s="46"/>
      <c r="U773" s="46"/>
      <c r="V773" s="46"/>
      <c r="W773" s="46"/>
      <c r="X773" s="46"/>
      <c r="Y773" s="46"/>
      <c r="Z773" s="46"/>
      <c r="AA773" s="46"/>
      <c r="AB773" s="46"/>
    </row>
    <row r="774" hidden="1">
      <c r="A774" s="90" t="s">
        <v>991</v>
      </c>
      <c r="B774" s="91" t="str">
        <f>IFERROR(VLOOKUP(A774,'Salary Calculation'!A774:F1771,2,0),"")</f>
        <v/>
      </c>
      <c r="C774" s="91" t="str">
        <f>IFERROR(VLOOKUP(A774,'Salary Calculation'!$A$2:$T$999,3,0),"")</f>
        <v/>
      </c>
      <c r="D774" s="91" t="str">
        <f>IFERROR(VLOOKUP(A774,'Salary Calculation'!$A$2:$T$999,6,0),"")</f>
        <v/>
      </c>
      <c r="E774" s="91" t="str">
        <f>IFERROR(VLOOKUP(A774,'Salary Calculation'!$A$2:$T$999,8,0),"")</f>
        <v/>
      </c>
      <c r="F774" s="92" t="str">
        <f>IFERROR(VLOOKUP(C774,'Employees List'!$B$2:H999,6,0),"")</f>
        <v/>
      </c>
      <c r="G774" s="93" t="str">
        <f>IFERROR(VLOOKUP(A774,'Salary Calculation'!$A$2:$T$999,7,0),"")</f>
        <v/>
      </c>
      <c r="H774" s="94"/>
      <c r="I774" s="46"/>
      <c r="J774" s="46"/>
      <c r="K774" s="46"/>
      <c r="L774" s="46"/>
      <c r="M774" s="46"/>
      <c r="N774" s="46"/>
      <c r="O774" s="46"/>
      <c r="P774" s="46"/>
      <c r="Q774" s="46"/>
      <c r="R774" s="46"/>
      <c r="S774" s="46"/>
      <c r="T774" s="46"/>
      <c r="U774" s="46"/>
      <c r="V774" s="46"/>
      <c r="W774" s="46"/>
      <c r="X774" s="46"/>
      <c r="Y774" s="46"/>
      <c r="Z774" s="46"/>
      <c r="AA774" s="46"/>
      <c r="AB774" s="46"/>
    </row>
    <row r="775" hidden="1">
      <c r="A775" s="90" t="s">
        <v>992</v>
      </c>
      <c r="B775" s="91" t="str">
        <f>IFERROR(VLOOKUP(A775,'Salary Calculation'!A775:F1772,2,0),"")</f>
        <v/>
      </c>
      <c r="C775" s="91" t="str">
        <f>IFERROR(VLOOKUP(A775,'Salary Calculation'!$A$2:$T$999,3,0),"")</f>
        <v/>
      </c>
      <c r="D775" s="91" t="str">
        <f>IFERROR(VLOOKUP(A775,'Salary Calculation'!$A$2:$T$999,6,0),"")</f>
        <v/>
      </c>
      <c r="E775" s="91" t="str">
        <f>IFERROR(VLOOKUP(A775,'Salary Calculation'!$A$2:$T$999,8,0),"")</f>
        <v/>
      </c>
      <c r="F775" s="92" t="str">
        <f>IFERROR(VLOOKUP(C775,'Employees List'!$B$2:H999,6,0),"")</f>
        <v/>
      </c>
      <c r="G775" s="93" t="str">
        <f>IFERROR(VLOOKUP(A775,'Salary Calculation'!$A$2:$T$999,7,0),"")</f>
        <v/>
      </c>
      <c r="H775" s="94"/>
      <c r="I775" s="46"/>
      <c r="J775" s="46"/>
      <c r="K775" s="46"/>
      <c r="L775" s="46"/>
      <c r="M775" s="46"/>
      <c r="N775" s="46"/>
      <c r="O775" s="46"/>
      <c r="P775" s="46"/>
      <c r="Q775" s="46"/>
      <c r="R775" s="46"/>
      <c r="S775" s="46"/>
      <c r="T775" s="46"/>
      <c r="U775" s="46"/>
      <c r="V775" s="46"/>
      <c r="W775" s="46"/>
      <c r="X775" s="46"/>
      <c r="Y775" s="46"/>
      <c r="Z775" s="46"/>
      <c r="AA775" s="46"/>
      <c r="AB775" s="46"/>
    </row>
    <row r="776" hidden="1">
      <c r="A776" s="90" t="s">
        <v>993</v>
      </c>
      <c r="B776" s="91" t="str">
        <f>IFERROR(VLOOKUP(A776,'Salary Calculation'!A776:F1773,2,0),"")</f>
        <v/>
      </c>
      <c r="C776" s="91" t="str">
        <f>IFERROR(VLOOKUP(A776,'Salary Calculation'!$A$2:$T$999,3,0),"")</f>
        <v/>
      </c>
      <c r="D776" s="91" t="str">
        <f>IFERROR(VLOOKUP(A776,'Salary Calculation'!$A$2:$T$999,6,0),"")</f>
        <v/>
      </c>
      <c r="E776" s="91" t="str">
        <f>IFERROR(VLOOKUP(A776,'Salary Calculation'!$A$2:$T$999,8,0),"")</f>
        <v/>
      </c>
      <c r="F776" s="92" t="str">
        <f>IFERROR(VLOOKUP(C776,'Employees List'!$B$2:H999,6,0),"")</f>
        <v/>
      </c>
      <c r="G776" s="93" t="str">
        <f>IFERROR(VLOOKUP(A776,'Salary Calculation'!$A$2:$T$999,7,0),"")</f>
        <v/>
      </c>
      <c r="H776" s="94"/>
      <c r="I776" s="46"/>
      <c r="J776" s="46"/>
      <c r="K776" s="46"/>
      <c r="L776" s="46"/>
      <c r="M776" s="46"/>
      <c r="N776" s="46"/>
      <c r="O776" s="46"/>
      <c r="P776" s="46"/>
      <c r="Q776" s="46"/>
      <c r="R776" s="46"/>
      <c r="S776" s="46"/>
      <c r="T776" s="46"/>
      <c r="U776" s="46"/>
      <c r="V776" s="46"/>
      <c r="W776" s="46"/>
      <c r="X776" s="46"/>
      <c r="Y776" s="46"/>
      <c r="Z776" s="46"/>
      <c r="AA776" s="46"/>
      <c r="AB776" s="46"/>
    </row>
    <row r="777" hidden="1">
      <c r="A777" s="90" t="s">
        <v>994</v>
      </c>
      <c r="B777" s="91" t="str">
        <f>IFERROR(VLOOKUP(A777,'Salary Calculation'!A777:F1774,2,0),"")</f>
        <v/>
      </c>
      <c r="C777" s="91" t="str">
        <f>IFERROR(VLOOKUP(A777,'Salary Calculation'!$A$2:$T$999,3,0),"")</f>
        <v/>
      </c>
      <c r="D777" s="91" t="str">
        <f>IFERROR(VLOOKUP(A777,'Salary Calculation'!$A$2:$T$999,6,0),"")</f>
        <v/>
      </c>
      <c r="E777" s="91" t="str">
        <f>IFERROR(VLOOKUP(A777,'Salary Calculation'!$A$2:$T$999,8,0),"")</f>
        <v/>
      </c>
      <c r="F777" s="92" t="str">
        <f>IFERROR(VLOOKUP(C777,'Employees List'!$B$2:H999,6,0),"")</f>
        <v/>
      </c>
      <c r="G777" s="93" t="str">
        <f>IFERROR(VLOOKUP(A777,'Salary Calculation'!$A$2:$T$999,7,0),"")</f>
        <v/>
      </c>
      <c r="H777" s="94"/>
      <c r="I777" s="46"/>
      <c r="J777" s="46"/>
      <c r="K777" s="46"/>
      <c r="L777" s="46"/>
      <c r="M777" s="46"/>
      <c r="N777" s="46"/>
      <c r="O777" s="46"/>
      <c r="P777" s="46"/>
      <c r="Q777" s="46"/>
      <c r="R777" s="46"/>
      <c r="S777" s="46"/>
      <c r="T777" s="46"/>
      <c r="U777" s="46"/>
      <c r="V777" s="46"/>
      <c r="W777" s="46"/>
      <c r="X777" s="46"/>
      <c r="Y777" s="46"/>
      <c r="Z777" s="46"/>
      <c r="AA777" s="46"/>
      <c r="AB777" s="46"/>
    </row>
    <row r="778" hidden="1">
      <c r="A778" s="90" t="s">
        <v>995</v>
      </c>
      <c r="B778" s="91" t="str">
        <f>IFERROR(VLOOKUP(A778,'Salary Calculation'!A778:F1775,2,0),"")</f>
        <v/>
      </c>
      <c r="C778" s="91" t="str">
        <f>IFERROR(VLOOKUP(A778,'Salary Calculation'!$A$2:$T$999,3,0),"")</f>
        <v/>
      </c>
      <c r="D778" s="91" t="str">
        <f>IFERROR(VLOOKUP(A778,'Salary Calculation'!$A$2:$T$999,6,0),"")</f>
        <v/>
      </c>
      <c r="E778" s="91" t="str">
        <f>IFERROR(VLOOKUP(A778,'Salary Calculation'!$A$2:$T$999,8,0),"")</f>
        <v/>
      </c>
      <c r="F778" s="92" t="str">
        <f>IFERROR(VLOOKUP(C778,'Employees List'!$B$2:H999,6,0),"")</f>
        <v/>
      </c>
      <c r="G778" s="93" t="str">
        <f>IFERROR(VLOOKUP(A778,'Salary Calculation'!$A$2:$T$999,7,0),"")</f>
        <v/>
      </c>
      <c r="H778" s="94"/>
      <c r="I778" s="46"/>
      <c r="J778" s="46"/>
      <c r="K778" s="46"/>
      <c r="L778" s="46"/>
      <c r="M778" s="46"/>
      <c r="N778" s="46"/>
      <c r="O778" s="46"/>
      <c r="P778" s="46"/>
      <c r="Q778" s="46"/>
      <c r="R778" s="46"/>
      <c r="S778" s="46"/>
      <c r="T778" s="46"/>
      <c r="U778" s="46"/>
      <c r="V778" s="46"/>
      <c r="W778" s="46"/>
      <c r="X778" s="46"/>
      <c r="Y778" s="46"/>
      <c r="Z778" s="46"/>
      <c r="AA778" s="46"/>
      <c r="AB778" s="46"/>
    </row>
    <row r="779" hidden="1">
      <c r="A779" s="90" t="s">
        <v>996</v>
      </c>
      <c r="B779" s="91" t="str">
        <f>IFERROR(VLOOKUP(A779,'Salary Calculation'!A779:F1776,2,0),"")</f>
        <v/>
      </c>
      <c r="C779" s="91" t="str">
        <f>IFERROR(VLOOKUP(A779,'Salary Calculation'!$A$2:$T$999,3,0),"")</f>
        <v/>
      </c>
      <c r="D779" s="91" t="str">
        <f>IFERROR(VLOOKUP(A779,'Salary Calculation'!$A$2:$T$999,6,0),"")</f>
        <v/>
      </c>
      <c r="E779" s="91" t="str">
        <f>IFERROR(VLOOKUP(A779,'Salary Calculation'!$A$2:$T$999,8,0),"")</f>
        <v/>
      </c>
      <c r="F779" s="92" t="str">
        <f>IFERROR(VLOOKUP(C779,'Employees List'!$B$2:H999,6,0),"")</f>
        <v/>
      </c>
      <c r="G779" s="93" t="str">
        <f>IFERROR(VLOOKUP(A779,'Salary Calculation'!$A$2:$T$999,7,0),"")</f>
        <v/>
      </c>
      <c r="H779" s="94"/>
      <c r="I779" s="46"/>
      <c r="J779" s="46"/>
      <c r="K779" s="46"/>
      <c r="L779" s="46"/>
      <c r="M779" s="46"/>
      <c r="N779" s="46"/>
      <c r="O779" s="46"/>
      <c r="P779" s="46"/>
      <c r="Q779" s="46"/>
      <c r="R779" s="46"/>
      <c r="S779" s="46"/>
      <c r="T779" s="46"/>
      <c r="U779" s="46"/>
      <c r="V779" s="46"/>
      <c r="W779" s="46"/>
      <c r="X779" s="46"/>
      <c r="Y779" s="46"/>
      <c r="Z779" s="46"/>
      <c r="AA779" s="46"/>
      <c r="AB779" s="46"/>
    </row>
    <row r="780" hidden="1">
      <c r="A780" s="90" t="s">
        <v>997</v>
      </c>
      <c r="B780" s="91" t="str">
        <f>IFERROR(VLOOKUP(A780,'Salary Calculation'!A780:F1777,2,0),"")</f>
        <v/>
      </c>
      <c r="C780" s="91" t="str">
        <f>IFERROR(VLOOKUP(A780,'Salary Calculation'!$A$2:$T$999,3,0),"")</f>
        <v/>
      </c>
      <c r="D780" s="91" t="str">
        <f>IFERROR(VLOOKUP(A780,'Salary Calculation'!$A$2:$T$999,6,0),"")</f>
        <v/>
      </c>
      <c r="E780" s="91" t="str">
        <f>IFERROR(VLOOKUP(A780,'Salary Calculation'!$A$2:$T$999,8,0),"")</f>
        <v/>
      </c>
      <c r="F780" s="92" t="str">
        <f>IFERROR(VLOOKUP(C780,'Employees List'!$B$2:H999,6,0),"")</f>
        <v/>
      </c>
      <c r="G780" s="93" t="str">
        <f>IFERROR(VLOOKUP(A780,'Salary Calculation'!$A$2:$T$999,7,0),"")</f>
        <v/>
      </c>
      <c r="H780" s="94"/>
      <c r="I780" s="46"/>
      <c r="J780" s="46"/>
      <c r="K780" s="46"/>
      <c r="L780" s="46"/>
      <c r="M780" s="46"/>
      <c r="N780" s="46"/>
      <c r="O780" s="46"/>
      <c r="P780" s="46"/>
      <c r="Q780" s="46"/>
      <c r="R780" s="46"/>
      <c r="S780" s="46"/>
      <c r="T780" s="46"/>
      <c r="U780" s="46"/>
      <c r="V780" s="46"/>
      <c r="W780" s="46"/>
      <c r="X780" s="46"/>
      <c r="Y780" s="46"/>
      <c r="Z780" s="46"/>
      <c r="AA780" s="46"/>
      <c r="AB780" s="46"/>
    </row>
    <row r="781" hidden="1">
      <c r="A781" s="90" t="s">
        <v>998</v>
      </c>
      <c r="B781" s="91" t="str">
        <f>IFERROR(VLOOKUP(A781,'Salary Calculation'!A781:F1778,2,0),"")</f>
        <v/>
      </c>
      <c r="C781" s="91" t="str">
        <f>IFERROR(VLOOKUP(A781,'Salary Calculation'!$A$2:$T$999,3,0),"")</f>
        <v/>
      </c>
      <c r="D781" s="91" t="str">
        <f>IFERROR(VLOOKUP(A781,'Salary Calculation'!$A$2:$T$999,6,0),"")</f>
        <v/>
      </c>
      <c r="E781" s="91" t="str">
        <f>IFERROR(VLOOKUP(A781,'Salary Calculation'!$A$2:$T$999,8,0),"")</f>
        <v/>
      </c>
      <c r="F781" s="92" t="str">
        <f>IFERROR(VLOOKUP(C781,'Employees List'!$B$2:H999,6,0),"")</f>
        <v/>
      </c>
      <c r="G781" s="93" t="str">
        <f>IFERROR(VLOOKUP(A781,'Salary Calculation'!$A$2:$T$999,7,0),"")</f>
        <v/>
      </c>
      <c r="H781" s="94"/>
      <c r="I781" s="46"/>
      <c r="J781" s="46"/>
      <c r="K781" s="46"/>
      <c r="L781" s="46"/>
      <c r="M781" s="46"/>
      <c r="N781" s="46"/>
      <c r="O781" s="46"/>
      <c r="P781" s="46"/>
      <c r="Q781" s="46"/>
      <c r="R781" s="46"/>
      <c r="S781" s="46"/>
      <c r="T781" s="46"/>
      <c r="U781" s="46"/>
      <c r="V781" s="46"/>
      <c r="W781" s="46"/>
      <c r="X781" s="46"/>
      <c r="Y781" s="46"/>
      <c r="Z781" s="46"/>
      <c r="AA781" s="46"/>
      <c r="AB781" s="46"/>
    </row>
    <row r="782" hidden="1">
      <c r="A782" s="90" t="s">
        <v>999</v>
      </c>
      <c r="B782" s="91" t="str">
        <f>IFERROR(VLOOKUP(A782,'Salary Calculation'!A782:F1779,2,0),"")</f>
        <v/>
      </c>
      <c r="C782" s="91" t="str">
        <f>IFERROR(VLOOKUP(A782,'Salary Calculation'!$A$2:$T$999,3,0),"")</f>
        <v/>
      </c>
      <c r="D782" s="91" t="str">
        <f>IFERROR(VLOOKUP(A782,'Salary Calculation'!$A$2:$T$999,6,0),"")</f>
        <v/>
      </c>
      <c r="E782" s="91" t="str">
        <f>IFERROR(VLOOKUP(A782,'Salary Calculation'!$A$2:$T$999,8,0),"")</f>
        <v/>
      </c>
      <c r="F782" s="92" t="str">
        <f>IFERROR(VLOOKUP(C782,'Employees List'!$B$2:H999,6,0),"")</f>
        <v/>
      </c>
      <c r="G782" s="93" t="str">
        <f>IFERROR(VLOOKUP(A782,'Salary Calculation'!$A$2:$T$999,7,0),"")</f>
        <v/>
      </c>
      <c r="H782" s="94"/>
      <c r="I782" s="46"/>
      <c r="J782" s="46"/>
      <c r="K782" s="46"/>
      <c r="L782" s="46"/>
      <c r="M782" s="46"/>
      <c r="N782" s="46"/>
      <c r="O782" s="46"/>
      <c r="P782" s="46"/>
      <c r="Q782" s="46"/>
      <c r="R782" s="46"/>
      <c r="S782" s="46"/>
      <c r="T782" s="46"/>
      <c r="U782" s="46"/>
      <c r="V782" s="46"/>
      <c r="W782" s="46"/>
      <c r="X782" s="46"/>
      <c r="Y782" s="46"/>
      <c r="Z782" s="46"/>
      <c r="AA782" s="46"/>
      <c r="AB782" s="46"/>
    </row>
    <row r="783" hidden="1">
      <c r="A783" s="90" t="s">
        <v>1000</v>
      </c>
      <c r="B783" s="91" t="str">
        <f>IFERROR(VLOOKUP(A783,'Salary Calculation'!A783:F1780,2,0),"")</f>
        <v/>
      </c>
      <c r="C783" s="91" t="str">
        <f>IFERROR(VLOOKUP(A783,'Salary Calculation'!$A$2:$T$999,3,0),"")</f>
        <v/>
      </c>
      <c r="D783" s="91" t="str">
        <f>IFERROR(VLOOKUP(A783,'Salary Calculation'!$A$2:$T$999,6,0),"")</f>
        <v/>
      </c>
      <c r="E783" s="91" t="str">
        <f>IFERROR(VLOOKUP(A783,'Salary Calculation'!$A$2:$T$999,8,0),"")</f>
        <v/>
      </c>
      <c r="F783" s="92" t="str">
        <f>IFERROR(VLOOKUP(C783,'Employees List'!$B$2:H999,6,0),"")</f>
        <v/>
      </c>
      <c r="G783" s="93" t="str">
        <f>IFERROR(VLOOKUP(A783,'Salary Calculation'!$A$2:$T$999,7,0),"")</f>
        <v/>
      </c>
      <c r="H783" s="94"/>
      <c r="I783" s="46"/>
      <c r="J783" s="46"/>
      <c r="K783" s="46"/>
      <c r="L783" s="46"/>
      <c r="M783" s="46"/>
      <c r="N783" s="46"/>
      <c r="O783" s="46"/>
      <c r="P783" s="46"/>
      <c r="Q783" s="46"/>
      <c r="R783" s="46"/>
      <c r="S783" s="46"/>
      <c r="T783" s="46"/>
      <c r="U783" s="46"/>
      <c r="V783" s="46"/>
      <c r="W783" s="46"/>
      <c r="X783" s="46"/>
      <c r="Y783" s="46"/>
      <c r="Z783" s="46"/>
      <c r="AA783" s="46"/>
      <c r="AB783" s="46"/>
    </row>
    <row r="784" hidden="1">
      <c r="A784" s="90" t="s">
        <v>1001</v>
      </c>
      <c r="B784" s="91" t="str">
        <f>IFERROR(VLOOKUP(A784,'Salary Calculation'!A784:F1781,2,0),"")</f>
        <v/>
      </c>
      <c r="C784" s="91" t="str">
        <f>IFERROR(VLOOKUP(A784,'Salary Calculation'!$A$2:$T$999,3,0),"")</f>
        <v/>
      </c>
      <c r="D784" s="91" t="str">
        <f>IFERROR(VLOOKUP(A784,'Salary Calculation'!$A$2:$T$999,6,0),"")</f>
        <v/>
      </c>
      <c r="E784" s="91" t="str">
        <f>IFERROR(VLOOKUP(A784,'Salary Calculation'!$A$2:$T$999,8,0),"")</f>
        <v/>
      </c>
      <c r="F784" s="92" t="str">
        <f>IFERROR(VLOOKUP(C784,'Employees List'!$B$2:H999,6,0),"")</f>
        <v/>
      </c>
      <c r="G784" s="93" t="str">
        <f>IFERROR(VLOOKUP(A784,'Salary Calculation'!$A$2:$T$999,7,0),"")</f>
        <v/>
      </c>
      <c r="H784" s="94"/>
      <c r="I784" s="46"/>
      <c r="J784" s="46"/>
      <c r="K784" s="46"/>
      <c r="L784" s="46"/>
      <c r="M784" s="46"/>
      <c r="N784" s="46"/>
      <c r="O784" s="46"/>
      <c r="P784" s="46"/>
      <c r="Q784" s="46"/>
      <c r="R784" s="46"/>
      <c r="S784" s="46"/>
      <c r="T784" s="46"/>
      <c r="U784" s="46"/>
      <c r="V784" s="46"/>
      <c r="W784" s="46"/>
      <c r="X784" s="46"/>
      <c r="Y784" s="46"/>
      <c r="Z784" s="46"/>
      <c r="AA784" s="46"/>
      <c r="AB784" s="46"/>
    </row>
    <row r="785" hidden="1">
      <c r="A785" s="90" t="s">
        <v>1002</v>
      </c>
      <c r="B785" s="91" t="str">
        <f>IFERROR(VLOOKUP(A785,'Salary Calculation'!A785:F1782,2,0),"")</f>
        <v/>
      </c>
      <c r="C785" s="91" t="str">
        <f>IFERROR(VLOOKUP(A785,'Salary Calculation'!$A$2:$T$999,3,0),"")</f>
        <v/>
      </c>
      <c r="D785" s="91" t="str">
        <f>IFERROR(VLOOKUP(A785,'Salary Calculation'!$A$2:$T$999,6,0),"")</f>
        <v/>
      </c>
      <c r="E785" s="91" t="str">
        <f>IFERROR(VLOOKUP(A785,'Salary Calculation'!$A$2:$T$999,8,0),"")</f>
        <v/>
      </c>
      <c r="F785" s="92" t="str">
        <f>IFERROR(VLOOKUP(C785,'Employees List'!$B$2:H999,6,0),"")</f>
        <v/>
      </c>
      <c r="G785" s="93" t="str">
        <f>IFERROR(VLOOKUP(A785,'Salary Calculation'!$A$2:$T$999,7,0),"")</f>
        <v/>
      </c>
      <c r="H785" s="94"/>
      <c r="I785" s="46"/>
      <c r="J785" s="46"/>
      <c r="K785" s="46"/>
      <c r="L785" s="46"/>
      <c r="M785" s="46"/>
      <c r="N785" s="46"/>
      <c r="O785" s="46"/>
      <c r="P785" s="46"/>
      <c r="Q785" s="46"/>
      <c r="R785" s="46"/>
      <c r="S785" s="46"/>
      <c r="T785" s="46"/>
      <c r="U785" s="46"/>
      <c r="V785" s="46"/>
      <c r="W785" s="46"/>
      <c r="X785" s="46"/>
      <c r="Y785" s="46"/>
      <c r="Z785" s="46"/>
      <c r="AA785" s="46"/>
      <c r="AB785" s="46"/>
    </row>
    <row r="786" hidden="1">
      <c r="A786" s="90" t="s">
        <v>1003</v>
      </c>
      <c r="B786" s="91" t="str">
        <f>IFERROR(VLOOKUP(A786,'Salary Calculation'!A786:F1783,2,0),"")</f>
        <v/>
      </c>
      <c r="C786" s="91" t="str">
        <f>IFERROR(VLOOKUP(A786,'Salary Calculation'!$A$2:$T$999,3,0),"")</f>
        <v/>
      </c>
      <c r="D786" s="91" t="str">
        <f>IFERROR(VLOOKUP(A786,'Salary Calculation'!$A$2:$T$999,6,0),"")</f>
        <v/>
      </c>
      <c r="E786" s="91" t="str">
        <f>IFERROR(VLOOKUP(A786,'Salary Calculation'!$A$2:$T$999,8,0),"")</f>
        <v/>
      </c>
      <c r="F786" s="92" t="str">
        <f>IFERROR(VLOOKUP(C786,'Employees List'!$B$2:H999,6,0),"")</f>
        <v/>
      </c>
      <c r="G786" s="93" t="str">
        <f>IFERROR(VLOOKUP(A786,'Salary Calculation'!$A$2:$T$999,7,0),"")</f>
        <v/>
      </c>
      <c r="H786" s="94"/>
      <c r="I786" s="46"/>
      <c r="J786" s="46"/>
      <c r="K786" s="46"/>
      <c r="L786" s="46"/>
      <c r="M786" s="46"/>
      <c r="N786" s="46"/>
      <c r="O786" s="46"/>
      <c r="P786" s="46"/>
      <c r="Q786" s="46"/>
      <c r="R786" s="46"/>
      <c r="S786" s="46"/>
      <c r="T786" s="46"/>
      <c r="U786" s="46"/>
      <c r="V786" s="46"/>
      <c r="W786" s="46"/>
      <c r="X786" s="46"/>
      <c r="Y786" s="46"/>
      <c r="Z786" s="46"/>
      <c r="AA786" s="46"/>
      <c r="AB786" s="46"/>
    </row>
    <row r="787" hidden="1">
      <c r="A787" s="90" t="s">
        <v>1004</v>
      </c>
      <c r="B787" s="91" t="str">
        <f>IFERROR(VLOOKUP(A787,'Salary Calculation'!A787:F1784,2,0),"")</f>
        <v/>
      </c>
      <c r="C787" s="91" t="str">
        <f>IFERROR(VLOOKUP(A787,'Salary Calculation'!$A$2:$T$999,3,0),"")</f>
        <v/>
      </c>
      <c r="D787" s="91" t="str">
        <f>IFERROR(VLOOKUP(A787,'Salary Calculation'!$A$2:$T$999,6,0),"")</f>
        <v/>
      </c>
      <c r="E787" s="91" t="str">
        <f>IFERROR(VLOOKUP(A787,'Salary Calculation'!$A$2:$T$999,8,0),"")</f>
        <v/>
      </c>
      <c r="F787" s="92" t="str">
        <f>IFERROR(VLOOKUP(C787,'Employees List'!$B$2:H999,6,0),"")</f>
        <v/>
      </c>
      <c r="G787" s="93" t="str">
        <f>IFERROR(VLOOKUP(A787,'Salary Calculation'!$A$2:$T$999,7,0),"")</f>
        <v/>
      </c>
      <c r="H787" s="94"/>
      <c r="I787" s="46"/>
      <c r="J787" s="46"/>
      <c r="K787" s="46"/>
      <c r="L787" s="46"/>
      <c r="M787" s="46"/>
      <c r="N787" s="46"/>
      <c r="O787" s="46"/>
      <c r="P787" s="46"/>
      <c r="Q787" s="46"/>
      <c r="R787" s="46"/>
      <c r="S787" s="46"/>
      <c r="T787" s="46"/>
      <c r="U787" s="46"/>
      <c r="V787" s="46"/>
      <c r="W787" s="46"/>
      <c r="X787" s="46"/>
      <c r="Y787" s="46"/>
      <c r="Z787" s="46"/>
      <c r="AA787" s="46"/>
      <c r="AB787" s="46"/>
    </row>
    <row r="788" hidden="1">
      <c r="A788" s="90" t="s">
        <v>1005</v>
      </c>
      <c r="B788" s="91" t="str">
        <f>IFERROR(VLOOKUP(A788,'Salary Calculation'!A788:F1785,2,0),"")</f>
        <v/>
      </c>
      <c r="C788" s="91" t="str">
        <f>IFERROR(VLOOKUP(A788,'Salary Calculation'!$A$2:$T$999,3,0),"")</f>
        <v/>
      </c>
      <c r="D788" s="91" t="str">
        <f>IFERROR(VLOOKUP(A788,'Salary Calculation'!$A$2:$T$999,6,0),"")</f>
        <v/>
      </c>
      <c r="E788" s="91" t="str">
        <f>IFERROR(VLOOKUP(A788,'Salary Calculation'!$A$2:$T$999,8,0),"")</f>
        <v/>
      </c>
      <c r="F788" s="92" t="str">
        <f>IFERROR(VLOOKUP(C788,'Employees List'!$B$2:H999,6,0),"")</f>
        <v/>
      </c>
      <c r="G788" s="93" t="str">
        <f>IFERROR(VLOOKUP(A788,'Salary Calculation'!$A$2:$T$999,7,0),"")</f>
        <v/>
      </c>
      <c r="H788" s="94"/>
      <c r="I788" s="46"/>
      <c r="J788" s="46"/>
      <c r="K788" s="46"/>
      <c r="L788" s="46"/>
      <c r="M788" s="46"/>
      <c r="N788" s="46"/>
      <c r="O788" s="46"/>
      <c r="P788" s="46"/>
      <c r="Q788" s="46"/>
      <c r="R788" s="46"/>
      <c r="S788" s="46"/>
      <c r="T788" s="46"/>
      <c r="U788" s="46"/>
      <c r="V788" s="46"/>
      <c r="W788" s="46"/>
      <c r="X788" s="46"/>
      <c r="Y788" s="46"/>
      <c r="Z788" s="46"/>
      <c r="AA788" s="46"/>
      <c r="AB788" s="46"/>
    </row>
    <row r="789" hidden="1">
      <c r="A789" s="90" t="s">
        <v>1006</v>
      </c>
      <c r="B789" s="91" t="str">
        <f>IFERROR(VLOOKUP(A789,'Salary Calculation'!A789:F1786,2,0),"")</f>
        <v/>
      </c>
      <c r="C789" s="91" t="str">
        <f>IFERROR(VLOOKUP(A789,'Salary Calculation'!$A$2:$T$999,3,0),"")</f>
        <v/>
      </c>
      <c r="D789" s="91" t="str">
        <f>IFERROR(VLOOKUP(A789,'Salary Calculation'!$A$2:$T$999,6,0),"")</f>
        <v/>
      </c>
      <c r="E789" s="91" t="str">
        <f>IFERROR(VLOOKUP(A789,'Salary Calculation'!$A$2:$T$999,8,0),"")</f>
        <v/>
      </c>
      <c r="F789" s="92" t="str">
        <f>IFERROR(VLOOKUP(C789,'Employees List'!$B$2:H999,6,0),"")</f>
        <v/>
      </c>
      <c r="G789" s="93" t="str">
        <f>IFERROR(VLOOKUP(A789,'Salary Calculation'!$A$2:$T$999,7,0),"")</f>
        <v/>
      </c>
      <c r="H789" s="94"/>
      <c r="I789" s="46"/>
      <c r="J789" s="46"/>
      <c r="K789" s="46"/>
      <c r="L789" s="46"/>
      <c r="M789" s="46"/>
      <c r="N789" s="46"/>
      <c r="O789" s="46"/>
      <c r="P789" s="46"/>
      <c r="Q789" s="46"/>
      <c r="R789" s="46"/>
      <c r="S789" s="46"/>
      <c r="T789" s="46"/>
      <c r="U789" s="46"/>
      <c r="V789" s="46"/>
      <c r="W789" s="46"/>
      <c r="X789" s="46"/>
      <c r="Y789" s="46"/>
      <c r="Z789" s="46"/>
      <c r="AA789" s="46"/>
      <c r="AB789" s="46"/>
    </row>
    <row r="790" hidden="1">
      <c r="A790" s="90" t="s">
        <v>1007</v>
      </c>
      <c r="B790" s="91" t="str">
        <f>IFERROR(VLOOKUP(A790,'Salary Calculation'!A790:F1787,2,0),"")</f>
        <v/>
      </c>
      <c r="C790" s="91" t="str">
        <f>IFERROR(VLOOKUP(A790,'Salary Calculation'!$A$2:$T$999,3,0),"")</f>
        <v/>
      </c>
      <c r="D790" s="91" t="str">
        <f>IFERROR(VLOOKUP(A790,'Salary Calculation'!$A$2:$T$999,6,0),"")</f>
        <v/>
      </c>
      <c r="E790" s="91" t="str">
        <f>IFERROR(VLOOKUP(A790,'Salary Calculation'!$A$2:$T$999,8,0),"")</f>
        <v/>
      </c>
      <c r="F790" s="92" t="str">
        <f>IFERROR(VLOOKUP(C790,'Employees List'!$B$2:H999,6,0),"")</f>
        <v/>
      </c>
      <c r="G790" s="93" t="str">
        <f>IFERROR(VLOOKUP(A790,'Salary Calculation'!$A$2:$T$999,7,0),"")</f>
        <v/>
      </c>
      <c r="H790" s="94"/>
      <c r="I790" s="46"/>
      <c r="J790" s="46"/>
      <c r="K790" s="46"/>
      <c r="L790" s="46"/>
      <c r="M790" s="46"/>
      <c r="N790" s="46"/>
      <c r="O790" s="46"/>
      <c r="P790" s="46"/>
      <c r="Q790" s="46"/>
      <c r="R790" s="46"/>
      <c r="S790" s="46"/>
      <c r="T790" s="46"/>
      <c r="U790" s="46"/>
      <c r="V790" s="46"/>
      <c r="W790" s="46"/>
      <c r="X790" s="46"/>
      <c r="Y790" s="46"/>
      <c r="Z790" s="46"/>
      <c r="AA790" s="46"/>
      <c r="AB790" s="46"/>
    </row>
    <row r="791" hidden="1">
      <c r="A791" s="90" t="s">
        <v>1008</v>
      </c>
      <c r="B791" s="91" t="str">
        <f>IFERROR(VLOOKUP(A791,'Salary Calculation'!A791:F1788,2,0),"")</f>
        <v/>
      </c>
      <c r="C791" s="91" t="str">
        <f>IFERROR(VLOOKUP(A791,'Salary Calculation'!$A$2:$T$999,3,0),"")</f>
        <v/>
      </c>
      <c r="D791" s="91" t="str">
        <f>IFERROR(VLOOKUP(A791,'Salary Calculation'!$A$2:$T$999,6,0),"")</f>
        <v/>
      </c>
      <c r="E791" s="91" t="str">
        <f>IFERROR(VLOOKUP(A791,'Salary Calculation'!$A$2:$T$999,8,0),"")</f>
        <v/>
      </c>
      <c r="F791" s="92" t="str">
        <f>IFERROR(VLOOKUP(C791,'Employees List'!$B$2:H999,6,0),"")</f>
        <v/>
      </c>
      <c r="G791" s="93" t="str">
        <f>IFERROR(VLOOKUP(A791,'Salary Calculation'!$A$2:$T$999,7,0),"")</f>
        <v/>
      </c>
      <c r="H791" s="94"/>
      <c r="I791" s="46"/>
      <c r="J791" s="46"/>
      <c r="K791" s="46"/>
      <c r="L791" s="46"/>
      <c r="M791" s="46"/>
      <c r="N791" s="46"/>
      <c r="O791" s="46"/>
      <c r="P791" s="46"/>
      <c r="Q791" s="46"/>
      <c r="R791" s="46"/>
      <c r="S791" s="46"/>
      <c r="T791" s="46"/>
      <c r="U791" s="46"/>
      <c r="V791" s="46"/>
      <c r="W791" s="46"/>
      <c r="X791" s="46"/>
      <c r="Y791" s="46"/>
      <c r="Z791" s="46"/>
      <c r="AA791" s="46"/>
      <c r="AB791" s="46"/>
    </row>
    <row r="792" hidden="1">
      <c r="A792" s="90" t="s">
        <v>1009</v>
      </c>
      <c r="B792" s="91" t="str">
        <f>IFERROR(VLOOKUP(A792,'Salary Calculation'!A792:F1789,2,0),"")</f>
        <v/>
      </c>
      <c r="C792" s="91" t="str">
        <f>IFERROR(VLOOKUP(A792,'Salary Calculation'!$A$2:$T$999,3,0),"")</f>
        <v/>
      </c>
      <c r="D792" s="91" t="str">
        <f>IFERROR(VLOOKUP(A792,'Salary Calculation'!$A$2:$T$999,6,0),"")</f>
        <v/>
      </c>
      <c r="E792" s="91" t="str">
        <f>IFERROR(VLOOKUP(A792,'Salary Calculation'!$A$2:$T$999,8,0),"")</f>
        <v/>
      </c>
      <c r="F792" s="92" t="str">
        <f>IFERROR(VLOOKUP(C792,'Employees List'!$B$2:H999,6,0),"")</f>
        <v/>
      </c>
      <c r="G792" s="93" t="str">
        <f>IFERROR(VLOOKUP(A792,'Salary Calculation'!$A$2:$T$999,7,0),"")</f>
        <v/>
      </c>
      <c r="H792" s="94"/>
      <c r="I792" s="46"/>
      <c r="J792" s="46"/>
      <c r="K792" s="46"/>
      <c r="L792" s="46"/>
      <c r="M792" s="46"/>
      <c r="N792" s="46"/>
      <c r="O792" s="46"/>
      <c r="P792" s="46"/>
      <c r="Q792" s="46"/>
      <c r="R792" s="46"/>
      <c r="S792" s="46"/>
      <c r="T792" s="46"/>
      <c r="U792" s="46"/>
      <c r="V792" s="46"/>
      <c r="W792" s="46"/>
      <c r="X792" s="46"/>
      <c r="Y792" s="46"/>
      <c r="Z792" s="46"/>
      <c r="AA792" s="46"/>
      <c r="AB792" s="46"/>
    </row>
    <row r="793" hidden="1">
      <c r="A793" s="90" t="s">
        <v>1010</v>
      </c>
      <c r="B793" s="91" t="str">
        <f>IFERROR(VLOOKUP(A793,'Salary Calculation'!A793:F1790,2,0),"")</f>
        <v/>
      </c>
      <c r="C793" s="91" t="str">
        <f>IFERROR(VLOOKUP(A793,'Salary Calculation'!$A$2:$T$999,3,0),"")</f>
        <v/>
      </c>
      <c r="D793" s="91" t="str">
        <f>IFERROR(VLOOKUP(A793,'Salary Calculation'!$A$2:$T$999,6,0),"")</f>
        <v/>
      </c>
      <c r="E793" s="91" t="str">
        <f>IFERROR(VLOOKUP(A793,'Salary Calculation'!$A$2:$T$999,8,0),"")</f>
        <v/>
      </c>
      <c r="F793" s="92" t="str">
        <f>IFERROR(VLOOKUP(C793,'Employees List'!$B$2:H999,6,0),"")</f>
        <v/>
      </c>
      <c r="G793" s="93" t="str">
        <f>IFERROR(VLOOKUP(A793,'Salary Calculation'!$A$2:$T$999,7,0),"")</f>
        <v/>
      </c>
      <c r="H793" s="94"/>
      <c r="I793" s="46"/>
      <c r="J793" s="46"/>
      <c r="K793" s="46"/>
      <c r="L793" s="46"/>
      <c r="M793" s="46"/>
      <c r="N793" s="46"/>
      <c r="O793" s="46"/>
      <c r="P793" s="46"/>
      <c r="Q793" s="46"/>
      <c r="R793" s="46"/>
      <c r="S793" s="46"/>
      <c r="T793" s="46"/>
      <c r="U793" s="46"/>
      <c r="V793" s="46"/>
      <c r="W793" s="46"/>
      <c r="X793" s="46"/>
      <c r="Y793" s="46"/>
      <c r="Z793" s="46"/>
      <c r="AA793" s="46"/>
      <c r="AB793" s="46"/>
    </row>
    <row r="794" hidden="1">
      <c r="A794" s="90" t="s">
        <v>1011</v>
      </c>
      <c r="B794" s="91" t="str">
        <f>IFERROR(VLOOKUP(A794,'Salary Calculation'!A794:F1791,2,0),"")</f>
        <v/>
      </c>
      <c r="C794" s="91" t="str">
        <f>IFERROR(VLOOKUP(A794,'Salary Calculation'!$A$2:$T$999,3,0),"")</f>
        <v/>
      </c>
      <c r="D794" s="91" t="str">
        <f>IFERROR(VLOOKUP(A794,'Salary Calculation'!$A$2:$T$999,6,0),"")</f>
        <v/>
      </c>
      <c r="E794" s="91" t="str">
        <f>IFERROR(VLOOKUP(A794,'Salary Calculation'!$A$2:$T$999,8,0),"")</f>
        <v/>
      </c>
      <c r="F794" s="92" t="str">
        <f>IFERROR(VLOOKUP(C794,'Employees List'!$B$2:H999,6,0),"")</f>
        <v/>
      </c>
      <c r="G794" s="93" t="str">
        <f>IFERROR(VLOOKUP(A794,'Salary Calculation'!$A$2:$T$999,7,0),"")</f>
        <v/>
      </c>
      <c r="H794" s="94"/>
      <c r="I794" s="46"/>
      <c r="J794" s="46"/>
      <c r="K794" s="46"/>
      <c r="L794" s="46"/>
      <c r="M794" s="46"/>
      <c r="N794" s="46"/>
      <c r="O794" s="46"/>
      <c r="P794" s="46"/>
      <c r="Q794" s="46"/>
      <c r="R794" s="46"/>
      <c r="S794" s="46"/>
      <c r="T794" s="46"/>
      <c r="U794" s="46"/>
      <c r="V794" s="46"/>
      <c r="W794" s="46"/>
      <c r="X794" s="46"/>
      <c r="Y794" s="46"/>
      <c r="Z794" s="46"/>
      <c r="AA794" s="46"/>
      <c r="AB794" s="46"/>
    </row>
    <row r="795" hidden="1">
      <c r="A795" s="90" t="s">
        <v>1012</v>
      </c>
      <c r="B795" s="91" t="str">
        <f>IFERROR(VLOOKUP(A795,'Salary Calculation'!A795:F1792,2,0),"")</f>
        <v/>
      </c>
      <c r="C795" s="91" t="str">
        <f>IFERROR(VLOOKUP(A795,'Salary Calculation'!$A$2:$T$999,3,0),"")</f>
        <v/>
      </c>
      <c r="D795" s="91" t="str">
        <f>IFERROR(VLOOKUP(A795,'Salary Calculation'!$A$2:$T$999,6,0),"")</f>
        <v/>
      </c>
      <c r="E795" s="91" t="str">
        <f>IFERROR(VLOOKUP(A795,'Salary Calculation'!$A$2:$T$999,8,0),"")</f>
        <v/>
      </c>
      <c r="F795" s="92" t="str">
        <f>IFERROR(VLOOKUP(C795,'Employees List'!$B$2:H999,6,0),"")</f>
        <v/>
      </c>
      <c r="G795" s="93" t="str">
        <f>IFERROR(VLOOKUP(A795,'Salary Calculation'!$A$2:$T$999,7,0),"")</f>
        <v/>
      </c>
      <c r="H795" s="94"/>
      <c r="I795" s="46"/>
      <c r="J795" s="46"/>
      <c r="K795" s="46"/>
      <c r="L795" s="46"/>
      <c r="M795" s="46"/>
      <c r="N795" s="46"/>
      <c r="O795" s="46"/>
      <c r="P795" s="46"/>
      <c r="Q795" s="46"/>
      <c r="R795" s="46"/>
      <c r="S795" s="46"/>
      <c r="T795" s="46"/>
      <c r="U795" s="46"/>
      <c r="V795" s="46"/>
      <c r="W795" s="46"/>
      <c r="X795" s="46"/>
      <c r="Y795" s="46"/>
      <c r="Z795" s="46"/>
      <c r="AA795" s="46"/>
      <c r="AB795" s="46"/>
    </row>
    <row r="796" hidden="1">
      <c r="A796" s="90" t="s">
        <v>1013</v>
      </c>
      <c r="B796" s="91" t="str">
        <f>IFERROR(VLOOKUP(A796,'Salary Calculation'!A796:F1793,2,0),"")</f>
        <v/>
      </c>
      <c r="C796" s="91" t="str">
        <f>IFERROR(VLOOKUP(A796,'Salary Calculation'!$A$2:$T$999,3,0),"")</f>
        <v/>
      </c>
      <c r="D796" s="91" t="str">
        <f>IFERROR(VLOOKUP(A796,'Salary Calculation'!$A$2:$T$999,6,0),"")</f>
        <v/>
      </c>
      <c r="E796" s="91" t="str">
        <f>IFERROR(VLOOKUP(A796,'Salary Calculation'!$A$2:$T$999,8,0),"")</f>
        <v/>
      </c>
      <c r="F796" s="92" t="str">
        <f>IFERROR(VLOOKUP(C796,'Employees List'!$B$2:H999,6,0),"")</f>
        <v/>
      </c>
      <c r="G796" s="93" t="str">
        <f>IFERROR(VLOOKUP(A796,'Salary Calculation'!$A$2:$T$999,7,0),"")</f>
        <v/>
      </c>
      <c r="H796" s="94"/>
      <c r="I796" s="46"/>
      <c r="J796" s="46"/>
      <c r="K796" s="46"/>
      <c r="L796" s="46"/>
      <c r="M796" s="46"/>
      <c r="N796" s="46"/>
      <c r="O796" s="46"/>
      <c r="P796" s="46"/>
      <c r="Q796" s="46"/>
      <c r="R796" s="46"/>
      <c r="S796" s="46"/>
      <c r="T796" s="46"/>
      <c r="U796" s="46"/>
      <c r="V796" s="46"/>
      <c r="W796" s="46"/>
      <c r="X796" s="46"/>
      <c r="Y796" s="46"/>
      <c r="Z796" s="46"/>
      <c r="AA796" s="46"/>
      <c r="AB796" s="46"/>
    </row>
    <row r="797" hidden="1">
      <c r="A797" s="90" t="s">
        <v>1014</v>
      </c>
      <c r="B797" s="91" t="str">
        <f>IFERROR(VLOOKUP(A797,'Salary Calculation'!A797:F1794,2,0),"")</f>
        <v/>
      </c>
      <c r="C797" s="91" t="str">
        <f>IFERROR(VLOOKUP(A797,'Salary Calculation'!$A$2:$T$999,3,0),"")</f>
        <v/>
      </c>
      <c r="D797" s="91" t="str">
        <f>IFERROR(VLOOKUP(A797,'Salary Calculation'!$A$2:$T$999,6,0),"")</f>
        <v/>
      </c>
      <c r="E797" s="91" t="str">
        <f>IFERROR(VLOOKUP(A797,'Salary Calculation'!$A$2:$T$999,8,0),"")</f>
        <v/>
      </c>
      <c r="F797" s="92" t="str">
        <f>IFERROR(VLOOKUP(C797,'Employees List'!$B$2:H999,6,0),"")</f>
        <v/>
      </c>
      <c r="G797" s="93" t="str">
        <f>IFERROR(VLOOKUP(A797,'Salary Calculation'!$A$2:$T$999,7,0),"")</f>
        <v/>
      </c>
      <c r="H797" s="94"/>
      <c r="I797" s="46"/>
      <c r="J797" s="46"/>
      <c r="K797" s="46"/>
      <c r="L797" s="46"/>
      <c r="M797" s="46"/>
      <c r="N797" s="46"/>
      <c r="O797" s="46"/>
      <c r="P797" s="46"/>
      <c r="Q797" s="46"/>
      <c r="R797" s="46"/>
      <c r="S797" s="46"/>
      <c r="T797" s="46"/>
      <c r="U797" s="46"/>
      <c r="V797" s="46"/>
      <c r="W797" s="46"/>
      <c r="X797" s="46"/>
      <c r="Y797" s="46"/>
      <c r="Z797" s="46"/>
      <c r="AA797" s="46"/>
      <c r="AB797" s="46"/>
    </row>
    <row r="798" hidden="1">
      <c r="A798" s="90" t="s">
        <v>1015</v>
      </c>
      <c r="B798" s="91" t="str">
        <f>IFERROR(VLOOKUP(A798,'Salary Calculation'!A798:F1795,2,0),"")</f>
        <v/>
      </c>
      <c r="C798" s="91" t="str">
        <f>IFERROR(VLOOKUP(A798,'Salary Calculation'!$A$2:$T$999,3,0),"")</f>
        <v/>
      </c>
      <c r="D798" s="91" t="str">
        <f>IFERROR(VLOOKUP(A798,'Salary Calculation'!$A$2:$T$999,6,0),"")</f>
        <v/>
      </c>
      <c r="E798" s="91" t="str">
        <f>IFERROR(VLOOKUP(A798,'Salary Calculation'!$A$2:$T$999,8,0),"")</f>
        <v/>
      </c>
      <c r="F798" s="92" t="str">
        <f>IFERROR(VLOOKUP(C798,'Employees List'!$B$2:H999,6,0),"")</f>
        <v/>
      </c>
      <c r="G798" s="93" t="str">
        <f>IFERROR(VLOOKUP(A798,'Salary Calculation'!$A$2:$T$999,7,0),"")</f>
        <v/>
      </c>
      <c r="H798" s="94"/>
      <c r="I798" s="46"/>
      <c r="J798" s="46"/>
      <c r="K798" s="46"/>
      <c r="L798" s="46"/>
      <c r="M798" s="46"/>
      <c r="N798" s="46"/>
      <c r="O798" s="46"/>
      <c r="P798" s="46"/>
      <c r="Q798" s="46"/>
      <c r="R798" s="46"/>
      <c r="S798" s="46"/>
      <c r="T798" s="46"/>
      <c r="U798" s="46"/>
      <c r="V798" s="46"/>
      <c r="W798" s="46"/>
      <c r="X798" s="46"/>
      <c r="Y798" s="46"/>
      <c r="Z798" s="46"/>
      <c r="AA798" s="46"/>
      <c r="AB798" s="46"/>
    </row>
    <row r="799" hidden="1">
      <c r="A799" s="90" t="s">
        <v>1016</v>
      </c>
      <c r="B799" s="91" t="str">
        <f>IFERROR(VLOOKUP(A799,'Salary Calculation'!A799:F1796,2,0),"")</f>
        <v/>
      </c>
      <c r="C799" s="91" t="str">
        <f>IFERROR(VLOOKUP(A799,'Salary Calculation'!$A$2:$T$999,3,0),"")</f>
        <v/>
      </c>
      <c r="D799" s="91" t="str">
        <f>IFERROR(VLOOKUP(A799,'Salary Calculation'!$A$2:$T$999,6,0),"")</f>
        <v/>
      </c>
      <c r="E799" s="91" t="str">
        <f>IFERROR(VLOOKUP(A799,'Salary Calculation'!$A$2:$T$999,8,0),"")</f>
        <v/>
      </c>
      <c r="F799" s="92" t="str">
        <f>IFERROR(VLOOKUP(C799,'Employees List'!$B$2:H999,6,0),"")</f>
        <v/>
      </c>
      <c r="G799" s="93" t="str">
        <f>IFERROR(VLOOKUP(A799,'Salary Calculation'!$A$2:$T$999,7,0),"")</f>
        <v/>
      </c>
      <c r="H799" s="94"/>
      <c r="I799" s="46"/>
      <c r="J799" s="46"/>
      <c r="K799" s="46"/>
      <c r="L799" s="46"/>
      <c r="M799" s="46"/>
      <c r="N799" s="46"/>
      <c r="O799" s="46"/>
      <c r="P799" s="46"/>
      <c r="Q799" s="46"/>
      <c r="R799" s="46"/>
      <c r="S799" s="46"/>
      <c r="T799" s="46"/>
      <c r="U799" s="46"/>
      <c r="V799" s="46"/>
      <c r="W799" s="46"/>
      <c r="X799" s="46"/>
      <c r="Y799" s="46"/>
      <c r="Z799" s="46"/>
      <c r="AA799" s="46"/>
      <c r="AB799" s="46"/>
    </row>
    <row r="800" hidden="1">
      <c r="A800" s="90" t="s">
        <v>1017</v>
      </c>
      <c r="B800" s="91" t="str">
        <f>IFERROR(VLOOKUP(A800,'Salary Calculation'!A800:F1797,2,0),"")</f>
        <v/>
      </c>
      <c r="C800" s="91" t="str">
        <f>IFERROR(VLOOKUP(A800,'Salary Calculation'!$A$2:$T$999,3,0),"")</f>
        <v/>
      </c>
      <c r="D800" s="91" t="str">
        <f>IFERROR(VLOOKUP(A800,'Salary Calculation'!$A$2:$T$999,6,0),"")</f>
        <v/>
      </c>
      <c r="E800" s="91" t="str">
        <f>IFERROR(VLOOKUP(A800,'Salary Calculation'!$A$2:$T$999,8,0),"")</f>
        <v/>
      </c>
      <c r="F800" s="92" t="str">
        <f>IFERROR(VLOOKUP(C800,'Employees List'!$B$2:H999,6,0),"")</f>
        <v/>
      </c>
      <c r="G800" s="93" t="str">
        <f>IFERROR(VLOOKUP(A800,'Salary Calculation'!$A$2:$T$999,7,0),"")</f>
        <v/>
      </c>
      <c r="H800" s="94"/>
      <c r="I800" s="46"/>
      <c r="J800" s="46"/>
      <c r="K800" s="46"/>
      <c r="L800" s="46"/>
      <c r="M800" s="46"/>
      <c r="N800" s="46"/>
      <c r="O800" s="46"/>
      <c r="P800" s="46"/>
      <c r="Q800" s="46"/>
      <c r="R800" s="46"/>
      <c r="S800" s="46"/>
      <c r="T800" s="46"/>
      <c r="U800" s="46"/>
      <c r="V800" s="46"/>
      <c r="W800" s="46"/>
      <c r="X800" s="46"/>
      <c r="Y800" s="46"/>
      <c r="Z800" s="46"/>
      <c r="AA800" s="46"/>
      <c r="AB800" s="46"/>
    </row>
    <row r="801" hidden="1">
      <c r="A801" s="90" t="s">
        <v>1018</v>
      </c>
      <c r="B801" s="91" t="str">
        <f>IFERROR(VLOOKUP(A801,'Salary Calculation'!A801:F1798,2,0),"")</f>
        <v/>
      </c>
      <c r="C801" s="91" t="str">
        <f>IFERROR(VLOOKUP(A801,'Salary Calculation'!$A$2:$T$999,3,0),"")</f>
        <v/>
      </c>
      <c r="D801" s="91" t="str">
        <f>IFERROR(VLOOKUP(A801,'Salary Calculation'!$A$2:$T$999,6,0),"")</f>
        <v/>
      </c>
      <c r="E801" s="91" t="str">
        <f>IFERROR(VLOOKUP(A801,'Salary Calculation'!$A$2:$T$999,8,0),"")</f>
        <v/>
      </c>
      <c r="F801" s="92" t="str">
        <f>IFERROR(VLOOKUP(C801,'Employees List'!$B$2:H999,6,0),"")</f>
        <v/>
      </c>
      <c r="G801" s="93" t="str">
        <f>IFERROR(VLOOKUP(A801,'Salary Calculation'!$A$2:$T$999,7,0),"")</f>
        <v/>
      </c>
      <c r="H801" s="94"/>
      <c r="I801" s="46"/>
      <c r="J801" s="46"/>
      <c r="K801" s="46"/>
      <c r="L801" s="46"/>
      <c r="M801" s="46"/>
      <c r="N801" s="46"/>
      <c r="O801" s="46"/>
      <c r="P801" s="46"/>
      <c r="Q801" s="46"/>
      <c r="R801" s="46"/>
      <c r="S801" s="46"/>
      <c r="T801" s="46"/>
      <c r="U801" s="46"/>
      <c r="V801" s="46"/>
      <c r="W801" s="46"/>
      <c r="X801" s="46"/>
      <c r="Y801" s="46"/>
      <c r="Z801" s="46"/>
      <c r="AA801" s="46"/>
      <c r="AB801" s="46"/>
    </row>
    <row r="802" hidden="1">
      <c r="A802" s="90" t="s">
        <v>1019</v>
      </c>
      <c r="B802" s="91" t="str">
        <f>IFERROR(VLOOKUP(A802,'Salary Calculation'!A802:F1799,2,0),"")</f>
        <v/>
      </c>
      <c r="C802" s="91" t="str">
        <f>IFERROR(VLOOKUP(A802,'Salary Calculation'!$A$2:$T$999,3,0),"")</f>
        <v/>
      </c>
      <c r="D802" s="91" t="str">
        <f>IFERROR(VLOOKUP(A802,'Salary Calculation'!$A$2:$T$999,6,0),"")</f>
        <v/>
      </c>
      <c r="E802" s="91" t="str">
        <f>IFERROR(VLOOKUP(A802,'Salary Calculation'!$A$2:$T$999,8,0),"")</f>
        <v/>
      </c>
      <c r="F802" s="92" t="str">
        <f>IFERROR(VLOOKUP(C802,'Employees List'!$B$2:H999,6,0),"")</f>
        <v/>
      </c>
      <c r="G802" s="93" t="str">
        <f>IFERROR(VLOOKUP(A802,'Salary Calculation'!$A$2:$T$999,7,0),"")</f>
        <v/>
      </c>
      <c r="H802" s="94"/>
      <c r="I802" s="46"/>
      <c r="J802" s="46"/>
      <c r="K802" s="46"/>
      <c r="L802" s="46"/>
      <c r="M802" s="46"/>
      <c r="N802" s="46"/>
      <c r="O802" s="46"/>
      <c r="P802" s="46"/>
      <c r="Q802" s="46"/>
      <c r="R802" s="46"/>
      <c r="S802" s="46"/>
      <c r="T802" s="46"/>
      <c r="U802" s="46"/>
      <c r="V802" s="46"/>
      <c r="W802" s="46"/>
      <c r="X802" s="46"/>
      <c r="Y802" s="46"/>
      <c r="Z802" s="46"/>
      <c r="AA802" s="46"/>
      <c r="AB802" s="46"/>
    </row>
    <row r="803" hidden="1">
      <c r="A803" s="90" t="s">
        <v>1020</v>
      </c>
      <c r="B803" s="91" t="str">
        <f>IFERROR(VLOOKUP(A803,'Salary Calculation'!A803:F1800,2,0),"")</f>
        <v/>
      </c>
      <c r="C803" s="91" t="str">
        <f>IFERROR(VLOOKUP(A803,'Salary Calculation'!$A$2:$T$999,3,0),"")</f>
        <v/>
      </c>
      <c r="D803" s="91" t="str">
        <f>IFERROR(VLOOKUP(A803,'Salary Calculation'!$A$2:$T$999,6,0),"")</f>
        <v/>
      </c>
      <c r="E803" s="91" t="str">
        <f>IFERROR(VLOOKUP(A803,'Salary Calculation'!$A$2:$T$999,8,0),"")</f>
        <v/>
      </c>
      <c r="F803" s="92" t="str">
        <f>IFERROR(VLOOKUP(C803,'Employees List'!$B$2:H999,6,0),"")</f>
        <v/>
      </c>
      <c r="G803" s="93" t="str">
        <f>IFERROR(VLOOKUP(A803,'Salary Calculation'!$A$2:$T$999,7,0),"")</f>
        <v/>
      </c>
      <c r="H803" s="94"/>
      <c r="I803" s="46"/>
      <c r="J803" s="46"/>
      <c r="K803" s="46"/>
      <c r="L803" s="46"/>
      <c r="M803" s="46"/>
      <c r="N803" s="46"/>
      <c r="O803" s="46"/>
      <c r="P803" s="46"/>
      <c r="Q803" s="46"/>
      <c r="R803" s="46"/>
      <c r="S803" s="46"/>
      <c r="T803" s="46"/>
      <c r="U803" s="46"/>
      <c r="V803" s="46"/>
      <c r="W803" s="46"/>
      <c r="X803" s="46"/>
      <c r="Y803" s="46"/>
      <c r="Z803" s="46"/>
      <c r="AA803" s="46"/>
      <c r="AB803" s="46"/>
    </row>
    <row r="804" hidden="1">
      <c r="A804" s="90" t="s">
        <v>1021</v>
      </c>
      <c r="B804" s="91" t="str">
        <f>IFERROR(VLOOKUP(A804,'Salary Calculation'!A804:F1801,2,0),"")</f>
        <v/>
      </c>
      <c r="C804" s="91" t="str">
        <f>IFERROR(VLOOKUP(A804,'Salary Calculation'!$A$2:$T$999,3,0),"")</f>
        <v/>
      </c>
      <c r="D804" s="91" t="str">
        <f>IFERROR(VLOOKUP(A804,'Salary Calculation'!$A$2:$T$999,6,0),"")</f>
        <v/>
      </c>
      <c r="E804" s="91" t="str">
        <f>IFERROR(VLOOKUP(A804,'Salary Calculation'!$A$2:$T$999,8,0),"")</f>
        <v/>
      </c>
      <c r="F804" s="92" t="str">
        <f>IFERROR(VLOOKUP(C804,'Employees List'!$B$2:H999,6,0),"")</f>
        <v/>
      </c>
      <c r="G804" s="93" t="str">
        <f>IFERROR(VLOOKUP(A804,'Salary Calculation'!$A$2:$T$999,7,0),"")</f>
        <v/>
      </c>
      <c r="H804" s="94"/>
      <c r="I804" s="46"/>
      <c r="J804" s="46"/>
      <c r="K804" s="46"/>
      <c r="L804" s="46"/>
      <c r="M804" s="46"/>
      <c r="N804" s="46"/>
      <c r="O804" s="46"/>
      <c r="P804" s="46"/>
      <c r="Q804" s="46"/>
      <c r="R804" s="46"/>
      <c r="S804" s="46"/>
      <c r="T804" s="46"/>
      <c r="U804" s="46"/>
      <c r="V804" s="46"/>
      <c r="W804" s="46"/>
      <c r="X804" s="46"/>
      <c r="Y804" s="46"/>
      <c r="Z804" s="46"/>
      <c r="AA804" s="46"/>
      <c r="AB804" s="46"/>
    </row>
    <row r="805" hidden="1">
      <c r="A805" s="90" t="s">
        <v>1022</v>
      </c>
      <c r="B805" s="91" t="str">
        <f>IFERROR(VLOOKUP(A805,'Salary Calculation'!A805:F1802,2,0),"")</f>
        <v/>
      </c>
      <c r="C805" s="91" t="str">
        <f>IFERROR(VLOOKUP(A805,'Salary Calculation'!$A$2:$T$999,3,0),"")</f>
        <v/>
      </c>
      <c r="D805" s="91" t="str">
        <f>IFERROR(VLOOKUP(A805,'Salary Calculation'!$A$2:$T$999,6,0),"")</f>
        <v/>
      </c>
      <c r="E805" s="91" t="str">
        <f>IFERROR(VLOOKUP(A805,'Salary Calculation'!$A$2:$T$999,8,0),"")</f>
        <v/>
      </c>
      <c r="F805" s="92" t="str">
        <f>IFERROR(VLOOKUP(C805,'Employees List'!$B$2:H999,6,0),"")</f>
        <v/>
      </c>
      <c r="G805" s="93" t="str">
        <f>IFERROR(VLOOKUP(A805,'Salary Calculation'!$A$2:$T$999,7,0),"")</f>
        <v/>
      </c>
      <c r="H805" s="94"/>
      <c r="I805" s="46"/>
      <c r="J805" s="46"/>
      <c r="K805" s="46"/>
      <c r="L805" s="46"/>
      <c r="M805" s="46"/>
      <c r="N805" s="46"/>
      <c r="O805" s="46"/>
      <c r="P805" s="46"/>
      <c r="Q805" s="46"/>
      <c r="R805" s="46"/>
      <c r="S805" s="46"/>
      <c r="T805" s="46"/>
      <c r="U805" s="46"/>
      <c r="V805" s="46"/>
      <c r="W805" s="46"/>
      <c r="X805" s="46"/>
      <c r="Y805" s="46"/>
      <c r="Z805" s="46"/>
      <c r="AA805" s="46"/>
      <c r="AB805" s="46"/>
    </row>
    <row r="806" hidden="1">
      <c r="A806" s="90" t="s">
        <v>1023</v>
      </c>
      <c r="B806" s="91" t="str">
        <f>IFERROR(VLOOKUP(A806,'Salary Calculation'!A806:F1803,2,0),"")</f>
        <v/>
      </c>
      <c r="C806" s="91" t="str">
        <f>IFERROR(VLOOKUP(A806,'Salary Calculation'!$A$2:$T$999,3,0),"")</f>
        <v/>
      </c>
      <c r="D806" s="91" t="str">
        <f>IFERROR(VLOOKUP(A806,'Salary Calculation'!$A$2:$T$999,6,0),"")</f>
        <v/>
      </c>
      <c r="E806" s="91" t="str">
        <f>IFERROR(VLOOKUP(A806,'Salary Calculation'!$A$2:$T$999,8,0),"")</f>
        <v/>
      </c>
      <c r="F806" s="92" t="str">
        <f>IFERROR(VLOOKUP(C806,'Employees List'!$B$2:H999,6,0),"")</f>
        <v/>
      </c>
      <c r="G806" s="93" t="str">
        <f>IFERROR(VLOOKUP(A806,'Salary Calculation'!$A$2:$T$999,7,0),"")</f>
        <v/>
      </c>
      <c r="H806" s="94"/>
      <c r="I806" s="46"/>
      <c r="J806" s="46"/>
      <c r="K806" s="46"/>
      <c r="L806" s="46"/>
      <c r="M806" s="46"/>
      <c r="N806" s="46"/>
      <c r="O806" s="46"/>
      <c r="P806" s="46"/>
      <c r="Q806" s="46"/>
      <c r="R806" s="46"/>
      <c r="S806" s="46"/>
      <c r="T806" s="46"/>
      <c r="U806" s="46"/>
      <c r="V806" s="46"/>
      <c r="W806" s="46"/>
      <c r="X806" s="46"/>
      <c r="Y806" s="46"/>
      <c r="Z806" s="46"/>
      <c r="AA806" s="46"/>
      <c r="AB806" s="46"/>
    </row>
    <row r="807" hidden="1">
      <c r="A807" s="90" t="s">
        <v>1024</v>
      </c>
      <c r="B807" s="91" t="str">
        <f>IFERROR(VLOOKUP(A807,'Salary Calculation'!A807:F1804,2,0),"")</f>
        <v/>
      </c>
      <c r="C807" s="91" t="str">
        <f>IFERROR(VLOOKUP(A807,'Salary Calculation'!$A$2:$T$999,3,0),"")</f>
        <v/>
      </c>
      <c r="D807" s="91" t="str">
        <f>IFERROR(VLOOKUP(A807,'Salary Calculation'!$A$2:$T$999,6,0),"")</f>
        <v/>
      </c>
      <c r="E807" s="91" t="str">
        <f>IFERROR(VLOOKUP(A807,'Salary Calculation'!$A$2:$T$999,8,0),"")</f>
        <v/>
      </c>
      <c r="F807" s="92" t="str">
        <f>IFERROR(VLOOKUP(C807,'Employees List'!$B$2:H999,6,0),"")</f>
        <v/>
      </c>
      <c r="G807" s="93" t="str">
        <f>IFERROR(VLOOKUP(A807,'Salary Calculation'!$A$2:$T$999,7,0),"")</f>
        <v/>
      </c>
      <c r="H807" s="94"/>
      <c r="I807" s="46"/>
      <c r="J807" s="46"/>
      <c r="K807" s="46"/>
      <c r="L807" s="46"/>
      <c r="M807" s="46"/>
      <c r="N807" s="46"/>
      <c r="O807" s="46"/>
      <c r="P807" s="46"/>
      <c r="Q807" s="46"/>
      <c r="R807" s="46"/>
      <c r="S807" s="46"/>
      <c r="T807" s="46"/>
      <c r="U807" s="46"/>
      <c r="V807" s="46"/>
      <c r="W807" s="46"/>
      <c r="X807" s="46"/>
      <c r="Y807" s="46"/>
      <c r="Z807" s="46"/>
      <c r="AA807" s="46"/>
      <c r="AB807" s="46"/>
    </row>
    <row r="808" hidden="1">
      <c r="A808" s="90" t="s">
        <v>1025</v>
      </c>
      <c r="B808" s="91" t="str">
        <f>IFERROR(VLOOKUP(A808,'Salary Calculation'!A808:F1805,2,0),"")</f>
        <v/>
      </c>
      <c r="C808" s="91" t="str">
        <f>IFERROR(VLOOKUP(A808,'Salary Calculation'!$A$2:$T$999,3,0),"")</f>
        <v/>
      </c>
      <c r="D808" s="91" t="str">
        <f>IFERROR(VLOOKUP(A808,'Salary Calculation'!$A$2:$T$999,6,0),"")</f>
        <v/>
      </c>
      <c r="E808" s="91" t="str">
        <f>IFERROR(VLOOKUP(A808,'Salary Calculation'!$A$2:$T$999,8,0),"")</f>
        <v/>
      </c>
      <c r="F808" s="92" t="str">
        <f>IFERROR(VLOOKUP(C808,'Employees List'!$B$2:H999,6,0),"")</f>
        <v/>
      </c>
      <c r="G808" s="93" t="str">
        <f>IFERROR(VLOOKUP(A808,'Salary Calculation'!$A$2:$T$999,7,0),"")</f>
        <v/>
      </c>
      <c r="H808" s="94"/>
      <c r="I808" s="46"/>
      <c r="J808" s="46"/>
      <c r="K808" s="46"/>
      <c r="L808" s="46"/>
      <c r="M808" s="46"/>
      <c r="N808" s="46"/>
      <c r="O808" s="46"/>
      <c r="P808" s="46"/>
      <c r="Q808" s="46"/>
      <c r="R808" s="46"/>
      <c r="S808" s="46"/>
      <c r="T808" s="46"/>
      <c r="U808" s="46"/>
      <c r="V808" s="46"/>
      <c r="W808" s="46"/>
      <c r="X808" s="46"/>
      <c r="Y808" s="46"/>
      <c r="Z808" s="46"/>
      <c r="AA808" s="46"/>
      <c r="AB808" s="46"/>
    </row>
    <row r="809" hidden="1">
      <c r="A809" s="90" t="s">
        <v>1026</v>
      </c>
      <c r="B809" s="91" t="str">
        <f>IFERROR(VLOOKUP(A809,'Salary Calculation'!A809:F1806,2,0),"")</f>
        <v/>
      </c>
      <c r="C809" s="91" t="str">
        <f>IFERROR(VLOOKUP(A809,'Salary Calculation'!$A$2:$T$999,3,0),"")</f>
        <v/>
      </c>
      <c r="D809" s="91" t="str">
        <f>IFERROR(VLOOKUP(A809,'Salary Calculation'!$A$2:$T$999,6,0),"")</f>
        <v/>
      </c>
      <c r="E809" s="91" t="str">
        <f>IFERROR(VLOOKUP(A809,'Salary Calculation'!$A$2:$T$999,8,0),"")</f>
        <v/>
      </c>
      <c r="F809" s="92" t="str">
        <f>IFERROR(VLOOKUP(C809,'Employees List'!$B$2:H999,6,0),"")</f>
        <v/>
      </c>
      <c r="G809" s="93" t="str">
        <f>IFERROR(VLOOKUP(A809,'Salary Calculation'!$A$2:$T$999,7,0),"")</f>
        <v/>
      </c>
      <c r="H809" s="94"/>
      <c r="I809" s="46"/>
      <c r="J809" s="46"/>
      <c r="K809" s="46"/>
      <c r="L809" s="46"/>
      <c r="M809" s="46"/>
      <c r="N809" s="46"/>
      <c r="O809" s="46"/>
      <c r="P809" s="46"/>
      <c r="Q809" s="46"/>
      <c r="R809" s="46"/>
      <c r="S809" s="46"/>
      <c r="T809" s="46"/>
      <c r="U809" s="46"/>
      <c r="V809" s="46"/>
      <c r="W809" s="46"/>
      <c r="X809" s="46"/>
      <c r="Y809" s="46"/>
      <c r="Z809" s="46"/>
      <c r="AA809" s="46"/>
      <c r="AB809" s="46"/>
    </row>
    <row r="810" hidden="1">
      <c r="A810" s="90" t="s">
        <v>1027</v>
      </c>
      <c r="B810" s="91" t="str">
        <f>IFERROR(VLOOKUP(A810,'Salary Calculation'!A810:F1807,2,0),"")</f>
        <v/>
      </c>
      <c r="C810" s="91" t="str">
        <f>IFERROR(VLOOKUP(A810,'Salary Calculation'!$A$2:$T$999,3,0),"")</f>
        <v/>
      </c>
      <c r="D810" s="91" t="str">
        <f>IFERROR(VLOOKUP(A810,'Salary Calculation'!$A$2:$T$999,6,0),"")</f>
        <v/>
      </c>
      <c r="E810" s="91" t="str">
        <f>IFERROR(VLOOKUP(A810,'Salary Calculation'!$A$2:$T$999,8,0),"")</f>
        <v/>
      </c>
      <c r="F810" s="92" t="str">
        <f>IFERROR(VLOOKUP(C810,'Employees List'!$B$2:H999,6,0),"")</f>
        <v/>
      </c>
      <c r="G810" s="93" t="str">
        <f>IFERROR(VLOOKUP(A810,'Salary Calculation'!$A$2:$T$999,7,0),"")</f>
        <v/>
      </c>
      <c r="H810" s="94"/>
      <c r="I810" s="46"/>
      <c r="J810" s="46"/>
      <c r="K810" s="46"/>
      <c r="L810" s="46"/>
      <c r="M810" s="46"/>
      <c r="N810" s="46"/>
      <c r="O810" s="46"/>
      <c r="P810" s="46"/>
      <c r="Q810" s="46"/>
      <c r="R810" s="46"/>
      <c r="S810" s="46"/>
      <c r="T810" s="46"/>
      <c r="U810" s="46"/>
      <c r="V810" s="46"/>
      <c r="W810" s="46"/>
      <c r="X810" s="46"/>
      <c r="Y810" s="46"/>
      <c r="Z810" s="46"/>
      <c r="AA810" s="46"/>
      <c r="AB810" s="46"/>
    </row>
    <row r="811" hidden="1">
      <c r="A811" s="90" t="s">
        <v>1028</v>
      </c>
      <c r="B811" s="91" t="str">
        <f>IFERROR(VLOOKUP(A811,'Salary Calculation'!A811:F1808,2,0),"")</f>
        <v/>
      </c>
      <c r="C811" s="91" t="str">
        <f>IFERROR(VLOOKUP(A811,'Salary Calculation'!$A$2:$T$999,3,0),"")</f>
        <v/>
      </c>
      <c r="D811" s="91" t="str">
        <f>IFERROR(VLOOKUP(A811,'Salary Calculation'!$A$2:$T$999,6,0),"")</f>
        <v/>
      </c>
      <c r="E811" s="91" t="str">
        <f>IFERROR(VLOOKUP(A811,'Salary Calculation'!$A$2:$T$999,8,0),"")</f>
        <v/>
      </c>
      <c r="F811" s="92" t="str">
        <f>IFERROR(VLOOKUP(C811,'Employees List'!$B$2:H999,6,0),"")</f>
        <v/>
      </c>
      <c r="G811" s="93" t="str">
        <f>IFERROR(VLOOKUP(A811,'Salary Calculation'!$A$2:$T$999,7,0),"")</f>
        <v/>
      </c>
      <c r="H811" s="94"/>
      <c r="I811" s="46"/>
      <c r="J811" s="46"/>
      <c r="K811" s="46"/>
      <c r="L811" s="46"/>
      <c r="M811" s="46"/>
      <c r="N811" s="46"/>
      <c r="O811" s="46"/>
      <c r="P811" s="46"/>
      <c r="Q811" s="46"/>
      <c r="R811" s="46"/>
      <c r="S811" s="46"/>
      <c r="T811" s="46"/>
      <c r="U811" s="46"/>
      <c r="V811" s="46"/>
      <c r="W811" s="46"/>
      <c r="X811" s="46"/>
      <c r="Y811" s="46"/>
      <c r="Z811" s="46"/>
      <c r="AA811" s="46"/>
      <c r="AB811" s="46"/>
    </row>
    <row r="812" hidden="1">
      <c r="A812" s="90" t="s">
        <v>1029</v>
      </c>
      <c r="B812" s="91" t="str">
        <f>IFERROR(VLOOKUP(A812,'Salary Calculation'!A812:F1809,2,0),"")</f>
        <v/>
      </c>
      <c r="C812" s="91" t="str">
        <f>IFERROR(VLOOKUP(A812,'Salary Calculation'!$A$2:$T$999,3,0),"")</f>
        <v/>
      </c>
      <c r="D812" s="91" t="str">
        <f>IFERROR(VLOOKUP(A812,'Salary Calculation'!$A$2:$T$999,6,0),"")</f>
        <v/>
      </c>
      <c r="E812" s="91" t="str">
        <f>IFERROR(VLOOKUP(A812,'Salary Calculation'!$A$2:$T$999,8,0),"")</f>
        <v/>
      </c>
      <c r="F812" s="92" t="str">
        <f>IFERROR(VLOOKUP(C812,'Employees List'!$B$2:H999,6,0),"")</f>
        <v/>
      </c>
      <c r="G812" s="93" t="str">
        <f>IFERROR(VLOOKUP(A812,'Salary Calculation'!$A$2:$T$999,7,0),"")</f>
        <v/>
      </c>
      <c r="H812" s="94"/>
      <c r="I812" s="46"/>
      <c r="J812" s="46"/>
      <c r="K812" s="46"/>
      <c r="L812" s="46"/>
      <c r="M812" s="46"/>
      <c r="N812" s="46"/>
      <c r="O812" s="46"/>
      <c r="P812" s="46"/>
      <c r="Q812" s="46"/>
      <c r="R812" s="46"/>
      <c r="S812" s="46"/>
      <c r="T812" s="46"/>
      <c r="U812" s="46"/>
      <c r="V812" s="46"/>
      <c r="W812" s="46"/>
      <c r="X812" s="46"/>
      <c r="Y812" s="46"/>
      <c r="Z812" s="46"/>
      <c r="AA812" s="46"/>
      <c r="AB812" s="46"/>
    </row>
    <row r="813" hidden="1">
      <c r="A813" s="90" t="s">
        <v>1030</v>
      </c>
      <c r="B813" s="91" t="str">
        <f>IFERROR(VLOOKUP(A813,'Salary Calculation'!A813:F1810,2,0),"")</f>
        <v/>
      </c>
      <c r="C813" s="91" t="str">
        <f>IFERROR(VLOOKUP(A813,'Salary Calculation'!$A$2:$T$999,3,0),"")</f>
        <v/>
      </c>
      <c r="D813" s="91" t="str">
        <f>IFERROR(VLOOKUP(A813,'Salary Calculation'!$A$2:$T$999,6,0),"")</f>
        <v/>
      </c>
      <c r="E813" s="91" t="str">
        <f>IFERROR(VLOOKUP(A813,'Salary Calculation'!$A$2:$T$999,8,0),"")</f>
        <v/>
      </c>
      <c r="F813" s="92" t="str">
        <f>IFERROR(VLOOKUP(C813,'Employees List'!$B$2:H999,6,0),"")</f>
        <v/>
      </c>
      <c r="G813" s="93" t="str">
        <f>IFERROR(VLOOKUP(A813,'Salary Calculation'!$A$2:$T$999,7,0),"")</f>
        <v/>
      </c>
      <c r="H813" s="94"/>
      <c r="I813" s="46"/>
      <c r="J813" s="46"/>
      <c r="K813" s="46"/>
      <c r="L813" s="46"/>
      <c r="M813" s="46"/>
      <c r="N813" s="46"/>
      <c r="O813" s="46"/>
      <c r="P813" s="46"/>
      <c r="Q813" s="46"/>
      <c r="R813" s="46"/>
      <c r="S813" s="46"/>
      <c r="T813" s="46"/>
      <c r="U813" s="46"/>
      <c r="V813" s="46"/>
      <c r="W813" s="46"/>
      <c r="X813" s="46"/>
      <c r="Y813" s="46"/>
      <c r="Z813" s="46"/>
      <c r="AA813" s="46"/>
      <c r="AB813" s="46"/>
    </row>
    <row r="814" hidden="1">
      <c r="A814" s="90" t="s">
        <v>1031</v>
      </c>
      <c r="B814" s="91" t="str">
        <f>IFERROR(VLOOKUP(A814,'Salary Calculation'!A814:F1811,2,0),"")</f>
        <v/>
      </c>
      <c r="C814" s="91" t="str">
        <f>IFERROR(VLOOKUP(A814,'Salary Calculation'!$A$2:$T$999,3,0),"")</f>
        <v/>
      </c>
      <c r="D814" s="91" t="str">
        <f>IFERROR(VLOOKUP(A814,'Salary Calculation'!$A$2:$T$999,6,0),"")</f>
        <v/>
      </c>
      <c r="E814" s="91" t="str">
        <f>IFERROR(VLOOKUP(A814,'Salary Calculation'!$A$2:$T$999,8,0),"")</f>
        <v/>
      </c>
      <c r="F814" s="92" t="str">
        <f>IFERROR(VLOOKUP(C814,'Employees List'!$B$2:H999,6,0),"")</f>
        <v/>
      </c>
      <c r="G814" s="93" t="str">
        <f>IFERROR(VLOOKUP(A814,'Salary Calculation'!$A$2:$T$999,7,0),"")</f>
        <v/>
      </c>
      <c r="H814" s="94"/>
      <c r="I814" s="46"/>
      <c r="J814" s="46"/>
      <c r="K814" s="46"/>
      <c r="L814" s="46"/>
      <c r="M814" s="46"/>
      <c r="N814" s="46"/>
      <c r="O814" s="46"/>
      <c r="P814" s="46"/>
      <c r="Q814" s="46"/>
      <c r="R814" s="46"/>
      <c r="S814" s="46"/>
      <c r="T814" s="46"/>
      <c r="U814" s="46"/>
      <c r="V814" s="46"/>
      <c r="W814" s="46"/>
      <c r="X814" s="46"/>
      <c r="Y814" s="46"/>
      <c r="Z814" s="46"/>
      <c r="AA814" s="46"/>
      <c r="AB814" s="46"/>
    </row>
    <row r="815" hidden="1">
      <c r="A815" s="90" t="s">
        <v>1032</v>
      </c>
      <c r="B815" s="91" t="str">
        <f>IFERROR(VLOOKUP(A815,'Salary Calculation'!A815:F1812,2,0),"")</f>
        <v/>
      </c>
      <c r="C815" s="91" t="str">
        <f>IFERROR(VLOOKUP(A815,'Salary Calculation'!$A$2:$T$999,3,0),"")</f>
        <v/>
      </c>
      <c r="D815" s="91" t="str">
        <f>IFERROR(VLOOKUP(A815,'Salary Calculation'!$A$2:$T$999,6,0),"")</f>
        <v/>
      </c>
      <c r="E815" s="91" t="str">
        <f>IFERROR(VLOOKUP(A815,'Salary Calculation'!$A$2:$T$999,8,0),"")</f>
        <v/>
      </c>
      <c r="F815" s="92" t="str">
        <f>IFERROR(VLOOKUP(C815,'Employees List'!$B$2:H999,6,0),"")</f>
        <v/>
      </c>
      <c r="G815" s="93" t="str">
        <f>IFERROR(VLOOKUP(A815,'Salary Calculation'!$A$2:$T$999,7,0),"")</f>
        <v/>
      </c>
      <c r="H815" s="94"/>
      <c r="I815" s="46"/>
      <c r="J815" s="46"/>
      <c r="K815" s="46"/>
      <c r="L815" s="46"/>
      <c r="M815" s="46"/>
      <c r="N815" s="46"/>
      <c r="O815" s="46"/>
      <c r="P815" s="46"/>
      <c r="Q815" s="46"/>
      <c r="R815" s="46"/>
      <c r="S815" s="46"/>
      <c r="T815" s="46"/>
      <c r="U815" s="46"/>
      <c r="V815" s="46"/>
      <c r="W815" s="46"/>
      <c r="X815" s="46"/>
      <c r="Y815" s="46"/>
      <c r="Z815" s="46"/>
      <c r="AA815" s="46"/>
      <c r="AB815" s="46"/>
    </row>
    <row r="816" hidden="1">
      <c r="A816" s="90" t="s">
        <v>1033</v>
      </c>
      <c r="B816" s="91" t="str">
        <f>IFERROR(VLOOKUP(A816,'Salary Calculation'!A816:F1813,2,0),"")</f>
        <v/>
      </c>
      <c r="C816" s="91" t="str">
        <f>IFERROR(VLOOKUP(A816,'Salary Calculation'!$A$2:$T$999,3,0),"")</f>
        <v/>
      </c>
      <c r="D816" s="91" t="str">
        <f>IFERROR(VLOOKUP(A816,'Salary Calculation'!$A$2:$T$999,6,0),"")</f>
        <v/>
      </c>
      <c r="E816" s="91" t="str">
        <f>IFERROR(VLOOKUP(A816,'Salary Calculation'!$A$2:$T$999,8,0),"")</f>
        <v/>
      </c>
      <c r="F816" s="92" t="str">
        <f>IFERROR(VLOOKUP(C816,'Employees List'!$B$2:H999,6,0),"")</f>
        <v/>
      </c>
      <c r="G816" s="93" t="str">
        <f>IFERROR(VLOOKUP(A816,'Salary Calculation'!$A$2:$T$999,7,0),"")</f>
        <v/>
      </c>
      <c r="H816" s="94"/>
      <c r="I816" s="46"/>
      <c r="J816" s="46"/>
      <c r="K816" s="46"/>
      <c r="L816" s="46"/>
      <c r="M816" s="46"/>
      <c r="N816" s="46"/>
      <c r="O816" s="46"/>
      <c r="P816" s="46"/>
      <c r="Q816" s="46"/>
      <c r="R816" s="46"/>
      <c r="S816" s="46"/>
      <c r="T816" s="46"/>
      <c r="U816" s="46"/>
      <c r="V816" s="46"/>
      <c r="W816" s="46"/>
      <c r="X816" s="46"/>
      <c r="Y816" s="46"/>
      <c r="Z816" s="46"/>
      <c r="AA816" s="46"/>
      <c r="AB816" s="46"/>
    </row>
    <row r="817" hidden="1">
      <c r="A817" s="90" t="s">
        <v>1034</v>
      </c>
      <c r="B817" s="91" t="str">
        <f>IFERROR(VLOOKUP(A817,'Salary Calculation'!A817:F1814,2,0),"")</f>
        <v/>
      </c>
      <c r="C817" s="91" t="str">
        <f>IFERROR(VLOOKUP(A817,'Salary Calculation'!$A$2:$T$999,3,0),"")</f>
        <v/>
      </c>
      <c r="D817" s="91" t="str">
        <f>IFERROR(VLOOKUP(A817,'Salary Calculation'!$A$2:$T$999,6,0),"")</f>
        <v/>
      </c>
      <c r="E817" s="91" t="str">
        <f>IFERROR(VLOOKUP(A817,'Salary Calculation'!$A$2:$T$999,8,0),"")</f>
        <v/>
      </c>
      <c r="F817" s="92" t="str">
        <f>IFERROR(VLOOKUP(C817,'Employees List'!$B$2:H999,6,0),"")</f>
        <v/>
      </c>
      <c r="G817" s="93" t="str">
        <f>IFERROR(VLOOKUP(A817,'Salary Calculation'!$A$2:$T$999,7,0),"")</f>
        <v/>
      </c>
      <c r="H817" s="94"/>
      <c r="I817" s="46"/>
      <c r="J817" s="46"/>
      <c r="K817" s="46"/>
      <c r="L817" s="46"/>
      <c r="M817" s="46"/>
      <c r="N817" s="46"/>
      <c r="O817" s="46"/>
      <c r="P817" s="46"/>
      <c r="Q817" s="46"/>
      <c r="R817" s="46"/>
      <c r="S817" s="46"/>
      <c r="T817" s="46"/>
      <c r="U817" s="46"/>
      <c r="V817" s="46"/>
      <c r="W817" s="46"/>
      <c r="X817" s="46"/>
      <c r="Y817" s="46"/>
      <c r="Z817" s="46"/>
      <c r="AA817" s="46"/>
      <c r="AB817" s="46"/>
    </row>
    <row r="818" hidden="1">
      <c r="A818" s="90" t="s">
        <v>1035</v>
      </c>
      <c r="B818" s="91" t="str">
        <f>IFERROR(VLOOKUP(A818,'Salary Calculation'!A818:F1815,2,0),"")</f>
        <v/>
      </c>
      <c r="C818" s="91" t="str">
        <f>IFERROR(VLOOKUP(A818,'Salary Calculation'!$A$2:$T$999,3,0),"")</f>
        <v/>
      </c>
      <c r="D818" s="91" t="str">
        <f>IFERROR(VLOOKUP(A818,'Salary Calculation'!$A$2:$T$999,6,0),"")</f>
        <v/>
      </c>
      <c r="E818" s="91" t="str">
        <f>IFERROR(VLOOKUP(A818,'Salary Calculation'!$A$2:$T$999,8,0),"")</f>
        <v/>
      </c>
      <c r="F818" s="92" t="str">
        <f>IFERROR(VLOOKUP(C818,'Employees List'!$B$2:H999,6,0),"")</f>
        <v/>
      </c>
      <c r="G818" s="93" t="str">
        <f>IFERROR(VLOOKUP(A818,'Salary Calculation'!$A$2:$T$999,7,0),"")</f>
        <v/>
      </c>
      <c r="H818" s="94"/>
      <c r="I818" s="46"/>
      <c r="J818" s="46"/>
      <c r="K818" s="46"/>
      <c r="L818" s="46"/>
      <c r="M818" s="46"/>
      <c r="N818" s="46"/>
      <c r="O818" s="46"/>
      <c r="P818" s="46"/>
      <c r="Q818" s="46"/>
      <c r="R818" s="46"/>
      <c r="S818" s="46"/>
      <c r="T818" s="46"/>
      <c r="U818" s="46"/>
      <c r="V818" s="46"/>
      <c r="W818" s="46"/>
      <c r="X818" s="46"/>
      <c r="Y818" s="46"/>
      <c r="Z818" s="46"/>
      <c r="AA818" s="46"/>
      <c r="AB818" s="46"/>
    </row>
    <row r="819" hidden="1">
      <c r="A819" s="90" t="s">
        <v>1036</v>
      </c>
      <c r="B819" s="91" t="str">
        <f>IFERROR(VLOOKUP(A819,'Salary Calculation'!A819:F1816,2,0),"")</f>
        <v/>
      </c>
      <c r="C819" s="91" t="str">
        <f>IFERROR(VLOOKUP(A819,'Salary Calculation'!$A$2:$T$999,3,0),"")</f>
        <v/>
      </c>
      <c r="D819" s="91" t="str">
        <f>IFERROR(VLOOKUP(A819,'Salary Calculation'!$A$2:$T$999,6,0),"")</f>
        <v/>
      </c>
      <c r="E819" s="91" t="str">
        <f>IFERROR(VLOOKUP(A819,'Salary Calculation'!$A$2:$T$999,8,0),"")</f>
        <v/>
      </c>
      <c r="F819" s="92" t="str">
        <f>IFERROR(VLOOKUP(C819,'Employees List'!$B$2:H999,6,0),"")</f>
        <v/>
      </c>
      <c r="G819" s="93" t="str">
        <f>IFERROR(VLOOKUP(A819,'Salary Calculation'!$A$2:$T$999,7,0),"")</f>
        <v/>
      </c>
      <c r="H819" s="94"/>
      <c r="I819" s="46"/>
      <c r="J819" s="46"/>
      <c r="K819" s="46"/>
      <c r="L819" s="46"/>
      <c r="M819" s="46"/>
      <c r="N819" s="46"/>
      <c r="O819" s="46"/>
      <c r="P819" s="46"/>
      <c r="Q819" s="46"/>
      <c r="R819" s="46"/>
      <c r="S819" s="46"/>
      <c r="T819" s="46"/>
      <c r="U819" s="46"/>
      <c r="V819" s="46"/>
      <c r="W819" s="46"/>
      <c r="X819" s="46"/>
      <c r="Y819" s="46"/>
      <c r="Z819" s="46"/>
      <c r="AA819" s="46"/>
      <c r="AB819" s="46"/>
    </row>
    <row r="820" hidden="1">
      <c r="A820" s="90" t="s">
        <v>1037</v>
      </c>
      <c r="B820" s="91" t="str">
        <f>IFERROR(VLOOKUP(A820,'Salary Calculation'!A820:F1817,2,0),"")</f>
        <v/>
      </c>
      <c r="C820" s="91" t="str">
        <f>IFERROR(VLOOKUP(A820,'Salary Calculation'!$A$2:$T$999,3,0),"")</f>
        <v/>
      </c>
      <c r="D820" s="91" t="str">
        <f>IFERROR(VLOOKUP(A820,'Salary Calculation'!$A$2:$T$999,6,0),"")</f>
        <v/>
      </c>
      <c r="E820" s="91" t="str">
        <f>IFERROR(VLOOKUP(A820,'Salary Calculation'!$A$2:$T$999,8,0),"")</f>
        <v/>
      </c>
      <c r="F820" s="92" t="str">
        <f>IFERROR(VLOOKUP(C820,'Employees List'!$B$2:H999,6,0),"")</f>
        <v/>
      </c>
      <c r="G820" s="93" t="str">
        <f>IFERROR(VLOOKUP(A820,'Salary Calculation'!$A$2:$T$999,7,0),"")</f>
        <v/>
      </c>
      <c r="H820" s="94"/>
      <c r="I820" s="46"/>
      <c r="J820" s="46"/>
      <c r="K820" s="46"/>
      <c r="L820" s="46"/>
      <c r="M820" s="46"/>
      <c r="N820" s="46"/>
      <c r="O820" s="46"/>
      <c r="P820" s="46"/>
      <c r="Q820" s="46"/>
      <c r="R820" s="46"/>
      <c r="S820" s="46"/>
      <c r="T820" s="46"/>
      <c r="U820" s="46"/>
      <c r="V820" s="46"/>
      <c r="W820" s="46"/>
      <c r="X820" s="46"/>
      <c r="Y820" s="46"/>
      <c r="Z820" s="46"/>
      <c r="AA820" s="46"/>
      <c r="AB820" s="46"/>
    </row>
    <row r="821" hidden="1">
      <c r="A821" s="90" t="s">
        <v>1038</v>
      </c>
      <c r="B821" s="91" t="str">
        <f>IFERROR(VLOOKUP(A821,'Salary Calculation'!A821:F1818,2,0),"")</f>
        <v/>
      </c>
      <c r="C821" s="91" t="str">
        <f>IFERROR(VLOOKUP(A821,'Salary Calculation'!$A$2:$T$999,3,0),"")</f>
        <v/>
      </c>
      <c r="D821" s="91" t="str">
        <f>IFERROR(VLOOKUP(A821,'Salary Calculation'!$A$2:$T$999,6,0),"")</f>
        <v/>
      </c>
      <c r="E821" s="91" t="str">
        <f>IFERROR(VLOOKUP(A821,'Salary Calculation'!$A$2:$T$999,8,0),"")</f>
        <v/>
      </c>
      <c r="F821" s="92" t="str">
        <f>IFERROR(VLOOKUP(C821,'Employees List'!$B$2:H999,6,0),"")</f>
        <v/>
      </c>
      <c r="G821" s="93" t="str">
        <f>IFERROR(VLOOKUP(A821,'Salary Calculation'!$A$2:$T$999,7,0),"")</f>
        <v/>
      </c>
      <c r="H821" s="94"/>
      <c r="I821" s="46"/>
      <c r="J821" s="46"/>
      <c r="K821" s="46"/>
      <c r="L821" s="46"/>
      <c r="M821" s="46"/>
      <c r="N821" s="46"/>
      <c r="O821" s="46"/>
      <c r="P821" s="46"/>
      <c r="Q821" s="46"/>
      <c r="R821" s="46"/>
      <c r="S821" s="46"/>
      <c r="T821" s="46"/>
      <c r="U821" s="46"/>
      <c r="V821" s="46"/>
      <c r="W821" s="46"/>
      <c r="X821" s="46"/>
      <c r="Y821" s="46"/>
      <c r="Z821" s="46"/>
      <c r="AA821" s="46"/>
      <c r="AB821" s="46"/>
    </row>
    <row r="822" hidden="1">
      <c r="A822" s="90" t="s">
        <v>1039</v>
      </c>
      <c r="B822" s="91" t="str">
        <f>IFERROR(VLOOKUP(A822,'Salary Calculation'!A822:F1819,2,0),"")</f>
        <v/>
      </c>
      <c r="C822" s="91" t="str">
        <f>IFERROR(VLOOKUP(A822,'Salary Calculation'!$A$2:$T$999,3,0),"")</f>
        <v/>
      </c>
      <c r="D822" s="91" t="str">
        <f>IFERROR(VLOOKUP(A822,'Salary Calculation'!$A$2:$T$999,6,0),"")</f>
        <v/>
      </c>
      <c r="E822" s="91" t="str">
        <f>IFERROR(VLOOKUP(A822,'Salary Calculation'!$A$2:$T$999,8,0),"")</f>
        <v/>
      </c>
      <c r="F822" s="92" t="str">
        <f>IFERROR(VLOOKUP(C822,'Employees List'!$B$2:H999,6,0),"")</f>
        <v/>
      </c>
      <c r="G822" s="93" t="str">
        <f>IFERROR(VLOOKUP(A822,'Salary Calculation'!$A$2:$T$999,7,0),"")</f>
        <v/>
      </c>
      <c r="H822" s="94"/>
      <c r="I822" s="46"/>
      <c r="J822" s="46"/>
      <c r="K822" s="46"/>
      <c r="L822" s="46"/>
      <c r="M822" s="46"/>
      <c r="N822" s="46"/>
      <c r="O822" s="46"/>
      <c r="P822" s="46"/>
      <c r="Q822" s="46"/>
      <c r="R822" s="46"/>
      <c r="S822" s="46"/>
      <c r="T822" s="46"/>
      <c r="U822" s="46"/>
      <c r="V822" s="46"/>
      <c r="W822" s="46"/>
      <c r="X822" s="46"/>
      <c r="Y822" s="46"/>
      <c r="Z822" s="46"/>
      <c r="AA822" s="46"/>
      <c r="AB822" s="46"/>
    </row>
    <row r="823" hidden="1">
      <c r="A823" s="90" t="s">
        <v>1040</v>
      </c>
      <c r="B823" s="91" t="str">
        <f>IFERROR(VLOOKUP(A823,'Salary Calculation'!A823:F1820,2,0),"")</f>
        <v/>
      </c>
      <c r="C823" s="91" t="str">
        <f>IFERROR(VLOOKUP(A823,'Salary Calculation'!$A$2:$T$999,3,0),"")</f>
        <v/>
      </c>
      <c r="D823" s="91" t="str">
        <f>IFERROR(VLOOKUP(A823,'Salary Calculation'!$A$2:$T$999,6,0),"")</f>
        <v/>
      </c>
      <c r="E823" s="91" t="str">
        <f>IFERROR(VLOOKUP(A823,'Salary Calculation'!$A$2:$T$999,8,0),"")</f>
        <v/>
      </c>
      <c r="F823" s="92" t="str">
        <f>IFERROR(VLOOKUP(C823,'Employees List'!$B$2:H999,6,0),"")</f>
        <v/>
      </c>
      <c r="G823" s="93" t="str">
        <f>IFERROR(VLOOKUP(A823,'Salary Calculation'!$A$2:$T$999,7,0),"")</f>
        <v/>
      </c>
      <c r="H823" s="94"/>
      <c r="I823" s="46"/>
      <c r="J823" s="46"/>
      <c r="K823" s="46"/>
      <c r="L823" s="46"/>
      <c r="M823" s="46"/>
      <c r="N823" s="46"/>
      <c r="O823" s="46"/>
      <c r="P823" s="46"/>
      <c r="Q823" s="46"/>
      <c r="R823" s="46"/>
      <c r="S823" s="46"/>
      <c r="T823" s="46"/>
      <c r="U823" s="46"/>
      <c r="V823" s="46"/>
      <c r="W823" s="46"/>
      <c r="X823" s="46"/>
      <c r="Y823" s="46"/>
      <c r="Z823" s="46"/>
      <c r="AA823" s="46"/>
      <c r="AB823" s="46"/>
    </row>
    <row r="824" hidden="1">
      <c r="A824" s="90" t="s">
        <v>1041</v>
      </c>
      <c r="B824" s="91" t="str">
        <f>IFERROR(VLOOKUP(A824,'Salary Calculation'!A824:F1821,2,0),"")</f>
        <v/>
      </c>
      <c r="C824" s="91" t="str">
        <f>IFERROR(VLOOKUP(A824,'Salary Calculation'!$A$2:$T$999,3,0),"")</f>
        <v/>
      </c>
      <c r="D824" s="91" t="str">
        <f>IFERROR(VLOOKUP(A824,'Salary Calculation'!$A$2:$T$999,6,0),"")</f>
        <v/>
      </c>
      <c r="E824" s="91" t="str">
        <f>IFERROR(VLOOKUP(A824,'Salary Calculation'!$A$2:$T$999,8,0),"")</f>
        <v/>
      </c>
      <c r="F824" s="92" t="str">
        <f>IFERROR(VLOOKUP(C824,'Employees List'!$B$2:H999,6,0),"")</f>
        <v/>
      </c>
      <c r="G824" s="93" t="str">
        <f>IFERROR(VLOOKUP(A824,'Salary Calculation'!$A$2:$T$999,7,0),"")</f>
        <v/>
      </c>
      <c r="H824" s="94"/>
      <c r="I824" s="46"/>
      <c r="J824" s="46"/>
      <c r="K824" s="46"/>
      <c r="L824" s="46"/>
      <c r="M824" s="46"/>
      <c r="N824" s="46"/>
      <c r="O824" s="46"/>
      <c r="P824" s="46"/>
      <c r="Q824" s="46"/>
      <c r="R824" s="46"/>
      <c r="S824" s="46"/>
      <c r="T824" s="46"/>
      <c r="U824" s="46"/>
      <c r="V824" s="46"/>
      <c r="W824" s="46"/>
      <c r="X824" s="46"/>
      <c r="Y824" s="46"/>
      <c r="Z824" s="46"/>
      <c r="AA824" s="46"/>
      <c r="AB824" s="46"/>
    </row>
    <row r="825" hidden="1">
      <c r="A825" s="90" t="s">
        <v>1042</v>
      </c>
      <c r="B825" s="91" t="str">
        <f>IFERROR(VLOOKUP(A825,'Salary Calculation'!A825:F1822,2,0),"")</f>
        <v/>
      </c>
      <c r="C825" s="91" t="str">
        <f>IFERROR(VLOOKUP(A825,'Salary Calculation'!$A$2:$T$999,3,0),"")</f>
        <v/>
      </c>
      <c r="D825" s="91" t="str">
        <f>IFERROR(VLOOKUP(A825,'Salary Calculation'!$A$2:$T$999,6,0),"")</f>
        <v/>
      </c>
      <c r="E825" s="91" t="str">
        <f>IFERROR(VLOOKUP(A825,'Salary Calculation'!$A$2:$T$999,8,0),"")</f>
        <v/>
      </c>
      <c r="F825" s="92" t="str">
        <f>IFERROR(VLOOKUP(C825,'Employees List'!$B$2:H999,6,0),"")</f>
        <v/>
      </c>
      <c r="G825" s="93" t="str">
        <f>IFERROR(VLOOKUP(A825,'Salary Calculation'!$A$2:$T$999,7,0),"")</f>
        <v/>
      </c>
      <c r="H825" s="94"/>
      <c r="I825" s="46"/>
      <c r="J825" s="46"/>
      <c r="K825" s="46"/>
      <c r="L825" s="46"/>
      <c r="M825" s="46"/>
      <c r="N825" s="46"/>
      <c r="O825" s="46"/>
      <c r="P825" s="46"/>
      <c r="Q825" s="46"/>
      <c r="R825" s="46"/>
      <c r="S825" s="46"/>
      <c r="T825" s="46"/>
      <c r="U825" s="46"/>
      <c r="V825" s="46"/>
      <c r="W825" s="46"/>
      <c r="X825" s="46"/>
      <c r="Y825" s="46"/>
      <c r="Z825" s="46"/>
      <c r="AA825" s="46"/>
      <c r="AB825" s="46"/>
    </row>
    <row r="826" hidden="1">
      <c r="A826" s="90" t="s">
        <v>1043</v>
      </c>
      <c r="B826" s="91" t="str">
        <f>IFERROR(VLOOKUP(A826,'Salary Calculation'!A826:F1823,2,0),"")</f>
        <v/>
      </c>
      <c r="C826" s="91" t="str">
        <f>IFERROR(VLOOKUP(A826,'Salary Calculation'!$A$2:$T$999,3,0),"")</f>
        <v/>
      </c>
      <c r="D826" s="91" t="str">
        <f>IFERROR(VLOOKUP(A826,'Salary Calculation'!$A$2:$T$999,6,0),"")</f>
        <v/>
      </c>
      <c r="E826" s="91" t="str">
        <f>IFERROR(VLOOKUP(A826,'Salary Calculation'!$A$2:$T$999,8,0),"")</f>
        <v/>
      </c>
      <c r="F826" s="92" t="str">
        <f>IFERROR(VLOOKUP(C826,'Employees List'!$B$2:H999,6,0),"")</f>
        <v/>
      </c>
      <c r="G826" s="93" t="str">
        <f>IFERROR(VLOOKUP(A826,'Salary Calculation'!$A$2:$T$999,7,0),"")</f>
        <v/>
      </c>
      <c r="H826" s="94"/>
      <c r="I826" s="46"/>
      <c r="J826" s="46"/>
      <c r="K826" s="46"/>
      <c r="L826" s="46"/>
      <c r="M826" s="46"/>
      <c r="N826" s="46"/>
      <c r="O826" s="46"/>
      <c r="P826" s="46"/>
      <c r="Q826" s="46"/>
      <c r="R826" s="46"/>
      <c r="S826" s="46"/>
      <c r="T826" s="46"/>
      <c r="U826" s="46"/>
      <c r="V826" s="46"/>
      <c r="W826" s="46"/>
      <c r="X826" s="46"/>
      <c r="Y826" s="46"/>
      <c r="Z826" s="46"/>
      <c r="AA826" s="46"/>
      <c r="AB826" s="46"/>
    </row>
    <row r="827" hidden="1">
      <c r="A827" s="90" t="s">
        <v>1044</v>
      </c>
      <c r="B827" s="91" t="str">
        <f>IFERROR(VLOOKUP(A827,'Salary Calculation'!A827:F1824,2,0),"")</f>
        <v/>
      </c>
      <c r="C827" s="91" t="str">
        <f>IFERROR(VLOOKUP(A827,'Salary Calculation'!$A$2:$T$999,3,0),"")</f>
        <v/>
      </c>
      <c r="D827" s="91" t="str">
        <f>IFERROR(VLOOKUP(A827,'Salary Calculation'!$A$2:$T$999,6,0),"")</f>
        <v/>
      </c>
      <c r="E827" s="91" t="str">
        <f>IFERROR(VLOOKUP(A827,'Salary Calculation'!$A$2:$T$999,8,0),"")</f>
        <v/>
      </c>
      <c r="F827" s="92" t="str">
        <f>IFERROR(VLOOKUP(C827,'Employees List'!$B$2:H999,6,0),"")</f>
        <v/>
      </c>
      <c r="G827" s="93" t="str">
        <f>IFERROR(VLOOKUP(A827,'Salary Calculation'!$A$2:$T$999,7,0),"")</f>
        <v/>
      </c>
      <c r="H827" s="94"/>
      <c r="I827" s="46"/>
      <c r="J827" s="46"/>
      <c r="K827" s="46"/>
      <c r="L827" s="46"/>
      <c r="M827" s="46"/>
      <c r="N827" s="46"/>
      <c r="O827" s="46"/>
      <c r="P827" s="46"/>
      <c r="Q827" s="46"/>
      <c r="R827" s="46"/>
      <c r="S827" s="46"/>
      <c r="T827" s="46"/>
      <c r="U827" s="46"/>
      <c r="V827" s="46"/>
      <c r="W827" s="46"/>
      <c r="X827" s="46"/>
      <c r="Y827" s="46"/>
      <c r="Z827" s="46"/>
      <c r="AA827" s="46"/>
      <c r="AB827" s="46"/>
    </row>
    <row r="828" hidden="1">
      <c r="A828" s="90" t="s">
        <v>1045</v>
      </c>
      <c r="B828" s="91" t="str">
        <f>IFERROR(VLOOKUP(A828,'Salary Calculation'!A828:F1825,2,0),"")</f>
        <v/>
      </c>
      <c r="C828" s="91" t="str">
        <f>IFERROR(VLOOKUP(A828,'Salary Calculation'!$A$2:$T$999,3,0),"")</f>
        <v/>
      </c>
      <c r="D828" s="91" t="str">
        <f>IFERROR(VLOOKUP(A828,'Salary Calculation'!$A$2:$T$999,6,0),"")</f>
        <v/>
      </c>
      <c r="E828" s="91" t="str">
        <f>IFERROR(VLOOKUP(A828,'Salary Calculation'!$A$2:$T$999,8,0),"")</f>
        <v/>
      </c>
      <c r="F828" s="92" t="str">
        <f>IFERROR(VLOOKUP(C828,'Employees List'!$B$2:H999,6,0),"")</f>
        <v/>
      </c>
      <c r="G828" s="93" t="str">
        <f>IFERROR(VLOOKUP(A828,'Salary Calculation'!$A$2:$T$999,7,0),"")</f>
        <v/>
      </c>
      <c r="H828" s="94"/>
      <c r="I828" s="46"/>
      <c r="J828" s="46"/>
      <c r="K828" s="46"/>
      <c r="L828" s="46"/>
      <c r="M828" s="46"/>
      <c r="N828" s="46"/>
      <c r="O828" s="46"/>
      <c r="P828" s="46"/>
      <c r="Q828" s="46"/>
      <c r="R828" s="46"/>
      <c r="S828" s="46"/>
      <c r="T828" s="46"/>
      <c r="U828" s="46"/>
      <c r="V828" s="46"/>
      <c r="W828" s="46"/>
      <c r="X828" s="46"/>
      <c r="Y828" s="46"/>
      <c r="Z828" s="46"/>
      <c r="AA828" s="46"/>
      <c r="AB828" s="46"/>
    </row>
    <row r="829" hidden="1">
      <c r="A829" s="90" t="s">
        <v>1046</v>
      </c>
      <c r="B829" s="91" t="str">
        <f>IFERROR(VLOOKUP(A829,'Salary Calculation'!A829:F1826,2,0),"")</f>
        <v/>
      </c>
      <c r="C829" s="91" t="str">
        <f>IFERROR(VLOOKUP(A829,'Salary Calculation'!$A$2:$T$999,3,0),"")</f>
        <v/>
      </c>
      <c r="D829" s="91" t="str">
        <f>IFERROR(VLOOKUP(A829,'Salary Calculation'!$A$2:$T$999,6,0),"")</f>
        <v/>
      </c>
      <c r="E829" s="91" t="str">
        <f>IFERROR(VLOOKUP(A829,'Salary Calculation'!$A$2:$T$999,8,0),"")</f>
        <v/>
      </c>
      <c r="F829" s="92" t="str">
        <f>IFERROR(VLOOKUP(C829,'Employees List'!$B$2:H999,6,0),"")</f>
        <v/>
      </c>
      <c r="G829" s="93" t="str">
        <f>IFERROR(VLOOKUP(A829,'Salary Calculation'!$A$2:$T$999,7,0),"")</f>
        <v/>
      </c>
      <c r="H829" s="94"/>
      <c r="I829" s="46"/>
      <c r="J829" s="46"/>
      <c r="K829" s="46"/>
      <c r="L829" s="46"/>
      <c r="M829" s="46"/>
      <c r="N829" s="46"/>
      <c r="O829" s="46"/>
      <c r="P829" s="46"/>
      <c r="Q829" s="46"/>
      <c r="R829" s="46"/>
      <c r="S829" s="46"/>
      <c r="T829" s="46"/>
      <c r="U829" s="46"/>
      <c r="V829" s="46"/>
      <c r="W829" s="46"/>
      <c r="X829" s="46"/>
      <c r="Y829" s="46"/>
      <c r="Z829" s="46"/>
      <c r="AA829" s="46"/>
      <c r="AB829" s="46"/>
    </row>
    <row r="830" hidden="1">
      <c r="A830" s="90" t="s">
        <v>1047</v>
      </c>
      <c r="B830" s="91" t="str">
        <f>IFERROR(VLOOKUP(A830,'Salary Calculation'!A830:F1827,2,0),"")</f>
        <v/>
      </c>
      <c r="C830" s="91" t="str">
        <f>IFERROR(VLOOKUP(A830,'Salary Calculation'!$A$2:$T$999,3,0),"")</f>
        <v/>
      </c>
      <c r="D830" s="91" t="str">
        <f>IFERROR(VLOOKUP(A830,'Salary Calculation'!$A$2:$T$999,6,0),"")</f>
        <v/>
      </c>
      <c r="E830" s="91" t="str">
        <f>IFERROR(VLOOKUP(A830,'Salary Calculation'!$A$2:$T$999,8,0),"")</f>
        <v/>
      </c>
      <c r="F830" s="92" t="str">
        <f>IFERROR(VLOOKUP(C830,'Employees List'!$B$2:H999,6,0),"")</f>
        <v/>
      </c>
      <c r="G830" s="93" t="str">
        <f>IFERROR(VLOOKUP(A830,'Salary Calculation'!$A$2:$T$999,7,0),"")</f>
        <v/>
      </c>
      <c r="H830" s="94"/>
      <c r="I830" s="46"/>
      <c r="J830" s="46"/>
      <c r="K830" s="46"/>
      <c r="L830" s="46"/>
      <c r="M830" s="46"/>
      <c r="N830" s="46"/>
      <c r="O830" s="46"/>
      <c r="P830" s="46"/>
      <c r="Q830" s="46"/>
      <c r="R830" s="46"/>
      <c r="S830" s="46"/>
      <c r="T830" s="46"/>
      <c r="U830" s="46"/>
      <c r="V830" s="46"/>
      <c r="W830" s="46"/>
      <c r="X830" s="46"/>
      <c r="Y830" s="46"/>
      <c r="Z830" s="46"/>
      <c r="AA830" s="46"/>
      <c r="AB830" s="46"/>
    </row>
    <row r="831" hidden="1">
      <c r="A831" s="90" t="s">
        <v>1048</v>
      </c>
      <c r="B831" s="91" t="str">
        <f>IFERROR(VLOOKUP(A831,'Salary Calculation'!A831:F1828,2,0),"")</f>
        <v/>
      </c>
      <c r="C831" s="91" t="str">
        <f>IFERROR(VLOOKUP(A831,'Salary Calculation'!$A$2:$T$999,3,0),"")</f>
        <v/>
      </c>
      <c r="D831" s="91" t="str">
        <f>IFERROR(VLOOKUP(A831,'Salary Calculation'!$A$2:$T$999,6,0),"")</f>
        <v/>
      </c>
      <c r="E831" s="91" t="str">
        <f>IFERROR(VLOOKUP(A831,'Salary Calculation'!$A$2:$T$999,8,0),"")</f>
        <v/>
      </c>
      <c r="F831" s="92" t="str">
        <f>IFERROR(VLOOKUP(C831,'Employees List'!$B$2:H999,6,0),"")</f>
        <v/>
      </c>
      <c r="G831" s="93" t="str">
        <f>IFERROR(VLOOKUP(A831,'Salary Calculation'!$A$2:$T$999,7,0),"")</f>
        <v/>
      </c>
      <c r="H831" s="94"/>
      <c r="I831" s="46"/>
      <c r="J831" s="46"/>
      <c r="K831" s="46"/>
      <c r="L831" s="46"/>
      <c r="M831" s="46"/>
      <c r="N831" s="46"/>
      <c r="O831" s="46"/>
      <c r="P831" s="46"/>
      <c r="Q831" s="46"/>
      <c r="R831" s="46"/>
      <c r="S831" s="46"/>
      <c r="T831" s="46"/>
      <c r="U831" s="46"/>
      <c r="V831" s="46"/>
      <c r="W831" s="46"/>
      <c r="X831" s="46"/>
      <c r="Y831" s="46"/>
      <c r="Z831" s="46"/>
      <c r="AA831" s="46"/>
      <c r="AB831" s="46"/>
    </row>
    <row r="832" hidden="1">
      <c r="A832" s="90" t="s">
        <v>1049</v>
      </c>
      <c r="B832" s="91" t="str">
        <f>IFERROR(VLOOKUP(A832,'Salary Calculation'!A832:F1829,2,0),"")</f>
        <v/>
      </c>
      <c r="C832" s="91" t="str">
        <f>IFERROR(VLOOKUP(A832,'Salary Calculation'!$A$2:$T$999,3,0),"")</f>
        <v/>
      </c>
      <c r="D832" s="91" t="str">
        <f>IFERROR(VLOOKUP(A832,'Salary Calculation'!$A$2:$T$999,6,0),"")</f>
        <v/>
      </c>
      <c r="E832" s="91" t="str">
        <f>IFERROR(VLOOKUP(A832,'Salary Calculation'!$A$2:$T$999,8,0),"")</f>
        <v/>
      </c>
      <c r="F832" s="92" t="str">
        <f>IFERROR(VLOOKUP(C832,'Employees List'!$B$2:H999,6,0),"")</f>
        <v/>
      </c>
      <c r="G832" s="93" t="str">
        <f>IFERROR(VLOOKUP(A832,'Salary Calculation'!$A$2:$T$999,7,0),"")</f>
        <v/>
      </c>
      <c r="H832" s="94"/>
      <c r="I832" s="46"/>
      <c r="J832" s="46"/>
      <c r="K832" s="46"/>
      <c r="L832" s="46"/>
      <c r="M832" s="46"/>
      <c r="N832" s="46"/>
      <c r="O832" s="46"/>
      <c r="P832" s="46"/>
      <c r="Q832" s="46"/>
      <c r="R832" s="46"/>
      <c r="S832" s="46"/>
      <c r="T832" s="46"/>
      <c r="U832" s="46"/>
      <c r="V832" s="46"/>
      <c r="W832" s="46"/>
      <c r="X832" s="46"/>
      <c r="Y832" s="46"/>
      <c r="Z832" s="46"/>
      <c r="AA832" s="46"/>
      <c r="AB832" s="46"/>
    </row>
    <row r="833" hidden="1">
      <c r="A833" s="90" t="s">
        <v>1050</v>
      </c>
      <c r="B833" s="91" t="str">
        <f>IFERROR(VLOOKUP(A833,'Salary Calculation'!A833:F1830,2,0),"")</f>
        <v/>
      </c>
      <c r="C833" s="91" t="str">
        <f>IFERROR(VLOOKUP(A833,'Salary Calculation'!$A$2:$T$999,3,0),"")</f>
        <v/>
      </c>
      <c r="D833" s="91" t="str">
        <f>IFERROR(VLOOKUP(A833,'Salary Calculation'!$A$2:$T$999,6,0),"")</f>
        <v/>
      </c>
      <c r="E833" s="91" t="str">
        <f>IFERROR(VLOOKUP(A833,'Salary Calculation'!$A$2:$T$999,8,0),"")</f>
        <v/>
      </c>
      <c r="F833" s="92" t="str">
        <f>IFERROR(VLOOKUP(C833,'Employees List'!$B$2:H999,6,0),"")</f>
        <v/>
      </c>
      <c r="G833" s="93" t="str">
        <f>IFERROR(VLOOKUP(A833,'Salary Calculation'!$A$2:$T$999,7,0),"")</f>
        <v/>
      </c>
      <c r="H833" s="94"/>
      <c r="I833" s="46"/>
      <c r="J833" s="46"/>
      <c r="K833" s="46"/>
      <c r="L833" s="46"/>
      <c r="M833" s="46"/>
      <c r="N833" s="46"/>
      <c r="O833" s="46"/>
      <c r="P833" s="46"/>
      <c r="Q833" s="46"/>
      <c r="R833" s="46"/>
      <c r="S833" s="46"/>
      <c r="T833" s="46"/>
      <c r="U833" s="46"/>
      <c r="V833" s="46"/>
      <c r="W833" s="46"/>
      <c r="X833" s="46"/>
      <c r="Y833" s="46"/>
      <c r="Z833" s="46"/>
      <c r="AA833" s="46"/>
      <c r="AB833" s="46"/>
    </row>
    <row r="834" hidden="1">
      <c r="A834" s="90" t="s">
        <v>1051</v>
      </c>
      <c r="B834" s="91" t="str">
        <f>IFERROR(VLOOKUP(A834,'Salary Calculation'!A834:F1831,2,0),"")</f>
        <v/>
      </c>
      <c r="C834" s="91" t="str">
        <f>IFERROR(VLOOKUP(A834,'Salary Calculation'!$A$2:$T$999,3,0),"")</f>
        <v/>
      </c>
      <c r="D834" s="91" t="str">
        <f>IFERROR(VLOOKUP(A834,'Salary Calculation'!$A$2:$T$999,6,0),"")</f>
        <v/>
      </c>
      <c r="E834" s="91" t="str">
        <f>IFERROR(VLOOKUP(A834,'Salary Calculation'!$A$2:$T$999,8,0),"")</f>
        <v/>
      </c>
      <c r="F834" s="92" t="str">
        <f>IFERROR(VLOOKUP(C834,'Employees List'!$B$2:H999,6,0),"")</f>
        <v/>
      </c>
      <c r="G834" s="93" t="str">
        <f>IFERROR(VLOOKUP(A834,'Salary Calculation'!$A$2:$T$999,7,0),"")</f>
        <v/>
      </c>
      <c r="H834" s="94"/>
      <c r="I834" s="46"/>
      <c r="J834" s="46"/>
      <c r="K834" s="46"/>
      <c r="L834" s="46"/>
      <c r="M834" s="46"/>
      <c r="N834" s="46"/>
      <c r="O834" s="46"/>
      <c r="P834" s="46"/>
      <c r="Q834" s="46"/>
      <c r="R834" s="46"/>
      <c r="S834" s="46"/>
      <c r="T834" s="46"/>
      <c r="U834" s="46"/>
      <c r="V834" s="46"/>
      <c r="W834" s="46"/>
      <c r="X834" s="46"/>
      <c r="Y834" s="46"/>
      <c r="Z834" s="46"/>
      <c r="AA834" s="46"/>
      <c r="AB834" s="46"/>
    </row>
    <row r="835" hidden="1">
      <c r="A835" s="90" t="s">
        <v>1052</v>
      </c>
      <c r="B835" s="91" t="str">
        <f>IFERROR(VLOOKUP(A835,'Salary Calculation'!A835:F1832,2,0),"")</f>
        <v/>
      </c>
      <c r="C835" s="91" t="str">
        <f>IFERROR(VLOOKUP(A835,'Salary Calculation'!$A$2:$T$999,3,0),"")</f>
        <v/>
      </c>
      <c r="D835" s="91" t="str">
        <f>IFERROR(VLOOKUP(A835,'Salary Calculation'!$A$2:$T$999,6,0),"")</f>
        <v/>
      </c>
      <c r="E835" s="91" t="str">
        <f>IFERROR(VLOOKUP(A835,'Salary Calculation'!$A$2:$T$999,8,0),"")</f>
        <v/>
      </c>
      <c r="F835" s="92" t="str">
        <f>IFERROR(VLOOKUP(C835,'Employees List'!$B$2:H999,6,0),"")</f>
        <v/>
      </c>
      <c r="G835" s="93" t="str">
        <f>IFERROR(VLOOKUP(A835,'Salary Calculation'!$A$2:$T$999,7,0),"")</f>
        <v/>
      </c>
      <c r="H835" s="94"/>
      <c r="I835" s="46"/>
      <c r="J835" s="46"/>
      <c r="K835" s="46"/>
      <c r="L835" s="46"/>
      <c r="M835" s="46"/>
      <c r="N835" s="46"/>
      <c r="O835" s="46"/>
      <c r="P835" s="46"/>
      <c r="Q835" s="46"/>
      <c r="R835" s="46"/>
      <c r="S835" s="46"/>
      <c r="T835" s="46"/>
      <c r="U835" s="46"/>
      <c r="V835" s="46"/>
      <c r="W835" s="46"/>
      <c r="X835" s="46"/>
      <c r="Y835" s="46"/>
      <c r="Z835" s="46"/>
      <c r="AA835" s="46"/>
      <c r="AB835" s="46"/>
    </row>
    <row r="836" hidden="1">
      <c r="A836" s="90" t="s">
        <v>1053</v>
      </c>
      <c r="B836" s="91" t="str">
        <f>IFERROR(VLOOKUP(A836,'Salary Calculation'!A836:F1833,2,0),"")</f>
        <v/>
      </c>
      <c r="C836" s="91" t="str">
        <f>IFERROR(VLOOKUP(A836,'Salary Calculation'!$A$2:$T$999,3,0),"")</f>
        <v/>
      </c>
      <c r="D836" s="91" t="str">
        <f>IFERROR(VLOOKUP(A836,'Salary Calculation'!$A$2:$T$999,6,0),"")</f>
        <v/>
      </c>
      <c r="E836" s="91" t="str">
        <f>IFERROR(VLOOKUP(A836,'Salary Calculation'!$A$2:$T$999,8,0),"")</f>
        <v/>
      </c>
      <c r="F836" s="92" t="str">
        <f>IFERROR(VLOOKUP(C836,'Employees List'!$B$2:H999,6,0),"")</f>
        <v/>
      </c>
      <c r="G836" s="93" t="str">
        <f>IFERROR(VLOOKUP(A836,'Salary Calculation'!$A$2:$T$999,7,0),"")</f>
        <v/>
      </c>
      <c r="H836" s="94"/>
      <c r="I836" s="46"/>
      <c r="J836" s="46"/>
      <c r="K836" s="46"/>
      <c r="L836" s="46"/>
      <c r="M836" s="46"/>
      <c r="N836" s="46"/>
      <c r="O836" s="46"/>
      <c r="P836" s="46"/>
      <c r="Q836" s="46"/>
      <c r="R836" s="46"/>
      <c r="S836" s="46"/>
      <c r="T836" s="46"/>
      <c r="U836" s="46"/>
      <c r="V836" s="46"/>
      <c r="W836" s="46"/>
      <c r="X836" s="46"/>
      <c r="Y836" s="46"/>
      <c r="Z836" s="46"/>
      <c r="AA836" s="46"/>
      <c r="AB836" s="46"/>
    </row>
    <row r="837" hidden="1">
      <c r="A837" s="90" t="s">
        <v>1054</v>
      </c>
      <c r="B837" s="91" t="str">
        <f>IFERROR(VLOOKUP(A837,'Salary Calculation'!A837:F1834,2,0),"")</f>
        <v/>
      </c>
      <c r="C837" s="91" t="str">
        <f>IFERROR(VLOOKUP(A837,'Salary Calculation'!$A$2:$T$999,3,0),"")</f>
        <v/>
      </c>
      <c r="D837" s="91" t="str">
        <f>IFERROR(VLOOKUP(A837,'Salary Calculation'!$A$2:$T$999,6,0),"")</f>
        <v/>
      </c>
      <c r="E837" s="91" t="str">
        <f>IFERROR(VLOOKUP(A837,'Salary Calculation'!$A$2:$T$999,8,0),"")</f>
        <v/>
      </c>
      <c r="F837" s="92" t="str">
        <f>IFERROR(VLOOKUP(C837,'Employees List'!$B$2:H999,6,0),"")</f>
        <v/>
      </c>
      <c r="G837" s="93" t="str">
        <f>IFERROR(VLOOKUP(A837,'Salary Calculation'!$A$2:$T$999,7,0),"")</f>
        <v/>
      </c>
      <c r="H837" s="94"/>
      <c r="I837" s="46"/>
      <c r="J837" s="46"/>
      <c r="K837" s="46"/>
      <c r="L837" s="46"/>
      <c r="M837" s="46"/>
      <c r="N837" s="46"/>
      <c r="O837" s="46"/>
      <c r="P837" s="46"/>
      <c r="Q837" s="46"/>
      <c r="R837" s="46"/>
      <c r="S837" s="46"/>
      <c r="T837" s="46"/>
      <c r="U837" s="46"/>
      <c r="V837" s="46"/>
      <c r="W837" s="46"/>
      <c r="X837" s="46"/>
      <c r="Y837" s="46"/>
      <c r="Z837" s="46"/>
      <c r="AA837" s="46"/>
      <c r="AB837" s="46"/>
    </row>
    <row r="838" hidden="1">
      <c r="A838" s="90" t="s">
        <v>1055</v>
      </c>
      <c r="B838" s="91" t="str">
        <f>IFERROR(VLOOKUP(A838,'Salary Calculation'!A838:F1835,2,0),"")</f>
        <v/>
      </c>
      <c r="C838" s="91" t="str">
        <f>IFERROR(VLOOKUP(A838,'Salary Calculation'!$A$2:$T$999,3,0),"")</f>
        <v/>
      </c>
      <c r="D838" s="91" t="str">
        <f>IFERROR(VLOOKUP(A838,'Salary Calculation'!$A$2:$T$999,6,0),"")</f>
        <v/>
      </c>
      <c r="E838" s="91" t="str">
        <f>IFERROR(VLOOKUP(A838,'Salary Calculation'!$A$2:$T$999,8,0),"")</f>
        <v/>
      </c>
      <c r="F838" s="92" t="str">
        <f>IFERROR(VLOOKUP(C838,'Employees List'!$B$2:H999,6,0),"")</f>
        <v/>
      </c>
      <c r="G838" s="93" t="str">
        <f>IFERROR(VLOOKUP(A838,'Salary Calculation'!$A$2:$T$999,7,0),"")</f>
        <v/>
      </c>
      <c r="H838" s="94"/>
      <c r="I838" s="46"/>
      <c r="J838" s="46"/>
      <c r="K838" s="46"/>
      <c r="L838" s="46"/>
      <c r="M838" s="46"/>
      <c r="N838" s="46"/>
      <c r="O838" s="46"/>
      <c r="P838" s="46"/>
      <c r="Q838" s="46"/>
      <c r="R838" s="46"/>
      <c r="S838" s="46"/>
      <c r="T838" s="46"/>
      <c r="U838" s="46"/>
      <c r="V838" s="46"/>
      <c r="W838" s="46"/>
      <c r="X838" s="46"/>
      <c r="Y838" s="46"/>
      <c r="Z838" s="46"/>
      <c r="AA838" s="46"/>
      <c r="AB838" s="46"/>
    </row>
    <row r="839" hidden="1">
      <c r="A839" s="90" t="s">
        <v>1056</v>
      </c>
      <c r="B839" s="91" t="str">
        <f>IFERROR(VLOOKUP(A839,'Salary Calculation'!A839:F1836,2,0),"")</f>
        <v/>
      </c>
      <c r="C839" s="91" t="str">
        <f>IFERROR(VLOOKUP(A839,'Salary Calculation'!$A$2:$T$999,3,0),"")</f>
        <v/>
      </c>
      <c r="D839" s="91" t="str">
        <f>IFERROR(VLOOKUP(A839,'Salary Calculation'!$A$2:$T$999,6,0),"")</f>
        <v/>
      </c>
      <c r="E839" s="91" t="str">
        <f>IFERROR(VLOOKUP(A839,'Salary Calculation'!$A$2:$T$999,8,0),"")</f>
        <v/>
      </c>
      <c r="F839" s="92" t="str">
        <f>IFERROR(VLOOKUP(C839,'Employees List'!$B$2:H999,6,0),"")</f>
        <v/>
      </c>
      <c r="G839" s="93" t="str">
        <f>IFERROR(VLOOKUP(A839,'Salary Calculation'!$A$2:$T$999,7,0),"")</f>
        <v/>
      </c>
      <c r="H839" s="94"/>
      <c r="I839" s="46"/>
      <c r="J839" s="46"/>
      <c r="K839" s="46"/>
      <c r="L839" s="46"/>
      <c r="M839" s="46"/>
      <c r="N839" s="46"/>
      <c r="O839" s="46"/>
      <c r="P839" s="46"/>
      <c r="Q839" s="46"/>
      <c r="R839" s="46"/>
      <c r="S839" s="46"/>
      <c r="T839" s="46"/>
      <c r="U839" s="46"/>
      <c r="V839" s="46"/>
      <c r="W839" s="46"/>
      <c r="X839" s="46"/>
      <c r="Y839" s="46"/>
      <c r="Z839" s="46"/>
      <c r="AA839" s="46"/>
      <c r="AB839" s="46"/>
    </row>
    <row r="840" hidden="1">
      <c r="A840" s="90" t="s">
        <v>1057</v>
      </c>
      <c r="B840" s="91" t="str">
        <f>IFERROR(VLOOKUP(A840,'Salary Calculation'!A840:F1837,2,0),"")</f>
        <v/>
      </c>
      <c r="C840" s="91" t="str">
        <f>IFERROR(VLOOKUP(A840,'Salary Calculation'!$A$2:$T$999,3,0),"")</f>
        <v/>
      </c>
      <c r="D840" s="91" t="str">
        <f>IFERROR(VLOOKUP(A840,'Salary Calculation'!$A$2:$T$999,6,0),"")</f>
        <v/>
      </c>
      <c r="E840" s="91" t="str">
        <f>IFERROR(VLOOKUP(A840,'Salary Calculation'!$A$2:$T$999,8,0),"")</f>
        <v/>
      </c>
      <c r="F840" s="92" t="str">
        <f>IFERROR(VLOOKUP(C840,'Employees List'!$B$2:H999,6,0),"")</f>
        <v/>
      </c>
      <c r="G840" s="93" t="str">
        <f>IFERROR(VLOOKUP(A840,'Salary Calculation'!$A$2:$T$999,7,0),"")</f>
        <v/>
      </c>
      <c r="H840" s="94"/>
      <c r="I840" s="46"/>
      <c r="J840" s="46"/>
      <c r="K840" s="46"/>
      <c r="L840" s="46"/>
      <c r="M840" s="46"/>
      <c r="N840" s="46"/>
      <c r="O840" s="46"/>
      <c r="P840" s="46"/>
      <c r="Q840" s="46"/>
      <c r="R840" s="46"/>
      <c r="S840" s="46"/>
      <c r="T840" s="46"/>
      <c r="U840" s="46"/>
      <c r="V840" s="46"/>
      <c r="W840" s="46"/>
      <c r="X840" s="46"/>
      <c r="Y840" s="46"/>
      <c r="Z840" s="46"/>
      <c r="AA840" s="46"/>
      <c r="AB840" s="46"/>
    </row>
    <row r="841" hidden="1">
      <c r="A841" s="90" t="s">
        <v>1058</v>
      </c>
      <c r="B841" s="91" t="str">
        <f>IFERROR(VLOOKUP(A841,'Salary Calculation'!A841:F1838,2,0),"")</f>
        <v/>
      </c>
      <c r="C841" s="91" t="str">
        <f>IFERROR(VLOOKUP(A841,'Salary Calculation'!$A$2:$T$999,3,0),"")</f>
        <v/>
      </c>
      <c r="D841" s="91" t="str">
        <f>IFERROR(VLOOKUP(A841,'Salary Calculation'!$A$2:$T$999,6,0),"")</f>
        <v/>
      </c>
      <c r="E841" s="91" t="str">
        <f>IFERROR(VLOOKUP(A841,'Salary Calculation'!$A$2:$T$999,8,0),"")</f>
        <v/>
      </c>
      <c r="F841" s="92" t="str">
        <f>IFERROR(VLOOKUP(C841,'Employees List'!$B$2:H999,6,0),"")</f>
        <v/>
      </c>
      <c r="G841" s="93" t="str">
        <f>IFERROR(VLOOKUP(A841,'Salary Calculation'!$A$2:$T$999,7,0),"")</f>
        <v/>
      </c>
      <c r="H841" s="94"/>
      <c r="I841" s="46"/>
      <c r="J841" s="46"/>
      <c r="K841" s="46"/>
      <c r="L841" s="46"/>
      <c r="M841" s="46"/>
      <c r="N841" s="46"/>
      <c r="O841" s="46"/>
      <c r="P841" s="46"/>
      <c r="Q841" s="46"/>
      <c r="R841" s="46"/>
      <c r="S841" s="46"/>
      <c r="T841" s="46"/>
      <c r="U841" s="46"/>
      <c r="V841" s="46"/>
      <c r="W841" s="46"/>
      <c r="X841" s="46"/>
      <c r="Y841" s="46"/>
      <c r="Z841" s="46"/>
      <c r="AA841" s="46"/>
      <c r="AB841" s="46"/>
    </row>
    <row r="842" hidden="1">
      <c r="A842" s="90" t="s">
        <v>1059</v>
      </c>
      <c r="B842" s="91" t="str">
        <f>IFERROR(VLOOKUP(A842,'Salary Calculation'!A842:F1839,2,0),"")</f>
        <v/>
      </c>
      <c r="C842" s="91" t="str">
        <f>IFERROR(VLOOKUP(A842,'Salary Calculation'!$A$2:$T$999,3,0),"")</f>
        <v/>
      </c>
      <c r="D842" s="91" t="str">
        <f>IFERROR(VLOOKUP(A842,'Salary Calculation'!$A$2:$T$999,6,0),"")</f>
        <v/>
      </c>
      <c r="E842" s="91" t="str">
        <f>IFERROR(VLOOKUP(A842,'Salary Calculation'!$A$2:$T$999,8,0),"")</f>
        <v/>
      </c>
      <c r="F842" s="92" t="str">
        <f>IFERROR(VLOOKUP(C842,'Employees List'!$B$2:H999,6,0),"")</f>
        <v/>
      </c>
      <c r="G842" s="93" t="str">
        <f>IFERROR(VLOOKUP(A842,'Salary Calculation'!$A$2:$T$999,7,0),"")</f>
        <v/>
      </c>
      <c r="H842" s="94"/>
      <c r="I842" s="46"/>
      <c r="J842" s="46"/>
      <c r="K842" s="46"/>
      <c r="L842" s="46"/>
      <c r="M842" s="46"/>
      <c r="N842" s="46"/>
      <c r="O842" s="46"/>
      <c r="P842" s="46"/>
      <c r="Q842" s="46"/>
      <c r="R842" s="46"/>
      <c r="S842" s="46"/>
      <c r="T842" s="46"/>
      <c r="U842" s="46"/>
      <c r="V842" s="46"/>
      <c r="W842" s="46"/>
      <c r="X842" s="46"/>
      <c r="Y842" s="46"/>
      <c r="Z842" s="46"/>
      <c r="AA842" s="46"/>
      <c r="AB842" s="46"/>
    </row>
    <row r="843" hidden="1">
      <c r="A843" s="90" t="s">
        <v>1060</v>
      </c>
      <c r="B843" s="91" t="str">
        <f>IFERROR(VLOOKUP(A843,'Salary Calculation'!A843:F1840,2,0),"")</f>
        <v/>
      </c>
      <c r="C843" s="91" t="str">
        <f>IFERROR(VLOOKUP(A843,'Salary Calculation'!$A$2:$T$999,3,0),"")</f>
        <v/>
      </c>
      <c r="D843" s="91" t="str">
        <f>IFERROR(VLOOKUP(A843,'Salary Calculation'!$A$2:$T$999,6,0),"")</f>
        <v/>
      </c>
      <c r="E843" s="91" t="str">
        <f>IFERROR(VLOOKUP(A843,'Salary Calculation'!$A$2:$T$999,8,0),"")</f>
        <v/>
      </c>
      <c r="F843" s="92" t="str">
        <f>IFERROR(VLOOKUP(C843,'Employees List'!$B$2:H999,6,0),"")</f>
        <v/>
      </c>
      <c r="G843" s="93" t="str">
        <f>IFERROR(VLOOKUP(A843,'Salary Calculation'!$A$2:$T$999,7,0),"")</f>
        <v/>
      </c>
      <c r="H843" s="94"/>
      <c r="I843" s="46"/>
      <c r="J843" s="46"/>
      <c r="K843" s="46"/>
      <c r="L843" s="46"/>
      <c r="M843" s="46"/>
      <c r="N843" s="46"/>
      <c r="O843" s="46"/>
      <c r="P843" s="46"/>
      <c r="Q843" s="46"/>
      <c r="R843" s="46"/>
      <c r="S843" s="46"/>
      <c r="T843" s="46"/>
      <c r="U843" s="46"/>
      <c r="V843" s="46"/>
      <c r="W843" s="46"/>
      <c r="X843" s="46"/>
      <c r="Y843" s="46"/>
      <c r="Z843" s="46"/>
      <c r="AA843" s="46"/>
      <c r="AB843" s="46"/>
    </row>
    <row r="844" hidden="1">
      <c r="A844" s="90" t="s">
        <v>1061</v>
      </c>
      <c r="B844" s="91" t="str">
        <f>IFERROR(VLOOKUP(A844,'Salary Calculation'!A844:F1841,2,0),"")</f>
        <v/>
      </c>
      <c r="C844" s="91" t="str">
        <f>IFERROR(VLOOKUP(A844,'Salary Calculation'!$A$2:$T$999,3,0),"")</f>
        <v/>
      </c>
      <c r="D844" s="91" t="str">
        <f>IFERROR(VLOOKUP(A844,'Salary Calculation'!$A$2:$T$999,6,0),"")</f>
        <v/>
      </c>
      <c r="E844" s="91" t="str">
        <f>IFERROR(VLOOKUP(A844,'Salary Calculation'!$A$2:$T$999,8,0),"")</f>
        <v/>
      </c>
      <c r="F844" s="92" t="str">
        <f>IFERROR(VLOOKUP(C844,'Employees List'!$B$2:H999,6,0),"")</f>
        <v/>
      </c>
      <c r="G844" s="93" t="str">
        <f>IFERROR(VLOOKUP(A844,'Salary Calculation'!$A$2:$T$999,7,0),"")</f>
        <v/>
      </c>
      <c r="H844" s="94"/>
      <c r="I844" s="46"/>
      <c r="J844" s="46"/>
      <c r="K844" s="46"/>
      <c r="L844" s="46"/>
      <c r="M844" s="46"/>
      <c r="N844" s="46"/>
      <c r="O844" s="46"/>
      <c r="P844" s="46"/>
      <c r="Q844" s="46"/>
      <c r="R844" s="46"/>
      <c r="S844" s="46"/>
      <c r="T844" s="46"/>
      <c r="U844" s="46"/>
      <c r="V844" s="46"/>
      <c r="W844" s="46"/>
      <c r="X844" s="46"/>
      <c r="Y844" s="46"/>
      <c r="Z844" s="46"/>
      <c r="AA844" s="46"/>
      <c r="AB844" s="46"/>
    </row>
    <row r="845" hidden="1">
      <c r="A845" s="90" t="s">
        <v>1062</v>
      </c>
      <c r="B845" s="91" t="str">
        <f>IFERROR(VLOOKUP(A845,'Salary Calculation'!A845:F1842,2,0),"")</f>
        <v/>
      </c>
      <c r="C845" s="91" t="str">
        <f>IFERROR(VLOOKUP(A845,'Salary Calculation'!$A$2:$T$999,3,0),"")</f>
        <v/>
      </c>
      <c r="D845" s="91" t="str">
        <f>IFERROR(VLOOKUP(A845,'Salary Calculation'!$A$2:$T$999,6,0),"")</f>
        <v/>
      </c>
      <c r="E845" s="91" t="str">
        <f>IFERROR(VLOOKUP(A845,'Salary Calculation'!$A$2:$T$999,8,0),"")</f>
        <v/>
      </c>
      <c r="F845" s="92" t="str">
        <f>IFERROR(VLOOKUP(C845,'Employees List'!$B$2:H999,6,0),"")</f>
        <v/>
      </c>
      <c r="G845" s="93" t="str">
        <f>IFERROR(VLOOKUP(A845,'Salary Calculation'!$A$2:$T$999,7,0),"")</f>
        <v/>
      </c>
      <c r="H845" s="94"/>
      <c r="I845" s="46"/>
      <c r="J845" s="46"/>
      <c r="K845" s="46"/>
      <c r="L845" s="46"/>
      <c r="M845" s="46"/>
      <c r="N845" s="46"/>
      <c r="O845" s="46"/>
      <c r="P845" s="46"/>
      <c r="Q845" s="46"/>
      <c r="R845" s="46"/>
      <c r="S845" s="46"/>
      <c r="T845" s="46"/>
      <c r="U845" s="46"/>
      <c r="V845" s="46"/>
      <c r="W845" s="46"/>
      <c r="X845" s="46"/>
      <c r="Y845" s="46"/>
      <c r="Z845" s="46"/>
      <c r="AA845" s="46"/>
      <c r="AB845" s="46"/>
    </row>
    <row r="846" hidden="1">
      <c r="A846" s="90" t="s">
        <v>1063</v>
      </c>
      <c r="B846" s="91" t="str">
        <f>IFERROR(VLOOKUP(A846,'Salary Calculation'!A846:F1843,2,0),"")</f>
        <v/>
      </c>
      <c r="C846" s="91" t="str">
        <f>IFERROR(VLOOKUP(A846,'Salary Calculation'!$A$2:$T$999,3,0),"")</f>
        <v/>
      </c>
      <c r="D846" s="91" t="str">
        <f>IFERROR(VLOOKUP(A846,'Salary Calculation'!$A$2:$T$999,6,0),"")</f>
        <v/>
      </c>
      <c r="E846" s="91" t="str">
        <f>IFERROR(VLOOKUP(A846,'Salary Calculation'!$A$2:$T$999,8,0),"")</f>
        <v/>
      </c>
      <c r="F846" s="92" t="str">
        <f>IFERROR(VLOOKUP(C846,'Employees List'!$B$2:H999,6,0),"")</f>
        <v/>
      </c>
      <c r="G846" s="93" t="str">
        <f>IFERROR(VLOOKUP(A846,'Salary Calculation'!$A$2:$T$999,7,0),"")</f>
        <v/>
      </c>
      <c r="H846" s="94"/>
      <c r="I846" s="46"/>
      <c r="J846" s="46"/>
      <c r="K846" s="46"/>
      <c r="L846" s="46"/>
      <c r="M846" s="46"/>
      <c r="N846" s="46"/>
      <c r="O846" s="46"/>
      <c r="P846" s="46"/>
      <c r="Q846" s="46"/>
      <c r="R846" s="46"/>
      <c r="S846" s="46"/>
      <c r="T846" s="46"/>
      <c r="U846" s="46"/>
      <c r="V846" s="46"/>
      <c r="W846" s="46"/>
      <c r="X846" s="46"/>
      <c r="Y846" s="46"/>
      <c r="Z846" s="46"/>
      <c r="AA846" s="46"/>
      <c r="AB846" s="46"/>
    </row>
    <row r="847" hidden="1">
      <c r="A847" s="90" t="s">
        <v>1064</v>
      </c>
      <c r="B847" s="91" t="str">
        <f>IFERROR(VLOOKUP(A847,'Salary Calculation'!A847:F1844,2,0),"")</f>
        <v/>
      </c>
      <c r="C847" s="91" t="str">
        <f>IFERROR(VLOOKUP(A847,'Salary Calculation'!$A$2:$T$999,3,0),"")</f>
        <v/>
      </c>
      <c r="D847" s="91" t="str">
        <f>IFERROR(VLOOKUP(A847,'Salary Calculation'!$A$2:$T$999,6,0),"")</f>
        <v/>
      </c>
      <c r="E847" s="91" t="str">
        <f>IFERROR(VLOOKUP(A847,'Salary Calculation'!$A$2:$T$999,8,0),"")</f>
        <v/>
      </c>
      <c r="F847" s="92" t="str">
        <f>IFERROR(VLOOKUP(C847,'Employees List'!$B$2:H999,6,0),"")</f>
        <v/>
      </c>
      <c r="G847" s="93" t="str">
        <f>IFERROR(VLOOKUP(A847,'Salary Calculation'!$A$2:$T$999,7,0),"")</f>
        <v/>
      </c>
      <c r="H847" s="94"/>
      <c r="I847" s="46"/>
      <c r="J847" s="46"/>
      <c r="K847" s="46"/>
      <c r="L847" s="46"/>
      <c r="M847" s="46"/>
      <c r="N847" s="46"/>
      <c r="O847" s="46"/>
      <c r="P847" s="46"/>
      <c r="Q847" s="46"/>
      <c r="R847" s="46"/>
      <c r="S847" s="46"/>
      <c r="T847" s="46"/>
      <c r="U847" s="46"/>
      <c r="V847" s="46"/>
      <c r="W847" s="46"/>
      <c r="X847" s="46"/>
      <c r="Y847" s="46"/>
      <c r="Z847" s="46"/>
      <c r="AA847" s="46"/>
      <c r="AB847" s="46"/>
    </row>
    <row r="848" hidden="1">
      <c r="A848" s="90" t="s">
        <v>1065</v>
      </c>
      <c r="B848" s="91" t="str">
        <f>IFERROR(VLOOKUP(A848,'Salary Calculation'!A848:F1845,2,0),"")</f>
        <v/>
      </c>
      <c r="C848" s="91" t="str">
        <f>IFERROR(VLOOKUP(A848,'Salary Calculation'!$A$2:$T$999,3,0),"")</f>
        <v/>
      </c>
      <c r="D848" s="91" t="str">
        <f>IFERROR(VLOOKUP(A848,'Salary Calculation'!$A$2:$T$999,6,0),"")</f>
        <v/>
      </c>
      <c r="E848" s="91" t="str">
        <f>IFERROR(VLOOKUP(A848,'Salary Calculation'!$A$2:$T$999,8,0),"")</f>
        <v/>
      </c>
      <c r="F848" s="92" t="str">
        <f>IFERROR(VLOOKUP(C848,'Employees List'!$B$2:H999,6,0),"")</f>
        <v/>
      </c>
      <c r="G848" s="93" t="str">
        <f>IFERROR(VLOOKUP(A848,'Salary Calculation'!$A$2:$T$999,7,0),"")</f>
        <v/>
      </c>
      <c r="H848" s="94"/>
      <c r="I848" s="46"/>
      <c r="J848" s="46"/>
      <c r="K848" s="46"/>
      <c r="L848" s="46"/>
      <c r="M848" s="46"/>
      <c r="N848" s="46"/>
      <c r="O848" s="46"/>
      <c r="P848" s="46"/>
      <c r="Q848" s="46"/>
      <c r="R848" s="46"/>
      <c r="S848" s="46"/>
      <c r="T848" s="46"/>
      <c r="U848" s="46"/>
      <c r="V848" s="46"/>
      <c r="W848" s="46"/>
      <c r="X848" s="46"/>
      <c r="Y848" s="46"/>
      <c r="Z848" s="46"/>
      <c r="AA848" s="46"/>
      <c r="AB848" s="46"/>
    </row>
    <row r="849" hidden="1">
      <c r="A849" s="90" t="s">
        <v>1066</v>
      </c>
      <c r="B849" s="91" t="str">
        <f>IFERROR(VLOOKUP(A849,'Salary Calculation'!A849:F1846,2,0),"")</f>
        <v/>
      </c>
      <c r="C849" s="91" t="str">
        <f>IFERROR(VLOOKUP(A849,'Salary Calculation'!$A$2:$T$999,3,0),"")</f>
        <v/>
      </c>
      <c r="D849" s="91" t="str">
        <f>IFERROR(VLOOKUP(A849,'Salary Calculation'!$A$2:$T$999,6,0),"")</f>
        <v/>
      </c>
      <c r="E849" s="91" t="str">
        <f>IFERROR(VLOOKUP(A849,'Salary Calculation'!$A$2:$T$999,8,0),"")</f>
        <v/>
      </c>
      <c r="F849" s="92" t="str">
        <f>IFERROR(VLOOKUP(C849,'Employees List'!$B$2:H999,6,0),"")</f>
        <v/>
      </c>
      <c r="G849" s="93" t="str">
        <f>IFERROR(VLOOKUP(A849,'Salary Calculation'!$A$2:$T$999,7,0),"")</f>
        <v/>
      </c>
      <c r="H849" s="94"/>
      <c r="I849" s="46"/>
      <c r="J849" s="46"/>
      <c r="K849" s="46"/>
      <c r="L849" s="46"/>
      <c r="M849" s="46"/>
      <c r="N849" s="46"/>
      <c r="O849" s="46"/>
      <c r="P849" s="46"/>
      <c r="Q849" s="46"/>
      <c r="R849" s="46"/>
      <c r="S849" s="46"/>
      <c r="T849" s="46"/>
      <c r="U849" s="46"/>
      <c r="V849" s="46"/>
      <c r="W849" s="46"/>
      <c r="X849" s="46"/>
      <c r="Y849" s="46"/>
      <c r="Z849" s="46"/>
      <c r="AA849" s="46"/>
      <c r="AB849" s="46"/>
    </row>
    <row r="850" hidden="1">
      <c r="A850" s="90" t="s">
        <v>1067</v>
      </c>
      <c r="B850" s="91" t="str">
        <f>IFERROR(VLOOKUP(A850,'Salary Calculation'!A850:F1847,2,0),"")</f>
        <v/>
      </c>
      <c r="C850" s="91" t="str">
        <f>IFERROR(VLOOKUP(A850,'Salary Calculation'!$A$2:$T$999,3,0),"")</f>
        <v/>
      </c>
      <c r="D850" s="91" t="str">
        <f>IFERROR(VLOOKUP(A850,'Salary Calculation'!$A$2:$T$999,6,0),"")</f>
        <v/>
      </c>
      <c r="E850" s="91" t="str">
        <f>IFERROR(VLOOKUP(A850,'Salary Calculation'!$A$2:$T$999,8,0),"")</f>
        <v/>
      </c>
      <c r="F850" s="92" t="str">
        <f>IFERROR(VLOOKUP(C850,'Employees List'!$B$2:H999,6,0),"")</f>
        <v/>
      </c>
      <c r="G850" s="93" t="str">
        <f>IFERROR(VLOOKUP(A850,'Salary Calculation'!$A$2:$T$999,7,0),"")</f>
        <v/>
      </c>
      <c r="H850" s="94"/>
      <c r="I850" s="46"/>
      <c r="J850" s="46"/>
      <c r="K850" s="46"/>
      <c r="L850" s="46"/>
      <c r="M850" s="46"/>
      <c r="N850" s="46"/>
      <c r="O850" s="46"/>
      <c r="P850" s="46"/>
      <c r="Q850" s="46"/>
      <c r="R850" s="46"/>
      <c r="S850" s="46"/>
      <c r="T850" s="46"/>
      <c r="U850" s="46"/>
      <c r="V850" s="46"/>
      <c r="W850" s="46"/>
      <c r="X850" s="46"/>
      <c r="Y850" s="46"/>
      <c r="Z850" s="46"/>
      <c r="AA850" s="46"/>
      <c r="AB850" s="46"/>
    </row>
    <row r="851" hidden="1">
      <c r="A851" s="90" t="s">
        <v>1068</v>
      </c>
      <c r="B851" s="91" t="str">
        <f>IFERROR(VLOOKUP(A851,'Salary Calculation'!A851:F1848,2,0),"")</f>
        <v/>
      </c>
      <c r="C851" s="91" t="str">
        <f>IFERROR(VLOOKUP(A851,'Salary Calculation'!$A$2:$T$999,3,0),"")</f>
        <v/>
      </c>
      <c r="D851" s="91" t="str">
        <f>IFERROR(VLOOKUP(A851,'Salary Calculation'!$A$2:$T$999,6,0),"")</f>
        <v/>
      </c>
      <c r="E851" s="91" t="str">
        <f>IFERROR(VLOOKUP(A851,'Salary Calculation'!$A$2:$T$999,8,0),"")</f>
        <v/>
      </c>
      <c r="F851" s="92" t="str">
        <f>IFERROR(VLOOKUP(C851,'Employees List'!$B$2:H999,6,0),"")</f>
        <v/>
      </c>
      <c r="G851" s="93" t="str">
        <f>IFERROR(VLOOKUP(A851,'Salary Calculation'!$A$2:$T$999,7,0),"")</f>
        <v/>
      </c>
      <c r="H851" s="94"/>
      <c r="I851" s="46"/>
      <c r="J851" s="46"/>
      <c r="K851" s="46"/>
      <c r="L851" s="46"/>
      <c r="M851" s="46"/>
      <c r="N851" s="46"/>
      <c r="O851" s="46"/>
      <c r="P851" s="46"/>
      <c r="Q851" s="46"/>
      <c r="R851" s="46"/>
      <c r="S851" s="46"/>
      <c r="T851" s="46"/>
      <c r="U851" s="46"/>
      <c r="V851" s="46"/>
      <c r="W851" s="46"/>
      <c r="X851" s="46"/>
      <c r="Y851" s="46"/>
      <c r="Z851" s="46"/>
      <c r="AA851" s="46"/>
      <c r="AB851" s="46"/>
    </row>
    <row r="852" hidden="1">
      <c r="A852" s="90" t="s">
        <v>1069</v>
      </c>
      <c r="B852" s="91" t="str">
        <f>IFERROR(VLOOKUP(A852,'Salary Calculation'!A852:F1849,2,0),"")</f>
        <v/>
      </c>
      <c r="C852" s="91" t="str">
        <f>IFERROR(VLOOKUP(A852,'Salary Calculation'!$A$2:$T$999,3,0),"")</f>
        <v/>
      </c>
      <c r="D852" s="91" t="str">
        <f>IFERROR(VLOOKUP(A852,'Salary Calculation'!$A$2:$T$999,6,0),"")</f>
        <v/>
      </c>
      <c r="E852" s="91" t="str">
        <f>IFERROR(VLOOKUP(A852,'Salary Calculation'!$A$2:$T$999,8,0),"")</f>
        <v/>
      </c>
      <c r="F852" s="92" t="str">
        <f>IFERROR(VLOOKUP(C852,'Employees List'!$B$2:H999,6,0),"")</f>
        <v/>
      </c>
      <c r="G852" s="93" t="str">
        <f>IFERROR(VLOOKUP(A852,'Salary Calculation'!$A$2:$T$999,7,0),"")</f>
        <v/>
      </c>
      <c r="H852" s="94"/>
      <c r="I852" s="46"/>
      <c r="J852" s="46"/>
      <c r="K852" s="46"/>
      <c r="L852" s="46"/>
      <c r="M852" s="46"/>
      <c r="N852" s="46"/>
      <c r="O852" s="46"/>
      <c r="P852" s="46"/>
      <c r="Q852" s="46"/>
      <c r="R852" s="46"/>
      <c r="S852" s="46"/>
      <c r="T852" s="46"/>
      <c r="U852" s="46"/>
      <c r="V852" s="46"/>
      <c r="W852" s="46"/>
      <c r="X852" s="46"/>
      <c r="Y852" s="46"/>
      <c r="Z852" s="46"/>
      <c r="AA852" s="46"/>
      <c r="AB852" s="46"/>
    </row>
    <row r="853" hidden="1">
      <c r="A853" s="90" t="s">
        <v>1070</v>
      </c>
      <c r="B853" s="91" t="str">
        <f>IFERROR(VLOOKUP(A853,'Salary Calculation'!A853:F1850,2,0),"")</f>
        <v/>
      </c>
      <c r="C853" s="91" t="str">
        <f>IFERROR(VLOOKUP(A853,'Salary Calculation'!$A$2:$T$999,3,0),"")</f>
        <v/>
      </c>
      <c r="D853" s="91" t="str">
        <f>IFERROR(VLOOKUP(A853,'Salary Calculation'!$A$2:$T$999,6,0),"")</f>
        <v/>
      </c>
      <c r="E853" s="91" t="str">
        <f>IFERROR(VLOOKUP(A853,'Salary Calculation'!$A$2:$T$999,8,0),"")</f>
        <v/>
      </c>
      <c r="F853" s="92" t="str">
        <f>IFERROR(VLOOKUP(C853,'Employees List'!$B$2:H999,6,0),"")</f>
        <v/>
      </c>
      <c r="G853" s="93" t="str">
        <f>IFERROR(VLOOKUP(A853,'Salary Calculation'!$A$2:$T$999,7,0),"")</f>
        <v/>
      </c>
      <c r="H853" s="94"/>
      <c r="I853" s="46"/>
      <c r="J853" s="46"/>
      <c r="K853" s="46"/>
      <c r="L853" s="46"/>
      <c r="M853" s="46"/>
      <c r="N853" s="46"/>
      <c r="O853" s="46"/>
      <c r="P853" s="46"/>
      <c r="Q853" s="46"/>
      <c r="R853" s="46"/>
      <c r="S853" s="46"/>
      <c r="T853" s="46"/>
      <c r="U853" s="46"/>
      <c r="V853" s="46"/>
      <c r="W853" s="46"/>
      <c r="X853" s="46"/>
      <c r="Y853" s="46"/>
      <c r="Z853" s="46"/>
      <c r="AA853" s="46"/>
      <c r="AB853" s="46"/>
    </row>
    <row r="854" hidden="1">
      <c r="A854" s="90" t="s">
        <v>1071</v>
      </c>
      <c r="B854" s="91" t="str">
        <f>IFERROR(VLOOKUP(A854,'Salary Calculation'!A854:F1851,2,0),"")</f>
        <v/>
      </c>
      <c r="C854" s="91" t="str">
        <f>IFERROR(VLOOKUP(A854,'Salary Calculation'!$A$2:$T$999,3,0),"")</f>
        <v/>
      </c>
      <c r="D854" s="91" t="str">
        <f>IFERROR(VLOOKUP(A854,'Salary Calculation'!$A$2:$T$999,6,0),"")</f>
        <v/>
      </c>
      <c r="E854" s="91" t="str">
        <f>IFERROR(VLOOKUP(A854,'Salary Calculation'!$A$2:$T$999,8,0),"")</f>
        <v/>
      </c>
      <c r="F854" s="92" t="str">
        <f>IFERROR(VLOOKUP(C854,'Employees List'!$B$2:H999,6,0),"")</f>
        <v/>
      </c>
      <c r="G854" s="93" t="str">
        <f>IFERROR(VLOOKUP(A854,'Salary Calculation'!$A$2:$T$999,7,0),"")</f>
        <v/>
      </c>
      <c r="H854" s="94"/>
      <c r="I854" s="46"/>
      <c r="J854" s="46"/>
      <c r="K854" s="46"/>
      <c r="L854" s="46"/>
      <c r="M854" s="46"/>
      <c r="N854" s="46"/>
      <c r="O854" s="46"/>
      <c r="P854" s="46"/>
      <c r="Q854" s="46"/>
      <c r="R854" s="46"/>
      <c r="S854" s="46"/>
      <c r="T854" s="46"/>
      <c r="U854" s="46"/>
      <c r="V854" s="46"/>
      <c r="W854" s="46"/>
      <c r="X854" s="46"/>
      <c r="Y854" s="46"/>
      <c r="Z854" s="46"/>
      <c r="AA854" s="46"/>
      <c r="AB854" s="46"/>
    </row>
    <row r="855" hidden="1">
      <c r="A855" s="90" t="s">
        <v>1072</v>
      </c>
      <c r="B855" s="91" t="str">
        <f>IFERROR(VLOOKUP(A855,'Salary Calculation'!A855:F1852,2,0),"")</f>
        <v/>
      </c>
      <c r="C855" s="91" t="str">
        <f>IFERROR(VLOOKUP(A855,'Salary Calculation'!$A$2:$T$999,3,0),"")</f>
        <v/>
      </c>
      <c r="D855" s="91" t="str">
        <f>IFERROR(VLOOKUP(A855,'Salary Calculation'!$A$2:$T$999,6,0),"")</f>
        <v/>
      </c>
      <c r="E855" s="91" t="str">
        <f>IFERROR(VLOOKUP(A855,'Salary Calculation'!$A$2:$T$999,8,0),"")</f>
        <v/>
      </c>
      <c r="F855" s="92" t="str">
        <f>IFERROR(VLOOKUP(C855,'Employees List'!$B$2:H999,6,0),"")</f>
        <v/>
      </c>
      <c r="G855" s="93" t="str">
        <f>IFERROR(VLOOKUP(A855,'Salary Calculation'!$A$2:$T$999,7,0),"")</f>
        <v/>
      </c>
      <c r="H855" s="94"/>
      <c r="I855" s="46"/>
      <c r="J855" s="46"/>
      <c r="K855" s="46"/>
      <c r="L855" s="46"/>
      <c r="M855" s="46"/>
      <c r="N855" s="46"/>
      <c r="O855" s="46"/>
      <c r="P855" s="46"/>
      <c r="Q855" s="46"/>
      <c r="R855" s="46"/>
      <c r="S855" s="46"/>
      <c r="T855" s="46"/>
      <c r="U855" s="46"/>
      <c r="V855" s="46"/>
      <c r="W855" s="46"/>
      <c r="X855" s="46"/>
      <c r="Y855" s="46"/>
      <c r="Z855" s="46"/>
      <c r="AA855" s="46"/>
      <c r="AB855" s="46"/>
    </row>
    <row r="856" hidden="1">
      <c r="A856" s="90" t="s">
        <v>1073</v>
      </c>
      <c r="B856" s="91" t="str">
        <f>IFERROR(VLOOKUP(A856,'Salary Calculation'!A856:F1853,2,0),"")</f>
        <v/>
      </c>
      <c r="C856" s="91" t="str">
        <f>IFERROR(VLOOKUP(A856,'Salary Calculation'!$A$2:$T$999,3,0),"")</f>
        <v/>
      </c>
      <c r="D856" s="91" t="str">
        <f>IFERROR(VLOOKUP(A856,'Salary Calculation'!$A$2:$T$999,6,0),"")</f>
        <v/>
      </c>
      <c r="E856" s="91" t="str">
        <f>IFERROR(VLOOKUP(A856,'Salary Calculation'!$A$2:$T$999,8,0),"")</f>
        <v/>
      </c>
      <c r="F856" s="92" t="str">
        <f>IFERROR(VLOOKUP(C856,'Employees List'!$B$2:H999,6,0),"")</f>
        <v/>
      </c>
      <c r="G856" s="93" t="str">
        <f>IFERROR(VLOOKUP(A856,'Salary Calculation'!$A$2:$T$999,7,0),"")</f>
        <v/>
      </c>
      <c r="H856" s="94"/>
      <c r="I856" s="46"/>
      <c r="J856" s="46"/>
      <c r="K856" s="46"/>
      <c r="L856" s="46"/>
      <c r="M856" s="46"/>
      <c r="N856" s="46"/>
      <c r="O856" s="46"/>
      <c r="P856" s="46"/>
      <c r="Q856" s="46"/>
      <c r="R856" s="46"/>
      <c r="S856" s="46"/>
      <c r="T856" s="46"/>
      <c r="U856" s="46"/>
      <c r="V856" s="46"/>
      <c r="W856" s="46"/>
      <c r="X856" s="46"/>
      <c r="Y856" s="46"/>
      <c r="Z856" s="46"/>
      <c r="AA856" s="46"/>
      <c r="AB856" s="46"/>
    </row>
    <row r="857" hidden="1">
      <c r="A857" s="90" t="s">
        <v>1074</v>
      </c>
      <c r="B857" s="91" t="str">
        <f>IFERROR(VLOOKUP(A857,'Salary Calculation'!A857:F1854,2,0),"")</f>
        <v/>
      </c>
      <c r="C857" s="91" t="str">
        <f>IFERROR(VLOOKUP(A857,'Salary Calculation'!$A$2:$T$999,3,0),"")</f>
        <v/>
      </c>
      <c r="D857" s="91" t="str">
        <f>IFERROR(VLOOKUP(A857,'Salary Calculation'!$A$2:$T$999,6,0),"")</f>
        <v/>
      </c>
      <c r="E857" s="91" t="str">
        <f>IFERROR(VLOOKUP(A857,'Salary Calculation'!$A$2:$T$999,8,0),"")</f>
        <v/>
      </c>
      <c r="F857" s="92" t="str">
        <f>IFERROR(VLOOKUP(C857,'Employees List'!$B$2:H999,6,0),"")</f>
        <v/>
      </c>
      <c r="G857" s="93" t="str">
        <f>IFERROR(VLOOKUP(A857,'Salary Calculation'!$A$2:$T$999,7,0),"")</f>
        <v/>
      </c>
      <c r="H857" s="94"/>
      <c r="I857" s="46"/>
      <c r="J857" s="46"/>
      <c r="K857" s="46"/>
      <c r="L857" s="46"/>
      <c r="M857" s="46"/>
      <c r="N857" s="46"/>
      <c r="O857" s="46"/>
      <c r="P857" s="46"/>
      <c r="Q857" s="46"/>
      <c r="R857" s="46"/>
      <c r="S857" s="46"/>
      <c r="T857" s="46"/>
      <c r="U857" s="46"/>
      <c r="V857" s="46"/>
      <c r="W857" s="46"/>
      <c r="X857" s="46"/>
      <c r="Y857" s="46"/>
      <c r="Z857" s="46"/>
      <c r="AA857" s="46"/>
      <c r="AB857" s="46"/>
    </row>
    <row r="858" hidden="1">
      <c r="A858" s="90" t="s">
        <v>1075</v>
      </c>
      <c r="B858" s="91" t="str">
        <f>IFERROR(VLOOKUP(A858,'Salary Calculation'!A858:F1855,2,0),"")</f>
        <v/>
      </c>
      <c r="C858" s="91" t="str">
        <f>IFERROR(VLOOKUP(A858,'Salary Calculation'!$A$2:$T$999,3,0),"")</f>
        <v/>
      </c>
      <c r="D858" s="91" t="str">
        <f>IFERROR(VLOOKUP(A858,'Salary Calculation'!$A$2:$T$999,6,0),"")</f>
        <v/>
      </c>
      <c r="E858" s="91" t="str">
        <f>IFERROR(VLOOKUP(A858,'Salary Calculation'!$A$2:$T$999,8,0),"")</f>
        <v/>
      </c>
      <c r="F858" s="92" t="str">
        <f>IFERROR(VLOOKUP(C858,'Employees List'!$B$2:H999,6,0),"")</f>
        <v/>
      </c>
      <c r="G858" s="93" t="str">
        <f>IFERROR(VLOOKUP(A858,'Salary Calculation'!$A$2:$T$999,7,0),"")</f>
        <v/>
      </c>
      <c r="H858" s="94"/>
      <c r="I858" s="46"/>
      <c r="J858" s="46"/>
      <c r="K858" s="46"/>
      <c r="L858" s="46"/>
      <c r="M858" s="46"/>
      <c r="N858" s="46"/>
      <c r="O858" s="46"/>
      <c r="P858" s="46"/>
      <c r="Q858" s="46"/>
      <c r="R858" s="46"/>
      <c r="S858" s="46"/>
      <c r="T858" s="46"/>
      <c r="U858" s="46"/>
      <c r="V858" s="46"/>
      <c r="W858" s="46"/>
      <c r="X858" s="46"/>
      <c r="Y858" s="46"/>
      <c r="Z858" s="46"/>
      <c r="AA858" s="46"/>
      <c r="AB858" s="46"/>
    </row>
    <row r="859" hidden="1">
      <c r="A859" s="90" t="s">
        <v>1076</v>
      </c>
      <c r="B859" s="91" t="str">
        <f>IFERROR(VLOOKUP(A859,'Salary Calculation'!A859:F1856,2,0),"")</f>
        <v/>
      </c>
      <c r="C859" s="91" t="str">
        <f>IFERROR(VLOOKUP(A859,'Salary Calculation'!$A$2:$T$999,3,0),"")</f>
        <v/>
      </c>
      <c r="D859" s="91" t="str">
        <f>IFERROR(VLOOKUP(A859,'Salary Calculation'!$A$2:$T$999,6,0),"")</f>
        <v/>
      </c>
      <c r="E859" s="91" t="str">
        <f>IFERROR(VLOOKUP(A859,'Salary Calculation'!$A$2:$T$999,8,0),"")</f>
        <v/>
      </c>
      <c r="F859" s="92" t="str">
        <f>IFERROR(VLOOKUP(C859,'Employees List'!$B$2:H999,6,0),"")</f>
        <v/>
      </c>
      <c r="G859" s="93" t="str">
        <f>IFERROR(VLOOKUP(A859,'Salary Calculation'!$A$2:$T$999,7,0),"")</f>
        <v/>
      </c>
      <c r="H859" s="94"/>
      <c r="I859" s="46"/>
      <c r="J859" s="46"/>
      <c r="K859" s="46"/>
      <c r="L859" s="46"/>
      <c r="M859" s="46"/>
      <c r="N859" s="46"/>
      <c r="O859" s="46"/>
      <c r="P859" s="46"/>
      <c r="Q859" s="46"/>
      <c r="R859" s="46"/>
      <c r="S859" s="46"/>
      <c r="T859" s="46"/>
      <c r="U859" s="46"/>
      <c r="V859" s="46"/>
      <c r="W859" s="46"/>
      <c r="X859" s="46"/>
      <c r="Y859" s="46"/>
      <c r="Z859" s="46"/>
      <c r="AA859" s="46"/>
      <c r="AB859" s="46"/>
    </row>
    <row r="860" hidden="1">
      <c r="A860" s="90" t="s">
        <v>1077</v>
      </c>
      <c r="B860" s="91" t="str">
        <f>IFERROR(VLOOKUP(A860,'Salary Calculation'!A860:F1857,2,0),"")</f>
        <v/>
      </c>
      <c r="C860" s="91" t="str">
        <f>IFERROR(VLOOKUP(A860,'Salary Calculation'!$A$2:$T$999,3,0),"")</f>
        <v/>
      </c>
      <c r="D860" s="91" t="str">
        <f>IFERROR(VLOOKUP(A860,'Salary Calculation'!$A$2:$T$999,6,0),"")</f>
        <v/>
      </c>
      <c r="E860" s="91" t="str">
        <f>IFERROR(VLOOKUP(A860,'Salary Calculation'!$A$2:$T$999,8,0),"")</f>
        <v/>
      </c>
      <c r="F860" s="92" t="str">
        <f>IFERROR(VLOOKUP(C860,'Employees List'!$B$2:H999,6,0),"")</f>
        <v/>
      </c>
      <c r="G860" s="93" t="str">
        <f>IFERROR(VLOOKUP(A860,'Salary Calculation'!$A$2:$T$999,7,0),"")</f>
        <v/>
      </c>
      <c r="H860" s="94"/>
      <c r="I860" s="46"/>
      <c r="J860" s="46"/>
      <c r="K860" s="46"/>
      <c r="L860" s="46"/>
      <c r="M860" s="46"/>
      <c r="N860" s="46"/>
      <c r="O860" s="46"/>
      <c r="P860" s="46"/>
      <c r="Q860" s="46"/>
      <c r="R860" s="46"/>
      <c r="S860" s="46"/>
      <c r="T860" s="46"/>
      <c r="U860" s="46"/>
      <c r="V860" s="46"/>
      <c r="W860" s="46"/>
      <c r="X860" s="46"/>
      <c r="Y860" s="46"/>
      <c r="Z860" s="46"/>
      <c r="AA860" s="46"/>
      <c r="AB860" s="46"/>
    </row>
    <row r="861" hidden="1">
      <c r="A861" s="90" t="s">
        <v>1078</v>
      </c>
      <c r="B861" s="91" t="str">
        <f>IFERROR(VLOOKUP(A861,'Salary Calculation'!A861:F1858,2,0),"")</f>
        <v/>
      </c>
      <c r="C861" s="91" t="str">
        <f>IFERROR(VLOOKUP(A861,'Salary Calculation'!$A$2:$T$999,3,0),"")</f>
        <v/>
      </c>
      <c r="D861" s="91" t="str">
        <f>IFERROR(VLOOKUP(A861,'Salary Calculation'!$A$2:$T$999,6,0),"")</f>
        <v/>
      </c>
      <c r="E861" s="91" t="str">
        <f>IFERROR(VLOOKUP(A861,'Salary Calculation'!$A$2:$T$999,8,0),"")</f>
        <v/>
      </c>
      <c r="F861" s="92" t="str">
        <f>IFERROR(VLOOKUP(C861,'Employees List'!$B$2:H999,6,0),"")</f>
        <v/>
      </c>
      <c r="G861" s="93" t="str">
        <f>IFERROR(VLOOKUP(A861,'Salary Calculation'!$A$2:$T$999,7,0),"")</f>
        <v/>
      </c>
      <c r="H861" s="94"/>
      <c r="I861" s="46"/>
      <c r="J861" s="46"/>
      <c r="K861" s="46"/>
      <c r="L861" s="46"/>
      <c r="M861" s="46"/>
      <c r="N861" s="46"/>
      <c r="O861" s="46"/>
      <c r="P861" s="46"/>
      <c r="Q861" s="46"/>
      <c r="R861" s="46"/>
      <c r="S861" s="46"/>
      <c r="T861" s="46"/>
      <c r="U861" s="46"/>
      <c r="V861" s="46"/>
      <c r="W861" s="46"/>
      <c r="X861" s="46"/>
      <c r="Y861" s="46"/>
      <c r="Z861" s="46"/>
      <c r="AA861" s="46"/>
      <c r="AB861" s="46"/>
    </row>
    <row r="862" hidden="1">
      <c r="A862" s="90" t="s">
        <v>1079</v>
      </c>
      <c r="B862" s="91" t="str">
        <f>IFERROR(VLOOKUP(A862,'Salary Calculation'!A862:F1859,2,0),"")</f>
        <v/>
      </c>
      <c r="C862" s="91" t="str">
        <f>IFERROR(VLOOKUP(A862,'Salary Calculation'!$A$2:$T$999,3,0),"")</f>
        <v/>
      </c>
      <c r="D862" s="91" t="str">
        <f>IFERROR(VLOOKUP(A862,'Salary Calculation'!$A$2:$T$999,6,0),"")</f>
        <v/>
      </c>
      <c r="E862" s="91" t="str">
        <f>IFERROR(VLOOKUP(A862,'Salary Calculation'!$A$2:$T$999,8,0),"")</f>
        <v/>
      </c>
      <c r="F862" s="92" t="str">
        <f>IFERROR(VLOOKUP(C862,'Employees List'!$B$2:H999,6,0),"")</f>
        <v/>
      </c>
      <c r="G862" s="93" t="str">
        <f>IFERROR(VLOOKUP(A862,'Salary Calculation'!$A$2:$T$999,7,0),"")</f>
        <v/>
      </c>
      <c r="H862" s="94"/>
      <c r="I862" s="46"/>
      <c r="J862" s="46"/>
      <c r="K862" s="46"/>
      <c r="L862" s="46"/>
      <c r="M862" s="46"/>
      <c r="N862" s="46"/>
      <c r="O862" s="46"/>
      <c r="P862" s="46"/>
      <c r="Q862" s="46"/>
      <c r="R862" s="46"/>
      <c r="S862" s="46"/>
      <c r="T862" s="46"/>
      <c r="U862" s="46"/>
      <c r="V862" s="46"/>
      <c r="W862" s="46"/>
      <c r="X862" s="46"/>
      <c r="Y862" s="46"/>
      <c r="Z862" s="46"/>
      <c r="AA862" s="46"/>
      <c r="AB862" s="46"/>
    </row>
    <row r="863" hidden="1">
      <c r="A863" s="90" t="s">
        <v>1080</v>
      </c>
      <c r="B863" s="91" t="str">
        <f>IFERROR(VLOOKUP(A863,'Salary Calculation'!A863:F1860,2,0),"")</f>
        <v/>
      </c>
      <c r="C863" s="91" t="str">
        <f>IFERROR(VLOOKUP(A863,'Salary Calculation'!$A$2:$T$999,3,0),"")</f>
        <v/>
      </c>
      <c r="D863" s="91" t="str">
        <f>IFERROR(VLOOKUP(A863,'Salary Calculation'!$A$2:$T$999,6,0),"")</f>
        <v/>
      </c>
      <c r="E863" s="91" t="str">
        <f>IFERROR(VLOOKUP(A863,'Salary Calculation'!$A$2:$T$999,8,0),"")</f>
        <v/>
      </c>
      <c r="F863" s="92" t="str">
        <f>IFERROR(VLOOKUP(C863,'Employees List'!$B$2:H999,6,0),"")</f>
        <v/>
      </c>
      <c r="G863" s="93" t="str">
        <f>IFERROR(VLOOKUP(A863,'Salary Calculation'!$A$2:$T$999,7,0),"")</f>
        <v/>
      </c>
      <c r="H863" s="94"/>
      <c r="I863" s="46"/>
      <c r="J863" s="46"/>
      <c r="K863" s="46"/>
      <c r="L863" s="46"/>
      <c r="M863" s="46"/>
      <c r="N863" s="46"/>
      <c r="O863" s="46"/>
      <c r="P863" s="46"/>
      <c r="Q863" s="46"/>
      <c r="R863" s="46"/>
      <c r="S863" s="46"/>
      <c r="T863" s="46"/>
      <c r="U863" s="46"/>
      <c r="V863" s="46"/>
      <c r="W863" s="46"/>
      <c r="X863" s="46"/>
      <c r="Y863" s="46"/>
      <c r="Z863" s="46"/>
      <c r="AA863" s="46"/>
      <c r="AB863" s="46"/>
    </row>
    <row r="864" hidden="1">
      <c r="A864" s="90" t="s">
        <v>1081</v>
      </c>
      <c r="B864" s="91" t="str">
        <f>IFERROR(VLOOKUP(A864,'Salary Calculation'!A864:F1861,2,0),"")</f>
        <v/>
      </c>
      <c r="C864" s="91" t="str">
        <f>IFERROR(VLOOKUP(A864,'Salary Calculation'!$A$2:$T$999,3,0),"")</f>
        <v/>
      </c>
      <c r="D864" s="91" t="str">
        <f>IFERROR(VLOOKUP(A864,'Salary Calculation'!$A$2:$T$999,6,0),"")</f>
        <v/>
      </c>
      <c r="E864" s="91" t="str">
        <f>IFERROR(VLOOKUP(A864,'Salary Calculation'!$A$2:$T$999,8,0),"")</f>
        <v/>
      </c>
      <c r="F864" s="92" t="str">
        <f>IFERROR(VLOOKUP(C864,'Employees List'!$B$2:H999,6,0),"")</f>
        <v/>
      </c>
      <c r="G864" s="93" t="str">
        <f>IFERROR(VLOOKUP(A864,'Salary Calculation'!$A$2:$T$999,7,0),"")</f>
        <v/>
      </c>
      <c r="H864" s="94"/>
      <c r="I864" s="46"/>
      <c r="J864" s="46"/>
      <c r="K864" s="46"/>
      <c r="L864" s="46"/>
      <c r="M864" s="46"/>
      <c r="N864" s="46"/>
      <c r="O864" s="46"/>
      <c r="P864" s="46"/>
      <c r="Q864" s="46"/>
      <c r="R864" s="46"/>
      <c r="S864" s="46"/>
      <c r="T864" s="46"/>
      <c r="U864" s="46"/>
      <c r="V864" s="46"/>
      <c r="W864" s="46"/>
      <c r="X864" s="46"/>
      <c r="Y864" s="46"/>
      <c r="Z864" s="46"/>
      <c r="AA864" s="46"/>
      <c r="AB864" s="46"/>
    </row>
    <row r="865" hidden="1">
      <c r="A865" s="90" t="s">
        <v>1082</v>
      </c>
      <c r="B865" s="91" t="str">
        <f>IFERROR(VLOOKUP(A865,'Salary Calculation'!A865:F1862,2,0),"")</f>
        <v/>
      </c>
      <c r="C865" s="91" t="str">
        <f>IFERROR(VLOOKUP(A865,'Salary Calculation'!$A$2:$T$999,3,0),"")</f>
        <v/>
      </c>
      <c r="D865" s="91" t="str">
        <f>IFERROR(VLOOKUP(A865,'Salary Calculation'!$A$2:$T$999,6,0),"")</f>
        <v/>
      </c>
      <c r="E865" s="91" t="str">
        <f>IFERROR(VLOOKUP(A865,'Salary Calculation'!$A$2:$T$999,8,0),"")</f>
        <v/>
      </c>
      <c r="F865" s="92" t="str">
        <f>IFERROR(VLOOKUP(C865,'Employees List'!$B$2:H999,6,0),"")</f>
        <v/>
      </c>
      <c r="G865" s="93" t="str">
        <f>IFERROR(VLOOKUP(A865,'Salary Calculation'!$A$2:$T$999,7,0),"")</f>
        <v/>
      </c>
      <c r="H865" s="94"/>
      <c r="I865" s="46"/>
      <c r="J865" s="46"/>
      <c r="K865" s="46"/>
      <c r="L865" s="46"/>
      <c r="M865" s="46"/>
      <c r="N865" s="46"/>
      <c r="O865" s="46"/>
      <c r="P865" s="46"/>
      <c r="Q865" s="46"/>
      <c r="R865" s="46"/>
      <c r="S865" s="46"/>
      <c r="T865" s="46"/>
      <c r="U865" s="46"/>
      <c r="V865" s="46"/>
      <c r="W865" s="46"/>
      <c r="X865" s="46"/>
      <c r="Y865" s="46"/>
      <c r="Z865" s="46"/>
      <c r="AA865" s="46"/>
      <c r="AB865" s="46"/>
    </row>
    <row r="866" hidden="1">
      <c r="A866" s="90" t="s">
        <v>1083</v>
      </c>
      <c r="B866" s="91" t="str">
        <f>IFERROR(VLOOKUP(A866,'Salary Calculation'!A866:F1863,2,0),"")</f>
        <v/>
      </c>
      <c r="C866" s="91" t="str">
        <f>IFERROR(VLOOKUP(A866,'Salary Calculation'!$A$2:$T$999,3,0),"")</f>
        <v/>
      </c>
      <c r="D866" s="91" t="str">
        <f>IFERROR(VLOOKUP(A866,'Salary Calculation'!$A$2:$T$999,6,0),"")</f>
        <v/>
      </c>
      <c r="E866" s="91" t="str">
        <f>IFERROR(VLOOKUP(A866,'Salary Calculation'!$A$2:$T$999,8,0),"")</f>
        <v/>
      </c>
      <c r="F866" s="92" t="str">
        <f>IFERROR(VLOOKUP(C866,'Employees List'!$B$2:H999,6,0),"")</f>
        <v/>
      </c>
      <c r="G866" s="93" t="str">
        <f>IFERROR(VLOOKUP(A866,'Salary Calculation'!$A$2:$T$999,7,0),"")</f>
        <v/>
      </c>
      <c r="H866" s="94"/>
      <c r="I866" s="46"/>
      <c r="J866" s="46"/>
      <c r="K866" s="46"/>
      <c r="L866" s="46"/>
      <c r="M866" s="46"/>
      <c r="N866" s="46"/>
      <c r="O866" s="46"/>
      <c r="P866" s="46"/>
      <c r="Q866" s="46"/>
      <c r="R866" s="46"/>
      <c r="S866" s="46"/>
      <c r="T866" s="46"/>
      <c r="U866" s="46"/>
      <c r="V866" s="46"/>
      <c r="W866" s="46"/>
      <c r="X866" s="46"/>
      <c r="Y866" s="46"/>
      <c r="Z866" s="46"/>
      <c r="AA866" s="46"/>
      <c r="AB866" s="46"/>
    </row>
    <row r="867" hidden="1">
      <c r="A867" s="90" t="s">
        <v>1084</v>
      </c>
      <c r="B867" s="91" t="str">
        <f>IFERROR(VLOOKUP(A867,'Salary Calculation'!A867:F1864,2,0),"")</f>
        <v/>
      </c>
      <c r="C867" s="91" t="str">
        <f>IFERROR(VLOOKUP(A867,'Salary Calculation'!$A$2:$T$999,3,0),"")</f>
        <v/>
      </c>
      <c r="D867" s="91" t="str">
        <f>IFERROR(VLOOKUP(A867,'Salary Calculation'!$A$2:$T$999,6,0),"")</f>
        <v/>
      </c>
      <c r="E867" s="91" t="str">
        <f>IFERROR(VLOOKUP(A867,'Salary Calculation'!$A$2:$T$999,8,0),"")</f>
        <v/>
      </c>
      <c r="F867" s="92" t="str">
        <f>IFERROR(VLOOKUP(C867,'Employees List'!$B$2:H999,6,0),"")</f>
        <v/>
      </c>
      <c r="G867" s="93" t="str">
        <f>IFERROR(VLOOKUP(A867,'Salary Calculation'!$A$2:$T$999,7,0),"")</f>
        <v/>
      </c>
      <c r="H867" s="94"/>
      <c r="I867" s="46"/>
      <c r="J867" s="46"/>
      <c r="K867" s="46"/>
      <c r="L867" s="46"/>
      <c r="M867" s="46"/>
      <c r="N867" s="46"/>
      <c r="O867" s="46"/>
      <c r="P867" s="46"/>
      <c r="Q867" s="46"/>
      <c r="R867" s="46"/>
      <c r="S867" s="46"/>
      <c r="T867" s="46"/>
      <c r="U867" s="46"/>
      <c r="V867" s="46"/>
      <c r="W867" s="46"/>
      <c r="X867" s="46"/>
      <c r="Y867" s="46"/>
      <c r="Z867" s="46"/>
      <c r="AA867" s="46"/>
      <c r="AB867" s="46"/>
    </row>
    <row r="868" hidden="1">
      <c r="A868" s="90" t="s">
        <v>1085</v>
      </c>
      <c r="B868" s="91" t="str">
        <f>IFERROR(VLOOKUP(A868,'Salary Calculation'!A868:F1865,2,0),"")</f>
        <v/>
      </c>
      <c r="C868" s="91" t="str">
        <f>IFERROR(VLOOKUP(A868,'Salary Calculation'!$A$2:$T$999,3,0),"")</f>
        <v/>
      </c>
      <c r="D868" s="91" t="str">
        <f>IFERROR(VLOOKUP(A868,'Salary Calculation'!$A$2:$T$999,6,0),"")</f>
        <v/>
      </c>
      <c r="E868" s="91" t="str">
        <f>IFERROR(VLOOKUP(A868,'Salary Calculation'!$A$2:$T$999,8,0),"")</f>
        <v/>
      </c>
      <c r="F868" s="92" t="str">
        <f>IFERROR(VLOOKUP(C868,'Employees List'!$B$2:H999,6,0),"")</f>
        <v/>
      </c>
      <c r="G868" s="93" t="str">
        <f>IFERROR(VLOOKUP(A868,'Salary Calculation'!$A$2:$T$999,7,0),"")</f>
        <v/>
      </c>
      <c r="H868" s="94"/>
      <c r="I868" s="46"/>
      <c r="J868" s="46"/>
      <c r="K868" s="46"/>
      <c r="L868" s="46"/>
      <c r="M868" s="46"/>
      <c r="N868" s="46"/>
      <c r="O868" s="46"/>
      <c r="P868" s="46"/>
      <c r="Q868" s="46"/>
      <c r="R868" s="46"/>
      <c r="S868" s="46"/>
      <c r="T868" s="46"/>
      <c r="U868" s="46"/>
      <c r="V868" s="46"/>
      <c r="W868" s="46"/>
      <c r="X868" s="46"/>
      <c r="Y868" s="46"/>
      <c r="Z868" s="46"/>
      <c r="AA868" s="46"/>
      <c r="AB868" s="46"/>
    </row>
    <row r="869" hidden="1">
      <c r="A869" s="90" t="s">
        <v>1086</v>
      </c>
      <c r="B869" s="91" t="str">
        <f>IFERROR(VLOOKUP(A869,'Salary Calculation'!A869:F1866,2,0),"")</f>
        <v/>
      </c>
      <c r="C869" s="91" t="str">
        <f>IFERROR(VLOOKUP(A869,'Salary Calculation'!$A$2:$T$999,3,0),"")</f>
        <v/>
      </c>
      <c r="D869" s="91" t="str">
        <f>IFERROR(VLOOKUP(A869,'Salary Calculation'!$A$2:$T$999,6,0),"")</f>
        <v/>
      </c>
      <c r="E869" s="91" t="str">
        <f>IFERROR(VLOOKUP(A869,'Salary Calculation'!$A$2:$T$999,8,0),"")</f>
        <v/>
      </c>
      <c r="F869" s="92" t="str">
        <f>IFERROR(VLOOKUP(C869,'Employees List'!$B$2:H999,6,0),"")</f>
        <v/>
      </c>
      <c r="G869" s="93" t="str">
        <f>IFERROR(VLOOKUP(A869,'Salary Calculation'!$A$2:$T$999,7,0),"")</f>
        <v/>
      </c>
      <c r="H869" s="94"/>
      <c r="I869" s="46"/>
      <c r="J869" s="46"/>
      <c r="K869" s="46"/>
      <c r="L869" s="46"/>
      <c r="M869" s="46"/>
      <c r="N869" s="46"/>
      <c r="O869" s="46"/>
      <c r="P869" s="46"/>
      <c r="Q869" s="46"/>
      <c r="R869" s="46"/>
      <c r="S869" s="46"/>
      <c r="T869" s="46"/>
      <c r="U869" s="46"/>
      <c r="V869" s="46"/>
      <c r="W869" s="46"/>
      <c r="X869" s="46"/>
      <c r="Y869" s="46"/>
      <c r="Z869" s="46"/>
      <c r="AA869" s="46"/>
      <c r="AB869" s="46"/>
    </row>
    <row r="870" hidden="1">
      <c r="A870" s="90" t="s">
        <v>1087</v>
      </c>
      <c r="B870" s="91" t="str">
        <f>IFERROR(VLOOKUP(A870,'Salary Calculation'!A870:F1867,2,0),"")</f>
        <v/>
      </c>
      <c r="C870" s="91" t="str">
        <f>IFERROR(VLOOKUP(A870,'Salary Calculation'!$A$2:$T$999,3,0),"")</f>
        <v/>
      </c>
      <c r="D870" s="91" t="str">
        <f>IFERROR(VLOOKUP(A870,'Salary Calculation'!$A$2:$T$999,6,0),"")</f>
        <v/>
      </c>
      <c r="E870" s="91" t="str">
        <f>IFERROR(VLOOKUP(A870,'Salary Calculation'!$A$2:$T$999,8,0),"")</f>
        <v/>
      </c>
      <c r="F870" s="92" t="str">
        <f>IFERROR(VLOOKUP(C870,'Employees List'!$B$2:H999,6,0),"")</f>
        <v/>
      </c>
      <c r="G870" s="93" t="str">
        <f>IFERROR(VLOOKUP(A870,'Salary Calculation'!$A$2:$T$999,7,0),"")</f>
        <v/>
      </c>
      <c r="H870" s="94"/>
      <c r="I870" s="46"/>
      <c r="J870" s="46"/>
      <c r="K870" s="46"/>
      <c r="L870" s="46"/>
      <c r="M870" s="46"/>
      <c r="N870" s="46"/>
      <c r="O870" s="46"/>
      <c r="P870" s="46"/>
      <c r="Q870" s="46"/>
      <c r="R870" s="46"/>
      <c r="S870" s="46"/>
      <c r="T870" s="46"/>
      <c r="U870" s="46"/>
      <c r="V870" s="46"/>
      <c r="W870" s="46"/>
      <c r="X870" s="46"/>
      <c r="Y870" s="46"/>
      <c r="Z870" s="46"/>
      <c r="AA870" s="46"/>
      <c r="AB870" s="46"/>
    </row>
    <row r="871" hidden="1">
      <c r="A871" s="90" t="s">
        <v>1088</v>
      </c>
      <c r="B871" s="91" t="str">
        <f>IFERROR(VLOOKUP(A871,'Salary Calculation'!A871:F1868,2,0),"")</f>
        <v/>
      </c>
      <c r="C871" s="91" t="str">
        <f>IFERROR(VLOOKUP(A871,'Salary Calculation'!$A$2:$T$999,3,0),"")</f>
        <v/>
      </c>
      <c r="D871" s="91" t="str">
        <f>IFERROR(VLOOKUP(A871,'Salary Calculation'!$A$2:$T$999,6,0),"")</f>
        <v/>
      </c>
      <c r="E871" s="91" t="str">
        <f>IFERROR(VLOOKUP(A871,'Salary Calculation'!$A$2:$T$999,8,0),"")</f>
        <v/>
      </c>
      <c r="F871" s="92" t="str">
        <f>IFERROR(VLOOKUP(C871,'Employees List'!$B$2:H999,6,0),"")</f>
        <v/>
      </c>
      <c r="G871" s="93" t="str">
        <f>IFERROR(VLOOKUP(A871,'Salary Calculation'!$A$2:$T$999,7,0),"")</f>
        <v/>
      </c>
      <c r="H871" s="94"/>
      <c r="I871" s="46"/>
      <c r="J871" s="46"/>
      <c r="K871" s="46"/>
      <c r="L871" s="46"/>
      <c r="M871" s="46"/>
      <c r="N871" s="46"/>
      <c r="O871" s="46"/>
      <c r="P871" s="46"/>
      <c r="Q871" s="46"/>
      <c r="R871" s="46"/>
      <c r="S871" s="46"/>
      <c r="T871" s="46"/>
      <c r="U871" s="46"/>
      <c r="V871" s="46"/>
      <c r="W871" s="46"/>
      <c r="X871" s="46"/>
      <c r="Y871" s="46"/>
      <c r="Z871" s="46"/>
      <c r="AA871" s="46"/>
      <c r="AB871" s="46"/>
    </row>
    <row r="872" hidden="1">
      <c r="A872" s="90" t="s">
        <v>1089</v>
      </c>
      <c r="B872" s="91" t="str">
        <f>IFERROR(VLOOKUP(A872,'Salary Calculation'!A872:F1869,2,0),"")</f>
        <v/>
      </c>
      <c r="C872" s="91" t="str">
        <f>IFERROR(VLOOKUP(A872,'Salary Calculation'!$A$2:$T$999,3,0),"")</f>
        <v/>
      </c>
      <c r="D872" s="91" t="str">
        <f>IFERROR(VLOOKUP(A872,'Salary Calculation'!$A$2:$T$999,6,0),"")</f>
        <v/>
      </c>
      <c r="E872" s="91" t="str">
        <f>IFERROR(VLOOKUP(A872,'Salary Calculation'!$A$2:$T$999,8,0),"")</f>
        <v/>
      </c>
      <c r="F872" s="92" t="str">
        <f>IFERROR(VLOOKUP(C872,'Employees List'!$B$2:H999,6,0),"")</f>
        <v/>
      </c>
      <c r="G872" s="93" t="str">
        <f>IFERROR(VLOOKUP(A872,'Salary Calculation'!$A$2:$T$999,7,0),"")</f>
        <v/>
      </c>
      <c r="H872" s="94"/>
      <c r="I872" s="46"/>
      <c r="J872" s="46"/>
      <c r="K872" s="46"/>
      <c r="L872" s="46"/>
      <c r="M872" s="46"/>
      <c r="N872" s="46"/>
      <c r="O872" s="46"/>
      <c r="P872" s="46"/>
      <c r="Q872" s="46"/>
      <c r="R872" s="46"/>
      <c r="S872" s="46"/>
      <c r="T872" s="46"/>
      <c r="U872" s="46"/>
      <c r="V872" s="46"/>
      <c r="W872" s="46"/>
      <c r="X872" s="46"/>
      <c r="Y872" s="46"/>
      <c r="Z872" s="46"/>
      <c r="AA872" s="46"/>
      <c r="AB872" s="46"/>
    </row>
    <row r="873" hidden="1">
      <c r="A873" s="90" t="s">
        <v>1090</v>
      </c>
      <c r="B873" s="91" t="str">
        <f>IFERROR(VLOOKUP(A873,'Salary Calculation'!A873:F1870,2,0),"")</f>
        <v/>
      </c>
      <c r="C873" s="91" t="str">
        <f>IFERROR(VLOOKUP(A873,'Salary Calculation'!$A$2:$T$999,3,0),"")</f>
        <v/>
      </c>
      <c r="D873" s="91" t="str">
        <f>IFERROR(VLOOKUP(A873,'Salary Calculation'!$A$2:$T$999,6,0),"")</f>
        <v/>
      </c>
      <c r="E873" s="91" t="str">
        <f>IFERROR(VLOOKUP(A873,'Salary Calculation'!$A$2:$T$999,8,0),"")</f>
        <v/>
      </c>
      <c r="F873" s="92" t="str">
        <f>IFERROR(VLOOKUP(C873,'Employees List'!$B$2:H999,6,0),"")</f>
        <v/>
      </c>
      <c r="G873" s="93" t="str">
        <f>IFERROR(VLOOKUP(A873,'Salary Calculation'!$A$2:$T$999,7,0),"")</f>
        <v/>
      </c>
      <c r="H873" s="94"/>
      <c r="I873" s="46"/>
      <c r="J873" s="46"/>
      <c r="K873" s="46"/>
      <c r="L873" s="46"/>
      <c r="M873" s="46"/>
      <c r="N873" s="46"/>
      <c r="O873" s="46"/>
      <c r="P873" s="46"/>
      <c r="Q873" s="46"/>
      <c r="R873" s="46"/>
      <c r="S873" s="46"/>
      <c r="T873" s="46"/>
      <c r="U873" s="46"/>
      <c r="V873" s="46"/>
      <c r="W873" s="46"/>
      <c r="X873" s="46"/>
      <c r="Y873" s="46"/>
      <c r="Z873" s="46"/>
      <c r="AA873" s="46"/>
      <c r="AB873" s="46"/>
    </row>
    <row r="874" hidden="1">
      <c r="A874" s="90" t="s">
        <v>1091</v>
      </c>
      <c r="B874" s="91" t="str">
        <f>IFERROR(VLOOKUP(A874,'Salary Calculation'!A874:F1871,2,0),"")</f>
        <v/>
      </c>
      <c r="C874" s="91" t="str">
        <f>IFERROR(VLOOKUP(A874,'Salary Calculation'!$A$2:$T$999,3,0),"")</f>
        <v/>
      </c>
      <c r="D874" s="91" t="str">
        <f>IFERROR(VLOOKUP(A874,'Salary Calculation'!$A$2:$T$999,6,0),"")</f>
        <v/>
      </c>
      <c r="E874" s="91" t="str">
        <f>IFERROR(VLOOKUP(A874,'Salary Calculation'!$A$2:$T$999,8,0),"")</f>
        <v/>
      </c>
      <c r="F874" s="92" t="str">
        <f>IFERROR(VLOOKUP(C874,'Employees List'!$B$2:H999,6,0),"")</f>
        <v/>
      </c>
      <c r="G874" s="93" t="str">
        <f>IFERROR(VLOOKUP(A874,'Salary Calculation'!$A$2:$T$999,7,0),"")</f>
        <v/>
      </c>
      <c r="H874" s="94"/>
      <c r="I874" s="46"/>
      <c r="J874" s="46"/>
      <c r="K874" s="46"/>
      <c r="L874" s="46"/>
      <c r="M874" s="46"/>
      <c r="N874" s="46"/>
      <c r="O874" s="46"/>
      <c r="P874" s="46"/>
      <c r="Q874" s="46"/>
      <c r="R874" s="46"/>
      <c r="S874" s="46"/>
      <c r="T874" s="46"/>
      <c r="U874" s="46"/>
      <c r="V874" s="46"/>
      <c r="W874" s="46"/>
      <c r="X874" s="46"/>
      <c r="Y874" s="46"/>
      <c r="Z874" s="46"/>
      <c r="AA874" s="46"/>
      <c r="AB874" s="46"/>
    </row>
    <row r="875" hidden="1">
      <c r="A875" s="90" t="s">
        <v>1092</v>
      </c>
      <c r="B875" s="91" t="str">
        <f>IFERROR(VLOOKUP(A875,'Salary Calculation'!A875:F1872,2,0),"")</f>
        <v/>
      </c>
      <c r="C875" s="91" t="str">
        <f>IFERROR(VLOOKUP(A875,'Salary Calculation'!$A$2:$T$999,3,0),"")</f>
        <v/>
      </c>
      <c r="D875" s="91" t="str">
        <f>IFERROR(VLOOKUP(A875,'Salary Calculation'!$A$2:$T$999,6,0),"")</f>
        <v/>
      </c>
      <c r="E875" s="91" t="str">
        <f>IFERROR(VLOOKUP(A875,'Salary Calculation'!$A$2:$T$999,8,0),"")</f>
        <v/>
      </c>
      <c r="F875" s="92" t="str">
        <f>IFERROR(VLOOKUP(C875,'Employees List'!$B$2:H999,6,0),"")</f>
        <v/>
      </c>
      <c r="G875" s="93" t="str">
        <f>IFERROR(VLOOKUP(A875,'Salary Calculation'!$A$2:$T$999,7,0),"")</f>
        <v/>
      </c>
      <c r="H875" s="94"/>
      <c r="I875" s="46"/>
      <c r="J875" s="46"/>
      <c r="K875" s="46"/>
      <c r="L875" s="46"/>
      <c r="M875" s="46"/>
      <c r="N875" s="46"/>
      <c r="O875" s="46"/>
      <c r="P875" s="46"/>
      <c r="Q875" s="46"/>
      <c r="R875" s="46"/>
      <c r="S875" s="46"/>
      <c r="T875" s="46"/>
      <c r="U875" s="46"/>
      <c r="V875" s="46"/>
      <c r="W875" s="46"/>
      <c r="X875" s="46"/>
      <c r="Y875" s="46"/>
      <c r="Z875" s="46"/>
      <c r="AA875" s="46"/>
      <c r="AB875" s="46"/>
    </row>
    <row r="876" hidden="1">
      <c r="A876" s="90" t="s">
        <v>1093</v>
      </c>
      <c r="B876" s="91" t="str">
        <f>IFERROR(VLOOKUP(A876,'Salary Calculation'!A876:F1873,2,0),"")</f>
        <v/>
      </c>
      <c r="C876" s="91" t="str">
        <f>IFERROR(VLOOKUP(A876,'Salary Calculation'!$A$2:$T$999,3,0),"")</f>
        <v/>
      </c>
      <c r="D876" s="91" t="str">
        <f>IFERROR(VLOOKUP(A876,'Salary Calculation'!$A$2:$T$999,6,0),"")</f>
        <v/>
      </c>
      <c r="E876" s="91" t="str">
        <f>IFERROR(VLOOKUP(A876,'Salary Calculation'!$A$2:$T$999,8,0),"")</f>
        <v/>
      </c>
      <c r="F876" s="92" t="str">
        <f>IFERROR(VLOOKUP(C876,'Employees List'!$B$2:H999,6,0),"")</f>
        <v/>
      </c>
      <c r="G876" s="93" t="str">
        <f>IFERROR(VLOOKUP(A876,'Salary Calculation'!$A$2:$T$999,7,0),"")</f>
        <v/>
      </c>
      <c r="H876" s="94"/>
      <c r="I876" s="46"/>
      <c r="J876" s="46"/>
      <c r="K876" s="46"/>
      <c r="L876" s="46"/>
      <c r="M876" s="46"/>
      <c r="N876" s="46"/>
      <c r="O876" s="46"/>
      <c r="P876" s="46"/>
      <c r="Q876" s="46"/>
      <c r="R876" s="46"/>
      <c r="S876" s="46"/>
      <c r="T876" s="46"/>
      <c r="U876" s="46"/>
      <c r="V876" s="46"/>
      <c r="W876" s="46"/>
      <c r="X876" s="46"/>
      <c r="Y876" s="46"/>
      <c r="Z876" s="46"/>
      <c r="AA876" s="46"/>
      <c r="AB876" s="46"/>
    </row>
    <row r="877" hidden="1">
      <c r="A877" s="90" t="s">
        <v>1094</v>
      </c>
      <c r="B877" s="91" t="str">
        <f>IFERROR(VLOOKUP(A877,'Salary Calculation'!A877:F1874,2,0),"")</f>
        <v/>
      </c>
      <c r="C877" s="91" t="str">
        <f>IFERROR(VLOOKUP(A877,'Salary Calculation'!$A$2:$T$999,3,0),"")</f>
        <v/>
      </c>
      <c r="D877" s="91" t="str">
        <f>IFERROR(VLOOKUP(A877,'Salary Calculation'!$A$2:$T$999,6,0),"")</f>
        <v/>
      </c>
      <c r="E877" s="91" t="str">
        <f>IFERROR(VLOOKUP(A877,'Salary Calculation'!$A$2:$T$999,8,0),"")</f>
        <v/>
      </c>
      <c r="F877" s="92" t="str">
        <f>IFERROR(VLOOKUP(C877,'Employees List'!$B$2:H999,6,0),"")</f>
        <v/>
      </c>
      <c r="G877" s="93" t="str">
        <f>IFERROR(VLOOKUP(A877,'Salary Calculation'!$A$2:$T$999,7,0),"")</f>
        <v/>
      </c>
      <c r="H877" s="94"/>
      <c r="I877" s="46"/>
      <c r="J877" s="46"/>
      <c r="K877" s="46"/>
      <c r="L877" s="46"/>
      <c r="M877" s="46"/>
      <c r="N877" s="46"/>
      <c r="O877" s="46"/>
      <c r="P877" s="46"/>
      <c r="Q877" s="46"/>
      <c r="R877" s="46"/>
      <c r="S877" s="46"/>
      <c r="T877" s="46"/>
      <c r="U877" s="46"/>
      <c r="V877" s="46"/>
      <c r="W877" s="46"/>
      <c r="X877" s="46"/>
      <c r="Y877" s="46"/>
      <c r="Z877" s="46"/>
      <c r="AA877" s="46"/>
      <c r="AB877" s="46"/>
    </row>
    <row r="878" hidden="1">
      <c r="A878" s="90" t="s">
        <v>1095</v>
      </c>
      <c r="B878" s="91" t="str">
        <f>IFERROR(VLOOKUP(A878,'Salary Calculation'!A878:F1875,2,0),"")</f>
        <v/>
      </c>
      <c r="C878" s="91" t="str">
        <f>IFERROR(VLOOKUP(A878,'Salary Calculation'!$A$2:$T$999,3,0),"")</f>
        <v/>
      </c>
      <c r="D878" s="91" t="str">
        <f>IFERROR(VLOOKUP(A878,'Salary Calculation'!$A$2:$T$999,6,0),"")</f>
        <v/>
      </c>
      <c r="E878" s="91" t="str">
        <f>IFERROR(VLOOKUP(A878,'Salary Calculation'!$A$2:$T$999,8,0),"")</f>
        <v/>
      </c>
      <c r="F878" s="92" t="str">
        <f>IFERROR(VLOOKUP(C878,'Employees List'!$B$2:H999,6,0),"")</f>
        <v/>
      </c>
      <c r="G878" s="93" t="str">
        <f>IFERROR(VLOOKUP(A878,'Salary Calculation'!$A$2:$T$999,7,0),"")</f>
        <v/>
      </c>
      <c r="H878" s="94"/>
      <c r="I878" s="46"/>
      <c r="J878" s="46"/>
      <c r="K878" s="46"/>
      <c r="L878" s="46"/>
      <c r="M878" s="46"/>
      <c r="N878" s="46"/>
      <c r="O878" s="46"/>
      <c r="P878" s="46"/>
      <c r="Q878" s="46"/>
      <c r="R878" s="46"/>
      <c r="S878" s="46"/>
      <c r="T878" s="46"/>
      <c r="U878" s="46"/>
      <c r="V878" s="46"/>
      <c r="W878" s="46"/>
      <c r="X878" s="46"/>
      <c r="Y878" s="46"/>
      <c r="Z878" s="46"/>
      <c r="AA878" s="46"/>
      <c r="AB878" s="46"/>
    </row>
    <row r="879" hidden="1">
      <c r="A879" s="90" t="s">
        <v>1096</v>
      </c>
      <c r="B879" s="91" t="str">
        <f>IFERROR(VLOOKUP(A879,'Salary Calculation'!A879:F1876,2,0),"")</f>
        <v/>
      </c>
      <c r="C879" s="91" t="str">
        <f>IFERROR(VLOOKUP(A879,'Salary Calculation'!$A$2:$T$999,3,0),"")</f>
        <v/>
      </c>
      <c r="D879" s="91" t="str">
        <f>IFERROR(VLOOKUP(A879,'Salary Calculation'!$A$2:$T$999,6,0),"")</f>
        <v/>
      </c>
      <c r="E879" s="91" t="str">
        <f>IFERROR(VLOOKUP(A879,'Salary Calculation'!$A$2:$T$999,8,0),"")</f>
        <v/>
      </c>
      <c r="F879" s="92" t="str">
        <f>IFERROR(VLOOKUP(C879,'Employees List'!$B$2:H999,6,0),"")</f>
        <v/>
      </c>
      <c r="G879" s="93" t="str">
        <f>IFERROR(VLOOKUP(A879,'Salary Calculation'!$A$2:$T$999,7,0),"")</f>
        <v/>
      </c>
      <c r="H879" s="94"/>
      <c r="I879" s="46"/>
      <c r="J879" s="46"/>
      <c r="K879" s="46"/>
      <c r="L879" s="46"/>
      <c r="M879" s="46"/>
      <c r="N879" s="46"/>
      <c r="O879" s="46"/>
      <c r="P879" s="46"/>
      <c r="Q879" s="46"/>
      <c r="R879" s="46"/>
      <c r="S879" s="46"/>
      <c r="T879" s="46"/>
      <c r="U879" s="46"/>
      <c r="V879" s="46"/>
      <c r="W879" s="46"/>
      <c r="X879" s="46"/>
      <c r="Y879" s="46"/>
      <c r="Z879" s="46"/>
      <c r="AA879" s="46"/>
      <c r="AB879" s="46"/>
    </row>
    <row r="880" hidden="1">
      <c r="A880" s="90" t="s">
        <v>1097</v>
      </c>
      <c r="B880" s="91" t="str">
        <f>IFERROR(VLOOKUP(A880,'Salary Calculation'!A880:F1877,2,0),"")</f>
        <v/>
      </c>
      <c r="C880" s="91" t="str">
        <f>IFERROR(VLOOKUP(A880,'Salary Calculation'!$A$2:$T$999,3,0),"")</f>
        <v/>
      </c>
      <c r="D880" s="91" t="str">
        <f>IFERROR(VLOOKUP(A880,'Salary Calculation'!$A$2:$T$999,6,0),"")</f>
        <v/>
      </c>
      <c r="E880" s="91" t="str">
        <f>IFERROR(VLOOKUP(A880,'Salary Calculation'!$A$2:$T$999,8,0),"")</f>
        <v/>
      </c>
      <c r="F880" s="92" t="str">
        <f>IFERROR(VLOOKUP(C880,'Employees List'!$B$2:H999,6,0),"")</f>
        <v/>
      </c>
      <c r="G880" s="93" t="str">
        <f>IFERROR(VLOOKUP(A880,'Salary Calculation'!$A$2:$T$999,7,0),"")</f>
        <v/>
      </c>
      <c r="H880" s="94"/>
      <c r="I880" s="46"/>
      <c r="J880" s="46"/>
      <c r="K880" s="46"/>
      <c r="L880" s="46"/>
      <c r="M880" s="46"/>
      <c r="N880" s="46"/>
      <c r="O880" s="46"/>
      <c r="P880" s="46"/>
      <c r="Q880" s="46"/>
      <c r="R880" s="46"/>
      <c r="S880" s="46"/>
      <c r="T880" s="46"/>
      <c r="U880" s="46"/>
      <c r="V880" s="46"/>
      <c r="W880" s="46"/>
      <c r="X880" s="46"/>
      <c r="Y880" s="46"/>
      <c r="Z880" s="46"/>
      <c r="AA880" s="46"/>
      <c r="AB880" s="46"/>
    </row>
    <row r="881" hidden="1">
      <c r="A881" s="90" t="s">
        <v>1098</v>
      </c>
      <c r="B881" s="91" t="str">
        <f>IFERROR(VLOOKUP(A881,'Salary Calculation'!A881:F1878,2,0),"")</f>
        <v/>
      </c>
      <c r="C881" s="91" t="str">
        <f>IFERROR(VLOOKUP(A881,'Salary Calculation'!$A$2:$T$999,3,0),"")</f>
        <v/>
      </c>
      <c r="D881" s="91" t="str">
        <f>IFERROR(VLOOKUP(A881,'Salary Calculation'!$A$2:$T$999,6,0),"")</f>
        <v/>
      </c>
      <c r="E881" s="91" t="str">
        <f>IFERROR(VLOOKUP(A881,'Salary Calculation'!$A$2:$T$999,8,0),"")</f>
        <v/>
      </c>
      <c r="F881" s="92" t="str">
        <f>IFERROR(VLOOKUP(C881,'Employees List'!$B$2:H999,6,0),"")</f>
        <v/>
      </c>
      <c r="G881" s="93" t="str">
        <f>IFERROR(VLOOKUP(A881,'Salary Calculation'!$A$2:$T$999,7,0),"")</f>
        <v/>
      </c>
      <c r="H881" s="94"/>
      <c r="I881" s="46"/>
      <c r="J881" s="46"/>
      <c r="K881" s="46"/>
      <c r="L881" s="46"/>
      <c r="M881" s="46"/>
      <c r="N881" s="46"/>
      <c r="O881" s="46"/>
      <c r="P881" s="46"/>
      <c r="Q881" s="46"/>
      <c r="R881" s="46"/>
      <c r="S881" s="46"/>
      <c r="T881" s="46"/>
      <c r="U881" s="46"/>
      <c r="V881" s="46"/>
      <c r="W881" s="46"/>
      <c r="X881" s="46"/>
      <c r="Y881" s="46"/>
      <c r="Z881" s="46"/>
      <c r="AA881" s="46"/>
      <c r="AB881" s="46"/>
    </row>
    <row r="882" hidden="1">
      <c r="A882" s="90" t="s">
        <v>1099</v>
      </c>
      <c r="B882" s="91" t="str">
        <f>IFERROR(VLOOKUP(A882,'Salary Calculation'!A882:F1879,2,0),"")</f>
        <v/>
      </c>
      <c r="C882" s="91" t="str">
        <f>IFERROR(VLOOKUP(A882,'Salary Calculation'!$A$2:$T$999,3,0),"")</f>
        <v/>
      </c>
      <c r="D882" s="91" t="str">
        <f>IFERROR(VLOOKUP(A882,'Salary Calculation'!$A$2:$T$999,6,0),"")</f>
        <v/>
      </c>
      <c r="E882" s="91" t="str">
        <f>IFERROR(VLOOKUP(A882,'Salary Calculation'!$A$2:$T$999,8,0),"")</f>
        <v/>
      </c>
      <c r="F882" s="92" t="str">
        <f>IFERROR(VLOOKUP(C882,'Employees List'!$B$2:H999,6,0),"")</f>
        <v/>
      </c>
      <c r="G882" s="93" t="str">
        <f>IFERROR(VLOOKUP(A882,'Salary Calculation'!$A$2:$T$999,7,0),"")</f>
        <v/>
      </c>
      <c r="H882" s="94"/>
      <c r="I882" s="46"/>
      <c r="J882" s="46"/>
      <c r="K882" s="46"/>
      <c r="L882" s="46"/>
      <c r="M882" s="46"/>
      <c r="N882" s="46"/>
      <c r="O882" s="46"/>
      <c r="P882" s="46"/>
      <c r="Q882" s="46"/>
      <c r="R882" s="46"/>
      <c r="S882" s="46"/>
      <c r="T882" s="46"/>
      <c r="U882" s="46"/>
      <c r="V882" s="46"/>
      <c r="W882" s="46"/>
      <c r="X882" s="46"/>
      <c r="Y882" s="46"/>
      <c r="Z882" s="46"/>
      <c r="AA882" s="46"/>
      <c r="AB882" s="46"/>
    </row>
    <row r="883" hidden="1">
      <c r="A883" s="90" t="s">
        <v>1100</v>
      </c>
      <c r="B883" s="91" t="str">
        <f>IFERROR(VLOOKUP(A883,'Salary Calculation'!A883:F1880,2,0),"")</f>
        <v/>
      </c>
      <c r="C883" s="91" t="str">
        <f>IFERROR(VLOOKUP(A883,'Salary Calculation'!$A$2:$T$999,3,0),"")</f>
        <v/>
      </c>
      <c r="D883" s="91" t="str">
        <f>IFERROR(VLOOKUP(A883,'Salary Calculation'!$A$2:$T$999,6,0),"")</f>
        <v/>
      </c>
      <c r="E883" s="91" t="str">
        <f>IFERROR(VLOOKUP(A883,'Salary Calculation'!$A$2:$T$999,8,0),"")</f>
        <v/>
      </c>
      <c r="F883" s="92" t="str">
        <f>IFERROR(VLOOKUP(C883,'Employees List'!$B$2:H999,6,0),"")</f>
        <v/>
      </c>
      <c r="G883" s="93" t="str">
        <f>IFERROR(VLOOKUP(A883,'Salary Calculation'!$A$2:$T$999,7,0),"")</f>
        <v/>
      </c>
      <c r="H883" s="94"/>
      <c r="I883" s="46"/>
      <c r="J883" s="46"/>
      <c r="K883" s="46"/>
      <c r="L883" s="46"/>
      <c r="M883" s="46"/>
      <c r="N883" s="46"/>
      <c r="O883" s="46"/>
      <c r="P883" s="46"/>
      <c r="Q883" s="46"/>
      <c r="R883" s="46"/>
      <c r="S883" s="46"/>
      <c r="T883" s="46"/>
      <c r="U883" s="46"/>
      <c r="V883" s="46"/>
      <c r="W883" s="46"/>
      <c r="X883" s="46"/>
      <c r="Y883" s="46"/>
      <c r="Z883" s="46"/>
      <c r="AA883" s="46"/>
      <c r="AB883" s="46"/>
    </row>
    <row r="884" hidden="1">
      <c r="A884" s="90" t="s">
        <v>1101</v>
      </c>
      <c r="B884" s="91" t="str">
        <f>IFERROR(VLOOKUP(A884,'Salary Calculation'!A884:F1881,2,0),"")</f>
        <v/>
      </c>
      <c r="C884" s="91" t="str">
        <f>IFERROR(VLOOKUP(A884,'Salary Calculation'!$A$2:$T$999,3,0),"")</f>
        <v/>
      </c>
      <c r="D884" s="91" t="str">
        <f>IFERROR(VLOOKUP(A884,'Salary Calculation'!$A$2:$T$999,6,0),"")</f>
        <v/>
      </c>
      <c r="E884" s="91" t="str">
        <f>IFERROR(VLOOKUP(A884,'Salary Calculation'!$A$2:$T$999,8,0),"")</f>
        <v/>
      </c>
      <c r="F884" s="92" t="str">
        <f>IFERROR(VLOOKUP(C884,'Employees List'!$B$2:H999,6,0),"")</f>
        <v/>
      </c>
      <c r="G884" s="93" t="str">
        <f>IFERROR(VLOOKUP(A884,'Salary Calculation'!$A$2:$T$999,7,0),"")</f>
        <v/>
      </c>
      <c r="H884" s="94"/>
      <c r="I884" s="46"/>
      <c r="J884" s="46"/>
      <c r="K884" s="46"/>
      <c r="L884" s="46"/>
      <c r="M884" s="46"/>
      <c r="N884" s="46"/>
      <c r="O884" s="46"/>
      <c r="P884" s="46"/>
      <c r="Q884" s="46"/>
      <c r="R884" s="46"/>
      <c r="S884" s="46"/>
      <c r="T884" s="46"/>
      <c r="U884" s="46"/>
      <c r="V884" s="46"/>
      <c r="W884" s="46"/>
      <c r="X884" s="46"/>
      <c r="Y884" s="46"/>
      <c r="Z884" s="46"/>
      <c r="AA884" s="46"/>
      <c r="AB884" s="46"/>
    </row>
    <row r="885" hidden="1">
      <c r="A885" s="90" t="s">
        <v>1102</v>
      </c>
      <c r="B885" s="91" t="str">
        <f>IFERROR(VLOOKUP(A885,'Salary Calculation'!A885:F1882,2,0),"")</f>
        <v/>
      </c>
      <c r="C885" s="91" t="str">
        <f>IFERROR(VLOOKUP(A885,'Salary Calculation'!$A$2:$T$999,3,0),"")</f>
        <v/>
      </c>
      <c r="D885" s="91" t="str">
        <f>IFERROR(VLOOKUP(A885,'Salary Calculation'!$A$2:$T$999,6,0),"")</f>
        <v/>
      </c>
      <c r="E885" s="91" t="str">
        <f>IFERROR(VLOOKUP(A885,'Salary Calculation'!$A$2:$T$999,8,0),"")</f>
        <v/>
      </c>
      <c r="F885" s="92" t="str">
        <f>IFERROR(VLOOKUP(C885,'Employees List'!$B$2:H999,6,0),"")</f>
        <v/>
      </c>
      <c r="G885" s="93" t="str">
        <f>IFERROR(VLOOKUP(A885,'Salary Calculation'!$A$2:$T$999,7,0),"")</f>
        <v/>
      </c>
      <c r="H885" s="94"/>
      <c r="I885" s="46"/>
      <c r="J885" s="46"/>
      <c r="K885" s="46"/>
      <c r="L885" s="46"/>
      <c r="M885" s="46"/>
      <c r="N885" s="46"/>
      <c r="O885" s="46"/>
      <c r="P885" s="46"/>
      <c r="Q885" s="46"/>
      <c r="R885" s="46"/>
      <c r="S885" s="46"/>
      <c r="T885" s="46"/>
      <c r="U885" s="46"/>
      <c r="V885" s="46"/>
      <c r="W885" s="46"/>
      <c r="X885" s="46"/>
      <c r="Y885" s="46"/>
      <c r="Z885" s="46"/>
      <c r="AA885" s="46"/>
      <c r="AB885" s="46"/>
    </row>
    <row r="886" hidden="1">
      <c r="A886" s="90" t="s">
        <v>1103</v>
      </c>
      <c r="B886" s="91" t="str">
        <f>IFERROR(VLOOKUP(A886,'Salary Calculation'!A886:F1883,2,0),"")</f>
        <v/>
      </c>
      <c r="C886" s="91" t="str">
        <f>IFERROR(VLOOKUP(A886,'Salary Calculation'!$A$2:$T$999,3,0),"")</f>
        <v/>
      </c>
      <c r="D886" s="91" t="str">
        <f>IFERROR(VLOOKUP(A886,'Salary Calculation'!$A$2:$T$999,6,0),"")</f>
        <v/>
      </c>
      <c r="E886" s="91" t="str">
        <f>IFERROR(VLOOKUP(A886,'Salary Calculation'!$A$2:$T$999,8,0),"")</f>
        <v/>
      </c>
      <c r="F886" s="92" t="str">
        <f>IFERROR(VLOOKUP(C886,'Employees List'!$B$2:H999,6,0),"")</f>
        <v/>
      </c>
      <c r="G886" s="93" t="str">
        <f>IFERROR(VLOOKUP(A886,'Salary Calculation'!$A$2:$T$999,7,0),"")</f>
        <v/>
      </c>
      <c r="H886" s="94"/>
      <c r="I886" s="46"/>
      <c r="J886" s="46"/>
      <c r="K886" s="46"/>
      <c r="L886" s="46"/>
      <c r="M886" s="46"/>
      <c r="N886" s="46"/>
      <c r="O886" s="46"/>
      <c r="P886" s="46"/>
      <c r="Q886" s="46"/>
      <c r="R886" s="46"/>
      <c r="S886" s="46"/>
      <c r="T886" s="46"/>
      <c r="U886" s="46"/>
      <c r="V886" s="46"/>
      <c r="W886" s="46"/>
      <c r="X886" s="46"/>
      <c r="Y886" s="46"/>
      <c r="Z886" s="46"/>
      <c r="AA886" s="46"/>
      <c r="AB886" s="46"/>
    </row>
    <row r="887" hidden="1">
      <c r="A887" s="90" t="s">
        <v>1104</v>
      </c>
      <c r="B887" s="91" t="str">
        <f>IFERROR(VLOOKUP(A887,'Salary Calculation'!A887:F1884,2,0),"")</f>
        <v/>
      </c>
      <c r="C887" s="91" t="str">
        <f>IFERROR(VLOOKUP(A887,'Salary Calculation'!$A$2:$T$999,3,0),"")</f>
        <v/>
      </c>
      <c r="D887" s="91" t="str">
        <f>IFERROR(VLOOKUP(A887,'Salary Calculation'!$A$2:$T$999,6,0),"")</f>
        <v/>
      </c>
      <c r="E887" s="91" t="str">
        <f>IFERROR(VLOOKUP(A887,'Salary Calculation'!$A$2:$T$999,8,0),"")</f>
        <v/>
      </c>
      <c r="F887" s="92" t="str">
        <f>IFERROR(VLOOKUP(C887,'Employees List'!$B$2:H999,6,0),"")</f>
        <v/>
      </c>
      <c r="G887" s="93" t="str">
        <f>IFERROR(VLOOKUP(A887,'Salary Calculation'!$A$2:$T$999,7,0),"")</f>
        <v/>
      </c>
      <c r="H887" s="94"/>
      <c r="I887" s="46"/>
      <c r="J887" s="46"/>
      <c r="K887" s="46"/>
      <c r="L887" s="46"/>
      <c r="M887" s="46"/>
      <c r="N887" s="46"/>
      <c r="O887" s="46"/>
      <c r="P887" s="46"/>
      <c r="Q887" s="46"/>
      <c r="R887" s="46"/>
      <c r="S887" s="46"/>
      <c r="T887" s="46"/>
      <c r="U887" s="46"/>
      <c r="V887" s="46"/>
      <c r="W887" s="46"/>
      <c r="X887" s="46"/>
      <c r="Y887" s="46"/>
      <c r="Z887" s="46"/>
      <c r="AA887" s="46"/>
      <c r="AB887" s="46"/>
    </row>
    <row r="888" hidden="1">
      <c r="A888" s="90" t="s">
        <v>1105</v>
      </c>
      <c r="B888" s="91" t="str">
        <f>IFERROR(VLOOKUP(A888,'Salary Calculation'!A888:F1885,2,0),"")</f>
        <v/>
      </c>
      <c r="C888" s="91" t="str">
        <f>IFERROR(VLOOKUP(A888,'Salary Calculation'!$A$2:$T$999,3,0),"")</f>
        <v/>
      </c>
      <c r="D888" s="91" t="str">
        <f>IFERROR(VLOOKUP(A888,'Salary Calculation'!$A$2:$T$999,6,0),"")</f>
        <v/>
      </c>
      <c r="E888" s="91" t="str">
        <f>IFERROR(VLOOKUP(A888,'Salary Calculation'!$A$2:$T$999,8,0),"")</f>
        <v/>
      </c>
      <c r="F888" s="92" t="str">
        <f>IFERROR(VLOOKUP(C888,'Employees List'!$B$2:H999,6,0),"")</f>
        <v/>
      </c>
      <c r="G888" s="93" t="str">
        <f>IFERROR(VLOOKUP(A888,'Salary Calculation'!$A$2:$T$999,7,0),"")</f>
        <v/>
      </c>
      <c r="H888" s="94"/>
      <c r="I888" s="46"/>
      <c r="J888" s="46"/>
      <c r="K888" s="46"/>
      <c r="L888" s="46"/>
      <c r="M888" s="46"/>
      <c r="N888" s="46"/>
      <c r="O888" s="46"/>
      <c r="P888" s="46"/>
      <c r="Q888" s="46"/>
      <c r="R888" s="46"/>
      <c r="S888" s="46"/>
      <c r="T888" s="46"/>
      <c r="U888" s="46"/>
      <c r="V888" s="46"/>
      <c r="W888" s="46"/>
      <c r="X888" s="46"/>
      <c r="Y888" s="46"/>
      <c r="Z888" s="46"/>
      <c r="AA888" s="46"/>
      <c r="AB888" s="46"/>
    </row>
    <row r="889" hidden="1">
      <c r="A889" s="90" t="s">
        <v>1106</v>
      </c>
      <c r="B889" s="91" t="str">
        <f>IFERROR(VLOOKUP(A889,'Salary Calculation'!A889:F1886,2,0),"")</f>
        <v/>
      </c>
      <c r="C889" s="91" t="str">
        <f>IFERROR(VLOOKUP(A889,'Salary Calculation'!$A$2:$T$999,3,0),"")</f>
        <v/>
      </c>
      <c r="D889" s="91" t="str">
        <f>IFERROR(VLOOKUP(A889,'Salary Calculation'!$A$2:$T$999,6,0),"")</f>
        <v/>
      </c>
      <c r="E889" s="91" t="str">
        <f>IFERROR(VLOOKUP(A889,'Salary Calculation'!$A$2:$T$999,8,0),"")</f>
        <v/>
      </c>
      <c r="F889" s="92" t="str">
        <f>IFERROR(VLOOKUP(C889,'Employees List'!$B$2:H999,6,0),"")</f>
        <v/>
      </c>
      <c r="G889" s="93" t="str">
        <f>IFERROR(VLOOKUP(A889,'Salary Calculation'!$A$2:$T$999,7,0),"")</f>
        <v/>
      </c>
      <c r="H889" s="94"/>
      <c r="I889" s="46"/>
      <c r="J889" s="46"/>
      <c r="K889" s="46"/>
      <c r="L889" s="46"/>
      <c r="M889" s="46"/>
      <c r="N889" s="46"/>
      <c r="O889" s="46"/>
      <c r="P889" s="46"/>
      <c r="Q889" s="46"/>
      <c r="R889" s="46"/>
      <c r="S889" s="46"/>
      <c r="T889" s="46"/>
      <c r="U889" s="46"/>
      <c r="V889" s="46"/>
      <c r="W889" s="46"/>
      <c r="X889" s="46"/>
      <c r="Y889" s="46"/>
      <c r="Z889" s="46"/>
      <c r="AA889" s="46"/>
      <c r="AB889" s="46"/>
    </row>
    <row r="890" hidden="1">
      <c r="A890" s="90" t="s">
        <v>1107</v>
      </c>
      <c r="B890" s="91" t="str">
        <f>IFERROR(VLOOKUP(A890,'Salary Calculation'!A890:F1887,2,0),"")</f>
        <v/>
      </c>
      <c r="C890" s="91" t="str">
        <f>IFERROR(VLOOKUP(A890,'Salary Calculation'!$A$2:$T$999,3,0),"")</f>
        <v/>
      </c>
      <c r="D890" s="91" t="str">
        <f>IFERROR(VLOOKUP(A890,'Salary Calculation'!$A$2:$T$999,6,0),"")</f>
        <v/>
      </c>
      <c r="E890" s="91" t="str">
        <f>IFERROR(VLOOKUP(A890,'Salary Calculation'!$A$2:$T$999,8,0),"")</f>
        <v/>
      </c>
      <c r="F890" s="92" t="str">
        <f>IFERROR(VLOOKUP(C890,'Employees List'!$B$2:H999,6,0),"")</f>
        <v/>
      </c>
      <c r="G890" s="93" t="str">
        <f>IFERROR(VLOOKUP(A890,'Salary Calculation'!$A$2:$T$999,7,0),"")</f>
        <v/>
      </c>
      <c r="H890" s="94"/>
      <c r="I890" s="46"/>
      <c r="J890" s="46"/>
      <c r="K890" s="46"/>
      <c r="L890" s="46"/>
      <c r="M890" s="46"/>
      <c r="N890" s="46"/>
      <c r="O890" s="46"/>
      <c r="P890" s="46"/>
      <c r="Q890" s="46"/>
      <c r="R890" s="46"/>
      <c r="S890" s="46"/>
      <c r="T890" s="46"/>
      <c r="U890" s="46"/>
      <c r="V890" s="46"/>
      <c r="W890" s="46"/>
      <c r="X890" s="46"/>
      <c r="Y890" s="46"/>
      <c r="Z890" s="46"/>
      <c r="AA890" s="46"/>
      <c r="AB890" s="46"/>
    </row>
    <row r="891" hidden="1">
      <c r="A891" s="90" t="s">
        <v>1108</v>
      </c>
      <c r="B891" s="91" t="str">
        <f>IFERROR(VLOOKUP(A891,'Salary Calculation'!A891:F1888,2,0),"")</f>
        <v/>
      </c>
      <c r="C891" s="91" t="str">
        <f>IFERROR(VLOOKUP(A891,'Salary Calculation'!$A$2:$T$999,3,0),"")</f>
        <v/>
      </c>
      <c r="D891" s="91" t="str">
        <f>IFERROR(VLOOKUP(A891,'Salary Calculation'!$A$2:$T$999,6,0),"")</f>
        <v/>
      </c>
      <c r="E891" s="91" t="str">
        <f>IFERROR(VLOOKUP(A891,'Salary Calculation'!$A$2:$T$999,8,0),"")</f>
        <v/>
      </c>
      <c r="F891" s="92" t="str">
        <f>IFERROR(VLOOKUP(C891,'Employees List'!$B$2:H999,6,0),"")</f>
        <v/>
      </c>
      <c r="G891" s="93" t="str">
        <f>IFERROR(VLOOKUP(A891,'Salary Calculation'!$A$2:$T$999,7,0),"")</f>
        <v/>
      </c>
      <c r="H891" s="94"/>
      <c r="I891" s="46"/>
      <c r="J891" s="46"/>
      <c r="K891" s="46"/>
      <c r="L891" s="46"/>
      <c r="M891" s="46"/>
      <c r="N891" s="46"/>
      <c r="O891" s="46"/>
      <c r="P891" s="46"/>
      <c r="Q891" s="46"/>
      <c r="R891" s="46"/>
      <c r="S891" s="46"/>
      <c r="T891" s="46"/>
      <c r="U891" s="46"/>
      <c r="V891" s="46"/>
      <c r="W891" s="46"/>
      <c r="X891" s="46"/>
      <c r="Y891" s="46"/>
      <c r="Z891" s="46"/>
      <c r="AA891" s="46"/>
      <c r="AB891" s="46"/>
    </row>
    <row r="892" hidden="1">
      <c r="A892" s="90" t="s">
        <v>1109</v>
      </c>
      <c r="B892" s="91" t="str">
        <f>IFERROR(VLOOKUP(A892,'Salary Calculation'!A892:F1889,2,0),"")</f>
        <v/>
      </c>
      <c r="C892" s="91" t="str">
        <f>IFERROR(VLOOKUP(A892,'Salary Calculation'!$A$2:$T$999,3,0),"")</f>
        <v/>
      </c>
      <c r="D892" s="91" t="str">
        <f>IFERROR(VLOOKUP(A892,'Salary Calculation'!$A$2:$T$999,6,0),"")</f>
        <v/>
      </c>
      <c r="E892" s="91" t="str">
        <f>IFERROR(VLOOKUP(A892,'Salary Calculation'!$A$2:$T$999,8,0),"")</f>
        <v/>
      </c>
      <c r="F892" s="92" t="str">
        <f>IFERROR(VLOOKUP(C892,'Employees List'!$B$2:H999,6,0),"")</f>
        <v/>
      </c>
      <c r="G892" s="93" t="str">
        <f>IFERROR(VLOOKUP(A892,'Salary Calculation'!$A$2:$T$999,7,0),"")</f>
        <v/>
      </c>
      <c r="H892" s="94"/>
      <c r="I892" s="46"/>
      <c r="J892" s="46"/>
      <c r="K892" s="46"/>
      <c r="L892" s="46"/>
      <c r="M892" s="46"/>
      <c r="N892" s="46"/>
      <c r="O892" s="46"/>
      <c r="P892" s="46"/>
      <c r="Q892" s="46"/>
      <c r="R892" s="46"/>
      <c r="S892" s="46"/>
      <c r="T892" s="46"/>
      <c r="U892" s="46"/>
      <c r="V892" s="46"/>
      <c r="W892" s="46"/>
      <c r="X892" s="46"/>
      <c r="Y892" s="46"/>
      <c r="Z892" s="46"/>
      <c r="AA892" s="46"/>
      <c r="AB892" s="46"/>
    </row>
    <row r="893" hidden="1">
      <c r="A893" s="90" t="s">
        <v>1110</v>
      </c>
      <c r="B893" s="91" t="str">
        <f>IFERROR(VLOOKUP(A893,'Salary Calculation'!A893:F1890,2,0),"")</f>
        <v/>
      </c>
      <c r="C893" s="91" t="str">
        <f>IFERROR(VLOOKUP(A893,'Salary Calculation'!$A$2:$T$999,3,0),"")</f>
        <v/>
      </c>
      <c r="D893" s="91" t="str">
        <f>IFERROR(VLOOKUP(A893,'Salary Calculation'!$A$2:$T$999,6,0),"")</f>
        <v/>
      </c>
      <c r="E893" s="91" t="str">
        <f>IFERROR(VLOOKUP(A893,'Salary Calculation'!$A$2:$T$999,8,0),"")</f>
        <v/>
      </c>
      <c r="F893" s="92" t="str">
        <f>IFERROR(VLOOKUP(C893,'Employees List'!$B$2:H999,6,0),"")</f>
        <v/>
      </c>
      <c r="G893" s="93" t="str">
        <f>IFERROR(VLOOKUP(A893,'Salary Calculation'!$A$2:$T$999,7,0),"")</f>
        <v/>
      </c>
      <c r="H893" s="94"/>
      <c r="I893" s="46"/>
      <c r="J893" s="46"/>
      <c r="K893" s="46"/>
      <c r="L893" s="46"/>
      <c r="M893" s="46"/>
      <c r="N893" s="46"/>
      <c r="O893" s="46"/>
      <c r="P893" s="46"/>
      <c r="Q893" s="46"/>
      <c r="R893" s="46"/>
      <c r="S893" s="46"/>
      <c r="T893" s="46"/>
      <c r="U893" s="46"/>
      <c r="V893" s="46"/>
      <c r="W893" s="46"/>
      <c r="X893" s="46"/>
      <c r="Y893" s="46"/>
      <c r="Z893" s="46"/>
      <c r="AA893" s="46"/>
      <c r="AB893" s="46"/>
    </row>
    <row r="894" hidden="1">
      <c r="A894" s="90" t="s">
        <v>1111</v>
      </c>
      <c r="B894" s="91" t="str">
        <f>IFERROR(VLOOKUP(A894,'Salary Calculation'!A894:F1891,2,0),"")</f>
        <v/>
      </c>
      <c r="C894" s="91" t="str">
        <f>IFERROR(VLOOKUP(A894,'Salary Calculation'!$A$2:$T$999,3,0),"")</f>
        <v/>
      </c>
      <c r="D894" s="91" t="str">
        <f>IFERROR(VLOOKUP(A894,'Salary Calculation'!$A$2:$T$999,6,0),"")</f>
        <v/>
      </c>
      <c r="E894" s="91" t="str">
        <f>IFERROR(VLOOKUP(A894,'Salary Calculation'!$A$2:$T$999,8,0),"")</f>
        <v/>
      </c>
      <c r="F894" s="92" t="str">
        <f>IFERROR(VLOOKUP(C894,'Employees List'!$B$2:H999,6,0),"")</f>
        <v/>
      </c>
      <c r="G894" s="93" t="str">
        <f>IFERROR(VLOOKUP(A894,'Salary Calculation'!$A$2:$T$999,7,0),"")</f>
        <v/>
      </c>
      <c r="H894" s="94"/>
      <c r="I894" s="46"/>
      <c r="J894" s="46"/>
      <c r="K894" s="46"/>
      <c r="L894" s="46"/>
      <c r="M894" s="46"/>
      <c r="N894" s="46"/>
      <c r="O894" s="46"/>
      <c r="P894" s="46"/>
      <c r="Q894" s="46"/>
      <c r="R894" s="46"/>
      <c r="S894" s="46"/>
      <c r="T894" s="46"/>
      <c r="U894" s="46"/>
      <c r="V894" s="46"/>
      <c r="W894" s="46"/>
      <c r="X894" s="46"/>
      <c r="Y894" s="46"/>
      <c r="Z894" s="46"/>
      <c r="AA894" s="46"/>
      <c r="AB894" s="46"/>
    </row>
    <row r="895" hidden="1">
      <c r="A895" s="90" t="s">
        <v>1112</v>
      </c>
      <c r="B895" s="91" t="str">
        <f>IFERROR(VLOOKUP(A895,'Salary Calculation'!A895:F1892,2,0),"")</f>
        <v/>
      </c>
      <c r="C895" s="91" t="str">
        <f>IFERROR(VLOOKUP(A895,'Salary Calculation'!$A$2:$T$999,3,0),"")</f>
        <v/>
      </c>
      <c r="D895" s="91" t="str">
        <f>IFERROR(VLOOKUP(A895,'Salary Calculation'!$A$2:$T$999,6,0),"")</f>
        <v/>
      </c>
      <c r="E895" s="91" t="str">
        <f>IFERROR(VLOOKUP(A895,'Salary Calculation'!$A$2:$T$999,8,0),"")</f>
        <v/>
      </c>
      <c r="F895" s="92" t="str">
        <f>IFERROR(VLOOKUP(C895,'Employees List'!$B$2:H999,6,0),"")</f>
        <v/>
      </c>
      <c r="G895" s="93" t="str">
        <f>IFERROR(VLOOKUP(A895,'Salary Calculation'!$A$2:$T$999,7,0),"")</f>
        <v/>
      </c>
      <c r="H895" s="94"/>
      <c r="I895" s="46"/>
      <c r="J895" s="46"/>
      <c r="K895" s="46"/>
      <c r="L895" s="46"/>
      <c r="M895" s="46"/>
      <c r="N895" s="46"/>
      <c r="O895" s="46"/>
      <c r="P895" s="46"/>
      <c r="Q895" s="46"/>
      <c r="R895" s="46"/>
      <c r="S895" s="46"/>
      <c r="T895" s="46"/>
      <c r="U895" s="46"/>
      <c r="V895" s="46"/>
      <c r="W895" s="46"/>
      <c r="X895" s="46"/>
      <c r="Y895" s="46"/>
      <c r="Z895" s="46"/>
      <c r="AA895" s="46"/>
      <c r="AB895" s="46"/>
    </row>
    <row r="896" hidden="1">
      <c r="A896" s="90" t="s">
        <v>1113</v>
      </c>
      <c r="B896" s="91" t="str">
        <f>IFERROR(VLOOKUP(A896,'Salary Calculation'!A896:F1893,2,0),"")</f>
        <v/>
      </c>
      <c r="C896" s="91" t="str">
        <f>IFERROR(VLOOKUP(A896,'Salary Calculation'!$A$2:$T$999,3,0),"")</f>
        <v/>
      </c>
      <c r="D896" s="91" t="str">
        <f>IFERROR(VLOOKUP(A896,'Salary Calculation'!$A$2:$T$999,6,0),"")</f>
        <v/>
      </c>
      <c r="E896" s="91" t="str">
        <f>IFERROR(VLOOKUP(A896,'Salary Calculation'!$A$2:$T$999,8,0),"")</f>
        <v/>
      </c>
      <c r="F896" s="92" t="str">
        <f>IFERROR(VLOOKUP(C896,'Employees List'!$B$2:H999,6,0),"")</f>
        <v/>
      </c>
      <c r="G896" s="93" t="str">
        <f>IFERROR(VLOOKUP(A896,'Salary Calculation'!$A$2:$T$999,7,0),"")</f>
        <v/>
      </c>
      <c r="H896" s="94"/>
      <c r="I896" s="46"/>
      <c r="J896" s="46"/>
      <c r="K896" s="46"/>
      <c r="L896" s="46"/>
      <c r="M896" s="46"/>
      <c r="N896" s="46"/>
      <c r="O896" s="46"/>
      <c r="P896" s="46"/>
      <c r="Q896" s="46"/>
      <c r="R896" s="46"/>
      <c r="S896" s="46"/>
      <c r="T896" s="46"/>
      <c r="U896" s="46"/>
      <c r="V896" s="46"/>
      <c r="W896" s="46"/>
      <c r="X896" s="46"/>
      <c r="Y896" s="46"/>
      <c r="Z896" s="46"/>
      <c r="AA896" s="46"/>
      <c r="AB896" s="46"/>
    </row>
    <row r="897" hidden="1">
      <c r="A897" s="90" t="s">
        <v>1114</v>
      </c>
      <c r="B897" s="91" t="str">
        <f>IFERROR(VLOOKUP(A897,'Salary Calculation'!A897:F1894,2,0),"")</f>
        <v/>
      </c>
      <c r="C897" s="91" t="str">
        <f>IFERROR(VLOOKUP(A897,'Salary Calculation'!$A$2:$T$999,3,0),"")</f>
        <v/>
      </c>
      <c r="D897" s="91" t="str">
        <f>IFERROR(VLOOKUP(A897,'Salary Calculation'!$A$2:$T$999,6,0),"")</f>
        <v/>
      </c>
      <c r="E897" s="91" t="str">
        <f>IFERROR(VLOOKUP(A897,'Salary Calculation'!$A$2:$T$999,8,0),"")</f>
        <v/>
      </c>
      <c r="F897" s="92" t="str">
        <f>IFERROR(VLOOKUP(C897,'Employees List'!$B$2:H999,6,0),"")</f>
        <v/>
      </c>
      <c r="G897" s="93" t="str">
        <f>IFERROR(VLOOKUP(A897,'Salary Calculation'!$A$2:$T$999,7,0),"")</f>
        <v/>
      </c>
      <c r="H897" s="94"/>
      <c r="I897" s="46"/>
      <c r="J897" s="46"/>
      <c r="K897" s="46"/>
      <c r="L897" s="46"/>
      <c r="M897" s="46"/>
      <c r="N897" s="46"/>
      <c r="O897" s="46"/>
      <c r="P897" s="46"/>
      <c r="Q897" s="46"/>
      <c r="R897" s="46"/>
      <c r="S897" s="46"/>
      <c r="T897" s="46"/>
      <c r="U897" s="46"/>
      <c r="V897" s="46"/>
      <c r="W897" s="46"/>
      <c r="X897" s="46"/>
      <c r="Y897" s="46"/>
      <c r="Z897" s="46"/>
      <c r="AA897" s="46"/>
      <c r="AB897" s="46"/>
    </row>
    <row r="898" hidden="1">
      <c r="A898" s="90" t="s">
        <v>1115</v>
      </c>
      <c r="B898" s="91" t="str">
        <f>IFERROR(VLOOKUP(A898,'Salary Calculation'!A898:F1895,2,0),"")</f>
        <v/>
      </c>
      <c r="C898" s="91" t="str">
        <f>IFERROR(VLOOKUP(A898,'Salary Calculation'!$A$2:$T$999,3,0),"")</f>
        <v/>
      </c>
      <c r="D898" s="91" t="str">
        <f>IFERROR(VLOOKUP(A898,'Salary Calculation'!$A$2:$T$999,6,0),"")</f>
        <v/>
      </c>
      <c r="E898" s="91" t="str">
        <f>IFERROR(VLOOKUP(A898,'Salary Calculation'!$A$2:$T$999,8,0),"")</f>
        <v/>
      </c>
      <c r="F898" s="92" t="str">
        <f>IFERROR(VLOOKUP(C898,'Employees List'!$B$2:H999,6,0),"")</f>
        <v/>
      </c>
      <c r="G898" s="93" t="str">
        <f>IFERROR(VLOOKUP(A898,'Salary Calculation'!$A$2:$T$999,7,0),"")</f>
        <v/>
      </c>
      <c r="H898" s="94"/>
      <c r="I898" s="46"/>
      <c r="J898" s="46"/>
      <c r="K898" s="46"/>
      <c r="L898" s="46"/>
      <c r="M898" s="46"/>
      <c r="N898" s="46"/>
      <c r="O898" s="46"/>
      <c r="P898" s="46"/>
      <c r="Q898" s="46"/>
      <c r="R898" s="46"/>
      <c r="S898" s="46"/>
      <c r="T898" s="46"/>
      <c r="U898" s="46"/>
      <c r="V898" s="46"/>
      <c r="W898" s="46"/>
      <c r="X898" s="46"/>
      <c r="Y898" s="46"/>
      <c r="Z898" s="46"/>
      <c r="AA898" s="46"/>
      <c r="AB898" s="46"/>
    </row>
    <row r="899" hidden="1">
      <c r="A899" s="90" t="s">
        <v>1116</v>
      </c>
      <c r="B899" s="91" t="str">
        <f>IFERROR(VLOOKUP(A899,'Salary Calculation'!A899:F1896,2,0),"")</f>
        <v/>
      </c>
      <c r="C899" s="91" t="str">
        <f>IFERROR(VLOOKUP(A899,'Salary Calculation'!$A$2:$T$999,3,0),"")</f>
        <v/>
      </c>
      <c r="D899" s="91" t="str">
        <f>IFERROR(VLOOKUP(A899,'Salary Calculation'!$A$2:$T$999,6,0),"")</f>
        <v/>
      </c>
      <c r="E899" s="91" t="str">
        <f>IFERROR(VLOOKUP(A899,'Salary Calculation'!$A$2:$T$999,8,0),"")</f>
        <v/>
      </c>
      <c r="F899" s="92" t="str">
        <f>IFERROR(VLOOKUP(C899,'Employees List'!$B$2:H999,6,0),"")</f>
        <v/>
      </c>
      <c r="G899" s="93" t="str">
        <f>IFERROR(VLOOKUP(A899,'Salary Calculation'!$A$2:$T$999,7,0),"")</f>
        <v/>
      </c>
      <c r="H899" s="94"/>
      <c r="I899" s="46"/>
      <c r="J899" s="46"/>
      <c r="K899" s="46"/>
      <c r="L899" s="46"/>
      <c r="M899" s="46"/>
      <c r="N899" s="46"/>
      <c r="O899" s="46"/>
      <c r="P899" s="46"/>
      <c r="Q899" s="46"/>
      <c r="R899" s="46"/>
      <c r="S899" s="46"/>
      <c r="T899" s="46"/>
      <c r="U899" s="46"/>
      <c r="V899" s="46"/>
      <c r="W899" s="46"/>
      <c r="X899" s="46"/>
      <c r="Y899" s="46"/>
      <c r="Z899" s="46"/>
      <c r="AA899" s="46"/>
      <c r="AB899" s="46"/>
    </row>
    <row r="900" hidden="1">
      <c r="A900" s="90" t="s">
        <v>1117</v>
      </c>
      <c r="B900" s="91" t="str">
        <f>IFERROR(VLOOKUP(A900,'Salary Calculation'!A900:F1897,2,0),"")</f>
        <v/>
      </c>
      <c r="C900" s="91" t="str">
        <f>IFERROR(VLOOKUP(A900,'Salary Calculation'!$A$2:$T$999,3,0),"")</f>
        <v/>
      </c>
      <c r="D900" s="91" t="str">
        <f>IFERROR(VLOOKUP(A900,'Salary Calculation'!$A$2:$T$999,6,0),"")</f>
        <v/>
      </c>
      <c r="E900" s="91" t="str">
        <f>IFERROR(VLOOKUP(A900,'Salary Calculation'!$A$2:$T$999,8,0),"")</f>
        <v/>
      </c>
      <c r="F900" s="92" t="str">
        <f>IFERROR(VLOOKUP(C900,'Employees List'!$B$2:H999,6,0),"")</f>
        <v/>
      </c>
      <c r="G900" s="93" t="str">
        <f>IFERROR(VLOOKUP(A900,'Salary Calculation'!$A$2:$T$999,7,0),"")</f>
        <v/>
      </c>
      <c r="H900" s="94"/>
      <c r="I900" s="46"/>
      <c r="J900" s="46"/>
      <c r="K900" s="46"/>
      <c r="L900" s="46"/>
      <c r="M900" s="46"/>
      <c r="N900" s="46"/>
      <c r="O900" s="46"/>
      <c r="P900" s="46"/>
      <c r="Q900" s="46"/>
      <c r="R900" s="46"/>
      <c r="S900" s="46"/>
      <c r="T900" s="46"/>
      <c r="U900" s="46"/>
      <c r="V900" s="46"/>
      <c r="W900" s="46"/>
      <c r="X900" s="46"/>
      <c r="Y900" s="46"/>
      <c r="Z900" s="46"/>
      <c r="AA900" s="46"/>
      <c r="AB900" s="46"/>
    </row>
    <row r="901" hidden="1">
      <c r="A901" s="90" t="s">
        <v>1118</v>
      </c>
      <c r="B901" s="91" t="str">
        <f>IFERROR(VLOOKUP(A901,'Salary Calculation'!A901:F1898,2,0),"")</f>
        <v/>
      </c>
      <c r="C901" s="91" t="str">
        <f>IFERROR(VLOOKUP(A901,'Salary Calculation'!$A$2:$T$999,3,0),"")</f>
        <v/>
      </c>
      <c r="D901" s="91" t="str">
        <f>IFERROR(VLOOKUP(A901,'Salary Calculation'!$A$2:$T$999,6,0),"")</f>
        <v/>
      </c>
      <c r="E901" s="91" t="str">
        <f>IFERROR(VLOOKUP(A901,'Salary Calculation'!$A$2:$T$999,8,0),"")</f>
        <v/>
      </c>
      <c r="F901" s="92" t="str">
        <f>IFERROR(VLOOKUP(C901,'Employees List'!$B$2:H999,6,0),"")</f>
        <v/>
      </c>
      <c r="G901" s="93" t="str">
        <f>IFERROR(VLOOKUP(A901,'Salary Calculation'!$A$2:$T$999,7,0),"")</f>
        <v/>
      </c>
      <c r="H901" s="94"/>
      <c r="I901" s="46"/>
      <c r="J901" s="46"/>
      <c r="K901" s="46"/>
      <c r="L901" s="46"/>
      <c r="M901" s="46"/>
      <c r="N901" s="46"/>
      <c r="O901" s="46"/>
      <c r="P901" s="46"/>
      <c r="Q901" s="46"/>
      <c r="R901" s="46"/>
      <c r="S901" s="46"/>
      <c r="T901" s="46"/>
      <c r="U901" s="46"/>
      <c r="V901" s="46"/>
      <c r="W901" s="46"/>
      <c r="X901" s="46"/>
      <c r="Y901" s="46"/>
      <c r="Z901" s="46"/>
      <c r="AA901" s="46"/>
      <c r="AB901" s="46"/>
    </row>
    <row r="902" hidden="1">
      <c r="A902" s="90" t="s">
        <v>1119</v>
      </c>
      <c r="B902" s="91" t="str">
        <f>IFERROR(VLOOKUP(A902,'Salary Calculation'!A902:F1899,2,0),"")</f>
        <v/>
      </c>
      <c r="C902" s="91" t="str">
        <f>IFERROR(VLOOKUP(A902,'Salary Calculation'!$A$2:$T$999,3,0),"")</f>
        <v/>
      </c>
      <c r="D902" s="91" t="str">
        <f>IFERROR(VLOOKUP(A902,'Salary Calculation'!$A$2:$T$999,6,0),"")</f>
        <v/>
      </c>
      <c r="E902" s="91" t="str">
        <f>IFERROR(VLOOKUP(A902,'Salary Calculation'!$A$2:$T$999,8,0),"")</f>
        <v/>
      </c>
      <c r="F902" s="92" t="str">
        <f>IFERROR(VLOOKUP(C902,'Employees List'!$B$2:H999,6,0),"")</f>
        <v/>
      </c>
      <c r="G902" s="93" t="str">
        <f>IFERROR(VLOOKUP(A902,'Salary Calculation'!$A$2:$T$999,7,0),"")</f>
        <v/>
      </c>
      <c r="H902" s="94"/>
      <c r="I902" s="46"/>
      <c r="J902" s="46"/>
      <c r="K902" s="46"/>
      <c r="L902" s="46"/>
      <c r="M902" s="46"/>
      <c r="N902" s="46"/>
      <c r="O902" s="46"/>
      <c r="P902" s="46"/>
      <c r="Q902" s="46"/>
      <c r="R902" s="46"/>
      <c r="S902" s="46"/>
      <c r="T902" s="46"/>
      <c r="U902" s="46"/>
      <c r="V902" s="46"/>
      <c r="W902" s="46"/>
      <c r="X902" s="46"/>
      <c r="Y902" s="46"/>
      <c r="Z902" s="46"/>
      <c r="AA902" s="46"/>
      <c r="AB902" s="46"/>
    </row>
    <row r="903" hidden="1">
      <c r="A903" s="90" t="s">
        <v>1120</v>
      </c>
      <c r="B903" s="91" t="str">
        <f>IFERROR(VLOOKUP(A903,'Salary Calculation'!A903:F1900,2,0),"")</f>
        <v/>
      </c>
      <c r="C903" s="91" t="str">
        <f>IFERROR(VLOOKUP(A903,'Salary Calculation'!$A$2:$T$999,3,0),"")</f>
        <v/>
      </c>
      <c r="D903" s="91" t="str">
        <f>IFERROR(VLOOKUP(A903,'Salary Calculation'!$A$2:$T$999,6,0),"")</f>
        <v/>
      </c>
      <c r="E903" s="91" t="str">
        <f>IFERROR(VLOOKUP(A903,'Salary Calculation'!$A$2:$T$999,8,0),"")</f>
        <v/>
      </c>
      <c r="F903" s="92" t="str">
        <f>IFERROR(VLOOKUP(C903,'Employees List'!$B$2:H999,6,0),"")</f>
        <v/>
      </c>
      <c r="G903" s="93" t="str">
        <f>IFERROR(VLOOKUP(A903,'Salary Calculation'!$A$2:$T$999,7,0),"")</f>
        <v/>
      </c>
      <c r="H903" s="94"/>
      <c r="I903" s="46"/>
      <c r="J903" s="46"/>
      <c r="K903" s="46"/>
      <c r="L903" s="46"/>
      <c r="M903" s="46"/>
      <c r="N903" s="46"/>
      <c r="O903" s="46"/>
      <c r="P903" s="46"/>
      <c r="Q903" s="46"/>
      <c r="R903" s="46"/>
      <c r="S903" s="46"/>
      <c r="T903" s="46"/>
      <c r="U903" s="46"/>
      <c r="V903" s="46"/>
      <c r="W903" s="46"/>
      <c r="X903" s="46"/>
      <c r="Y903" s="46"/>
      <c r="Z903" s="46"/>
      <c r="AA903" s="46"/>
      <c r="AB903" s="46"/>
    </row>
    <row r="904" hidden="1">
      <c r="A904" s="90" t="s">
        <v>1121</v>
      </c>
      <c r="B904" s="91" t="str">
        <f>IFERROR(VLOOKUP(A904,'Salary Calculation'!A904:F1901,2,0),"")</f>
        <v/>
      </c>
      <c r="C904" s="91" t="str">
        <f>IFERROR(VLOOKUP(A904,'Salary Calculation'!$A$2:$T$999,3,0),"")</f>
        <v/>
      </c>
      <c r="D904" s="91" t="str">
        <f>IFERROR(VLOOKUP(A904,'Salary Calculation'!$A$2:$T$999,6,0),"")</f>
        <v/>
      </c>
      <c r="E904" s="91" t="str">
        <f>IFERROR(VLOOKUP(A904,'Salary Calculation'!$A$2:$T$999,8,0),"")</f>
        <v/>
      </c>
      <c r="F904" s="92" t="str">
        <f>IFERROR(VLOOKUP(C904,'Employees List'!$B$2:H999,6,0),"")</f>
        <v/>
      </c>
      <c r="G904" s="93" t="str">
        <f>IFERROR(VLOOKUP(A904,'Salary Calculation'!$A$2:$T$999,7,0),"")</f>
        <v/>
      </c>
      <c r="H904" s="94"/>
      <c r="I904" s="46"/>
      <c r="J904" s="46"/>
      <c r="K904" s="46"/>
      <c r="L904" s="46"/>
      <c r="M904" s="46"/>
      <c r="N904" s="46"/>
      <c r="O904" s="46"/>
      <c r="P904" s="46"/>
      <c r="Q904" s="46"/>
      <c r="R904" s="46"/>
      <c r="S904" s="46"/>
      <c r="T904" s="46"/>
      <c r="U904" s="46"/>
      <c r="V904" s="46"/>
      <c r="W904" s="46"/>
      <c r="X904" s="46"/>
      <c r="Y904" s="46"/>
      <c r="Z904" s="46"/>
      <c r="AA904" s="46"/>
      <c r="AB904" s="46"/>
    </row>
    <row r="905" hidden="1">
      <c r="A905" s="90" t="s">
        <v>1122</v>
      </c>
      <c r="B905" s="91" t="str">
        <f>IFERROR(VLOOKUP(A905,'Salary Calculation'!A905:F1902,2,0),"")</f>
        <v/>
      </c>
      <c r="C905" s="91" t="str">
        <f>IFERROR(VLOOKUP(A905,'Salary Calculation'!$A$2:$T$999,3,0),"")</f>
        <v/>
      </c>
      <c r="D905" s="91" t="str">
        <f>IFERROR(VLOOKUP(A905,'Salary Calculation'!$A$2:$T$999,6,0),"")</f>
        <v/>
      </c>
      <c r="E905" s="91" t="str">
        <f>IFERROR(VLOOKUP(A905,'Salary Calculation'!$A$2:$T$999,8,0),"")</f>
        <v/>
      </c>
      <c r="F905" s="92" t="str">
        <f>IFERROR(VLOOKUP(C905,'Employees List'!$B$2:H999,6,0),"")</f>
        <v/>
      </c>
      <c r="G905" s="93" t="str">
        <f>IFERROR(VLOOKUP(A905,'Salary Calculation'!$A$2:$T$999,7,0),"")</f>
        <v/>
      </c>
      <c r="H905" s="94"/>
      <c r="I905" s="46"/>
      <c r="J905" s="46"/>
      <c r="K905" s="46"/>
      <c r="L905" s="46"/>
      <c r="M905" s="46"/>
      <c r="N905" s="46"/>
      <c r="O905" s="46"/>
      <c r="P905" s="46"/>
      <c r="Q905" s="46"/>
      <c r="R905" s="46"/>
      <c r="S905" s="46"/>
      <c r="T905" s="46"/>
      <c r="U905" s="46"/>
      <c r="V905" s="46"/>
      <c r="W905" s="46"/>
      <c r="X905" s="46"/>
      <c r="Y905" s="46"/>
      <c r="Z905" s="46"/>
      <c r="AA905" s="46"/>
      <c r="AB905" s="46"/>
    </row>
    <row r="906" hidden="1">
      <c r="A906" s="90" t="s">
        <v>1123</v>
      </c>
      <c r="B906" s="91" t="str">
        <f>IFERROR(VLOOKUP(A906,'Salary Calculation'!A906:F1903,2,0),"")</f>
        <v/>
      </c>
      <c r="C906" s="91" t="str">
        <f>IFERROR(VLOOKUP(A906,'Salary Calculation'!$A$2:$T$999,3,0),"")</f>
        <v/>
      </c>
      <c r="D906" s="91" t="str">
        <f>IFERROR(VLOOKUP(A906,'Salary Calculation'!$A$2:$T$999,6,0),"")</f>
        <v/>
      </c>
      <c r="E906" s="91" t="str">
        <f>IFERROR(VLOOKUP(A906,'Salary Calculation'!$A$2:$T$999,8,0),"")</f>
        <v/>
      </c>
      <c r="F906" s="92" t="str">
        <f>IFERROR(VLOOKUP(C906,'Employees List'!$B$2:H999,6,0),"")</f>
        <v/>
      </c>
      <c r="G906" s="93" t="str">
        <f>IFERROR(VLOOKUP(A906,'Salary Calculation'!$A$2:$T$999,7,0),"")</f>
        <v/>
      </c>
      <c r="H906" s="94"/>
      <c r="I906" s="46"/>
      <c r="J906" s="46"/>
      <c r="K906" s="46"/>
      <c r="L906" s="46"/>
      <c r="M906" s="46"/>
      <c r="N906" s="46"/>
      <c r="O906" s="46"/>
      <c r="P906" s="46"/>
      <c r="Q906" s="46"/>
      <c r="R906" s="46"/>
      <c r="S906" s="46"/>
      <c r="T906" s="46"/>
      <c r="U906" s="46"/>
      <c r="V906" s="46"/>
      <c r="W906" s="46"/>
      <c r="X906" s="46"/>
      <c r="Y906" s="46"/>
      <c r="Z906" s="46"/>
      <c r="AA906" s="46"/>
      <c r="AB906" s="46"/>
    </row>
    <row r="907" hidden="1">
      <c r="A907" s="90" t="s">
        <v>1124</v>
      </c>
      <c r="B907" s="91" t="str">
        <f>IFERROR(VLOOKUP(A907,'Salary Calculation'!A907:F1904,2,0),"")</f>
        <v/>
      </c>
      <c r="C907" s="91" t="str">
        <f>IFERROR(VLOOKUP(A907,'Salary Calculation'!$A$2:$T$999,3,0),"")</f>
        <v/>
      </c>
      <c r="D907" s="91" t="str">
        <f>IFERROR(VLOOKUP(A907,'Salary Calculation'!$A$2:$T$999,6,0),"")</f>
        <v/>
      </c>
      <c r="E907" s="91" t="str">
        <f>IFERROR(VLOOKUP(A907,'Salary Calculation'!$A$2:$T$999,8,0),"")</f>
        <v/>
      </c>
      <c r="F907" s="92" t="str">
        <f>IFERROR(VLOOKUP(C907,'Employees List'!$B$2:H999,6,0),"")</f>
        <v/>
      </c>
      <c r="G907" s="93" t="str">
        <f>IFERROR(VLOOKUP(A907,'Salary Calculation'!$A$2:$T$999,7,0),"")</f>
        <v/>
      </c>
      <c r="H907" s="94"/>
      <c r="I907" s="46"/>
      <c r="J907" s="46"/>
      <c r="K907" s="46"/>
      <c r="L907" s="46"/>
      <c r="M907" s="46"/>
      <c r="N907" s="46"/>
      <c r="O907" s="46"/>
      <c r="P907" s="46"/>
      <c r="Q907" s="46"/>
      <c r="R907" s="46"/>
      <c r="S907" s="46"/>
      <c r="T907" s="46"/>
      <c r="U907" s="46"/>
      <c r="V907" s="46"/>
      <c r="W907" s="46"/>
      <c r="X907" s="46"/>
      <c r="Y907" s="46"/>
      <c r="Z907" s="46"/>
      <c r="AA907" s="46"/>
      <c r="AB907" s="46"/>
    </row>
    <row r="908" hidden="1">
      <c r="A908" s="90" t="s">
        <v>1125</v>
      </c>
      <c r="B908" s="91" t="str">
        <f>IFERROR(VLOOKUP(A908,'Salary Calculation'!A908:F1905,2,0),"")</f>
        <v/>
      </c>
      <c r="C908" s="91" t="str">
        <f>IFERROR(VLOOKUP(A908,'Salary Calculation'!$A$2:$T$999,3,0),"")</f>
        <v/>
      </c>
      <c r="D908" s="91" t="str">
        <f>IFERROR(VLOOKUP(A908,'Salary Calculation'!$A$2:$T$999,6,0),"")</f>
        <v/>
      </c>
      <c r="E908" s="91" t="str">
        <f>IFERROR(VLOOKUP(A908,'Salary Calculation'!$A$2:$T$999,8,0),"")</f>
        <v/>
      </c>
      <c r="F908" s="92" t="str">
        <f>IFERROR(VLOOKUP(C908,'Employees List'!$B$2:H999,6,0),"")</f>
        <v/>
      </c>
      <c r="G908" s="93" t="str">
        <f>IFERROR(VLOOKUP(A908,'Salary Calculation'!$A$2:$T$999,7,0),"")</f>
        <v/>
      </c>
      <c r="H908" s="94"/>
      <c r="I908" s="46"/>
      <c r="J908" s="46"/>
      <c r="K908" s="46"/>
      <c r="L908" s="46"/>
      <c r="M908" s="46"/>
      <c r="N908" s="46"/>
      <c r="O908" s="46"/>
      <c r="P908" s="46"/>
      <c r="Q908" s="46"/>
      <c r="R908" s="46"/>
      <c r="S908" s="46"/>
      <c r="T908" s="46"/>
      <c r="U908" s="46"/>
      <c r="V908" s="46"/>
      <c r="W908" s="46"/>
      <c r="X908" s="46"/>
      <c r="Y908" s="46"/>
      <c r="Z908" s="46"/>
      <c r="AA908" s="46"/>
      <c r="AB908" s="46"/>
    </row>
    <row r="909" hidden="1">
      <c r="A909" s="90" t="s">
        <v>1126</v>
      </c>
      <c r="B909" s="91" t="str">
        <f>IFERROR(VLOOKUP(A909,'Salary Calculation'!A909:F1906,2,0),"")</f>
        <v/>
      </c>
      <c r="C909" s="91" t="str">
        <f>IFERROR(VLOOKUP(A909,'Salary Calculation'!$A$2:$T$999,3,0),"")</f>
        <v/>
      </c>
      <c r="D909" s="91" t="str">
        <f>IFERROR(VLOOKUP(A909,'Salary Calculation'!$A$2:$T$999,6,0),"")</f>
        <v/>
      </c>
      <c r="E909" s="91" t="str">
        <f>IFERROR(VLOOKUP(A909,'Salary Calculation'!$A$2:$T$999,8,0),"")</f>
        <v/>
      </c>
      <c r="F909" s="92" t="str">
        <f>IFERROR(VLOOKUP(C909,'Employees List'!$B$2:H999,6,0),"")</f>
        <v/>
      </c>
      <c r="G909" s="93" t="str">
        <f>IFERROR(VLOOKUP(A909,'Salary Calculation'!$A$2:$T$999,7,0),"")</f>
        <v/>
      </c>
      <c r="H909" s="94"/>
      <c r="I909" s="46"/>
      <c r="J909" s="46"/>
      <c r="K909" s="46"/>
      <c r="L909" s="46"/>
      <c r="M909" s="46"/>
      <c r="N909" s="46"/>
      <c r="O909" s="46"/>
      <c r="P909" s="46"/>
      <c r="Q909" s="46"/>
      <c r="R909" s="46"/>
      <c r="S909" s="46"/>
      <c r="T909" s="46"/>
      <c r="U909" s="46"/>
      <c r="V909" s="46"/>
      <c r="W909" s="46"/>
      <c r="X909" s="46"/>
      <c r="Y909" s="46"/>
      <c r="Z909" s="46"/>
      <c r="AA909" s="46"/>
      <c r="AB909" s="46"/>
    </row>
    <row r="910" hidden="1">
      <c r="A910" s="90" t="s">
        <v>1127</v>
      </c>
      <c r="B910" s="91" t="str">
        <f>IFERROR(VLOOKUP(A910,'Salary Calculation'!A910:F1907,2,0),"")</f>
        <v/>
      </c>
      <c r="C910" s="91" t="str">
        <f>IFERROR(VLOOKUP(A910,'Salary Calculation'!$A$2:$T$999,3,0),"")</f>
        <v/>
      </c>
      <c r="D910" s="91" t="str">
        <f>IFERROR(VLOOKUP(A910,'Salary Calculation'!$A$2:$T$999,6,0),"")</f>
        <v/>
      </c>
      <c r="E910" s="91" t="str">
        <f>IFERROR(VLOOKUP(A910,'Salary Calculation'!$A$2:$T$999,8,0),"")</f>
        <v/>
      </c>
      <c r="F910" s="92" t="str">
        <f>IFERROR(VLOOKUP(C910,'Employees List'!$B$2:H999,6,0),"")</f>
        <v/>
      </c>
      <c r="G910" s="93" t="str">
        <f>IFERROR(VLOOKUP(A910,'Salary Calculation'!$A$2:$T$999,7,0),"")</f>
        <v/>
      </c>
      <c r="H910" s="94"/>
      <c r="I910" s="46"/>
      <c r="J910" s="46"/>
      <c r="K910" s="46"/>
      <c r="L910" s="46"/>
      <c r="M910" s="46"/>
      <c r="N910" s="46"/>
      <c r="O910" s="46"/>
      <c r="P910" s="46"/>
      <c r="Q910" s="46"/>
      <c r="R910" s="46"/>
      <c r="S910" s="46"/>
      <c r="T910" s="46"/>
      <c r="U910" s="46"/>
      <c r="V910" s="46"/>
      <c r="W910" s="46"/>
      <c r="X910" s="46"/>
      <c r="Y910" s="46"/>
      <c r="Z910" s="46"/>
      <c r="AA910" s="46"/>
      <c r="AB910" s="46"/>
    </row>
    <row r="911" hidden="1">
      <c r="A911" s="90" t="s">
        <v>1128</v>
      </c>
      <c r="B911" s="91" t="str">
        <f>IFERROR(VLOOKUP(A911,'Salary Calculation'!A911:F1908,2,0),"")</f>
        <v/>
      </c>
      <c r="C911" s="91" t="str">
        <f>IFERROR(VLOOKUP(A911,'Salary Calculation'!$A$2:$T$999,3,0),"")</f>
        <v/>
      </c>
      <c r="D911" s="91" t="str">
        <f>IFERROR(VLOOKUP(A911,'Salary Calculation'!$A$2:$T$999,6,0),"")</f>
        <v/>
      </c>
      <c r="E911" s="91" t="str">
        <f>IFERROR(VLOOKUP(A911,'Salary Calculation'!$A$2:$T$999,8,0),"")</f>
        <v/>
      </c>
      <c r="F911" s="92" t="str">
        <f>IFERROR(VLOOKUP(C911,'Employees List'!$B$2:H999,6,0),"")</f>
        <v/>
      </c>
      <c r="G911" s="93" t="str">
        <f>IFERROR(VLOOKUP(A911,'Salary Calculation'!$A$2:$T$999,7,0),"")</f>
        <v/>
      </c>
      <c r="H911" s="94"/>
      <c r="I911" s="46"/>
      <c r="J911" s="46"/>
      <c r="K911" s="46"/>
      <c r="L911" s="46"/>
      <c r="M911" s="46"/>
      <c r="N911" s="46"/>
      <c r="O911" s="46"/>
      <c r="P911" s="46"/>
      <c r="Q911" s="46"/>
      <c r="R911" s="46"/>
      <c r="S911" s="46"/>
      <c r="T911" s="46"/>
      <c r="U911" s="46"/>
      <c r="V911" s="46"/>
      <c r="W911" s="46"/>
      <c r="X911" s="46"/>
      <c r="Y911" s="46"/>
      <c r="Z911" s="46"/>
      <c r="AA911" s="46"/>
      <c r="AB911" s="46"/>
    </row>
    <row r="912" hidden="1">
      <c r="A912" s="90" t="s">
        <v>1129</v>
      </c>
      <c r="B912" s="91" t="str">
        <f>IFERROR(VLOOKUP(A912,'Salary Calculation'!A912:F1909,2,0),"")</f>
        <v/>
      </c>
      <c r="C912" s="91" t="str">
        <f>IFERROR(VLOOKUP(A912,'Salary Calculation'!$A$2:$T$999,3,0),"")</f>
        <v/>
      </c>
      <c r="D912" s="91" t="str">
        <f>IFERROR(VLOOKUP(A912,'Salary Calculation'!$A$2:$T$999,6,0),"")</f>
        <v/>
      </c>
      <c r="E912" s="91" t="str">
        <f>IFERROR(VLOOKUP(A912,'Salary Calculation'!$A$2:$T$999,8,0),"")</f>
        <v/>
      </c>
      <c r="F912" s="92" t="str">
        <f>IFERROR(VLOOKUP(C912,'Employees List'!$B$2:H999,6,0),"")</f>
        <v/>
      </c>
      <c r="G912" s="93" t="str">
        <f>IFERROR(VLOOKUP(A912,'Salary Calculation'!$A$2:$T$999,7,0),"")</f>
        <v/>
      </c>
      <c r="H912" s="94"/>
      <c r="I912" s="46"/>
      <c r="J912" s="46"/>
      <c r="K912" s="46"/>
      <c r="L912" s="46"/>
      <c r="M912" s="46"/>
      <c r="N912" s="46"/>
      <c r="O912" s="46"/>
      <c r="P912" s="46"/>
      <c r="Q912" s="46"/>
      <c r="R912" s="46"/>
      <c r="S912" s="46"/>
      <c r="T912" s="46"/>
      <c r="U912" s="46"/>
      <c r="V912" s="46"/>
      <c r="W912" s="46"/>
      <c r="X912" s="46"/>
      <c r="Y912" s="46"/>
      <c r="Z912" s="46"/>
      <c r="AA912" s="46"/>
      <c r="AB912" s="46"/>
    </row>
    <row r="913" hidden="1">
      <c r="A913" s="90" t="s">
        <v>1130</v>
      </c>
      <c r="B913" s="91" t="str">
        <f>IFERROR(VLOOKUP(A913,'Salary Calculation'!A913:F1910,2,0),"")</f>
        <v/>
      </c>
      <c r="C913" s="91" t="str">
        <f>IFERROR(VLOOKUP(A913,'Salary Calculation'!$A$2:$T$999,3,0),"")</f>
        <v/>
      </c>
      <c r="D913" s="91" t="str">
        <f>IFERROR(VLOOKUP(A913,'Salary Calculation'!$A$2:$T$999,6,0),"")</f>
        <v/>
      </c>
      <c r="E913" s="91" t="str">
        <f>IFERROR(VLOOKUP(A913,'Salary Calculation'!$A$2:$T$999,8,0),"")</f>
        <v/>
      </c>
      <c r="F913" s="92" t="str">
        <f>IFERROR(VLOOKUP(C913,'Employees List'!$B$2:H999,6,0),"")</f>
        <v/>
      </c>
      <c r="G913" s="93" t="str">
        <f>IFERROR(VLOOKUP(A913,'Salary Calculation'!$A$2:$T$999,7,0),"")</f>
        <v/>
      </c>
      <c r="H913" s="94"/>
      <c r="I913" s="46"/>
      <c r="J913" s="46"/>
      <c r="K913" s="46"/>
      <c r="L913" s="46"/>
      <c r="M913" s="46"/>
      <c r="N913" s="46"/>
      <c r="O913" s="46"/>
      <c r="P913" s="46"/>
      <c r="Q913" s="46"/>
      <c r="R913" s="46"/>
      <c r="S913" s="46"/>
      <c r="T913" s="46"/>
      <c r="U913" s="46"/>
      <c r="V913" s="46"/>
      <c r="W913" s="46"/>
      <c r="X913" s="46"/>
      <c r="Y913" s="46"/>
      <c r="Z913" s="46"/>
      <c r="AA913" s="46"/>
      <c r="AB913" s="46"/>
    </row>
    <row r="914" hidden="1">
      <c r="A914" s="90" t="s">
        <v>1131</v>
      </c>
      <c r="B914" s="91" t="str">
        <f>IFERROR(VLOOKUP(A914,'Salary Calculation'!A914:F1911,2,0),"")</f>
        <v/>
      </c>
      <c r="C914" s="91" t="str">
        <f>IFERROR(VLOOKUP(A914,'Salary Calculation'!$A$2:$T$999,3,0),"")</f>
        <v/>
      </c>
      <c r="D914" s="91" t="str">
        <f>IFERROR(VLOOKUP(A914,'Salary Calculation'!$A$2:$T$999,6,0),"")</f>
        <v/>
      </c>
      <c r="E914" s="91" t="str">
        <f>IFERROR(VLOOKUP(A914,'Salary Calculation'!$A$2:$T$999,8,0),"")</f>
        <v/>
      </c>
      <c r="F914" s="92" t="str">
        <f>IFERROR(VLOOKUP(C914,'Employees List'!$B$2:H999,6,0),"")</f>
        <v/>
      </c>
      <c r="G914" s="93" t="str">
        <f>IFERROR(VLOOKUP(A914,'Salary Calculation'!$A$2:$T$999,7,0),"")</f>
        <v/>
      </c>
      <c r="H914" s="94"/>
      <c r="I914" s="46"/>
      <c r="J914" s="46"/>
      <c r="K914" s="46"/>
      <c r="L914" s="46"/>
      <c r="M914" s="46"/>
      <c r="N914" s="46"/>
      <c r="O914" s="46"/>
      <c r="P914" s="46"/>
      <c r="Q914" s="46"/>
      <c r="R914" s="46"/>
      <c r="S914" s="46"/>
      <c r="T914" s="46"/>
      <c r="U914" s="46"/>
      <c r="V914" s="46"/>
      <c r="W914" s="46"/>
      <c r="X914" s="46"/>
      <c r="Y914" s="46"/>
      <c r="Z914" s="46"/>
      <c r="AA914" s="46"/>
      <c r="AB914" s="46"/>
    </row>
    <row r="915" hidden="1">
      <c r="A915" s="90" t="s">
        <v>1132</v>
      </c>
      <c r="B915" s="91" t="str">
        <f>IFERROR(VLOOKUP(A915,'Salary Calculation'!A915:F1912,2,0),"")</f>
        <v/>
      </c>
      <c r="C915" s="91" t="str">
        <f>IFERROR(VLOOKUP(A915,'Salary Calculation'!$A$2:$T$999,3,0),"")</f>
        <v/>
      </c>
      <c r="D915" s="91" t="str">
        <f>IFERROR(VLOOKUP(A915,'Salary Calculation'!$A$2:$T$999,6,0),"")</f>
        <v/>
      </c>
      <c r="E915" s="91" t="str">
        <f>IFERROR(VLOOKUP(A915,'Salary Calculation'!$A$2:$T$999,8,0),"")</f>
        <v/>
      </c>
      <c r="F915" s="92" t="str">
        <f>IFERROR(VLOOKUP(C915,'Employees List'!$B$2:H999,6,0),"")</f>
        <v/>
      </c>
      <c r="G915" s="93" t="str">
        <f>IFERROR(VLOOKUP(A915,'Salary Calculation'!$A$2:$T$999,7,0),"")</f>
        <v/>
      </c>
      <c r="H915" s="94"/>
      <c r="I915" s="46"/>
      <c r="J915" s="46"/>
      <c r="K915" s="46"/>
      <c r="L915" s="46"/>
      <c r="M915" s="46"/>
      <c r="N915" s="46"/>
      <c r="O915" s="46"/>
      <c r="P915" s="46"/>
      <c r="Q915" s="46"/>
      <c r="R915" s="46"/>
      <c r="S915" s="46"/>
      <c r="T915" s="46"/>
      <c r="U915" s="46"/>
      <c r="V915" s="46"/>
      <c r="W915" s="46"/>
      <c r="X915" s="46"/>
      <c r="Y915" s="46"/>
      <c r="Z915" s="46"/>
      <c r="AA915" s="46"/>
      <c r="AB915" s="46"/>
    </row>
    <row r="916" hidden="1">
      <c r="A916" s="90" t="s">
        <v>1133</v>
      </c>
      <c r="B916" s="91" t="str">
        <f>IFERROR(VLOOKUP(A916,'Salary Calculation'!A916:F1913,2,0),"")</f>
        <v/>
      </c>
      <c r="C916" s="91" t="str">
        <f>IFERROR(VLOOKUP(A916,'Salary Calculation'!$A$2:$T$999,3,0),"")</f>
        <v/>
      </c>
      <c r="D916" s="91" t="str">
        <f>IFERROR(VLOOKUP(A916,'Salary Calculation'!$A$2:$T$999,6,0),"")</f>
        <v/>
      </c>
      <c r="E916" s="91" t="str">
        <f>IFERROR(VLOOKUP(A916,'Salary Calculation'!$A$2:$T$999,8,0),"")</f>
        <v/>
      </c>
      <c r="F916" s="92" t="str">
        <f>IFERROR(VLOOKUP(C916,'Employees List'!$B$2:H999,6,0),"")</f>
        <v/>
      </c>
      <c r="G916" s="93" t="str">
        <f>IFERROR(VLOOKUP(A916,'Salary Calculation'!$A$2:$T$999,7,0),"")</f>
        <v/>
      </c>
      <c r="H916" s="94"/>
      <c r="I916" s="46"/>
      <c r="J916" s="46"/>
      <c r="K916" s="46"/>
      <c r="L916" s="46"/>
      <c r="M916" s="46"/>
      <c r="N916" s="46"/>
      <c r="O916" s="46"/>
      <c r="P916" s="46"/>
      <c r="Q916" s="46"/>
      <c r="R916" s="46"/>
      <c r="S916" s="46"/>
      <c r="T916" s="46"/>
      <c r="U916" s="46"/>
      <c r="V916" s="46"/>
      <c r="W916" s="46"/>
      <c r="X916" s="46"/>
      <c r="Y916" s="46"/>
      <c r="Z916" s="46"/>
      <c r="AA916" s="46"/>
      <c r="AB916" s="46"/>
    </row>
    <row r="917" hidden="1">
      <c r="A917" s="90" t="s">
        <v>1134</v>
      </c>
      <c r="B917" s="91" t="str">
        <f>IFERROR(VLOOKUP(A917,'Salary Calculation'!A917:F1914,2,0),"")</f>
        <v/>
      </c>
      <c r="C917" s="91" t="str">
        <f>IFERROR(VLOOKUP(A917,'Salary Calculation'!$A$2:$T$999,3,0),"")</f>
        <v/>
      </c>
      <c r="D917" s="91" t="str">
        <f>IFERROR(VLOOKUP(A917,'Salary Calculation'!$A$2:$T$999,6,0),"")</f>
        <v/>
      </c>
      <c r="E917" s="91" t="str">
        <f>IFERROR(VLOOKUP(A917,'Salary Calculation'!$A$2:$T$999,8,0),"")</f>
        <v/>
      </c>
      <c r="F917" s="92" t="str">
        <f>IFERROR(VLOOKUP(C917,'Employees List'!$B$2:H999,6,0),"")</f>
        <v/>
      </c>
      <c r="G917" s="93" t="str">
        <f>IFERROR(VLOOKUP(A917,'Salary Calculation'!$A$2:$T$999,7,0),"")</f>
        <v/>
      </c>
      <c r="H917" s="94"/>
      <c r="I917" s="46"/>
      <c r="J917" s="46"/>
      <c r="K917" s="46"/>
      <c r="L917" s="46"/>
      <c r="M917" s="46"/>
      <c r="N917" s="46"/>
      <c r="O917" s="46"/>
      <c r="P917" s="46"/>
      <c r="Q917" s="46"/>
      <c r="R917" s="46"/>
      <c r="S917" s="46"/>
      <c r="T917" s="46"/>
      <c r="U917" s="46"/>
      <c r="V917" s="46"/>
      <c r="W917" s="46"/>
      <c r="X917" s="46"/>
      <c r="Y917" s="46"/>
      <c r="Z917" s="46"/>
      <c r="AA917" s="46"/>
      <c r="AB917" s="46"/>
    </row>
    <row r="918" hidden="1">
      <c r="A918" s="90" t="s">
        <v>1135</v>
      </c>
      <c r="B918" s="91" t="str">
        <f>IFERROR(VLOOKUP(A918,'Salary Calculation'!A918:F1915,2,0),"")</f>
        <v/>
      </c>
      <c r="C918" s="91" t="str">
        <f>IFERROR(VLOOKUP(A918,'Salary Calculation'!$A$2:$T$999,3,0),"")</f>
        <v/>
      </c>
      <c r="D918" s="91" t="str">
        <f>IFERROR(VLOOKUP(A918,'Salary Calculation'!$A$2:$T$999,6,0),"")</f>
        <v/>
      </c>
      <c r="E918" s="91" t="str">
        <f>IFERROR(VLOOKUP(A918,'Salary Calculation'!$A$2:$T$999,8,0),"")</f>
        <v/>
      </c>
      <c r="F918" s="92" t="str">
        <f>IFERROR(VLOOKUP(C918,'Employees List'!$B$2:H999,6,0),"")</f>
        <v/>
      </c>
      <c r="G918" s="93" t="str">
        <f>IFERROR(VLOOKUP(A918,'Salary Calculation'!$A$2:$T$999,7,0),"")</f>
        <v/>
      </c>
      <c r="H918" s="94"/>
      <c r="I918" s="46"/>
      <c r="J918" s="46"/>
      <c r="K918" s="46"/>
      <c r="L918" s="46"/>
      <c r="M918" s="46"/>
      <c r="N918" s="46"/>
      <c r="O918" s="46"/>
      <c r="P918" s="46"/>
      <c r="Q918" s="46"/>
      <c r="R918" s="46"/>
      <c r="S918" s="46"/>
      <c r="T918" s="46"/>
      <c r="U918" s="46"/>
      <c r="V918" s="46"/>
      <c r="W918" s="46"/>
      <c r="X918" s="46"/>
      <c r="Y918" s="46"/>
      <c r="Z918" s="46"/>
      <c r="AA918" s="46"/>
      <c r="AB918" s="46"/>
    </row>
    <row r="919" hidden="1">
      <c r="A919" s="90" t="s">
        <v>1136</v>
      </c>
      <c r="B919" s="91" t="str">
        <f>IFERROR(VLOOKUP(A919,'Salary Calculation'!A919:F1916,2,0),"")</f>
        <v/>
      </c>
      <c r="C919" s="91" t="str">
        <f>IFERROR(VLOOKUP(A919,'Salary Calculation'!$A$2:$T$999,3,0),"")</f>
        <v/>
      </c>
      <c r="D919" s="91" t="str">
        <f>IFERROR(VLOOKUP(A919,'Salary Calculation'!$A$2:$T$999,6,0),"")</f>
        <v/>
      </c>
      <c r="E919" s="91" t="str">
        <f>IFERROR(VLOOKUP(A919,'Salary Calculation'!$A$2:$T$999,8,0),"")</f>
        <v/>
      </c>
      <c r="F919" s="92" t="str">
        <f>IFERROR(VLOOKUP(C919,'Employees List'!$B$2:H999,6,0),"")</f>
        <v/>
      </c>
      <c r="G919" s="93" t="str">
        <f>IFERROR(VLOOKUP(A919,'Salary Calculation'!$A$2:$T$999,7,0),"")</f>
        <v/>
      </c>
      <c r="H919" s="94"/>
      <c r="I919" s="46"/>
      <c r="J919" s="46"/>
      <c r="K919" s="46"/>
      <c r="L919" s="46"/>
      <c r="M919" s="46"/>
      <c r="N919" s="46"/>
      <c r="O919" s="46"/>
      <c r="P919" s="46"/>
      <c r="Q919" s="46"/>
      <c r="R919" s="46"/>
      <c r="S919" s="46"/>
      <c r="T919" s="46"/>
      <c r="U919" s="46"/>
      <c r="V919" s="46"/>
      <c r="W919" s="46"/>
      <c r="X919" s="46"/>
      <c r="Y919" s="46"/>
      <c r="Z919" s="46"/>
      <c r="AA919" s="46"/>
      <c r="AB919" s="46"/>
    </row>
    <row r="920" hidden="1">
      <c r="A920" s="90" t="s">
        <v>1137</v>
      </c>
      <c r="B920" s="91" t="str">
        <f>IFERROR(VLOOKUP(A920,'Salary Calculation'!A920:F1917,2,0),"")</f>
        <v/>
      </c>
      <c r="C920" s="91" t="str">
        <f>IFERROR(VLOOKUP(A920,'Salary Calculation'!$A$2:$T$999,3,0),"")</f>
        <v/>
      </c>
      <c r="D920" s="91" t="str">
        <f>IFERROR(VLOOKUP(A920,'Salary Calculation'!$A$2:$T$999,6,0),"")</f>
        <v/>
      </c>
      <c r="E920" s="91" t="str">
        <f>IFERROR(VLOOKUP(A920,'Salary Calculation'!$A$2:$T$999,8,0),"")</f>
        <v/>
      </c>
      <c r="F920" s="92" t="str">
        <f>IFERROR(VLOOKUP(C920,'Employees List'!$B$2:H999,6,0),"")</f>
        <v/>
      </c>
      <c r="G920" s="93" t="str">
        <f>IFERROR(VLOOKUP(A920,'Salary Calculation'!$A$2:$T$999,7,0),"")</f>
        <v/>
      </c>
      <c r="H920" s="94"/>
      <c r="I920" s="46"/>
      <c r="J920" s="46"/>
      <c r="K920" s="46"/>
      <c r="L920" s="46"/>
      <c r="M920" s="46"/>
      <c r="N920" s="46"/>
      <c r="O920" s="46"/>
      <c r="P920" s="46"/>
      <c r="Q920" s="46"/>
      <c r="R920" s="46"/>
      <c r="S920" s="46"/>
      <c r="T920" s="46"/>
      <c r="U920" s="46"/>
      <c r="V920" s="46"/>
      <c r="W920" s="46"/>
      <c r="X920" s="46"/>
      <c r="Y920" s="46"/>
      <c r="Z920" s="46"/>
      <c r="AA920" s="46"/>
      <c r="AB920" s="46"/>
    </row>
    <row r="921" hidden="1">
      <c r="A921" s="90" t="s">
        <v>1138</v>
      </c>
      <c r="B921" s="91" t="str">
        <f>IFERROR(VLOOKUP(A921,'Salary Calculation'!A921:F1918,2,0),"")</f>
        <v/>
      </c>
      <c r="C921" s="91" t="str">
        <f>IFERROR(VLOOKUP(A921,'Salary Calculation'!$A$2:$T$999,3,0),"")</f>
        <v/>
      </c>
      <c r="D921" s="91" t="str">
        <f>IFERROR(VLOOKUP(A921,'Salary Calculation'!$A$2:$T$999,6,0),"")</f>
        <v/>
      </c>
      <c r="E921" s="91" t="str">
        <f>IFERROR(VLOOKUP(A921,'Salary Calculation'!$A$2:$T$999,8,0),"")</f>
        <v/>
      </c>
      <c r="F921" s="92" t="str">
        <f>IFERROR(VLOOKUP(C921,'Employees List'!$B$2:H999,6,0),"")</f>
        <v/>
      </c>
      <c r="G921" s="93" t="str">
        <f>IFERROR(VLOOKUP(A921,'Salary Calculation'!$A$2:$T$999,7,0),"")</f>
        <v/>
      </c>
      <c r="H921" s="94"/>
      <c r="I921" s="46"/>
      <c r="J921" s="46"/>
      <c r="K921" s="46"/>
      <c r="L921" s="46"/>
      <c r="M921" s="46"/>
      <c r="N921" s="46"/>
      <c r="O921" s="46"/>
      <c r="P921" s="46"/>
      <c r="Q921" s="46"/>
      <c r="R921" s="46"/>
      <c r="S921" s="46"/>
      <c r="T921" s="46"/>
      <c r="U921" s="46"/>
      <c r="V921" s="46"/>
      <c r="W921" s="46"/>
      <c r="X921" s="46"/>
      <c r="Y921" s="46"/>
      <c r="Z921" s="46"/>
      <c r="AA921" s="46"/>
      <c r="AB921" s="46"/>
    </row>
    <row r="922" hidden="1">
      <c r="A922" s="90" t="s">
        <v>1139</v>
      </c>
      <c r="B922" s="91" t="str">
        <f>IFERROR(VLOOKUP(A922,'Salary Calculation'!A922:F1919,2,0),"")</f>
        <v/>
      </c>
      <c r="C922" s="91" t="str">
        <f>IFERROR(VLOOKUP(A922,'Salary Calculation'!$A$2:$T$999,3,0),"")</f>
        <v/>
      </c>
      <c r="D922" s="91" t="str">
        <f>IFERROR(VLOOKUP(A922,'Salary Calculation'!$A$2:$T$999,6,0),"")</f>
        <v/>
      </c>
      <c r="E922" s="91" t="str">
        <f>IFERROR(VLOOKUP(A922,'Salary Calculation'!$A$2:$T$999,8,0),"")</f>
        <v/>
      </c>
      <c r="F922" s="92" t="str">
        <f>IFERROR(VLOOKUP(C922,'Employees List'!$B$2:H999,6,0),"")</f>
        <v/>
      </c>
      <c r="G922" s="93" t="str">
        <f>IFERROR(VLOOKUP(A922,'Salary Calculation'!$A$2:$T$999,7,0),"")</f>
        <v/>
      </c>
      <c r="H922" s="94"/>
      <c r="I922" s="46"/>
      <c r="J922" s="46"/>
      <c r="K922" s="46"/>
      <c r="L922" s="46"/>
      <c r="M922" s="46"/>
      <c r="N922" s="46"/>
      <c r="O922" s="46"/>
      <c r="P922" s="46"/>
      <c r="Q922" s="46"/>
      <c r="R922" s="46"/>
      <c r="S922" s="46"/>
      <c r="T922" s="46"/>
      <c r="U922" s="46"/>
      <c r="V922" s="46"/>
      <c r="W922" s="46"/>
      <c r="X922" s="46"/>
      <c r="Y922" s="46"/>
      <c r="Z922" s="46"/>
      <c r="AA922" s="46"/>
      <c r="AB922" s="46"/>
    </row>
    <row r="923" hidden="1">
      <c r="A923" s="90" t="s">
        <v>1140</v>
      </c>
      <c r="B923" s="91" t="str">
        <f>IFERROR(VLOOKUP(A923,'Salary Calculation'!A923:F1920,2,0),"")</f>
        <v/>
      </c>
      <c r="C923" s="91" t="str">
        <f>IFERROR(VLOOKUP(A923,'Salary Calculation'!$A$2:$T$999,3,0),"")</f>
        <v/>
      </c>
      <c r="D923" s="91" t="str">
        <f>IFERROR(VLOOKUP(A923,'Salary Calculation'!$A$2:$T$999,6,0),"")</f>
        <v/>
      </c>
      <c r="E923" s="91" t="str">
        <f>IFERROR(VLOOKUP(A923,'Salary Calculation'!$A$2:$T$999,8,0),"")</f>
        <v/>
      </c>
      <c r="F923" s="92" t="str">
        <f>IFERROR(VLOOKUP(C923,'Employees List'!$B$2:H999,6,0),"")</f>
        <v/>
      </c>
      <c r="G923" s="93" t="str">
        <f>IFERROR(VLOOKUP(A923,'Salary Calculation'!$A$2:$T$999,7,0),"")</f>
        <v/>
      </c>
      <c r="H923" s="94"/>
      <c r="I923" s="46"/>
      <c r="J923" s="46"/>
      <c r="K923" s="46"/>
      <c r="L923" s="46"/>
      <c r="M923" s="46"/>
      <c r="N923" s="46"/>
      <c r="O923" s="46"/>
      <c r="P923" s="46"/>
      <c r="Q923" s="46"/>
      <c r="R923" s="46"/>
      <c r="S923" s="46"/>
      <c r="T923" s="46"/>
      <c r="U923" s="46"/>
      <c r="V923" s="46"/>
      <c r="W923" s="46"/>
      <c r="X923" s="46"/>
      <c r="Y923" s="46"/>
      <c r="Z923" s="46"/>
      <c r="AA923" s="46"/>
      <c r="AB923" s="46"/>
    </row>
    <row r="924" hidden="1">
      <c r="A924" s="90" t="s">
        <v>1141</v>
      </c>
      <c r="B924" s="91" t="str">
        <f>IFERROR(VLOOKUP(A924,'Salary Calculation'!A924:F1921,2,0),"")</f>
        <v/>
      </c>
      <c r="C924" s="91" t="str">
        <f>IFERROR(VLOOKUP(A924,'Salary Calculation'!$A$2:$T$999,3,0),"")</f>
        <v/>
      </c>
      <c r="D924" s="91" t="str">
        <f>IFERROR(VLOOKUP(A924,'Salary Calculation'!$A$2:$T$999,6,0),"")</f>
        <v/>
      </c>
      <c r="E924" s="91" t="str">
        <f>IFERROR(VLOOKUP(A924,'Salary Calculation'!$A$2:$T$999,8,0),"")</f>
        <v/>
      </c>
      <c r="F924" s="92" t="str">
        <f>IFERROR(VLOOKUP(C924,'Employees List'!$B$2:H999,6,0),"")</f>
        <v/>
      </c>
      <c r="G924" s="93" t="str">
        <f>IFERROR(VLOOKUP(A924,'Salary Calculation'!$A$2:$T$999,7,0),"")</f>
        <v/>
      </c>
      <c r="H924" s="94"/>
      <c r="I924" s="46"/>
      <c r="J924" s="46"/>
      <c r="K924" s="46"/>
      <c r="L924" s="46"/>
      <c r="M924" s="46"/>
      <c r="N924" s="46"/>
      <c r="O924" s="46"/>
      <c r="P924" s="46"/>
      <c r="Q924" s="46"/>
      <c r="R924" s="46"/>
      <c r="S924" s="46"/>
      <c r="T924" s="46"/>
      <c r="U924" s="46"/>
      <c r="V924" s="46"/>
      <c r="W924" s="46"/>
      <c r="X924" s="46"/>
      <c r="Y924" s="46"/>
      <c r="Z924" s="46"/>
      <c r="AA924" s="46"/>
      <c r="AB924" s="46"/>
    </row>
    <row r="925" hidden="1">
      <c r="A925" s="90" t="s">
        <v>1142</v>
      </c>
      <c r="B925" s="91" t="str">
        <f>IFERROR(VLOOKUP(A925,'Salary Calculation'!A925:F1922,2,0),"")</f>
        <v/>
      </c>
      <c r="C925" s="91" t="str">
        <f>IFERROR(VLOOKUP(A925,'Salary Calculation'!$A$2:$T$999,3,0),"")</f>
        <v/>
      </c>
      <c r="D925" s="91" t="str">
        <f>IFERROR(VLOOKUP(A925,'Salary Calculation'!$A$2:$T$999,6,0),"")</f>
        <v/>
      </c>
      <c r="E925" s="91" t="str">
        <f>IFERROR(VLOOKUP(A925,'Salary Calculation'!$A$2:$T$999,8,0),"")</f>
        <v/>
      </c>
      <c r="F925" s="92" t="str">
        <f>IFERROR(VLOOKUP(C925,'Employees List'!$B$2:H999,6,0),"")</f>
        <v/>
      </c>
      <c r="G925" s="93" t="str">
        <f>IFERROR(VLOOKUP(A925,'Salary Calculation'!$A$2:$T$999,7,0),"")</f>
        <v/>
      </c>
      <c r="H925" s="94"/>
      <c r="I925" s="46"/>
      <c r="J925" s="46"/>
      <c r="K925" s="46"/>
      <c r="L925" s="46"/>
      <c r="M925" s="46"/>
      <c r="N925" s="46"/>
      <c r="O925" s="46"/>
      <c r="P925" s="46"/>
      <c r="Q925" s="46"/>
      <c r="R925" s="46"/>
      <c r="S925" s="46"/>
      <c r="T925" s="46"/>
      <c r="U925" s="46"/>
      <c r="V925" s="46"/>
      <c r="W925" s="46"/>
      <c r="X925" s="46"/>
      <c r="Y925" s="46"/>
      <c r="Z925" s="46"/>
      <c r="AA925" s="46"/>
      <c r="AB925" s="46"/>
    </row>
    <row r="926" hidden="1">
      <c r="A926" s="90" t="s">
        <v>1143</v>
      </c>
      <c r="B926" s="91" t="str">
        <f>IFERROR(VLOOKUP(A926,'Salary Calculation'!A926:F1923,2,0),"")</f>
        <v/>
      </c>
      <c r="C926" s="91" t="str">
        <f>IFERROR(VLOOKUP(A926,'Salary Calculation'!$A$2:$T$999,3,0),"")</f>
        <v/>
      </c>
      <c r="D926" s="91" t="str">
        <f>IFERROR(VLOOKUP(A926,'Salary Calculation'!$A$2:$T$999,6,0),"")</f>
        <v/>
      </c>
      <c r="E926" s="91" t="str">
        <f>IFERROR(VLOOKUP(A926,'Salary Calculation'!$A$2:$T$999,8,0),"")</f>
        <v/>
      </c>
      <c r="F926" s="92" t="str">
        <f>IFERROR(VLOOKUP(C926,'Employees List'!$B$2:H999,6,0),"")</f>
        <v/>
      </c>
      <c r="G926" s="93" t="str">
        <f>IFERROR(VLOOKUP(A926,'Salary Calculation'!$A$2:$T$999,7,0),"")</f>
        <v/>
      </c>
      <c r="H926" s="94"/>
      <c r="I926" s="46"/>
      <c r="J926" s="46"/>
      <c r="K926" s="46"/>
      <c r="L926" s="46"/>
      <c r="M926" s="46"/>
      <c r="N926" s="46"/>
      <c r="O926" s="46"/>
      <c r="P926" s="46"/>
      <c r="Q926" s="46"/>
      <c r="R926" s="46"/>
      <c r="S926" s="46"/>
      <c r="T926" s="46"/>
      <c r="U926" s="46"/>
      <c r="V926" s="46"/>
      <c r="W926" s="46"/>
      <c r="X926" s="46"/>
      <c r="Y926" s="46"/>
      <c r="Z926" s="46"/>
      <c r="AA926" s="46"/>
      <c r="AB926" s="46"/>
    </row>
    <row r="927" hidden="1">
      <c r="A927" s="90" t="s">
        <v>1144</v>
      </c>
      <c r="B927" s="91" t="str">
        <f>IFERROR(VLOOKUP(A927,'Salary Calculation'!A927:F1924,2,0),"")</f>
        <v/>
      </c>
      <c r="C927" s="91" t="str">
        <f>IFERROR(VLOOKUP(A927,'Salary Calculation'!$A$2:$T$999,3,0),"")</f>
        <v/>
      </c>
      <c r="D927" s="91" t="str">
        <f>IFERROR(VLOOKUP(A927,'Salary Calculation'!$A$2:$T$999,6,0),"")</f>
        <v/>
      </c>
      <c r="E927" s="91" t="str">
        <f>IFERROR(VLOOKUP(A927,'Salary Calculation'!$A$2:$T$999,8,0),"")</f>
        <v/>
      </c>
      <c r="F927" s="92" t="str">
        <f>IFERROR(VLOOKUP(C927,'Employees List'!$B$2:H999,6,0),"")</f>
        <v/>
      </c>
      <c r="G927" s="93" t="str">
        <f>IFERROR(VLOOKUP(A927,'Salary Calculation'!$A$2:$T$999,7,0),"")</f>
        <v/>
      </c>
      <c r="H927" s="94"/>
      <c r="I927" s="46"/>
      <c r="J927" s="46"/>
      <c r="K927" s="46"/>
      <c r="L927" s="46"/>
      <c r="M927" s="46"/>
      <c r="N927" s="46"/>
      <c r="O927" s="46"/>
      <c r="P927" s="46"/>
      <c r="Q927" s="46"/>
      <c r="R927" s="46"/>
      <c r="S927" s="46"/>
      <c r="T927" s="46"/>
      <c r="U927" s="46"/>
      <c r="V927" s="46"/>
      <c r="W927" s="46"/>
      <c r="X927" s="46"/>
      <c r="Y927" s="46"/>
      <c r="Z927" s="46"/>
      <c r="AA927" s="46"/>
      <c r="AB927" s="46"/>
    </row>
    <row r="928" hidden="1">
      <c r="A928" s="90" t="s">
        <v>1145</v>
      </c>
      <c r="B928" s="91" t="str">
        <f>IFERROR(VLOOKUP(A928,'Salary Calculation'!A928:F1925,2,0),"")</f>
        <v/>
      </c>
      <c r="C928" s="91" t="str">
        <f>IFERROR(VLOOKUP(A928,'Salary Calculation'!$A$2:$T$999,3,0),"")</f>
        <v/>
      </c>
      <c r="D928" s="91" t="str">
        <f>IFERROR(VLOOKUP(A928,'Salary Calculation'!$A$2:$T$999,6,0),"")</f>
        <v/>
      </c>
      <c r="E928" s="91" t="str">
        <f>IFERROR(VLOOKUP(A928,'Salary Calculation'!$A$2:$T$999,8,0),"")</f>
        <v/>
      </c>
      <c r="F928" s="92" t="str">
        <f>IFERROR(VLOOKUP(C928,'Employees List'!$B$2:H999,6,0),"")</f>
        <v/>
      </c>
      <c r="G928" s="93" t="str">
        <f>IFERROR(VLOOKUP(A928,'Salary Calculation'!$A$2:$T$999,7,0),"")</f>
        <v/>
      </c>
      <c r="H928" s="94"/>
      <c r="I928" s="46"/>
      <c r="J928" s="46"/>
      <c r="K928" s="46"/>
      <c r="L928" s="46"/>
      <c r="M928" s="46"/>
      <c r="N928" s="46"/>
      <c r="O928" s="46"/>
      <c r="P928" s="46"/>
      <c r="Q928" s="46"/>
      <c r="R928" s="46"/>
      <c r="S928" s="46"/>
      <c r="T928" s="46"/>
      <c r="U928" s="46"/>
      <c r="V928" s="46"/>
      <c r="W928" s="46"/>
      <c r="X928" s="46"/>
      <c r="Y928" s="46"/>
      <c r="Z928" s="46"/>
      <c r="AA928" s="46"/>
      <c r="AB928" s="46"/>
    </row>
    <row r="929" hidden="1">
      <c r="A929" s="90" t="s">
        <v>1146</v>
      </c>
      <c r="B929" s="91" t="str">
        <f>IFERROR(VLOOKUP(A929,'Salary Calculation'!A929:F1926,2,0),"")</f>
        <v/>
      </c>
      <c r="C929" s="91" t="str">
        <f>IFERROR(VLOOKUP(A929,'Salary Calculation'!$A$2:$T$999,3,0),"")</f>
        <v/>
      </c>
      <c r="D929" s="91" t="str">
        <f>IFERROR(VLOOKUP(A929,'Salary Calculation'!$A$2:$T$999,6,0),"")</f>
        <v/>
      </c>
      <c r="E929" s="91" t="str">
        <f>IFERROR(VLOOKUP(A929,'Salary Calculation'!$A$2:$T$999,8,0),"")</f>
        <v/>
      </c>
      <c r="F929" s="92" t="str">
        <f>IFERROR(VLOOKUP(C929,'Employees List'!$B$2:H999,6,0),"")</f>
        <v/>
      </c>
      <c r="G929" s="93" t="str">
        <f>IFERROR(VLOOKUP(A929,'Salary Calculation'!$A$2:$T$999,7,0),"")</f>
        <v/>
      </c>
      <c r="H929" s="94"/>
      <c r="I929" s="46"/>
      <c r="J929" s="46"/>
      <c r="K929" s="46"/>
      <c r="L929" s="46"/>
      <c r="M929" s="46"/>
      <c r="N929" s="46"/>
      <c r="O929" s="46"/>
      <c r="P929" s="46"/>
      <c r="Q929" s="46"/>
      <c r="R929" s="46"/>
      <c r="S929" s="46"/>
      <c r="T929" s="46"/>
      <c r="U929" s="46"/>
      <c r="V929" s="46"/>
      <c r="W929" s="46"/>
      <c r="X929" s="46"/>
      <c r="Y929" s="46"/>
      <c r="Z929" s="46"/>
      <c r="AA929" s="46"/>
      <c r="AB929" s="46"/>
    </row>
    <row r="930" hidden="1">
      <c r="A930" s="90" t="s">
        <v>1147</v>
      </c>
      <c r="B930" s="91" t="str">
        <f>IFERROR(VLOOKUP(A930,'Salary Calculation'!A930:F1927,2,0),"")</f>
        <v/>
      </c>
      <c r="C930" s="91" t="str">
        <f>IFERROR(VLOOKUP(A930,'Salary Calculation'!$A$2:$T$999,3,0),"")</f>
        <v/>
      </c>
      <c r="D930" s="91" t="str">
        <f>IFERROR(VLOOKUP(A930,'Salary Calculation'!$A$2:$T$999,6,0),"")</f>
        <v/>
      </c>
      <c r="E930" s="91" t="str">
        <f>IFERROR(VLOOKUP(A930,'Salary Calculation'!$A$2:$T$999,8,0),"")</f>
        <v/>
      </c>
      <c r="F930" s="92" t="str">
        <f>IFERROR(VLOOKUP(C930,'Employees List'!$B$2:H999,6,0),"")</f>
        <v/>
      </c>
      <c r="G930" s="93" t="str">
        <f>IFERROR(VLOOKUP(A930,'Salary Calculation'!$A$2:$T$999,7,0),"")</f>
        <v/>
      </c>
      <c r="H930" s="94"/>
      <c r="I930" s="46"/>
      <c r="J930" s="46"/>
      <c r="K930" s="46"/>
      <c r="L930" s="46"/>
      <c r="M930" s="46"/>
      <c r="N930" s="46"/>
      <c r="O930" s="46"/>
      <c r="P930" s="46"/>
      <c r="Q930" s="46"/>
      <c r="R930" s="46"/>
      <c r="S930" s="46"/>
      <c r="T930" s="46"/>
      <c r="U930" s="46"/>
      <c r="V930" s="46"/>
      <c r="W930" s="46"/>
      <c r="X930" s="46"/>
      <c r="Y930" s="46"/>
      <c r="Z930" s="46"/>
      <c r="AA930" s="46"/>
      <c r="AB930" s="46"/>
    </row>
    <row r="931" hidden="1">
      <c r="A931" s="90" t="s">
        <v>1148</v>
      </c>
      <c r="B931" s="91" t="str">
        <f>IFERROR(VLOOKUP(A931,'Salary Calculation'!A931:F1928,2,0),"")</f>
        <v/>
      </c>
      <c r="C931" s="91" t="str">
        <f>IFERROR(VLOOKUP(A931,'Salary Calculation'!$A$2:$T$999,3,0),"")</f>
        <v/>
      </c>
      <c r="D931" s="91" t="str">
        <f>IFERROR(VLOOKUP(A931,'Salary Calculation'!$A$2:$T$999,6,0),"")</f>
        <v/>
      </c>
      <c r="E931" s="91" t="str">
        <f>IFERROR(VLOOKUP(A931,'Salary Calculation'!$A$2:$T$999,8,0),"")</f>
        <v/>
      </c>
      <c r="F931" s="92" t="str">
        <f>IFERROR(VLOOKUP(C931,'Employees List'!$B$2:H999,6,0),"")</f>
        <v/>
      </c>
      <c r="G931" s="93" t="str">
        <f>IFERROR(VLOOKUP(A931,'Salary Calculation'!$A$2:$T$999,7,0),"")</f>
        <v/>
      </c>
      <c r="H931" s="94"/>
      <c r="I931" s="46"/>
      <c r="J931" s="46"/>
      <c r="K931" s="46"/>
      <c r="L931" s="46"/>
      <c r="M931" s="46"/>
      <c r="N931" s="46"/>
      <c r="O931" s="46"/>
      <c r="P931" s="46"/>
      <c r="Q931" s="46"/>
      <c r="R931" s="46"/>
      <c r="S931" s="46"/>
      <c r="T931" s="46"/>
      <c r="U931" s="46"/>
      <c r="V931" s="46"/>
      <c r="W931" s="46"/>
      <c r="X931" s="46"/>
      <c r="Y931" s="46"/>
      <c r="Z931" s="46"/>
      <c r="AA931" s="46"/>
      <c r="AB931" s="46"/>
    </row>
    <row r="932" hidden="1">
      <c r="A932" s="90" t="s">
        <v>1149</v>
      </c>
      <c r="B932" s="91" t="str">
        <f>IFERROR(VLOOKUP(A932,'Salary Calculation'!A932:F1929,2,0),"")</f>
        <v/>
      </c>
      <c r="C932" s="91" t="str">
        <f>IFERROR(VLOOKUP(A932,'Salary Calculation'!$A$2:$T$999,3,0),"")</f>
        <v/>
      </c>
      <c r="D932" s="91" t="str">
        <f>IFERROR(VLOOKUP(A932,'Salary Calculation'!$A$2:$T$999,6,0),"")</f>
        <v/>
      </c>
      <c r="E932" s="91" t="str">
        <f>IFERROR(VLOOKUP(A932,'Salary Calculation'!$A$2:$T$999,8,0),"")</f>
        <v/>
      </c>
      <c r="F932" s="92" t="str">
        <f>IFERROR(VLOOKUP(C932,'Employees List'!$B$2:H999,6,0),"")</f>
        <v/>
      </c>
      <c r="G932" s="93" t="str">
        <f>IFERROR(VLOOKUP(A932,'Salary Calculation'!$A$2:$T$999,7,0),"")</f>
        <v/>
      </c>
      <c r="H932" s="94"/>
      <c r="I932" s="46"/>
      <c r="J932" s="46"/>
      <c r="K932" s="46"/>
      <c r="L932" s="46"/>
      <c r="M932" s="46"/>
      <c r="N932" s="46"/>
      <c r="O932" s="46"/>
      <c r="P932" s="46"/>
      <c r="Q932" s="46"/>
      <c r="R932" s="46"/>
      <c r="S932" s="46"/>
      <c r="T932" s="46"/>
      <c r="U932" s="46"/>
      <c r="V932" s="46"/>
      <c r="W932" s="46"/>
      <c r="X932" s="46"/>
      <c r="Y932" s="46"/>
      <c r="Z932" s="46"/>
      <c r="AA932" s="46"/>
      <c r="AB932" s="46"/>
    </row>
    <row r="933" hidden="1">
      <c r="A933" s="90" t="s">
        <v>1150</v>
      </c>
      <c r="B933" s="91" t="str">
        <f>IFERROR(VLOOKUP(A933,'Salary Calculation'!A933:F1930,2,0),"")</f>
        <v/>
      </c>
      <c r="C933" s="91" t="str">
        <f>IFERROR(VLOOKUP(A933,'Salary Calculation'!$A$2:$T$999,3,0),"")</f>
        <v/>
      </c>
      <c r="D933" s="91" t="str">
        <f>IFERROR(VLOOKUP(A933,'Salary Calculation'!$A$2:$T$999,6,0),"")</f>
        <v/>
      </c>
      <c r="E933" s="91" t="str">
        <f>IFERROR(VLOOKUP(A933,'Salary Calculation'!$A$2:$T$999,8,0),"")</f>
        <v/>
      </c>
      <c r="F933" s="92" t="str">
        <f>IFERROR(VLOOKUP(C933,'Employees List'!$B$2:H999,6,0),"")</f>
        <v/>
      </c>
      <c r="G933" s="93" t="str">
        <f>IFERROR(VLOOKUP(A933,'Salary Calculation'!$A$2:$T$999,7,0),"")</f>
        <v/>
      </c>
      <c r="H933" s="94"/>
      <c r="I933" s="46"/>
      <c r="J933" s="46"/>
      <c r="K933" s="46"/>
      <c r="L933" s="46"/>
      <c r="M933" s="46"/>
      <c r="N933" s="46"/>
      <c r="O933" s="46"/>
      <c r="P933" s="46"/>
      <c r="Q933" s="46"/>
      <c r="R933" s="46"/>
      <c r="S933" s="46"/>
      <c r="T933" s="46"/>
      <c r="U933" s="46"/>
      <c r="V933" s="46"/>
      <c r="W933" s="46"/>
      <c r="X933" s="46"/>
      <c r="Y933" s="46"/>
      <c r="Z933" s="46"/>
      <c r="AA933" s="46"/>
      <c r="AB933" s="46"/>
    </row>
    <row r="934" hidden="1">
      <c r="A934" s="90" t="s">
        <v>1151</v>
      </c>
      <c r="B934" s="91" t="str">
        <f>IFERROR(VLOOKUP(A934,'Salary Calculation'!A934:F1931,2,0),"")</f>
        <v/>
      </c>
      <c r="C934" s="91" t="str">
        <f>IFERROR(VLOOKUP(A934,'Salary Calculation'!$A$2:$T$999,3,0),"")</f>
        <v/>
      </c>
      <c r="D934" s="91" t="str">
        <f>IFERROR(VLOOKUP(A934,'Salary Calculation'!$A$2:$T$999,6,0),"")</f>
        <v/>
      </c>
      <c r="E934" s="91" t="str">
        <f>IFERROR(VLOOKUP(A934,'Salary Calculation'!$A$2:$T$999,8,0),"")</f>
        <v/>
      </c>
      <c r="F934" s="92" t="str">
        <f>IFERROR(VLOOKUP(C934,'Employees List'!$B$2:H999,6,0),"")</f>
        <v/>
      </c>
      <c r="G934" s="93" t="str">
        <f>IFERROR(VLOOKUP(A934,'Salary Calculation'!$A$2:$T$999,7,0),"")</f>
        <v/>
      </c>
      <c r="H934" s="94"/>
      <c r="I934" s="46"/>
      <c r="J934" s="46"/>
      <c r="K934" s="46"/>
      <c r="L934" s="46"/>
      <c r="M934" s="46"/>
      <c r="N934" s="46"/>
      <c r="O934" s="46"/>
      <c r="P934" s="46"/>
      <c r="Q934" s="46"/>
      <c r="R934" s="46"/>
      <c r="S934" s="46"/>
      <c r="T934" s="46"/>
      <c r="U934" s="46"/>
      <c r="V934" s="46"/>
      <c r="W934" s="46"/>
      <c r="X934" s="46"/>
      <c r="Y934" s="46"/>
      <c r="Z934" s="46"/>
      <c r="AA934" s="46"/>
      <c r="AB934" s="46"/>
    </row>
    <row r="935" hidden="1">
      <c r="A935" s="90" t="s">
        <v>1152</v>
      </c>
      <c r="B935" s="91" t="str">
        <f>IFERROR(VLOOKUP(A935,'Salary Calculation'!A935:F1932,2,0),"")</f>
        <v/>
      </c>
      <c r="C935" s="91" t="str">
        <f>IFERROR(VLOOKUP(A935,'Salary Calculation'!$A$2:$T$999,3,0),"")</f>
        <v/>
      </c>
      <c r="D935" s="91" t="str">
        <f>IFERROR(VLOOKUP(A935,'Salary Calculation'!$A$2:$T$999,6,0),"")</f>
        <v/>
      </c>
      <c r="E935" s="91" t="str">
        <f>IFERROR(VLOOKUP(A935,'Salary Calculation'!$A$2:$T$999,8,0),"")</f>
        <v/>
      </c>
      <c r="F935" s="92" t="str">
        <f>IFERROR(VLOOKUP(C935,'Employees List'!$B$2:H999,6,0),"")</f>
        <v/>
      </c>
      <c r="G935" s="93" t="str">
        <f>IFERROR(VLOOKUP(A935,'Salary Calculation'!$A$2:$T$999,7,0),"")</f>
        <v/>
      </c>
      <c r="H935" s="94"/>
      <c r="I935" s="46"/>
      <c r="J935" s="46"/>
      <c r="K935" s="46"/>
      <c r="L935" s="46"/>
      <c r="M935" s="46"/>
      <c r="N935" s="46"/>
      <c r="O935" s="46"/>
      <c r="P935" s="46"/>
      <c r="Q935" s="46"/>
      <c r="R935" s="46"/>
      <c r="S935" s="46"/>
      <c r="T935" s="46"/>
      <c r="U935" s="46"/>
      <c r="V935" s="46"/>
      <c r="W935" s="46"/>
      <c r="X935" s="46"/>
      <c r="Y935" s="46"/>
      <c r="Z935" s="46"/>
      <c r="AA935" s="46"/>
      <c r="AB935" s="46"/>
    </row>
    <row r="936" hidden="1">
      <c r="A936" s="90" t="s">
        <v>1153</v>
      </c>
      <c r="B936" s="91" t="str">
        <f>IFERROR(VLOOKUP(A936,'Salary Calculation'!A936:F1933,2,0),"")</f>
        <v/>
      </c>
      <c r="C936" s="91" t="str">
        <f>IFERROR(VLOOKUP(A936,'Salary Calculation'!$A$2:$T$999,3,0),"")</f>
        <v/>
      </c>
      <c r="D936" s="91" t="str">
        <f>IFERROR(VLOOKUP(A936,'Salary Calculation'!$A$2:$T$999,6,0),"")</f>
        <v/>
      </c>
      <c r="E936" s="91" t="str">
        <f>IFERROR(VLOOKUP(A936,'Salary Calculation'!$A$2:$T$999,8,0),"")</f>
        <v/>
      </c>
      <c r="F936" s="92" t="str">
        <f>IFERROR(VLOOKUP(C936,'Employees List'!$B$2:H999,6,0),"")</f>
        <v/>
      </c>
      <c r="G936" s="93" t="str">
        <f>IFERROR(VLOOKUP(A936,'Salary Calculation'!$A$2:$T$999,7,0),"")</f>
        <v/>
      </c>
      <c r="H936" s="94"/>
      <c r="I936" s="46"/>
      <c r="J936" s="46"/>
      <c r="K936" s="46"/>
      <c r="L936" s="46"/>
      <c r="M936" s="46"/>
      <c r="N936" s="46"/>
      <c r="O936" s="46"/>
      <c r="P936" s="46"/>
      <c r="Q936" s="46"/>
      <c r="R936" s="46"/>
      <c r="S936" s="46"/>
      <c r="T936" s="46"/>
      <c r="U936" s="46"/>
      <c r="V936" s="46"/>
      <c r="W936" s="46"/>
      <c r="X936" s="46"/>
      <c r="Y936" s="46"/>
      <c r="Z936" s="46"/>
      <c r="AA936" s="46"/>
      <c r="AB936" s="46"/>
    </row>
    <row r="937" hidden="1">
      <c r="A937" s="90" t="s">
        <v>1154</v>
      </c>
      <c r="B937" s="91" t="str">
        <f>IFERROR(VLOOKUP(A937,'Salary Calculation'!A937:F1934,2,0),"")</f>
        <v/>
      </c>
      <c r="C937" s="91" t="str">
        <f>IFERROR(VLOOKUP(A937,'Salary Calculation'!$A$2:$T$999,3,0),"")</f>
        <v/>
      </c>
      <c r="D937" s="91" t="str">
        <f>IFERROR(VLOOKUP(A937,'Salary Calculation'!$A$2:$T$999,6,0),"")</f>
        <v/>
      </c>
      <c r="E937" s="91" t="str">
        <f>IFERROR(VLOOKUP(A937,'Salary Calculation'!$A$2:$T$999,8,0),"")</f>
        <v/>
      </c>
      <c r="F937" s="92" t="str">
        <f>IFERROR(VLOOKUP(C937,'Employees List'!$B$2:H999,6,0),"")</f>
        <v/>
      </c>
      <c r="G937" s="93" t="str">
        <f>IFERROR(VLOOKUP(A937,'Salary Calculation'!$A$2:$T$999,7,0),"")</f>
        <v/>
      </c>
      <c r="H937" s="94"/>
      <c r="I937" s="46"/>
      <c r="J937" s="46"/>
      <c r="K937" s="46"/>
      <c r="L937" s="46"/>
      <c r="M937" s="46"/>
      <c r="N937" s="46"/>
      <c r="O937" s="46"/>
      <c r="P937" s="46"/>
      <c r="Q937" s="46"/>
      <c r="R937" s="46"/>
      <c r="S937" s="46"/>
      <c r="T937" s="46"/>
      <c r="U937" s="46"/>
      <c r="V937" s="46"/>
      <c r="W937" s="46"/>
      <c r="X937" s="46"/>
      <c r="Y937" s="46"/>
      <c r="Z937" s="46"/>
      <c r="AA937" s="46"/>
      <c r="AB937" s="46"/>
    </row>
    <row r="938" hidden="1">
      <c r="A938" s="90" t="s">
        <v>1155</v>
      </c>
      <c r="B938" s="91" t="str">
        <f>IFERROR(VLOOKUP(A938,'Salary Calculation'!A938:F1935,2,0),"")</f>
        <v/>
      </c>
      <c r="C938" s="91" t="str">
        <f>IFERROR(VLOOKUP(A938,'Salary Calculation'!$A$2:$T$999,3,0),"")</f>
        <v/>
      </c>
      <c r="D938" s="91" t="str">
        <f>IFERROR(VLOOKUP(A938,'Salary Calculation'!$A$2:$T$999,6,0),"")</f>
        <v/>
      </c>
      <c r="E938" s="91" t="str">
        <f>IFERROR(VLOOKUP(A938,'Salary Calculation'!$A$2:$T$999,8,0),"")</f>
        <v/>
      </c>
      <c r="F938" s="92" t="str">
        <f>IFERROR(VLOOKUP(C938,'Employees List'!$B$2:H999,6,0),"")</f>
        <v/>
      </c>
      <c r="G938" s="93" t="str">
        <f>IFERROR(VLOOKUP(A938,'Salary Calculation'!$A$2:$T$999,7,0),"")</f>
        <v/>
      </c>
      <c r="H938" s="94"/>
      <c r="I938" s="46"/>
      <c r="J938" s="46"/>
      <c r="K938" s="46"/>
      <c r="L938" s="46"/>
      <c r="M938" s="46"/>
      <c r="N938" s="46"/>
      <c r="O938" s="46"/>
      <c r="P938" s="46"/>
      <c r="Q938" s="46"/>
      <c r="R938" s="46"/>
      <c r="S938" s="46"/>
      <c r="T938" s="46"/>
      <c r="U938" s="46"/>
      <c r="V938" s="46"/>
      <c r="W938" s="46"/>
      <c r="X938" s="46"/>
      <c r="Y938" s="46"/>
      <c r="Z938" s="46"/>
      <c r="AA938" s="46"/>
      <c r="AB938" s="46"/>
    </row>
    <row r="939" hidden="1">
      <c r="A939" s="90" t="s">
        <v>1156</v>
      </c>
      <c r="B939" s="91" t="str">
        <f>IFERROR(VLOOKUP(A939,'Salary Calculation'!A939:F1936,2,0),"")</f>
        <v/>
      </c>
      <c r="C939" s="91" t="str">
        <f>IFERROR(VLOOKUP(A939,'Salary Calculation'!$A$2:$T$999,3,0),"")</f>
        <v/>
      </c>
      <c r="D939" s="91" t="str">
        <f>IFERROR(VLOOKUP(A939,'Salary Calculation'!$A$2:$T$999,6,0),"")</f>
        <v/>
      </c>
      <c r="E939" s="91" t="str">
        <f>IFERROR(VLOOKUP(A939,'Salary Calculation'!$A$2:$T$999,8,0),"")</f>
        <v/>
      </c>
      <c r="F939" s="92" t="str">
        <f>IFERROR(VLOOKUP(C939,'Employees List'!$B$2:H999,6,0),"")</f>
        <v/>
      </c>
      <c r="G939" s="93" t="str">
        <f>IFERROR(VLOOKUP(A939,'Salary Calculation'!$A$2:$T$999,7,0),"")</f>
        <v/>
      </c>
      <c r="H939" s="94"/>
      <c r="I939" s="46"/>
      <c r="J939" s="46"/>
      <c r="K939" s="46"/>
      <c r="L939" s="46"/>
      <c r="M939" s="46"/>
      <c r="N939" s="46"/>
      <c r="O939" s="46"/>
      <c r="P939" s="46"/>
      <c r="Q939" s="46"/>
      <c r="R939" s="46"/>
      <c r="S939" s="46"/>
      <c r="T939" s="46"/>
      <c r="U939" s="46"/>
      <c r="V939" s="46"/>
      <c r="W939" s="46"/>
      <c r="X939" s="46"/>
      <c r="Y939" s="46"/>
      <c r="Z939" s="46"/>
      <c r="AA939" s="46"/>
      <c r="AB939" s="46"/>
    </row>
    <row r="940" hidden="1">
      <c r="A940" s="90" t="s">
        <v>1157</v>
      </c>
      <c r="B940" s="91" t="str">
        <f>IFERROR(VLOOKUP(A940,'Salary Calculation'!A940:F1937,2,0),"")</f>
        <v/>
      </c>
      <c r="C940" s="91" t="str">
        <f>IFERROR(VLOOKUP(A940,'Salary Calculation'!$A$2:$T$999,3,0),"")</f>
        <v/>
      </c>
      <c r="D940" s="91" t="str">
        <f>IFERROR(VLOOKUP(A940,'Salary Calculation'!$A$2:$T$999,6,0),"")</f>
        <v/>
      </c>
      <c r="E940" s="91" t="str">
        <f>IFERROR(VLOOKUP(A940,'Salary Calculation'!$A$2:$T$999,8,0),"")</f>
        <v/>
      </c>
      <c r="F940" s="92" t="str">
        <f>IFERROR(VLOOKUP(C940,'Employees List'!$B$2:H999,6,0),"")</f>
        <v/>
      </c>
      <c r="G940" s="93" t="str">
        <f>IFERROR(VLOOKUP(A940,'Salary Calculation'!$A$2:$T$999,7,0),"")</f>
        <v/>
      </c>
      <c r="H940" s="94"/>
      <c r="I940" s="46"/>
      <c r="J940" s="46"/>
      <c r="K940" s="46"/>
      <c r="L940" s="46"/>
      <c r="M940" s="46"/>
      <c r="N940" s="46"/>
      <c r="O940" s="46"/>
      <c r="P940" s="46"/>
      <c r="Q940" s="46"/>
      <c r="R940" s="46"/>
      <c r="S940" s="46"/>
      <c r="T940" s="46"/>
      <c r="U940" s="46"/>
      <c r="V940" s="46"/>
      <c r="W940" s="46"/>
      <c r="X940" s="46"/>
      <c r="Y940" s="46"/>
      <c r="Z940" s="46"/>
      <c r="AA940" s="46"/>
      <c r="AB940" s="46"/>
    </row>
    <row r="941" hidden="1">
      <c r="A941" s="90" t="s">
        <v>1158</v>
      </c>
      <c r="B941" s="91" t="str">
        <f>IFERROR(VLOOKUP(A941,'Salary Calculation'!A941:F1938,2,0),"")</f>
        <v/>
      </c>
      <c r="C941" s="91" t="str">
        <f>IFERROR(VLOOKUP(A941,'Salary Calculation'!$A$2:$T$999,3,0),"")</f>
        <v/>
      </c>
      <c r="D941" s="91" t="str">
        <f>IFERROR(VLOOKUP(A941,'Salary Calculation'!$A$2:$T$999,6,0),"")</f>
        <v/>
      </c>
      <c r="E941" s="91" t="str">
        <f>IFERROR(VLOOKUP(A941,'Salary Calculation'!$A$2:$T$999,8,0),"")</f>
        <v/>
      </c>
      <c r="F941" s="92" t="str">
        <f>IFERROR(VLOOKUP(C941,'Employees List'!$B$2:H999,6,0),"")</f>
        <v/>
      </c>
      <c r="G941" s="93" t="str">
        <f>IFERROR(VLOOKUP(A941,'Salary Calculation'!$A$2:$T$999,7,0),"")</f>
        <v/>
      </c>
      <c r="H941" s="94"/>
      <c r="I941" s="46"/>
      <c r="J941" s="46"/>
      <c r="K941" s="46"/>
      <c r="L941" s="46"/>
      <c r="M941" s="46"/>
      <c r="N941" s="46"/>
      <c r="O941" s="46"/>
      <c r="P941" s="46"/>
      <c r="Q941" s="46"/>
      <c r="R941" s="46"/>
      <c r="S941" s="46"/>
      <c r="T941" s="46"/>
      <c r="U941" s="46"/>
      <c r="V941" s="46"/>
      <c r="W941" s="46"/>
      <c r="X941" s="46"/>
      <c r="Y941" s="46"/>
      <c r="Z941" s="46"/>
      <c r="AA941" s="46"/>
      <c r="AB941" s="46"/>
    </row>
    <row r="942" hidden="1">
      <c r="A942" s="90" t="s">
        <v>1159</v>
      </c>
      <c r="B942" s="91" t="str">
        <f>IFERROR(VLOOKUP(A942,'Salary Calculation'!A942:F1939,2,0),"")</f>
        <v/>
      </c>
      <c r="C942" s="91" t="str">
        <f>IFERROR(VLOOKUP(A942,'Salary Calculation'!$A$2:$T$999,3,0),"")</f>
        <v/>
      </c>
      <c r="D942" s="91" t="str">
        <f>IFERROR(VLOOKUP(A942,'Salary Calculation'!$A$2:$T$999,6,0),"")</f>
        <v/>
      </c>
      <c r="E942" s="91" t="str">
        <f>IFERROR(VLOOKUP(A942,'Salary Calculation'!$A$2:$T$999,8,0),"")</f>
        <v/>
      </c>
      <c r="F942" s="92" t="str">
        <f>IFERROR(VLOOKUP(C942,'Employees List'!$B$2:H999,6,0),"")</f>
        <v/>
      </c>
      <c r="G942" s="93" t="str">
        <f>IFERROR(VLOOKUP(A942,'Salary Calculation'!$A$2:$T$999,7,0),"")</f>
        <v/>
      </c>
      <c r="H942" s="94"/>
      <c r="I942" s="46"/>
      <c r="J942" s="46"/>
      <c r="K942" s="46"/>
      <c r="L942" s="46"/>
      <c r="M942" s="46"/>
      <c r="N942" s="46"/>
      <c r="O942" s="46"/>
      <c r="P942" s="46"/>
      <c r="Q942" s="46"/>
      <c r="R942" s="46"/>
      <c r="S942" s="46"/>
      <c r="T942" s="46"/>
      <c r="U942" s="46"/>
      <c r="V942" s="46"/>
      <c r="W942" s="46"/>
      <c r="X942" s="46"/>
      <c r="Y942" s="46"/>
      <c r="Z942" s="46"/>
      <c r="AA942" s="46"/>
      <c r="AB942" s="46"/>
    </row>
    <row r="943" hidden="1">
      <c r="A943" s="90" t="s">
        <v>1160</v>
      </c>
      <c r="B943" s="91" t="str">
        <f>IFERROR(VLOOKUP(A943,'Salary Calculation'!A943:F1940,2,0),"")</f>
        <v/>
      </c>
      <c r="C943" s="91" t="str">
        <f>IFERROR(VLOOKUP(A943,'Salary Calculation'!$A$2:$T$999,3,0),"")</f>
        <v/>
      </c>
      <c r="D943" s="91" t="str">
        <f>IFERROR(VLOOKUP(A943,'Salary Calculation'!$A$2:$T$999,6,0),"")</f>
        <v/>
      </c>
      <c r="E943" s="91" t="str">
        <f>IFERROR(VLOOKUP(A943,'Salary Calculation'!$A$2:$T$999,8,0),"")</f>
        <v/>
      </c>
      <c r="F943" s="92" t="str">
        <f>IFERROR(VLOOKUP(C943,'Employees List'!$B$2:H999,6,0),"")</f>
        <v/>
      </c>
      <c r="G943" s="93" t="str">
        <f>IFERROR(VLOOKUP(A943,'Salary Calculation'!$A$2:$T$999,7,0),"")</f>
        <v/>
      </c>
      <c r="H943" s="94"/>
      <c r="I943" s="46"/>
      <c r="J943" s="46"/>
      <c r="K943" s="46"/>
      <c r="L943" s="46"/>
      <c r="M943" s="46"/>
      <c r="N943" s="46"/>
      <c r="O943" s="46"/>
      <c r="P943" s="46"/>
      <c r="Q943" s="46"/>
      <c r="R943" s="46"/>
      <c r="S943" s="46"/>
      <c r="T943" s="46"/>
      <c r="U943" s="46"/>
      <c r="V943" s="46"/>
      <c r="W943" s="46"/>
      <c r="X943" s="46"/>
      <c r="Y943" s="46"/>
      <c r="Z943" s="46"/>
      <c r="AA943" s="46"/>
      <c r="AB943" s="46"/>
    </row>
    <row r="944" hidden="1">
      <c r="A944" s="90" t="s">
        <v>1161</v>
      </c>
      <c r="B944" s="91" t="str">
        <f>IFERROR(VLOOKUP(A944,'Salary Calculation'!A944:F1941,2,0),"")</f>
        <v/>
      </c>
      <c r="C944" s="91" t="str">
        <f>IFERROR(VLOOKUP(A944,'Salary Calculation'!$A$2:$T$999,3,0),"")</f>
        <v/>
      </c>
      <c r="D944" s="91" t="str">
        <f>IFERROR(VLOOKUP(A944,'Salary Calculation'!$A$2:$T$999,6,0),"")</f>
        <v/>
      </c>
      <c r="E944" s="91" t="str">
        <f>IFERROR(VLOOKUP(A944,'Salary Calculation'!$A$2:$T$999,8,0),"")</f>
        <v/>
      </c>
      <c r="F944" s="92" t="str">
        <f>IFERROR(VLOOKUP(C944,'Employees List'!$B$2:H999,6,0),"")</f>
        <v/>
      </c>
      <c r="G944" s="93" t="str">
        <f>IFERROR(VLOOKUP(A944,'Salary Calculation'!$A$2:$T$999,7,0),"")</f>
        <v/>
      </c>
      <c r="H944" s="94"/>
      <c r="I944" s="46"/>
      <c r="J944" s="46"/>
      <c r="K944" s="46"/>
      <c r="L944" s="46"/>
      <c r="M944" s="46"/>
      <c r="N944" s="46"/>
      <c r="O944" s="46"/>
      <c r="P944" s="46"/>
      <c r="Q944" s="46"/>
      <c r="R944" s="46"/>
      <c r="S944" s="46"/>
      <c r="T944" s="46"/>
      <c r="U944" s="46"/>
      <c r="V944" s="46"/>
      <c r="W944" s="46"/>
      <c r="X944" s="46"/>
      <c r="Y944" s="46"/>
      <c r="Z944" s="46"/>
      <c r="AA944" s="46"/>
      <c r="AB944" s="46"/>
    </row>
    <row r="945" hidden="1">
      <c r="A945" s="90" t="s">
        <v>1162</v>
      </c>
      <c r="B945" s="91" t="str">
        <f>IFERROR(VLOOKUP(A945,'Salary Calculation'!A945:F1942,2,0),"")</f>
        <v/>
      </c>
      <c r="C945" s="91" t="str">
        <f>IFERROR(VLOOKUP(A945,'Salary Calculation'!$A$2:$T$999,3,0),"")</f>
        <v/>
      </c>
      <c r="D945" s="91" t="str">
        <f>IFERROR(VLOOKUP(A945,'Salary Calculation'!$A$2:$T$999,6,0),"")</f>
        <v/>
      </c>
      <c r="E945" s="91" t="str">
        <f>IFERROR(VLOOKUP(A945,'Salary Calculation'!$A$2:$T$999,8,0),"")</f>
        <v/>
      </c>
      <c r="F945" s="92" t="str">
        <f>IFERROR(VLOOKUP(C945,'Employees List'!$B$2:H999,6,0),"")</f>
        <v/>
      </c>
      <c r="G945" s="93" t="str">
        <f>IFERROR(VLOOKUP(A945,'Salary Calculation'!$A$2:$T$999,7,0),"")</f>
        <v/>
      </c>
      <c r="H945" s="94"/>
      <c r="I945" s="46"/>
      <c r="J945" s="46"/>
      <c r="K945" s="46"/>
      <c r="L945" s="46"/>
      <c r="M945" s="46"/>
      <c r="N945" s="46"/>
      <c r="O945" s="46"/>
      <c r="P945" s="46"/>
      <c r="Q945" s="46"/>
      <c r="R945" s="46"/>
      <c r="S945" s="46"/>
      <c r="T945" s="46"/>
      <c r="U945" s="46"/>
      <c r="V945" s="46"/>
      <c r="W945" s="46"/>
      <c r="X945" s="46"/>
      <c r="Y945" s="46"/>
      <c r="Z945" s="46"/>
      <c r="AA945" s="46"/>
      <c r="AB945" s="46"/>
    </row>
    <row r="946" hidden="1">
      <c r="A946" s="90" t="s">
        <v>1163</v>
      </c>
      <c r="B946" s="91" t="str">
        <f>IFERROR(VLOOKUP(A946,'Salary Calculation'!A946:F1943,2,0),"")</f>
        <v/>
      </c>
      <c r="C946" s="91" t="str">
        <f>IFERROR(VLOOKUP(A946,'Salary Calculation'!$A$2:$T$999,3,0),"")</f>
        <v/>
      </c>
      <c r="D946" s="91" t="str">
        <f>IFERROR(VLOOKUP(A946,'Salary Calculation'!$A$2:$T$999,6,0),"")</f>
        <v/>
      </c>
      <c r="E946" s="91" t="str">
        <f>IFERROR(VLOOKUP(A946,'Salary Calculation'!$A$2:$T$999,8,0),"")</f>
        <v/>
      </c>
      <c r="F946" s="92" t="str">
        <f>IFERROR(VLOOKUP(C946,'Employees List'!$B$2:H999,6,0),"")</f>
        <v/>
      </c>
      <c r="G946" s="93" t="str">
        <f>IFERROR(VLOOKUP(A946,'Salary Calculation'!$A$2:$T$999,7,0),"")</f>
        <v/>
      </c>
      <c r="H946" s="94"/>
      <c r="I946" s="46"/>
      <c r="J946" s="46"/>
      <c r="K946" s="46"/>
      <c r="L946" s="46"/>
      <c r="M946" s="46"/>
      <c r="N946" s="46"/>
      <c r="O946" s="46"/>
      <c r="P946" s="46"/>
      <c r="Q946" s="46"/>
      <c r="R946" s="46"/>
      <c r="S946" s="46"/>
      <c r="T946" s="46"/>
      <c r="U946" s="46"/>
      <c r="V946" s="46"/>
      <c r="W946" s="46"/>
      <c r="X946" s="46"/>
      <c r="Y946" s="46"/>
      <c r="Z946" s="46"/>
      <c r="AA946" s="46"/>
      <c r="AB946" s="46"/>
    </row>
    <row r="947" hidden="1">
      <c r="A947" s="90" t="s">
        <v>1164</v>
      </c>
      <c r="B947" s="91" t="str">
        <f>IFERROR(VLOOKUP(A947,'Salary Calculation'!A947:F1944,2,0),"")</f>
        <v/>
      </c>
      <c r="C947" s="91" t="str">
        <f>IFERROR(VLOOKUP(A947,'Salary Calculation'!$A$2:$T$999,3,0),"")</f>
        <v/>
      </c>
      <c r="D947" s="91" t="str">
        <f>IFERROR(VLOOKUP(A947,'Salary Calculation'!$A$2:$T$999,6,0),"")</f>
        <v/>
      </c>
      <c r="E947" s="91" t="str">
        <f>IFERROR(VLOOKUP(A947,'Salary Calculation'!$A$2:$T$999,8,0),"")</f>
        <v/>
      </c>
      <c r="F947" s="92" t="str">
        <f>IFERROR(VLOOKUP(C947,'Employees List'!$B$2:H999,6,0),"")</f>
        <v/>
      </c>
      <c r="G947" s="93" t="str">
        <f>IFERROR(VLOOKUP(A947,'Salary Calculation'!$A$2:$T$999,7,0),"")</f>
        <v/>
      </c>
      <c r="H947" s="94"/>
      <c r="I947" s="46"/>
      <c r="J947" s="46"/>
      <c r="K947" s="46"/>
      <c r="L947" s="46"/>
      <c r="M947" s="46"/>
      <c r="N947" s="46"/>
      <c r="O947" s="46"/>
      <c r="P947" s="46"/>
      <c r="Q947" s="46"/>
      <c r="R947" s="46"/>
      <c r="S947" s="46"/>
      <c r="T947" s="46"/>
      <c r="U947" s="46"/>
      <c r="V947" s="46"/>
      <c r="W947" s="46"/>
      <c r="X947" s="46"/>
      <c r="Y947" s="46"/>
      <c r="Z947" s="46"/>
      <c r="AA947" s="46"/>
      <c r="AB947" s="46"/>
    </row>
    <row r="948" hidden="1">
      <c r="A948" s="90" t="s">
        <v>1165</v>
      </c>
      <c r="B948" s="91" t="str">
        <f>IFERROR(VLOOKUP(A948,'Salary Calculation'!A948:F1945,2,0),"")</f>
        <v/>
      </c>
      <c r="C948" s="91" t="str">
        <f>IFERROR(VLOOKUP(A948,'Salary Calculation'!$A$2:$T$999,3,0),"")</f>
        <v/>
      </c>
      <c r="D948" s="91" t="str">
        <f>IFERROR(VLOOKUP(A948,'Salary Calculation'!$A$2:$T$999,6,0),"")</f>
        <v/>
      </c>
      <c r="E948" s="91" t="str">
        <f>IFERROR(VLOOKUP(A948,'Salary Calculation'!$A$2:$T$999,8,0),"")</f>
        <v/>
      </c>
      <c r="F948" s="92" t="str">
        <f>IFERROR(VLOOKUP(C948,'Employees List'!$B$2:H999,6,0),"")</f>
        <v/>
      </c>
      <c r="G948" s="93" t="str">
        <f>IFERROR(VLOOKUP(A948,'Salary Calculation'!$A$2:$T$999,7,0),"")</f>
        <v/>
      </c>
      <c r="H948" s="94"/>
      <c r="I948" s="46"/>
      <c r="J948" s="46"/>
      <c r="K948" s="46"/>
      <c r="L948" s="46"/>
      <c r="M948" s="46"/>
      <c r="N948" s="46"/>
      <c r="O948" s="46"/>
      <c r="P948" s="46"/>
      <c r="Q948" s="46"/>
      <c r="R948" s="46"/>
      <c r="S948" s="46"/>
      <c r="T948" s="46"/>
      <c r="U948" s="46"/>
      <c r="V948" s="46"/>
      <c r="W948" s="46"/>
      <c r="X948" s="46"/>
      <c r="Y948" s="46"/>
      <c r="Z948" s="46"/>
      <c r="AA948" s="46"/>
      <c r="AB948" s="46"/>
    </row>
    <row r="949" hidden="1">
      <c r="A949" s="90" t="s">
        <v>1166</v>
      </c>
      <c r="B949" s="91" t="str">
        <f>IFERROR(VLOOKUP(A949,'Salary Calculation'!A949:F1946,2,0),"")</f>
        <v/>
      </c>
      <c r="C949" s="91" t="str">
        <f>IFERROR(VLOOKUP(A949,'Salary Calculation'!$A$2:$T$999,3,0),"")</f>
        <v/>
      </c>
      <c r="D949" s="91" t="str">
        <f>IFERROR(VLOOKUP(A949,'Salary Calculation'!$A$2:$T$999,6,0),"")</f>
        <v/>
      </c>
      <c r="E949" s="91" t="str">
        <f>IFERROR(VLOOKUP(A949,'Salary Calculation'!$A$2:$T$999,8,0),"")</f>
        <v/>
      </c>
      <c r="F949" s="92" t="str">
        <f>IFERROR(VLOOKUP(C949,'Employees List'!$B$2:H999,6,0),"")</f>
        <v/>
      </c>
      <c r="G949" s="93" t="str">
        <f>IFERROR(VLOOKUP(A949,'Salary Calculation'!$A$2:$T$999,7,0),"")</f>
        <v/>
      </c>
      <c r="H949" s="94"/>
      <c r="I949" s="46"/>
      <c r="J949" s="46"/>
      <c r="K949" s="46"/>
      <c r="L949" s="46"/>
      <c r="M949" s="46"/>
      <c r="N949" s="46"/>
      <c r="O949" s="46"/>
      <c r="P949" s="46"/>
      <c r="Q949" s="46"/>
      <c r="R949" s="46"/>
      <c r="S949" s="46"/>
      <c r="T949" s="46"/>
      <c r="U949" s="46"/>
      <c r="V949" s="46"/>
      <c r="W949" s="46"/>
      <c r="X949" s="46"/>
      <c r="Y949" s="46"/>
      <c r="Z949" s="46"/>
      <c r="AA949" s="46"/>
      <c r="AB949" s="46"/>
    </row>
    <row r="950" hidden="1">
      <c r="A950" s="90" t="s">
        <v>1167</v>
      </c>
      <c r="B950" s="91" t="str">
        <f>IFERROR(VLOOKUP(A950,'Salary Calculation'!A950:F1947,2,0),"")</f>
        <v/>
      </c>
      <c r="C950" s="91" t="str">
        <f>IFERROR(VLOOKUP(A950,'Salary Calculation'!$A$2:$T$999,3,0),"")</f>
        <v/>
      </c>
      <c r="D950" s="91" t="str">
        <f>IFERROR(VLOOKUP(A950,'Salary Calculation'!$A$2:$T$999,6,0),"")</f>
        <v/>
      </c>
      <c r="E950" s="91" t="str">
        <f>IFERROR(VLOOKUP(A950,'Salary Calculation'!$A$2:$T$999,8,0),"")</f>
        <v/>
      </c>
      <c r="F950" s="92" t="str">
        <f>IFERROR(VLOOKUP(C950,'Employees List'!$B$2:H999,6,0),"")</f>
        <v/>
      </c>
      <c r="G950" s="93" t="str">
        <f>IFERROR(VLOOKUP(A950,'Salary Calculation'!$A$2:$T$999,7,0),"")</f>
        <v/>
      </c>
      <c r="H950" s="94"/>
      <c r="I950" s="46"/>
      <c r="J950" s="46"/>
      <c r="K950" s="46"/>
      <c r="L950" s="46"/>
      <c r="M950" s="46"/>
      <c r="N950" s="46"/>
      <c r="O950" s="46"/>
      <c r="P950" s="46"/>
      <c r="Q950" s="46"/>
      <c r="R950" s="46"/>
      <c r="S950" s="46"/>
      <c r="T950" s="46"/>
      <c r="U950" s="46"/>
      <c r="V950" s="46"/>
      <c r="W950" s="46"/>
      <c r="X950" s="46"/>
      <c r="Y950" s="46"/>
      <c r="Z950" s="46"/>
      <c r="AA950" s="46"/>
      <c r="AB950" s="46"/>
    </row>
    <row r="951" hidden="1">
      <c r="A951" s="90" t="s">
        <v>1168</v>
      </c>
      <c r="B951" s="91" t="str">
        <f>IFERROR(VLOOKUP(A951,'Salary Calculation'!A951:F1948,2,0),"")</f>
        <v/>
      </c>
      <c r="C951" s="91" t="str">
        <f>IFERROR(VLOOKUP(A951,'Salary Calculation'!$A$2:$T$999,3,0),"")</f>
        <v/>
      </c>
      <c r="D951" s="91" t="str">
        <f>IFERROR(VLOOKUP(A951,'Salary Calculation'!$A$2:$T$999,6,0),"")</f>
        <v/>
      </c>
      <c r="E951" s="91" t="str">
        <f>IFERROR(VLOOKUP(A951,'Salary Calculation'!$A$2:$T$999,8,0),"")</f>
        <v/>
      </c>
      <c r="F951" s="92" t="str">
        <f>IFERROR(VLOOKUP(C951,'Employees List'!$B$2:H999,6,0),"")</f>
        <v/>
      </c>
      <c r="G951" s="93" t="str">
        <f>IFERROR(VLOOKUP(A951,'Salary Calculation'!$A$2:$T$999,7,0),"")</f>
        <v/>
      </c>
      <c r="H951" s="94"/>
      <c r="I951" s="46"/>
      <c r="J951" s="46"/>
      <c r="K951" s="46"/>
      <c r="L951" s="46"/>
      <c r="M951" s="46"/>
      <c r="N951" s="46"/>
      <c r="O951" s="46"/>
      <c r="P951" s="46"/>
      <c r="Q951" s="46"/>
      <c r="R951" s="46"/>
      <c r="S951" s="46"/>
      <c r="T951" s="46"/>
      <c r="U951" s="46"/>
      <c r="V951" s="46"/>
      <c r="W951" s="46"/>
      <c r="X951" s="46"/>
      <c r="Y951" s="46"/>
      <c r="Z951" s="46"/>
      <c r="AA951" s="46"/>
      <c r="AB951" s="46"/>
    </row>
    <row r="952" hidden="1">
      <c r="A952" s="90" t="s">
        <v>1169</v>
      </c>
      <c r="B952" s="91" t="str">
        <f>IFERROR(VLOOKUP(A952,'Salary Calculation'!A952:F1949,2,0),"")</f>
        <v/>
      </c>
      <c r="C952" s="91" t="str">
        <f>IFERROR(VLOOKUP(A952,'Salary Calculation'!$A$2:$T$999,3,0),"")</f>
        <v/>
      </c>
      <c r="D952" s="91" t="str">
        <f>IFERROR(VLOOKUP(A952,'Salary Calculation'!$A$2:$T$999,6,0),"")</f>
        <v/>
      </c>
      <c r="E952" s="91" t="str">
        <f>IFERROR(VLOOKUP(A952,'Salary Calculation'!$A$2:$T$999,8,0),"")</f>
        <v/>
      </c>
      <c r="F952" s="92" t="str">
        <f>IFERROR(VLOOKUP(C952,'Employees List'!$B$2:H999,6,0),"")</f>
        <v/>
      </c>
      <c r="G952" s="93" t="str">
        <f>IFERROR(VLOOKUP(A952,'Salary Calculation'!$A$2:$T$999,7,0),"")</f>
        <v/>
      </c>
      <c r="H952" s="94"/>
      <c r="I952" s="46"/>
      <c r="J952" s="46"/>
      <c r="K952" s="46"/>
      <c r="L952" s="46"/>
      <c r="M952" s="46"/>
      <c r="N952" s="46"/>
      <c r="O952" s="46"/>
      <c r="P952" s="46"/>
      <c r="Q952" s="46"/>
      <c r="R952" s="46"/>
      <c r="S952" s="46"/>
      <c r="T952" s="46"/>
      <c r="U952" s="46"/>
      <c r="V952" s="46"/>
      <c r="W952" s="46"/>
      <c r="X952" s="46"/>
      <c r="Y952" s="46"/>
      <c r="Z952" s="46"/>
      <c r="AA952" s="46"/>
      <c r="AB952" s="46"/>
    </row>
    <row r="953" hidden="1">
      <c r="A953" s="90" t="s">
        <v>1170</v>
      </c>
      <c r="B953" s="91" t="str">
        <f>IFERROR(VLOOKUP(A953,'Salary Calculation'!A953:F1950,2,0),"")</f>
        <v/>
      </c>
      <c r="C953" s="91" t="str">
        <f>IFERROR(VLOOKUP(A953,'Salary Calculation'!$A$2:$T$999,3,0),"")</f>
        <v/>
      </c>
      <c r="D953" s="91" t="str">
        <f>IFERROR(VLOOKUP(A953,'Salary Calculation'!$A$2:$T$999,6,0),"")</f>
        <v/>
      </c>
      <c r="E953" s="91" t="str">
        <f>IFERROR(VLOOKUP(A953,'Salary Calculation'!$A$2:$T$999,8,0),"")</f>
        <v/>
      </c>
      <c r="F953" s="92" t="str">
        <f>IFERROR(VLOOKUP(C953,'Employees List'!$B$2:H999,6,0),"")</f>
        <v/>
      </c>
      <c r="G953" s="93" t="str">
        <f>IFERROR(VLOOKUP(A953,'Salary Calculation'!$A$2:$T$999,7,0),"")</f>
        <v/>
      </c>
      <c r="H953" s="94"/>
      <c r="I953" s="46"/>
      <c r="J953" s="46"/>
      <c r="K953" s="46"/>
      <c r="L953" s="46"/>
      <c r="M953" s="46"/>
      <c r="N953" s="46"/>
      <c r="O953" s="46"/>
      <c r="P953" s="46"/>
      <c r="Q953" s="46"/>
      <c r="R953" s="46"/>
      <c r="S953" s="46"/>
      <c r="T953" s="46"/>
      <c r="U953" s="46"/>
      <c r="V953" s="46"/>
      <c r="W953" s="46"/>
      <c r="X953" s="46"/>
      <c r="Y953" s="46"/>
      <c r="Z953" s="46"/>
      <c r="AA953" s="46"/>
      <c r="AB953" s="46"/>
    </row>
    <row r="954" hidden="1">
      <c r="A954" s="90" t="s">
        <v>1171</v>
      </c>
      <c r="B954" s="91" t="str">
        <f>IFERROR(VLOOKUP(A954,'Salary Calculation'!A954:F1951,2,0),"")</f>
        <v/>
      </c>
      <c r="C954" s="91" t="str">
        <f>IFERROR(VLOOKUP(A954,'Salary Calculation'!$A$2:$T$999,3,0),"")</f>
        <v/>
      </c>
      <c r="D954" s="91" t="str">
        <f>IFERROR(VLOOKUP(A954,'Salary Calculation'!$A$2:$T$999,6,0),"")</f>
        <v/>
      </c>
      <c r="E954" s="91" t="str">
        <f>IFERROR(VLOOKUP(A954,'Salary Calculation'!$A$2:$T$999,8,0),"")</f>
        <v/>
      </c>
      <c r="F954" s="92" t="str">
        <f>IFERROR(VLOOKUP(C954,'Employees List'!$B$2:H999,6,0),"")</f>
        <v/>
      </c>
      <c r="G954" s="93" t="str">
        <f>IFERROR(VLOOKUP(A954,'Salary Calculation'!$A$2:$T$999,7,0),"")</f>
        <v/>
      </c>
      <c r="H954" s="94"/>
      <c r="I954" s="46"/>
      <c r="J954" s="46"/>
      <c r="K954" s="46"/>
      <c r="L954" s="46"/>
      <c r="M954" s="46"/>
      <c r="N954" s="46"/>
      <c r="O954" s="46"/>
      <c r="P954" s="46"/>
      <c r="Q954" s="46"/>
      <c r="R954" s="46"/>
      <c r="S954" s="46"/>
      <c r="T954" s="46"/>
      <c r="U954" s="46"/>
      <c r="V954" s="46"/>
      <c r="W954" s="46"/>
      <c r="X954" s="46"/>
      <c r="Y954" s="46"/>
      <c r="Z954" s="46"/>
      <c r="AA954" s="46"/>
      <c r="AB954" s="46"/>
    </row>
    <row r="955" hidden="1">
      <c r="A955" s="90" t="s">
        <v>1172</v>
      </c>
      <c r="B955" s="91" t="str">
        <f>IFERROR(VLOOKUP(A955,'Salary Calculation'!A955:F1952,2,0),"")</f>
        <v/>
      </c>
      <c r="C955" s="91" t="str">
        <f>IFERROR(VLOOKUP(A955,'Salary Calculation'!$A$2:$T$999,3,0),"")</f>
        <v/>
      </c>
      <c r="D955" s="91" t="str">
        <f>IFERROR(VLOOKUP(A955,'Salary Calculation'!$A$2:$T$999,6,0),"")</f>
        <v/>
      </c>
      <c r="E955" s="91" t="str">
        <f>IFERROR(VLOOKUP(A955,'Salary Calculation'!$A$2:$T$999,8,0),"")</f>
        <v/>
      </c>
      <c r="F955" s="92" t="str">
        <f>IFERROR(VLOOKUP(C955,'Employees List'!$B$2:H999,6,0),"")</f>
        <v/>
      </c>
      <c r="G955" s="93" t="str">
        <f>IFERROR(VLOOKUP(A955,'Salary Calculation'!$A$2:$T$999,7,0),"")</f>
        <v/>
      </c>
      <c r="H955" s="94"/>
      <c r="I955" s="46"/>
      <c r="J955" s="46"/>
      <c r="K955" s="46"/>
      <c r="L955" s="46"/>
      <c r="M955" s="46"/>
      <c r="N955" s="46"/>
      <c r="O955" s="46"/>
      <c r="P955" s="46"/>
      <c r="Q955" s="46"/>
      <c r="R955" s="46"/>
      <c r="S955" s="46"/>
      <c r="T955" s="46"/>
      <c r="U955" s="46"/>
      <c r="V955" s="46"/>
      <c r="W955" s="46"/>
      <c r="X955" s="46"/>
      <c r="Y955" s="46"/>
      <c r="Z955" s="46"/>
      <c r="AA955" s="46"/>
      <c r="AB955" s="46"/>
    </row>
    <row r="956" hidden="1">
      <c r="A956" s="90" t="s">
        <v>1173</v>
      </c>
      <c r="B956" s="91" t="str">
        <f>IFERROR(VLOOKUP(A956,'Salary Calculation'!A956:F1953,2,0),"")</f>
        <v/>
      </c>
      <c r="C956" s="91" t="str">
        <f>IFERROR(VLOOKUP(A956,'Salary Calculation'!$A$2:$T$999,3,0),"")</f>
        <v/>
      </c>
      <c r="D956" s="91" t="str">
        <f>IFERROR(VLOOKUP(A956,'Salary Calculation'!$A$2:$T$999,6,0),"")</f>
        <v/>
      </c>
      <c r="E956" s="91" t="str">
        <f>IFERROR(VLOOKUP(A956,'Salary Calculation'!$A$2:$T$999,8,0),"")</f>
        <v/>
      </c>
      <c r="F956" s="92" t="str">
        <f>IFERROR(VLOOKUP(C956,'Employees List'!$B$2:H999,6,0),"")</f>
        <v/>
      </c>
      <c r="G956" s="93" t="str">
        <f>IFERROR(VLOOKUP(A956,'Salary Calculation'!$A$2:$T$999,7,0),"")</f>
        <v/>
      </c>
      <c r="H956" s="94"/>
      <c r="I956" s="46"/>
      <c r="J956" s="46"/>
      <c r="K956" s="46"/>
      <c r="L956" s="46"/>
      <c r="M956" s="46"/>
      <c r="N956" s="46"/>
      <c r="O956" s="46"/>
      <c r="P956" s="46"/>
      <c r="Q956" s="46"/>
      <c r="R956" s="46"/>
      <c r="S956" s="46"/>
      <c r="T956" s="46"/>
      <c r="U956" s="46"/>
      <c r="V956" s="46"/>
      <c r="W956" s="46"/>
      <c r="X956" s="46"/>
      <c r="Y956" s="46"/>
      <c r="Z956" s="46"/>
      <c r="AA956" s="46"/>
      <c r="AB956" s="46"/>
    </row>
    <row r="957" hidden="1">
      <c r="A957" s="90" t="s">
        <v>1174</v>
      </c>
      <c r="B957" s="91" t="str">
        <f>IFERROR(VLOOKUP(A957,'Salary Calculation'!A957:F1954,2,0),"")</f>
        <v/>
      </c>
      <c r="C957" s="91" t="str">
        <f>IFERROR(VLOOKUP(A957,'Salary Calculation'!$A$2:$T$999,3,0),"")</f>
        <v/>
      </c>
      <c r="D957" s="91" t="str">
        <f>IFERROR(VLOOKUP(A957,'Salary Calculation'!$A$2:$T$999,6,0),"")</f>
        <v/>
      </c>
      <c r="E957" s="91" t="str">
        <f>IFERROR(VLOOKUP(A957,'Salary Calculation'!$A$2:$T$999,8,0),"")</f>
        <v/>
      </c>
      <c r="F957" s="92" t="str">
        <f>IFERROR(VLOOKUP(C957,'Employees List'!$B$2:H999,6,0),"")</f>
        <v/>
      </c>
      <c r="G957" s="93" t="str">
        <f>IFERROR(VLOOKUP(A957,'Salary Calculation'!$A$2:$T$999,7,0),"")</f>
        <v/>
      </c>
      <c r="H957" s="94"/>
      <c r="I957" s="46"/>
      <c r="J957" s="46"/>
      <c r="K957" s="46"/>
      <c r="L957" s="46"/>
      <c r="M957" s="46"/>
      <c r="N957" s="46"/>
      <c r="O957" s="46"/>
      <c r="P957" s="46"/>
      <c r="Q957" s="46"/>
      <c r="R957" s="46"/>
      <c r="S957" s="46"/>
      <c r="T957" s="46"/>
      <c r="U957" s="46"/>
      <c r="V957" s="46"/>
      <c r="W957" s="46"/>
      <c r="X957" s="46"/>
      <c r="Y957" s="46"/>
      <c r="Z957" s="46"/>
      <c r="AA957" s="46"/>
      <c r="AB957" s="46"/>
    </row>
    <row r="958" hidden="1">
      <c r="A958" s="90" t="s">
        <v>1175</v>
      </c>
      <c r="B958" s="91" t="str">
        <f>IFERROR(VLOOKUP(A958,'Salary Calculation'!A958:F1955,2,0),"")</f>
        <v/>
      </c>
      <c r="C958" s="91" t="str">
        <f>IFERROR(VLOOKUP(A958,'Salary Calculation'!$A$2:$T$999,3,0),"")</f>
        <v/>
      </c>
      <c r="D958" s="91" t="str">
        <f>IFERROR(VLOOKUP(A958,'Salary Calculation'!$A$2:$T$999,6,0),"")</f>
        <v/>
      </c>
      <c r="E958" s="91" t="str">
        <f>IFERROR(VLOOKUP(A958,'Salary Calculation'!$A$2:$T$999,8,0),"")</f>
        <v/>
      </c>
      <c r="F958" s="92" t="str">
        <f>IFERROR(VLOOKUP(C958,'Employees List'!$B$2:H999,6,0),"")</f>
        <v/>
      </c>
      <c r="G958" s="93" t="str">
        <f>IFERROR(VLOOKUP(A958,'Salary Calculation'!$A$2:$T$999,7,0),"")</f>
        <v/>
      </c>
      <c r="H958" s="94"/>
      <c r="I958" s="46"/>
      <c r="J958" s="46"/>
      <c r="K958" s="46"/>
      <c r="L958" s="46"/>
      <c r="M958" s="46"/>
      <c r="N958" s="46"/>
      <c r="O958" s="46"/>
      <c r="P958" s="46"/>
      <c r="Q958" s="46"/>
      <c r="R958" s="46"/>
      <c r="S958" s="46"/>
      <c r="T958" s="46"/>
      <c r="U958" s="46"/>
      <c r="V958" s="46"/>
      <c r="W958" s="46"/>
      <c r="X958" s="46"/>
      <c r="Y958" s="46"/>
      <c r="Z958" s="46"/>
      <c r="AA958" s="46"/>
      <c r="AB958" s="46"/>
    </row>
    <row r="959" hidden="1">
      <c r="A959" s="90" t="s">
        <v>1176</v>
      </c>
      <c r="B959" s="91" t="str">
        <f>IFERROR(VLOOKUP(A959,'Salary Calculation'!A959:F1956,2,0),"")</f>
        <v/>
      </c>
      <c r="C959" s="91" t="str">
        <f>IFERROR(VLOOKUP(A959,'Salary Calculation'!$A$2:$T$999,3,0),"")</f>
        <v/>
      </c>
      <c r="D959" s="91" t="str">
        <f>IFERROR(VLOOKUP(A959,'Salary Calculation'!$A$2:$T$999,6,0),"")</f>
        <v/>
      </c>
      <c r="E959" s="91" t="str">
        <f>IFERROR(VLOOKUP(A959,'Salary Calculation'!$A$2:$T$999,8,0),"")</f>
        <v/>
      </c>
      <c r="F959" s="92" t="str">
        <f>IFERROR(VLOOKUP(C959,'Employees List'!$B$2:H999,6,0),"")</f>
        <v/>
      </c>
      <c r="G959" s="93" t="str">
        <f>IFERROR(VLOOKUP(A959,'Salary Calculation'!$A$2:$T$999,7,0),"")</f>
        <v/>
      </c>
      <c r="H959" s="94"/>
      <c r="I959" s="46"/>
      <c r="J959" s="46"/>
      <c r="K959" s="46"/>
      <c r="L959" s="46"/>
      <c r="M959" s="46"/>
      <c r="N959" s="46"/>
      <c r="O959" s="46"/>
      <c r="P959" s="46"/>
      <c r="Q959" s="46"/>
      <c r="R959" s="46"/>
      <c r="S959" s="46"/>
      <c r="T959" s="46"/>
      <c r="U959" s="46"/>
      <c r="V959" s="46"/>
      <c r="W959" s="46"/>
      <c r="X959" s="46"/>
      <c r="Y959" s="46"/>
      <c r="Z959" s="46"/>
      <c r="AA959" s="46"/>
      <c r="AB959" s="46"/>
    </row>
    <row r="960" hidden="1">
      <c r="A960" s="90" t="s">
        <v>1177</v>
      </c>
      <c r="B960" s="91" t="str">
        <f>IFERROR(VLOOKUP(A960,'Salary Calculation'!A960:F1957,2,0),"")</f>
        <v/>
      </c>
      <c r="C960" s="91" t="str">
        <f>IFERROR(VLOOKUP(A960,'Salary Calculation'!$A$2:$T$999,3,0),"")</f>
        <v/>
      </c>
      <c r="D960" s="91" t="str">
        <f>IFERROR(VLOOKUP(A960,'Salary Calculation'!$A$2:$T$999,6,0),"")</f>
        <v/>
      </c>
      <c r="E960" s="91" t="str">
        <f>IFERROR(VLOOKUP(A960,'Salary Calculation'!$A$2:$T$999,8,0),"")</f>
        <v/>
      </c>
      <c r="F960" s="92" t="str">
        <f>IFERROR(VLOOKUP(C960,'Employees List'!$B$2:H999,6,0),"")</f>
        <v/>
      </c>
      <c r="G960" s="93" t="str">
        <f>IFERROR(VLOOKUP(A960,'Salary Calculation'!$A$2:$T$999,7,0),"")</f>
        <v/>
      </c>
      <c r="H960" s="94"/>
      <c r="I960" s="46"/>
      <c r="J960" s="46"/>
      <c r="K960" s="46"/>
      <c r="L960" s="46"/>
      <c r="M960" s="46"/>
      <c r="N960" s="46"/>
      <c r="O960" s="46"/>
      <c r="P960" s="46"/>
      <c r="Q960" s="46"/>
      <c r="R960" s="46"/>
      <c r="S960" s="46"/>
      <c r="T960" s="46"/>
      <c r="U960" s="46"/>
      <c r="V960" s="46"/>
      <c r="W960" s="46"/>
      <c r="X960" s="46"/>
      <c r="Y960" s="46"/>
      <c r="Z960" s="46"/>
      <c r="AA960" s="46"/>
      <c r="AB960" s="46"/>
    </row>
    <row r="961" hidden="1">
      <c r="A961" s="90" t="s">
        <v>1178</v>
      </c>
      <c r="B961" s="91" t="str">
        <f>IFERROR(VLOOKUP(A961,'Salary Calculation'!A961:F1958,2,0),"")</f>
        <v/>
      </c>
      <c r="C961" s="91" t="str">
        <f>IFERROR(VLOOKUP(A961,'Salary Calculation'!$A$2:$T$999,3,0),"")</f>
        <v/>
      </c>
      <c r="D961" s="91" t="str">
        <f>IFERROR(VLOOKUP(A961,'Salary Calculation'!$A$2:$T$999,6,0),"")</f>
        <v/>
      </c>
      <c r="E961" s="91" t="str">
        <f>IFERROR(VLOOKUP(A961,'Salary Calculation'!$A$2:$T$999,8,0),"")</f>
        <v/>
      </c>
      <c r="F961" s="92" t="str">
        <f>IFERROR(VLOOKUP(C961,'Employees List'!$B$2:H999,6,0),"")</f>
        <v/>
      </c>
      <c r="G961" s="93" t="str">
        <f>IFERROR(VLOOKUP(A961,'Salary Calculation'!$A$2:$T$999,7,0),"")</f>
        <v/>
      </c>
      <c r="H961" s="94"/>
      <c r="I961" s="46"/>
      <c r="J961" s="46"/>
      <c r="K961" s="46"/>
      <c r="L961" s="46"/>
      <c r="M961" s="46"/>
      <c r="N961" s="46"/>
      <c r="O961" s="46"/>
      <c r="P961" s="46"/>
      <c r="Q961" s="46"/>
      <c r="R961" s="46"/>
      <c r="S961" s="46"/>
      <c r="T961" s="46"/>
      <c r="U961" s="46"/>
      <c r="V961" s="46"/>
      <c r="W961" s="46"/>
      <c r="X961" s="46"/>
      <c r="Y961" s="46"/>
      <c r="Z961" s="46"/>
      <c r="AA961" s="46"/>
      <c r="AB961" s="46"/>
    </row>
    <row r="962" hidden="1">
      <c r="A962" s="90" t="s">
        <v>1179</v>
      </c>
      <c r="B962" s="91" t="str">
        <f>IFERROR(VLOOKUP(A962,'Salary Calculation'!A962:F1959,2,0),"")</f>
        <v/>
      </c>
      <c r="C962" s="91" t="str">
        <f>IFERROR(VLOOKUP(A962,'Salary Calculation'!$A$2:$T$999,3,0),"")</f>
        <v/>
      </c>
      <c r="D962" s="91" t="str">
        <f>IFERROR(VLOOKUP(A962,'Salary Calculation'!$A$2:$T$999,6,0),"")</f>
        <v/>
      </c>
      <c r="E962" s="91" t="str">
        <f>IFERROR(VLOOKUP(A962,'Salary Calculation'!$A$2:$T$999,8,0),"")</f>
        <v/>
      </c>
      <c r="F962" s="92" t="str">
        <f>IFERROR(VLOOKUP(C962,'Employees List'!$B$2:H999,6,0),"")</f>
        <v/>
      </c>
      <c r="G962" s="93" t="str">
        <f>IFERROR(VLOOKUP(A962,'Salary Calculation'!$A$2:$T$999,7,0),"")</f>
        <v/>
      </c>
      <c r="H962" s="94"/>
      <c r="I962" s="46"/>
      <c r="J962" s="46"/>
      <c r="K962" s="46"/>
      <c r="L962" s="46"/>
      <c r="M962" s="46"/>
      <c r="N962" s="46"/>
      <c r="O962" s="46"/>
      <c r="P962" s="46"/>
      <c r="Q962" s="46"/>
      <c r="R962" s="46"/>
      <c r="S962" s="46"/>
      <c r="T962" s="46"/>
      <c r="U962" s="46"/>
      <c r="V962" s="46"/>
      <c r="W962" s="46"/>
      <c r="X962" s="46"/>
      <c r="Y962" s="46"/>
      <c r="Z962" s="46"/>
      <c r="AA962" s="46"/>
      <c r="AB962" s="46"/>
    </row>
    <row r="963" hidden="1">
      <c r="A963" s="90" t="s">
        <v>1180</v>
      </c>
      <c r="B963" s="91" t="str">
        <f>IFERROR(VLOOKUP(A963,'Salary Calculation'!A963:F1960,2,0),"")</f>
        <v/>
      </c>
      <c r="C963" s="91" t="str">
        <f>IFERROR(VLOOKUP(A963,'Salary Calculation'!$A$2:$T$999,3,0),"")</f>
        <v/>
      </c>
      <c r="D963" s="91" t="str">
        <f>IFERROR(VLOOKUP(A963,'Salary Calculation'!$A$2:$T$999,6,0),"")</f>
        <v/>
      </c>
      <c r="E963" s="91" t="str">
        <f>IFERROR(VLOOKUP(A963,'Salary Calculation'!$A$2:$T$999,8,0),"")</f>
        <v/>
      </c>
      <c r="F963" s="92" t="str">
        <f>IFERROR(VLOOKUP(C963,'Employees List'!$B$2:H999,6,0),"")</f>
        <v/>
      </c>
      <c r="G963" s="93" t="str">
        <f>IFERROR(VLOOKUP(A963,'Salary Calculation'!$A$2:$T$999,7,0),"")</f>
        <v/>
      </c>
      <c r="H963" s="94"/>
      <c r="I963" s="46"/>
      <c r="J963" s="46"/>
      <c r="K963" s="46"/>
      <c r="L963" s="46"/>
      <c r="M963" s="46"/>
      <c r="N963" s="46"/>
      <c r="O963" s="46"/>
      <c r="P963" s="46"/>
      <c r="Q963" s="46"/>
      <c r="R963" s="46"/>
      <c r="S963" s="46"/>
      <c r="T963" s="46"/>
      <c r="U963" s="46"/>
      <c r="V963" s="46"/>
      <c r="W963" s="46"/>
      <c r="X963" s="46"/>
      <c r="Y963" s="46"/>
      <c r="Z963" s="46"/>
      <c r="AA963" s="46"/>
      <c r="AB963" s="46"/>
    </row>
    <row r="964" hidden="1">
      <c r="A964" s="90" t="s">
        <v>1181</v>
      </c>
      <c r="B964" s="91" t="str">
        <f>IFERROR(VLOOKUP(A964,'Salary Calculation'!A964:F1961,2,0),"")</f>
        <v/>
      </c>
      <c r="C964" s="91" t="str">
        <f>IFERROR(VLOOKUP(A964,'Salary Calculation'!$A$2:$T$999,3,0),"")</f>
        <v/>
      </c>
      <c r="D964" s="91" t="str">
        <f>IFERROR(VLOOKUP(A964,'Salary Calculation'!$A$2:$T$999,6,0),"")</f>
        <v/>
      </c>
      <c r="E964" s="91" t="str">
        <f>IFERROR(VLOOKUP(A964,'Salary Calculation'!$A$2:$T$999,8,0),"")</f>
        <v/>
      </c>
      <c r="F964" s="92" t="str">
        <f>IFERROR(VLOOKUP(C964,'Employees List'!$B$2:H999,6,0),"")</f>
        <v/>
      </c>
      <c r="G964" s="93" t="str">
        <f>IFERROR(VLOOKUP(A964,'Salary Calculation'!$A$2:$T$999,7,0),"")</f>
        <v/>
      </c>
      <c r="H964" s="94"/>
      <c r="I964" s="46"/>
      <c r="J964" s="46"/>
      <c r="K964" s="46"/>
      <c r="L964" s="46"/>
      <c r="M964" s="46"/>
      <c r="N964" s="46"/>
      <c r="O964" s="46"/>
      <c r="P964" s="46"/>
      <c r="Q964" s="46"/>
      <c r="R964" s="46"/>
      <c r="S964" s="46"/>
      <c r="T964" s="46"/>
      <c r="U964" s="46"/>
      <c r="V964" s="46"/>
      <c r="W964" s="46"/>
      <c r="X964" s="46"/>
      <c r="Y964" s="46"/>
      <c r="Z964" s="46"/>
      <c r="AA964" s="46"/>
      <c r="AB964" s="46"/>
    </row>
    <row r="965" hidden="1">
      <c r="A965" s="90" t="s">
        <v>1182</v>
      </c>
      <c r="B965" s="91" t="str">
        <f>IFERROR(VLOOKUP(A965,'Salary Calculation'!A965:F1962,2,0),"")</f>
        <v/>
      </c>
      <c r="C965" s="91" t="str">
        <f>IFERROR(VLOOKUP(A965,'Salary Calculation'!$A$2:$T$999,3,0),"")</f>
        <v/>
      </c>
      <c r="D965" s="91" t="str">
        <f>IFERROR(VLOOKUP(A965,'Salary Calculation'!$A$2:$T$999,6,0),"")</f>
        <v/>
      </c>
      <c r="E965" s="91" t="str">
        <f>IFERROR(VLOOKUP(A965,'Salary Calculation'!$A$2:$T$999,8,0),"")</f>
        <v/>
      </c>
      <c r="F965" s="92" t="str">
        <f>IFERROR(VLOOKUP(C965,'Employees List'!$B$2:H999,6,0),"")</f>
        <v/>
      </c>
      <c r="G965" s="93" t="str">
        <f>IFERROR(VLOOKUP(A965,'Salary Calculation'!$A$2:$T$999,7,0),"")</f>
        <v/>
      </c>
      <c r="H965" s="94"/>
      <c r="I965" s="46"/>
      <c r="J965" s="46"/>
      <c r="K965" s="46"/>
      <c r="L965" s="46"/>
      <c r="M965" s="46"/>
      <c r="N965" s="46"/>
      <c r="O965" s="46"/>
      <c r="P965" s="46"/>
      <c r="Q965" s="46"/>
      <c r="R965" s="46"/>
      <c r="S965" s="46"/>
      <c r="T965" s="46"/>
      <c r="U965" s="46"/>
      <c r="V965" s="46"/>
      <c r="W965" s="46"/>
      <c r="X965" s="46"/>
      <c r="Y965" s="46"/>
      <c r="Z965" s="46"/>
      <c r="AA965" s="46"/>
      <c r="AB965" s="46"/>
    </row>
    <row r="966" hidden="1">
      <c r="A966" s="90" t="s">
        <v>1183</v>
      </c>
      <c r="B966" s="91" t="str">
        <f>IFERROR(VLOOKUP(A966,'Salary Calculation'!A966:F1963,2,0),"")</f>
        <v/>
      </c>
      <c r="C966" s="91" t="str">
        <f>IFERROR(VLOOKUP(A966,'Salary Calculation'!$A$2:$T$999,3,0),"")</f>
        <v/>
      </c>
      <c r="D966" s="91" t="str">
        <f>IFERROR(VLOOKUP(A966,'Salary Calculation'!$A$2:$T$999,6,0),"")</f>
        <v/>
      </c>
      <c r="E966" s="91" t="str">
        <f>IFERROR(VLOOKUP(A966,'Salary Calculation'!$A$2:$T$999,8,0),"")</f>
        <v/>
      </c>
      <c r="F966" s="92" t="str">
        <f>IFERROR(VLOOKUP(C966,'Employees List'!$B$2:H999,6,0),"")</f>
        <v/>
      </c>
      <c r="G966" s="93" t="str">
        <f>IFERROR(VLOOKUP(A966,'Salary Calculation'!$A$2:$T$999,7,0),"")</f>
        <v/>
      </c>
      <c r="H966" s="94"/>
      <c r="I966" s="46"/>
      <c r="J966" s="46"/>
      <c r="K966" s="46"/>
      <c r="L966" s="46"/>
      <c r="M966" s="46"/>
      <c r="N966" s="46"/>
      <c r="O966" s="46"/>
      <c r="P966" s="46"/>
      <c r="Q966" s="46"/>
      <c r="R966" s="46"/>
      <c r="S966" s="46"/>
      <c r="T966" s="46"/>
      <c r="U966" s="46"/>
      <c r="V966" s="46"/>
      <c r="W966" s="46"/>
      <c r="X966" s="46"/>
      <c r="Y966" s="46"/>
      <c r="Z966" s="46"/>
      <c r="AA966" s="46"/>
      <c r="AB966" s="46"/>
    </row>
    <row r="967" hidden="1">
      <c r="A967" s="90" t="s">
        <v>1184</v>
      </c>
      <c r="B967" s="91" t="str">
        <f>IFERROR(VLOOKUP(A967,'Salary Calculation'!A967:F1964,2,0),"")</f>
        <v/>
      </c>
      <c r="C967" s="91" t="str">
        <f>IFERROR(VLOOKUP(A967,'Salary Calculation'!$A$2:$T$999,3,0),"")</f>
        <v/>
      </c>
      <c r="D967" s="91" t="str">
        <f>IFERROR(VLOOKUP(A967,'Salary Calculation'!$A$2:$T$999,6,0),"")</f>
        <v/>
      </c>
      <c r="E967" s="91" t="str">
        <f>IFERROR(VLOOKUP(A967,'Salary Calculation'!$A$2:$T$999,8,0),"")</f>
        <v/>
      </c>
      <c r="F967" s="92" t="str">
        <f>IFERROR(VLOOKUP(C967,'Employees List'!$B$2:H999,6,0),"")</f>
        <v/>
      </c>
      <c r="G967" s="93" t="str">
        <f>IFERROR(VLOOKUP(A967,'Salary Calculation'!$A$2:$T$999,7,0),"")</f>
        <v/>
      </c>
      <c r="H967" s="94"/>
      <c r="I967" s="46"/>
      <c r="J967" s="46"/>
      <c r="K967" s="46"/>
      <c r="L967" s="46"/>
      <c r="M967" s="46"/>
      <c r="N967" s="46"/>
      <c r="O967" s="46"/>
      <c r="P967" s="46"/>
      <c r="Q967" s="46"/>
      <c r="R967" s="46"/>
      <c r="S967" s="46"/>
      <c r="T967" s="46"/>
      <c r="U967" s="46"/>
      <c r="V967" s="46"/>
      <c r="W967" s="46"/>
      <c r="X967" s="46"/>
      <c r="Y967" s="46"/>
      <c r="Z967" s="46"/>
      <c r="AA967" s="46"/>
      <c r="AB967" s="46"/>
    </row>
    <row r="968" hidden="1">
      <c r="A968" s="90" t="s">
        <v>1185</v>
      </c>
      <c r="B968" s="91" t="str">
        <f>IFERROR(VLOOKUP(A968,'Salary Calculation'!A968:F1965,2,0),"")</f>
        <v/>
      </c>
      <c r="C968" s="91" t="str">
        <f>IFERROR(VLOOKUP(A968,'Salary Calculation'!$A$2:$T$999,3,0),"")</f>
        <v/>
      </c>
      <c r="D968" s="91" t="str">
        <f>IFERROR(VLOOKUP(A968,'Salary Calculation'!$A$2:$T$999,6,0),"")</f>
        <v/>
      </c>
      <c r="E968" s="91" t="str">
        <f>IFERROR(VLOOKUP(A968,'Salary Calculation'!$A$2:$T$999,8,0),"")</f>
        <v/>
      </c>
      <c r="F968" s="92" t="str">
        <f>IFERROR(VLOOKUP(C968,'Employees List'!$B$2:H999,6,0),"")</f>
        <v/>
      </c>
      <c r="G968" s="93" t="str">
        <f>IFERROR(VLOOKUP(A968,'Salary Calculation'!$A$2:$T$999,7,0),"")</f>
        <v/>
      </c>
      <c r="H968" s="94"/>
      <c r="I968" s="46"/>
      <c r="J968" s="46"/>
      <c r="K968" s="46"/>
      <c r="L968" s="46"/>
      <c r="M968" s="46"/>
      <c r="N968" s="46"/>
      <c r="O968" s="46"/>
      <c r="P968" s="46"/>
      <c r="Q968" s="46"/>
      <c r="R968" s="46"/>
      <c r="S968" s="46"/>
      <c r="T968" s="46"/>
      <c r="U968" s="46"/>
      <c r="V968" s="46"/>
      <c r="W968" s="46"/>
      <c r="X968" s="46"/>
      <c r="Y968" s="46"/>
      <c r="Z968" s="46"/>
      <c r="AA968" s="46"/>
      <c r="AB968" s="46"/>
    </row>
    <row r="969" hidden="1">
      <c r="A969" s="90" t="s">
        <v>1186</v>
      </c>
      <c r="B969" s="91" t="str">
        <f>IFERROR(VLOOKUP(A969,'Salary Calculation'!A969:F1966,2,0),"")</f>
        <v/>
      </c>
      <c r="C969" s="91" t="str">
        <f>IFERROR(VLOOKUP(A969,'Salary Calculation'!$A$2:$T$999,3,0),"")</f>
        <v/>
      </c>
      <c r="D969" s="91" t="str">
        <f>IFERROR(VLOOKUP(A969,'Salary Calculation'!$A$2:$T$999,6,0),"")</f>
        <v/>
      </c>
      <c r="E969" s="91" t="str">
        <f>IFERROR(VLOOKUP(A969,'Salary Calculation'!$A$2:$T$999,8,0),"")</f>
        <v/>
      </c>
      <c r="F969" s="92" t="str">
        <f>IFERROR(VLOOKUP(C969,'Employees List'!$B$2:H999,6,0),"")</f>
        <v/>
      </c>
      <c r="G969" s="93" t="str">
        <f>IFERROR(VLOOKUP(A969,'Salary Calculation'!$A$2:$T$999,7,0),"")</f>
        <v/>
      </c>
      <c r="H969" s="94"/>
      <c r="I969" s="46"/>
      <c r="J969" s="46"/>
      <c r="K969" s="46"/>
      <c r="L969" s="46"/>
      <c r="M969" s="46"/>
      <c r="N969" s="46"/>
      <c r="O969" s="46"/>
      <c r="P969" s="46"/>
      <c r="Q969" s="46"/>
      <c r="R969" s="46"/>
      <c r="S969" s="46"/>
      <c r="T969" s="46"/>
      <c r="U969" s="46"/>
      <c r="V969" s="46"/>
      <c r="W969" s="46"/>
      <c r="X969" s="46"/>
      <c r="Y969" s="46"/>
      <c r="Z969" s="46"/>
      <c r="AA969" s="46"/>
      <c r="AB969" s="46"/>
    </row>
    <row r="970" hidden="1">
      <c r="A970" s="90" t="s">
        <v>1187</v>
      </c>
      <c r="B970" s="91" t="str">
        <f>IFERROR(VLOOKUP(A970,'Salary Calculation'!A970:F1967,2,0),"")</f>
        <v/>
      </c>
      <c r="C970" s="91" t="str">
        <f>IFERROR(VLOOKUP(A970,'Salary Calculation'!$A$2:$T$999,3,0),"")</f>
        <v/>
      </c>
      <c r="D970" s="91" t="str">
        <f>IFERROR(VLOOKUP(A970,'Salary Calculation'!$A$2:$T$999,6,0),"")</f>
        <v/>
      </c>
      <c r="E970" s="91" t="str">
        <f>IFERROR(VLOOKUP(A970,'Salary Calculation'!$A$2:$T$999,8,0),"")</f>
        <v/>
      </c>
      <c r="F970" s="92" t="str">
        <f>IFERROR(VLOOKUP(C970,'Employees List'!$B$2:H999,6,0),"")</f>
        <v/>
      </c>
      <c r="G970" s="93" t="str">
        <f>IFERROR(VLOOKUP(A970,'Salary Calculation'!$A$2:$T$999,7,0),"")</f>
        <v/>
      </c>
      <c r="H970" s="94"/>
      <c r="I970" s="46"/>
      <c r="J970" s="46"/>
      <c r="K970" s="46"/>
      <c r="L970" s="46"/>
      <c r="M970" s="46"/>
      <c r="N970" s="46"/>
      <c r="O970" s="46"/>
      <c r="P970" s="46"/>
      <c r="Q970" s="46"/>
      <c r="R970" s="46"/>
      <c r="S970" s="46"/>
      <c r="T970" s="46"/>
      <c r="U970" s="46"/>
      <c r="V970" s="46"/>
      <c r="W970" s="46"/>
      <c r="X970" s="46"/>
      <c r="Y970" s="46"/>
      <c r="Z970" s="46"/>
      <c r="AA970" s="46"/>
      <c r="AB970" s="46"/>
    </row>
    <row r="971" hidden="1">
      <c r="A971" s="90" t="s">
        <v>1188</v>
      </c>
      <c r="B971" s="91" t="str">
        <f>IFERROR(VLOOKUP(A971,'Salary Calculation'!A971:F1968,2,0),"")</f>
        <v/>
      </c>
      <c r="C971" s="91" t="str">
        <f>IFERROR(VLOOKUP(A971,'Salary Calculation'!$A$2:$T$999,3,0),"")</f>
        <v/>
      </c>
      <c r="D971" s="91" t="str">
        <f>IFERROR(VLOOKUP(A971,'Salary Calculation'!$A$2:$T$999,6,0),"")</f>
        <v/>
      </c>
      <c r="E971" s="91" t="str">
        <f>IFERROR(VLOOKUP(A971,'Salary Calculation'!$A$2:$T$999,8,0),"")</f>
        <v/>
      </c>
      <c r="F971" s="92" t="str">
        <f>IFERROR(VLOOKUP(C971,'Employees List'!$B$2:H999,6,0),"")</f>
        <v/>
      </c>
      <c r="G971" s="93" t="str">
        <f>IFERROR(VLOOKUP(A971,'Salary Calculation'!$A$2:$T$999,7,0),"")</f>
        <v/>
      </c>
      <c r="H971" s="94"/>
      <c r="I971" s="46"/>
      <c r="J971" s="46"/>
      <c r="K971" s="46"/>
      <c r="L971" s="46"/>
      <c r="M971" s="46"/>
      <c r="N971" s="46"/>
      <c r="O971" s="46"/>
      <c r="P971" s="46"/>
      <c r="Q971" s="46"/>
      <c r="R971" s="46"/>
      <c r="S971" s="46"/>
      <c r="T971" s="46"/>
      <c r="U971" s="46"/>
      <c r="V971" s="46"/>
      <c r="W971" s="46"/>
      <c r="X971" s="46"/>
      <c r="Y971" s="46"/>
      <c r="Z971" s="46"/>
      <c r="AA971" s="46"/>
      <c r="AB971" s="46"/>
    </row>
    <row r="972" hidden="1">
      <c r="A972" s="90" t="s">
        <v>1189</v>
      </c>
      <c r="B972" s="91" t="str">
        <f>IFERROR(VLOOKUP(A972,'Salary Calculation'!A972:F1969,2,0),"")</f>
        <v/>
      </c>
      <c r="C972" s="91" t="str">
        <f>IFERROR(VLOOKUP(A972,'Salary Calculation'!$A$2:$T$999,3,0),"")</f>
        <v/>
      </c>
      <c r="D972" s="91" t="str">
        <f>IFERROR(VLOOKUP(A972,'Salary Calculation'!$A$2:$T$999,6,0),"")</f>
        <v/>
      </c>
      <c r="E972" s="91" t="str">
        <f>IFERROR(VLOOKUP(A972,'Salary Calculation'!$A$2:$T$999,8,0),"")</f>
        <v/>
      </c>
      <c r="F972" s="92" t="str">
        <f>IFERROR(VLOOKUP(C972,'Employees List'!$B$2:H999,6,0),"")</f>
        <v/>
      </c>
      <c r="G972" s="93" t="str">
        <f>IFERROR(VLOOKUP(A972,'Salary Calculation'!$A$2:$T$999,7,0),"")</f>
        <v/>
      </c>
      <c r="H972" s="94"/>
      <c r="I972" s="46"/>
      <c r="J972" s="46"/>
      <c r="K972" s="46"/>
      <c r="L972" s="46"/>
      <c r="M972" s="46"/>
      <c r="N972" s="46"/>
      <c r="O972" s="46"/>
      <c r="P972" s="46"/>
      <c r="Q972" s="46"/>
      <c r="R972" s="46"/>
      <c r="S972" s="46"/>
      <c r="T972" s="46"/>
      <c r="U972" s="46"/>
      <c r="V972" s="46"/>
      <c r="W972" s="46"/>
      <c r="X972" s="46"/>
      <c r="Y972" s="46"/>
      <c r="Z972" s="46"/>
      <c r="AA972" s="46"/>
      <c r="AB972" s="46"/>
    </row>
    <row r="973" hidden="1">
      <c r="A973" s="90" t="s">
        <v>1190</v>
      </c>
      <c r="B973" s="91" t="str">
        <f>IFERROR(VLOOKUP(A973,'Salary Calculation'!A973:F1970,2,0),"")</f>
        <v/>
      </c>
      <c r="C973" s="91" t="str">
        <f>IFERROR(VLOOKUP(A973,'Salary Calculation'!$A$2:$T$999,3,0),"")</f>
        <v/>
      </c>
      <c r="D973" s="91" t="str">
        <f>IFERROR(VLOOKUP(A973,'Salary Calculation'!$A$2:$T$999,6,0),"")</f>
        <v/>
      </c>
      <c r="E973" s="91" t="str">
        <f>IFERROR(VLOOKUP(A973,'Salary Calculation'!$A$2:$T$999,8,0),"")</f>
        <v/>
      </c>
      <c r="F973" s="92" t="str">
        <f>IFERROR(VLOOKUP(C973,'Employees List'!$B$2:H999,6,0),"")</f>
        <v/>
      </c>
      <c r="G973" s="93" t="str">
        <f>IFERROR(VLOOKUP(A973,'Salary Calculation'!$A$2:$T$999,7,0),"")</f>
        <v/>
      </c>
      <c r="H973" s="94"/>
      <c r="I973" s="46"/>
      <c r="J973" s="46"/>
      <c r="K973" s="46"/>
      <c r="L973" s="46"/>
      <c r="M973" s="46"/>
      <c r="N973" s="46"/>
      <c r="O973" s="46"/>
      <c r="P973" s="46"/>
      <c r="Q973" s="46"/>
      <c r="R973" s="46"/>
      <c r="S973" s="46"/>
      <c r="T973" s="46"/>
      <c r="U973" s="46"/>
      <c r="V973" s="46"/>
      <c r="W973" s="46"/>
      <c r="X973" s="46"/>
      <c r="Y973" s="46"/>
      <c r="Z973" s="46"/>
      <c r="AA973" s="46"/>
      <c r="AB973" s="46"/>
    </row>
    <row r="974" hidden="1">
      <c r="A974" s="90" t="s">
        <v>1191</v>
      </c>
      <c r="B974" s="91" t="str">
        <f>IFERROR(VLOOKUP(A974,'Salary Calculation'!A974:F1971,2,0),"")</f>
        <v/>
      </c>
      <c r="C974" s="91" t="str">
        <f>IFERROR(VLOOKUP(A974,'Salary Calculation'!$A$2:$T$999,3,0),"")</f>
        <v/>
      </c>
      <c r="D974" s="91" t="str">
        <f>IFERROR(VLOOKUP(A974,'Salary Calculation'!$A$2:$T$999,6,0),"")</f>
        <v/>
      </c>
      <c r="E974" s="91" t="str">
        <f>IFERROR(VLOOKUP(A974,'Salary Calculation'!$A$2:$T$999,8,0),"")</f>
        <v/>
      </c>
      <c r="F974" s="92" t="str">
        <f>IFERROR(VLOOKUP(C974,'Employees List'!$B$2:H999,6,0),"")</f>
        <v/>
      </c>
      <c r="G974" s="93" t="str">
        <f>IFERROR(VLOOKUP(A974,'Salary Calculation'!$A$2:$T$999,7,0),"")</f>
        <v/>
      </c>
      <c r="H974" s="94"/>
      <c r="I974" s="46"/>
      <c r="J974" s="46"/>
      <c r="K974" s="46"/>
      <c r="L974" s="46"/>
      <c r="M974" s="46"/>
      <c r="N974" s="46"/>
      <c r="O974" s="46"/>
      <c r="P974" s="46"/>
      <c r="Q974" s="46"/>
      <c r="R974" s="46"/>
      <c r="S974" s="46"/>
      <c r="T974" s="46"/>
      <c r="U974" s="46"/>
      <c r="V974" s="46"/>
      <c r="W974" s="46"/>
      <c r="X974" s="46"/>
      <c r="Y974" s="46"/>
      <c r="Z974" s="46"/>
      <c r="AA974" s="46"/>
      <c r="AB974" s="46"/>
    </row>
    <row r="975" hidden="1">
      <c r="A975" s="90" t="s">
        <v>1192</v>
      </c>
      <c r="B975" s="91" t="str">
        <f>IFERROR(VLOOKUP(A975,'Salary Calculation'!A975:F1972,2,0),"")</f>
        <v/>
      </c>
      <c r="C975" s="91" t="str">
        <f>IFERROR(VLOOKUP(A975,'Salary Calculation'!$A$2:$T$999,3,0),"")</f>
        <v/>
      </c>
      <c r="D975" s="91" t="str">
        <f>IFERROR(VLOOKUP(A975,'Salary Calculation'!$A$2:$T$999,6,0),"")</f>
        <v/>
      </c>
      <c r="E975" s="91" t="str">
        <f>IFERROR(VLOOKUP(A975,'Salary Calculation'!$A$2:$T$999,8,0),"")</f>
        <v/>
      </c>
      <c r="F975" s="92" t="str">
        <f>IFERROR(VLOOKUP(C975,'Employees List'!$B$2:H999,6,0),"")</f>
        <v/>
      </c>
      <c r="G975" s="93" t="str">
        <f>IFERROR(VLOOKUP(A975,'Salary Calculation'!$A$2:$T$999,7,0),"")</f>
        <v/>
      </c>
      <c r="H975" s="94"/>
      <c r="I975" s="46"/>
      <c r="J975" s="46"/>
      <c r="K975" s="46"/>
      <c r="L975" s="46"/>
      <c r="M975" s="46"/>
      <c r="N975" s="46"/>
      <c r="O975" s="46"/>
      <c r="P975" s="46"/>
      <c r="Q975" s="46"/>
      <c r="R975" s="46"/>
      <c r="S975" s="46"/>
      <c r="T975" s="46"/>
      <c r="U975" s="46"/>
      <c r="V975" s="46"/>
      <c r="W975" s="46"/>
      <c r="X975" s="46"/>
      <c r="Y975" s="46"/>
      <c r="Z975" s="46"/>
      <c r="AA975" s="46"/>
      <c r="AB975" s="46"/>
    </row>
    <row r="976" hidden="1">
      <c r="A976" s="90" t="s">
        <v>1193</v>
      </c>
      <c r="B976" s="91" t="str">
        <f>IFERROR(VLOOKUP(A976,'Salary Calculation'!A976:F1973,2,0),"")</f>
        <v/>
      </c>
      <c r="C976" s="91" t="str">
        <f>IFERROR(VLOOKUP(A976,'Salary Calculation'!$A$2:$T$999,3,0),"")</f>
        <v/>
      </c>
      <c r="D976" s="91" t="str">
        <f>IFERROR(VLOOKUP(A976,'Salary Calculation'!$A$2:$T$999,6,0),"")</f>
        <v/>
      </c>
      <c r="E976" s="91" t="str">
        <f>IFERROR(VLOOKUP(A976,'Salary Calculation'!$A$2:$T$999,8,0),"")</f>
        <v/>
      </c>
      <c r="F976" s="92" t="str">
        <f>IFERROR(VLOOKUP(C976,'Employees List'!$B$2:H999,6,0),"")</f>
        <v/>
      </c>
      <c r="G976" s="93" t="str">
        <f>IFERROR(VLOOKUP(A976,'Salary Calculation'!$A$2:$T$999,7,0),"")</f>
        <v/>
      </c>
      <c r="H976" s="94"/>
      <c r="I976" s="46"/>
      <c r="J976" s="46"/>
      <c r="K976" s="46"/>
      <c r="L976" s="46"/>
      <c r="M976" s="46"/>
      <c r="N976" s="46"/>
      <c r="O976" s="46"/>
      <c r="P976" s="46"/>
      <c r="Q976" s="46"/>
      <c r="R976" s="46"/>
      <c r="S976" s="46"/>
      <c r="T976" s="46"/>
      <c r="U976" s="46"/>
      <c r="V976" s="46"/>
      <c r="W976" s="46"/>
      <c r="X976" s="46"/>
      <c r="Y976" s="46"/>
      <c r="Z976" s="46"/>
      <c r="AA976" s="46"/>
      <c r="AB976" s="46"/>
    </row>
    <row r="977" hidden="1">
      <c r="A977" s="90" t="s">
        <v>1194</v>
      </c>
      <c r="B977" s="91" t="str">
        <f>IFERROR(VLOOKUP(A977,'Salary Calculation'!A977:F1974,2,0),"")</f>
        <v/>
      </c>
      <c r="C977" s="91" t="str">
        <f>IFERROR(VLOOKUP(A977,'Salary Calculation'!$A$2:$T$999,3,0),"")</f>
        <v/>
      </c>
      <c r="D977" s="91" t="str">
        <f>IFERROR(VLOOKUP(A977,'Salary Calculation'!$A$2:$T$999,6,0),"")</f>
        <v/>
      </c>
      <c r="E977" s="91" t="str">
        <f>IFERROR(VLOOKUP(A977,'Salary Calculation'!$A$2:$T$999,8,0),"")</f>
        <v/>
      </c>
      <c r="F977" s="92" t="str">
        <f>IFERROR(VLOOKUP(C977,'Employees List'!$B$2:H999,6,0),"")</f>
        <v/>
      </c>
      <c r="G977" s="93" t="str">
        <f>IFERROR(VLOOKUP(A977,'Salary Calculation'!$A$2:$T$999,7,0),"")</f>
        <v/>
      </c>
      <c r="H977" s="94"/>
      <c r="I977" s="46"/>
      <c r="J977" s="46"/>
      <c r="K977" s="46"/>
      <c r="L977" s="46"/>
      <c r="M977" s="46"/>
      <c r="N977" s="46"/>
      <c r="O977" s="46"/>
      <c r="P977" s="46"/>
      <c r="Q977" s="46"/>
      <c r="R977" s="46"/>
      <c r="S977" s="46"/>
      <c r="T977" s="46"/>
      <c r="U977" s="46"/>
      <c r="V977" s="46"/>
      <c r="W977" s="46"/>
      <c r="X977" s="46"/>
      <c r="Y977" s="46"/>
      <c r="Z977" s="46"/>
      <c r="AA977" s="46"/>
      <c r="AB977" s="46"/>
    </row>
    <row r="978" hidden="1">
      <c r="A978" s="90" t="s">
        <v>1195</v>
      </c>
      <c r="B978" s="91" t="str">
        <f>IFERROR(VLOOKUP(A978,'Salary Calculation'!A978:F1975,2,0),"")</f>
        <v/>
      </c>
      <c r="C978" s="91" t="str">
        <f>IFERROR(VLOOKUP(A978,'Salary Calculation'!$A$2:$T$999,3,0),"")</f>
        <v/>
      </c>
      <c r="D978" s="91" t="str">
        <f>IFERROR(VLOOKUP(A978,'Salary Calculation'!$A$2:$T$999,6,0),"")</f>
        <v/>
      </c>
      <c r="E978" s="91" t="str">
        <f>IFERROR(VLOOKUP(A978,'Salary Calculation'!$A$2:$T$999,8,0),"")</f>
        <v/>
      </c>
      <c r="F978" s="92" t="str">
        <f>IFERROR(VLOOKUP(C978,'Employees List'!$B$2:H999,6,0),"")</f>
        <v/>
      </c>
      <c r="G978" s="93" t="str">
        <f>IFERROR(VLOOKUP(A978,'Salary Calculation'!$A$2:$T$999,7,0),"")</f>
        <v/>
      </c>
      <c r="H978" s="94"/>
      <c r="I978" s="46"/>
      <c r="J978" s="46"/>
      <c r="K978" s="46"/>
      <c r="L978" s="46"/>
      <c r="M978" s="46"/>
      <c r="N978" s="46"/>
      <c r="O978" s="46"/>
      <c r="P978" s="46"/>
      <c r="Q978" s="46"/>
      <c r="R978" s="46"/>
      <c r="S978" s="46"/>
      <c r="T978" s="46"/>
      <c r="U978" s="46"/>
      <c r="V978" s="46"/>
      <c r="W978" s="46"/>
      <c r="X978" s="46"/>
      <c r="Y978" s="46"/>
      <c r="Z978" s="46"/>
      <c r="AA978" s="46"/>
      <c r="AB978" s="46"/>
    </row>
    <row r="979" hidden="1">
      <c r="A979" s="90" t="s">
        <v>1196</v>
      </c>
      <c r="B979" s="91" t="str">
        <f>IFERROR(VLOOKUP(A979,'Salary Calculation'!A979:F1976,2,0),"")</f>
        <v/>
      </c>
      <c r="C979" s="91" t="str">
        <f>IFERROR(VLOOKUP(A979,'Salary Calculation'!$A$2:$T$999,3,0),"")</f>
        <v/>
      </c>
      <c r="D979" s="91" t="str">
        <f>IFERROR(VLOOKUP(A979,'Salary Calculation'!$A$2:$T$999,6,0),"")</f>
        <v/>
      </c>
      <c r="E979" s="91" t="str">
        <f>IFERROR(VLOOKUP(A979,'Salary Calculation'!$A$2:$T$999,8,0),"")</f>
        <v/>
      </c>
      <c r="F979" s="92" t="str">
        <f>IFERROR(VLOOKUP(C979,'Employees List'!$B$2:H999,6,0),"")</f>
        <v/>
      </c>
      <c r="G979" s="93" t="str">
        <f>IFERROR(VLOOKUP(A979,'Salary Calculation'!$A$2:$T$999,7,0),"")</f>
        <v/>
      </c>
      <c r="H979" s="94"/>
      <c r="I979" s="46"/>
      <c r="J979" s="46"/>
      <c r="K979" s="46"/>
      <c r="L979" s="46"/>
      <c r="M979" s="46"/>
      <c r="N979" s="46"/>
      <c r="O979" s="46"/>
      <c r="P979" s="46"/>
      <c r="Q979" s="46"/>
      <c r="R979" s="46"/>
      <c r="S979" s="46"/>
      <c r="T979" s="46"/>
      <c r="U979" s="46"/>
      <c r="V979" s="46"/>
      <c r="W979" s="46"/>
      <c r="X979" s="46"/>
      <c r="Y979" s="46"/>
      <c r="Z979" s="46"/>
      <c r="AA979" s="46"/>
      <c r="AB979" s="46"/>
    </row>
    <row r="980" hidden="1">
      <c r="A980" s="90" t="s">
        <v>1197</v>
      </c>
      <c r="B980" s="91" t="str">
        <f>IFERROR(VLOOKUP(A980,'Salary Calculation'!A980:F1977,2,0),"")</f>
        <v/>
      </c>
      <c r="C980" s="91" t="str">
        <f>IFERROR(VLOOKUP(A980,'Salary Calculation'!$A$2:$T$999,3,0),"")</f>
        <v/>
      </c>
      <c r="D980" s="91" t="str">
        <f>IFERROR(VLOOKUP(A980,'Salary Calculation'!$A$2:$T$999,6,0),"")</f>
        <v/>
      </c>
      <c r="E980" s="91" t="str">
        <f>IFERROR(VLOOKUP(A980,'Salary Calculation'!$A$2:$T$999,8,0),"")</f>
        <v/>
      </c>
      <c r="F980" s="92" t="str">
        <f>IFERROR(VLOOKUP(C980,'Employees List'!$B$2:H999,6,0),"")</f>
        <v/>
      </c>
      <c r="G980" s="93" t="str">
        <f>IFERROR(VLOOKUP(A980,'Salary Calculation'!$A$2:$T$999,7,0),"")</f>
        <v/>
      </c>
      <c r="H980" s="94"/>
      <c r="I980" s="46"/>
      <c r="J980" s="46"/>
      <c r="K980" s="46"/>
      <c r="L980" s="46"/>
      <c r="M980" s="46"/>
      <c r="N980" s="46"/>
      <c r="O980" s="46"/>
      <c r="P980" s="46"/>
      <c r="Q980" s="46"/>
      <c r="R980" s="46"/>
      <c r="S980" s="46"/>
      <c r="T980" s="46"/>
      <c r="U980" s="46"/>
      <c r="V980" s="46"/>
      <c r="W980" s="46"/>
      <c r="X980" s="46"/>
      <c r="Y980" s="46"/>
      <c r="Z980" s="46"/>
      <c r="AA980" s="46"/>
      <c r="AB980" s="46"/>
    </row>
    <row r="981" hidden="1">
      <c r="A981" s="90" t="s">
        <v>1198</v>
      </c>
      <c r="B981" s="91" t="str">
        <f>IFERROR(VLOOKUP(A981,'Salary Calculation'!A981:F1978,2,0),"")</f>
        <v/>
      </c>
      <c r="C981" s="91" t="str">
        <f>IFERROR(VLOOKUP(A981,'Salary Calculation'!$A$2:$T$999,3,0),"")</f>
        <v/>
      </c>
      <c r="D981" s="91" t="str">
        <f>IFERROR(VLOOKUP(A981,'Salary Calculation'!$A$2:$T$999,6,0),"")</f>
        <v/>
      </c>
      <c r="E981" s="91" t="str">
        <f>IFERROR(VLOOKUP(A981,'Salary Calculation'!$A$2:$T$999,8,0),"")</f>
        <v/>
      </c>
      <c r="F981" s="92" t="str">
        <f>IFERROR(VLOOKUP(C981,'Employees List'!$B$2:H999,6,0),"")</f>
        <v/>
      </c>
      <c r="G981" s="93" t="str">
        <f>IFERROR(VLOOKUP(A981,'Salary Calculation'!$A$2:$T$999,7,0),"")</f>
        <v/>
      </c>
      <c r="H981" s="94"/>
      <c r="I981" s="46"/>
      <c r="J981" s="46"/>
      <c r="K981" s="46"/>
      <c r="L981" s="46"/>
      <c r="M981" s="46"/>
      <c r="N981" s="46"/>
      <c r="O981" s="46"/>
      <c r="P981" s="46"/>
      <c r="Q981" s="46"/>
      <c r="R981" s="46"/>
      <c r="S981" s="46"/>
      <c r="T981" s="46"/>
      <c r="U981" s="46"/>
      <c r="V981" s="46"/>
      <c r="W981" s="46"/>
      <c r="X981" s="46"/>
      <c r="Y981" s="46"/>
      <c r="Z981" s="46"/>
      <c r="AA981" s="46"/>
      <c r="AB981" s="46"/>
    </row>
    <row r="982" hidden="1">
      <c r="A982" s="90" t="s">
        <v>1199</v>
      </c>
      <c r="B982" s="91" t="str">
        <f>IFERROR(VLOOKUP(A982,'Salary Calculation'!A982:F1979,2,0),"")</f>
        <v/>
      </c>
      <c r="C982" s="91" t="str">
        <f>IFERROR(VLOOKUP(A982,'Salary Calculation'!$A$2:$T$999,3,0),"")</f>
        <v/>
      </c>
      <c r="D982" s="91" t="str">
        <f>IFERROR(VLOOKUP(A982,'Salary Calculation'!$A$2:$T$999,6,0),"")</f>
        <v/>
      </c>
      <c r="E982" s="91" t="str">
        <f>IFERROR(VLOOKUP(A982,'Salary Calculation'!$A$2:$T$999,8,0),"")</f>
        <v/>
      </c>
      <c r="F982" s="92" t="str">
        <f>IFERROR(VLOOKUP(C982,'Employees List'!$B$2:H999,6,0),"")</f>
        <v/>
      </c>
      <c r="G982" s="93" t="str">
        <f>IFERROR(VLOOKUP(A982,'Salary Calculation'!$A$2:$T$999,7,0),"")</f>
        <v/>
      </c>
      <c r="H982" s="94"/>
      <c r="I982" s="46"/>
      <c r="J982" s="46"/>
      <c r="K982" s="46"/>
      <c r="L982" s="46"/>
      <c r="M982" s="46"/>
      <c r="N982" s="46"/>
      <c r="O982" s="46"/>
      <c r="P982" s="46"/>
      <c r="Q982" s="46"/>
      <c r="R982" s="46"/>
      <c r="S982" s="46"/>
      <c r="T982" s="46"/>
      <c r="U982" s="46"/>
      <c r="V982" s="46"/>
      <c r="W982" s="46"/>
      <c r="X982" s="46"/>
      <c r="Y982" s="46"/>
      <c r="Z982" s="46"/>
      <c r="AA982" s="46"/>
      <c r="AB982" s="46"/>
    </row>
    <row r="983" hidden="1">
      <c r="A983" s="90" t="s">
        <v>1200</v>
      </c>
      <c r="B983" s="91" t="str">
        <f>IFERROR(VLOOKUP(A983,'Salary Calculation'!A983:F1980,2,0),"")</f>
        <v/>
      </c>
      <c r="C983" s="91" t="str">
        <f>IFERROR(VLOOKUP(A983,'Salary Calculation'!$A$2:$T$999,3,0),"")</f>
        <v/>
      </c>
      <c r="D983" s="91" t="str">
        <f>IFERROR(VLOOKUP(A983,'Salary Calculation'!$A$2:$T$999,6,0),"")</f>
        <v/>
      </c>
      <c r="E983" s="91" t="str">
        <f>IFERROR(VLOOKUP(A983,'Salary Calculation'!$A$2:$T$999,8,0),"")</f>
        <v/>
      </c>
      <c r="F983" s="92" t="str">
        <f>IFERROR(VLOOKUP(C983,'Employees List'!$B$2:H999,6,0),"")</f>
        <v/>
      </c>
      <c r="G983" s="93" t="str">
        <f>IFERROR(VLOOKUP(A983,'Salary Calculation'!$A$2:$T$999,7,0),"")</f>
        <v/>
      </c>
      <c r="H983" s="94"/>
      <c r="I983" s="46"/>
      <c r="J983" s="46"/>
      <c r="K983" s="46"/>
      <c r="L983" s="46"/>
      <c r="M983" s="46"/>
      <c r="N983" s="46"/>
      <c r="O983" s="46"/>
      <c r="P983" s="46"/>
      <c r="Q983" s="46"/>
      <c r="R983" s="46"/>
      <c r="S983" s="46"/>
      <c r="T983" s="46"/>
      <c r="U983" s="46"/>
      <c r="V983" s="46"/>
      <c r="W983" s="46"/>
      <c r="X983" s="46"/>
      <c r="Y983" s="46"/>
      <c r="Z983" s="46"/>
      <c r="AA983" s="46"/>
      <c r="AB983" s="46"/>
    </row>
    <row r="984" hidden="1">
      <c r="A984" s="90" t="s">
        <v>1201</v>
      </c>
      <c r="B984" s="91" t="str">
        <f>IFERROR(VLOOKUP(A984,'Salary Calculation'!A984:F1981,2,0),"")</f>
        <v/>
      </c>
      <c r="C984" s="91" t="str">
        <f>IFERROR(VLOOKUP(A984,'Salary Calculation'!$A$2:$T$999,3,0),"")</f>
        <v/>
      </c>
      <c r="D984" s="91" t="str">
        <f>IFERROR(VLOOKUP(A984,'Salary Calculation'!$A$2:$T$999,6,0),"")</f>
        <v/>
      </c>
      <c r="E984" s="91" t="str">
        <f>IFERROR(VLOOKUP(A984,'Salary Calculation'!$A$2:$T$999,8,0),"")</f>
        <v/>
      </c>
      <c r="F984" s="92" t="str">
        <f>IFERROR(VLOOKUP(C984,'Employees List'!$B$2:H999,6,0),"")</f>
        <v/>
      </c>
      <c r="G984" s="93" t="str">
        <f>IFERROR(VLOOKUP(A984,'Salary Calculation'!$A$2:$T$999,7,0),"")</f>
        <v/>
      </c>
      <c r="H984" s="94"/>
      <c r="I984" s="46"/>
      <c r="J984" s="46"/>
      <c r="K984" s="46"/>
      <c r="L984" s="46"/>
      <c r="M984" s="46"/>
      <c r="N984" s="46"/>
      <c r="O984" s="46"/>
      <c r="P984" s="46"/>
      <c r="Q984" s="46"/>
      <c r="R984" s="46"/>
      <c r="S984" s="46"/>
      <c r="T984" s="46"/>
      <c r="U984" s="46"/>
      <c r="V984" s="46"/>
      <c r="W984" s="46"/>
      <c r="X984" s="46"/>
      <c r="Y984" s="46"/>
      <c r="Z984" s="46"/>
      <c r="AA984" s="46"/>
      <c r="AB984" s="46"/>
    </row>
    <row r="985" hidden="1">
      <c r="A985" s="90" t="s">
        <v>1202</v>
      </c>
      <c r="B985" s="91" t="str">
        <f>IFERROR(VLOOKUP(A985,'Salary Calculation'!A985:F1982,2,0),"")</f>
        <v/>
      </c>
      <c r="C985" s="91" t="str">
        <f>IFERROR(VLOOKUP(A985,'Salary Calculation'!$A$2:$T$999,3,0),"")</f>
        <v/>
      </c>
      <c r="D985" s="91" t="str">
        <f>IFERROR(VLOOKUP(A985,'Salary Calculation'!$A$2:$T$999,6,0),"")</f>
        <v/>
      </c>
      <c r="E985" s="91" t="str">
        <f>IFERROR(VLOOKUP(A985,'Salary Calculation'!$A$2:$T$999,8,0),"")</f>
        <v/>
      </c>
      <c r="F985" s="92" t="str">
        <f>IFERROR(VLOOKUP(C985,'Employees List'!$B$2:H999,6,0),"")</f>
        <v/>
      </c>
      <c r="G985" s="93" t="str">
        <f>IFERROR(VLOOKUP(A985,'Salary Calculation'!$A$2:$T$999,7,0),"")</f>
        <v/>
      </c>
      <c r="H985" s="94"/>
      <c r="I985" s="46"/>
      <c r="J985" s="46"/>
      <c r="K985" s="46"/>
      <c r="L985" s="46"/>
      <c r="M985" s="46"/>
      <c r="N985" s="46"/>
      <c r="O985" s="46"/>
      <c r="P985" s="46"/>
      <c r="Q985" s="46"/>
      <c r="R985" s="46"/>
      <c r="S985" s="46"/>
      <c r="T985" s="46"/>
      <c r="U985" s="46"/>
      <c r="V985" s="46"/>
      <c r="W985" s="46"/>
      <c r="X985" s="46"/>
      <c r="Y985" s="46"/>
      <c r="Z985" s="46"/>
      <c r="AA985" s="46"/>
      <c r="AB985" s="46"/>
    </row>
    <row r="986" hidden="1">
      <c r="A986" s="90" t="s">
        <v>1203</v>
      </c>
      <c r="B986" s="91" t="str">
        <f>IFERROR(VLOOKUP(A986,'Salary Calculation'!A986:F1983,2,0),"")</f>
        <v/>
      </c>
      <c r="C986" s="91" t="str">
        <f>IFERROR(VLOOKUP(A986,'Salary Calculation'!$A$2:$T$999,3,0),"")</f>
        <v/>
      </c>
      <c r="D986" s="91" t="str">
        <f>IFERROR(VLOOKUP(A986,'Salary Calculation'!$A$2:$T$999,6,0),"")</f>
        <v/>
      </c>
      <c r="E986" s="91" t="str">
        <f>IFERROR(VLOOKUP(A986,'Salary Calculation'!$A$2:$T$999,8,0),"")</f>
        <v/>
      </c>
      <c r="F986" s="92" t="str">
        <f>IFERROR(VLOOKUP(C986,'Employees List'!$B$2:H999,6,0),"")</f>
        <v/>
      </c>
      <c r="G986" s="93" t="str">
        <f>IFERROR(VLOOKUP(A986,'Salary Calculation'!$A$2:$T$999,7,0),"")</f>
        <v/>
      </c>
      <c r="H986" s="94"/>
      <c r="I986" s="46"/>
      <c r="J986" s="46"/>
      <c r="K986" s="46"/>
      <c r="L986" s="46"/>
      <c r="M986" s="46"/>
      <c r="N986" s="46"/>
      <c r="O986" s="46"/>
      <c r="P986" s="46"/>
      <c r="Q986" s="46"/>
      <c r="R986" s="46"/>
      <c r="S986" s="46"/>
      <c r="T986" s="46"/>
      <c r="U986" s="46"/>
      <c r="V986" s="46"/>
      <c r="W986" s="46"/>
      <c r="X986" s="46"/>
      <c r="Y986" s="46"/>
      <c r="Z986" s="46"/>
      <c r="AA986" s="46"/>
      <c r="AB986" s="46"/>
    </row>
    <row r="987" hidden="1">
      <c r="A987" s="90" t="s">
        <v>1204</v>
      </c>
      <c r="B987" s="91" t="str">
        <f>IFERROR(VLOOKUP(A987,'Salary Calculation'!A987:F1984,2,0),"")</f>
        <v/>
      </c>
      <c r="C987" s="91" t="str">
        <f>IFERROR(VLOOKUP(A987,'Salary Calculation'!$A$2:$T$999,3,0),"")</f>
        <v/>
      </c>
      <c r="D987" s="91" t="str">
        <f>IFERROR(VLOOKUP(A987,'Salary Calculation'!$A$2:$T$999,6,0),"")</f>
        <v/>
      </c>
      <c r="E987" s="91" t="str">
        <f>IFERROR(VLOOKUP(A987,'Salary Calculation'!$A$2:$T$999,8,0),"")</f>
        <v/>
      </c>
      <c r="F987" s="92" t="str">
        <f>IFERROR(VLOOKUP(C987,'Employees List'!$B$2:H999,6,0),"")</f>
        <v/>
      </c>
      <c r="G987" s="93" t="str">
        <f>IFERROR(VLOOKUP(A987,'Salary Calculation'!$A$2:$T$999,7,0),"")</f>
        <v/>
      </c>
      <c r="H987" s="94"/>
      <c r="I987" s="46"/>
      <c r="J987" s="46"/>
      <c r="K987" s="46"/>
      <c r="L987" s="46"/>
      <c r="M987" s="46"/>
      <c r="N987" s="46"/>
      <c r="O987" s="46"/>
      <c r="P987" s="46"/>
      <c r="Q987" s="46"/>
      <c r="R987" s="46"/>
      <c r="S987" s="46"/>
      <c r="T987" s="46"/>
      <c r="U987" s="46"/>
      <c r="V987" s="46"/>
      <c r="W987" s="46"/>
      <c r="X987" s="46"/>
      <c r="Y987" s="46"/>
      <c r="Z987" s="46"/>
      <c r="AA987" s="46"/>
      <c r="AB987" s="46"/>
    </row>
    <row r="988" hidden="1">
      <c r="A988" s="90" t="s">
        <v>1205</v>
      </c>
      <c r="B988" s="91" t="str">
        <f>IFERROR(VLOOKUP(A988,'Salary Calculation'!A988:F1985,2,0),"")</f>
        <v/>
      </c>
      <c r="C988" s="91" t="str">
        <f>IFERROR(VLOOKUP(A988,'Salary Calculation'!$A$2:$T$999,3,0),"")</f>
        <v/>
      </c>
      <c r="D988" s="91" t="str">
        <f>IFERROR(VLOOKUP(A988,'Salary Calculation'!$A$2:$T$999,6,0),"")</f>
        <v/>
      </c>
      <c r="E988" s="91" t="str">
        <f>IFERROR(VLOOKUP(A988,'Salary Calculation'!$A$2:$T$999,8,0),"")</f>
        <v/>
      </c>
      <c r="F988" s="92" t="str">
        <f>IFERROR(VLOOKUP(C988,'Employees List'!$B$2:H999,6,0),"")</f>
        <v/>
      </c>
      <c r="G988" s="93" t="str">
        <f>IFERROR(VLOOKUP(A988,'Salary Calculation'!$A$2:$T$999,7,0),"")</f>
        <v/>
      </c>
      <c r="H988" s="94"/>
      <c r="I988" s="46"/>
      <c r="J988" s="46"/>
      <c r="K988" s="46"/>
      <c r="L988" s="46"/>
      <c r="M988" s="46"/>
      <c r="N988" s="46"/>
      <c r="O988" s="46"/>
      <c r="P988" s="46"/>
      <c r="Q988" s="46"/>
      <c r="R988" s="46"/>
      <c r="S988" s="46"/>
      <c r="T988" s="46"/>
      <c r="U988" s="46"/>
      <c r="V988" s="46"/>
      <c r="W988" s="46"/>
      <c r="X988" s="46"/>
      <c r="Y988" s="46"/>
      <c r="Z988" s="46"/>
      <c r="AA988" s="46"/>
      <c r="AB988" s="46"/>
    </row>
    <row r="989" hidden="1">
      <c r="A989" s="90" t="s">
        <v>1206</v>
      </c>
      <c r="B989" s="91" t="str">
        <f>IFERROR(VLOOKUP(A989,'Salary Calculation'!A989:F1986,2,0),"")</f>
        <v/>
      </c>
      <c r="C989" s="91" t="str">
        <f>IFERROR(VLOOKUP(A989,'Salary Calculation'!$A$2:$T$999,3,0),"")</f>
        <v/>
      </c>
      <c r="D989" s="91" t="str">
        <f>IFERROR(VLOOKUP(A989,'Salary Calculation'!$A$2:$T$999,6,0),"")</f>
        <v/>
      </c>
      <c r="E989" s="91" t="str">
        <f>IFERROR(VLOOKUP(A989,'Salary Calculation'!$A$2:$T$999,8,0),"")</f>
        <v/>
      </c>
      <c r="F989" s="92" t="str">
        <f>IFERROR(VLOOKUP(C989,'Employees List'!$B$2:H999,6,0),"")</f>
        <v/>
      </c>
      <c r="G989" s="93" t="str">
        <f>IFERROR(VLOOKUP(A989,'Salary Calculation'!$A$2:$T$999,7,0),"")</f>
        <v/>
      </c>
      <c r="H989" s="94"/>
      <c r="I989" s="46"/>
      <c r="J989" s="46"/>
      <c r="K989" s="46"/>
      <c r="L989" s="46"/>
      <c r="M989" s="46"/>
      <c r="N989" s="46"/>
      <c r="O989" s="46"/>
      <c r="P989" s="46"/>
      <c r="Q989" s="46"/>
      <c r="R989" s="46"/>
      <c r="S989" s="46"/>
      <c r="T989" s="46"/>
      <c r="U989" s="46"/>
      <c r="V989" s="46"/>
      <c r="W989" s="46"/>
      <c r="X989" s="46"/>
      <c r="Y989" s="46"/>
      <c r="Z989" s="46"/>
      <c r="AA989" s="46"/>
      <c r="AB989" s="46"/>
    </row>
    <row r="990" hidden="1">
      <c r="A990" s="90" t="s">
        <v>1207</v>
      </c>
      <c r="B990" s="91" t="str">
        <f>IFERROR(VLOOKUP(A990,'Salary Calculation'!A990:F1987,2,0),"")</f>
        <v/>
      </c>
      <c r="C990" s="91" t="str">
        <f>IFERROR(VLOOKUP(A990,'Salary Calculation'!$A$2:$T$999,3,0),"")</f>
        <v/>
      </c>
      <c r="D990" s="91" t="str">
        <f>IFERROR(VLOOKUP(A990,'Salary Calculation'!$A$2:$T$999,6,0),"")</f>
        <v/>
      </c>
      <c r="E990" s="91" t="str">
        <f>IFERROR(VLOOKUP(A990,'Salary Calculation'!$A$2:$T$999,8,0),"")</f>
        <v/>
      </c>
      <c r="F990" s="92" t="str">
        <f>IFERROR(VLOOKUP(C990,'Employees List'!$B$2:H999,6,0),"")</f>
        <v/>
      </c>
      <c r="G990" s="93" t="str">
        <f>IFERROR(VLOOKUP(A990,'Salary Calculation'!$A$2:$T$999,7,0),"")</f>
        <v/>
      </c>
      <c r="H990" s="94"/>
      <c r="I990" s="46"/>
      <c r="J990" s="46"/>
      <c r="K990" s="46"/>
      <c r="L990" s="46"/>
      <c r="M990" s="46"/>
      <c r="N990" s="46"/>
      <c r="O990" s="46"/>
      <c r="P990" s="46"/>
      <c r="Q990" s="46"/>
      <c r="R990" s="46"/>
      <c r="S990" s="46"/>
      <c r="T990" s="46"/>
      <c r="U990" s="46"/>
      <c r="V990" s="46"/>
      <c r="W990" s="46"/>
      <c r="X990" s="46"/>
      <c r="Y990" s="46"/>
      <c r="Z990" s="46"/>
      <c r="AA990" s="46"/>
      <c r="AB990" s="46"/>
    </row>
    <row r="991" hidden="1">
      <c r="A991" s="90" t="s">
        <v>1208</v>
      </c>
      <c r="B991" s="91" t="str">
        <f>IFERROR(VLOOKUP(A991,'Salary Calculation'!A991:F1988,2,0),"")</f>
        <v/>
      </c>
      <c r="C991" s="91" t="str">
        <f>IFERROR(VLOOKUP(A991,'Salary Calculation'!$A$2:$T$999,3,0),"")</f>
        <v/>
      </c>
      <c r="D991" s="91" t="str">
        <f>IFERROR(VLOOKUP(A991,'Salary Calculation'!$A$2:$T$999,6,0),"")</f>
        <v/>
      </c>
      <c r="E991" s="91" t="str">
        <f>IFERROR(VLOOKUP(A991,'Salary Calculation'!$A$2:$T$999,8,0),"")</f>
        <v/>
      </c>
      <c r="F991" s="92" t="str">
        <f>IFERROR(VLOOKUP(C991,'Employees List'!$B$2:H999,6,0),"")</f>
        <v/>
      </c>
      <c r="G991" s="93" t="str">
        <f>IFERROR(VLOOKUP(A991,'Salary Calculation'!$A$2:$T$999,7,0),"")</f>
        <v/>
      </c>
      <c r="H991" s="94"/>
      <c r="I991" s="46"/>
      <c r="J991" s="46"/>
      <c r="K991" s="46"/>
      <c r="L991" s="46"/>
      <c r="M991" s="46"/>
      <c r="N991" s="46"/>
      <c r="O991" s="46"/>
      <c r="P991" s="46"/>
      <c r="Q991" s="46"/>
      <c r="R991" s="46"/>
      <c r="S991" s="46"/>
      <c r="T991" s="46"/>
      <c r="U991" s="46"/>
      <c r="V991" s="46"/>
      <c r="W991" s="46"/>
      <c r="X991" s="46"/>
      <c r="Y991" s="46"/>
      <c r="Z991" s="46"/>
      <c r="AA991" s="46"/>
      <c r="AB991" s="46"/>
    </row>
    <row r="992" hidden="1">
      <c r="A992" s="90" t="s">
        <v>1209</v>
      </c>
      <c r="B992" s="91" t="str">
        <f>IFERROR(VLOOKUP(A992,'Salary Calculation'!A992:F1989,2,0),"")</f>
        <v/>
      </c>
      <c r="C992" s="91" t="str">
        <f>IFERROR(VLOOKUP(A992,'Salary Calculation'!$A$2:$T$999,3,0),"")</f>
        <v/>
      </c>
      <c r="D992" s="91" t="str">
        <f>IFERROR(VLOOKUP(A992,'Salary Calculation'!$A$2:$T$999,6,0),"")</f>
        <v/>
      </c>
      <c r="E992" s="91" t="str">
        <f>IFERROR(VLOOKUP(A992,'Salary Calculation'!$A$2:$T$999,8,0),"")</f>
        <v/>
      </c>
      <c r="F992" s="92" t="str">
        <f>IFERROR(VLOOKUP(C992,'Employees List'!$B$2:H999,6,0),"")</f>
        <v/>
      </c>
      <c r="G992" s="93" t="str">
        <f>IFERROR(VLOOKUP(A992,'Salary Calculation'!$A$2:$T$999,7,0),"")</f>
        <v/>
      </c>
      <c r="H992" s="94"/>
      <c r="I992" s="46"/>
      <c r="J992" s="46"/>
      <c r="K992" s="46"/>
      <c r="L992" s="46"/>
      <c r="M992" s="46"/>
      <c r="N992" s="46"/>
      <c r="O992" s="46"/>
      <c r="P992" s="46"/>
      <c r="Q992" s="46"/>
      <c r="R992" s="46"/>
      <c r="S992" s="46"/>
      <c r="T992" s="46"/>
      <c r="U992" s="46"/>
      <c r="V992" s="46"/>
      <c r="W992" s="46"/>
      <c r="X992" s="46"/>
      <c r="Y992" s="46"/>
      <c r="Z992" s="46"/>
      <c r="AA992" s="46"/>
      <c r="AB992" s="46"/>
    </row>
    <row r="993" hidden="1">
      <c r="A993" s="90" t="s">
        <v>1210</v>
      </c>
      <c r="B993" s="91" t="str">
        <f>IFERROR(VLOOKUP(A993,'Salary Calculation'!A993:F1990,2,0),"")</f>
        <v/>
      </c>
      <c r="C993" s="91" t="str">
        <f>IFERROR(VLOOKUP(A993,'Salary Calculation'!$A$2:$T$999,3,0),"")</f>
        <v/>
      </c>
      <c r="D993" s="91" t="str">
        <f>IFERROR(VLOOKUP(A993,'Salary Calculation'!$A$2:$T$999,6,0),"")</f>
        <v/>
      </c>
      <c r="E993" s="91" t="str">
        <f>IFERROR(VLOOKUP(A993,'Salary Calculation'!$A$2:$T$999,8,0),"")</f>
        <v/>
      </c>
      <c r="F993" s="92" t="str">
        <f>IFERROR(VLOOKUP(C993,'Employees List'!$B$2:H999,6,0),"")</f>
        <v/>
      </c>
      <c r="G993" s="93" t="str">
        <f>IFERROR(VLOOKUP(A993,'Salary Calculation'!$A$2:$T$999,7,0),"")</f>
        <v/>
      </c>
      <c r="H993" s="94"/>
      <c r="I993" s="46"/>
      <c r="J993" s="46"/>
      <c r="K993" s="46"/>
      <c r="L993" s="46"/>
      <c r="M993" s="46"/>
      <c r="N993" s="46"/>
      <c r="O993" s="46"/>
      <c r="P993" s="46"/>
      <c r="Q993" s="46"/>
      <c r="R993" s="46"/>
      <c r="S993" s="46"/>
      <c r="T993" s="46"/>
      <c r="U993" s="46"/>
      <c r="V993" s="46"/>
      <c r="W993" s="46"/>
      <c r="X993" s="46"/>
      <c r="Y993" s="46"/>
      <c r="Z993" s="46"/>
      <c r="AA993" s="46"/>
      <c r="AB993" s="46"/>
    </row>
    <row r="994" hidden="1">
      <c r="A994" s="90" t="s">
        <v>1211</v>
      </c>
      <c r="B994" s="91" t="str">
        <f>IFERROR(VLOOKUP(A994,'Salary Calculation'!A994:F1991,2,0),"")</f>
        <v/>
      </c>
      <c r="C994" s="91" t="str">
        <f>IFERROR(VLOOKUP(A994,'Salary Calculation'!$A$2:$T$999,3,0),"")</f>
        <v/>
      </c>
      <c r="D994" s="91" t="str">
        <f>IFERROR(VLOOKUP(A994,'Salary Calculation'!$A$2:$T$999,6,0),"")</f>
        <v/>
      </c>
      <c r="E994" s="91" t="str">
        <f>IFERROR(VLOOKUP(A994,'Salary Calculation'!$A$2:$T$999,8,0),"")</f>
        <v/>
      </c>
      <c r="F994" s="92" t="str">
        <f>IFERROR(VLOOKUP(C994,'Employees List'!$B$2:H999,6,0),"")</f>
        <v/>
      </c>
      <c r="G994" s="93" t="str">
        <f>IFERROR(VLOOKUP(A994,'Salary Calculation'!$A$2:$T$999,7,0),"")</f>
        <v/>
      </c>
      <c r="H994" s="94"/>
      <c r="I994" s="46"/>
      <c r="J994" s="46"/>
      <c r="K994" s="46"/>
      <c r="L994" s="46"/>
      <c r="M994" s="46"/>
      <c r="N994" s="46"/>
      <c r="O994" s="46"/>
      <c r="P994" s="46"/>
      <c r="Q994" s="46"/>
      <c r="R994" s="46"/>
      <c r="S994" s="46"/>
      <c r="T994" s="46"/>
      <c r="U994" s="46"/>
      <c r="V994" s="46"/>
      <c r="W994" s="46"/>
      <c r="X994" s="46"/>
      <c r="Y994" s="46"/>
      <c r="Z994" s="46"/>
      <c r="AA994" s="46"/>
      <c r="AB994" s="46"/>
    </row>
    <row r="995" hidden="1">
      <c r="A995" s="90" t="s">
        <v>1212</v>
      </c>
      <c r="B995" s="91" t="str">
        <f>IFERROR(VLOOKUP(A995,'Salary Calculation'!A995:F1992,2,0),"")</f>
        <v/>
      </c>
      <c r="C995" s="91" t="str">
        <f>IFERROR(VLOOKUP(A995,'Salary Calculation'!$A$2:$T$999,3,0),"")</f>
        <v/>
      </c>
      <c r="D995" s="91" t="str">
        <f>IFERROR(VLOOKUP(A995,'Salary Calculation'!$A$2:$T$999,6,0),"")</f>
        <v/>
      </c>
      <c r="E995" s="91" t="str">
        <f>IFERROR(VLOOKUP(A995,'Salary Calculation'!$A$2:$T$999,8,0),"")</f>
        <v/>
      </c>
      <c r="F995" s="92" t="str">
        <f>IFERROR(VLOOKUP(C995,'Employees List'!$B$2:H999,6,0),"")</f>
        <v/>
      </c>
      <c r="G995" s="93" t="str">
        <f>IFERROR(VLOOKUP(A995,'Salary Calculation'!$A$2:$T$999,7,0),"")</f>
        <v/>
      </c>
      <c r="H995" s="94"/>
      <c r="I995" s="46"/>
      <c r="J995" s="46"/>
      <c r="K995" s="46"/>
      <c r="L995" s="46"/>
      <c r="M995" s="46"/>
      <c r="N995" s="46"/>
      <c r="O995" s="46"/>
      <c r="P995" s="46"/>
      <c r="Q995" s="46"/>
      <c r="R995" s="46"/>
      <c r="S995" s="46"/>
      <c r="T995" s="46"/>
      <c r="U995" s="46"/>
      <c r="V995" s="46"/>
      <c r="W995" s="46"/>
      <c r="X995" s="46"/>
      <c r="Y995" s="46"/>
      <c r="Z995" s="46"/>
      <c r="AA995" s="46"/>
      <c r="AB995" s="46"/>
    </row>
    <row r="996" hidden="1">
      <c r="A996" s="90" t="s">
        <v>1213</v>
      </c>
      <c r="B996" s="91" t="str">
        <f>IFERROR(VLOOKUP(A996,'Salary Calculation'!A996:F1993,2,0),"")</f>
        <v/>
      </c>
      <c r="C996" s="91" t="str">
        <f>IFERROR(VLOOKUP(A996,'Salary Calculation'!$A$2:$T$999,3,0),"")</f>
        <v/>
      </c>
      <c r="D996" s="91" t="str">
        <f>IFERROR(VLOOKUP(A996,'Salary Calculation'!$A$2:$T$999,6,0),"")</f>
        <v/>
      </c>
      <c r="E996" s="91" t="str">
        <f>IFERROR(VLOOKUP(A996,'Salary Calculation'!$A$2:$T$999,8,0),"")</f>
        <v/>
      </c>
      <c r="F996" s="92" t="str">
        <f>IFERROR(VLOOKUP(C996,'Employees List'!$B$2:H999,6,0),"")</f>
        <v/>
      </c>
      <c r="G996" s="93" t="str">
        <f>IFERROR(VLOOKUP(A996,'Salary Calculation'!$A$2:$T$999,7,0),"")</f>
        <v/>
      </c>
      <c r="H996" s="94"/>
      <c r="I996" s="46"/>
      <c r="J996" s="46"/>
      <c r="K996" s="46"/>
      <c r="L996" s="46"/>
      <c r="M996" s="46"/>
      <c r="N996" s="46"/>
      <c r="O996" s="46"/>
      <c r="P996" s="46"/>
      <c r="Q996" s="46"/>
      <c r="R996" s="46"/>
      <c r="S996" s="46"/>
      <c r="T996" s="46"/>
      <c r="U996" s="46"/>
      <c r="V996" s="46"/>
      <c r="W996" s="46"/>
      <c r="X996" s="46"/>
      <c r="Y996" s="46"/>
      <c r="Z996" s="46"/>
      <c r="AA996" s="46"/>
      <c r="AB996" s="46"/>
    </row>
    <row r="997" hidden="1">
      <c r="A997" s="90" t="s">
        <v>1214</v>
      </c>
      <c r="B997" s="91" t="str">
        <f>IFERROR(VLOOKUP(A997,'Salary Calculation'!A997:F1994,2,0),"")</f>
        <v/>
      </c>
      <c r="C997" s="91" t="str">
        <f>IFERROR(VLOOKUP(A997,'Salary Calculation'!$A$2:$T$999,3,0),"")</f>
        <v/>
      </c>
      <c r="D997" s="91" t="str">
        <f>IFERROR(VLOOKUP(A997,'Salary Calculation'!$A$2:$T$999,6,0),"")</f>
        <v/>
      </c>
      <c r="E997" s="91" t="str">
        <f>IFERROR(VLOOKUP(A997,'Salary Calculation'!$A$2:$T$999,8,0),"")</f>
        <v/>
      </c>
      <c r="F997" s="92" t="str">
        <f>IFERROR(VLOOKUP(C997,'Employees List'!$B$2:H999,6,0),"")</f>
        <v/>
      </c>
      <c r="G997" s="93" t="str">
        <f>IFERROR(VLOOKUP(A997,'Salary Calculation'!$A$2:$T$999,7,0),"")</f>
        <v/>
      </c>
      <c r="H997" s="94"/>
      <c r="I997" s="46"/>
      <c r="J997" s="46"/>
      <c r="K997" s="46"/>
      <c r="L997" s="46"/>
      <c r="M997" s="46"/>
      <c r="N997" s="46"/>
      <c r="O997" s="46"/>
      <c r="P997" s="46"/>
      <c r="Q997" s="46"/>
      <c r="R997" s="46"/>
      <c r="S997" s="46"/>
      <c r="T997" s="46"/>
      <c r="U997" s="46"/>
      <c r="V997" s="46"/>
      <c r="W997" s="46"/>
      <c r="X997" s="46"/>
      <c r="Y997" s="46"/>
      <c r="Z997" s="46"/>
      <c r="AA997" s="46"/>
      <c r="AB997" s="46"/>
    </row>
    <row r="998" hidden="1">
      <c r="A998" s="90" t="s">
        <v>1215</v>
      </c>
      <c r="B998" s="91" t="str">
        <f>IFERROR(VLOOKUP(A998,'Salary Calculation'!A998:F1995,2,0),"")</f>
        <v/>
      </c>
      <c r="C998" s="91" t="str">
        <f>IFERROR(VLOOKUP(A998,'Salary Calculation'!$A$2:$T$999,3,0),"")</f>
        <v/>
      </c>
      <c r="D998" s="91" t="str">
        <f>IFERROR(VLOOKUP(A998,'Salary Calculation'!$A$2:$T$999,6,0),"")</f>
        <v/>
      </c>
      <c r="E998" s="91" t="str">
        <f>IFERROR(VLOOKUP(A998,'Salary Calculation'!$A$2:$T$999,8,0),"")</f>
        <v/>
      </c>
      <c r="F998" s="92" t="str">
        <f>IFERROR(VLOOKUP(C998,'Employees List'!$B$2:H999,6,0),"")</f>
        <v/>
      </c>
      <c r="G998" s="93" t="str">
        <f>IFERROR(VLOOKUP(A998,'Salary Calculation'!$A$2:$T$999,7,0),"")</f>
        <v/>
      </c>
      <c r="H998" s="94"/>
      <c r="I998" s="46"/>
      <c r="J998" s="46"/>
      <c r="K998" s="46"/>
      <c r="L998" s="46"/>
      <c r="M998" s="46"/>
      <c r="N998" s="46"/>
      <c r="O998" s="46"/>
      <c r="P998" s="46"/>
      <c r="Q998" s="46"/>
      <c r="R998" s="46"/>
      <c r="S998" s="46"/>
      <c r="T998" s="46"/>
      <c r="U998" s="46"/>
      <c r="V998" s="46"/>
      <c r="W998" s="46"/>
      <c r="X998" s="46"/>
      <c r="Y998" s="46"/>
      <c r="Z998" s="46"/>
      <c r="AA998" s="46"/>
      <c r="AB998" s="46"/>
    </row>
    <row r="999" hidden="1">
      <c r="A999" s="90" t="s">
        <v>1216</v>
      </c>
      <c r="B999" s="91" t="str">
        <f>IFERROR(VLOOKUP(A999,'Salary Calculation'!A999:F1996,2,0),"")</f>
        <v/>
      </c>
      <c r="C999" s="91" t="str">
        <f>IFERROR(VLOOKUP(A999,'Salary Calculation'!$A$2:$T$999,3,0),"")</f>
        <v/>
      </c>
      <c r="D999" s="91" t="str">
        <f>IFERROR(VLOOKUP(A999,'Salary Calculation'!$A$2:$T$999,6,0),"")</f>
        <v/>
      </c>
      <c r="E999" s="91" t="str">
        <f>IFERROR(VLOOKUP(A999,'Salary Calculation'!$A$2:$T$999,8,0),"")</f>
        <v/>
      </c>
      <c r="F999" s="92" t="str">
        <f>IFERROR(VLOOKUP(C999,'Employees List'!$B$2:H999,6,0),"")</f>
        <v/>
      </c>
      <c r="G999" s="93" t="str">
        <f>IFERROR(VLOOKUP(A999,'Salary Calculation'!$A$2:$T$999,7,0),"")</f>
        <v/>
      </c>
      <c r="H999" s="94"/>
      <c r="I999" s="46"/>
      <c r="J999" s="46"/>
      <c r="K999" s="46"/>
      <c r="L999" s="46"/>
      <c r="M999" s="46"/>
      <c r="N999" s="46"/>
      <c r="O999" s="46"/>
      <c r="P999" s="46"/>
      <c r="Q999" s="46"/>
      <c r="R999" s="46"/>
      <c r="S999" s="46"/>
      <c r="T999" s="46"/>
      <c r="U999" s="46"/>
      <c r="V999" s="46"/>
      <c r="W999" s="46"/>
      <c r="X999" s="46"/>
      <c r="Y999" s="46"/>
      <c r="Z999" s="46"/>
      <c r="AA999" s="46"/>
      <c r="AB999" s="46"/>
    </row>
  </sheetData>
  <autoFilter ref="$A$1:$I$999">
    <filterColumn colId="1">
      <filters>
        <filter val="February"/>
      </filters>
    </filterColumn>
  </autoFilter>
  <dataValidations>
    <dataValidation type="list" allowBlank="1" showErrorMessage="1" sqref="H2:H999">
      <formula1>"PAID,NOT PAID,ON HOLD"</formula1>
    </dataValidation>
  </dataValidations>
  <hyperlinks>
    <hyperlink r:id="rId1" ref="I2"/>
    <hyperlink r:id="rId2" ref="I3"/>
    <hyperlink r:id="rId3" ref="I4"/>
    <hyperlink r:id="rId4" ref="I5"/>
    <hyperlink r:id="rId5" ref="I6"/>
    <hyperlink r:id="rId6" ref="I7"/>
    <hyperlink r:id="rId7" ref="I8"/>
    <hyperlink r:id="rId8" ref="I11"/>
    <hyperlink r:id="rId9" ref="I12"/>
    <hyperlink r:id="rId10" ref="I13"/>
    <hyperlink r:id="rId11" ref="I15"/>
    <hyperlink r:id="rId12" ref="I16"/>
    <hyperlink r:id="rId13" ref="I17"/>
    <hyperlink r:id="rId14" ref="I18"/>
    <hyperlink r:id="rId15" ref="I19"/>
    <hyperlink r:id="rId16" ref="I20"/>
    <hyperlink display="05May" location="'Salary Transaction Details'!I21" ref="I21"/>
    <hyperlink r:id="rId17" ref="J21"/>
    <hyperlink r:id="rId18" ref="I22"/>
    <hyperlink r:id="rId19" ref="I23"/>
    <hyperlink r:id="rId20" ref="I24"/>
    <hyperlink r:id="rId21" ref="I25"/>
    <hyperlink r:id="rId22" ref="I26"/>
    <hyperlink r:id="rId23" ref="I27"/>
  </hyperlinks>
  <drawing r:id="rId2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4" max="4" width="15.75"/>
    <col customWidth="1" min="5" max="5" width="19.38"/>
    <col customWidth="1" min="6" max="6" width="18.0"/>
  </cols>
  <sheetData>
    <row r="1">
      <c r="A1" s="100"/>
      <c r="B1" s="100"/>
      <c r="C1" s="101" t="s">
        <v>318</v>
      </c>
      <c r="D1" s="102"/>
      <c r="E1" s="103"/>
      <c r="F1" s="100"/>
      <c r="G1" s="100"/>
      <c r="H1" s="100"/>
      <c r="I1" s="100"/>
      <c r="J1" s="100"/>
      <c r="K1" s="100"/>
      <c r="L1" s="100"/>
      <c r="M1" s="100"/>
      <c r="N1" s="100"/>
      <c r="O1" s="100"/>
      <c r="P1" s="100"/>
      <c r="Q1" s="100"/>
      <c r="R1" s="100"/>
      <c r="S1" s="100"/>
      <c r="T1" s="100"/>
      <c r="U1" s="100"/>
      <c r="V1" s="100"/>
      <c r="W1" s="100"/>
      <c r="X1" s="100"/>
      <c r="Y1" s="100"/>
      <c r="Z1" s="100"/>
    </row>
    <row r="2">
      <c r="A2" s="104"/>
      <c r="B2" s="104"/>
      <c r="C2" s="105"/>
      <c r="E2" s="106"/>
      <c r="F2" s="100"/>
      <c r="G2" s="100"/>
      <c r="H2" s="100"/>
      <c r="I2" s="100"/>
      <c r="J2" s="100"/>
      <c r="K2" s="100"/>
      <c r="L2" s="100"/>
      <c r="M2" s="100"/>
      <c r="N2" s="100"/>
      <c r="O2" s="100"/>
      <c r="P2" s="100"/>
      <c r="Q2" s="100"/>
      <c r="R2" s="100"/>
      <c r="S2" s="100"/>
      <c r="T2" s="100"/>
      <c r="U2" s="100"/>
      <c r="V2" s="100"/>
      <c r="W2" s="100"/>
      <c r="X2" s="100"/>
      <c r="Y2" s="100"/>
      <c r="Z2" s="100"/>
    </row>
    <row r="3">
      <c r="A3" s="107"/>
      <c r="B3" s="107"/>
      <c r="C3" s="105"/>
      <c r="E3" s="106"/>
      <c r="F3" s="100"/>
      <c r="G3" s="100"/>
      <c r="H3" s="100"/>
      <c r="I3" s="100"/>
      <c r="J3" s="100"/>
      <c r="K3" s="100"/>
      <c r="L3" s="100"/>
      <c r="M3" s="100"/>
      <c r="N3" s="100"/>
      <c r="O3" s="100"/>
      <c r="P3" s="100"/>
      <c r="Q3" s="100"/>
      <c r="R3" s="100"/>
      <c r="S3" s="100"/>
      <c r="T3" s="100"/>
      <c r="U3" s="100"/>
      <c r="V3" s="100"/>
      <c r="W3" s="100"/>
      <c r="X3" s="100"/>
      <c r="Y3" s="100"/>
      <c r="Z3" s="100"/>
    </row>
    <row r="4">
      <c r="A4" s="100"/>
      <c r="B4" s="100"/>
      <c r="C4" s="108"/>
      <c r="D4" s="109"/>
      <c r="E4" s="110"/>
      <c r="F4" s="111"/>
      <c r="G4" s="111"/>
      <c r="H4" s="111"/>
      <c r="I4" s="100"/>
      <c r="J4" s="100"/>
      <c r="K4" s="100"/>
      <c r="L4" s="100"/>
      <c r="M4" s="100"/>
      <c r="N4" s="100"/>
      <c r="O4" s="100"/>
      <c r="P4" s="100"/>
      <c r="Q4" s="100"/>
      <c r="R4" s="100"/>
      <c r="S4" s="100"/>
      <c r="T4" s="100"/>
      <c r="U4" s="100"/>
      <c r="V4" s="100"/>
      <c r="W4" s="100"/>
      <c r="X4" s="100"/>
      <c r="Y4" s="100"/>
      <c r="Z4" s="100"/>
    </row>
    <row r="5">
      <c r="A5" s="112"/>
      <c r="B5" s="103"/>
      <c r="C5" s="113" t="s">
        <v>1222</v>
      </c>
      <c r="D5" s="102"/>
      <c r="E5" s="102"/>
      <c r="F5" s="102"/>
      <c r="G5" s="102"/>
      <c r="H5" s="103"/>
      <c r="I5" s="100"/>
      <c r="J5" s="100"/>
      <c r="K5" s="100"/>
      <c r="L5" s="100"/>
      <c r="M5" s="100"/>
      <c r="N5" s="100"/>
      <c r="O5" s="100"/>
      <c r="P5" s="100"/>
      <c r="Q5" s="100"/>
      <c r="R5" s="100"/>
      <c r="S5" s="100"/>
      <c r="T5" s="100"/>
      <c r="U5" s="100"/>
      <c r="V5" s="100"/>
      <c r="W5" s="100"/>
      <c r="X5" s="100"/>
      <c r="Y5" s="100"/>
      <c r="Z5" s="100"/>
    </row>
    <row r="6">
      <c r="A6" s="105"/>
      <c r="B6" s="106"/>
      <c r="C6" s="105"/>
      <c r="H6" s="106"/>
      <c r="I6" s="100"/>
      <c r="J6" s="100"/>
      <c r="K6" s="100"/>
      <c r="L6" s="100"/>
      <c r="M6" s="100"/>
      <c r="N6" s="100"/>
      <c r="O6" s="100"/>
      <c r="P6" s="100"/>
      <c r="Q6" s="100"/>
      <c r="R6" s="100"/>
      <c r="S6" s="100"/>
      <c r="T6" s="100"/>
      <c r="U6" s="100"/>
      <c r="V6" s="100"/>
      <c r="W6" s="100"/>
      <c r="X6" s="100"/>
      <c r="Y6" s="100"/>
      <c r="Z6" s="100"/>
    </row>
    <row r="7">
      <c r="A7" s="105"/>
      <c r="B7" s="106"/>
      <c r="C7" s="105"/>
      <c r="H7" s="106"/>
      <c r="I7" s="100"/>
      <c r="J7" s="100"/>
      <c r="K7" s="100"/>
      <c r="L7" s="100"/>
      <c r="M7" s="100"/>
      <c r="N7" s="100"/>
      <c r="O7" s="100"/>
      <c r="P7" s="100"/>
      <c r="Q7" s="100"/>
      <c r="R7" s="100"/>
      <c r="S7" s="100"/>
      <c r="T7" s="100"/>
      <c r="U7" s="100"/>
      <c r="V7" s="100"/>
      <c r="W7" s="100"/>
      <c r="X7" s="100"/>
      <c r="Y7" s="100"/>
      <c r="Z7" s="100"/>
    </row>
    <row r="8">
      <c r="A8" s="108"/>
      <c r="B8" s="110"/>
      <c r="C8" s="108"/>
      <c r="D8" s="109"/>
      <c r="E8" s="109"/>
      <c r="F8" s="109"/>
      <c r="G8" s="109"/>
      <c r="H8" s="110"/>
      <c r="I8" s="100"/>
      <c r="J8" s="100"/>
      <c r="K8" s="100"/>
      <c r="L8" s="100"/>
      <c r="M8" s="100"/>
      <c r="N8" s="100"/>
      <c r="O8" s="100"/>
      <c r="P8" s="100"/>
      <c r="Q8" s="100"/>
      <c r="R8" s="100"/>
      <c r="S8" s="100"/>
      <c r="T8" s="100"/>
      <c r="U8" s="100"/>
      <c r="V8" s="100"/>
      <c r="W8" s="100"/>
      <c r="X8" s="100"/>
      <c r="Y8" s="100"/>
      <c r="Z8" s="100"/>
    </row>
    <row r="9">
      <c r="A9" s="114" t="s">
        <v>1223</v>
      </c>
      <c r="B9" s="115"/>
      <c r="C9" s="115"/>
      <c r="D9" s="17"/>
      <c r="E9" s="116" t="str">
        <f>IFERROR(VLOOKUP($C$1,'Salary Calculation'!A2:C999,2,0),"")</f>
        <v>February</v>
      </c>
      <c r="F9" s="116">
        <v>2025.0</v>
      </c>
      <c r="G9" s="117">
        <f>IFERROR(VLOOKUP(C1,'Salary Calculation'!A2:N999,13,0),"")</f>
        <v>28</v>
      </c>
      <c r="H9" s="117" t="s">
        <v>1224</v>
      </c>
      <c r="K9" s="118"/>
      <c r="L9" s="118"/>
      <c r="M9" s="118"/>
      <c r="N9" s="100"/>
      <c r="O9" s="100"/>
      <c r="P9" s="100"/>
      <c r="Q9" s="100"/>
      <c r="R9" s="100"/>
      <c r="S9" s="100"/>
      <c r="T9" s="100"/>
      <c r="U9" s="100"/>
      <c r="V9" s="100"/>
      <c r="W9" s="100"/>
      <c r="X9" s="100"/>
      <c r="Y9" s="100"/>
      <c r="Z9" s="100"/>
    </row>
    <row r="10">
      <c r="A10" s="119" t="s">
        <v>1225</v>
      </c>
      <c r="B10" s="17"/>
      <c r="C10" s="120" t="str">
        <f>IFERROR(VLOOKUP($C$1,'Salary Calculation'!A2:F999,6,0),"")</f>
        <v>LEELAVATHI.M</v>
      </c>
      <c r="D10" s="17"/>
      <c r="E10" s="119" t="s">
        <v>1226</v>
      </c>
      <c r="F10" s="17"/>
      <c r="G10" s="121">
        <f>IFERROR(VLOOKUP($C$1,'Salary Calculation'!A2:M999,13,0),"")</f>
        <v>28</v>
      </c>
      <c r="H10" s="17"/>
      <c r="K10" s="118"/>
      <c r="L10" s="118"/>
      <c r="M10" s="118"/>
      <c r="N10" s="100"/>
      <c r="O10" s="100"/>
      <c r="P10" s="100"/>
      <c r="Q10" s="100"/>
      <c r="R10" s="100"/>
      <c r="S10" s="100"/>
      <c r="T10" s="100"/>
      <c r="U10" s="100"/>
      <c r="V10" s="100"/>
      <c r="W10" s="100"/>
      <c r="X10" s="100"/>
      <c r="Y10" s="100"/>
      <c r="Z10" s="100"/>
    </row>
    <row r="11">
      <c r="A11" s="119" t="s">
        <v>1</v>
      </c>
      <c r="B11" s="17"/>
      <c r="C11" s="120" t="str">
        <f>IFERROR(VLOOKUP(C1,'Salary Calculation'!A2:C1001,3,0),"")</f>
        <v>AC 03</v>
      </c>
      <c r="D11" s="17"/>
      <c r="E11" s="119" t="s">
        <v>1227</v>
      </c>
      <c r="F11" s="17"/>
      <c r="G11" s="120">
        <f>G9-G10</f>
        <v>0</v>
      </c>
      <c r="H11" s="17"/>
      <c r="K11" s="118"/>
      <c r="L11" s="118"/>
      <c r="M11" s="118"/>
      <c r="N11" s="100"/>
      <c r="O11" s="100"/>
      <c r="P11" s="100"/>
      <c r="Q11" s="100"/>
      <c r="R11" s="100"/>
      <c r="S11" s="100"/>
      <c r="T11" s="100"/>
      <c r="U11" s="100"/>
      <c r="V11" s="100"/>
      <c r="W11" s="100"/>
      <c r="X11" s="100"/>
      <c r="Y11" s="100"/>
      <c r="Z11" s="100"/>
    </row>
    <row r="12">
      <c r="A12" s="122" t="s">
        <v>1228</v>
      </c>
      <c r="B12" s="103"/>
      <c r="C12" s="122" t="s">
        <v>1229</v>
      </c>
      <c r="D12" s="103"/>
      <c r="E12" s="122" t="s">
        <v>1230</v>
      </c>
      <c r="F12" s="103"/>
      <c r="G12" s="122" t="s">
        <v>1229</v>
      </c>
      <c r="H12" s="103"/>
      <c r="K12" s="118"/>
      <c r="L12" s="118"/>
      <c r="M12" s="118"/>
      <c r="N12" s="100"/>
      <c r="O12" s="100"/>
      <c r="P12" s="100"/>
      <c r="Q12" s="100"/>
      <c r="R12" s="100"/>
      <c r="S12" s="100"/>
      <c r="T12" s="100"/>
      <c r="U12" s="100"/>
      <c r="V12" s="100"/>
      <c r="W12" s="100"/>
      <c r="X12" s="100"/>
      <c r="Y12" s="100"/>
      <c r="Z12" s="100"/>
    </row>
    <row r="13">
      <c r="A13" s="108"/>
      <c r="B13" s="110"/>
      <c r="C13" s="108"/>
      <c r="D13" s="110"/>
      <c r="E13" s="108"/>
      <c r="F13" s="110"/>
      <c r="G13" s="108"/>
      <c r="H13" s="110"/>
      <c r="K13" s="100"/>
      <c r="L13" s="100"/>
      <c r="M13" s="100"/>
      <c r="N13" s="100"/>
      <c r="O13" s="100"/>
      <c r="P13" s="100"/>
      <c r="Q13" s="100"/>
      <c r="R13" s="100"/>
      <c r="S13" s="100"/>
      <c r="T13" s="100"/>
      <c r="U13" s="100"/>
      <c r="V13" s="100"/>
      <c r="W13" s="100"/>
      <c r="X13" s="100"/>
      <c r="Y13" s="100"/>
      <c r="Z13" s="100"/>
    </row>
    <row r="14">
      <c r="A14" s="120" t="s">
        <v>1231</v>
      </c>
      <c r="B14" s="115"/>
      <c r="C14" s="17"/>
      <c r="D14" s="123">
        <f>IFERROR(VLOOKUP(C1,'Salary Calculation'!$A$2:$I$999,9,0),"")</f>
        <v>14000</v>
      </c>
      <c r="E14" s="121" t="s">
        <v>1232</v>
      </c>
      <c r="F14" s="17"/>
      <c r="G14" s="121" t="str">
        <f>IFERROR(VLOOKUP($C$1,'Salary Calculation'!$A$1:$P$1003,16,0),"")</f>
        <v/>
      </c>
      <c r="H14" s="17"/>
      <c r="K14" s="100"/>
      <c r="L14" s="100"/>
      <c r="M14" s="100"/>
      <c r="N14" s="100"/>
      <c r="O14" s="100"/>
      <c r="P14" s="100"/>
      <c r="Q14" s="100"/>
      <c r="R14" s="100"/>
      <c r="S14" s="100"/>
      <c r="T14" s="100"/>
      <c r="U14" s="100"/>
      <c r="V14" s="100"/>
      <c r="W14" s="100"/>
      <c r="X14" s="100"/>
      <c r="Y14" s="100"/>
      <c r="Z14" s="100"/>
    </row>
    <row r="15">
      <c r="A15" s="120" t="s">
        <v>211</v>
      </c>
      <c r="B15" s="17"/>
      <c r="C15" s="124">
        <f>IFERROR(VLOOKUP(C1,'Salary Calculation'!$A$2:$N$999,14,0),"")</f>
        <v>4.5</v>
      </c>
      <c r="D15" s="125"/>
      <c r="E15" s="121" t="s">
        <v>217</v>
      </c>
      <c r="F15" s="17"/>
      <c r="G15" s="126">
        <f>-IFERROR(VLOOKUP($C$1,'Salary Calculation'!$A$2:$T$999,20,0),"")</f>
        <v>-122.4140625</v>
      </c>
      <c r="H15" s="17"/>
      <c r="K15" s="100"/>
      <c r="L15" s="100"/>
      <c r="M15" s="100"/>
      <c r="N15" s="100"/>
      <c r="O15" s="100"/>
      <c r="P15" s="100"/>
      <c r="Q15" s="100"/>
      <c r="R15" s="100"/>
      <c r="S15" s="100"/>
      <c r="T15" s="100"/>
      <c r="U15" s="100"/>
      <c r="V15" s="100"/>
      <c r="W15" s="100"/>
      <c r="X15" s="100"/>
      <c r="Y15" s="100"/>
      <c r="Z15" s="100"/>
    </row>
    <row r="16">
      <c r="A16" s="120" t="s">
        <v>1233</v>
      </c>
      <c r="B16" s="115"/>
      <c r="C16" s="127"/>
      <c r="D16" s="128">
        <f>IFERROR(VLOOKUP($C$1,'Salary Calculation'!$A$2:$R$999,18,0),"")</f>
        <v>421.875</v>
      </c>
      <c r="E16" s="129"/>
      <c r="F16" s="115"/>
      <c r="G16" s="115"/>
      <c r="H16" s="17"/>
      <c r="K16" s="100"/>
      <c r="L16" s="100"/>
      <c r="M16" s="100"/>
      <c r="N16" s="100"/>
      <c r="O16" s="100"/>
      <c r="P16" s="100"/>
      <c r="Q16" s="100"/>
      <c r="R16" s="100"/>
      <c r="S16" s="100"/>
      <c r="T16" s="100"/>
      <c r="U16" s="100"/>
      <c r="V16" s="100"/>
      <c r="W16" s="100"/>
      <c r="X16" s="100"/>
      <c r="Y16" s="100"/>
      <c r="Z16" s="100"/>
    </row>
    <row r="17">
      <c r="A17" s="121" t="s">
        <v>212</v>
      </c>
      <c r="B17" s="115"/>
      <c r="C17" s="127"/>
      <c r="D17" s="128">
        <f>IFERROR(VLOOKUP($C$1,'Salary Calculation'!$A$2:$R$999,15,0),"")</f>
        <v>1900</v>
      </c>
      <c r="E17" s="130"/>
      <c r="F17" s="130"/>
      <c r="G17" s="130"/>
      <c r="H17" s="130"/>
      <c r="K17" s="100"/>
      <c r="L17" s="100"/>
      <c r="M17" s="100"/>
      <c r="N17" s="100"/>
      <c r="O17" s="100"/>
      <c r="P17" s="100"/>
      <c r="Q17" s="100"/>
      <c r="R17" s="100"/>
      <c r="S17" s="100"/>
      <c r="T17" s="100"/>
      <c r="U17" s="100"/>
      <c r="V17" s="100"/>
      <c r="W17" s="100"/>
      <c r="X17" s="100"/>
      <c r="Y17" s="100"/>
      <c r="Z17" s="100"/>
    </row>
    <row r="18">
      <c r="A18" s="122" t="s">
        <v>1234</v>
      </c>
      <c r="B18" s="103"/>
      <c r="C18" s="131">
        <f>D14+D16+D17</f>
        <v>16321.875</v>
      </c>
      <c r="D18" s="103"/>
      <c r="E18" s="122" t="s">
        <v>1235</v>
      </c>
      <c r="F18" s="103"/>
      <c r="G18" s="131">
        <f>G15-G14</f>
        <v>-122.4140625</v>
      </c>
      <c r="H18" s="103"/>
      <c r="K18" s="100"/>
      <c r="L18" s="100"/>
      <c r="M18" s="100"/>
      <c r="N18" s="100"/>
      <c r="O18" s="100"/>
      <c r="P18" s="100"/>
      <c r="Q18" s="100"/>
      <c r="R18" s="100"/>
      <c r="S18" s="100"/>
      <c r="T18" s="100"/>
      <c r="U18" s="100"/>
      <c r="V18" s="100"/>
      <c r="W18" s="100"/>
      <c r="X18" s="100"/>
      <c r="Y18" s="100"/>
      <c r="Z18" s="100"/>
    </row>
    <row r="19">
      <c r="A19" s="108"/>
      <c r="B19" s="110"/>
      <c r="C19" s="108"/>
      <c r="D19" s="110"/>
      <c r="E19" s="108"/>
      <c r="F19" s="110"/>
      <c r="G19" s="108"/>
      <c r="H19" s="110"/>
      <c r="K19" s="100"/>
      <c r="L19" s="100"/>
      <c r="M19" s="100"/>
      <c r="N19" s="100"/>
      <c r="O19" s="100"/>
      <c r="P19" s="100"/>
      <c r="Q19" s="100"/>
      <c r="R19" s="100"/>
      <c r="S19" s="100"/>
      <c r="T19" s="100"/>
      <c r="U19" s="100"/>
      <c r="V19" s="100"/>
      <c r="W19" s="100"/>
      <c r="X19" s="100"/>
      <c r="Y19" s="100"/>
      <c r="Z19" s="100"/>
    </row>
    <row r="20">
      <c r="A20" s="122" t="s">
        <v>1236</v>
      </c>
      <c r="B20" s="102"/>
      <c r="C20" s="102"/>
      <c r="D20" s="103"/>
      <c r="E20" s="132">
        <f>IFERROR(VLOOKUP($C$1,'Salary Calculation'!$A$2:$S$999,7,0),"")</f>
        <v>16199.46094</v>
      </c>
      <c r="F20" s="102"/>
      <c r="G20" s="102"/>
      <c r="H20" s="103"/>
      <c r="K20" s="100"/>
      <c r="L20" s="100"/>
      <c r="M20" s="100"/>
      <c r="N20" s="100"/>
      <c r="O20" s="100"/>
      <c r="P20" s="100"/>
      <c r="Q20" s="100"/>
      <c r="R20" s="100"/>
      <c r="S20" s="100"/>
      <c r="T20" s="100"/>
      <c r="U20" s="100"/>
      <c r="V20" s="100"/>
      <c r="W20" s="100"/>
      <c r="X20" s="100"/>
      <c r="Y20" s="100"/>
      <c r="Z20" s="100"/>
    </row>
    <row r="21">
      <c r="A21" s="108"/>
      <c r="B21" s="109"/>
      <c r="C21" s="109"/>
      <c r="D21" s="110"/>
      <c r="E21" s="108"/>
      <c r="F21" s="109"/>
      <c r="G21" s="109"/>
      <c r="H21" s="110"/>
      <c r="K21" s="100"/>
      <c r="L21" s="100"/>
      <c r="M21" s="100"/>
      <c r="N21" s="100"/>
      <c r="O21" s="100"/>
      <c r="P21" s="100"/>
      <c r="Q21" s="100"/>
      <c r="R21" s="100"/>
      <c r="S21" s="100"/>
      <c r="T21" s="100"/>
      <c r="U21" s="100"/>
      <c r="V21" s="100"/>
      <c r="W21" s="100"/>
      <c r="X21" s="100"/>
      <c r="Y21" s="100"/>
      <c r="Z21" s="100"/>
    </row>
    <row r="22">
      <c r="A22" s="133" t="s">
        <v>1237</v>
      </c>
      <c r="B22" s="134" t="str">
        <f>NUMBERTEXT(E20)</f>
        <v>sixteen thousand one hundred ninety-nine point four six zero nine three seven five</v>
      </c>
      <c r="C22" s="102"/>
      <c r="D22" s="102"/>
      <c r="E22" s="102"/>
      <c r="F22" s="102"/>
      <c r="G22" s="102"/>
      <c r="H22" s="103"/>
      <c r="K22" s="100"/>
      <c r="L22" s="100"/>
      <c r="M22" s="100"/>
      <c r="N22" s="100"/>
      <c r="O22" s="100"/>
      <c r="P22" s="100"/>
      <c r="Q22" s="100"/>
      <c r="R22" s="100"/>
      <c r="S22" s="100"/>
      <c r="T22" s="100"/>
      <c r="U22" s="100"/>
      <c r="V22" s="100"/>
      <c r="W22" s="100"/>
      <c r="X22" s="100"/>
      <c r="Y22" s="100"/>
      <c r="Z22" s="100"/>
    </row>
    <row r="23">
      <c r="A23" s="128"/>
      <c r="B23" s="108"/>
      <c r="C23" s="109"/>
      <c r="D23" s="109"/>
      <c r="E23" s="109"/>
      <c r="F23" s="109"/>
      <c r="G23" s="109"/>
      <c r="H23" s="110"/>
      <c r="K23" s="100"/>
      <c r="L23" s="100"/>
      <c r="M23" s="100"/>
      <c r="N23" s="100"/>
      <c r="O23" s="100"/>
      <c r="P23" s="100"/>
      <c r="Q23" s="100"/>
      <c r="R23" s="100"/>
      <c r="S23" s="100"/>
      <c r="T23" s="100"/>
      <c r="U23" s="100"/>
      <c r="V23" s="100"/>
      <c r="W23" s="100"/>
      <c r="X23" s="100"/>
      <c r="Y23" s="100"/>
      <c r="Z23" s="100"/>
    </row>
    <row r="24">
      <c r="A24" s="100"/>
      <c r="B24" s="100"/>
      <c r="K24" s="100"/>
      <c r="L24" s="100"/>
      <c r="M24" s="100"/>
      <c r="N24" s="100"/>
      <c r="O24" s="100"/>
      <c r="P24" s="100"/>
      <c r="Q24" s="100"/>
      <c r="R24" s="100"/>
      <c r="S24" s="100"/>
      <c r="T24" s="100"/>
      <c r="U24" s="100"/>
      <c r="V24" s="100"/>
      <c r="W24" s="100"/>
      <c r="X24" s="100"/>
      <c r="Y24" s="100"/>
      <c r="Z24" s="100"/>
    </row>
    <row r="25">
      <c r="A25" s="100"/>
      <c r="B25" s="100"/>
      <c r="K25" s="100"/>
      <c r="L25" s="100"/>
      <c r="M25" s="100"/>
      <c r="N25" s="100"/>
      <c r="O25" s="100"/>
      <c r="P25" s="100"/>
      <c r="Q25" s="100"/>
      <c r="R25" s="100"/>
      <c r="S25" s="100"/>
      <c r="T25" s="100"/>
      <c r="U25" s="100"/>
      <c r="V25" s="100"/>
      <c r="W25" s="100"/>
      <c r="X25" s="100"/>
      <c r="Y25" s="100"/>
      <c r="Z25" s="100"/>
    </row>
    <row r="26">
      <c r="A26" s="100"/>
      <c r="B26" s="100"/>
      <c r="K26" s="100"/>
      <c r="L26" s="100"/>
      <c r="M26" s="100"/>
      <c r="N26" s="100"/>
      <c r="O26" s="100"/>
      <c r="P26" s="100"/>
      <c r="Q26" s="100"/>
      <c r="R26" s="100"/>
      <c r="S26" s="100"/>
      <c r="T26" s="100"/>
      <c r="U26" s="100"/>
      <c r="V26" s="100"/>
      <c r="W26" s="100"/>
      <c r="X26" s="100"/>
      <c r="Y26" s="100"/>
      <c r="Z26" s="100"/>
    </row>
    <row r="27">
      <c r="A27" s="100"/>
      <c r="B27" s="100"/>
      <c r="K27" s="100"/>
      <c r="L27" s="100"/>
      <c r="M27" s="100"/>
      <c r="N27" s="100"/>
      <c r="O27" s="100"/>
      <c r="P27" s="100"/>
      <c r="Q27" s="100"/>
      <c r="R27" s="100"/>
      <c r="S27" s="100"/>
      <c r="T27" s="100"/>
      <c r="U27" s="100"/>
      <c r="V27" s="100"/>
      <c r="W27" s="100"/>
      <c r="X27" s="100"/>
      <c r="Y27" s="100"/>
      <c r="Z27" s="100"/>
    </row>
    <row r="28">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c r="A29" s="100"/>
      <c r="B29" s="100"/>
      <c r="C29" s="100"/>
      <c r="D29" s="100"/>
      <c r="E29" s="100"/>
      <c r="H29" s="100"/>
      <c r="I29" s="100"/>
      <c r="J29" s="100"/>
      <c r="K29" s="100"/>
      <c r="L29" s="100"/>
      <c r="M29" s="100"/>
      <c r="N29" s="100"/>
      <c r="O29" s="100"/>
      <c r="P29" s="100"/>
      <c r="Q29" s="100"/>
      <c r="R29" s="100"/>
      <c r="S29" s="100"/>
      <c r="T29" s="100"/>
      <c r="U29" s="100"/>
      <c r="V29" s="100"/>
      <c r="W29" s="100"/>
      <c r="X29" s="100"/>
      <c r="Y29" s="100"/>
      <c r="Z29" s="100"/>
    </row>
    <row r="30">
      <c r="A30" s="100"/>
      <c r="B30" s="100"/>
      <c r="C30" s="100"/>
      <c r="D30" s="100"/>
      <c r="E30" s="100"/>
      <c r="H30" s="100"/>
      <c r="I30" s="100"/>
      <c r="J30" s="100"/>
      <c r="K30" s="100"/>
      <c r="L30" s="100"/>
      <c r="M30" s="100"/>
      <c r="N30" s="100"/>
      <c r="O30" s="100"/>
      <c r="P30" s="100"/>
      <c r="Q30" s="100"/>
      <c r="R30" s="100"/>
      <c r="S30" s="100"/>
      <c r="T30" s="100"/>
      <c r="U30" s="100"/>
      <c r="V30" s="100"/>
      <c r="W30" s="100"/>
      <c r="X30" s="100"/>
      <c r="Y30" s="100"/>
      <c r="Z30" s="100"/>
    </row>
    <row r="3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c r="A221" s="100"/>
      <c r="B221" s="100"/>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c r="Z221" s="100"/>
    </row>
    <row r="222">
      <c r="A222" s="100"/>
      <c r="B222" s="100"/>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c r="Z222" s="100"/>
    </row>
    <row r="223">
      <c r="A223" s="100"/>
      <c r="B223" s="100"/>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c r="Z223" s="100"/>
    </row>
    <row r="224">
      <c r="A224" s="100"/>
      <c r="B224" s="100"/>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c r="Z224" s="100"/>
    </row>
    <row r="225">
      <c r="A225" s="100"/>
      <c r="B225" s="100"/>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c r="Z225" s="100"/>
    </row>
    <row r="226">
      <c r="A226" s="100"/>
      <c r="B226" s="100"/>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c r="Z226" s="100"/>
    </row>
    <row r="227">
      <c r="A227" s="100"/>
      <c r="B227" s="100"/>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c r="Z227" s="100"/>
    </row>
    <row r="228">
      <c r="A228" s="100"/>
      <c r="B228" s="100"/>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c r="Z228" s="100"/>
    </row>
    <row r="229">
      <c r="A229" s="100"/>
      <c r="B229" s="100"/>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c r="Z229" s="100"/>
    </row>
    <row r="230">
      <c r="A230" s="100"/>
      <c r="B230" s="100"/>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c r="Z230" s="100"/>
    </row>
    <row r="231">
      <c r="A231" s="100"/>
      <c r="B231" s="100"/>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c r="Z231" s="100"/>
    </row>
    <row r="232">
      <c r="A232" s="100"/>
      <c r="B232" s="100"/>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c r="Z232" s="100"/>
    </row>
    <row r="233">
      <c r="A233" s="100"/>
      <c r="B233" s="100"/>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c r="Z233" s="100"/>
    </row>
    <row r="234">
      <c r="A234" s="100"/>
      <c r="B234" s="100"/>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c r="Z234" s="100"/>
    </row>
    <row r="235">
      <c r="A235" s="100"/>
      <c r="B235" s="100"/>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c r="Z235" s="100"/>
    </row>
    <row r="236">
      <c r="A236" s="100"/>
      <c r="B236" s="100"/>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c r="Z236" s="100"/>
    </row>
    <row r="237">
      <c r="A237" s="100"/>
      <c r="B237" s="100"/>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c r="Z237" s="100"/>
    </row>
    <row r="238">
      <c r="A238" s="100"/>
      <c r="B238" s="100"/>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c r="Z238" s="100"/>
    </row>
    <row r="239">
      <c r="A239" s="100"/>
      <c r="B239" s="100"/>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c r="Z239" s="100"/>
    </row>
    <row r="240">
      <c r="A240" s="100"/>
      <c r="B240" s="100"/>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c r="Z240" s="100"/>
    </row>
    <row r="241">
      <c r="A241" s="100"/>
      <c r="B241" s="100"/>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c r="Z241" s="100"/>
    </row>
    <row r="242">
      <c r="A242" s="100"/>
      <c r="B242" s="100"/>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c r="Z242" s="100"/>
    </row>
    <row r="243">
      <c r="A243" s="100"/>
      <c r="B243" s="100"/>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c r="Z243" s="100"/>
    </row>
    <row r="244">
      <c r="A244" s="100"/>
      <c r="B244" s="100"/>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c r="Z244" s="100"/>
    </row>
    <row r="245">
      <c r="A245" s="100"/>
      <c r="B245" s="100"/>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c r="Z245" s="100"/>
    </row>
    <row r="246">
      <c r="A246" s="100"/>
      <c r="B246" s="100"/>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c r="Z246" s="100"/>
    </row>
    <row r="247">
      <c r="A247" s="100"/>
      <c r="B247" s="100"/>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c r="Z247" s="100"/>
    </row>
    <row r="248">
      <c r="A248" s="100"/>
      <c r="B248" s="100"/>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c r="Z248" s="100"/>
    </row>
    <row r="249">
      <c r="A249" s="100"/>
      <c r="B249" s="100"/>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c r="Z249" s="100"/>
    </row>
    <row r="250">
      <c r="A250" s="100"/>
      <c r="B250" s="100"/>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c r="Z250" s="100"/>
    </row>
    <row r="251">
      <c r="A251" s="100"/>
      <c r="B251" s="100"/>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c r="Z251" s="100"/>
    </row>
    <row r="252">
      <c r="A252" s="100"/>
      <c r="B252" s="100"/>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c r="Z252" s="100"/>
    </row>
    <row r="253">
      <c r="A253" s="100"/>
      <c r="B253" s="100"/>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c r="Z253" s="100"/>
    </row>
    <row r="254">
      <c r="A254" s="100"/>
      <c r="B254" s="100"/>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c r="Z254" s="100"/>
    </row>
    <row r="255">
      <c r="A255" s="100"/>
      <c r="B255" s="100"/>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c r="Z255" s="100"/>
    </row>
    <row r="256">
      <c r="A256" s="100"/>
      <c r="B256" s="100"/>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c r="Z256" s="100"/>
    </row>
    <row r="257">
      <c r="A257" s="100"/>
      <c r="B257" s="100"/>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c r="Z257" s="100"/>
    </row>
    <row r="258">
      <c r="A258" s="100"/>
      <c r="B258" s="100"/>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c r="Z258" s="100"/>
    </row>
    <row r="259">
      <c r="A259" s="100"/>
      <c r="B259" s="100"/>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c r="Z259" s="100"/>
    </row>
    <row r="260">
      <c r="A260" s="100"/>
      <c r="B260" s="100"/>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c r="Z260" s="100"/>
    </row>
    <row r="261">
      <c r="A261" s="100"/>
      <c r="B261" s="100"/>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c r="Z261" s="100"/>
    </row>
    <row r="262">
      <c r="A262" s="100"/>
      <c r="B262" s="100"/>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c r="Z262" s="100"/>
    </row>
    <row r="263">
      <c r="A263" s="100"/>
      <c r="B263" s="100"/>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c r="Z263" s="100"/>
    </row>
    <row r="264">
      <c r="A264" s="100"/>
      <c r="B264" s="100"/>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c r="Z264" s="100"/>
    </row>
    <row r="265">
      <c r="A265" s="100"/>
      <c r="B265" s="100"/>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c r="Z265" s="100"/>
    </row>
    <row r="266">
      <c r="A266" s="100"/>
      <c r="B266" s="100"/>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c r="Z266" s="100"/>
    </row>
    <row r="267">
      <c r="A267" s="100"/>
      <c r="B267" s="100"/>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c r="Z267" s="100"/>
    </row>
    <row r="268">
      <c r="A268" s="100"/>
      <c r="B268" s="100"/>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c r="Z268" s="100"/>
    </row>
    <row r="269">
      <c r="A269" s="100"/>
      <c r="B269" s="100"/>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c r="Z269" s="100"/>
    </row>
    <row r="270">
      <c r="A270" s="100"/>
      <c r="B270" s="100"/>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c r="Z270" s="100"/>
    </row>
    <row r="271">
      <c r="A271" s="100"/>
      <c r="B271" s="100"/>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c r="Z271" s="100"/>
    </row>
    <row r="272">
      <c r="A272" s="100"/>
      <c r="B272" s="100"/>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c r="Z272" s="100"/>
    </row>
    <row r="273">
      <c r="A273" s="100"/>
      <c r="B273" s="100"/>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c r="Z273" s="100"/>
    </row>
    <row r="274">
      <c r="A274" s="100"/>
      <c r="B274" s="100"/>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c r="Z274" s="100"/>
    </row>
    <row r="275">
      <c r="A275" s="100"/>
      <c r="B275" s="100"/>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c r="Z275" s="100"/>
    </row>
    <row r="276">
      <c r="A276" s="100"/>
      <c r="B276" s="100"/>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row>
    <row r="277">
      <c r="A277" s="100"/>
      <c r="B277" s="100"/>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c r="Z277" s="100"/>
    </row>
    <row r="278">
      <c r="A278" s="100"/>
      <c r="B278" s="100"/>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c r="Z278" s="100"/>
    </row>
    <row r="279">
      <c r="A279" s="100"/>
      <c r="B279" s="100"/>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c r="Z279" s="100"/>
    </row>
    <row r="280">
      <c r="A280" s="100"/>
      <c r="B280" s="100"/>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c r="Z280" s="100"/>
    </row>
    <row r="281">
      <c r="A281" s="100"/>
      <c r="B281" s="100"/>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c r="Z281" s="100"/>
    </row>
    <row r="282">
      <c r="A282" s="100"/>
      <c r="B282" s="100"/>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c r="Z282" s="100"/>
    </row>
    <row r="283">
      <c r="A283" s="100"/>
      <c r="B283" s="100"/>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c r="Z283" s="100"/>
    </row>
    <row r="284">
      <c r="A284" s="100"/>
      <c r="B284" s="100"/>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c r="Z284" s="100"/>
    </row>
    <row r="285">
      <c r="A285" s="100"/>
      <c r="B285" s="100"/>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c r="Z285" s="100"/>
    </row>
    <row r="286">
      <c r="A286" s="100"/>
      <c r="B286" s="100"/>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c r="Z286" s="100"/>
    </row>
    <row r="287">
      <c r="A287" s="100"/>
      <c r="B287" s="100"/>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c r="Z287" s="100"/>
    </row>
    <row r="288">
      <c r="A288" s="100"/>
      <c r="B288" s="100"/>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c r="Z288" s="100"/>
    </row>
    <row r="289">
      <c r="A289" s="100"/>
      <c r="B289" s="100"/>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c r="Z289" s="100"/>
    </row>
    <row r="290">
      <c r="A290" s="100"/>
      <c r="B290" s="100"/>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c r="Z290" s="100"/>
    </row>
    <row r="291">
      <c r="A291" s="100"/>
      <c r="B291" s="100"/>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c r="Z291" s="100"/>
    </row>
    <row r="292">
      <c r="A292" s="100"/>
      <c r="B292" s="100"/>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c r="Z292" s="100"/>
    </row>
    <row r="293">
      <c r="A293" s="100"/>
      <c r="B293" s="100"/>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c r="Z293" s="100"/>
    </row>
    <row r="294">
      <c r="A294" s="100"/>
      <c r="B294" s="100"/>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c r="Z294" s="100"/>
    </row>
    <row r="295">
      <c r="A295" s="100"/>
      <c r="B295" s="100"/>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c r="Z295" s="100"/>
    </row>
    <row r="296">
      <c r="A296" s="100"/>
      <c r="B296" s="100"/>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c r="Z296" s="100"/>
    </row>
    <row r="297">
      <c r="A297" s="100"/>
      <c r="B297" s="100"/>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c r="Z297" s="100"/>
    </row>
    <row r="298">
      <c r="A298" s="100"/>
      <c r="B298" s="100"/>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c r="Z298" s="100"/>
    </row>
    <row r="299">
      <c r="A299" s="100"/>
      <c r="B299" s="100"/>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c r="Z299" s="100"/>
    </row>
    <row r="300">
      <c r="A300" s="100"/>
      <c r="B300" s="100"/>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c r="Z300" s="100"/>
    </row>
    <row r="301">
      <c r="A301" s="100"/>
      <c r="B301" s="100"/>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c r="Z301" s="100"/>
    </row>
    <row r="302">
      <c r="A302" s="100"/>
      <c r="B302" s="100"/>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c r="Z302" s="100"/>
    </row>
    <row r="303">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row r="1001">
      <c r="A1001" s="100"/>
      <c r="B1001" s="100"/>
      <c r="C1001" s="100"/>
      <c r="D1001" s="100"/>
      <c r="E1001" s="100"/>
      <c r="F1001" s="100"/>
      <c r="G1001" s="100"/>
      <c r="H1001" s="100"/>
      <c r="I1001" s="100"/>
      <c r="J1001" s="100"/>
      <c r="K1001" s="100"/>
      <c r="L1001" s="100"/>
      <c r="M1001" s="100"/>
      <c r="N1001" s="100"/>
      <c r="O1001" s="100"/>
      <c r="P1001" s="100"/>
      <c r="Q1001" s="100"/>
      <c r="R1001" s="100"/>
      <c r="S1001" s="100"/>
      <c r="T1001" s="100"/>
      <c r="U1001" s="100"/>
      <c r="V1001" s="100"/>
      <c r="W1001" s="100"/>
      <c r="X1001" s="100"/>
      <c r="Y1001" s="100"/>
      <c r="Z1001" s="100"/>
    </row>
  </sheetData>
  <mergeCells count="32">
    <mergeCell ref="C1:E4"/>
    <mergeCell ref="A5:B8"/>
    <mergeCell ref="C5:H8"/>
    <mergeCell ref="A9:D9"/>
    <mergeCell ref="C10:D10"/>
    <mergeCell ref="E10:F10"/>
    <mergeCell ref="G10:H10"/>
    <mergeCell ref="E12:F13"/>
    <mergeCell ref="G12:H13"/>
    <mergeCell ref="A10:B10"/>
    <mergeCell ref="A11:B11"/>
    <mergeCell ref="C11:D11"/>
    <mergeCell ref="E11:F11"/>
    <mergeCell ref="G11:H11"/>
    <mergeCell ref="A12:B13"/>
    <mergeCell ref="C12:D13"/>
    <mergeCell ref="A14:C14"/>
    <mergeCell ref="E14:F14"/>
    <mergeCell ref="G14:H14"/>
    <mergeCell ref="A15:B15"/>
    <mergeCell ref="E15:F15"/>
    <mergeCell ref="G15:H15"/>
    <mergeCell ref="E16:H16"/>
    <mergeCell ref="E20:H21"/>
    <mergeCell ref="B22:H23"/>
    <mergeCell ref="A16:B16"/>
    <mergeCell ref="A17:B17"/>
    <mergeCell ref="A18:B19"/>
    <mergeCell ref="C18:D19"/>
    <mergeCell ref="E18:F19"/>
    <mergeCell ref="G18:H19"/>
    <mergeCell ref="A20:D21"/>
  </mergeCells>
  <conditionalFormatting sqref="C1:E4">
    <cfRule type="notContainsBlanks" dxfId="11" priority="1">
      <formula>LEN(TRIM(C1))&gt;0</formula>
    </cfRule>
  </conditionalFormatting>
  <conditionalFormatting sqref="H14:H15 G15 G18">
    <cfRule type="cellIs" dxfId="12" priority="2" operator="lessThanOrEqual">
      <formula>0</formula>
    </cfRule>
  </conditionalFormatting>
  <dataValidations>
    <dataValidation type="list" allowBlank="1" showErrorMessage="1" sqref="C1">
      <formula1>'Salary Calculation'!$A$2:$A$999</formula1>
    </dataValidation>
  </dataValidations>
  <printOptions gridLines="1" horizontalCentered="1"/>
  <pageMargins bottom="0.75" footer="0.0" header="0.0" left="0.7" right="0.7" top="0.75"/>
  <pageSetup fitToHeight="0" cellComments="atEnd" orientation="portrait" pageOrder="overThenDown"/>
  <drawing r:id="rId1"/>
  <tableParts count="1">
    <tablePart r:id="rId3"/>
  </tableParts>
</worksheet>
</file>